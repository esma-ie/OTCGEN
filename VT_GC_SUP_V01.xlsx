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/>
  <mc:AlternateContent xmlns:mc="http://schemas.openxmlformats.org/markup-compatibility/2006">
    <mc:Choice Requires="x15">
      <x15ac:absPath xmlns:x15ac="http://schemas.microsoft.com/office/spreadsheetml/2010/11/ac" url="C:\Veda\Veda_models\COMET_Generative_NYC\"/>
    </mc:Choice>
  </mc:AlternateContent>
  <xr:revisionPtr revIDLastSave="0" documentId="13_ncr:1_{48BE80C2-0513-4E65-9FF6-8DA96433203C}" xr6:coauthVersionLast="47" xr6:coauthVersionMax="47" xr10:uidLastSave="{00000000-0000-0000-0000-000000000000}"/>
  <bookViews>
    <workbookView xWindow="-120" yWindow="-120" windowWidth="25440" windowHeight="15270" firstSheet="4" activeTab="7" xr2:uid="{00000000-000D-0000-FFFF-FFFF00000000}"/>
  </bookViews>
  <sheets>
    <sheet name="ReadMe" sheetId="1" r:id="rId1"/>
    <sheet name="&gt;&gt; City Data" sheetId="2" r:id="rId2"/>
    <sheet name="City characteristics" sheetId="3" r:id="rId3"/>
    <sheet name="&gt;&gt; GC_NewTech" sheetId="4" r:id="rId4"/>
    <sheet name="ENE TECH" sheetId="5" r:id="rId5"/>
    <sheet name="&gt;&gt; TIMES" sheetId="6" r:id="rId6"/>
    <sheet name="Def_Tech" sheetId="7" r:id="rId7"/>
    <sheet name="Def_Comm" sheetId="8" r:id="rId8"/>
    <sheet name="TechMin" sheetId="9" r:id="rId9"/>
    <sheet name="TechImp" sheetId="10" r:id="rId10"/>
    <sheet name="ComAgg" sheetId="11" r:id="rId11"/>
    <sheet name="Commodity_map" sheetId="12" r:id="rId12"/>
    <sheet name="&gt;&gt; Parameters" sheetId="13" r:id="rId13"/>
    <sheet name="List" sheetId="14" r:id="rId14"/>
  </sheets>
  <definedNames>
    <definedName name="_.DMD.">#REF!</definedName>
    <definedName name="_.DMD._2">#REF!</definedName>
    <definedName name="____W.O.R.K.B.O.O.K..C.O.N.T.E.N.T.S____">#REF!</definedName>
    <definedName name="_Fill" localSheetId="2" hidden="1">#REF!</definedName>
    <definedName name="_Fill" hidden="1">#REF!</definedName>
    <definedName name="_Order1" hidden="1">0</definedName>
    <definedName name="_Order2" hidden="1">0</definedName>
    <definedName name="_Sort" localSheetId="2" hidden="1">#REF!</definedName>
    <definedName name="_Sort" hidden="1">#REF!</definedName>
    <definedName name="anscount" hidden="1">1</definedName>
    <definedName name="Cars_12">#REF!</definedName>
    <definedName name="Cars_12_2">#REF!</definedName>
    <definedName name="CBWorkbookPriority" hidden="1">-1587101571</definedName>
    <definedName name="COUNTRY_WT_VERT">#REF!</definedName>
    <definedName name="CRF_4_KP__Doc">#REF!</definedName>
    <definedName name="CRF_4_KP__Main">#REF!</definedName>
    <definedName name="CRF_4_KP_I_A.1.1_Doc">#REF!</definedName>
    <definedName name="CRF_4_KP_I_A.1.1_Main">#REF!</definedName>
    <definedName name="CRF_4_KP_I_A.1_Doc">#REF!</definedName>
    <definedName name="CRF_4_KP_I_A.1_Main">#REF!</definedName>
    <definedName name="CRF_4_KP_I_A.2.1_Doc">#REF!</definedName>
    <definedName name="CRF_4_KP_I_A.2.1_Main">#REF!</definedName>
    <definedName name="CRF_4_KP_I_A.2_Doc">#REF!</definedName>
    <definedName name="CRF_4_KP_I_A.2_Main1">#REF!</definedName>
    <definedName name="CRF_4_KP_I_A.2_Main2">#REF!</definedName>
    <definedName name="CRF_4_KP_I_B.1.1_Doc">#REF!</definedName>
    <definedName name="CRF_4_KP_I_B.1.1_Main">#REF!</definedName>
    <definedName name="CRF_4_KP_I_B.1.2_Doc">#REF!</definedName>
    <definedName name="CRF_4_KP_I_B.1.2_Main">#REF!</definedName>
    <definedName name="CRF_4_KP_I_B.1.3_Doc">#REF!</definedName>
    <definedName name="CRF_4_KP_I_B.1.3_Main">#REF!</definedName>
    <definedName name="CRF_4_KP_I_B.1_Doc">#REF!</definedName>
    <definedName name="CRF_4_KP_I_B.1_Main">#REF!</definedName>
    <definedName name="CRF_4_KP_I_B.2_Doc">#REF!</definedName>
    <definedName name="CRF_4_KP_I_B.2_Main">#REF!</definedName>
    <definedName name="CRF_4_KP_I_B.3_Doc">#REF!</definedName>
    <definedName name="CRF_4_KP_I_B.3_Main">#REF!</definedName>
    <definedName name="CRF_4_KP_I_B.4_Doc">#REF!</definedName>
    <definedName name="CRF_4_KP_I_B.4_Main">#REF!</definedName>
    <definedName name="CRF_4_KP_I_B.5_Doc">#REF!</definedName>
    <definedName name="CRF_4_KP_I_B.5_Main">#REF!</definedName>
    <definedName name="CRF_4_KP_II_1_Doc">#REF!</definedName>
    <definedName name="CRF_4_KP_II_1_Main">#REF!</definedName>
    <definedName name="CRF_4_KP_II_2_Doc">#REF!</definedName>
    <definedName name="CRF_4_KP_II_2_Main">#REF!</definedName>
    <definedName name="CRF_4_KP_II_3_Doc">#REF!</definedName>
    <definedName name="CRF_4_KP_II_3_Main">#REF!</definedName>
    <definedName name="CRF_4_KP_II_4_Doc">#REF!</definedName>
    <definedName name="CRF_4_KP_II_4_Main">#REF!</definedName>
    <definedName name="CRF_4_KP_Recalculations_Doc">#REF!</definedName>
    <definedName name="CRF_4_KP_Recalculations_Main1">#REF!</definedName>
    <definedName name="CRF_4_KP_Recalculations_Main2">#REF!</definedName>
    <definedName name="CRF_accounting_Main">#REF!</definedName>
    <definedName name="CRF_NIR_1_Add">#REF!</definedName>
    <definedName name="CRF_NIR_1_Main">#REF!</definedName>
    <definedName name="CRF_NIR_2.1_Main">#REF!</definedName>
    <definedName name="CRF_NIR_2_Main">#REF!</definedName>
    <definedName name="CRF_NIR_3_Main">#REF!</definedName>
    <definedName name="CRF_Table1.B.1_Doc">#REF!</definedName>
    <definedName name="CRF_Table1.B.1_Main">#REF!</definedName>
    <definedName name="CRF_Table1.B.2_Doc">#REF!</definedName>
    <definedName name="CRF_Table1.B.2_Main">#REF!</definedName>
    <definedName name="CRF_Table1.C_Doc">#REF!</definedName>
    <definedName name="CRF_Table1.C_Main">#REF!</definedName>
    <definedName name="CRF_Table3.B_a_s2_Add">#REF!</definedName>
    <definedName name="CRF_Table3.D_Add">#REF!</definedName>
    <definedName name="CRF_Table3.D_Doc">#REF!</definedName>
    <definedName name="CRF_Table3.D_Main">#REF!</definedName>
    <definedName name="CRF_Table7_Main">#REF!</definedName>
    <definedName name="ddddd">#REF!</definedName>
    <definedName name="DISCRATE">#REF!</definedName>
    <definedName name="DISCRATE_2">#REF!</definedName>
    <definedName name="FID_1">#REF!</definedName>
    <definedName name="FID_1_1">#REF!</definedName>
    <definedName name="FOR_E_B34">#REF!</definedName>
    <definedName name="GROWTH">#REF!</definedName>
    <definedName name="GROWTH_2">#REF!</definedName>
    <definedName name="GROWTH_TID">#REF!</definedName>
    <definedName name="GROWTH_TID_2">#REF!</definedName>
    <definedName name="INVCOST">#REF!</definedName>
    <definedName name="INVCOST_2">#REF!</definedName>
    <definedName name="LIFE">#REF!</definedName>
    <definedName name="LIFE_2">#REF!</definedName>
    <definedName name="NAs_CCAR">#REF!</definedName>
    <definedName name="NAs_CCAR_2">#REF!</definedName>
    <definedName name="sencount" hidden="1">2</definedName>
    <definedName name="SEQUESTRATION">#REF!</definedName>
    <definedName name="SEQUESTRATION2">#REF!</definedName>
    <definedName name="SETS">#REF!</definedName>
    <definedName name="SETS_2">#REF!</definedName>
    <definedName name="TARGET_YEAR">#REF!</definedName>
    <definedName name="TRTGAB005">#REF!</definedName>
    <definedName name="TRTGAB005_2">#REF!</definedName>
    <definedName name="TRTGAC005">#REF!</definedName>
    <definedName name="TRTGAC005_2">#REF!</definedName>
    <definedName name="Trucks_15">#REF!</definedName>
    <definedName name="Trucks_15_2">#REF!</definedName>
    <definedName name="TSUB_COST">#REF!</definedName>
    <definedName name="TSUB_COST_2">#REF!</definedName>
    <definedName name="wrn.com_msw." localSheetId="2" hidden="1">{"com_msw",#N/A,FALSE,"Common"}</definedName>
    <definedName name="wrn.com_msw." hidden="1">{"com_msw",#N/A,FALSE,"Common"}</definedName>
    <definedName name="wrn.msw_1." localSheetId="2" hidden="1">{"msw_1",#N/A,FALSE,"Common"}</definedName>
    <definedName name="wrn.msw_1." hidden="1">{"msw_1",#N/A,FALSE,"Common"}</definedName>
    <definedName name="wrn.msw_2." localSheetId="2" hidden="1">{"msw_2",#N/A,FALSE,"Common"}</definedName>
    <definedName name="wrn.msw_2." hidden="1">{"msw_2",#N/A,FALSE,"Common"}</definedName>
    <definedName name="wrn.NATIONAL._.GRID." localSheetId="2" hidden="1">{"NATIONAL GRID",#N/A,FALSE,"Sheet1"}</definedName>
    <definedName name="wrn.NATIONAL._.GRID." hidden="1">{"NATIONAL GRID",#N/A,FALSE,"Sheet1"}</definedName>
    <definedName name="wrn.regional._.grid." localSheetId="2" hidden="1">{"regional grid",#N/A,FALSE,"Sheet1"}</definedName>
    <definedName name="wrn.regional._.grid." hidden="1">{"regional grid",#N/A,FALSE,"Sheet1"}</definedName>
    <definedName name="wrn.res_mf_msw." localSheetId="2" hidden="1">{"res_mf_mssw",#N/A,FALSE,"Common"}</definedName>
    <definedName name="wrn.res_mf_msw." hidden="1">{"res_mf_mssw",#N/A,FALSE,"Common"}</definedName>
    <definedName name="x">#REF!</definedName>
    <definedName name="x_1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79" i="12" l="1"/>
  <c r="H78" i="12"/>
  <c r="H77" i="12"/>
  <c r="D77" i="12"/>
  <c r="H76" i="12"/>
  <c r="D76" i="12"/>
  <c r="H75" i="12"/>
  <c r="D75" i="12"/>
  <c r="H74" i="12"/>
  <c r="D74" i="12"/>
  <c r="H73" i="12"/>
  <c r="D73" i="12"/>
  <c r="H72" i="12"/>
  <c r="D72" i="12"/>
  <c r="H71" i="12"/>
  <c r="D71" i="12"/>
  <c r="H70" i="12"/>
  <c r="D70" i="12"/>
  <c r="H69" i="12"/>
  <c r="D69" i="12"/>
  <c r="H68" i="12"/>
  <c r="D68" i="12"/>
  <c r="H67" i="12"/>
  <c r="D67" i="12"/>
  <c r="H66" i="12"/>
  <c r="D66" i="12"/>
  <c r="H65" i="12"/>
  <c r="D65" i="12"/>
  <c r="H64" i="12"/>
  <c r="D64" i="12"/>
  <c r="H63" i="12"/>
  <c r="D63" i="12"/>
  <c r="H62" i="12"/>
  <c r="D62" i="12"/>
  <c r="H61" i="12"/>
  <c r="D61" i="12"/>
  <c r="H60" i="12"/>
  <c r="D60" i="12"/>
  <c r="H59" i="12"/>
  <c r="D59" i="12"/>
  <c r="H58" i="12"/>
  <c r="D58" i="12"/>
  <c r="H57" i="12"/>
  <c r="D57" i="12"/>
  <c r="H56" i="12"/>
  <c r="D56" i="12"/>
  <c r="H55" i="12"/>
  <c r="D55" i="12"/>
  <c r="H54" i="12"/>
  <c r="D54" i="12"/>
  <c r="H53" i="12"/>
  <c r="D53" i="12"/>
  <c r="H52" i="12"/>
  <c r="D52" i="12"/>
  <c r="O51" i="12"/>
  <c r="K51" i="12"/>
  <c r="H51" i="12"/>
  <c r="D51" i="12"/>
  <c r="O50" i="12"/>
  <c r="K50" i="12"/>
  <c r="H50" i="12"/>
  <c r="D50" i="12"/>
  <c r="O49" i="12"/>
  <c r="K49" i="12"/>
  <c r="H49" i="12"/>
  <c r="D49" i="12"/>
  <c r="O48" i="12"/>
  <c r="K48" i="12"/>
  <c r="H48" i="12"/>
  <c r="D48" i="12"/>
  <c r="O47" i="12"/>
  <c r="K47" i="12"/>
  <c r="H47" i="12"/>
  <c r="D47" i="12"/>
  <c r="O46" i="12"/>
  <c r="K46" i="12"/>
  <c r="H46" i="12"/>
  <c r="D46" i="12"/>
  <c r="O45" i="12"/>
  <c r="K45" i="12"/>
  <c r="H45" i="12"/>
  <c r="D45" i="12"/>
  <c r="O44" i="12"/>
  <c r="K44" i="12"/>
  <c r="H44" i="12"/>
  <c r="D44" i="12"/>
  <c r="O43" i="12"/>
  <c r="K43" i="12"/>
  <c r="H43" i="12"/>
  <c r="D43" i="12"/>
  <c r="O42" i="12"/>
  <c r="K42" i="12"/>
  <c r="H42" i="12"/>
  <c r="D42" i="12"/>
  <c r="O41" i="12"/>
  <c r="K41" i="12"/>
  <c r="H41" i="12"/>
  <c r="D41" i="12"/>
  <c r="O40" i="12"/>
  <c r="K40" i="12"/>
  <c r="H40" i="12"/>
  <c r="D40" i="12"/>
  <c r="O39" i="12"/>
  <c r="K39" i="12"/>
  <c r="H39" i="12"/>
  <c r="D39" i="12"/>
  <c r="O38" i="12"/>
  <c r="K38" i="12"/>
  <c r="H38" i="12"/>
  <c r="D38" i="12"/>
  <c r="O37" i="12"/>
  <c r="K37" i="12"/>
  <c r="H37" i="12"/>
  <c r="D37" i="12"/>
  <c r="O36" i="12"/>
  <c r="K36" i="12"/>
  <c r="H36" i="12"/>
  <c r="D36" i="12"/>
  <c r="O35" i="12"/>
  <c r="K35" i="12"/>
  <c r="H35" i="12"/>
  <c r="D35" i="12"/>
  <c r="O34" i="12"/>
  <c r="K34" i="12"/>
  <c r="H34" i="12"/>
  <c r="D34" i="12"/>
  <c r="O33" i="12"/>
  <c r="K33" i="12"/>
  <c r="H33" i="12"/>
  <c r="D33" i="12"/>
  <c r="O32" i="12"/>
  <c r="K32" i="12"/>
  <c r="H32" i="12"/>
  <c r="D32" i="12"/>
  <c r="O31" i="12"/>
  <c r="K31" i="12"/>
  <c r="H31" i="12"/>
  <c r="D31" i="12"/>
  <c r="O30" i="12"/>
  <c r="L30" i="12"/>
  <c r="L37" i="12" s="1"/>
  <c r="L44" i="12" s="1"/>
  <c r="K30" i="12"/>
  <c r="H30" i="12"/>
  <c r="D30" i="12"/>
  <c r="O29" i="12"/>
  <c r="L29" i="12"/>
  <c r="L36" i="12" s="1"/>
  <c r="L43" i="12" s="1"/>
  <c r="K29" i="12"/>
  <c r="H29" i="12"/>
  <c r="D29" i="12"/>
  <c r="O28" i="12"/>
  <c r="K28" i="12"/>
  <c r="H28" i="12"/>
  <c r="D28" i="12"/>
  <c r="O27" i="12"/>
  <c r="K27" i="12"/>
  <c r="H27" i="12"/>
  <c r="D27" i="12"/>
  <c r="O26" i="12"/>
  <c r="K26" i="12"/>
  <c r="H26" i="12"/>
  <c r="D26" i="12"/>
  <c r="O25" i="12"/>
  <c r="K25" i="12"/>
  <c r="H25" i="12"/>
  <c r="D25" i="12"/>
  <c r="O24" i="12"/>
  <c r="K24" i="12"/>
  <c r="H24" i="12"/>
  <c r="D24" i="12"/>
  <c r="O23" i="12"/>
  <c r="K23" i="12"/>
  <c r="H23" i="12"/>
  <c r="G23" i="12"/>
  <c r="D23" i="12"/>
  <c r="O22" i="12"/>
  <c r="K22" i="12"/>
  <c r="H22" i="12"/>
  <c r="D22" i="12"/>
  <c r="O21" i="12"/>
  <c r="L21" i="12"/>
  <c r="L28" i="12" s="1"/>
  <c r="L35" i="12" s="1"/>
  <c r="L42" i="12" s="1"/>
  <c r="K21" i="12"/>
  <c r="H21" i="12"/>
  <c r="D21" i="12"/>
  <c r="O20" i="12"/>
  <c r="K20" i="12"/>
  <c r="H20" i="12"/>
  <c r="D20" i="12"/>
  <c r="O19" i="12"/>
  <c r="K19" i="12"/>
  <c r="H19" i="12"/>
  <c r="D19" i="12"/>
  <c r="O18" i="12"/>
  <c r="K18" i="12"/>
  <c r="H18" i="12"/>
  <c r="D18" i="12"/>
  <c r="O17" i="12"/>
  <c r="L17" i="12"/>
  <c r="L24" i="12" s="1"/>
  <c r="L31" i="12" s="1"/>
  <c r="L38" i="12" s="1"/>
  <c r="L45" i="12" s="1"/>
  <c r="K17" i="12"/>
  <c r="H17" i="12"/>
  <c r="D17" i="12"/>
  <c r="O16" i="12"/>
  <c r="K16" i="12"/>
  <c r="H16" i="12"/>
  <c r="D16" i="12"/>
  <c r="O15" i="12"/>
  <c r="K15" i="12"/>
  <c r="H15" i="12"/>
  <c r="D15" i="12"/>
  <c r="O14" i="12"/>
  <c r="K14" i="12"/>
  <c r="H14" i="12"/>
  <c r="D14" i="12"/>
  <c r="O13" i="12"/>
  <c r="L13" i="12"/>
  <c r="L20" i="12" s="1"/>
  <c r="L27" i="12" s="1"/>
  <c r="L34" i="12" s="1"/>
  <c r="L41" i="12" s="1"/>
  <c r="K13" i="12"/>
  <c r="H13" i="12"/>
  <c r="D13" i="12"/>
  <c r="O12" i="12"/>
  <c r="K12" i="12"/>
  <c r="H12" i="12"/>
  <c r="D12" i="12"/>
  <c r="O11" i="12"/>
  <c r="L11" i="12"/>
  <c r="L18" i="12" s="1"/>
  <c r="L25" i="12" s="1"/>
  <c r="L32" i="12" s="1"/>
  <c r="L39" i="12" s="1"/>
  <c r="K11" i="12"/>
  <c r="H11" i="12"/>
  <c r="G11" i="12"/>
  <c r="D11" i="12"/>
  <c r="O10" i="12"/>
  <c r="L10" i="12"/>
  <c r="K10" i="12"/>
  <c r="H10" i="12"/>
  <c r="D10" i="12"/>
  <c r="O9" i="12"/>
  <c r="L9" i="12"/>
  <c r="L16" i="12" s="1"/>
  <c r="L23" i="12" s="1"/>
  <c r="K9" i="12"/>
  <c r="H9" i="12"/>
  <c r="D9" i="12"/>
  <c r="O8" i="12"/>
  <c r="L8" i="12"/>
  <c r="L15" i="12" s="1"/>
  <c r="L22" i="12" s="1"/>
  <c r="K8" i="12"/>
  <c r="H8" i="12"/>
  <c r="D8" i="12"/>
  <c r="O7" i="12"/>
  <c r="L7" i="12"/>
  <c r="L14" i="12" s="1"/>
  <c r="K7" i="12"/>
  <c r="H7" i="12"/>
  <c r="D7" i="12"/>
  <c r="O6" i="12"/>
  <c r="L6" i="12"/>
  <c r="K6" i="12"/>
  <c r="H6" i="12"/>
  <c r="D6" i="12"/>
  <c r="O5" i="12"/>
  <c r="L5" i="12"/>
  <c r="L12" i="12" s="1"/>
  <c r="L19" i="12" s="1"/>
  <c r="L26" i="12" s="1"/>
  <c r="L33" i="12" s="1"/>
  <c r="L40" i="12" s="1"/>
  <c r="K5" i="12"/>
  <c r="H5" i="12"/>
  <c r="D5" i="12"/>
  <c r="O4" i="12"/>
  <c r="L4" i="12"/>
  <c r="K4" i="12"/>
  <c r="H4" i="12"/>
  <c r="D4" i="12"/>
  <c r="D83" i="10"/>
  <c r="C83" i="10" s="1"/>
  <c r="J28" i="10"/>
  <c r="D26" i="10"/>
  <c r="C26" i="10" s="1"/>
  <c r="D14" i="10"/>
  <c r="C14" i="10"/>
  <c r="AG5" i="10"/>
  <c r="AA5" i="10"/>
  <c r="Z5" i="10"/>
  <c r="V5" i="10"/>
  <c r="U5" i="10"/>
  <c r="O5" i="10"/>
  <c r="N5" i="10"/>
  <c r="AG1" i="10"/>
  <c r="AF1" i="10"/>
  <c r="AF5" i="10" s="1"/>
  <c r="AE1" i="10"/>
  <c r="AE5" i="10" s="1"/>
  <c r="AD1" i="10"/>
  <c r="AD5" i="10" s="1"/>
  <c r="AC1" i="10"/>
  <c r="AC5" i="10" s="1"/>
  <c r="AB1" i="10"/>
  <c r="AB5" i="10" s="1"/>
  <c r="AA1" i="10"/>
  <c r="Z1" i="10"/>
  <c r="Y1" i="10"/>
  <c r="Y5" i="10" s="1"/>
  <c r="X1" i="10"/>
  <c r="X5" i="10" s="1"/>
  <c r="W1" i="10"/>
  <c r="W5" i="10" s="1"/>
  <c r="V1" i="10"/>
  <c r="U1" i="10"/>
  <c r="T1" i="10"/>
  <c r="T5" i="10" s="1"/>
  <c r="S1" i="10"/>
  <c r="S5" i="10" s="1"/>
  <c r="R1" i="10"/>
  <c r="R5" i="10" s="1"/>
  <c r="Q1" i="10"/>
  <c r="Q5" i="10" s="1"/>
  <c r="P1" i="10"/>
  <c r="P5" i="10" s="1"/>
  <c r="O1" i="10"/>
  <c r="N1" i="10"/>
  <c r="M1" i="10"/>
  <c r="M5" i="10" s="1"/>
  <c r="L1" i="10"/>
  <c r="L5" i="10" s="1"/>
  <c r="G31" i="9"/>
  <c r="F31" i="9"/>
  <c r="B31" i="9"/>
  <c r="G30" i="9"/>
  <c r="F30" i="9"/>
  <c r="D30" i="9"/>
  <c r="G29" i="9"/>
  <c r="F29" i="9"/>
  <c r="G28" i="9"/>
  <c r="F28" i="9"/>
  <c r="G27" i="9"/>
  <c r="F27" i="9"/>
  <c r="D27" i="9"/>
  <c r="G26" i="9"/>
  <c r="F26" i="9"/>
  <c r="G25" i="9"/>
  <c r="F25" i="9"/>
  <c r="G24" i="9"/>
  <c r="F24" i="9"/>
  <c r="D24" i="9"/>
  <c r="B24" i="9"/>
  <c r="G23" i="9"/>
  <c r="F23" i="9"/>
  <c r="G22" i="9"/>
  <c r="F22" i="9"/>
  <c r="G21" i="9"/>
  <c r="F21" i="9"/>
  <c r="B21" i="9"/>
  <c r="G20" i="9"/>
  <c r="F20" i="9"/>
  <c r="D20" i="9"/>
  <c r="G19" i="9"/>
  <c r="F19" i="9"/>
  <c r="D19" i="9"/>
  <c r="G18" i="9"/>
  <c r="F18" i="9"/>
  <c r="B18" i="9"/>
  <c r="G17" i="9"/>
  <c r="F17" i="9"/>
  <c r="G16" i="9"/>
  <c r="F16" i="9"/>
  <c r="G15" i="9"/>
  <c r="F15" i="9"/>
  <c r="B15" i="9"/>
  <c r="G14" i="9"/>
  <c r="F14" i="9"/>
  <c r="D14" i="9"/>
  <c r="G13" i="9"/>
  <c r="F13" i="9"/>
  <c r="D13" i="9"/>
  <c r="G12" i="9"/>
  <c r="F12" i="9"/>
  <c r="B12" i="9"/>
  <c r="G11" i="9"/>
  <c r="F11" i="9"/>
  <c r="G10" i="9"/>
  <c r="F10" i="9"/>
  <c r="G9" i="9"/>
  <c r="F9" i="9"/>
  <c r="B9" i="9"/>
  <c r="G8" i="9"/>
  <c r="F8" i="9"/>
  <c r="D8" i="9"/>
  <c r="G7" i="9"/>
  <c r="F7" i="9"/>
  <c r="D7" i="9"/>
  <c r="G6" i="9"/>
  <c r="F6" i="9"/>
  <c r="B6" i="9"/>
  <c r="G5" i="9"/>
  <c r="F5" i="9"/>
  <c r="D112" i="8"/>
  <c r="C112" i="8"/>
  <c r="D31" i="9" s="1"/>
  <c r="D111" i="8"/>
  <c r="C111" i="8"/>
  <c r="D109" i="8"/>
  <c r="C109" i="8"/>
  <c r="D108" i="8"/>
  <c r="C108" i="8"/>
  <c r="D29" i="9" s="1"/>
  <c r="D107" i="8"/>
  <c r="C107" i="8"/>
  <c r="D28" i="9" s="1"/>
  <c r="D106" i="8"/>
  <c r="C106" i="8"/>
  <c r="D105" i="8"/>
  <c r="C105" i="8"/>
  <c r="D26" i="9" s="1"/>
  <c r="D104" i="8"/>
  <c r="C104" i="8"/>
  <c r="D25" i="9" s="1"/>
  <c r="D103" i="8"/>
  <c r="C103" i="8"/>
  <c r="D102" i="8"/>
  <c r="C102" i="8"/>
  <c r="D23" i="9" s="1"/>
  <c r="D101" i="8"/>
  <c r="C101" i="8"/>
  <c r="D22" i="9" s="1"/>
  <c r="D100" i="8"/>
  <c r="C100" i="8"/>
  <c r="D21" i="9" s="1"/>
  <c r="D99" i="8"/>
  <c r="C99" i="8"/>
  <c r="D98" i="8"/>
  <c r="C98" i="8"/>
  <c r="D97" i="8"/>
  <c r="C97" i="8"/>
  <c r="D18" i="9" s="1"/>
  <c r="D96" i="8"/>
  <c r="C96" i="8"/>
  <c r="D17" i="9" s="1"/>
  <c r="D95" i="8"/>
  <c r="C95" i="8"/>
  <c r="D16" i="9" s="1"/>
  <c r="D94" i="8"/>
  <c r="C94" i="8"/>
  <c r="D15" i="9" s="1"/>
  <c r="D93" i="8"/>
  <c r="C93" i="8"/>
  <c r="D92" i="8"/>
  <c r="C92" i="8"/>
  <c r="D91" i="8"/>
  <c r="C91" i="8"/>
  <c r="D12" i="9" s="1"/>
  <c r="D90" i="8"/>
  <c r="C90" i="8"/>
  <c r="D11" i="9" s="1"/>
  <c r="D89" i="8"/>
  <c r="C89" i="8"/>
  <c r="D10" i="9" s="1"/>
  <c r="D88" i="8"/>
  <c r="C88" i="8"/>
  <c r="D9" i="9" s="1"/>
  <c r="D87" i="8"/>
  <c r="C87" i="8"/>
  <c r="D86" i="8"/>
  <c r="C86" i="8"/>
  <c r="D85" i="8"/>
  <c r="C85" i="8"/>
  <c r="D6" i="9" s="1"/>
  <c r="D84" i="8"/>
  <c r="C84" i="8"/>
  <c r="D5" i="9" s="1"/>
  <c r="D82" i="8"/>
  <c r="C82" i="8"/>
  <c r="D81" i="8"/>
  <c r="C81" i="8"/>
  <c r="D80" i="8"/>
  <c r="C80" i="8"/>
  <c r="D79" i="8"/>
  <c r="C79" i="8"/>
  <c r="D78" i="8"/>
  <c r="C78" i="8"/>
  <c r="D77" i="8"/>
  <c r="C77" i="8"/>
  <c r="D76" i="8"/>
  <c r="C76" i="8"/>
  <c r="D75" i="8"/>
  <c r="C75" i="8"/>
  <c r="D74" i="8"/>
  <c r="C74" i="8"/>
  <c r="D73" i="8"/>
  <c r="C73" i="8"/>
  <c r="D72" i="8"/>
  <c r="C72" i="8"/>
  <c r="D71" i="8"/>
  <c r="C71" i="8"/>
  <c r="D70" i="8"/>
  <c r="C70" i="8"/>
  <c r="D69" i="8"/>
  <c r="C69" i="8"/>
  <c r="D68" i="8"/>
  <c r="C68" i="8"/>
  <c r="D67" i="8"/>
  <c r="C67" i="8"/>
  <c r="D66" i="8"/>
  <c r="C66" i="8"/>
  <c r="D65" i="8"/>
  <c r="C65" i="8"/>
  <c r="D64" i="8"/>
  <c r="C64" i="8"/>
  <c r="D63" i="8"/>
  <c r="C63" i="8"/>
  <c r="D62" i="8"/>
  <c r="C62" i="8"/>
  <c r="D61" i="8"/>
  <c r="C61" i="8"/>
  <c r="D60" i="8"/>
  <c r="C60" i="8"/>
  <c r="D59" i="8"/>
  <c r="C59" i="8"/>
  <c r="D58" i="8"/>
  <c r="C58" i="8"/>
  <c r="D57" i="8"/>
  <c r="C57" i="8"/>
  <c r="D56" i="8"/>
  <c r="C56" i="8"/>
  <c r="D55" i="8"/>
  <c r="C55" i="8"/>
  <c r="D54" i="8"/>
  <c r="C54" i="8"/>
  <c r="D53" i="8"/>
  <c r="C53" i="8"/>
  <c r="D52" i="8"/>
  <c r="C52" i="8"/>
  <c r="D51" i="8"/>
  <c r="C51" i="8"/>
  <c r="D50" i="8"/>
  <c r="C50" i="8"/>
  <c r="D52" i="10" s="1"/>
  <c r="C52" i="10" s="1"/>
  <c r="D49" i="8"/>
  <c r="C49" i="8"/>
  <c r="D48" i="8"/>
  <c r="C48" i="8"/>
  <c r="D47" i="8"/>
  <c r="C47" i="8"/>
  <c r="D46" i="8"/>
  <c r="C46" i="8"/>
  <c r="D45" i="8"/>
  <c r="C45" i="8"/>
  <c r="D44" i="8"/>
  <c r="C44" i="8"/>
  <c r="D43" i="8"/>
  <c r="C43" i="8"/>
  <c r="D42" i="8"/>
  <c r="C42" i="8"/>
  <c r="D41" i="8"/>
  <c r="C41" i="8"/>
  <c r="D40" i="8"/>
  <c r="C40" i="8"/>
  <c r="D39" i="8"/>
  <c r="C39" i="8"/>
  <c r="D38" i="8"/>
  <c r="C38" i="8"/>
  <c r="D40" i="10" s="1"/>
  <c r="C40" i="10" s="1"/>
  <c r="D37" i="8"/>
  <c r="C37" i="8"/>
  <c r="D36" i="8"/>
  <c r="C36" i="8"/>
  <c r="D35" i="8"/>
  <c r="C35" i="8"/>
  <c r="D34" i="8"/>
  <c r="C34" i="8"/>
  <c r="D33" i="8"/>
  <c r="C33" i="8"/>
  <c r="D32" i="8"/>
  <c r="C32" i="8"/>
  <c r="D31" i="8"/>
  <c r="C31" i="8"/>
  <c r="D30" i="8"/>
  <c r="C30" i="8"/>
  <c r="D29" i="8"/>
  <c r="C29" i="8"/>
  <c r="D28" i="8"/>
  <c r="C28" i="8"/>
  <c r="D27" i="8"/>
  <c r="C27" i="8"/>
  <c r="D26" i="8"/>
  <c r="C26" i="8"/>
  <c r="D28" i="10" s="1"/>
  <c r="C28" i="10" s="1"/>
  <c r="D25" i="8"/>
  <c r="C25" i="8"/>
  <c r="D23" i="8"/>
  <c r="C23" i="8"/>
  <c r="D22" i="8"/>
  <c r="C22" i="8"/>
  <c r="D21" i="8"/>
  <c r="C21" i="8"/>
  <c r="D20" i="8"/>
  <c r="C20" i="8"/>
  <c r="D19" i="8"/>
  <c r="C19" i="8"/>
  <c r="D18" i="8"/>
  <c r="C18" i="8"/>
  <c r="D20" i="10" s="1"/>
  <c r="C20" i="10" s="1"/>
  <c r="D17" i="8"/>
  <c r="C17" i="8"/>
  <c r="D16" i="8"/>
  <c r="C16" i="8"/>
  <c r="D15" i="8"/>
  <c r="C15" i="8"/>
  <c r="D14" i="8"/>
  <c r="C14" i="8"/>
  <c r="D13" i="8"/>
  <c r="C13" i="8"/>
  <c r="D11" i="8"/>
  <c r="C11" i="8"/>
  <c r="D10" i="8"/>
  <c r="C10" i="8"/>
  <c r="D9" i="8"/>
  <c r="C9" i="8"/>
  <c r="D8" i="8"/>
  <c r="C8" i="8"/>
  <c r="D7" i="8"/>
  <c r="C7" i="8"/>
  <c r="D6" i="8"/>
  <c r="C6" i="8"/>
  <c r="D8" i="10" s="1"/>
  <c r="C8" i="10" s="1"/>
  <c r="D5" i="8"/>
  <c r="C5" i="8"/>
  <c r="E124" i="7"/>
  <c r="D124" i="7"/>
  <c r="E123" i="7"/>
  <c r="D123" i="7"/>
  <c r="E122" i="7"/>
  <c r="D122" i="7"/>
  <c r="B30" i="9" s="1"/>
  <c r="E121" i="7"/>
  <c r="D121" i="7"/>
  <c r="B29" i="9" s="1"/>
  <c r="E120" i="7"/>
  <c r="D120" i="7"/>
  <c r="B28" i="9" s="1"/>
  <c r="E119" i="7"/>
  <c r="D119" i="7"/>
  <c r="B27" i="9" s="1"/>
  <c r="E118" i="7"/>
  <c r="D118" i="7"/>
  <c r="B26" i="9" s="1"/>
  <c r="E117" i="7"/>
  <c r="D117" i="7"/>
  <c r="B25" i="9" s="1"/>
  <c r="E116" i="7"/>
  <c r="D116" i="7"/>
  <c r="E115" i="7"/>
  <c r="D115" i="7"/>
  <c r="B23" i="9" s="1"/>
  <c r="E114" i="7"/>
  <c r="D114" i="7"/>
  <c r="B22" i="9" s="1"/>
  <c r="E113" i="7"/>
  <c r="D113" i="7"/>
  <c r="E112" i="7"/>
  <c r="D112" i="7"/>
  <c r="B20" i="9" s="1"/>
  <c r="E111" i="7"/>
  <c r="D111" i="7"/>
  <c r="B19" i="9" s="1"/>
  <c r="E110" i="7"/>
  <c r="D110" i="7"/>
  <c r="E109" i="7"/>
  <c r="D109" i="7"/>
  <c r="B17" i="9" s="1"/>
  <c r="E108" i="7"/>
  <c r="D108" i="7"/>
  <c r="B16" i="9" s="1"/>
  <c r="E107" i="7"/>
  <c r="D107" i="7"/>
  <c r="E106" i="7"/>
  <c r="D106" i="7"/>
  <c r="B14" i="9" s="1"/>
  <c r="E105" i="7"/>
  <c r="D105" i="7"/>
  <c r="B13" i="9" s="1"/>
  <c r="E104" i="7"/>
  <c r="D104" i="7"/>
  <c r="E103" i="7"/>
  <c r="D103" i="7"/>
  <c r="B11" i="9" s="1"/>
  <c r="E102" i="7"/>
  <c r="D102" i="7"/>
  <c r="B10" i="9" s="1"/>
  <c r="E101" i="7"/>
  <c r="D101" i="7"/>
  <c r="E100" i="7"/>
  <c r="D100" i="7"/>
  <c r="B8" i="9" s="1"/>
  <c r="E99" i="7"/>
  <c r="D99" i="7"/>
  <c r="B7" i="9" s="1"/>
  <c r="E98" i="7"/>
  <c r="D98" i="7"/>
  <c r="E97" i="7"/>
  <c r="D97" i="7"/>
  <c r="B5" i="9" s="1"/>
  <c r="E95" i="7"/>
  <c r="D95" i="7"/>
  <c r="B84" i="10" s="1"/>
  <c r="J84" i="10" s="1"/>
  <c r="E94" i="7"/>
  <c r="D94" i="7"/>
  <c r="B83" i="10" s="1"/>
  <c r="J83" i="10" s="1"/>
  <c r="E93" i="7"/>
  <c r="D93" i="7"/>
  <c r="B82" i="10" s="1"/>
  <c r="J82" i="10" s="1"/>
  <c r="E92" i="7"/>
  <c r="D92" i="7"/>
  <c r="B81" i="10" s="1"/>
  <c r="J81" i="10" s="1"/>
  <c r="E91" i="7"/>
  <c r="D91" i="7"/>
  <c r="B80" i="10" s="1"/>
  <c r="J80" i="10" s="1"/>
  <c r="E90" i="7"/>
  <c r="D90" i="7"/>
  <c r="B79" i="10" s="1"/>
  <c r="J79" i="10" s="1"/>
  <c r="E89" i="7"/>
  <c r="D89" i="7"/>
  <c r="B78" i="10" s="1"/>
  <c r="J78" i="10" s="1"/>
  <c r="E88" i="7"/>
  <c r="D88" i="7"/>
  <c r="B77" i="10" s="1"/>
  <c r="J77" i="10" s="1"/>
  <c r="E87" i="7"/>
  <c r="D87" i="7"/>
  <c r="B76" i="10" s="1"/>
  <c r="J76" i="10" s="1"/>
  <c r="E86" i="7"/>
  <c r="D86" i="7"/>
  <c r="B75" i="10" s="1"/>
  <c r="J75" i="10" s="1"/>
  <c r="E85" i="7"/>
  <c r="D85" i="7"/>
  <c r="B74" i="10" s="1"/>
  <c r="J74" i="10" s="1"/>
  <c r="E84" i="7"/>
  <c r="D84" i="7"/>
  <c r="B73" i="10" s="1"/>
  <c r="J73" i="10" s="1"/>
  <c r="E83" i="7"/>
  <c r="D83" i="7"/>
  <c r="B72" i="10" s="1"/>
  <c r="J72" i="10" s="1"/>
  <c r="E82" i="7"/>
  <c r="D82" i="7"/>
  <c r="B71" i="10" s="1"/>
  <c r="J71" i="10" s="1"/>
  <c r="E81" i="7"/>
  <c r="D81" i="7"/>
  <c r="B70" i="10" s="1"/>
  <c r="J70" i="10" s="1"/>
  <c r="E80" i="7"/>
  <c r="D80" i="7"/>
  <c r="B69" i="10" s="1"/>
  <c r="J69" i="10" s="1"/>
  <c r="E79" i="7"/>
  <c r="D79" i="7"/>
  <c r="B68" i="10" s="1"/>
  <c r="J68" i="10" s="1"/>
  <c r="E78" i="7"/>
  <c r="D78" i="7"/>
  <c r="B67" i="10" s="1"/>
  <c r="J67" i="10" s="1"/>
  <c r="E77" i="7"/>
  <c r="D77" i="7"/>
  <c r="B66" i="10" s="1"/>
  <c r="J66" i="10" s="1"/>
  <c r="E76" i="7"/>
  <c r="D76" i="7"/>
  <c r="B65" i="10" s="1"/>
  <c r="J65" i="10" s="1"/>
  <c r="E75" i="7"/>
  <c r="D75" i="7"/>
  <c r="B64" i="10" s="1"/>
  <c r="J64" i="10" s="1"/>
  <c r="E74" i="7"/>
  <c r="D74" i="7"/>
  <c r="B63" i="10" s="1"/>
  <c r="J63" i="10" s="1"/>
  <c r="E73" i="7"/>
  <c r="D73" i="7"/>
  <c r="B62" i="10" s="1"/>
  <c r="J62" i="10" s="1"/>
  <c r="E72" i="7"/>
  <c r="D72" i="7"/>
  <c r="B61" i="10" s="1"/>
  <c r="J61" i="10" s="1"/>
  <c r="E71" i="7"/>
  <c r="D71" i="7"/>
  <c r="B60" i="10" s="1"/>
  <c r="J60" i="10" s="1"/>
  <c r="E70" i="7"/>
  <c r="D70" i="7"/>
  <c r="B59" i="10" s="1"/>
  <c r="J59" i="10" s="1"/>
  <c r="E69" i="7"/>
  <c r="D69" i="7"/>
  <c r="B58" i="10" s="1"/>
  <c r="J58" i="10" s="1"/>
  <c r="E68" i="7"/>
  <c r="D68" i="7"/>
  <c r="B57" i="10" s="1"/>
  <c r="J57" i="10" s="1"/>
  <c r="E67" i="7"/>
  <c r="D67" i="7"/>
  <c r="B56" i="10" s="1"/>
  <c r="J56" i="10" s="1"/>
  <c r="E66" i="7"/>
  <c r="D66" i="7"/>
  <c r="B55" i="10" s="1"/>
  <c r="J55" i="10" s="1"/>
  <c r="E65" i="7"/>
  <c r="D65" i="7"/>
  <c r="B54" i="10" s="1"/>
  <c r="J54" i="10" s="1"/>
  <c r="E64" i="7"/>
  <c r="D64" i="7"/>
  <c r="B53" i="10" s="1"/>
  <c r="J53" i="10" s="1"/>
  <c r="E63" i="7"/>
  <c r="D63" i="7"/>
  <c r="B52" i="10" s="1"/>
  <c r="J52" i="10" s="1"/>
  <c r="E62" i="7"/>
  <c r="D62" i="7"/>
  <c r="B51" i="10" s="1"/>
  <c r="J51" i="10" s="1"/>
  <c r="E61" i="7"/>
  <c r="D61" i="7"/>
  <c r="B50" i="10" s="1"/>
  <c r="J50" i="10" s="1"/>
  <c r="E60" i="7"/>
  <c r="D60" i="7"/>
  <c r="B49" i="10" s="1"/>
  <c r="J49" i="10" s="1"/>
  <c r="E59" i="7"/>
  <c r="D59" i="7"/>
  <c r="B48" i="10" s="1"/>
  <c r="J48" i="10" s="1"/>
  <c r="E58" i="7"/>
  <c r="D58" i="7"/>
  <c r="B47" i="10" s="1"/>
  <c r="J47" i="10" s="1"/>
  <c r="E57" i="7"/>
  <c r="D57" i="7"/>
  <c r="B46" i="10" s="1"/>
  <c r="J46" i="10" s="1"/>
  <c r="E56" i="7"/>
  <c r="D56" i="7"/>
  <c r="B45" i="10" s="1"/>
  <c r="J45" i="10" s="1"/>
  <c r="E55" i="7"/>
  <c r="D55" i="7"/>
  <c r="B44" i="10" s="1"/>
  <c r="J44" i="10" s="1"/>
  <c r="E54" i="7"/>
  <c r="D54" i="7"/>
  <c r="B43" i="10" s="1"/>
  <c r="J43" i="10" s="1"/>
  <c r="E53" i="7"/>
  <c r="D53" i="7"/>
  <c r="E52" i="7"/>
  <c r="D52" i="7"/>
  <c r="E51" i="7"/>
  <c r="D51" i="7"/>
  <c r="E50" i="7"/>
  <c r="D50" i="7"/>
  <c r="E49" i="7"/>
  <c r="D49" i="7"/>
  <c r="E48" i="7"/>
  <c r="D48" i="7"/>
  <c r="E47" i="7"/>
  <c r="D47" i="7"/>
  <c r="E46" i="7"/>
  <c r="D46" i="7"/>
  <c r="E45" i="7"/>
  <c r="D45" i="7"/>
  <c r="E44" i="7"/>
  <c r="D44" i="7"/>
  <c r="E43" i="7"/>
  <c r="D43" i="7"/>
  <c r="E42" i="7"/>
  <c r="D42" i="7"/>
  <c r="E41" i="7"/>
  <c r="D41" i="7"/>
  <c r="E40" i="7"/>
  <c r="D40" i="7"/>
  <c r="B42" i="10" s="1"/>
  <c r="J42" i="10" s="1"/>
  <c r="E39" i="7"/>
  <c r="D39" i="7"/>
  <c r="B41" i="10" s="1"/>
  <c r="J41" i="10" s="1"/>
  <c r="E38" i="7"/>
  <c r="D38" i="7"/>
  <c r="B40" i="10" s="1"/>
  <c r="J40" i="10" s="1"/>
  <c r="E37" i="7"/>
  <c r="D37" i="7"/>
  <c r="B39" i="10" s="1"/>
  <c r="J39" i="10" s="1"/>
  <c r="E36" i="7"/>
  <c r="D36" i="7"/>
  <c r="B38" i="10" s="1"/>
  <c r="J38" i="10" s="1"/>
  <c r="E35" i="7"/>
  <c r="D35" i="7"/>
  <c r="B37" i="10" s="1"/>
  <c r="J37" i="10" s="1"/>
  <c r="E34" i="7"/>
  <c r="D34" i="7"/>
  <c r="B36" i="10" s="1"/>
  <c r="J36" i="10" s="1"/>
  <c r="E33" i="7"/>
  <c r="D33" i="7"/>
  <c r="B35" i="10" s="1"/>
  <c r="J35" i="10" s="1"/>
  <c r="E32" i="7"/>
  <c r="D32" i="7"/>
  <c r="B34" i="10" s="1"/>
  <c r="J34" i="10" s="1"/>
  <c r="E31" i="7"/>
  <c r="D31" i="7"/>
  <c r="B33" i="10" s="1"/>
  <c r="J33" i="10" s="1"/>
  <c r="E30" i="7"/>
  <c r="D30" i="7"/>
  <c r="B32" i="10" s="1"/>
  <c r="J32" i="10" s="1"/>
  <c r="E29" i="7"/>
  <c r="D29" i="7"/>
  <c r="B31" i="10" s="1"/>
  <c r="J31" i="10" s="1"/>
  <c r="E28" i="7"/>
  <c r="D28" i="7"/>
  <c r="B30" i="10" s="1"/>
  <c r="J30" i="10" s="1"/>
  <c r="E27" i="7"/>
  <c r="D27" i="7"/>
  <c r="B29" i="10" s="1"/>
  <c r="J29" i="10" s="1"/>
  <c r="E26" i="7"/>
  <c r="D26" i="7"/>
  <c r="B28" i="10" s="1"/>
  <c r="E25" i="7"/>
  <c r="D25" i="7"/>
  <c r="B27" i="10" s="1"/>
  <c r="J27" i="10" s="1"/>
  <c r="E24" i="7"/>
  <c r="D24" i="7"/>
  <c r="B26" i="10" s="1"/>
  <c r="J26" i="10" s="1"/>
  <c r="E23" i="7"/>
  <c r="D23" i="7"/>
  <c r="B25" i="10" s="1"/>
  <c r="J25" i="10" s="1"/>
  <c r="E22" i="7"/>
  <c r="D22" i="7"/>
  <c r="B24" i="10" s="1"/>
  <c r="J24" i="10" s="1"/>
  <c r="E21" i="7"/>
  <c r="D21" i="7"/>
  <c r="B23" i="10" s="1"/>
  <c r="J23" i="10" s="1"/>
  <c r="E20" i="7"/>
  <c r="D20" i="7"/>
  <c r="B22" i="10" s="1"/>
  <c r="J22" i="10" s="1"/>
  <c r="E19" i="7"/>
  <c r="D19" i="7"/>
  <c r="B21" i="10" s="1"/>
  <c r="J21" i="10" s="1"/>
  <c r="E18" i="7"/>
  <c r="D18" i="7"/>
  <c r="B20" i="10" s="1"/>
  <c r="J20" i="10" s="1"/>
  <c r="E17" i="7"/>
  <c r="D17" i="7"/>
  <c r="B19" i="10" s="1"/>
  <c r="J19" i="10" s="1"/>
  <c r="E16" i="7"/>
  <c r="D16" i="7"/>
  <c r="B18" i="10" s="1"/>
  <c r="J18" i="10" s="1"/>
  <c r="E15" i="7"/>
  <c r="D15" i="7"/>
  <c r="B17" i="10" s="1"/>
  <c r="J17" i="10" s="1"/>
  <c r="E14" i="7"/>
  <c r="D14" i="7"/>
  <c r="B16" i="10" s="1"/>
  <c r="J16" i="10" s="1"/>
  <c r="E13" i="7"/>
  <c r="D13" i="7"/>
  <c r="B15" i="10" s="1"/>
  <c r="J15" i="10" s="1"/>
  <c r="E12" i="7"/>
  <c r="D12" i="7"/>
  <c r="B14" i="10" s="1"/>
  <c r="J14" i="10" s="1"/>
  <c r="E11" i="7"/>
  <c r="D11" i="7"/>
  <c r="B13" i="10" s="1"/>
  <c r="J13" i="10" s="1"/>
  <c r="E10" i="7"/>
  <c r="D10" i="7"/>
  <c r="B12" i="10" s="1"/>
  <c r="J12" i="10" s="1"/>
  <c r="E9" i="7"/>
  <c r="D9" i="7"/>
  <c r="B11" i="10" s="1"/>
  <c r="J11" i="10" s="1"/>
  <c r="E8" i="7"/>
  <c r="D8" i="7"/>
  <c r="B10" i="10" s="1"/>
  <c r="J10" i="10" s="1"/>
  <c r="E7" i="7"/>
  <c r="D7" i="7"/>
  <c r="B9" i="10" s="1"/>
  <c r="J9" i="10" s="1"/>
  <c r="E6" i="7"/>
  <c r="D6" i="7"/>
  <c r="B8" i="10" s="1"/>
  <c r="J8" i="10" s="1"/>
  <c r="E5" i="7"/>
  <c r="D5" i="7"/>
  <c r="B7" i="10" s="1"/>
  <c r="AG28" i="10" l="1"/>
  <c r="S42" i="10"/>
  <c r="J7" i="10"/>
  <c r="M8" i="10"/>
  <c r="AB25" i="10"/>
  <c r="V25" i="10"/>
  <c r="L36" i="10"/>
  <c r="AD36" i="10"/>
  <c r="Z14" i="10"/>
  <c r="N14" i="10"/>
  <c r="Y14" i="10"/>
  <c r="M14" i="10"/>
  <c r="X14" i="10"/>
  <c r="L14" i="10"/>
  <c r="V14" i="10"/>
  <c r="AG14" i="10"/>
  <c r="U14" i="10"/>
  <c r="AF14" i="10"/>
  <c r="T14" i="10"/>
  <c r="AE14" i="10"/>
  <c r="S14" i="10"/>
  <c r="AD14" i="10"/>
  <c r="R14" i="10"/>
  <c r="AC14" i="10"/>
  <c r="Q14" i="10"/>
  <c r="O14" i="10"/>
  <c r="K14" i="10"/>
  <c r="AA14" i="10"/>
  <c r="AB14" i="10"/>
  <c r="W14" i="10"/>
  <c r="P14" i="10"/>
  <c r="AF20" i="10"/>
  <c r="T20" i="10"/>
  <c r="AE20" i="10"/>
  <c r="S20" i="10"/>
  <c r="AD20" i="10"/>
  <c r="R20" i="10"/>
  <c r="AC20" i="10"/>
  <c r="Q20" i="10"/>
  <c r="AB20" i="10"/>
  <c r="P20" i="10"/>
  <c r="AA20" i="10"/>
  <c r="O20" i="10"/>
  <c r="Z20" i="10"/>
  <c r="N20" i="10"/>
  <c r="Y20" i="10"/>
  <c r="M20" i="10"/>
  <c r="X20" i="10"/>
  <c r="L20" i="10"/>
  <c r="W20" i="10"/>
  <c r="K20" i="10"/>
  <c r="U20" i="10"/>
  <c r="AG20" i="10"/>
  <c r="V20" i="10"/>
  <c r="AD44" i="10"/>
  <c r="V44" i="10"/>
  <c r="Q56" i="10"/>
  <c r="N56" i="10"/>
  <c r="L24" i="10"/>
  <c r="T40" i="10"/>
  <c r="AD11" i="10"/>
  <c r="R11" i="10"/>
  <c r="AC11" i="10"/>
  <c r="Y11" i="10"/>
  <c r="AE8" i="10"/>
  <c r="S8" i="10"/>
  <c r="AD8" i="10"/>
  <c r="R8" i="10"/>
  <c r="AC8" i="10"/>
  <c r="Q8" i="10"/>
  <c r="Z8" i="10"/>
  <c r="N8" i="10"/>
  <c r="X8" i="10"/>
  <c r="L8" i="10"/>
  <c r="W8" i="10"/>
  <c r="K8" i="10"/>
  <c r="V8" i="10"/>
  <c r="Z26" i="10"/>
  <c r="N26" i="10"/>
  <c r="Y26" i="10"/>
  <c r="M26" i="10"/>
  <c r="X26" i="10"/>
  <c r="L26" i="10"/>
  <c r="W26" i="10"/>
  <c r="K26" i="10"/>
  <c r="V26" i="10"/>
  <c r="AG26" i="10"/>
  <c r="U26" i="10"/>
  <c r="AF26" i="10"/>
  <c r="T26" i="10"/>
  <c r="AE26" i="10"/>
  <c r="S26" i="10"/>
  <c r="AD26" i="10"/>
  <c r="R26" i="10"/>
  <c r="AC26" i="10"/>
  <c r="Q26" i="10"/>
  <c r="AE43" i="10"/>
  <c r="U43" i="10"/>
  <c r="M49" i="10"/>
  <c r="AD49" i="10"/>
  <c r="Q49" i="10"/>
  <c r="R62" i="10"/>
  <c r="AF62" i="10"/>
  <c r="AG68" i="10"/>
  <c r="U68" i="10"/>
  <c r="L68" i="10"/>
  <c r="AB68" i="10"/>
  <c r="X80" i="10"/>
  <c r="L80" i="10"/>
  <c r="AE80" i="10"/>
  <c r="R80" i="10"/>
  <c r="P80" i="10"/>
  <c r="Z80" i="10"/>
  <c r="G7" i="12"/>
  <c r="C7" i="12"/>
  <c r="C13" i="12"/>
  <c r="G14" i="12"/>
  <c r="D17" i="10"/>
  <c r="C17" i="10" s="1"/>
  <c r="AA17" i="10" s="1"/>
  <c r="C19" i="12"/>
  <c r="G20" i="12"/>
  <c r="D23" i="10"/>
  <c r="C23" i="10" s="1"/>
  <c r="L23" i="10" s="1"/>
  <c r="C25" i="12"/>
  <c r="G27" i="12"/>
  <c r="D30" i="10"/>
  <c r="C30" i="10" s="1"/>
  <c r="AA30" i="10" s="1"/>
  <c r="G33" i="12"/>
  <c r="C31" i="12"/>
  <c r="D36" i="10"/>
  <c r="C36" i="10" s="1"/>
  <c r="W36" i="10" s="1"/>
  <c r="D42" i="10"/>
  <c r="C42" i="10" s="1"/>
  <c r="C36" i="12"/>
  <c r="G38" i="12"/>
  <c r="C42" i="12"/>
  <c r="G44" i="12"/>
  <c r="D48" i="10"/>
  <c r="C48" i="10" s="1"/>
  <c r="G49" i="12"/>
  <c r="D54" i="10"/>
  <c r="C54" i="10" s="1"/>
  <c r="C47" i="12"/>
  <c r="C53" i="12"/>
  <c r="G55" i="12"/>
  <c r="D60" i="10"/>
  <c r="C60" i="10" s="1"/>
  <c r="C59" i="12"/>
  <c r="G61" i="12"/>
  <c r="D66" i="10"/>
  <c r="C66" i="10" s="1"/>
  <c r="D72" i="10"/>
  <c r="C72" i="10" s="1"/>
  <c r="C65" i="12"/>
  <c r="G67" i="12"/>
  <c r="C71" i="12"/>
  <c r="G73" i="12"/>
  <c r="D78" i="10"/>
  <c r="C78" i="10" s="1"/>
  <c r="G79" i="12"/>
  <c r="D84" i="10"/>
  <c r="C84" i="10" s="1"/>
  <c r="C77" i="12"/>
  <c r="C8" i="12"/>
  <c r="G8" i="12"/>
  <c r="D11" i="10"/>
  <c r="C11" i="10" s="1"/>
  <c r="AB11" i="10" s="1"/>
  <c r="C14" i="12"/>
  <c r="G15" i="12"/>
  <c r="D18" i="10"/>
  <c r="C18" i="10" s="1"/>
  <c r="AB18" i="10" s="1"/>
  <c r="G21" i="12"/>
  <c r="C20" i="12"/>
  <c r="G28" i="12"/>
  <c r="C26" i="12"/>
  <c r="D31" i="10"/>
  <c r="C31" i="10" s="1"/>
  <c r="M31" i="10" s="1"/>
  <c r="C32" i="12"/>
  <c r="D37" i="10"/>
  <c r="C37" i="10" s="1"/>
  <c r="G34" i="12"/>
  <c r="C37" i="12"/>
  <c r="G39" i="12"/>
  <c r="D43" i="10"/>
  <c r="C43" i="10" s="1"/>
  <c r="Q43" i="10" s="1"/>
  <c r="G45" i="12"/>
  <c r="C43" i="12"/>
  <c r="D49" i="10"/>
  <c r="C49" i="10" s="1"/>
  <c r="Y49" i="10" s="1"/>
  <c r="G50" i="12"/>
  <c r="C48" i="12"/>
  <c r="D55" i="10"/>
  <c r="C55" i="10" s="1"/>
  <c r="C54" i="12"/>
  <c r="G56" i="12"/>
  <c r="D61" i="10"/>
  <c r="C61" i="10" s="1"/>
  <c r="AG61" i="10" s="1"/>
  <c r="C60" i="12"/>
  <c r="G62" i="12"/>
  <c r="D67" i="10"/>
  <c r="C67" i="10" s="1"/>
  <c r="C66" i="12"/>
  <c r="G68" i="12"/>
  <c r="D73" i="10"/>
  <c r="C73" i="10" s="1"/>
  <c r="C72" i="12"/>
  <c r="G74" i="12"/>
  <c r="D79" i="10"/>
  <c r="C79" i="10" s="1"/>
  <c r="O8" i="10"/>
  <c r="P18" i="10"/>
  <c r="M23" i="10"/>
  <c r="U28" i="10"/>
  <c r="O42" i="10"/>
  <c r="P8" i="10"/>
  <c r="V28" i="10"/>
  <c r="N31" i="10"/>
  <c r="AE45" i="10"/>
  <c r="R69" i="10"/>
  <c r="W23" i="10"/>
  <c r="K23" i="10"/>
  <c r="V23" i="10"/>
  <c r="AG23" i="10"/>
  <c r="U23" i="10"/>
  <c r="AF23" i="10"/>
  <c r="T23" i="10"/>
  <c r="AE23" i="10"/>
  <c r="S23" i="10"/>
  <c r="AD23" i="10"/>
  <c r="R23" i="10"/>
  <c r="Q23" i="10"/>
  <c r="AB23" i="10"/>
  <c r="P23" i="10"/>
  <c r="AA23" i="10"/>
  <c r="O23" i="10"/>
  <c r="Z23" i="10"/>
  <c r="N23" i="10"/>
  <c r="O35" i="10"/>
  <c r="AA52" i="10"/>
  <c r="O52" i="10"/>
  <c r="W52" i="10"/>
  <c r="V52" i="10"/>
  <c r="U52" i="10"/>
  <c r="AG52" i="10"/>
  <c r="T52" i="10"/>
  <c r="AF52" i="10"/>
  <c r="S52" i="10"/>
  <c r="AE52" i="10"/>
  <c r="R52" i="10"/>
  <c r="AD52" i="10"/>
  <c r="Q52" i="10"/>
  <c r="AC52" i="10"/>
  <c r="P52" i="10"/>
  <c r="AB52" i="10"/>
  <c r="N52" i="10"/>
  <c r="Z52" i="10"/>
  <c r="M52" i="10"/>
  <c r="Y52" i="10"/>
  <c r="L52" i="10"/>
  <c r="X52" i="10"/>
  <c r="K52" i="10"/>
  <c r="V58" i="10"/>
  <c r="U58" i="10"/>
  <c r="L82" i="10"/>
  <c r="K82" i="10"/>
  <c r="G9" i="12"/>
  <c r="C9" i="12"/>
  <c r="C15" i="12"/>
  <c r="G16" i="12"/>
  <c r="D19" i="10"/>
  <c r="C19" i="10" s="1"/>
  <c r="M19" i="10" s="1"/>
  <c r="C21" i="12"/>
  <c r="G22" i="12"/>
  <c r="D25" i="10"/>
  <c r="C25" i="10" s="1"/>
  <c r="P25" i="10" s="1"/>
  <c r="C27" i="12"/>
  <c r="G29" i="12"/>
  <c r="D32" i="10"/>
  <c r="C32" i="10" s="1"/>
  <c r="G35" i="12"/>
  <c r="C33" i="12"/>
  <c r="D38" i="10"/>
  <c r="C38" i="10" s="1"/>
  <c r="G40" i="12"/>
  <c r="C38" i="12"/>
  <c r="D44" i="10"/>
  <c r="C44" i="10" s="1"/>
  <c r="Q44" i="10" s="1"/>
  <c r="G46" i="12"/>
  <c r="D50" i="10"/>
  <c r="C50" i="10" s="1"/>
  <c r="T50" i="10" s="1"/>
  <c r="C44" i="12"/>
  <c r="G51" i="12"/>
  <c r="D56" i="10"/>
  <c r="C56" i="10" s="1"/>
  <c r="W56" i="10" s="1"/>
  <c r="C49" i="12"/>
  <c r="C55" i="12"/>
  <c r="G57" i="12"/>
  <c r="D62" i="10"/>
  <c r="C62" i="10" s="1"/>
  <c r="Z62" i="10" s="1"/>
  <c r="D68" i="10"/>
  <c r="C68" i="10" s="1"/>
  <c r="AF68" i="10" s="1"/>
  <c r="C61" i="12"/>
  <c r="G63" i="12"/>
  <c r="C67" i="12"/>
  <c r="D74" i="10"/>
  <c r="C74" i="10" s="1"/>
  <c r="G69" i="12"/>
  <c r="D80" i="10"/>
  <c r="C80" i="10" s="1"/>
  <c r="AG80" i="10" s="1"/>
  <c r="C73" i="12"/>
  <c r="G75" i="12"/>
  <c r="T8" i="10"/>
  <c r="Y23" i="10"/>
  <c r="O26" i="10"/>
  <c r="Z31" i="10"/>
  <c r="AG34" i="10"/>
  <c r="O34" i="10"/>
  <c r="AA40" i="10"/>
  <c r="O40" i="10"/>
  <c r="AC40" i="10"/>
  <c r="P40" i="10"/>
  <c r="Y40" i="10"/>
  <c r="L40" i="10"/>
  <c r="X40" i="10"/>
  <c r="K40" i="10"/>
  <c r="W40" i="10"/>
  <c r="R40" i="10"/>
  <c r="Q40" i="10"/>
  <c r="AG40" i="10"/>
  <c r="N40" i="10"/>
  <c r="AF40" i="10"/>
  <c r="M40" i="10"/>
  <c r="AE40" i="10"/>
  <c r="AD40" i="10"/>
  <c r="AB40" i="10"/>
  <c r="Z40" i="10"/>
  <c r="V40" i="10"/>
  <c r="U40" i="10"/>
  <c r="AC57" i="10"/>
  <c r="Q57" i="10"/>
  <c r="L57" i="10"/>
  <c r="W63" i="10"/>
  <c r="N63" i="10"/>
  <c r="M63" i="10"/>
  <c r="AF46" i="10"/>
  <c r="S46" i="10"/>
  <c r="L64" i="10"/>
  <c r="Z64" i="10"/>
  <c r="Z70" i="10"/>
  <c r="N70" i="10"/>
  <c r="AF70" i="10"/>
  <c r="AD70" i="10"/>
  <c r="N76" i="10"/>
  <c r="U8" i="10"/>
  <c r="D24" i="10"/>
  <c r="C24" i="10" s="1"/>
  <c r="P26" i="10"/>
  <c r="AF22" i="10"/>
  <c r="T22" i="10"/>
  <c r="U51" i="10"/>
  <c r="AG51" i="10"/>
  <c r="M51" i="10"/>
  <c r="Y51" i="10"/>
  <c r="AD30" i="10"/>
  <c r="Z30" i="10"/>
  <c r="N30" i="10"/>
  <c r="Y30" i="10"/>
  <c r="M30" i="10"/>
  <c r="X30" i="10"/>
  <c r="L30" i="10"/>
  <c r="W30" i="10"/>
  <c r="K30" i="10"/>
  <c r="V30" i="10"/>
  <c r="U30" i="10"/>
  <c r="AG30" i="10"/>
  <c r="T30" i="10"/>
  <c r="AF30" i="10"/>
  <c r="S30" i="10"/>
  <c r="AE30" i="10"/>
  <c r="R30" i="10"/>
  <c r="AC30" i="10"/>
  <c r="Q30" i="10"/>
  <c r="AG42" i="10"/>
  <c r="U42" i="10"/>
  <c r="AE42" i="10"/>
  <c r="R42" i="10"/>
  <c r="AD42" i="10"/>
  <c r="Q42" i="10"/>
  <c r="AC42" i="10"/>
  <c r="P42" i="10"/>
  <c r="AA42" i="10"/>
  <c r="N42" i="10"/>
  <c r="Z42" i="10"/>
  <c r="M42" i="10"/>
  <c r="X42" i="10"/>
  <c r="K42" i="10"/>
  <c r="W42" i="10"/>
  <c r="V42" i="10"/>
  <c r="L42" i="10"/>
  <c r="AF42" i="10"/>
  <c r="AB42" i="10"/>
  <c r="Y42" i="10"/>
  <c r="T42" i="10"/>
  <c r="Y47" i="10"/>
  <c r="L47" i="10"/>
  <c r="P47" i="10"/>
  <c r="U47" i="10"/>
  <c r="W59" i="10"/>
  <c r="U59" i="10"/>
  <c r="T59" i="10"/>
  <c r="AD65" i="10"/>
  <c r="R65" i="10"/>
  <c r="V65" i="10"/>
  <c r="AF65" i="10"/>
  <c r="M65" i="10"/>
  <c r="Z65" i="10"/>
  <c r="L71" i="10"/>
  <c r="W71" i="10"/>
  <c r="Q71" i="10"/>
  <c r="M71" i="10"/>
  <c r="AD71" i="10"/>
  <c r="U71" i="10"/>
  <c r="AD77" i="10"/>
  <c r="Y77" i="10"/>
  <c r="AD83" i="10"/>
  <c r="R83" i="10"/>
  <c r="AB83" i="10"/>
  <c r="P83" i="10"/>
  <c r="AA83" i="10"/>
  <c r="O83" i="10"/>
  <c r="X83" i="10"/>
  <c r="L83" i="10"/>
  <c r="W83" i="10"/>
  <c r="K83" i="10"/>
  <c r="V83" i="10"/>
  <c r="Q83" i="10"/>
  <c r="N83" i="10"/>
  <c r="M83" i="10"/>
  <c r="Z83" i="10"/>
  <c r="U83" i="10"/>
  <c r="AG83" i="10"/>
  <c r="AF83" i="10"/>
  <c r="AE83" i="10"/>
  <c r="AC83" i="10"/>
  <c r="Y83" i="10"/>
  <c r="T83" i="10"/>
  <c r="S83" i="10"/>
  <c r="G4" i="12"/>
  <c r="D7" i="10"/>
  <c r="C7" i="10" s="1"/>
  <c r="C4" i="12"/>
  <c r="C10" i="12"/>
  <c r="G10" i="12"/>
  <c r="D13" i="10"/>
  <c r="C13" i="10" s="1"/>
  <c r="G17" i="12"/>
  <c r="C16" i="12"/>
  <c r="G24" i="12"/>
  <c r="C22" i="12"/>
  <c r="D27" i="10"/>
  <c r="C27" i="10" s="1"/>
  <c r="R27" i="10" s="1"/>
  <c r="G30" i="12"/>
  <c r="C28" i="12"/>
  <c r="D33" i="10"/>
  <c r="C33" i="10" s="1"/>
  <c r="G36" i="12"/>
  <c r="C34" i="12"/>
  <c r="C39" i="12"/>
  <c r="G41" i="12"/>
  <c r="D45" i="10"/>
  <c r="C45" i="10" s="1"/>
  <c r="X45" i="10" s="1"/>
  <c r="G47" i="12"/>
  <c r="C45" i="12"/>
  <c r="D51" i="10"/>
  <c r="C51" i="10" s="1"/>
  <c r="AD51" i="10" s="1"/>
  <c r="G52" i="12"/>
  <c r="C50" i="12"/>
  <c r="D57" i="10"/>
  <c r="C57" i="10" s="1"/>
  <c r="O57" i="10" s="1"/>
  <c r="C56" i="12"/>
  <c r="G58" i="12"/>
  <c r="D63" i="10"/>
  <c r="C63" i="10" s="1"/>
  <c r="C62" i="12"/>
  <c r="G64" i="12"/>
  <c r="D69" i="10"/>
  <c r="C69" i="10" s="1"/>
  <c r="W69" i="10" s="1"/>
  <c r="C68" i="12"/>
  <c r="G70" i="12"/>
  <c r="D75" i="10"/>
  <c r="C75" i="10" s="1"/>
  <c r="R75" i="10" s="1"/>
  <c r="D81" i="10"/>
  <c r="C81" i="10" s="1"/>
  <c r="C74" i="12"/>
  <c r="G76" i="12"/>
  <c r="Y8" i="10"/>
  <c r="AA26" i="10"/>
  <c r="M32" i="10"/>
  <c r="R35" i="10"/>
  <c r="D39" i="10"/>
  <c r="C39" i="10" s="1"/>
  <c r="R39" i="10" s="1"/>
  <c r="Z18" i="10"/>
  <c r="N18" i="10"/>
  <c r="Y18" i="10"/>
  <c r="M18" i="10"/>
  <c r="X18" i="10"/>
  <c r="L18" i="10"/>
  <c r="V18" i="10"/>
  <c r="AG18" i="10"/>
  <c r="U18" i="10"/>
  <c r="AF18" i="10"/>
  <c r="T18" i="10"/>
  <c r="AE18" i="10"/>
  <c r="S18" i="10"/>
  <c r="AD18" i="10"/>
  <c r="R18" i="10"/>
  <c r="AC18" i="10"/>
  <c r="Q18" i="10"/>
  <c r="AA8" i="10"/>
  <c r="L19" i="10"/>
  <c r="AB26" i="10"/>
  <c r="N32" i="10"/>
  <c r="S35" i="10"/>
  <c r="AA48" i="10"/>
  <c r="O48" i="10"/>
  <c r="Z48" i="10"/>
  <c r="M48" i="10"/>
  <c r="Y48" i="10"/>
  <c r="L48" i="10"/>
  <c r="X48" i="10"/>
  <c r="K48" i="10"/>
  <c r="W48" i="10"/>
  <c r="V48" i="10"/>
  <c r="U48" i="10"/>
  <c r="AF48" i="10"/>
  <c r="S48" i="10"/>
  <c r="AE48" i="10"/>
  <c r="R48" i="10"/>
  <c r="AD48" i="10"/>
  <c r="Q48" i="10"/>
  <c r="AC48" i="10"/>
  <c r="P48" i="10"/>
  <c r="AG48" i="10"/>
  <c r="AB48" i="10"/>
  <c r="T48" i="10"/>
  <c r="N48" i="10"/>
  <c r="AF60" i="10"/>
  <c r="T60" i="10"/>
  <c r="AA60" i="10"/>
  <c r="N60" i="10"/>
  <c r="AC60" i="10"/>
  <c r="O60" i="10"/>
  <c r="AB60" i="10"/>
  <c r="M60" i="10"/>
  <c r="Z60" i="10"/>
  <c r="L60" i="10"/>
  <c r="Y60" i="10"/>
  <c r="K60" i="10"/>
  <c r="X60" i="10"/>
  <c r="W60" i="10"/>
  <c r="V60" i="10"/>
  <c r="U60" i="10"/>
  <c r="S60" i="10"/>
  <c r="AG60" i="10"/>
  <c r="R60" i="10"/>
  <c r="AE60" i="10"/>
  <c r="Q60" i="10"/>
  <c r="AD60" i="10"/>
  <c r="P60" i="10"/>
  <c r="AG72" i="10"/>
  <c r="U72" i="10"/>
  <c r="AF72" i="10"/>
  <c r="T72" i="10"/>
  <c r="AE72" i="10"/>
  <c r="S72" i="10"/>
  <c r="Y72" i="10"/>
  <c r="W72" i="10"/>
  <c r="AD72" i="10"/>
  <c r="O72" i="10"/>
  <c r="AC72" i="10"/>
  <c r="K72" i="10"/>
  <c r="AB72" i="10"/>
  <c r="AA72" i="10"/>
  <c r="Z72" i="10"/>
  <c r="X72" i="10"/>
  <c r="V72" i="10"/>
  <c r="R72" i="10"/>
  <c r="Q72" i="10"/>
  <c r="P72" i="10"/>
  <c r="N72" i="10"/>
  <c r="M72" i="10"/>
  <c r="L72" i="10"/>
  <c r="AE78" i="10"/>
  <c r="S78" i="10"/>
  <c r="AD78" i="10"/>
  <c r="R78" i="10"/>
  <c r="AA78" i="10"/>
  <c r="O78" i="10"/>
  <c r="Z78" i="10"/>
  <c r="N78" i="10"/>
  <c r="Y78" i="10"/>
  <c r="M78" i="10"/>
  <c r="W78" i="10"/>
  <c r="V78" i="10"/>
  <c r="U78" i="10"/>
  <c r="AG78" i="10"/>
  <c r="K78" i="10"/>
  <c r="AC78" i="10"/>
  <c r="AF78" i="10"/>
  <c r="AB78" i="10"/>
  <c r="X78" i="10"/>
  <c r="T78" i="10"/>
  <c r="Q78" i="10"/>
  <c r="P78" i="10"/>
  <c r="L78" i="10"/>
  <c r="AA84" i="10"/>
  <c r="O84" i="10"/>
  <c r="Y84" i="10"/>
  <c r="M84" i="10"/>
  <c r="X84" i="10"/>
  <c r="L84" i="10"/>
  <c r="W84" i="10"/>
  <c r="K84" i="10"/>
  <c r="AG84" i="10"/>
  <c r="U84" i="10"/>
  <c r="AF84" i="10"/>
  <c r="T84" i="10"/>
  <c r="AE84" i="10"/>
  <c r="S84" i="10"/>
  <c r="P84" i="10"/>
  <c r="N84" i="10"/>
  <c r="AD84" i="10"/>
  <c r="AB84" i="10"/>
  <c r="V84" i="10"/>
  <c r="AC84" i="10"/>
  <c r="Z84" i="10"/>
  <c r="R84" i="10"/>
  <c r="Q84" i="10"/>
  <c r="G5" i="12"/>
  <c r="C5" i="12"/>
  <c r="C11" i="12"/>
  <c r="G12" i="12"/>
  <c r="D15" i="10"/>
  <c r="C15" i="10" s="1"/>
  <c r="AG15" i="10" s="1"/>
  <c r="G18" i="12"/>
  <c r="C17" i="12"/>
  <c r="D21" i="10"/>
  <c r="C21" i="10" s="1"/>
  <c r="G25" i="12"/>
  <c r="C23" i="12"/>
  <c r="G31" i="12"/>
  <c r="C29" i="12"/>
  <c r="D34" i="10"/>
  <c r="C34" i="10" s="1"/>
  <c r="U34" i="10" s="1"/>
  <c r="D46" i="10"/>
  <c r="C46" i="10" s="1"/>
  <c r="G42" i="12"/>
  <c r="C40" i="12"/>
  <c r="C51" i="12"/>
  <c r="G53" i="12"/>
  <c r="D58" i="10"/>
  <c r="C58" i="10" s="1"/>
  <c r="AA58" i="10" s="1"/>
  <c r="C57" i="12"/>
  <c r="G59" i="12"/>
  <c r="D64" i="10"/>
  <c r="C64" i="10" s="1"/>
  <c r="S64" i="10" s="1"/>
  <c r="C63" i="12"/>
  <c r="G65" i="12"/>
  <c r="D70" i="10"/>
  <c r="C70" i="10" s="1"/>
  <c r="O70" i="10" s="1"/>
  <c r="C69" i="12"/>
  <c r="D76" i="10"/>
  <c r="C76" i="10" s="1"/>
  <c r="T76" i="10" s="1"/>
  <c r="G71" i="12"/>
  <c r="C75" i="12"/>
  <c r="G77" i="12"/>
  <c r="D82" i="10"/>
  <c r="C82" i="10" s="1"/>
  <c r="AD82" i="10" s="1"/>
  <c r="AB8" i="10"/>
  <c r="D12" i="10"/>
  <c r="C12" i="10" s="1"/>
  <c r="L12" i="10" s="1"/>
  <c r="Y15" i="10"/>
  <c r="M50" i="10"/>
  <c r="AF28" i="10"/>
  <c r="T28" i="10"/>
  <c r="AE28" i="10"/>
  <c r="S28" i="10"/>
  <c r="AD28" i="10"/>
  <c r="R28" i="10"/>
  <c r="AC28" i="10"/>
  <c r="Q28" i="10"/>
  <c r="AB28" i="10"/>
  <c r="P28" i="10"/>
  <c r="AA28" i="10"/>
  <c r="O28" i="10"/>
  <c r="Z28" i="10"/>
  <c r="N28" i="10"/>
  <c r="Y28" i="10"/>
  <c r="M28" i="10"/>
  <c r="X28" i="10"/>
  <c r="L28" i="10"/>
  <c r="W28" i="10"/>
  <c r="K28" i="10"/>
  <c r="Z33" i="10"/>
  <c r="W19" i="10"/>
  <c r="K19" i="10"/>
  <c r="V19" i="10"/>
  <c r="AG19" i="10"/>
  <c r="U19" i="10"/>
  <c r="AF19" i="10"/>
  <c r="T19" i="10"/>
  <c r="AE19" i="10"/>
  <c r="S19" i="10"/>
  <c r="AD19" i="10"/>
  <c r="R19" i="10"/>
  <c r="AC19" i="10"/>
  <c r="Q19" i="10"/>
  <c r="AB19" i="10"/>
  <c r="P19" i="10"/>
  <c r="AA19" i="10"/>
  <c r="O19" i="10"/>
  <c r="Z19" i="10"/>
  <c r="N19" i="10"/>
  <c r="AA31" i="10"/>
  <c r="O31" i="10"/>
  <c r="Y31" i="10"/>
  <c r="L31" i="10"/>
  <c r="X31" i="10"/>
  <c r="K31" i="10"/>
  <c r="W31" i="10"/>
  <c r="V31" i="10"/>
  <c r="U31" i="10"/>
  <c r="AG31" i="10"/>
  <c r="T31" i="10"/>
  <c r="AF31" i="10"/>
  <c r="S31" i="10"/>
  <c r="AE31" i="10"/>
  <c r="R31" i="10"/>
  <c r="AD31" i="10"/>
  <c r="Q31" i="10"/>
  <c r="AC31" i="10"/>
  <c r="P31" i="10"/>
  <c r="U37" i="10"/>
  <c r="AF37" i="10"/>
  <c r="K37" i="10"/>
  <c r="Q37" i="10"/>
  <c r="P37" i="10"/>
  <c r="AG54" i="10"/>
  <c r="U54" i="10"/>
  <c r="V54" i="10"/>
  <c r="T54" i="10"/>
  <c r="AF54" i="10"/>
  <c r="S54" i="10"/>
  <c r="AE54" i="10"/>
  <c r="R54" i="10"/>
  <c r="AD54" i="10"/>
  <c r="Q54" i="10"/>
  <c r="AC54" i="10"/>
  <c r="P54" i="10"/>
  <c r="AB54" i="10"/>
  <c r="O54" i="10"/>
  <c r="AA54" i="10"/>
  <c r="N54" i="10"/>
  <c r="Z54" i="10"/>
  <c r="M54" i="10"/>
  <c r="Y54" i="10"/>
  <c r="L54" i="10"/>
  <c r="X54" i="10"/>
  <c r="K54" i="10"/>
  <c r="W54" i="10"/>
  <c r="AA66" i="10"/>
  <c r="O66" i="10"/>
  <c r="Z66" i="10"/>
  <c r="N66" i="10"/>
  <c r="Y66" i="10"/>
  <c r="M66" i="10"/>
  <c r="AB66" i="10"/>
  <c r="W66" i="10"/>
  <c r="AE66" i="10"/>
  <c r="K66" i="10"/>
  <c r="AD66" i="10"/>
  <c r="AC66" i="10"/>
  <c r="X66" i="10"/>
  <c r="V66" i="10"/>
  <c r="U66" i="10"/>
  <c r="T66" i="10"/>
  <c r="S66" i="10"/>
  <c r="R66" i="10"/>
  <c r="Q66" i="10"/>
  <c r="AG66" i="10"/>
  <c r="P66" i="10"/>
  <c r="AF66" i="10"/>
  <c r="L66" i="10"/>
  <c r="AF8" i="10"/>
  <c r="AF15" i="10"/>
  <c r="X19" i="10"/>
  <c r="O22" i="10"/>
  <c r="Z50" i="10"/>
  <c r="L38" i="10"/>
  <c r="M38" i="10" s="1"/>
  <c r="N38" i="10" s="1"/>
  <c r="O38" i="10" s="1"/>
  <c r="P38" i="10" s="1"/>
  <c r="Q38" i="10" s="1"/>
  <c r="R38" i="10" s="1"/>
  <c r="S38" i="10" s="1"/>
  <c r="T38" i="10" s="1"/>
  <c r="U38" i="10" s="1"/>
  <c r="V38" i="10" s="1"/>
  <c r="W38" i="10" s="1"/>
  <c r="X38" i="10" s="1"/>
  <c r="Y38" i="10" s="1"/>
  <c r="Z38" i="10" s="1"/>
  <c r="AA38" i="10" s="1"/>
  <c r="AB38" i="10" s="1"/>
  <c r="AC38" i="10" s="1"/>
  <c r="AD38" i="10" s="1"/>
  <c r="AE38" i="10" s="1"/>
  <c r="AF38" i="10" s="1"/>
  <c r="AG38" i="10" s="1"/>
  <c r="K38" i="10"/>
  <c r="M61" i="10"/>
  <c r="X61" i="10"/>
  <c r="X67" i="10"/>
  <c r="L67" i="10"/>
  <c r="W67" i="10"/>
  <c r="K67" i="10"/>
  <c r="V67" i="10"/>
  <c r="AE67" i="10"/>
  <c r="P67" i="10"/>
  <c r="AC67" i="10"/>
  <c r="N67" i="10"/>
  <c r="U67" i="10"/>
  <c r="T67" i="10"/>
  <c r="S67" i="10"/>
  <c r="R67" i="10"/>
  <c r="Q67" i="10"/>
  <c r="AG67" i="10"/>
  <c r="O67" i="10"/>
  <c r="AF67" i="10"/>
  <c r="M67" i="10"/>
  <c r="AD67" i="10"/>
  <c r="AB67" i="10"/>
  <c r="AA67" i="10"/>
  <c r="Z67" i="10"/>
  <c r="Y67" i="10"/>
  <c r="AD73" i="10"/>
  <c r="R73" i="10"/>
  <c r="AC73" i="10"/>
  <c r="Q73" i="10"/>
  <c r="AB73" i="10"/>
  <c r="P73" i="10"/>
  <c r="AE73" i="10"/>
  <c r="M73" i="10"/>
  <c r="AA73" i="10"/>
  <c r="Z73" i="10"/>
  <c r="K73" i="10"/>
  <c r="U73" i="10"/>
  <c r="X73" i="10"/>
  <c r="W73" i="10"/>
  <c r="V73" i="10"/>
  <c r="T73" i="10"/>
  <c r="S73" i="10"/>
  <c r="O73" i="10"/>
  <c r="N73" i="10"/>
  <c r="L73" i="10"/>
  <c r="AG73" i="10"/>
  <c r="AF73" i="10"/>
  <c r="Y73" i="10"/>
  <c r="AB79" i="10"/>
  <c r="P79" i="10"/>
  <c r="AA79" i="10"/>
  <c r="O79" i="10"/>
  <c r="X79" i="10"/>
  <c r="L79" i="10"/>
  <c r="W79" i="10"/>
  <c r="K79" i="10"/>
  <c r="V79" i="10"/>
  <c r="R79" i="10"/>
  <c r="Q79" i="10"/>
  <c r="AG79" i="10"/>
  <c r="N79" i="10"/>
  <c r="Z79" i="10"/>
  <c r="U79" i="10"/>
  <c r="AF79" i="10"/>
  <c r="AE79" i="10"/>
  <c r="AD79" i="10"/>
  <c r="AC79" i="10"/>
  <c r="Y79" i="10"/>
  <c r="T79" i="10"/>
  <c r="S79" i="10"/>
  <c r="M79" i="10"/>
  <c r="C6" i="12"/>
  <c r="G6" i="12"/>
  <c r="D9" i="10"/>
  <c r="C9" i="10" s="1"/>
  <c r="G13" i="12"/>
  <c r="C12" i="12"/>
  <c r="C18" i="12"/>
  <c r="G19" i="12"/>
  <c r="D22" i="10"/>
  <c r="C22" i="10" s="1"/>
  <c r="G26" i="12"/>
  <c r="C24" i="12"/>
  <c r="D29" i="10"/>
  <c r="C29" i="10" s="1"/>
  <c r="C30" i="12"/>
  <c r="G32" i="12"/>
  <c r="D35" i="10"/>
  <c r="C35" i="10" s="1"/>
  <c r="T35" i="10" s="1"/>
  <c r="G37" i="12"/>
  <c r="C35" i="12"/>
  <c r="D41" i="10"/>
  <c r="C41" i="10" s="1"/>
  <c r="V41" i="10" s="1"/>
  <c r="G43" i="12"/>
  <c r="C41" i="12"/>
  <c r="D47" i="10"/>
  <c r="C47" i="10" s="1"/>
  <c r="G48" i="12"/>
  <c r="C46" i="12"/>
  <c r="D53" i="10"/>
  <c r="C53" i="10" s="1"/>
  <c r="X53" i="10" s="1"/>
  <c r="C52" i="12"/>
  <c r="G54" i="12"/>
  <c r="D59" i="10"/>
  <c r="C59" i="10" s="1"/>
  <c r="K59" i="10" s="1"/>
  <c r="C58" i="12"/>
  <c r="G60" i="12"/>
  <c r="D65" i="10"/>
  <c r="C65" i="10" s="1"/>
  <c r="AC65" i="10" s="1"/>
  <c r="C64" i="12"/>
  <c r="G66" i="12"/>
  <c r="D71" i="10"/>
  <c r="C71" i="10" s="1"/>
  <c r="K71" i="10" s="1"/>
  <c r="D77" i="10"/>
  <c r="C77" i="10" s="1"/>
  <c r="R77" i="10" s="1"/>
  <c r="C70" i="12"/>
  <c r="G72" i="12"/>
  <c r="G78" i="12"/>
  <c r="C76" i="12"/>
  <c r="AG8" i="10"/>
  <c r="D10" i="10"/>
  <c r="C10" i="10" s="1"/>
  <c r="D16" i="10"/>
  <c r="C16" i="10" s="1"/>
  <c r="Y19" i="10"/>
  <c r="P22" i="10"/>
  <c r="O30" i="10"/>
  <c r="L33" i="10"/>
  <c r="S40" i="10"/>
  <c r="L29" i="10" l="1"/>
  <c r="AC29" i="10"/>
  <c r="W29" i="10"/>
  <c r="Q29" i="10"/>
  <c r="K29" i="10"/>
  <c r="AB29" i="10"/>
  <c r="V29" i="10"/>
  <c r="P29" i="10"/>
  <c r="AG29" i="10"/>
  <c r="AA29" i="10"/>
  <c r="U29" i="10"/>
  <c r="O29" i="10"/>
  <c r="AF29" i="10"/>
  <c r="Z29" i="10"/>
  <c r="T29" i="10"/>
  <c r="N29" i="10"/>
  <c r="AE29" i="10"/>
  <c r="Y29" i="10"/>
  <c r="AD29" i="10"/>
  <c r="M29" i="10"/>
  <c r="S29" i="10"/>
  <c r="Q53" i="10"/>
  <c r="AA61" i="10"/>
  <c r="AA37" i="10"/>
  <c r="M37" i="10"/>
  <c r="AB37" i="10"/>
  <c r="X47" i="10"/>
  <c r="AB47" i="10"/>
  <c r="AB22" i="10"/>
  <c r="AA22" i="10"/>
  <c r="L22" i="10"/>
  <c r="AC22" i="10"/>
  <c r="W22" i="10"/>
  <c r="Q22" i="10"/>
  <c r="K61" i="10"/>
  <c r="P61" i="10"/>
  <c r="R37" i="10"/>
  <c r="AG37" i="10"/>
  <c r="AG46" i="10"/>
  <c r="W46" i="10"/>
  <c r="N46" i="10"/>
  <c r="R46" i="10"/>
  <c r="Z46" i="10"/>
  <c r="AD46" i="10"/>
  <c r="Y46" i="10"/>
  <c r="AC46" i="10"/>
  <c r="S63" i="10"/>
  <c r="L63" i="10"/>
  <c r="AG63" i="10"/>
  <c r="Q63" i="10"/>
  <c r="O63" i="10"/>
  <c r="Z63" i="10"/>
  <c r="AC63" i="10"/>
  <c r="X63" i="10"/>
  <c r="AB63" i="10"/>
  <c r="S77" i="10"/>
  <c r="AG77" i="10"/>
  <c r="AE71" i="10"/>
  <c r="X71" i="10"/>
  <c r="N65" i="10"/>
  <c r="N59" i="10"/>
  <c r="V59" i="10"/>
  <c r="K53" i="10"/>
  <c r="R53" i="10"/>
  <c r="AC47" i="10"/>
  <c r="M47" i="10"/>
  <c r="Z51" i="10"/>
  <c r="V51" i="10"/>
  <c r="U22" i="10"/>
  <c r="M15" i="10"/>
  <c r="AE76" i="10"/>
  <c r="AG70" i="10"/>
  <c r="M64" i="10"/>
  <c r="T46" i="10"/>
  <c r="AD63" i="10"/>
  <c r="Z57" i="10"/>
  <c r="AF82" i="10"/>
  <c r="Y58" i="10"/>
  <c r="U45" i="10"/>
  <c r="N50" i="10"/>
  <c r="T17" i="10"/>
  <c r="AD53" i="10"/>
  <c r="S32" i="10"/>
  <c r="AE32" i="10"/>
  <c r="X32" i="10"/>
  <c r="R32" i="10"/>
  <c r="L32" i="10"/>
  <c r="AD32" i="10"/>
  <c r="Y32" i="10"/>
  <c r="Q32" i="10"/>
  <c r="K32" i="10"/>
  <c r="AC32" i="10"/>
  <c r="W32" i="10"/>
  <c r="P32" i="10"/>
  <c r="V32" i="10"/>
  <c r="AB32" i="10"/>
  <c r="U32" i="10"/>
  <c r="O32" i="10"/>
  <c r="AG32" i="10"/>
  <c r="T32" i="10"/>
  <c r="Z61" i="10"/>
  <c r="V37" i="10"/>
  <c r="AG35" i="10"/>
  <c r="V70" i="10"/>
  <c r="P70" i="10"/>
  <c r="AB70" i="10"/>
  <c r="AC70" i="10"/>
  <c r="X70" i="10"/>
  <c r="U70" i="10"/>
  <c r="R34" i="10"/>
  <c r="T34" i="10"/>
  <c r="AC34" i="10"/>
  <c r="S34" i="10"/>
  <c r="L34" i="10"/>
  <c r="AA34" i="10"/>
  <c r="Z34" i="10"/>
  <c r="N34" i="10"/>
  <c r="K34" i="10"/>
  <c r="Y34" i="10"/>
  <c r="X34" i="10"/>
  <c r="M34" i="10"/>
  <c r="W34" i="10"/>
  <c r="T15" i="10"/>
  <c r="Z77" i="10"/>
  <c r="V77" i="10"/>
  <c r="N71" i="10"/>
  <c r="U65" i="10"/>
  <c r="AG65" i="10"/>
  <c r="AC59" i="10"/>
  <c r="X59" i="10"/>
  <c r="Y53" i="10"/>
  <c r="AE53" i="10"/>
  <c r="Q47" i="10"/>
  <c r="Z47" i="10"/>
  <c r="N51" i="10"/>
  <c r="W51" i="10"/>
  <c r="AG22" i="10"/>
  <c r="L70" i="10"/>
  <c r="AA70" i="10"/>
  <c r="AC64" i="10"/>
  <c r="K46" i="10"/>
  <c r="P63" i="10"/>
  <c r="AA57" i="10"/>
  <c r="V34" i="10"/>
  <c r="X82" i="10"/>
  <c r="P58" i="10"/>
  <c r="T41" i="10"/>
  <c r="W45" i="10"/>
  <c r="S76" i="10"/>
  <c r="AA76" i="10"/>
  <c r="P76" i="10"/>
  <c r="W76" i="10"/>
  <c r="U77" i="10"/>
  <c r="O76" i="10"/>
  <c r="X27" i="10"/>
  <c r="L61" i="10"/>
  <c r="Q61" i="10"/>
  <c r="AA32" i="10"/>
  <c r="W37" i="10"/>
  <c r="Z32" i="10"/>
  <c r="X15" i="10"/>
  <c r="K33" i="10"/>
  <c r="O33" i="10"/>
  <c r="W33" i="10"/>
  <c r="AA33" i="10"/>
  <c r="V33" i="10"/>
  <c r="N33" i="10"/>
  <c r="T33" i="10"/>
  <c r="S33" i="10"/>
  <c r="AE33" i="10"/>
  <c r="R33" i="10"/>
  <c r="AD33" i="10"/>
  <c r="AG33" i="10"/>
  <c r="Q33" i="10"/>
  <c r="M33" i="10"/>
  <c r="U33" i="10"/>
  <c r="AC33" i="10"/>
  <c r="AF33" i="10"/>
  <c r="P33" i="10"/>
  <c r="Y33" i="10"/>
  <c r="AA77" i="10"/>
  <c r="P71" i="10"/>
  <c r="AG71" i="10"/>
  <c r="W65" i="10"/>
  <c r="O65" i="10"/>
  <c r="P59" i="10"/>
  <c r="Y59" i="10"/>
  <c r="M53" i="10"/>
  <c r="S53" i="10"/>
  <c r="AE47" i="10"/>
  <c r="N47" i="10"/>
  <c r="AA51" i="10"/>
  <c r="K51" i="10"/>
  <c r="V22" i="10"/>
  <c r="AB76" i="10"/>
  <c r="AF76" i="10"/>
  <c r="Q70" i="10"/>
  <c r="O64" i="10"/>
  <c r="R64" i="10"/>
  <c r="X46" i="10"/>
  <c r="AF63" i="10"/>
  <c r="P34" i="10"/>
  <c r="Y82" i="10"/>
  <c r="AA45" i="10"/>
  <c r="AB33" i="10"/>
  <c r="AF32" i="10"/>
  <c r="Y61" i="10"/>
  <c r="W53" i="10"/>
  <c r="K24" i="10"/>
  <c r="M24" i="10"/>
  <c r="N24" i="10" s="1"/>
  <c r="O24" i="10" s="1"/>
  <c r="P24" i="10" s="1"/>
  <c r="Q24" i="10" s="1"/>
  <c r="R24" i="10" s="1"/>
  <c r="S24" i="10" s="1"/>
  <c r="T24" i="10" s="1"/>
  <c r="U24" i="10" s="1"/>
  <c r="V24" i="10" s="1"/>
  <c r="W24" i="10" s="1"/>
  <c r="X24" i="10" s="1"/>
  <c r="Y24" i="10" s="1"/>
  <c r="Z24" i="10" s="1"/>
  <c r="AA24" i="10" s="1"/>
  <c r="AB24" i="10" s="1"/>
  <c r="AC24" i="10" s="1"/>
  <c r="AD24" i="10" s="1"/>
  <c r="AE24" i="10" s="1"/>
  <c r="AF24" i="10" s="1"/>
  <c r="AG24" i="10" s="1"/>
  <c r="AB61" i="10"/>
  <c r="M41" i="10"/>
  <c r="L41" i="10"/>
  <c r="AG41" i="10"/>
  <c r="AF41" i="10"/>
  <c r="AC41" i="10"/>
  <c r="AE41" i="10"/>
  <c r="Z41" i="10"/>
  <c r="R41" i="10"/>
  <c r="U41" i="10"/>
  <c r="AB41" i="10"/>
  <c r="S41" i="10"/>
  <c r="O41" i="10"/>
  <c r="Q41" i="10"/>
  <c r="N41" i="10"/>
  <c r="AA41" i="10"/>
  <c r="P41" i="10"/>
  <c r="Y41" i="10"/>
  <c r="K41" i="10"/>
  <c r="AD61" i="10"/>
  <c r="AC61" i="10"/>
  <c r="M27" i="10"/>
  <c r="X37" i="10"/>
  <c r="L27" i="10"/>
  <c r="AG57" i="10"/>
  <c r="Y57" i="10"/>
  <c r="S57" i="10"/>
  <c r="K57" i="10"/>
  <c r="P57" i="10"/>
  <c r="AB57" i="10"/>
  <c r="X57" i="10"/>
  <c r="N57" i="10"/>
  <c r="V57" i="10"/>
  <c r="M57" i="10"/>
  <c r="AF77" i="10"/>
  <c r="K77" i="10"/>
  <c r="R71" i="10"/>
  <c r="O71" i="10"/>
  <c r="X65" i="10"/>
  <c r="S65" i="10"/>
  <c r="AD59" i="10"/>
  <c r="L59" i="10"/>
  <c r="Z53" i="10"/>
  <c r="AF53" i="10"/>
  <c r="S47" i="10"/>
  <c r="AA47" i="10"/>
  <c r="O51" i="10"/>
  <c r="X51" i="10"/>
  <c r="K22" i="10"/>
  <c r="AC76" i="10"/>
  <c r="U76" i="10"/>
  <c r="R70" i="10"/>
  <c r="P64" i="10"/>
  <c r="L46" i="10"/>
  <c r="R63" i="10"/>
  <c r="AE57" i="10"/>
  <c r="AB34" i="10"/>
  <c r="N74" i="10"/>
  <c r="P74" i="10"/>
  <c r="Y74" i="10"/>
  <c r="L74" i="10"/>
  <c r="M74" i="10"/>
  <c r="K74" i="10"/>
  <c r="S74" i="10"/>
  <c r="AE74" i="10"/>
  <c r="AG74" i="10"/>
  <c r="AD74" i="10"/>
  <c r="R74" i="10"/>
  <c r="AC74" i="10"/>
  <c r="AF74" i="10"/>
  <c r="AB74" i="10"/>
  <c r="Q74" i="10"/>
  <c r="W74" i="10"/>
  <c r="X74" i="10"/>
  <c r="AA74" i="10"/>
  <c r="V74" i="10"/>
  <c r="O74" i="10"/>
  <c r="U74" i="10"/>
  <c r="AF50" i="10"/>
  <c r="S50" i="10"/>
  <c r="AE50" i="10"/>
  <c r="AG50" i="10"/>
  <c r="R50" i="10"/>
  <c r="U50" i="10"/>
  <c r="AD50" i="10"/>
  <c r="Y50" i="10"/>
  <c r="Q50" i="10"/>
  <c r="L50" i="10"/>
  <c r="AC50" i="10"/>
  <c r="X50" i="10"/>
  <c r="P50" i="10"/>
  <c r="K50" i="10"/>
  <c r="AB50" i="10"/>
  <c r="W50" i="10"/>
  <c r="O50" i="10"/>
  <c r="V50" i="10"/>
  <c r="AA50" i="10"/>
  <c r="N82" i="10"/>
  <c r="W41" i="10"/>
  <c r="L45" i="10"/>
  <c r="X33" i="10"/>
  <c r="N77" i="10"/>
  <c r="AB16" i="10"/>
  <c r="U16" i="10"/>
  <c r="P16" i="10"/>
  <c r="AG16" i="10"/>
  <c r="AA16" i="10"/>
  <c r="AC16" i="10"/>
  <c r="O16" i="10"/>
  <c r="V16" i="10"/>
  <c r="Z16" i="10"/>
  <c r="Q16" i="10"/>
  <c r="N16" i="10"/>
  <c r="AF16" i="10"/>
  <c r="Y16" i="10"/>
  <c r="T16" i="10"/>
  <c r="M16" i="10"/>
  <c r="AE16" i="10"/>
  <c r="X16" i="10"/>
  <c r="S16" i="10"/>
  <c r="L16" i="10"/>
  <c r="AD16" i="10"/>
  <c r="W16" i="10"/>
  <c r="N61" i="10"/>
  <c r="Y37" i="10"/>
  <c r="T64" i="10"/>
  <c r="N64" i="10"/>
  <c r="Q64" i="10"/>
  <c r="AB64" i="10"/>
  <c r="AG64" i="10"/>
  <c r="AA64" i="10"/>
  <c r="AD64" i="10"/>
  <c r="L77" i="10"/>
  <c r="AE77" i="10"/>
  <c r="T71" i="10"/>
  <c r="AA71" i="10"/>
  <c r="Y65" i="10"/>
  <c r="T65" i="10"/>
  <c r="Q59" i="10"/>
  <c r="Z59" i="10"/>
  <c r="N53" i="10"/>
  <c r="T53" i="10"/>
  <c r="AF47" i="10"/>
  <c r="R47" i="10"/>
  <c r="AB51" i="10"/>
  <c r="R51" i="10"/>
  <c r="X22" i="10"/>
  <c r="AD76" i="10"/>
  <c r="AG76" i="10"/>
  <c r="S70" i="10"/>
  <c r="U64" i="10"/>
  <c r="AE64" i="10"/>
  <c r="M46" i="10"/>
  <c r="T63" i="10"/>
  <c r="R57" i="10"/>
  <c r="Q34" i="10"/>
  <c r="R82" i="10"/>
  <c r="AD41" i="10"/>
  <c r="AG75" i="10"/>
  <c r="T74" i="10"/>
  <c r="K16" i="10"/>
  <c r="K81" i="10"/>
  <c r="L81" i="10"/>
  <c r="M81" i="10" s="1"/>
  <c r="N81" i="10" s="1"/>
  <c r="O81" i="10" s="1"/>
  <c r="P81" i="10" s="1"/>
  <c r="Q81" i="10" s="1"/>
  <c r="R81" i="10" s="1"/>
  <c r="S81" i="10" s="1"/>
  <c r="T81" i="10" s="1"/>
  <c r="U81" i="10" s="1"/>
  <c r="V81" i="10" s="1"/>
  <c r="W81" i="10" s="1"/>
  <c r="X81" i="10" s="1"/>
  <c r="Y81" i="10" s="1"/>
  <c r="Z81" i="10" s="1"/>
  <c r="AA81" i="10" s="1"/>
  <c r="AB81" i="10" s="1"/>
  <c r="AC81" i="10" s="1"/>
  <c r="AD81" i="10" s="1"/>
  <c r="AE81" i="10" s="1"/>
  <c r="AF81" i="10" s="1"/>
  <c r="AG81" i="10" s="1"/>
  <c r="AC27" i="10"/>
  <c r="W27" i="10"/>
  <c r="Q27" i="10"/>
  <c r="K27" i="10"/>
  <c r="AB27" i="10"/>
  <c r="V27" i="10"/>
  <c r="P27" i="10"/>
  <c r="Y27" i="10"/>
  <c r="AG27" i="10"/>
  <c r="AA27" i="10"/>
  <c r="U27" i="10"/>
  <c r="O27" i="10"/>
  <c r="AF27" i="10"/>
  <c r="Z27" i="10"/>
  <c r="T27" i="10"/>
  <c r="N27" i="10"/>
  <c r="AE27" i="10"/>
  <c r="S27" i="10"/>
  <c r="AD27" i="10"/>
  <c r="M77" i="10"/>
  <c r="P77" i="10"/>
  <c r="AE59" i="10"/>
  <c r="M59" i="10"/>
  <c r="AA53" i="10"/>
  <c r="AG53" i="10"/>
  <c r="T47" i="10"/>
  <c r="AD47" i="10"/>
  <c r="P51" i="10"/>
  <c r="M22" i="10"/>
  <c r="K76" i="10"/>
  <c r="L76" i="10"/>
  <c r="T70" i="10"/>
  <c r="V64" i="10"/>
  <c r="AF64" i="10"/>
  <c r="AA46" i="10"/>
  <c r="U63" i="10"/>
  <c r="AF57" i="10"/>
  <c r="AD34" i="10"/>
  <c r="X41" i="10"/>
  <c r="L69" i="10"/>
  <c r="O17" i="10"/>
  <c r="AD17" i="10"/>
  <c r="Y17" i="10"/>
  <c r="Z17" i="10"/>
  <c r="M17" i="10"/>
  <c r="S17" i="10"/>
  <c r="X17" i="10"/>
  <c r="R17" i="10"/>
  <c r="L17" i="10"/>
  <c r="N17" i="10"/>
  <c r="W17" i="10"/>
  <c r="AE17" i="10"/>
  <c r="K17" i="10"/>
  <c r="AC17" i="10"/>
  <c r="V17" i="10"/>
  <c r="Q17" i="10"/>
  <c r="AG17" i="10"/>
  <c r="AB17" i="10"/>
  <c r="U17" i="10"/>
  <c r="P17" i="10"/>
  <c r="AF17" i="10"/>
  <c r="Z74" i="10"/>
  <c r="Z15" i="10"/>
  <c r="R16" i="10"/>
  <c r="K10" i="10"/>
  <c r="O10" i="10"/>
  <c r="AF10" i="10"/>
  <c r="Z10" i="10"/>
  <c r="T10" i="10"/>
  <c r="V10" i="10"/>
  <c r="AD10" i="10"/>
  <c r="U10" i="10"/>
  <c r="R10" i="10"/>
  <c r="S10" i="10"/>
  <c r="AC10" i="10"/>
  <c r="N10" i="10"/>
  <c r="Q10" i="10"/>
  <c r="Y10" i="10"/>
  <c r="AB10" i="10"/>
  <c r="M10" i="10"/>
  <c r="P10" i="10"/>
  <c r="X10" i="10"/>
  <c r="AG10" i="10"/>
  <c r="L10" i="10"/>
  <c r="AE10" i="10"/>
  <c r="S61" i="10"/>
  <c r="T61" i="10"/>
  <c r="O61" i="10"/>
  <c r="N37" i="10"/>
  <c r="Z37" i="10"/>
  <c r="N21" i="10"/>
  <c r="AE21" i="10"/>
  <c r="Y21" i="10"/>
  <c r="AD21" i="10"/>
  <c r="M21" i="10"/>
  <c r="S21" i="10"/>
  <c r="X21" i="10"/>
  <c r="R21" i="10"/>
  <c r="L21" i="10"/>
  <c r="AC21" i="10"/>
  <c r="W21" i="10"/>
  <c r="Q21" i="10"/>
  <c r="K21" i="10"/>
  <c r="AB21" i="10"/>
  <c r="V21" i="10"/>
  <c r="P21" i="10"/>
  <c r="AG21" i="10"/>
  <c r="AA21" i="10"/>
  <c r="U21" i="10"/>
  <c r="O21" i="10"/>
  <c r="AF21" i="10"/>
  <c r="AA75" i="10"/>
  <c r="Q75" i="10"/>
  <c r="X75" i="10"/>
  <c r="P75" i="10"/>
  <c r="L75" i="10"/>
  <c r="N75" i="10"/>
  <c r="W75" i="10"/>
  <c r="M75" i="10"/>
  <c r="V75" i="10"/>
  <c r="AF75" i="10"/>
  <c r="Y75" i="10"/>
  <c r="AD75" i="10"/>
  <c r="U75" i="10"/>
  <c r="AC75" i="10"/>
  <c r="T75" i="10"/>
  <c r="AB75" i="10"/>
  <c r="AE75" i="10"/>
  <c r="Z75" i="10"/>
  <c r="O75" i="10"/>
  <c r="S75" i="10"/>
  <c r="S51" i="10"/>
  <c r="L51" i="10"/>
  <c r="AE51" i="10"/>
  <c r="O77" i="10"/>
  <c r="AB77" i="10"/>
  <c r="Y71" i="10"/>
  <c r="AF71" i="10"/>
  <c r="K65" i="10"/>
  <c r="P65" i="10"/>
  <c r="R59" i="10"/>
  <c r="AA59" i="10"/>
  <c r="O53" i="10"/>
  <c r="U53" i="10"/>
  <c r="AG47" i="10"/>
  <c r="AC51" i="10"/>
  <c r="R22" i="10"/>
  <c r="Y22" i="10"/>
  <c r="Q76" i="10"/>
  <c r="X76" i="10"/>
  <c r="K70" i="10"/>
  <c r="W64" i="10"/>
  <c r="P46" i="10"/>
  <c r="O46" i="10"/>
  <c r="Y63" i="10"/>
  <c r="T57" i="10"/>
  <c r="S69" i="10"/>
  <c r="K75" i="10"/>
  <c r="AA10" i="10"/>
  <c r="S39" i="10"/>
  <c r="AE61" i="10"/>
  <c r="P35" i="10"/>
  <c r="AD35" i="10"/>
  <c r="L35" i="10"/>
  <c r="AA35" i="10"/>
  <c r="AC35" i="10"/>
  <c r="Z35" i="10"/>
  <c r="AB35" i="10"/>
  <c r="N35" i="10"/>
  <c r="X35" i="10"/>
  <c r="Y35" i="10"/>
  <c r="W35" i="10"/>
  <c r="M35" i="10"/>
  <c r="V35" i="10"/>
  <c r="AF35" i="10"/>
  <c r="U35" i="10"/>
  <c r="U61" i="10"/>
  <c r="AF61" i="10"/>
  <c r="AC37" i="10"/>
  <c r="S37" i="10"/>
  <c r="AA82" i="10"/>
  <c r="AB82" i="10"/>
  <c r="O82" i="10"/>
  <c r="W82" i="10"/>
  <c r="Z82" i="10"/>
  <c r="V82" i="10"/>
  <c r="M82" i="10"/>
  <c r="AG82" i="10"/>
  <c r="T82" i="10"/>
  <c r="U82" i="10"/>
  <c r="Q82" i="10"/>
  <c r="AE82" i="10"/>
  <c r="P82" i="10"/>
  <c r="S82" i="10"/>
  <c r="AC82" i="10"/>
  <c r="K58" i="10"/>
  <c r="AD58" i="10"/>
  <c r="X58" i="10"/>
  <c r="O58" i="10"/>
  <c r="W58" i="10"/>
  <c r="AB58" i="10"/>
  <c r="T58" i="10"/>
  <c r="L58" i="10"/>
  <c r="AG58" i="10"/>
  <c r="Z58" i="10"/>
  <c r="S58" i="10"/>
  <c r="N58" i="10"/>
  <c r="AF58" i="10"/>
  <c r="AC58" i="10"/>
  <c r="R58" i="10"/>
  <c r="T77" i="10"/>
  <c r="Q77" i="10"/>
  <c r="Z71" i="10"/>
  <c r="S71" i="10"/>
  <c r="AA65" i="10"/>
  <c r="AB65" i="10"/>
  <c r="AF59" i="10"/>
  <c r="O59" i="10"/>
  <c r="AB53" i="10"/>
  <c r="V53" i="10"/>
  <c r="V47" i="10"/>
  <c r="Q51" i="10"/>
  <c r="AD22" i="10"/>
  <c r="N22" i="10"/>
  <c r="R76" i="10"/>
  <c r="M76" i="10"/>
  <c r="AE70" i="10"/>
  <c r="X64" i="10"/>
  <c r="V46" i="10"/>
  <c r="AB46" i="10"/>
  <c r="AE63" i="10"/>
  <c r="U57" i="10"/>
  <c r="M58" i="10"/>
  <c r="K35" i="10"/>
  <c r="T69" i="10"/>
  <c r="L37" i="10"/>
  <c r="W10" i="10"/>
  <c r="R29" i="10"/>
  <c r="AF13" i="10"/>
  <c r="AC13" i="10"/>
  <c r="T13" i="10"/>
  <c r="Q13" i="10"/>
  <c r="N13" i="10"/>
  <c r="AB13" i="10"/>
  <c r="M13" i="10"/>
  <c r="P13" i="10"/>
  <c r="K13" i="10"/>
  <c r="AA13" i="10"/>
  <c r="W13" i="10"/>
  <c r="O13" i="10"/>
  <c r="AE13" i="10"/>
  <c r="X13" i="10"/>
  <c r="AD13" i="10"/>
  <c r="L13" i="10"/>
  <c r="Z13" i="10"/>
  <c r="V13" i="10"/>
  <c r="Y13" i="10"/>
  <c r="AG13" i="10"/>
  <c r="S13" i="10"/>
  <c r="AA9" i="10"/>
  <c r="AD9" i="10"/>
  <c r="O9" i="10"/>
  <c r="AC9" i="10"/>
  <c r="Z9" i="10"/>
  <c r="Y9" i="10"/>
  <c r="N9" i="10"/>
  <c r="M9" i="10"/>
  <c r="W9" i="10"/>
  <c r="X9" i="10"/>
  <c r="K9" i="10"/>
  <c r="V9" i="10"/>
  <c r="AG9" i="10"/>
  <c r="R9" i="10"/>
  <c r="U9" i="10"/>
  <c r="Q9" i="10"/>
  <c r="AF9" i="10"/>
  <c r="L9" i="10"/>
  <c r="T9" i="10"/>
  <c r="AB9" i="10"/>
  <c r="AE9" i="10"/>
  <c r="K12" i="10"/>
  <c r="N12" i="10"/>
  <c r="O12" i="10" s="1"/>
  <c r="P12" i="10" s="1"/>
  <c r="Q12" i="10" s="1"/>
  <c r="R12" i="10" s="1"/>
  <c r="S12" i="10" s="1"/>
  <c r="T12" i="10" s="1"/>
  <c r="U12" i="10" s="1"/>
  <c r="V12" i="10" s="1"/>
  <c r="W12" i="10" s="1"/>
  <c r="X12" i="10" s="1"/>
  <c r="Y12" i="10" s="1"/>
  <c r="Z12" i="10" s="1"/>
  <c r="AA12" i="10" s="1"/>
  <c r="AB12" i="10" s="1"/>
  <c r="AC12" i="10" s="1"/>
  <c r="AD12" i="10" s="1"/>
  <c r="AE12" i="10" s="1"/>
  <c r="AF12" i="10" s="1"/>
  <c r="AG12" i="10" s="1"/>
  <c r="M12" i="10"/>
  <c r="V61" i="10"/>
  <c r="R61" i="10"/>
  <c r="O37" i="10"/>
  <c r="AE37" i="10"/>
  <c r="W77" i="10"/>
  <c r="AC77" i="10"/>
  <c r="AB71" i="10"/>
  <c r="V71" i="10"/>
  <c r="L65" i="10"/>
  <c r="Q65" i="10"/>
  <c r="S59" i="10"/>
  <c r="AB59" i="10"/>
  <c r="P53" i="10"/>
  <c r="L53" i="10"/>
  <c r="W47" i="10"/>
  <c r="AF51" i="10"/>
  <c r="S22" i="10"/>
  <c r="Z22" i="10"/>
  <c r="V76" i="10"/>
  <c r="Y76" i="10"/>
  <c r="M70" i="10"/>
  <c r="Y64" i="10"/>
  <c r="Q46" i="10"/>
  <c r="U46" i="10"/>
  <c r="V63" i="10"/>
  <c r="W57" i="10"/>
  <c r="Q58" i="10"/>
  <c r="AE35" i="10"/>
  <c r="T21" i="10"/>
  <c r="S9" i="10"/>
  <c r="R13" i="10"/>
  <c r="X29" i="10"/>
  <c r="W61" i="10"/>
  <c r="AD37" i="10"/>
  <c r="T37" i="10"/>
  <c r="U15" i="10"/>
  <c r="N15" i="10"/>
  <c r="AE15" i="10"/>
  <c r="S15" i="10"/>
  <c r="AD15" i="10"/>
  <c r="R15" i="10"/>
  <c r="AC15" i="10"/>
  <c r="L15" i="10"/>
  <c r="Q15" i="10"/>
  <c r="AB15" i="10"/>
  <c r="W15" i="10"/>
  <c r="P15" i="10"/>
  <c r="K15" i="10"/>
  <c r="AA15" i="10"/>
  <c r="V15" i="10"/>
  <c r="O15" i="10"/>
  <c r="O47" i="10"/>
  <c r="AA39" i="10"/>
  <c r="Q39" i="10"/>
  <c r="O39" i="10"/>
  <c r="AG39" i="10"/>
  <c r="Z39" i="10"/>
  <c r="P39" i="10"/>
  <c r="N39" i="10"/>
  <c r="AF39" i="10"/>
  <c r="Y39" i="10"/>
  <c r="L39" i="10"/>
  <c r="M39" i="10"/>
  <c r="AE39" i="10"/>
  <c r="X39" i="10"/>
  <c r="K39" i="10"/>
  <c r="W39" i="10"/>
  <c r="AC39" i="10"/>
  <c r="V39" i="10"/>
  <c r="AB39" i="10"/>
  <c r="U39" i="10"/>
  <c r="AD39" i="10"/>
  <c r="T39" i="10"/>
  <c r="Q69" i="10"/>
  <c r="O69" i="10"/>
  <c r="AB69" i="10"/>
  <c r="N69" i="10"/>
  <c r="P69" i="10"/>
  <c r="M69" i="10"/>
  <c r="Y69" i="10"/>
  <c r="AF69" i="10"/>
  <c r="AG69" i="10"/>
  <c r="AE69" i="10"/>
  <c r="Z69" i="10"/>
  <c r="K69" i="10"/>
  <c r="X69" i="10"/>
  <c r="AA69" i="10"/>
  <c r="V69" i="10"/>
  <c r="AD69" i="10"/>
  <c r="U69" i="10"/>
  <c r="AC45" i="10"/>
  <c r="AG45" i="10"/>
  <c r="P45" i="10"/>
  <c r="T45" i="10"/>
  <c r="AB45" i="10"/>
  <c r="AF45" i="10"/>
  <c r="O45" i="10"/>
  <c r="S45" i="10"/>
  <c r="N45" i="10"/>
  <c r="R45" i="10"/>
  <c r="Z45" i="10"/>
  <c r="AD45" i="10"/>
  <c r="M45" i="10"/>
  <c r="V45" i="10"/>
  <c r="Y45" i="10"/>
  <c r="Q45" i="10"/>
  <c r="K45" i="10"/>
  <c r="X77" i="10"/>
  <c r="AC71" i="10"/>
  <c r="AE65" i="10"/>
  <c r="AG59" i="10"/>
  <c r="AC53" i="10"/>
  <c r="K47" i="10"/>
  <c r="T51" i="10"/>
  <c r="AE22" i="10"/>
  <c r="AE34" i="10"/>
  <c r="Z76" i="10"/>
  <c r="W70" i="10"/>
  <c r="Y70" i="10"/>
  <c r="K64" i="10"/>
  <c r="AE46" i="10"/>
  <c r="AA63" i="10"/>
  <c r="K63" i="10"/>
  <c r="AD57" i="10"/>
  <c r="AF34" i="10"/>
  <c r="AE58" i="10"/>
  <c r="Q35" i="10"/>
  <c r="AC69" i="10"/>
  <c r="Z21" i="10"/>
  <c r="P9" i="10"/>
  <c r="U13" i="10"/>
  <c r="Z49" i="10"/>
  <c r="V43" i="10"/>
  <c r="R43" i="10"/>
  <c r="AB56" i="10"/>
  <c r="AD56" i="10"/>
  <c r="K44" i="10"/>
  <c r="O44" i="10"/>
  <c r="P36" i="10"/>
  <c r="X36" i="10"/>
  <c r="K25" i="10"/>
  <c r="Q25" i="10"/>
  <c r="K18" i="10"/>
  <c r="AB80" i="10"/>
  <c r="M80" i="10"/>
  <c r="AC68" i="10"/>
  <c r="W62" i="10"/>
  <c r="AG62" i="10"/>
  <c r="R49" i="10"/>
  <c r="L49" i="10"/>
  <c r="W43" i="10"/>
  <c r="AD43" i="10"/>
  <c r="S11" i="10"/>
  <c r="U11" i="10"/>
  <c r="O56" i="10"/>
  <c r="T56" i="10"/>
  <c r="X44" i="10"/>
  <c r="AA44" i="10"/>
  <c r="AE36" i="10"/>
  <c r="X23" i="10"/>
  <c r="W25" i="10"/>
  <c r="AC25" i="10"/>
  <c r="AC80" i="10"/>
  <c r="Y80" i="10"/>
  <c r="O68" i="10"/>
  <c r="M68" i="10"/>
  <c r="X62" i="10"/>
  <c r="S62" i="10"/>
  <c r="AE49" i="10"/>
  <c r="X49" i="10"/>
  <c r="L43" i="10"/>
  <c r="AE11" i="10"/>
  <c r="AG11" i="10"/>
  <c r="AC56" i="10"/>
  <c r="AF56" i="10"/>
  <c r="L44" i="10"/>
  <c r="Y36" i="10"/>
  <c r="Q36" i="10"/>
  <c r="AB31" i="10"/>
  <c r="L25" i="10"/>
  <c r="AC23" i="10"/>
  <c r="K80" i="10"/>
  <c r="P68" i="10"/>
  <c r="AD68" i="10"/>
  <c r="AA62" i="10"/>
  <c r="T62" i="10"/>
  <c r="P30" i="10"/>
  <c r="AF49" i="10"/>
  <c r="K43" i="10"/>
  <c r="Y43" i="10"/>
  <c r="AF11" i="10"/>
  <c r="V11" i="10"/>
  <c r="P56" i="10"/>
  <c r="R44" i="10"/>
  <c r="Y44" i="10"/>
  <c r="U36" i="10"/>
  <c r="AF36" i="10"/>
  <c r="AD25" i="10"/>
  <c r="X25" i="10"/>
  <c r="AA18" i="10"/>
  <c r="W18" i="10"/>
  <c r="V80" i="10"/>
  <c r="AD80" i="10"/>
  <c r="R68" i="10"/>
  <c r="N68" i="10"/>
  <c r="K62" i="10"/>
  <c r="U62" i="10"/>
  <c r="N49" i="10"/>
  <c r="T49" i="10"/>
  <c r="N43" i="10"/>
  <c r="M43" i="10"/>
  <c r="L11" i="10"/>
  <c r="W11" i="10"/>
  <c r="X56" i="10"/>
  <c r="AE56" i="10"/>
  <c r="W44" i="10"/>
  <c r="M44" i="10"/>
  <c r="Z36" i="10"/>
  <c r="R36" i="10"/>
  <c r="R25" i="10"/>
  <c r="M25" i="10"/>
  <c r="W80" i="10"/>
  <c r="S80" i="10"/>
  <c r="W68" i="10"/>
  <c r="Q68" i="10"/>
  <c r="AB62" i="10"/>
  <c r="P62" i="10"/>
  <c r="S49" i="10"/>
  <c r="AG49" i="10"/>
  <c r="S43" i="10"/>
  <c r="Z43" i="10"/>
  <c r="N11" i="10"/>
  <c r="V62" i="10"/>
  <c r="K56" i="10"/>
  <c r="R56" i="10"/>
  <c r="AE44" i="10"/>
  <c r="Z44" i="10"/>
  <c r="AA36" i="10"/>
  <c r="AG36" i="10"/>
  <c r="S25" i="10"/>
  <c r="Y25" i="10"/>
  <c r="AB30" i="10"/>
  <c r="X68" i="10"/>
  <c r="V68" i="10"/>
  <c r="L62" i="10"/>
  <c r="AD62" i="10"/>
  <c r="AA49" i="10"/>
  <c r="U49" i="10"/>
  <c r="X43" i="10"/>
  <c r="O43" i="10"/>
  <c r="Z11" i="10"/>
  <c r="Y56" i="10"/>
  <c r="AG56" i="10"/>
  <c r="S44" i="10"/>
  <c r="N44" i="10"/>
  <c r="M36" i="10"/>
  <c r="S36" i="10"/>
  <c r="AE25" i="10"/>
  <c r="N25" i="10"/>
  <c r="O18" i="10"/>
  <c r="AA80" i="10"/>
  <c r="T80" i="10"/>
  <c r="Y68" i="10"/>
  <c r="S68" i="10"/>
  <c r="AC62" i="10"/>
  <c r="M62" i="10"/>
  <c r="K55" i="10"/>
  <c r="O49" i="10"/>
  <c r="V49" i="10"/>
  <c r="AA43" i="10"/>
  <c r="AB43" i="10"/>
  <c r="M11" i="10"/>
  <c r="O11" i="10"/>
  <c r="L56" i="10"/>
  <c r="S56" i="10"/>
  <c r="AF44" i="10"/>
  <c r="AB44" i="10"/>
  <c r="AB36" i="10"/>
  <c r="T36" i="10"/>
  <c r="T25" i="10"/>
  <c r="Z25" i="10"/>
  <c r="N80" i="10"/>
  <c r="AF80" i="10"/>
  <c r="Z68" i="10"/>
  <c r="AE68" i="10"/>
  <c r="O62" i="10"/>
  <c r="Y62" i="10"/>
  <c r="AB49" i="10"/>
  <c r="W49" i="10"/>
  <c r="AF43" i="10"/>
  <c r="P43" i="10"/>
  <c r="Q11" i="10"/>
  <c r="AA11" i="10"/>
  <c r="Z56" i="10"/>
  <c r="U56" i="10"/>
  <c r="T44" i="10"/>
  <c r="P44" i="10"/>
  <c r="N36" i="10"/>
  <c r="V36" i="10"/>
  <c r="AF25" i="10"/>
  <c r="O25" i="10"/>
  <c r="V7" i="10"/>
  <c r="AG7" i="10"/>
  <c r="U7" i="10"/>
  <c r="AF7" i="10"/>
  <c r="T7" i="10"/>
  <c r="AC7" i="10"/>
  <c r="Q7" i="10"/>
  <c r="AA7" i="10"/>
  <c r="O7" i="10"/>
  <c r="Z7" i="10"/>
  <c r="N7" i="10"/>
  <c r="Y7" i="10"/>
  <c r="M7" i="10"/>
  <c r="AE7" i="10"/>
  <c r="AD7" i="10"/>
  <c r="AB7" i="10"/>
  <c r="X7" i="10"/>
  <c r="W7" i="10"/>
  <c r="S7" i="10"/>
  <c r="R7" i="10"/>
  <c r="P7" i="10"/>
  <c r="L7" i="10"/>
  <c r="K7" i="10"/>
  <c r="O80" i="10"/>
  <c r="U80" i="10"/>
  <c r="AA68" i="10"/>
  <c r="T68" i="10"/>
  <c r="AE62" i="10"/>
  <c r="N62" i="10"/>
  <c r="L55" i="10"/>
  <c r="M55" i="10" s="1"/>
  <c r="N55" i="10" s="1"/>
  <c r="O55" i="10" s="1"/>
  <c r="P55" i="10" s="1"/>
  <c r="Q55" i="10" s="1"/>
  <c r="R55" i="10" s="1"/>
  <c r="S55" i="10" s="1"/>
  <c r="T55" i="10" s="1"/>
  <c r="U55" i="10" s="1"/>
  <c r="V55" i="10" s="1"/>
  <c r="W55" i="10" s="1"/>
  <c r="X55" i="10" s="1"/>
  <c r="Y55" i="10" s="1"/>
  <c r="Z55" i="10" s="1"/>
  <c r="AA55" i="10" s="1"/>
  <c r="AB55" i="10" s="1"/>
  <c r="AC55" i="10" s="1"/>
  <c r="AD55" i="10" s="1"/>
  <c r="AE55" i="10" s="1"/>
  <c r="AF55" i="10" s="1"/>
  <c r="AG55" i="10" s="1"/>
  <c r="P49" i="10"/>
  <c r="K49" i="10"/>
  <c r="T43" i="10"/>
  <c r="AC43" i="10"/>
  <c r="T11" i="10"/>
  <c r="P11" i="10"/>
  <c r="M56" i="10"/>
  <c r="V56" i="10"/>
  <c r="AG44" i="10"/>
  <c r="AC44" i="10"/>
  <c r="AC36" i="10"/>
  <c r="K36" i="10"/>
  <c r="U25" i="10"/>
  <c r="AA25" i="10"/>
  <c r="Q80" i="10"/>
  <c r="K68" i="10"/>
  <c r="Q62" i="10"/>
  <c r="AC49" i="10"/>
  <c r="AG43" i="10"/>
  <c r="X11" i="10"/>
  <c r="AA56" i="10"/>
  <c r="U44" i="10"/>
  <c r="O36" i="10"/>
  <c r="AG25" i="10"/>
</calcChain>
</file>

<file path=xl/sharedStrings.xml><?xml version="1.0" encoding="utf-8"?>
<sst xmlns="http://schemas.openxmlformats.org/spreadsheetml/2006/main" count="1917" uniqueCount="443">
  <si>
    <t>Generic Comet (GC) TIMES Supply</t>
  </si>
  <si>
    <t>Sheet color</t>
  </si>
  <si>
    <t>Raw Data and Parameters</t>
  </si>
  <si>
    <t>City Specific Data</t>
  </si>
  <si>
    <t>Post processing for TIMES</t>
  </si>
  <si>
    <t>Table formatted for TIMES</t>
  </si>
  <si>
    <t>City Basic Data</t>
  </si>
  <si>
    <t>Calibration methodology</t>
  </si>
  <si>
    <t>GHG Inventory</t>
  </si>
  <si>
    <t>A. City Characteristics</t>
  </si>
  <si>
    <t>Data Item</t>
  </si>
  <si>
    <t>Value</t>
  </si>
  <si>
    <t>Units</t>
  </si>
  <si>
    <t>City Name</t>
  </si>
  <si>
    <t>New York</t>
  </si>
  <si>
    <t>Latitude</t>
  </si>
  <si>
    <t>Longitude</t>
  </si>
  <si>
    <t>County</t>
  </si>
  <si>
    <t>New York County</t>
  </si>
  <si>
    <t>State</t>
  </si>
  <si>
    <t>Census Division</t>
  </si>
  <si>
    <t>Middle Atlantic</t>
  </si>
  <si>
    <t>Climate Division</t>
  </si>
  <si>
    <t>Northeast</t>
  </si>
  <si>
    <t>Egrid Region</t>
  </si>
  <si>
    <t>NPCC NYC/Westchester</t>
  </si>
  <si>
    <t>Area of city (excluding water, natural and agricultural areas)</t>
  </si>
  <si>
    <t>square kilometers</t>
  </si>
  <si>
    <t>* Division and Region Map can be found in the Maps sheet.</t>
  </si>
  <si>
    <t>B. Planning Base Year and Target Years</t>
  </si>
  <si>
    <t>Year</t>
  </si>
  <si>
    <t>Base Year</t>
  </si>
  <si>
    <t>Acceptable range [2018,2021]</t>
  </si>
  <si>
    <t>End Year</t>
  </si>
  <si>
    <t>C. City Population and GDP</t>
  </si>
  <si>
    <t>Population in Base Year</t>
  </si>
  <si>
    <t>Thousand of people</t>
  </si>
  <si>
    <t>Annual population growth (Base Year - End Year)</t>
  </si>
  <si>
    <t>% people</t>
  </si>
  <si>
    <t>GDP in Base Year</t>
  </si>
  <si>
    <t>Million US$</t>
  </si>
  <si>
    <t>Annual GDP growth rate</t>
  </si>
  <si>
    <t>% US$</t>
  </si>
  <si>
    <t>Share of manufacturing GDP</t>
  </si>
  <si>
    <t>Share of State population</t>
  </si>
  <si>
    <t>Share of State GDP</t>
  </si>
  <si>
    <t>Adjustment from state manufacturing GDP</t>
  </si>
  <si>
    <t>D. Climate Data</t>
  </si>
  <si>
    <t>Heating degree days (HDD)</t>
  </si>
  <si>
    <t>F</t>
  </si>
  <si>
    <t>Cooling degree days (CDD)</t>
  </si>
  <si>
    <t>Correction from State HDD</t>
  </si>
  <si>
    <t>Correction from State CDD</t>
  </si>
  <si>
    <t>Annual precipitation</t>
  </si>
  <si>
    <t>mm / year</t>
  </si>
  <si>
    <t>Climate change scenario</t>
  </si>
  <si>
    <t>RCP4.5</t>
  </si>
  <si>
    <t>Average temperature increase in 1980-2020</t>
  </si>
  <si>
    <t>Forecasted average temperature increase in 2035-2065</t>
  </si>
  <si>
    <t>Forecasted average temperature increase in 2070-2100</t>
  </si>
  <si>
    <t>*Climate change scenario description can be found in the Lists sheet.</t>
  </si>
  <si>
    <t>E. Energy scenario</t>
  </si>
  <si>
    <t>AEO energy scenario</t>
  </si>
  <si>
    <t>lowmachighZTC</t>
  </si>
  <si>
    <t>Electricity technology scenario</t>
  </si>
  <si>
    <t>Moderate</t>
  </si>
  <si>
    <t>Transport technology scenario</t>
  </si>
  <si>
    <t>Mid</t>
  </si>
  <si>
    <t>District energy</t>
  </si>
  <si>
    <t>Yes</t>
  </si>
  <si>
    <t>* Energy scenario description can be foundin the Lists sheet.</t>
  </si>
  <si>
    <t>2023 Dollar / GJ</t>
  </si>
  <si>
    <t>GHGI Sector</t>
  </si>
  <si>
    <t>GHGI Energy</t>
  </si>
  <si>
    <t>AEO Sector</t>
  </si>
  <si>
    <t>AEO Energy</t>
  </si>
  <si>
    <t>Description</t>
  </si>
  <si>
    <t>Multiplicateur</t>
  </si>
  <si>
    <t>Commodity Label</t>
  </si>
  <si>
    <t>Residential</t>
  </si>
  <si>
    <t>LPG</t>
  </si>
  <si>
    <t>Propane</t>
  </si>
  <si>
    <t>Hydrocarbon gas liquids price in the residential sector</t>
  </si>
  <si>
    <t>RESLPG</t>
  </si>
  <si>
    <t>Fuel oil</t>
  </si>
  <si>
    <t>Distillate Fuel Oil</t>
  </si>
  <si>
    <t>Distillate fuel oil price in the residential sector</t>
  </si>
  <si>
    <t>RESFOI</t>
  </si>
  <si>
    <t>Kerosene</t>
  </si>
  <si>
    <t>Kerosene price in the residential sector</t>
  </si>
  <si>
    <t>RESKER</t>
  </si>
  <si>
    <t>Natural gas</t>
  </si>
  <si>
    <t>Natural Gas</t>
  </si>
  <si>
    <t>Natural gas price in the residential sector (including supplemental gaseous fuels)</t>
  </si>
  <si>
    <t>RESNGA</t>
  </si>
  <si>
    <t>RNG</t>
  </si>
  <si>
    <t>RESRNG</t>
  </si>
  <si>
    <t>Electricity</t>
  </si>
  <si>
    <t>Electricity price in the residential sector</t>
  </si>
  <si>
    <t>RESELC</t>
  </si>
  <si>
    <t>Hydrogen</t>
  </si>
  <si>
    <t>RESH2G</t>
  </si>
  <si>
    <t>Steam</t>
  </si>
  <si>
    <t>RESSTM</t>
  </si>
  <si>
    <t>Solar</t>
  </si>
  <si>
    <t>RESSOL</t>
  </si>
  <si>
    <t>Wind</t>
  </si>
  <si>
    <t>RESWND</t>
  </si>
  <si>
    <t>Commercial</t>
  </si>
  <si>
    <t>Hydrocarbon gas liquids price in the commercial sector</t>
  </si>
  <si>
    <t>COMLPG</t>
  </si>
  <si>
    <t>Diesel</t>
  </si>
  <si>
    <t>Distillate fuel oil price in the commercial sector</t>
  </si>
  <si>
    <t>COMDSL</t>
  </si>
  <si>
    <t>Residual Fuel Oil</t>
  </si>
  <si>
    <t>COMFOI</t>
  </si>
  <si>
    <t>Kerosene price in the commercial sector</t>
  </si>
  <si>
    <t>COMKER</t>
  </si>
  <si>
    <t>Gasoline</t>
  </si>
  <si>
    <t>Motor gasoline price in the commercial sector</t>
  </si>
  <si>
    <t>COMGSL</t>
  </si>
  <si>
    <t>Natural gas price in the commercial sector (including supplemental gaseous fuels)</t>
  </si>
  <si>
    <t>COMNGA</t>
  </si>
  <si>
    <t>COMRNG</t>
  </si>
  <si>
    <t>Electricity price in the commercial sector</t>
  </si>
  <si>
    <t>COMELC</t>
  </si>
  <si>
    <t>COMH2G</t>
  </si>
  <si>
    <t>COMSTM</t>
  </si>
  <si>
    <t>COMSOL</t>
  </si>
  <si>
    <t>COMWND</t>
  </si>
  <si>
    <t>Industrial</t>
  </si>
  <si>
    <t>Hydrocarbon gas liquids price in the industrial sector</t>
  </si>
  <si>
    <t>INDLPG</t>
  </si>
  <si>
    <t>Distillate fuel oil price in the industrial sector</t>
  </si>
  <si>
    <t>INDDSL</t>
  </si>
  <si>
    <t>Residual fuel oil price in the industrial sector</t>
  </si>
  <si>
    <t>INDFOI</t>
  </si>
  <si>
    <t>Kerosene price in the industrial sector</t>
  </si>
  <si>
    <t>INDKER</t>
  </si>
  <si>
    <t>Motor gasoline price in the industrial sector</t>
  </si>
  <si>
    <t>INDGSL</t>
  </si>
  <si>
    <t>Natural gas price in the industrial sector (including supplemental gaseous fuels)</t>
  </si>
  <si>
    <t>INDNGA</t>
  </si>
  <si>
    <t>INDRNG</t>
  </si>
  <si>
    <t>Petcoke</t>
  </si>
  <si>
    <t>Metallurgical Coal</t>
  </si>
  <si>
    <t>Coal price in the industrial sector</t>
  </si>
  <si>
    <t>INDPCK</t>
  </si>
  <si>
    <t>Coal</t>
  </si>
  <si>
    <t>Other Industrial Coal</t>
  </si>
  <si>
    <t>INDCOA</t>
  </si>
  <si>
    <t>Electricity price in the industrial sector</t>
  </si>
  <si>
    <t>INDELC</t>
  </si>
  <si>
    <t>INDH2G</t>
  </si>
  <si>
    <t>INDSTM</t>
  </si>
  <si>
    <t>INDSOL</t>
  </si>
  <si>
    <t>INDWND</t>
  </si>
  <si>
    <t>Transportation</t>
  </si>
  <si>
    <t>Hydrocarbon gas liquids price in the transportation sector</t>
  </si>
  <si>
    <t>TRALPG</t>
  </si>
  <si>
    <t>Ethanol</t>
  </si>
  <si>
    <t>E85</t>
  </si>
  <si>
    <t>Motor gasoline price in the transportation sector</t>
  </si>
  <si>
    <t>TRAETH</t>
  </si>
  <si>
    <t>Motor Gasoline</t>
  </si>
  <si>
    <t>TRAGSL</t>
  </si>
  <si>
    <t>Aviation gasoline</t>
  </si>
  <si>
    <t>Jet Fuel</t>
  </si>
  <si>
    <t>Aviation gasoline price in the transportation sector</t>
  </si>
  <si>
    <t>TRAAGA</t>
  </si>
  <si>
    <t>Aviation turbo-fuel</t>
  </si>
  <si>
    <t>Jet fuel price in the transportation sector</t>
  </si>
  <si>
    <t>TRAATF</t>
  </si>
  <si>
    <t>Sustainable aviation fuel</t>
  </si>
  <si>
    <t>TRASAF</t>
  </si>
  <si>
    <t>Diesel Fuel (distillate fuel oil)</t>
  </si>
  <si>
    <t>Distillate fuel oil price in the transportation sector</t>
  </si>
  <si>
    <t>TRADSL</t>
  </si>
  <si>
    <t>Renewable diesel</t>
  </si>
  <si>
    <t>TRARDS</t>
  </si>
  <si>
    <t>Bio diesel</t>
  </si>
  <si>
    <t>TRABDS</t>
  </si>
  <si>
    <t>Residual fuel oil average price, all end-use sectors</t>
  </si>
  <si>
    <t>TRAFOI</t>
  </si>
  <si>
    <t>Compressed Natural gas</t>
  </si>
  <si>
    <t>Natural gas price in the transportation sector</t>
  </si>
  <si>
    <t>TRACNG</t>
  </si>
  <si>
    <t>TRARNG</t>
  </si>
  <si>
    <t>Electricity price in the transportation sector</t>
  </si>
  <si>
    <t>TRAELC</t>
  </si>
  <si>
    <t>TRAH2G</t>
  </si>
  <si>
    <t>Electric Power</t>
  </si>
  <si>
    <t>Distillate fuel oil price in the electric power sector</t>
  </si>
  <si>
    <t>ELCDSL</t>
  </si>
  <si>
    <t>Residual fuel oil price in the electric power sector</t>
  </si>
  <si>
    <t>ELCFOI</t>
  </si>
  <si>
    <t>Natural gas price in the electric power sector (including supplemental gaseous fuels)</t>
  </si>
  <si>
    <t>ELCNGA</t>
  </si>
  <si>
    <t>ELCRNG</t>
  </si>
  <si>
    <t>Steam Coal</t>
  </si>
  <si>
    <t>Coal price in the electric power sector</t>
  </si>
  <si>
    <t>ELCCOA</t>
  </si>
  <si>
    <t>Uranium</t>
  </si>
  <si>
    <t>Nuclear fuel price in the electric power sector</t>
  </si>
  <si>
    <t>ELCURN</t>
  </si>
  <si>
    <t>Biomass</t>
  </si>
  <si>
    <t>ELCBIO</t>
  </si>
  <si>
    <t>Other bioenergy</t>
  </si>
  <si>
    <t>ELCOTB</t>
  </si>
  <si>
    <t>Waste</t>
  </si>
  <si>
    <t>ELCWAS</t>
  </si>
  <si>
    <t>Waste heat</t>
  </si>
  <si>
    <t>ELCHET</t>
  </si>
  <si>
    <t>ELCSTM</t>
  </si>
  <si>
    <t>Geothermal</t>
  </si>
  <si>
    <t>ELCGEO</t>
  </si>
  <si>
    <t>ELCWND</t>
  </si>
  <si>
    <t>Hydro</t>
  </si>
  <si>
    <t>ELCHYD</t>
  </si>
  <si>
    <t>ELCSOL</t>
  </si>
  <si>
    <t>WASLPG</t>
  </si>
  <si>
    <t>WASDSL</t>
  </si>
  <si>
    <t>WASFOI</t>
  </si>
  <si>
    <t>WASKER</t>
  </si>
  <si>
    <t>WASGSL</t>
  </si>
  <si>
    <t>WASNGA</t>
  </si>
  <si>
    <t>WASRNG</t>
  </si>
  <si>
    <t>WASPCK</t>
  </si>
  <si>
    <t>WASCOA</t>
  </si>
  <si>
    <t>WASELC</t>
  </si>
  <si>
    <t>WASH2G</t>
  </si>
  <si>
    <t>WASSOL</t>
  </si>
  <si>
    <t>WASWND</t>
  </si>
  <si>
    <t>~FI_Process</t>
  </si>
  <si>
    <t>Sets</t>
  </si>
  <si>
    <t>Region</t>
  </si>
  <si>
    <t>TechName</t>
  </si>
  <si>
    <t>TechDesc</t>
  </si>
  <si>
    <t>Tact</t>
  </si>
  <si>
    <t>Tcap</t>
  </si>
  <si>
    <t>Tslvl</t>
  </si>
  <si>
    <t>PrimaryCG</t>
  </si>
  <si>
    <t>Vintage</t>
  </si>
  <si>
    <t>*Process Set Membership</t>
  </si>
  <si>
    <t>Technology Name</t>
  </si>
  <si>
    <t>Technology Description</t>
  </si>
  <si>
    <t>Activity Unit</t>
  </si>
  <si>
    <t>Capacity Unit</t>
  </si>
  <si>
    <t>TimeSlice level of Process Activity</t>
  </si>
  <si>
    <t>Primary Commodity Group</t>
  </si>
  <si>
    <t>Vintage Tracking</t>
  </si>
  <si>
    <t>PRE</t>
  </si>
  <si>
    <t>CITY</t>
  </si>
  <si>
    <t>TJ</t>
  </si>
  <si>
    <t>TJa</t>
  </si>
  <si>
    <t>DAYNITE</t>
  </si>
  <si>
    <t>CITY,EGRID</t>
  </si>
  <si>
    <t>*</t>
  </si>
  <si>
    <t>MIN</t>
  </si>
  <si>
    <t>~FI_Comm</t>
  </si>
  <si>
    <t>Csets</t>
  </si>
  <si>
    <t>CommName</t>
  </si>
  <si>
    <t>CommDesc</t>
  </si>
  <si>
    <t>Unit</t>
  </si>
  <si>
    <t>LimType</t>
  </si>
  <si>
    <t>CTSLvl</t>
  </si>
  <si>
    <t>PeakTS</t>
  </si>
  <si>
    <t>Ctype</t>
  </si>
  <si>
    <t>*Commodity Set Membership</t>
  </si>
  <si>
    <t>Commodity Name</t>
  </si>
  <si>
    <t>Commodity Description</t>
  </si>
  <si>
    <t>Sense of the Balance EQN.</t>
  </si>
  <si>
    <t>Timeslice Level</t>
  </si>
  <si>
    <t>Peak Monitoring</t>
  </si>
  <si>
    <t>Electricity Indicator</t>
  </si>
  <si>
    <t>NRG</t>
  </si>
  <si>
    <t>ANNUAL</t>
  </si>
  <si>
    <t>ELC</t>
  </si>
  <si>
    <t>Residential Steam</t>
  </si>
  <si>
    <t>LTHEAT</t>
  </si>
  <si>
    <t>Commercial Steam</t>
  </si>
  <si>
    <t>ENV</t>
  </si>
  <si>
    <t>CO2</t>
  </si>
  <si>
    <t>Carbon dioxide</t>
  </si>
  <si>
    <t>t</t>
  </si>
  <si>
    <t>CH4</t>
  </si>
  <si>
    <t>Methane</t>
  </si>
  <si>
    <t>N2O</t>
  </si>
  <si>
    <t>Nitrous oxide</t>
  </si>
  <si>
    <t>NOX</t>
  </si>
  <si>
    <t>SO2</t>
  </si>
  <si>
    <t>PM25</t>
  </si>
  <si>
    <t>PM10</t>
  </si>
  <si>
    <t>ELCCO2</t>
  </si>
  <si>
    <t>Electricity Carbon dioxide</t>
  </si>
  <si>
    <t>ELCCH4</t>
  </si>
  <si>
    <t>Electricity Methane</t>
  </si>
  <si>
    <t>ELCN2O</t>
  </si>
  <si>
    <t>Electricity Nitrous oxide</t>
  </si>
  <si>
    <t>ELCNOX</t>
  </si>
  <si>
    <t>Electricity NOX</t>
  </si>
  <si>
    <t>ELCSO2</t>
  </si>
  <si>
    <t>Electricity SO2</t>
  </si>
  <si>
    <t>ELCPM25</t>
  </si>
  <si>
    <t>Electricity PM25</t>
  </si>
  <si>
    <t>ELCPM10</t>
  </si>
  <si>
    <t>Electricity PM10</t>
  </si>
  <si>
    <t>TRACO2</t>
  </si>
  <si>
    <t>Transportation Carbon dioxide</t>
  </si>
  <si>
    <t>TRACH4</t>
  </si>
  <si>
    <t>Transportation Methane</t>
  </si>
  <si>
    <t>TRAN2O</t>
  </si>
  <si>
    <t>Transportation Nitrous oxide</t>
  </si>
  <si>
    <t>TRANOX</t>
  </si>
  <si>
    <t>Transportation NOX</t>
  </si>
  <si>
    <t>TRASO2</t>
  </si>
  <si>
    <t>Transportation SO2</t>
  </si>
  <si>
    <t>TRAPM25</t>
  </si>
  <si>
    <t>Transportation PM25</t>
  </si>
  <si>
    <t>TRAPM10</t>
  </si>
  <si>
    <t>Transportation PM10</t>
  </si>
  <si>
    <t>RESCO2</t>
  </si>
  <si>
    <t>Residential Carbon dioxide</t>
  </si>
  <si>
    <t>RESCH4</t>
  </si>
  <si>
    <t>Residential Methane</t>
  </si>
  <si>
    <t>RESN2O</t>
  </si>
  <si>
    <t>Residential Nitrous oxide</t>
  </si>
  <si>
    <t>RESNOX</t>
  </si>
  <si>
    <t>Residential NOX</t>
  </si>
  <si>
    <t>RESSO2</t>
  </si>
  <si>
    <t>Residential SO2</t>
  </si>
  <si>
    <t>RESPM25</t>
  </si>
  <si>
    <t>Residential PM25</t>
  </si>
  <si>
    <t>RESPM10</t>
  </si>
  <si>
    <t>Residential PM10</t>
  </si>
  <si>
    <t>COMCO2</t>
  </si>
  <si>
    <t>Commercial Carbon dioxide</t>
  </si>
  <si>
    <t>COMCH4</t>
  </si>
  <si>
    <t>Commercial Methane</t>
  </si>
  <si>
    <t>COMN2O</t>
  </si>
  <si>
    <t>Commercial Nitrous oxide</t>
  </si>
  <si>
    <t>COMNOX</t>
  </si>
  <si>
    <t>Commercial NOX</t>
  </si>
  <si>
    <t>COMSO2</t>
  </si>
  <si>
    <t>Commercial SO2</t>
  </si>
  <si>
    <t>COMPM25</t>
  </si>
  <si>
    <t>Commercial PM25</t>
  </si>
  <si>
    <t>COMPM10</t>
  </si>
  <si>
    <t>Commercial PM10</t>
  </si>
  <si>
    <t>INDCO2</t>
  </si>
  <si>
    <t>Industry Carbon dioxide</t>
  </si>
  <si>
    <t>INDCH4</t>
  </si>
  <si>
    <t>Industry Methane</t>
  </si>
  <si>
    <t>INDN2O</t>
  </si>
  <si>
    <t>Industry Nitrous oxide</t>
  </si>
  <si>
    <t>INDNOX</t>
  </si>
  <si>
    <t>Industry NOX</t>
  </si>
  <si>
    <t>INDSO2</t>
  </si>
  <si>
    <t>Industry SO2</t>
  </si>
  <si>
    <t>INDPM25</t>
  </si>
  <si>
    <t>Industry PM25</t>
  </si>
  <si>
    <t>INDPM10</t>
  </si>
  <si>
    <t>Industry PM10</t>
  </si>
  <si>
    <t>WASCO2</t>
  </si>
  <si>
    <t>Waste Carbon dioxide</t>
  </si>
  <si>
    <t>WASCH4</t>
  </si>
  <si>
    <t>Waste Methane</t>
  </si>
  <si>
    <t>WASN2O</t>
  </si>
  <si>
    <t>Waste Nitrous oxide</t>
  </si>
  <si>
    <t>WASNOX</t>
  </si>
  <si>
    <t>Waste NOX</t>
  </si>
  <si>
    <t>WASSO2</t>
  </si>
  <si>
    <t>Waste SO2</t>
  </si>
  <si>
    <t>WASPM25</t>
  </si>
  <si>
    <t>Waste PM25</t>
  </si>
  <si>
    <t>WASPM10</t>
  </si>
  <si>
    <t>Waste PM10</t>
  </si>
  <si>
    <t>CO2e</t>
  </si>
  <si>
    <t>Carbon dioxide equivalent</t>
  </si>
  <si>
    <t>ELCCO2e</t>
  </si>
  <si>
    <t>Electricity Carbon dioxide equivalent</t>
  </si>
  <si>
    <t>TRACO2e</t>
  </si>
  <si>
    <t>Transportation Carbon dioxide equivalent</t>
  </si>
  <si>
    <t>RESCO2e</t>
  </si>
  <si>
    <t>Residential Carbon dioxide equivalent</t>
  </si>
  <si>
    <t>COMCO2e</t>
  </si>
  <si>
    <t>Commercial Carbon dioxide equivalent</t>
  </si>
  <si>
    <t>INDCO2e</t>
  </si>
  <si>
    <t>Industry Carbon dioxide equivalent</t>
  </si>
  <si>
    <t>WASCO2e</t>
  </si>
  <si>
    <t>Waste Carbon dioxide equivalent</t>
  </si>
  <si>
    <t>~FI_T</t>
  </si>
  <si>
    <t>Comm-IN</t>
  </si>
  <si>
    <t>Comm-OUT</t>
  </si>
  <si>
    <t>Attribute</t>
  </si>
  <si>
    <t>EGRID</t>
  </si>
  <si>
    <t>Input</t>
  </si>
  <si>
    <t>ACT_COST</t>
  </si>
  <si>
    <t>NCAP_PKCNT</t>
  </si>
  <si>
    <t>Out/In</t>
  </si>
  <si>
    <t>%</t>
  </si>
  <si>
    <t>$/GJ</t>
  </si>
  <si>
    <t>~COMAGG</t>
  </si>
  <si>
    <t>WASCO2Pe</t>
  </si>
  <si>
    <t>WASCO2P</t>
  </si>
  <si>
    <t>WASCH4P</t>
  </si>
  <si>
    <t>WASN2OP</t>
  </si>
  <si>
    <t>commodity_map</t>
  </si>
  <si>
    <t>dimension</t>
  </si>
  <si>
    <t>name</t>
  </si>
  <si>
    <t>description</t>
  </si>
  <si>
    <t>Sector</t>
  </si>
  <si>
    <t>Fuel</t>
  </si>
  <si>
    <t>Carbon dioxyde eq.</t>
  </si>
  <si>
    <t>FOI</t>
  </si>
  <si>
    <t>KER</t>
  </si>
  <si>
    <t>NGA</t>
  </si>
  <si>
    <t>H2G</t>
  </si>
  <si>
    <t>DSL</t>
  </si>
  <si>
    <t>GSL</t>
  </si>
  <si>
    <t>PCK</t>
  </si>
  <si>
    <t>COA</t>
  </si>
  <si>
    <t>ETH</t>
  </si>
  <si>
    <t>AGA</t>
  </si>
  <si>
    <t>ATF</t>
  </si>
  <si>
    <t>SAF</t>
  </si>
  <si>
    <t>RDS</t>
  </si>
  <si>
    <t>BDS</t>
  </si>
  <si>
    <t>CNG</t>
  </si>
  <si>
    <t>URN</t>
  </si>
  <si>
    <t>SOL</t>
  </si>
  <si>
    <t>WND</t>
  </si>
  <si>
    <t>BIO</t>
  </si>
  <si>
    <t>OTB</t>
  </si>
  <si>
    <t>WAS</t>
  </si>
  <si>
    <t>HET</t>
  </si>
  <si>
    <t>STM</t>
  </si>
  <si>
    <t>GEO</t>
  </si>
  <si>
    <t>HYD</t>
  </si>
  <si>
    <t>CELC</t>
  </si>
  <si>
    <t>Centralized Electricity</t>
  </si>
  <si>
    <t>CH2G</t>
  </si>
  <si>
    <t>Centralized Hydrogen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</si>
</sst>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-* #,##0.00_-;\-* #,##0.00_-;_-* &quot;-&quot;??_-;_-@_-"/>
  </numFmts>
  <fonts count="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name val="Arial"/>
      <family val="2"/>
    </font>
    <font>
      <b/>
      <sz val="11"/>
      <color rgb="FF0070C0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10"/>
      <color indexed="12"/>
      <name val="Arial"/>
      <family val="2"/>
    </font>
    <font>
      <sz val="10"/>
      <color indexed="9"/>
      <name val="Arial"/>
      <family val="2"/>
    </font>
    <font>
      <sz val="9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8"/>
        <bgColor indexed="64"/>
      </patternFill>
    </fill>
  </fills>
  <borders count="3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</borders>
  <cellStyleXfs count="6">
    <xf numFmtId="0" fontId="0" fillId="0" borderId="0"/>
    <xf numFmtId="0" fontId="2" fillId="0" borderId="0"/>
    <xf numFmtId="0" fontId="2" fillId="0" borderId="0"/>
    <xf numFmtId="0" fontId="2" fillId="0" borderId="0"/>
    <xf numFmtId="43" fontId="2" fillId="0" borderId="0"/>
    <xf numFmtId="164" fontId="2" fillId="0" borderId="0"/>
  </cellStyleXfs>
  <cellXfs count="16">
    <xf numFmtId="0" fontId="0" fillId="0" borderId="0" xfId="0"/>
    <xf numFmtId="0" fontId="3" fillId="2" borderId="1" xfId="0" applyFont="1" applyFill="1" applyBorder="1"/>
    <xf numFmtId="0" fontId="2" fillId="3" borderId="2" xfId="1" applyFill="1" applyBorder="1" applyAlignment="1">
      <alignment horizontal="left" wrapText="1"/>
    </xf>
    <xf numFmtId="0" fontId="4" fillId="0" borderId="0" xfId="0" applyFont="1"/>
    <xf numFmtId="0" fontId="0" fillId="4" borderId="0" xfId="0" applyFill="1"/>
    <xf numFmtId="0" fontId="1" fillId="4" borderId="0" xfId="0" applyFont="1" applyFill="1"/>
    <xf numFmtId="2" fontId="0" fillId="0" borderId="0" xfId="0" applyNumberFormat="1"/>
    <xf numFmtId="0" fontId="5" fillId="4" borderId="0" xfId="0" applyFont="1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2" fillId="0" borderId="0" xfId="2"/>
    <xf numFmtId="0" fontId="6" fillId="0" borderId="0" xfId="2" applyFont="1" applyAlignment="1">
      <alignment horizontal="left"/>
    </xf>
    <xf numFmtId="0" fontId="7" fillId="0" borderId="0" xfId="2" applyFont="1"/>
    <xf numFmtId="0" fontId="8" fillId="2" borderId="0" xfId="2" applyFont="1" applyFill="1"/>
  </cellXfs>
  <cellStyles count="6">
    <cellStyle name="Comma 2" xfId="4" xr:uid="{00000000-0005-0000-0000-000004000000}"/>
    <cellStyle name="Comma 2 2" xfId="5" xr:uid="{00000000-0005-0000-0000-000005000000}"/>
    <cellStyle name="Normal" xfId="0" builtinId="0"/>
    <cellStyle name="Normal 10" xfId="1" xr:uid="{00000000-0005-0000-0000-000001000000}"/>
    <cellStyle name="Normal 10 2" xfId="2" xr:uid="{00000000-0005-0000-0000-000002000000}"/>
    <cellStyle name="Normal 4" xfId="3" xr:uid="{00000000-0005-0000-0000-000003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0"/>
  <sheetViews>
    <sheetView workbookViewId="0">
      <selection activeCell="E23" sqref="E23"/>
    </sheetView>
  </sheetViews>
  <sheetFormatPr defaultColWidth="8.85546875" defaultRowHeight="15" x14ac:dyDescent="0.25"/>
  <cols>
    <col min="1" max="30" width="8.85546875" style="4" customWidth="1"/>
    <col min="31" max="16384" width="8.85546875" style="4"/>
  </cols>
  <sheetData>
    <row r="1" spans="1:3" s="7" customFormat="1" ht="23.45" customHeight="1" x14ac:dyDescent="0.35">
      <c r="A1" s="7" t="s">
        <v>0</v>
      </c>
    </row>
    <row r="2" spans="1:3" s="7" customFormat="1" ht="23.45" customHeight="1" x14ac:dyDescent="0.35"/>
    <row r="3" spans="1:3" x14ac:dyDescent="0.25">
      <c r="B3" s="5" t="s">
        <v>1</v>
      </c>
    </row>
    <row r="4" spans="1:3" x14ac:dyDescent="0.25">
      <c r="B4" s="8"/>
      <c r="C4" s="4" t="s">
        <v>2</v>
      </c>
    </row>
    <row r="6" spans="1:3" x14ac:dyDescent="0.25">
      <c r="B6" s="9"/>
      <c r="C6" s="4" t="s">
        <v>3</v>
      </c>
    </row>
    <row r="8" spans="1:3" x14ac:dyDescent="0.25">
      <c r="B8" s="10"/>
      <c r="C8" s="4" t="s">
        <v>4</v>
      </c>
    </row>
    <row r="10" spans="1:3" x14ac:dyDescent="0.25">
      <c r="B10" s="11"/>
      <c r="C10" s="4" t="s">
        <v>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7" tint="0.39997558519241921"/>
  </sheetPr>
  <dimension ref="A1"/>
  <sheetViews>
    <sheetView workbookViewId="0">
      <selection activeCell="E23" sqref="E23"/>
    </sheetView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2:F54"/>
  <sheetViews>
    <sheetView zoomScaleNormal="100" workbookViewId="0">
      <selection activeCell="F6" sqref="F6"/>
    </sheetView>
  </sheetViews>
  <sheetFormatPr defaultColWidth="8.85546875" defaultRowHeight="15" x14ac:dyDescent="0.25"/>
  <cols>
    <col min="1" max="1" width="8.85546875" style="4" customWidth="1"/>
    <col min="2" max="2" width="47.7109375" style="4" customWidth="1"/>
    <col min="3" max="3" width="26.140625" style="4" customWidth="1"/>
    <col min="4" max="4" width="14.42578125" style="4" customWidth="1"/>
    <col min="5" max="13" width="10.85546875" style="4" customWidth="1"/>
    <col min="14" max="43" width="8.85546875" style="4" customWidth="1"/>
    <col min="44" max="16384" width="8.85546875" style="4"/>
  </cols>
  <sheetData>
    <row r="2" spans="2:4" ht="18" customHeight="1" thickBot="1" x14ac:dyDescent="0.3">
      <c r="B2" t="s">
        <v>6</v>
      </c>
    </row>
    <row r="3" spans="2:4" ht="15" customHeight="1" thickTop="1" x14ac:dyDescent="0.25"/>
    <row r="4" spans="2:4" ht="15" customHeight="1" thickBot="1" x14ac:dyDescent="0.3">
      <c r="B4" t="s">
        <v>7</v>
      </c>
      <c r="C4" t="s">
        <v>8</v>
      </c>
    </row>
    <row r="6" spans="2:4" x14ac:dyDescent="0.25">
      <c r="B6" t="s">
        <v>9</v>
      </c>
    </row>
    <row r="7" spans="2:4" ht="15" customHeight="1" thickBot="1" x14ac:dyDescent="0.3">
      <c r="B7" t="s">
        <v>10</v>
      </c>
      <c r="C7" t="s">
        <v>11</v>
      </c>
      <c r="D7" t="s">
        <v>12</v>
      </c>
    </row>
    <row r="8" spans="2:4" x14ac:dyDescent="0.25">
      <c r="B8" t="s">
        <v>13</v>
      </c>
      <c r="C8" t="s">
        <v>14</v>
      </c>
    </row>
    <row r="9" spans="2:4" x14ac:dyDescent="0.25">
      <c r="B9" t="s">
        <v>15</v>
      </c>
      <c r="C9">
        <v>40.5</v>
      </c>
    </row>
    <row r="10" spans="2:4" x14ac:dyDescent="0.25">
      <c r="B10" t="s">
        <v>16</v>
      </c>
      <c r="C10">
        <v>-75</v>
      </c>
    </row>
    <row r="11" spans="2:4" x14ac:dyDescent="0.25">
      <c r="B11" t="s">
        <v>17</v>
      </c>
      <c r="C11" t="s">
        <v>18</v>
      </c>
    </row>
    <row r="12" spans="2:4" x14ac:dyDescent="0.25">
      <c r="B12" t="s">
        <v>19</v>
      </c>
      <c r="C12" t="s">
        <v>14</v>
      </c>
    </row>
    <row r="13" spans="2:4" x14ac:dyDescent="0.25">
      <c r="B13" t="s">
        <v>20</v>
      </c>
      <c r="C13" t="s">
        <v>21</v>
      </c>
    </row>
    <row r="14" spans="2:4" x14ac:dyDescent="0.25">
      <c r="B14" t="s">
        <v>22</v>
      </c>
      <c r="C14" t="s">
        <v>23</v>
      </c>
    </row>
    <row r="15" spans="2:4" x14ac:dyDescent="0.25">
      <c r="B15" t="s">
        <v>24</v>
      </c>
      <c r="C15" t="s">
        <v>25</v>
      </c>
    </row>
    <row r="16" spans="2:4" x14ac:dyDescent="0.25">
      <c r="B16" t="s">
        <v>26</v>
      </c>
      <c r="C16">
        <v>778</v>
      </c>
      <c r="D16" t="s">
        <v>27</v>
      </c>
    </row>
    <row r="17" spans="2:4" x14ac:dyDescent="0.25">
      <c r="B17" t="s">
        <v>28</v>
      </c>
    </row>
    <row r="18" spans="2:4" x14ac:dyDescent="0.25">
      <c r="B18" t="s">
        <v>29</v>
      </c>
    </row>
    <row r="19" spans="2:4" ht="15" customHeight="1" thickBot="1" x14ac:dyDescent="0.3">
      <c r="B19" t="s">
        <v>30</v>
      </c>
      <c r="C19" t="s">
        <v>11</v>
      </c>
      <c r="D19" t="s">
        <v>12</v>
      </c>
    </row>
    <row r="20" spans="2:4" x14ac:dyDescent="0.25">
      <c r="B20" t="s">
        <v>31</v>
      </c>
      <c r="C20">
        <v>2019</v>
      </c>
      <c r="D20" t="s">
        <v>32</v>
      </c>
    </row>
    <row r="21" spans="2:4" x14ac:dyDescent="0.25">
      <c r="B21" t="s">
        <v>33</v>
      </c>
      <c r="C21">
        <v>2050</v>
      </c>
    </row>
    <row r="23" spans="2:4" x14ac:dyDescent="0.25">
      <c r="B23" t="s">
        <v>34</v>
      </c>
    </row>
    <row r="24" spans="2:4" ht="15" customHeight="1" thickBot="1" x14ac:dyDescent="0.3">
      <c r="B24" t="s">
        <v>10</v>
      </c>
      <c r="C24" t="s">
        <v>11</v>
      </c>
      <c r="D24" t="s">
        <v>12</v>
      </c>
    </row>
    <row r="25" spans="2:4" x14ac:dyDescent="0.25">
      <c r="B25" t="s">
        <v>35</v>
      </c>
      <c r="C25">
        <v>8337</v>
      </c>
      <c r="D25" t="s">
        <v>36</v>
      </c>
    </row>
    <row r="26" spans="2:4" x14ac:dyDescent="0.25">
      <c r="B26" t="s">
        <v>37</v>
      </c>
      <c r="C26">
        <v>0.5</v>
      </c>
      <c r="D26" t="s">
        <v>38</v>
      </c>
    </row>
    <row r="27" spans="2:4" x14ac:dyDescent="0.25">
      <c r="B27" t="s">
        <v>39</v>
      </c>
      <c r="C27">
        <v>1206000</v>
      </c>
      <c r="D27" t="s">
        <v>40</v>
      </c>
    </row>
    <row r="28" spans="2:4" x14ac:dyDescent="0.25">
      <c r="B28" t="s">
        <v>41</v>
      </c>
      <c r="C28">
        <v>2</v>
      </c>
      <c r="D28" t="s">
        <v>42</v>
      </c>
    </row>
    <row r="29" spans="2:4" x14ac:dyDescent="0.25">
      <c r="B29" t="s">
        <v>43</v>
      </c>
      <c r="C29">
        <v>5</v>
      </c>
      <c r="D29" t="s">
        <v>42</v>
      </c>
    </row>
    <row r="30" spans="2:4" x14ac:dyDescent="0.25">
      <c r="B30" t="s">
        <v>44</v>
      </c>
      <c r="C30">
        <v>0.42835123053999902</v>
      </c>
    </row>
    <row r="31" spans="2:4" x14ac:dyDescent="0.25">
      <c r="B31" t="s">
        <v>45</v>
      </c>
      <c r="C31">
        <v>0.67251771953144812</v>
      </c>
    </row>
    <row r="32" spans="2:4" x14ac:dyDescent="0.25">
      <c r="B32" t="s">
        <v>46</v>
      </c>
      <c r="C32">
        <v>1.063829787234043</v>
      </c>
    </row>
    <row r="34" spans="2:6" x14ac:dyDescent="0.25">
      <c r="B34" t="s">
        <v>47</v>
      </c>
    </row>
    <row r="35" spans="2:6" ht="15" customHeight="1" thickBot="1" x14ac:dyDescent="0.3">
      <c r="B35" t="s">
        <v>10</v>
      </c>
      <c r="C35">
        <v>2000</v>
      </c>
      <c r="D35">
        <v>2050</v>
      </c>
      <c r="E35">
        <v>2100</v>
      </c>
      <c r="F35" t="s">
        <v>12</v>
      </c>
    </row>
    <row r="36" spans="2:6" x14ac:dyDescent="0.25">
      <c r="B36" t="s">
        <v>48</v>
      </c>
      <c r="C36">
        <v>4473.4625000000005</v>
      </c>
      <c r="D36">
        <v>4066.4182142857139</v>
      </c>
      <c r="E36">
        <v>3763.8582142857172</v>
      </c>
      <c r="F36" t="s">
        <v>49</v>
      </c>
    </row>
    <row r="37" spans="2:6" x14ac:dyDescent="0.25">
      <c r="B37" t="s">
        <v>50</v>
      </c>
      <c r="C37">
        <v>1020.733333333334</v>
      </c>
      <c r="D37">
        <v>1224.255476190476</v>
      </c>
      <c r="E37">
        <v>1375.5354761904771</v>
      </c>
      <c r="F37" t="s">
        <v>49</v>
      </c>
    </row>
    <row r="39" spans="2:6" ht="15" customHeight="1" thickBot="1" x14ac:dyDescent="0.3">
      <c r="B39" t="s">
        <v>10</v>
      </c>
      <c r="C39" t="s">
        <v>11</v>
      </c>
      <c r="D39" t="s">
        <v>12</v>
      </c>
    </row>
    <row r="40" spans="2:6" x14ac:dyDescent="0.25">
      <c r="B40" t="s">
        <v>51</v>
      </c>
      <c r="C40">
        <v>0.72727402048447432</v>
      </c>
    </row>
    <row r="41" spans="2:6" x14ac:dyDescent="0.25">
      <c r="B41" t="s">
        <v>52</v>
      </c>
      <c r="C41">
        <v>1.558371501272265</v>
      </c>
    </row>
    <row r="42" spans="2:6" x14ac:dyDescent="0.25">
      <c r="B42" t="s">
        <v>53</v>
      </c>
      <c r="C42">
        <v>762</v>
      </c>
      <c r="D42" t="s">
        <v>54</v>
      </c>
    </row>
    <row r="43" spans="2:6" x14ac:dyDescent="0.25">
      <c r="B43" t="s">
        <v>55</v>
      </c>
      <c r="C43" t="s">
        <v>56</v>
      </c>
    </row>
    <row r="44" spans="2:6" x14ac:dyDescent="0.25">
      <c r="B44" t="s">
        <v>57</v>
      </c>
      <c r="C44">
        <v>1.461785714285714</v>
      </c>
      <c r="D44" t="s">
        <v>49</v>
      </c>
    </row>
    <row r="45" spans="2:6" x14ac:dyDescent="0.25">
      <c r="B45" t="s">
        <v>58</v>
      </c>
      <c r="C45">
        <v>3.13</v>
      </c>
      <c r="D45" t="s">
        <v>49</v>
      </c>
    </row>
    <row r="46" spans="2:6" x14ac:dyDescent="0.25">
      <c r="B46" t="s">
        <v>59</v>
      </c>
      <c r="C46">
        <v>4.37</v>
      </c>
      <c r="D46" t="s">
        <v>49</v>
      </c>
    </row>
    <row r="47" spans="2:6" x14ac:dyDescent="0.25">
      <c r="B47" t="s">
        <v>60</v>
      </c>
    </row>
    <row r="48" spans="2:6" x14ac:dyDescent="0.25">
      <c r="B48" t="s">
        <v>61</v>
      </c>
    </row>
    <row r="49" spans="2:4" ht="15" customHeight="1" thickBot="1" x14ac:dyDescent="0.3">
      <c r="B49" t="s">
        <v>10</v>
      </c>
      <c r="C49" t="s">
        <v>11</v>
      </c>
      <c r="D49" t="s">
        <v>12</v>
      </c>
    </row>
    <row r="50" spans="2:4" x14ac:dyDescent="0.25">
      <c r="B50" t="s">
        <v>62</v>
      </c>
      <c r="C50" t="s">
        <v>63</v>
      </c>
    </row>
    <row r="51" spans="2:4" x14ac:dyDescent="0.25">
      <c r="B51" t="s">
        <v>64</v>
      </c>
      <c r="C51" t="s">
        <v>65</v>
      </c>
    </row>
    <row r="52" spans="2:4" x14ac:dyDescent="0.25">
      <c r="B52" t="s">
        <v>66</v>
      </c>
      <c r="C52" t="s">
        <v>67</v>
      </c>
    </row>
    <row r="53" spans="2:4" x14ac:dyDescent="0.25">
      <c r="B53" t="s">
        <v>68</v>
      </c>
      <c r="C53" t="s">
        <v>69</v>
      </c>
    </row>
    <row r="54" spans="2:4" x14ac:dyDescent="0.25">
      <c r="B54" t="s">
        <v>70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theme="9" tint="0.39997558519241921"/>
  </sheetPr>
  <dimension ref="A1"/>
  <sheetViews>
    <sheetView workbookViewId="0">
      <selection activeCell="H22" sqref="H22"/>
    </sheetView>
  </sheetViews>
  <sheetFormatPr defaultRowHeight="15" x14ac:dyDescent="0.25"/>
  <sheetData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C80"/>
  <sheetViews>
    <sheetView topLeftCell="A19" zoomScale="70" zoomScaleNormal="70" workbookViewId="0">
      <selection activeCell="B36" sqref="B36"/>
    </sheetView>
  </sheetViews>
  <sheetFormatPr defaultRowHeight="15" x14ac:dyDescent="0.25"/>
  <cols>
    <col min="1" max="1" width="13.7109375" bestFit="1" customWidth="1"/>
    <col min="2" max="2" width="22.7109375" bestFit="1" customWidth="1"/>
    <col min="3" max="3" width="13.7109375" bestFit="1" customWidth="1"/>
    <col min="4" max="4" width="27.85546875" bestFit="1" customWidth="1"/>
    <col min="5" max="5" width="75.5703125" bestFit="1" customWidth="1"/>
    <col min="6" max="6" width="10.7109375" customWidth="1"/>
    <col min="7" max="7" width="27.42578125" customWidth="1"/>
    <col min="8" max="8" width="16.28515625" bestFit="1" customWidth="1"/>
  </cols>
  <sheetData>
    <row r="1" spans="1:29" x14ac:dyDescent="0.25">
      <c r="H1" t="s">
        <v>71</v>
      </c>
    </row>
    <row r="2" spans="1:29" x14ac:dyDescent="0.25">
      <c r="A2" t="s">
        <v>72</v>
      </c>
      <c r="B2" t="s">
        <v>73</v>
      </c>
      <c r="C2" t="s">
        <v>74</v>
      </c>
      <c r="D2" t="s">
        <v>75</v>
      </c>
      <c r="E2" t="s">
        <v>76</v>
      </c>
      <c r="F2" t="s">
        <v>77</v>
      </c>
      <c r="G2" t="s">
        <v>78</v>
      </c>
      <c r="H2">
        <v>2019</v>
      </c>
      <c r="I2">
        <v>2020</v>
      </c>
      <c r="J2">
        <v>2021</v>
      </c>
      <c r="K2">
        <v>2022</v>
      </c>
      <c r="L2">
        <v>2023</v>
      </c>
      <c r="M2">
        <v>2024</v>
      </c>
      <c r="N2">
        <v>2025</v>
      </c>
      <c r="O2">
        <v>2030</v>
      </c>
      <c r="P2">
        <v>2035</v>
      </c>
      <c r="Q2">
        <v>2040</v>
      </c>
      <c r="R2">
        <v>2045</v>
      </c>
      <c r="S2">
        <v>2050</v>
      </c>
      <c r="T2">
        <v>2055</v>
      </c>
      <c r="U2">
        <v>2060</v>
      </c>
      <c r="V2">
        <v>2065</v>
      </c>
      <c r="W2">
        <v>2070</v>
      </c>
      <c r="X2">
        <v>2075</v>
      </c>
      <c r="Y2">
        <v>2080</v>
      </c>
      <c r="Z2">
        <v>2085</v>
      </c>
      <c r="AA2">
        <v>2090</v>
      </c>
      <c r="AB2">
        <v>2095</v>
      </c>
      <c r="AC2">
        <v>2100</v>
      </c>
    </row>
    <row r="3" spans="1:29" x14ac:dyDescent="0.25">
      <c r="A3" t="s">
        <v>79</v>
      </c>
      <c r="B3" t="s">
        <v>80</v>
      </c>
      <c r="C3" t="s">
        <v>79</v>
      </c>
      <c r="D3" t="s">
        <v>81</v>
      </c>
      <c r="E3" t="s">
        <v>82</v>
      </c>
      <c r="F3">
        <v>1</v>
      </c>
      <c r="G3" t="s">
        <v>83</v>
      </c>
      <c r="H3">
        <v>33.139282276855504</v>
      </c>
      <c r="I3">
        <v>28.40479248892813</v>
      </c>
      <c r="J3">
        <v>34.017648304355177</v>
      </c>
      <c r="K3">
        <v>36.740012601801659</v>
      </c>
      <c r="L3">
        <v>38.524661886623818</v>
      </c>
      <c r="M3">
        <v>38.534249602272091</v>
      </c>
      <c r="N3">
        <v>37.487506441701733</v>
      </c>
      <c r="O3">
        <v>36.540775308490318</v>
      </c>
      <c r="P3">
        <v>42.127352323597187</v>
      </c>
      <c r="Q3">
        <v>46.993145681004549</v>
      </c>
      <c r="R3">
        <v>51.097312431038382</v>
      </c>
      <c r="S3">
        <v>54.209147219371808</v>
      </c>
      <c r="T3">
        <v>54.209147219371808</v>
      </c>
      <c r="U3">
        <v>54.209147219371808</v>
      </c>
      <c r="V3">
        <v>54.209147219371808</v>
      </c>
      <c r="W3">
        <v>54.209147219371808</v>
      </c>
      <c r="X3">
        <v>54.209147219371808</v>
      </c>
      <c r="Y3">
        <v>54.209147219371808</v>
      </c>
      <c r="Z3">
        <v>54.209147219371808</v>
      </c>
      <c r="AA3">
        <v>54.209147219371808</v>
      </c>
      <c r="AB3">
        <v>54.209147219371808</v>
      </c>
      <c r="AC3">
        <v>54.209147219371808</v>
      </c>
    </row>
    <row r="4" spans="1:29" x14ac:dyDescent="0.25">
      <c r="A4" t="s">
        <v>79</v>
      </c>
      <c r="B4" t="s">
        <v>84</v>
      </c>
      <c r="C4" t="s">
        <v>79</v>
      </c>
      <c r="D4" t="s">
        <v>85</v>
      </c>
      <c r="E4" t="s">
        <v>86</v>
      </c>
      <c r="F4">
        <v>1</v>
      </c>
      <c r="G4" t="s">
        <v>87</v>
      </c>
      <c r="H4">
        <v>21.264372794315619</v>
      </c>
      <c r="I4">
        <v>17.088444679167988</v>
      </c>
      <c r="J4">
        <v>19.92401014423324</v>
      </c>
      <c r="K4">
        <v>21.518488792296559</v>
      </c>
      <c r="L4">
        <v>19.660522844879619</v>
      </c>
      <c r="M4">
        <v>18.790160036417891</v>
      </c>
      <c r="N4">
        <v>17.783448590788041</v>
      </c>
      <c r="O4">
        <v>17.917993422413289</v>
      </c>
      <c r="P4">
        <v>19.239677901023619</v>
      </c>
      <c r="Q4">
        <v>20.738887936986789</v>
      </c>
      <c r="R4">
        <v>22.093131907098801</v>
      </c>
      <c r="S4">
        <v>23.25884687222862</v>
      </c>
      <c r="T4">
        <v>23.25884687222862</v>
      </c>
      <c r="U4">
        <v>23.25884687222862</v>
      </c>
      <c r="V4">
        <v>23.25884687222862</v>
      </c>
      <c r="W4">
        <v>23.25884687222862</v>
      </c>
      <c r="X4">
        <v>23.25884687222862</v>
      </c>
      <c r="Y4">
        <v>23.25884687222862</v>
      </c>
      <c r="Z4">
        <v>23.25884687222862</v>
      </c>
      <c r="AA4">
        <v>23.25884687222862</v>
      </c>
      <c r="AB4">
        <v>23.25884687222862</v>
      </c>
      <c r="AC4">
        <v>23.25884687222862</v>
      </c>
    </row>
    <row r="5" spans="1:29" x14ac:dyDescent="0.25">
      <c r="A5" t="s">
        <v>79</v>
      </c>
      <c r="B5" t="s">
        <v>88</v>
      </c>
      <c r="C5" t="s">
        <v>79</v>
      </c>
      <c r="D5" t="s">
        <v>85</v>
      </c>
      <c r="E5" t="s">
        <v>89</v>
      </c>
      <c r="F5">
        <v>1</v>
      </c>
      <c r="G5" t="s">
        <v>90</v>
      </c>
      <c r="H5">
        <v>24.732951005959819</v>
      </c>
      <c r="I5">
        <v>15.77561813556207</v>
      </c>
      <c r="J5">
        <v>24.57544661685143</v>
      </c>
      <c r="K5">
        <v>26.542170414597098</v>
      </c>
      <c r="L5">
        <v>24.250445875905839</v>
      </c>
      <c r="M5">
        <v>23.17688916810447</v>
      </c>
      <c r="N5">
        <v>21.93515202726034</v>
      </c>
      <c r="O5">
        <v>22.101107540394661</v>
      </c>
      <c r="P5">
        <v>23.73135095591563</v>
      </c>
      <c r="Q5">
        <v>25.58056484104932</v>
      </c>
      <c r="R5">
        <v>27.2509690494769</v>
      </c>
      <c r="S5">
        <v>28.688830488445522</v>
      </c>
      <c r="T5">
        <v>28.688830488445522</v>
      </c>
      <c r="U5">
        <v>28.688830488445522</v>
      </c>
      <c r="V5">
        <v>28.688830488445522</v>
      </c>
      <c r="W5">
        <v>28.688830488445522</v>
      </c>
      <c r="X5">
        <v>28.688830488445522</v>
      </c>
      <c r="Y5">
        <v>28.688830488445522</v>
      </c>
      <c r="Z5">
        <v>28.688830488445522</v>
      </c>
      <c r="AA5">
        <v>28.688830488445522</v>
      </c>
      <c r="AB5">
        <v>28.688830488445522</v>
      </c>
      <c r="AC5">
        <v>28.688830488445522</v>
      </c>
    </row>
    <row r="6" spans="1:29" x14ac:dyDescent="0.25">
      <c r="A6" t="s">
        <v>79</v>
      </c>
      <c r="B6" t="s">
        <v>91</v>
      </c>
      <c r="C6" t="s">
        <v>79</v>
      </c>
      <c r="D6" t="s">
        <v>92</v>
      </c>
      <c r="E6" t="s">
        <v>93</v>
      </c>
      <c r="F6">
        <v>1</v>
      </c>
      <c r="G6" t="s">
        <v>94</v>
      </c>
      <c r="H6">
        <v>13.49873431410581</v>
      </c>
      <c r="I6">
        <v>13.43206000813332</v>
      </c>
      <c r="J6">
        <v>14.307990071302511</v>
      </c>
      <c r="K6">
        <v>15.4530298750489</v>
      </c>
      <c r="L6">
        <v>14.920711521748281</v>
      </c>
      <c r="M6">
        <v>13.391340093019449</v>
      </c>
      <c r="N6">
        <v>12.766540415977071</v>
      </c>
      <c r="O6">
        <v>12.38627375993603</v>
      </c>
      <c r="P6">
        <v>13.885006516207509</v>
      </c>
      <c r="Q6">
        <v>15.19974820513929</v>
      </c>
      <c r="R6">
        <v>16.020235201885939</v>
      </c>
      <c r="S6">
        <v>16.837250221437461</v>
      </c>
      <c r="T6">
        <v>16.837250221437461</v>
      </c>
      <c r="U6">
        <v>16.837250221437461</v>
      </c>
      <c r="V6">
        <v>16.837250221437461</v>
      </c>
      <c r="W6">
        <v>16.837250221437461</v>
      </c>
      <c r="X6">
        <v>16.837250221437461</v>
      </c>
      <c r="Y6">
        <v>16.837250221437461</v>
      </c>
      <c r="Z6">
        <v>16.837250221437461</v>
      </c>
      <c r="AA6">
        <v>16.837250221437461</v>
      </c>
      <c r="AB6">
        <v>16.837250221437461</v>
      </c>
      <c r="AC6">
        <v>16.837250221437461</v>
      </c>
    </row>
    <row r="7" spans="1:29" x14ac:dyDescent="0.25">
      <c r="A7" t="s">
        <v>79</v>
      </c>
      <c r="B7" t="s">
        <v>95</v>
      </c>
      <c r="C7" t="s">
        <v>79</v>
      </c>
      <c r="D7" t="s">
        <v>92</v>
      </c>
      <c r="E7" t="s">
        <v>93</v>
      </c>
      <c r="F7">
        <v>2</v>
      </c>
      <c r="G7" t="s">
        <v>96</v>
      </c>
      <c r="H7">
        <v>26.997468628211621</v>
      </c>
      <c r="I7">
        <v>26.864120016266639</v>
      </c>
      <c r="J7">
        <v>28.615980142605029</v>
      </c>
      <c r="K7">
        <v>30.90605975009781</v>
      </c>
      <c r="L7">
        <v>29.841423043496551</v>
      </c>
      <c r="M7">
        <v>26.78268018603891</v>
      </c>
      <c r="N7">
        <v>25.533080831954141</v>
      </c>
      <c r="O7">
        <v>24.772547519872059</v>
      </c>
      <c r="P7">
        <v>27.770013032415029</v>
      </c>
      <c r="Q7">
        <v>30.39949641027858</v>
      </c>
      <c r="R7">
        <v>32.040470403771877</v>
      </c>
      <c r="S7">
        <v>33.67450044287493</v>
      </c>
      <c r="T7">
        <v>33.67450044287493</v>
      </c>
      <c r="U7">
        <v>33.67450044287493</v>
      </c>
      <c r="V7">
        <v>33.67450044287493</v>
      </c>
      <c r="W7">
        <v>33.67450044287493</v>
      </c>
      <c r="X7">
        <v>33.67450044287493</v>
      </c>
      <c r="Y7">
        <v>33.67450044287493</v>
      </c>
      <c r="Z7">
        <v>33.67450044287493</v>
      </c>
      <c r="AA7">
        <v>33.67450044287493</v>
      </c>
      <c r="AB7">
        <v>33.67450044287493</v>
      </c>
      <c r="AC7">
        <v>33.67450044287493</v>
      </c>
    </row>
    <row r="8" spans="1:29" x14ac:dyDescent="0.25">
      <c r="A8" t="s">
        <v>79</v>
      </c>
      <c r="B8" t="s">
        <v>97</v>
      </c>
      <c r="C8" t="s">
        <v>79</v>
      </c>
      <c r="D8" t="s">
        <v>97</v>
      </c>
      <c r="E8" t="s">
        <v>98</v>
      </c>
      <c r="F8">
        <v>1</v>
      </c>
      <c r="G8" t="s">
        <v>99</v>
      </c>
      <c r="H8">
        <v>58.082115403902087</v>
      </c>
      <c r="I8">
        <v>58.393656675099763</v>
      </c>
      <c r="J8">
        <v>61.197470642050448</v>
      </c>
      <c r="K8">
        <v>66.094981712755981</v>
      </c>
      <c r="L8">
        <v>62.991998954101867</v>
      </c>
      <c r="M8">
        <v>60.939902156625031</v>
      </c>
      <c r="N8">
        <v>59.863654696229297</v>
      </c>
      <c r="O8">
        <v>61.403023606778852</v>
      </c>
      <c r="P8">
        <v>67.073535727688906</v>
      </c>
      <c r="Q8">
        <v>72.818505257102203</v>
      </c>
      <c r="R8">
        <v>77.936329848254502</v>
      </c>
      <c r="S8">
        <v>81.38354206437991</v>
      </c>
      <c r="T8">
        <v>81.38354206437991</v>
      </c>
      <c r="U8">
        <v>81.38354206437991</v>
      </c>
      <c r="V8">
        <v>81.38354206437991</v>
      </c>
      <c r="W8">
        <v>81.38354206437991</v>
      </c>
      <c r="X8">
        <v>81.38354206437991</v>
      </c>
      <c r="Y8">
        <v>81.38354206437991</v>
      </c>
      <c r="Z8">
        <v>81.38354206437991</v>
      </c>
      <c r="AA8">
        <v>81.38354206437991</v>
      </c>
      <c r="AB8">
        <v>81.38354206437991</v>
      </c>
      <c r="AC8">
        <v>81.38354206437991</v>
      </c>
    </row>
    <row r="9" spans="1:29" x14ac:dyDescent="0.25">
      <c r="A9" t="s">
        <v>79</v>
      </c>
      <c r="B9" t="s">
        <v>100</v>
      </c>
      <c r="C9" t="s">
        <v>79</v>
      </c>
      <c r="D9" t="s">
        <v>97</v>
      </c>
      <c r="E9" t="s">
        <v>98</v>
      </c>
      <c r="F9">
        <v>2</v>
      </c>
      <c r="G9" t="s">
        <v>101</v>
      </c>
      <c r="H9">
        <v>116.1642308078042</v>
      </c>
      <c r="I9">
        <v>116.7873133501995</v>
      </c>
      <c r="J9">
        <v>122.3949412841009</v>
      </c>
      <c r="K9">
        <v>132.18996342551199</v>
      </c>
      <c r="L9">
        <v>125.9839979082037</v>
      </c>
      <c r="M9">
        <v>121.8798043132501</v>
      </c>
      <c r="N9">
        <v>119.72730939245859</v>
      </c>
      <c r="O9">
        <v>122.8060472135577</v>
      </c>
      <c r="P9">
        <v>134.14707145537781</v>
      </c>
      <c r="Q9">
        <v>145.63701051420441</v>
      </c>
      <c r="R9">
        <v>155.872659696509</v>
      </c>
      <c r="S9">
        <v>162.76708412875979</v>
      </c>
      <c r="T9">
        <v>162.76708412875979</v>
      </c>
      <c r="U9">
        <v>162.76708412875979</v>
      </c>
      <c r="V9">
        <v>162.76708412875979</v>
      </c>
      <c r="W9">
        <v>162.76708412875979</v>
      </c>
      <c r="X9">
        <v>162.76708412875979</v>
      </c>
      <c r="Y9">
        <v>162.76708412875979</v>
      </c>
      <c r="Z9">
        <v>162.76708412875979</v>
      </c>
      <c r="AA9">
        <v>162.76708412875979</v>
      </c>
      <c r="AB9">
        <v>162.76708412875979</v>
      </c>
      <c r="AC9">
        <v>162.76708412875979</v>
      </c>
    </row>
    <row r="10" spans="1:29" x14ac:dyDescent="0.25">
      <c r="A10" t="s">
        <v>79</v>
      </c>
      <c r="B10" t="s">
        <v>102</v>
      </c>
      <c r="C10" t="s">
        <v>79</v>
      </c>
      <c r="D10" t="s">
        <v>97</v>
      </c>
      <c r="E10" t="s">
        <v>98</v>
      </c>
      <c r="F10">
        <v>2</v>
      </c>
      <c r="G10" t="s">
        <v>103</v>
      </c>
      <c r="H10">
        <v>116.1642308078042</v>
      </c>
      <c r="I10">
        <v>116.7873133501995</v>
      </c>
      <c r="J10">
        <v>122.3949412841009</v>
      </c>
      <c r="K10">
        <v>132.18996342551199</v>
      </c>
      <c r="L10">
        <v>125.9839979082037</v>
      </c>
      <c r="M10">
        <v>121.8798043132501</v>
      </c>
      <c r="N10">
        <v>119.72730939245859</v>
      </c>
      <c r="O10">
        <v>122.8060472135577</v>
      </c>
      <c r="P10">
        <v>134.14707145537781</v>
      </c>
      <c r="Q10">
        <v>145.63701051420441</v>
      </c>
      <c r="R10">
        <v>155.872659696509</v>
      </c>
      <c r="S10">
        <v>162.76708412875979</v>
      </c>
      <c r="T10">
        <v>162.76708412875979</v>
      </c>
      <c r="U10">
        <v>162.76708412875979</v>
      </c>
      <c r="V10">
        <v>162.76708412875979</v>
      </c>
      <c r="W10">
        <v>162.76708412875979</v>
      </c>
      <c r="X10">
        <v>162.76708412875979</v>
      </c>
      <c r="Y10">
        <v>162.76708412875979</v>
      </c>
      <c r="Z10">
        <v>162.76708412875979</v>
      </c>
      <c r="AA10">
        <v>162.76708412875979</v>
      </c>
      <c r="AB10">
        <v>162.76708412875979</v>
      </c>
      <c r="AC10">
        <v>162.76708412875979</v>
      </c>
    </row>
    <row r="11" spans="1:29" x14ac:dyDescent="0.25">
      <c r="A11" t="s">
        <v>79</v>
      </c>
      <c r="B11" t="s">
        <v>104</v>
      </c>
      <c r="C11" t="s">
        <v>79</v>
      </c>
      <c r="D11" t="s">
        <v>104</v>
      </c>
      <c r="F11">
        <v>1</v>
      </c>
      <c r="G11" t="s">
        <v>105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</row>
    <row r="12" spans="1:29" x14ac:dyDescent="0.25">
      <c r="A12" t="s">
        <v>79</v>
      </c>
      <c r="B12" t="s">
        <v>106</v>
      </c>
      <c r="C12" t="s">
        <v>79</v>
      </c>
      <c r="D12" t="s">
        <v>106</v>
      </c>
      <c r="F12">
        <v>1</v>
      </c>
      <c r="G12" t="s">
        <v>107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</row>
    <row r="13" spans="1:29" x14ac:dyDescent="0.25">
      <c r="A13" t="s">
        <v>108</v>
      </c>
      <c r="B13" t="s">
        <v>80</v>
      </c>
      <c r="C13" t="s">
        <v>108</v>
      </c>
      <c r="D13" t="s">
        <v>81</v>
      </c>
      <c r="E13" t="s">
        <v>109</v>
      </c>
      <c r="F13">
        <v>1</v>
      </c>
      <c r="G13" t="s">
        <v>110</v>
      </c>
      <c r="H13">
        <v>15.79639121863446</v>
      </c>
      <c r="I13">
        <v>14.36514333664662</v>
      </c>
      <c r="J13">
        <v>21.949635704889548</v>
      </c>
      <c r="K13">
        <v>23.706221111685512</v>
      </c>
      <c r="L13">
        <v>22.14642762839463</v>
      </c>
      <c r="M13">
        <v>20.587192823846621</v>
      </c>
      <c r="N13">
        <v>19.055313572750379</v>
      </c>
      <c r="O13">
        <v>19.150875922566179</v>
      </c>
      <c r="P13">
        <v>22.286657940317731</v>
      </c>
      <c r="Q13">
        <v>24.661889508996332</v>
      </c>
      <c r="R13">
        <v>26.631887048857159</v>
      </c>
      <c r="S13">
        <v>28.104430872191578</v>
      </c>
      <c r="T13">
        <v>28.104430872191578</v>
      </c>
      <c r="U13">
        <v>28.104430872191578</v>
      </c>
      <c r="V13">
        <v>28.104430872191578</v>
      </c>
      <c r="W13">
        <v>28.104430872191578</v>
      </c>
      <c r="X13">
        <v>28.104430872191578</v>
      </c>
      <c r="Y13">
        <v>28.104430872191578</v>
      </c>
      <c r="Z13">
        <v>28.104430872191578</v>
      </c>
      <c r="AA13">
        <v>28.104430872191578</v>
      </c>
      <c r="AB13">
        <v>28.104430872191578</v>
      </c>
      <c r="AC13">
        <v>28.104430872191578</v>
      </c>
    </row>
    <row r="14" spans="1:29" x14ac:dyDescent="0.25">
      <c r="A14" t="s">
        <v>108</v>
      </c>
      <c r="B14" t="s">
        <v>111</v>
      </c>
      <c r="C14" t="s">
        <v>108</v>
      </c>
      <c r="D14" t="s">
        <v>85</v>
      </c>
      <c r="E14" t="s">
        <v>112</v>
      </c>
      <c r="F14">
        <v>1</v>
      </c>
      <c r="G14" t="s">
        <v>113</v>
      </c>
      <c r="H14">
        <v>17.387076767923521</v>
      </c>
      <c r="I14">
        <v>11.511644320379199</v>
      </c>
      <c r="J14">
        <v>18.252065237024851</v>
      </c>
      <c r="K14">
        <v>19.712741481054891</v>
      </c>
      <c r="L14">
        <v>18.085099364693491</v>
      </c>
      <c r="M14">
        <v>16.65661177013072</v>
      </c>
      <c r="N14">
        <v>15.093245859978</v>
      </c>
      <c r="O14">
        <v>13.112383648677341</v>
      </c>
      <c r="P14">
        <v>14.11566755777924</v>
      </c>
      <c r="Q14">
        <v>15.252309763223661</v>
      </c>
      <c r="R14">
        <v>16.270150774064241</v>
      </c>
      <c r="S14">
        <v>17.126832834285931</v>
      </c>
      <c r="T14">
        <v>17.126832834285931</v>
      </c>
      <c r="U14">
        <v>17.126832834285931</v>
      </c>
      <c r="V14">
        <v>17.126832834285931</v>
      </c>
      <c r="W14">
        <v>17.126832834285931</v>
      </c>
      <c r="X14">
        <v>17.126832834285931</v>
      </c>
      <c r="Y14">
        <v>17.126832834285931</v>
      </c>
      <c r="Z14">
        <v>17.126832834285931</v>
      </c>
      <c r="AA14">
        <v>17.126832834285931</v>
      </c>
      <c r="AB14">
        <v>17.126832834285931</v>
      </c>
      <c r="AC14">
        <v>17.126832834285931</v>
      </c>
    </row>
    <row r="15" spans="1:29" x14ac:dyDescent="0.25">
      <c r="A15" t="s">
        <v>108</v>
      </c>
      <c r="B15" t="s">
        <v>84</v>
      </c>
      <c r="C15" t="s">
        <v>108</v>
      </c>
      <c r="D15" t="s">
        <v>114</v>
      </c>
      <c r="E15" t="s">
        <v>112</v>
      </c>
      <c r="F15">
        <v>1</v>
      </c>
      <c r="G15" t="s">
        <v>115</v>
      </c>
      <c r="H15">
        <v>17.387076767923521</v>
      </c>
      <c r="I15">
        <v>11.511644320379199</v>
      </c>
      <c r="J15">
        <v>18.252065237024851</v>
      </c>
      <c r="K15">
        <v>19.712741481054891</v>
      </c>
      <c r="L15">
        <v>12.04250115734091</v>
      </c>
      <c r="M15">
        <v>14.29515236731695</v>
      </c>
      <c r="N15">
        <v>14.50162642406179</v>
      </c>
      <c r="O15">
        <v>22.312093912701702</v>
      </c>
      <c r="P15">
        <v>24.510554488279571</v>
      </c>
      <c r="Q15">
        <v>26.868519097484011</v>
      </c>
      <c r="R15">
        <v>29.144687341305261</v>
      </c>
      <c r="S15">
        <v>31.154017009889959</v>
      </c>
      <c r="T15">
        <v>31.154017009889959</v>
      </c>
      <c r="U15">
        <v>31.154017009889959</v>
      </c>
      <c r="V15">
        <v>31.154017009889959</v>
      </c>
      <c r="W15">
        <v>31.154017009889959</v>
      </c>
      <c r="X15">
        <v>31.154017009889959</v>
      </c>
      <c r="Y15">
        <v>31.154017009889959</v>
      </c>
      <c r="Z15">
        <v>31.154017009889959</v>
      </c>
      <c r="AA15">
        <v>31.154017009889959</v>
      </c>
      <c r="AB15">
        <v>31.154017009889959</v>
      </c>
      <c r="AC15">
        <v>31.154017009889959</v>
      </c>
    </row>
    <row r="16" spans="1:29" x14ac:dyDescent="0.25">
      <c r="A16" t="s">
        <v>108</v>
      </c>
      <c r="B16" t="s">
        <v>88</v>
      </c>
      <c r="C16" t="s">
        <v>108</v>
      </c>
      <c r="D16" t="s">
        <v>85</v>
      </c>
      <c r="E16" t="s">
        <v>116</v>
      </c>
      <c r="F16">
        <v>1</v>
      </c>
      <c r="G16" t="s">
        <v>117</v>
      </c>
      <c r="H16">
        <v>24.732951005959819</v>
      </c>
      <c r="I16">
        <v>15.77561813556207</v>
      </c>
      <c r="J16">
        <v>24.57544661685143</v>
      </c>
      <c r="K16">
        <v>26.542170414597098</v>
      </c>
      <c r="L16">
        <v>24.350635844534441</v>
      </c>
      <c r="M16">
        <v>22.427252371643998</v>
      </c>
      <c r="N16">
        <v>20.322262335249292</v>
      </c>
      <c r="O16">
        <v>17.6551354705914</v>
      </c>
      <c r="P16">
        <v>19.006004527297581</v>
      </c>
      <c r="Q16">
        <v>20.536433521474951</v>
      </c>
      <c r="R16">
        <v>21.90690295063375</v>
      </c>
      <c r="S16">
        <v>23.060380322382638</v>
      </c>
      <c r="T16">
        <v>23.060380322382638</v>
      </c>
      <c r="U16">
        <v>23.060380322382638</v>
      </c>
      <c r="V16">
        <v>23.060380322382638</v>
      </c>
      <c r="W16">
        <v>23.060380322382638</v>
      </c>
      <c r="X16">
        <v>23.060380322382638</v>
      </c>
      <c r="Y16">
        <v>23.060380322382638</v>
      </c>
      <c r="Z16">
        <v>23.060380322382638</v>
      </c>
      <c r="AA16">
        <v>23.060380322382638</v>
      </c>
      <c r="AB16">
        <v>23.060380322382638</v>
      </c>
      <c r="AC16">
        <v>23.060380322382638</v>
      </c>
    </row>
    <row r="17" spans="1:29" x14ac:dyDescent="0.25">
      <c r="A17" t="s">
        <v>108</v>
      </c>
      <c r="B17" t="s">
        <v>118</v>
      </c>
      <c r="C17" t="s">
        <v>108</v>
      </c>
      <c r="D17" t="s">
        <v>85</v>
      </c>
      <c r="E17" t="s">
        <v>119</v>
      </c>
      <c r="F17">
        <v>1</v>
      </c>
      <c r="G17" t="s">
        <v>120</v>
      </c>
      <c r="H17">
        <v>23.164358311522001</v>
      </c>
      <c r="I17">
        <v>19.37775377586923</v>
      </c>
      <c r="J17">
        <v>25.58290059940007</v>
      </c>
      <c r="K17">
        <v>27.630248922652981</v>
      </c>
      <c r="L17">
        <v>25.34887385996673</v>
      </c>
      <c r="M17">
        <v>23.346642569173241</v>
      </c>
      <c r="N17">
        <v>21.155359875377261</v>
      </c>
      <c r="O17">
        <v>18.37889593035397</v>
      </c>
      <c r="P17">
        <v>19.78514295972932</v>
      </c>
      <c r="Q17">
        <v>21.378310866009901</v>
      </c>
      <c r="R17">
        <v>22.804961771985511</v>
      </c>
      <c r="S17">
        <v>24.005725176418391</v>
      </c>
      <c r="T17">
        <v>24.005725176418391</v>
      </c>
      <c r="U17">
        <v>24.005725176418391</v>
      </c>
      <c r="V17">
        <v>24.005725176418391</v>
      </c>
      <c r="W17">
        <v>24.005725176418391</v>
      </c>
      <c r="X17">
        <v>24.005725176418391</v>
      </c>
      <c r="Y17">
        <v>24.005725176418391</v>
      </c>
      <c r="Z17">
        <v>24.005725176418391</v>
      </c>
      <c r="AA17">
        <v>24.005725176418391</v>
      </c>
      <c r="AB17">
        <v>24.005725176418391</v>
      </c>
      <c r="AC17">
        <v>24.005725176418391</v>
      </c>
    </row>
    <row r="18" spans="1:29" x14ac:dyDescent="0.25">
      <c r="A18" t="s">
        <v>108</v>
      </c>
      <c r="B18" t="s">
        <v>91</v>
      </c>
      <c r="C18" t="s">
        <v>108</v>
      </c>
      <c r="D18" t="s">
        <v>92</v>
      </c>
      <c r="E18" t="s">
        <v>121</v>
      </c>
      <c r="F18">
        <v>1</v>
      </c>
      <c r="G18" t="s">
        <v>122</v>
      </c>
      <c r="H18">
        <v>7.710406343081714</v>
      </c>
      <c r="I18">
        <v>7.2259708929053224</v>
      </c>
      <c r="J18">
        <v>8.2096781982155242</v>
      </c>
      <c r="K18">
        <v>8.8666823103276844</v>
      </c>
      <c r="L18">
        <v>8.1872197266335256</v>
      </c>
      <c r="M18">
        <v>7.2553840421977354</v>
      </c>
      <c r="N18">
        <v>6.9579136242710602</v>
      </c>
      <c r="O18">
        <v>6.9767662127651624</v>
      </c>
      <c r="P18">
        <v>7.8550131792602134</v>
      </c>
      <c r="Q18">
        <v>8.6079722000311651</v>
      </c>
      <c r="R18">
        <v>9.0230732066085029</v>
      </c>
      <c r="S18">
        <v>9.4628453203511178</v>
      </c>
      <c r="T18">
        <v>9.4628453203511178</v>
      </c>
      <c r="U18">
        <v>9.4628453203511178</v>
      </c>
      <c r="V18">
        <v>9.4628453203511178</v>
      </c>
      <c r="W18">
        <v>9.4628453203511178</v>
      </c>
      <c r="X18">
        <v>9.4628453203511178</v>
      </c>
      <c r="Y18">
        <v>9.4628453203511178</v>
      </c>
      <c r="Z18">
        <v>9.4628453203511178</v>
      </c>
      <c r="AA18">
        <v>9.4628453203511178</v>
      </c>
      <c r="AB18">
        <v>9.4628453203511178</v>
      </c>
      <c r="AC18">
        <v>9.4628453203511178</v>
      </c>
    </row>
    <row r="19" spans="1:29" x14ac:dyDescent="0.25">
      <c r="A19" t="s">
        <v>108</v>
      </c>
      <c r="B19" t="s">
        <v>95</v>
      </c>
      <c r="C19" t="s">
        <v>79</v>
      </c>
      <c r="D19" t="s">
        <v>92</v>
      </c>
      <c r="E19" t="s">
        <v>121</v>
      </c>
      <c r="F19">
        <v>2</v>
      </c>
      <c r="G19" t="s">
        <v>123</v>
      </c>
      <c r="H19">
        <v>15.42081268616343</v>
      </c>
      <c r="I19">
        <v>14.451941785810639</v>
      </c>
      <c r="J19">
        <v>16.419356396431048</v>
      </c>
      <c r="K19">
        <v>17.733364620655369</v>
      </c>
      <c r="L19">
        <v>17.122494420463191</v>
      </c>
      <c r="M19">
        <v>15.367440466296481</v>
      </c>
      <c r="N19">
        <v>14.65044188560065</v>
      </c>
      <c r="O19">
        <v>14.21406097394906</v>
      </c>
      <c r="P19">
        <v>15.93395504331829</v>
      </c>
      <c r="Q19">
        <v>17.44270730357557</v>
      </c>
      <c r="R19">
        <v>18.38426990957997</v>
      </c>
      <c r="S19">
        <v>19.32184819418891</v>
      </c>
      <c r="T19">
        <v>19.32184819418891</v>
      </c>
      <c r="U19">
        <v>19.32184819418891</v>
      </c>
      <c r="V19">
        <v>19.32184819418891</v>
      </c>
      <c r="W19">
        <v>19.32184819418891</v>
      </c>
      <c r="X19">
        <v>19.32184819418891</v>
      </c>
      <c r="Y19">
        <v>19.32184819418891</v>
      </c>
      <c r="Z19">
        <v>19.32184819418891</v>
      </c>
      <c r="AA19">
        <v>19.32184819418891</v>
      </c>
      <c r="AB19">
        <v>19.32184819418891</v>
      </c>
      <c r="AC19">
        <v>19.32184819418891</v>
      </c>
    </row>
    <row r="20" spans="1:29" x14ac:dyDescent="0.25">
      <c r="A20" t="s">
        <v>108</v>
      </c>
      <c r="B20" t="s">
        <v>97</v>
      </c>
      <c r="C20" t="s">
        <v>108</v>
      </c>
      <c r="D20" t="s">
        <v>97</v>
      </c>
      <c r="E20" t="s">
        <v>124</v>
      </c>
      <c r="F20">
        <v>1</v>
      </c>
      <c r="G20" t="s">
        <v>125</v>
      </c>
      <c r="H20">
        <v>45.511280993548233</v>
      </c>
      <c r="I20">
        <v>46.296122822863381</v>
      </c>
      <c r="J20">
        <v>50.490592678581379</v>
      </c>
      <c r="K20">
        <v>54.531253738842977</v>
      </c>
      <c r="L20">
        <v>52.397516436150347</v>
      </c>
      <c r="M20">
        <v>49.460662508247033</v>
      </c>
      <c r="N20">
        <v>48.055492270862331</v>
      </c>
      <c r="O20">
        <v>48.075179321206747</v>
      </c>
      <c r="P20">
        <v>51.45895811412948</v>
      </c>
      <c r="Q20">
        <v>55.269324676896836</v>
      </c>
      <c r="R20">
        <v>58.192769146051639</v>
      </c>
      <c r="S20">
        <v>60.029189217168721</v>
      </c>
      <c r="T20">
        <v>60.029189217168721</v>
      </c>
      <c r="U20">
        <v>60.029189217168721</v>
      </c>
      <c r="V20">
        <v>60.029189217168721</v>
      </c>
      <c r="W20">
        <v>60.029189217168721</v>
      </c>
      <c r="X20">
        <v>60.029189217168721</v>
      </c>
      <c r="Y20">
        <v>60.029189217168721</v>
      </c>
      <c r="Z20">
        <v>60.029189217168721</v>
      </c>
      <c r="AA20">
        <v>60.029189217168721</v>
      </c>
      <c r="AB20">
        <v>60.029189217168721</v>
      </c>
      <c r="AC20">
        <v>60.029189217168721</v>
      </c>
    </row>
    <row r="21" spans="1:29" x14ac:dyDescent="0.25">
      <c r="A21" t="s">
        <v>108</v>
      </c>
      <c r="B21" t="s">
        <v>100</v>
      </c>
      <c r="C21" t="s">
        <v>108</v>
      </c>
      <c r="D21" t="s">
        <v>97</v>
      </c>
      <c r="E21" t="s">
        <v>124</v>
      </c>
      <c r="F21">
        <v>2</v>
      </c>
      <c r="G21" t="s">
        <v>126</v>
      </c>
      <c r="H21">
        <v>91.022561987096466</v>
      </c>
      <c r="I21">
        <v>92.592245645726763</v>
      </c>
      <c r="J21">
        <v>100.9811853571628</v>
      </c>
      <c r="K21">
        <v>109.062507477686</v>
      </c>
      <c r="L21">
        <v>104.79503287230069</v>
      </c>
      <c r="M21">
        <v>98.921325016494066</v>
      </c>
      <c r="N21">
        <v>96.110984541724662</v>
      </c>
      <c r="O21">
        <v>96.150358642413494</v>
      </c>
      <c r="P21">
        <v>102.917916228259</v>
      </c>
      <c r="Q21">
        <v>110.5386493537937</v>
      </c>
      <c r="R21">
        <v>116.38553829210331</v>
      </c>
      <c r="S21">
        <v>120.0583784343374</v>
      </c>
      <c r="T21">
        <v>120.0583784343374</v>
      </c>
      <c r="U21">
        <v>120.0583784343374</v>
      </c>
      <c r="V21">
        <v>120.0583784343374</v>
      </c>
      <c r="W21">
        <v>120.0583784343374</v>
      </c>
      <c r="X21">
        <v>120.0583784343374</v>
      </c>
      <c r="Y21">
        <v>120.0583784343374</v>
      </c>
      <c r="Z21">
        <v>120.0583784343374</v>
      </c>
      <c r="AA21">
        <v>120.0583784343374</v>
      </c>
      <c r="AB21">
        <v>120.0583784343374</v>
      </c>
      <c r="AC21">
        <v>120.0583784343374</v>
      </c>
    </row>
    <row r="22" spans="1:29" x14ac:dyDescent="0.25">
      <c r="A22" t="s">
        <v>108</v>
      </c>
      <c r="B22" t="s">
        <v>102</v>
      </c>
      <c r="C22" t="s">
        <v>108</v>
      </c>
      <c r="D22" t="s">
        <v>97</v>
      </c>
      <c r="E22" t="s">
        <v>124</v>
      </c>
      <c r="F22">
        <v>2</v>
      </c>
      <c r="G22" t="s">
        <v>127</v>
      </c>
      <c r="H22">
        <v>91.022561987096466</v>
      </c>
      <c r="I22">
        <v>92.592245645726763</v>
      </c>
      <c r="J22">
        <v>100.9811853571628</v>
      </c>
      <c r="K22">
        <v>109.062507477686</v>
      </c>
      <c r="L22">
        <v>104.79503287230069</v>
      </c>
      <c r="M22">
        <v>98.921325016494066</v>
      </c>
      <c r="N22">
        <v>96.110984541724662</v>
      </c>
      <c r="O22">
        <v>96.150358642413494</v>
      </c>
      <c r="P22">
        <v>102.917916228259</v>
      </c>
      <c r="Q22">
        <v>110.5386493537937</v>
      </c>
      <c r="R22">
        <v>116.38553829210331</v>
      </c>
      <c r="S22">
        <v>120.0583784343374</v>
      </c>
      <c r="T22">
        <v>120.0583784343374</v>
      </c>
      <c r="U22">
        <v>120.0583784343374</v>
      </c>
      <c r="V22">
        <v>120.0583784343374</v>
      </c>
      <c r="W22">
        <v>120.0583784343374</v>
      </c>
      <c r="X22">
        <v>120.0583784343374</v>
      </c>
      <c r="Y22">
        <v>120.0583784343374</v>
      </c>
      <c r="Z22">
        <v>120.0583784343374</v>
      </c>
      <c r="AA22">
        <v>120.0583784343374</v>
      </c>
      <c r="AB22">
        <v>120.0583784343374</v>
      </c>
      <c r="AC22">
        <v>120.0583784343374</v>
      </c>
    </row>
    <row r="23" spans="1:29" x14ac:dyDescent="0.25">
      <c r="A23" t="s">
        <v>108</v>
      </c>
      <c r="B23" t="s">
        <v>104</v>
      </c>
      <c r="C23" t="s">
        <v>108</v>
      </c>
      <c r="D23" t="s">
        <v>104</v>
      </c>
      <c r="F23">
        <v>1</v>
      </c>
      <c r="G23" t="s">
        <v>128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</row>
    <row r="24" spans="1:29" x14ac:dyDescent="0.25">
      <c r="A24" t="s">
        <v>108</v>
      </c>
      <c r="B24" t="s">
        <v>106</v>
      </c>
      <c r="C24" t="s">
        <v>108</v>
      </c>
      <c r="D24" t="s">
        <v>106</v>
      </c>
      <c r="F24">
        <v>1</v>
      </c>
      <c r="G24" t="s">
        <v>129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</row>
    <row r="25" spans="1:29" x14ac:dyDescent="0.25">
      <c r="A25" t="s">
        <v>130</v>
      </c>
      <c r="B25" t="s">
        <v>80</v>
      </c>
      <c r="C25" t="s">
        <v>130</v>
      </c>
      <c r="D25" t="s">
        <v>81</v>
      </c>
      <c r="E25" t="s">
        <v>131</v>
      </c>
      <c r="F25">
        <v>1</v>
      </c>
      <c r="G25" t="s">
        <v>132</v>
      </c>
      <c r="H25">
        <v>15.144652000522971</v>
      </c>
      <c r="I25">
        <v>13.529708263442849</v>
      </c>
      <c r="J25">
        <v>22.453362696163861</v>
      </c>
      <c r="K25">
        <v>24.250260365713441</v>
      </c>
      <c r="L25">
        <v>21.481797480850251</v>
      </c>
      <c r="M25">
        <v>19.26532088002514</v>
      </c>
      <c r="N25">
        <v>17.113109475962059</v>
      </c>
      <c r="O25">
        <v>16.99591592028381</v>
      </c>
      <c r="P25">
        <v>20.560587519532969</v>
      </c>
      <c r="Q25">
        <v>23.160107164160792</v>
      </c>
      <c r="R25">
        <v>25.22769456365122</v>
      </c>
      <c r="S25">
        <v>26.66727181846386</v>
      </c>
      <c r="T25">
        <v>26.66727181846386</v>
      </c>
      <c r="U25">
        <v>26.66727181846386</v>
      </c>
      <c r="V25">
        <v>26.66727181846386</v>
      </c>
      <c r="W25">
        <v>26.66727181846386</v>
      </c>
      <c r="X25">
        <v>26.66727181846386</v>
      </c>
      <c r="Y25">
        <v>26.66727181846386</v>
      </c>
      <c r="Z25">
        <v>26.66727181846386</v>
      </c>
      <c r="AA25">
        <v>26.66727181846386</v>
      </c>
      <c r="AB25">
        <v>26.66727181846386</v>
      </c>
      <c r="AC25">
        <v>26.66727181846386</v>
      </c>
    </row>
    <row r="26" spans="1:29" x14ac:dyDescent="0.25">
      <c r="A26" t="s">
        <v>130</v>
      </c>
      <c r="B26" t="s">
        <v>111</v>
      </c>
      <c r="C26" t="s">
        <v>130</v>
      </c>
      <c r="D26" t="s">
        <v>85</v>
      </c>
      <c r="E26" t="s">
        <v>133</v>
      </c>
      <c r="F26">
        <v>1</v>
      </c>
      <c r="G26" t="s">
        <v>134</v>
      </c>
      <c r="H26">
        <v>16.205109033382339</v>
      </c>
      <c r="I26">
        <v>11.359747034342149</v>
      </c>
      <c r="J26">
        <v>15.42262000944144</v>
      </c>
      <c r="K26">
        <v>16.65686141587668</v>
      </c>
      <c r="L26">
        <v>15.2313309053818</v>
      </c>
      <c r="M26">
        <v>14.040167994286531</v>
      </c>
      <c r="N26">
        <v>12.70019889809025</v>
      </c>
      <c r="O26">
        <v>10.98037822826509</v>
      </c>
      <c r="P26">
        <v>11.82978757998092</v>
      </c>
      <c r="Q26">
        <v>12.81316817689917</v>
      </c>
      <c r="R26">
        <v>13.701334009009029</v>
      </c>
      <c r="S26">
        <v>14.4582687931834</v>
      </c>
      <c r="T26">
        <v>14.4582687931834</v>
      </c>
      <c r="U26">
        <v>14.4582687931834</v>
      </c>
      <c r="V26">
        <v>14.4582687931834</v>
      </c>
      <c r="W26">
        <v>14.4582687931834</v>
      </c>
      <c r="X26">
        <v>14.4582687931834</v>
      </c>
      <c r="Y26">
        <v>14.4582687931834</v>
      </c>
      <c r="Z26">
        <v>14.4582687931834</v>
      </c>
      <c r="AA26">
        <v>14.4582687931834</v>
      </c>
      <c r="AB26">
        <v>14.4582687931834</v>
      </c>
      <c r="AC26">
        <v>14.4582687931834</v>
      </c>
    </row>
    <row r="27" spans="1:29" x14ac:dyDescent="0.25">
      <c r="A27" t="s">
        <v>130</v>
      </c>
      <c r="B27" t="s">
        <v>84</v>
      </c>
      <c r="C27" t="s">
        <v>130</v>
      </c>
      <c r="D27" t="s">
        <v>114</v>
      </c>
      <c r="E27" t="s">
        <v>135</v>
      </c>
      <c r="F27">
        <v>1</v>
      </c>
      <c r="G27" t="s">
        <v>136</v>
      </c>
      <c r="H27">
        <v>10.803406022254901</v>
      </c>
      <c r="I27">
        <v>8.3760503443286929</v>
      </c>
      <c r="J27">
        <v>12.31451729732329</v>
      </c>
      <c r="K27">
        <v>13.300023465491529</v>
      </c>
      <c r="L27">
        <v>8.3058520131779208</v>
      </c>
      <c r="M27">
        <v>9.8242711554048068</v>
      </c>
      <c r="N27">
        <v>10.264384467441991</v>
      </c>
      <c r="O27">
        <v>15.911877844428449</v>
      </c>
      <c r="P27">
        <v>17.519001292651261</v>
      </c>
      <c r="Q27">
        <v>19.207624262464829</v>
      </c>
      <c r="R27">
        <v>20.805142293316191</v>
      </c>
      <c r="S27">
        <v>22.199438305906511</v>
      </c>
      <c r="T27">
        <v>22.199438305906511</v>
      </c>
      <c r="U27">
        <v>22.199438305906511</v>
      </c>
      <c r="V27">
        <v>22.199438305906511</v>
      </c>
      <c r="W27">
        <v>22.199438305906511</v>
      </c>
      <c r="X27">
        <v>22.199438305906511</v>
      </c>
      <c r="Y27">
        <v>22.199438305906511</v>
      </c>
      <c r="Z27">
        <v>22.199438305906511</v>
      </c>
      <c r="AA27">
        <v>22.199438305906511</v>
      </c>
      <c r="AB27">
        <v>22.199438305906511</v>
      </c>
      <c r="AC27">
        <v>22.199438305906511</v>
      </c>
    </row>
    <row r="28" spans="1:29" x14ac:dyDescent="0.25">
      <c r="A28" t="s">
        <v>130</v>
      </c>
      <c r="B28" t="s">
        <v>88</v>
      </c>
      <c r="C28" t="s">
        <v>130</v>
      </c>
      <c r="D28" t="s">
        <v>85</v>
      </c>
      <c r="E28" t="s">
        <v>137</v>
      </c>
      <c r="F28">
        <v>1</v>
      </c>
      <c r="G28" t="s">
        <v>138</v>
      </c>
      <c r="H28">
        <v>18.734740913848981</v>
      </c>
      <c r="I28">
        <v>13.594807100315871</v>
      </c>
      <c r="J28">
        <v>17.801926223545671</v>
      </c>
      <c r="K28">
        <v>19.226578743412901</v>
      </c>
      <c r="L28">
        <v>17.581126222264881</v>
      </c>
      <c r="M28">
        <v>16.206198080965891</v>
      </c>
      <c r="N28">
        <v>14.65950685874073</v>
      </c>
      <c r="O28">
        <v>12.674362916711811</v>
      </c>
      <c r="P28">
        <v>13.65481387793489</v>
      </c>
      <c r="Q28">
        <v>14.789904337616059</v>
      </c>
      <c r="R28">
        <v>15.815090888786649</v>
      </c>
      <c r="S28">
        <v>16.688800879414611</v>
      </c>
      <c r="T28">
        <v>16.688800879414611</v>
      </c>
      <c r="U28">
        <v>16.688800879414611</v>
      </c>
      <c r="V28">
        <v>16.688800879414611</v>
      </c>
      <c r="W28">
        <v>16.688800879414611</v>
      </c>
      <c r="X28">
        <v>16.688800879414611</v>
      </c>
      <c r="Y28">
        <v>16.688800879414611</v>
      </c>
      <c r="Z28">
        <v>16.688800879414611</v>
      </c>
      <c r="AA28">
        <v>16.688800879414611</v>
      </c>
      <c r="AB28">
        <v>16.688800879414611</v>
      </c>
      <c r="AC28">
        <v>16.688800879414611</v>
      </c>
    </row>
    <row r="29" spans="1:29" x14ac:dyDescent="0.25">
      <c r="A29" t="s">
        <v>130</v>
      </c>
      <c r="B29" t="s">
        <v>118</v>
      </c>
      <c r="C29" t="s">
        <v>130</v>
      </c>
      <c r="D29" t="s">
        <v>85</v>
      </c>
      <c r="E29" t="s">
        <v>139</v>
      </c>
      <c r="F29">
        <v>1</v>
      </c>
      <c r="G29" t="s">
        <v>140</v>
      </c>
      <c r="H29">
        <v>23.164358311522001</v>
      </c>
      <c r="I29">
        <v>19.37775377586923</v>
      </c>
      <c r="J29">
        <v>25.58290059940007</v>
      </c>
      <c r="K29">
        <v>27.630248922652981</v>
      </c>
      <c r="L29">
        <v>25.265591988287941</v>
      </c>
      <c r="M29">
        <v>23.289701877944371</v>
      </c>
      <c r="N29">
        <v>21.066973432759848</v>
      </c>
      <c r="O29">
        <v>18.214150681632209</v>
      </c>
      <c r="P29">
        <v>19.62314312259517</v>
      </c>
      <c r="Q29">
        <v>21.254365836176721</v>
      </c>
      <c r="R29">
        <v>22.727647171302682</v>
      </c>
      <c r="S29">
        <v>23.983243647900469</v>
      </c>
      <c r="T29">
        <v>23.983243647900469</v>
      </c>
      <c r="U29">
        <v>23.983243647900469</v>
      </c>
      <c r="V29">
        <v>23.983243647900469</v>
      </c>
      <c r="W29">
        <v>23.983243647900469</v>
      </c>
      <c r="X29">
        <v>23.983243647900469</v>
      </c>
      <c r="Y29">
        <v>23.983243647900469</v>
      </c>
      <c r="Z29">
        <v>23.983243647900469</v>
      </c>
      <c r="AA29">
        <v>23.983243647900469</v>
      </c>
      <c r="AB29">
        <v>23.983243647900469</v>
      </c>
      <c r="AC29">
        <v>23.983243647900469</v>
      </c>
    </row>
    <row r="30" spans="1:29" x14ac:dyDescent="0.25">
      <c r="A30" t="s">
        <v>130</v>
      </c>
      <c r="B30" t="s">
        <v>91</v>
      </c>
      <c r="C30" t="s">
        <v>130</v>
      </c>
      <c r="D30" t="s">
        <v>92</v>
      </c>
      <c r="E30" t="s">
        <v>141</v>
      </c>
      <c r="F30">
        <v>1</v>
      </c>
      <c r="G30" t="s">
        <v>142</v>
      </c>
      <c r="H30">
        <v>8.2406348595114025</v>
      </c>
      <c r="I30">
        <v>7.3453187605058599</v>
      </c>
      <c r="J30">
        <v>8.7026875939308148</v>
      </c>
      <c r="K30">
        <v>9.3991462610784318</v>
      </c>
      <c r="L30">
        <v>7.840660833120296</v>
      </c>
      <c r="M30">
        <v>6.3176618215180902</v>
      </c>
      <c r="N30">
        <v>5.7092574658049546</v>
      </c>
      <c r="O30">
        <v>5.4161205246663062</v>
      </c>
      <c r="P30">
        <v>6.5134169753070124</v>
      </c>
      <c r="Q30">
        <v>7.3212057953494627</v>
      </c>
      <c r="R30">
        <v>7.4682076067627428</v>
      </c>
      <c r="S30">
        <v>7.6916072679536196</v>
      </c>
      <c r="T30">
        <v>7.6916072679536196</v>
      </c>
      <c r="U30">
        <v>7.6916072679536196</v>
      </c>
      <c r="V30">
        <v>7.6916072679536196</v>
      </c>
      <c r="W30">
        <v>7.6916072679536196</v>
      </c>
      <c r="X30">
        <v>7.6916072679536196</v>
      </c>
      <c r="Y30">
        <v>7.6916072679536196</v>
      </c>
      <c r="Z30">
        <v>7.6916072679536196</v>
      </c>
      <c r="AA30">
        <v>7.6916072679536196</v>
      </c>
      <c r="AB30">
        <v>7.6916072679536196</v>
      </c>
      <c r="AC30">
        <v>7.6916072679536196</v>
      </c>
    </row>
    <row r="31" spans="1:29" x14ac:dyDescent="0.25">
      <c r="A31" t="s">
        <v>130</v>
      </c>
      <c r="B31" t="s">
        <v>95</v>
      </c>
      <c r="C31" t="s">
        <v>130</v>
      </c>
      <c r="D31" t="s">
        <v>92</v>
      </c>
      <c r="E31" t="s">
        <v>141</v>
      </c>
      <c r="F31">
        <v>2</v>
      </c>
      <c r="G31" t="s">
        <v>143</v>
      </c>
      <c r="H31">
        <v>16.481269719022809</v>
      </c>
      <c r="I31">
        <v>14.69063752101172</v>
      </c>
      <c r="J31">
        <v>17.40537518786163</v>
      </c>
      <c r="K31">
        <v>18.79829252215686</v>
      </c>
      <c r="L31">
        <v>15.68132166624059</v>
      </c>
      <c r="M31">
        <v>12.63532364303618</v>
      </c>
      <c r="N31">
        <v>11.418514931609909</v>
      </c>
      <c r="O31">
        <v>10.832241049332611</v>
      </c>
      <c r="P31">
        <v>13.026833950614019</v>
      </c>
      <c r="Q31">
        <v>14.642411590698931</v>
      </c>
      <c r="R31">
        <v>14.936415213525491</v>
      </c>
      <c r="S31">
        <v>15.383214535907239</v>
      </c>
      <c r="T31">
        <v>15.383214535907239</v>
      </c>
      <c r="U31">
        <v>15.383214535907239</v>
      </c>
      <c r="V31">
        <v>15.383214535907239</v>
      </c>
      <c r="W31">
        <v>15.383214535907239</v>
      </c>
      <c r="X31">
        <v>15.383214535907239</v>
      </c>
      <c r="Y31">
        <v>15.383214535907239</v>
      </c>
      <c r="Z31">
        <v>15.383214535907239</v>
      </c>
      <c r="AA31">
        <v>15.383214535907239</v>
      </c>
      <c r="AB31">
        <v>15.383214535907239</v>
      </c>
      <c r="AC31">
        <v>15.383214535907239</v>
      </c>
    </row>
    <row r="32" spans="1:29" x14ac:dyDescent="0.25">
      <c r="A32" t="s">
        <v>130</v>
      </c>
      <c r="B32" t="s">
        <v>144</v>
      </c>
      <c r="C32" t="s">
        <v>130</v>
      </c>
      <c r="D32" t="s">
        <v>145</v>
      </c>
      <c r="E32" t="s">
        <v>146</v>
      </c>
      <c r="F32">
        <v>1</v>
      </c>
      <c r="G32" t="s">
        <v>147</v>
      </c>
      <c r="H32">
        <v>3.7778781795615268</v>
      </c>
      <c r="I32">
        <v>3.981878855399779</v>
      </c>
      <c r="J32">
        <v>3.6011121078334409</v>
      </c>
      <c r="K32">
        <v>3.8893019011359029</v>
      </c>
      <c r="L32">
        <v>3.8487693381516159</v>
      </c>
      <c r="M32">
        <v>3.941073016684963</v>
      </c>
      <c r="N32">
        <v>4.0063416861398338</v>
      </c>
      <c r="O32">
        <v>4.4118734515392664</v>
      </c>
      <c r="P32">
        <v>4.9805161569166128</v>
      </c>
      <c r="Q32">
        <v>5.5737404371809172</v>
      </c>
      <c r="R32">
        <v>6.1313001281072026</v>
      </c>
      <c r="S32">
        <v>6.6964863768406717</v>
      </c>
      <c r="T32">
        <v>6.6964863768406717</v>
      </c>
      <c r="U32">
        <v>6.6964863768406717</v>
      </c>
      <c r="V32">
        <v>6.6964863768406717</v>
      </c>
      <c r="W32">
        <v>6.6964863768406717</v>
      </c>
      <c r="X32">
        <v>6.6964863768406717</v>
      </c>
      <c r="Y32">
        <v>6.6964863768406717</v>
      </c>
      <c r="Z32">
        <v>6.6964863768406717</v>
      </c>
      <c r="AA32">
        <v>6.6964863768406717</v>
      </c>
      <c r="AB32">
        <v>6.6964863768406717</v>
      </c>
      <c r="AC32">
        <v>6.6964863768406717</v>
      </c>
    </row>
    <row r="33" spans="1:29" x14ac:dyDescent="0.25">
      <c r="A33" t="s">
        <v>130</v>
      </c>
      <c r="B33" t="s">
        <v>148</v>
      </c>
      <c r="C33" t="s">
        <v>130</v>
      </c>
      <c r="D33" t="s">
        <v>149</v>
      </c>
      <c r="E33" t="s">
        <v>146</v>
      </c>
      <c r="F33">
        <v>1</v>
      </c>
      <c r="G33" t="s">
        <v>150</v>
      </c>
      <c r="H33">
        <v>3.7778781795615268</v>
      </c>
      <c r="I33">
        <v>3.981878855399779</v>
      </c>
      <c r="J33">
        <v>3.6011121078334409</v>
      </c>
      <c r="K33">
        <v>3.8893019011359029</v>
      </c>
      <c r="L33">
        <v>3.7264742863010918</v>
      </c>
      <c r="M33">
        <v>3.6977751293713381</v>
      </c>
      <c r="N33">
        <v>3.7934472796869061</v>
      </c>
      <c r="O33">
        <v>3.9236988583037791</v>
      </c>
      <c r="P33">
        <v>4.1425814000956578</v>
      </c>
      <c r="Q33">
        <v>4.4356798747533732</v>
      </c>
      <c r="R33">
        <v>4.6979638189573594</v>
      </c>
      <c r="S33">
        <v>4.9689665163366881</v>
      </c>
      <c r="T33">
        <v>4.9689665163366881</v>
      </c>
      <c r="U33">
        <v>4.9689665163366881</v>
      </c>
      <c r="V33">
        <v>4.9689665163366881</v>
      </c>
      <c r="W33">
        <v>4.9689665163366881</v>
      </c>
      <c r="X33">
        <v>4.9689665163366881</v>
      </c>
      <c r="Y33">
        <v>4.9689665163366881</v>
      </c>
      <c r="Z33">
        <v>4.9689665163366881</v>
      </c>
      <c r="AA33">
        <v>4.9689665163366881</v>
      </c>
      <c r="AB33">
        <v>4.9689665163366881</v>
      </c>
      <c r="AC33">
        <v>4.9689665163366881</v>
      </c>
    </row>
    <row r="34" spans="1:29" x14ac:dyDescent="0.25">
      <c r="A34" t="s">
        <v>130</v>
      </c>
      <c r="B34" t="s">
        <v>97</v>
      </c>
      <c r="C34" t="s">
        <v>130</v>
      </c>
      <c r="D34" t="s">
        <v>97</v>
      </c>
      <c r="E34" t="s">
        <v>151</v>
      </c>
      <c r="F34">
        <v>1</v>
      </c>
      <c r="G34" t="s">
        <v>152</v>
      </c>
      <c r="H34">
        <v>18.17137311514243</v>
      </c>
      <c r="I34">
        <v>17.630934986443169</v>
      </c>
      <c r="J34">
        <v>19.92401014423324</v>
      </c>
      <c r="K34">
        <v>21.518488792296559</v>
      </c>
      <c r="L34">
        <v>20.69531158607089</v>
      </c>
      <c r="M34">
        <v>18.77872943239614</v>
      </c>
      <c r="N34">
        <v>18.127858728487311</v>
      </c>
      <c r="O34">
        <v>17.722945350877559</v>
      </c>
      <c r="P34">
        <v>19.06314713208441</v>
      </c>
      <c r="Q34">
        <v>20.732892691250431</v>
      </c>
      <c r="R34">
        <v>21.803489149356121</v>
      </c>
      <c r="S34">
        <v>22.407177575713739</v>
      </c>
      <c r="T34">
        <v>22.407177575713739</v>
      </c>
      <c r="U34">
        <v>22.407177575713739</v>
      </c>
      <c r="V34">
        <v>22.407177575713739</v>
      </c>
      <c r="W34">
        <v>22.407177575713739</v>
      </c>
      <c r="X34">
        <v>22.407177575713739</v>
      </c>
      <c r="Y34">
        <v>22.407177575713739</v>
      </c>
      <c r="Z34">
        <v>22.407177575713739</v>
      </c>
      <c r="AA34">
        <v>22.407177575713739</v>
      </c>
      <c r="AB34">
        <v>22.407177575713739</v>
      </c>
      <c r="AC34">
        <v>22.407177575713739</v>
      </c>
    </row>
    <row r="35" spans="1:29" x14ac:dyDescent="0.25">
      <c r="A35" t="s">
        <v>130</v>
      </c>
      <c r="B35" t="s">
        <v>100</v>
      </c>
      <c r="C35" t="s">
        <v>130</v>
      </c>
      <c r="D35" t="s">
        <v>97</v>
      </c>
      <c r="E35" t="s">
        <v>151</v>
      </c>
      <c r="F35">
        <v>2</v>
      </c>
      <c r="G35" t="s">
        <v>153</v>
      </c>
      <c r="H35">
        <v>36.342746230284867</v>
      </c>
      <c r="I35">
        <v>35.261869972886331</v>
      </c>
      <c r="J35">
        <v>39.848020288466472</v>
      </c>
      <c r="K35">
        <v>43.036977584593117</v>
      </c>
      <c r="L35">
        <v>41.390623172141773</v>
      </c>
      <c r="M35">
        <v>37.557458864792267</v>
      </c>
      <c r="N35">
        <v>36.255717456974629</v>
      </c>
      <c r="O35">
        <v>35.445890701755118</v>
      </c>
      <c r="P35">
        <v>38.126294264168827</v>
      </c>
      <c r="Q35">
        <v>41.465785382500847</v>
      </c>
      <c r="R35">
        <v>43.606978298712249</v>
      </c>
      <c r="S35">
        <v>44.814355151427478</v>
      </c>
      <c r="T35">
        <v>44.814355151427478</v>
      </c>
      <c r="U35">
        <v>44.814355151427478</v>
      </c>
      <c r="V35">
        <v>44.814355151427478</v>
      </c>
      <c r="W35">
        <v>44.814355151427478</v>
      </c>
      <c r="X35">
        <v>44.814355151427478</v>
      </c>
      <c r="Y35">
        <v>44.814355151427478</v>
      </c>
      <c r="Z35">
        <v>44.814355151427478</v>
      </c>
      <c r="AA35">
        <v>44.814355151427478</v>
      </c>
      <c r="AB35">
        <v>44.814355151427478</v>
      </c>
      <c r="AC35">
        <v>44.814355151427478</v>
      </c>
    </row>
    <row r="36" spans="1:29" x14ac:dyDescent="0.25">
      <c r="A36" t="s">
        <v>130</v>
      </c>
      <c r="B36" t="s">
        <v>102</v>
      </c>
      <c r="C36" t="s">
        <v>130</v>
      </c>
      <c r="D36" t="s">
        <v>97</v>
      </c>
      <c r="E36" t="s">
        <v>151</v>
      </c>
      <c r="F36">
        <v>2</v>
      </c>
      <c r="G36" t="s">
        <v>154</v>
      </c>
      <c r="H36">
        <v>36.342746230284867</v>
      </c>
      <c r="I36">
        <v>35.261869972886331</v>
      </c>
      <c r="J36">
        <v>39.848020288466472</v>
      </c>
      <c r="K36">
        <v>43.036977584593117</v>
      </c>
      <c r="L36">
        <v>41.390623172141773</v>
      </c>
      <c r="M36">
        <v>37.557458864792267</v>
      </c>
      <c r="N36">
        <v>36.255717456974629</v>
      </c>
      <c r="O36">
        <v>35.445890701755118</v>
      </c>
      <c r="P36">
        <v>38.126294264168827</v>
      </c>
      <c r="Q36">
        <v>41.465785382500847</v>
      </c>
      <c r="R36">
        <v>43.606978298712249</v>
      </c>
      <c r="S36">
        <v>44.814355151427478</v>
      </c>
      <c r="T36">
        <v>44.814355151427478</v>
      </c>
      <c r="U36">
        <v>44.814355151427478</v>
      </c>
      <c r="V36">
        <v>44.814355151427478</v>
      </c>
      <c r="W36">
        <v>44.814355151427478</v>
      </c>
      <c r="X36">
        <v>44.814355151427478</v>
      </c>
      <c r="Y36">
        <v>44.814355151427478</v>
      </c>
      <c r="Z36">
        <v>44.814355151427478</v>
      </c>
      <c r="AA36">
        <v>44.814355151427478</v>
      </c>
      <c r="AB36">
        <v>44.814355151427478</v>
      </c>
      <c r="AC36">
        <v>44.814355151427478</v>
      </c>
    </row>
    <row r="37" spans="1:29" x14ac:dyDescent="0.25">
      <c r="A37" t="s">
        <v>130</v>
      </c>
      <c r="B37" t="s">
        <v>104</v>
      </c>
      <c r="C37" t="s">
        <v>130</v>
      </c>
      <c r="D37" t="s">
        <v>104</v>
      </c>
      <c r="F37">
        <v>1</v>
      </c>
      <c r="G37" t="s">
        <v>155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</row>
    <row r="38" spans="1:29" x14ac:dyDescent="0.25">
      <c r="A38" t="s">
        <v>130</v>
      </c>
      <c r="B38" t="s">
        <v>106</v>
      </c>
      <c r="C38" t="s">
        <v>130</v>
      </c>
      <c r="D38" t="s">
        <v>106</v>
      </c>
      <c r="F38">
        <v>1</v>
      </c>
      <c r="G38" t="s">
        <v>156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</row>
    <row r="39" spans="1:29" x14ac:dyDescent="0.25">
      <c r="A39" t="s">
        <v>157</v>
      </c>
      <c r="B39" t="s">
        <v>80</v>
      </c>
      <c r="C39" t="s">
        <v>157</v>
      </c>
      <c r="D39" t="s">
        <v>81</v>
      </c>
      <c r="E39" t="s">
        <v>158</v>
      </c>
      <c r="F39">
        <v>1</v>
      </c>
      <c r="G39" t="s">
        <v>159</v>
      </c>
      <c r="H39">
        <v>16.47022329159719</v>
      </c>
      <c r="I39">
        <v>15.02698151152233</v>
      </c>
      <c r="J39">
        <v>22.646279416226371</v>
      </c>
      <c r="K39">
        <v>24.458615824702871</v>
      </c>
      <c r="L39">
        <v>22.34230147272098</v>
      </c>
      <c r="M39">
        <v>20.79455144777744</v>
      </c>
      <c r="N39">
        <v>19.36533502655481</v>
      </c>
      <c r="O39">
        <v>19.716729474548561</v>
      </c>
      <c r="P39">
        <v>22.74877505478446</v>
      </c>
      <c r="Q39">
        <v>25.076456571274171</v>
      </c>
      <c r="R39">
        <v>27.010912210636111</v>
      </c>
      <c r="S39">
        <v>28.480686838419999</v>
      </c>
      <c r="T39">
        <v>28.480686838419999</v>
      </c>
      <c r="U39">
        <v>28.480686838419999</v>
      </c>
      <c r="V39">
        <v>28.480686838419999</v>
      </c>
      <c r="W39">
        <v>28.480686838419999</v>
      </c>
      <c r="X39">
        <v>28.480686838419999</v>
      </c>
      <c r="Y39">
        <v>28.480686838419999</v>
      </c>
      <c r="Z39">
        <v>28.480686838419999</v>
      </c>
      <c r="AA39">
        <v>28.480686838419999</v>
      </c>
      <c r="AB39">
        <v>28.480686838419999</v>
      </c>
      <c r="AC39">
        <v>28.480686838419999</v>
      </c>
    </row>
    <row r="40" spans="1:29" x14ac:dyDescent="0.25">
      <c r="A40" t="s">
        <v>157</v>
      </c>
      <c r="B40" t="s">
        <v>160</v>
      </c>
      <c r="C40" t="s">
        <v>157</v>
      </c>
      <c r="D40" t="s">
        <v>161</v>
      </c>
      <c r="E40" t="s">
        <v>162</v>
      </c>
      <c r="F40">
        <v>1.2</v>
      </c>
      <c r="G40" t="s">
        <v>163</v>
      </c>
      <c r="H40">
        <v>27.79722997382639</v>
      </c>
      <c r="I40">
        <v>23.253304531043071</v>
      </c>
      <c r="J40">
        <v>30.699480719280089</v>
      </c>
      <c r="K40">
        <v>33.156298707183574</v>
      </c>
      <c r="L40">
        <v>28.73723990205734</v>
      </c>
      <c r="M40">
        <v>27.204245230828001</v>
      </c>
      <c r="N40">
        <v>25.274519432788111</v>
      </c>
      <c r="O40">
        <v>26.267091278892298</v>
      </c>
      <c r="P40">
        <v>28.182933385616671</v>
      </c>
      <c r="Q40">
        <v>30.271527208961679</v>
      </c>
      <c r="R40">
        <v>32.405294035547499</v>
      </c>
      <c r="S40">
        <v>34.480395104286288</v>
      </c>
      <c r="T40">
        <v>34.480395104286288</v>
      </c>
      <c r="U40">
        <v>34.480395104286288</v>
      </c>
      <c r="V40">
        <v>34.480395104286288</v>
      </c>
      <c r="W40">
        <v>34.480395104286288</v>
      </c>
      <c r="X40">
        <v>34.480395104286288</v>
      </c>
      <c r="Y40">
        <v>34.480395104286288</v>
      </c>
      <c r="Z40">
        <v>34.480395104286288</v>
      </c>
      <c r="AA40">
        <v>34.480395104286288</v>
      </c>
      <c r="AB40">
        <v>34.480395104286288</v>
      </c>
      <c r="AC40">
        <v>34.480395104286288</v>
      </c>
    </row>
    <row r="41" spans="1:29" x14ac:dyDescent="0.25">
      <c r="A41" t="s">
        <v>157</v>
      </c>
      <c r="B41" t="s">
        <v>118</v>
      </c>
      <c r="C41" t="s">
        <v>157</v>
      </c>
      <c r="D41" t="s">
        <v>164</v>
      </c>
      <c r="E41" t="s">
        <v>162</v>
      </c>
      <c r="F41">
        <v>1</v>
      </c>
      <c r="G41" t="s">
        <v>165</v>
      </c>
      <c r="H41">
        <v>23.164358311522001</v>
      </c>
      <c r="I41">
        <v>19.37775377586923</v>
      </c>
      <c r="J41">
        <v>25.58290059940007</v>
      </c>
      <c r="K41">
        <v>27.630248922652981</v>
      </c>
      <c r="L41">
        <v>23.76309310822241</v>
      </c>
      <c r="M41">
        <v>21.27566031001415</v>
      </c>
      <c r="N41">
        <v>19.76974639387754</v>
      </c>
      <c r="O41">
        <v>20.49712934263755</v>
      </c>
      <c r="P41">
        <v>21.902318158060631</v>
      </c>
      <c r="Q41">
        <v>23.43746556384226</v>
      </c>
      <c r="R41">
        <v>25.029331458002272</v>
      </c>
      <c r="S41">
        <v>26.57519981598459</v>
      </c>
      <c r="T41">
        <v>26.57519981598459</v>
      </c>
      <c r="U41">
        <v>26.57519981598459</v>
      </c>
      <c r="V41">
        <v>26.57519981598459</v>
      </c>
      <c r="W41">
        <v>26.57519981598459</v>
      </c>
      <c r="X41">
        <v>26.57519981598459</v>
      </c>
      <c r="Y41">
        <v>26.57519981598459</v>
      </c>
      <c r="Z41">
        <v>26.57519981598459</v>
      </c>
      <c r="AA41">
        <v>26.57519981598459</v>
      </c>
      <c r="AB41">
        <v>26.57519981598459</v>
      </c>
      <c r="AC41">
        <v>26.57519981598459</v>
      </c>
    </row>
    <row r="42" spans="1:29" x14ac:dyDescent="0.25">
      <c r="A42" t="s">
        <v>157</v>
      </c>
      <c r="B42" t="s">
        <v>166</v>
      </c>
      <c r="C42" t="s">
        <v>157</v>
      </c>
      <c r="D42" t="s">
        <v>167</v>
      </c>
      <c r="E42" t="s">
        <v>168</v>
      </c>
      <c r="F42">
        <v>1</v>
      </c>
      <c r="G42" t="s">
        <v>169</v>
      </c>
      <c r="H42">
        <v>28.245714927306508</v>
      </c>
      <c r="I42">
        <v>24.238466929054791</v>
      </c>
      <c r="J42">
        <v>30.930980783355089</v>
      </c>
      <c r="K42">
        <v>33.406325257970877</v>
      </c>
      <c r="L42">
        <v>27.656474405767629</v>
      </c>
      <c r="M42">
        <v>26.288206786429939</v>
      </c>
      <c r="N42">
        <v>24.365965634928131</v>
      </c>
      <c r="O42">
        <v>24.858630773525739</v>
      </c>
      <c r="P42">
        <v>27.383243323269561</v>
      </c>
      <c r="Q42">
        <v>30.022251577673181</v>
      </c>
      <c r="R42">
        <v>32.429150111494117</v>
      </c>
      <c r="S42">
        <v>34.425779160811928</v>
      </c>
      <c r="T42">
        <v>34.425779160811928</v>
      </c>
      <c r="U42">
        <v>34.425779160811928</v>
      </c>
      <c r="V42">
        <v>34.425779160811928</v>
      </c>
      <c r="W42">
        <v>34.425779160811928</v>
      </c>
      <c r="X42">
        <v>34.425779160811928</v>
      </c>
      <c r="Y42">
        <v>34.425779160811928</v>
      </c>
      <c r="Z42">
        <v>34.425779160811928</v>
      </c>
      <c r="AA42">
        <v>34.425779160811928</v>
      </c>
      <c r="AB42">
        <v>34.425779160811928</v>
      </c>
      <c r="AC42">
        <v>34.425779160811928</v>
      </c>
    </row>
    <row r="43" spans="1:29" x14ac:dyDescent="0.25">
      <c r="A43" t="s">
        <v>157</v>
      </c>
      <c r="B43" t="s">
        <v>170</v>
      </c>
      <c r="C43" t="s">
        <v>157</v>
      </c>
      <c r="D43" t="s">
        <v>167</v>
      </c>
      <c r="E43" t="s">
        <v>171</v>
      </c>
      <c r="F43">
        <v>1</v>
      </c>
      <c r="G43" t="s">
        <v>172</v>
      </c>
      <c r="H43">
        <v>16.31557330763853</v>
      </c>
      <c r="I43">
        <v>10.8932053700855</v>
      </c>
      <c r="J43">
        <v>15.754865471771311</v>
      </c>
      <c r="K43">
        <v>17.015695817469581</v>
      </c>
      <c r="L43">
        <v>14.086977607927381</v>
      </c>
      <c r="M43">
        <v>13.39004295774498</v>
      </c>
      <c r="N43">
        <v>12.41093883691766</v>
      </c>
      <c r="O43">
        <v>12.66188053952974</v>
      </c>
      <c r="P43">
        <v>13.94780585072982</v>
      </c>
      <c r="Q43">
        <v>15.29199924434497</v>
      </c>
      <c r="R43">
        <v>16.517966273006358</v>
      </c>
      <c r="S43">
        <v>17.534960279415639</v>
      </c>
      <c r="T43">
        <v>17.534960279415639</v>
      </c>
      <c r="U43">
        <v>17.534960279415639</v>
      </c>
      <c r="V43">
        <v>17.534960279415639</v>
      </c>
      <c r="W43">
        <v>17.534960279415639</v>
      </c>
      <c r="X43">
        <v>17.534960279415639</v>
      </c>
      <c r="Y43">
        <v>17.534960279415639</v>
      </c>
      <c r="Z43">
        <v>17.534960279415639</v>
      </c>
      <c r="AA43">
        <v>17.534960279415639</v>
      </c>
      <c r="AB43">
        <v>17.534960279415639</v>
      </c>
      <c r="AC43">
        <v>17.534960279415639</v>
      </c>
    </row>
    <row r="44" spans="1:29" x14ac:dyDescent="0.25">
      <c r="A44" t="s">
        <v>157</v>
      </c>
      <c r="B44" t="s">
        <v>173</v>
      </c>
      <c r="C44" t="s">
        <v>157</v>
      </c>
      <c r="D44" t="s">
        <v>167</v>
      </c>
      <c r="E44" t="s">
        <v>171</v>
      </c>
      <c r="F44">
        <v>2</v>
      </c>
      <c r="G44" t="s">
        <v>174</v>
      </c>
      <c r="H44">
        <v>32.631146615277054</v>
      </c>
      <c r="I44">
        <v>21.786410740171</v>
      </c>
      <c r="J44">
        <v>31.509730943542611</v>
      </c>
      <c r="K44">
        <v>34.031391634939148</v>
      </c>
      <c r="L44">
        <v>28.17395521585475</v>
      </c>
      <c r="M44">
        <v>26.780085915489959</v>
      </c>
      <c r="N44">
        <v>24.821877673835321</v>
      </c>
      <c r="O44">
        <v>25.32376107905948</v>
      </c>
      <c r="P44">
        <v>27.895611701459629</v>
      </c>
      <c r="Q44">
        <v>30.583998488689939</v>
      </c>
      <c r="R44">
        <v>33.035932546012717</v>
      </c>
      <c r="S44">
        <v>35.069920558831278</v>
      </c>
      <c r="T44">
        <v>35.069920558831278</v>
      </c>
      <c r="U44">
        <v>35.069920558831278</v>
      </c>
      <c r="V44">
        <v>35.069920558831278</v>
      </c>
      <c r="W44">
        <v>35.069920558831278</v>
      </c>
      <c r="X44">
        <v>35.069920558831278</v>
      </c>
      <c r="Y44">
        <v>35.069920558831278</v>
      </c>
      <c r="Z44">
        <v>35.069920558831278</v>
      </c>
      <c r="AA44">
        <v>35.069920558831278</v>
      </c>
      <c r="AB44">
        <v>35.069920558831278</v>
      </c>
      <c r="AC44">
        <v>35.069920558831278</v>
      </c>
    </row>
    <row r="45" spans="1:29" x14ac:dyDescent="0.25">
      <c r="A45" t="s">
        <v>157</v>
      </c>
      <c r="B45" t="s">
        <v>111</v>
      </c>
      <c r="C45" t="s">
        <v>157</v>
      </c>
      <c r="D45" t="s">
        <v>175</v>
      </c>
      <c r="E45" t="s">
        <v>176</v>
      </c>
      <c r="F45">
        <v>1</v>
      </c>
      <c r="G45" t="s">
        <v>177</v>
      </c>
      <c r="H45">
        <v>25.95910445020348</v>
      </c>
      <c r="I45">
        <v>21.916608413917039</v>
      </c>
      <c r="J45">
        <v>26.429590648563291</v>
      </c>
      <c r="K45">
        <v>28.544697881551009</v>
      </c>
      <c r="L45">
        <v>24.782376714480058</v>
      </c>
      <c r="M45">
        <v>23.473326202769229</v>
      </c>
      <c r="N45">
        <v>21.876167254065479</v>
      </c>
      <c r="O45">
        <v>20.909112888124149</v>
      </c>
      <c r="P45">
        <v>22.487512660927742</v>
      </c>
      <c r="Q45">
        <v>24.30901543138382</v>
      </c>
      <c r="R45">
        <v>25.921917191077501</v>
      </c>
      <c r="S45">
        <v>27.339011166099109</v>
      </c>
      <c r="T45">
        <v>27.339011166099109</v>
      </c>
      <c r="U45">
        <v>27.339011166099109</v>
      </c>
      <c r="V45">
        <v>27.339011166099109</v>
      </c>
      <c r="W45">
        <v>27.339011166099109</v>
      </c>
      <c r="X45">
        <v>27.339011166099109</v>
      </c>
      <c r="Y45">
        <v>27.339011166099109</v>
      </c>
      <c r="Z45">
        <v>27.339011166099109</v>
      </c>
      <c r="AA45">
        <v>27.339011166099109</v>
      </c>
      <c r="AB45">
        <v>27.339011166099109</v>
      </c>
      <c r="AC45">
        <v>27.339011166099109</v>
      </c>
    </row>
    <row r="46" spans="1:29" x14ac:dyDescent="0.25">
      <c r="A46" t="s">
        <v>157</v>
      </c>
      <c r="B46" t="s">
        <v>178</v>
      </c>
      <c r="C46" t="s">
        <v>157</v>
      </c>
      <c r="D46" t="s">
        <v>175</v>
      </c>
      <c r="E46" t="s">
        <v>176</v>
      </c>
      <c r="F46">
        <v>1.5</v>
      </c>
      <c r="G46" t="s">
        <v>179</v>
      </c>
      <c r="H46">
        <v>38.938656675305218</v>
      </c>
      <c r="I46">
        <v>32.874912620875563</v>
      </c>
      <c r="J46">
        <v>39.644385972844937</v>
      </c>
      <c r="K46">
        <v>42.81704682232651</v>
      </c>
      <c r="L46">
        <v>37.173565071720091</v>
      </c>
      <c r="M46">
        <v>35.209989304153851</v>
      </c>
      <c r="N46">
        <v>32.814250881098218</v>
      </c>
      <c r="O46">
        <v>31.36366933218622</v>
      </c>
      <c r="P46">
        <v>33.731268991391609</v>
      </c>
      <c r="Q46">
        <v>36.463523147075719</v>
      </c>
      <c r="R46">
        <v>38.882875786616253</v>
      </c>
      <c r="S46">
        <v>41.008516749148662</v>
      </c>
      <c r="T46">
        <v>41.008516749148662</v>
      </c>
      <c r="U46">
        <v>41.008516749148662</v>
      </c>
      <c r="V46">
        <v>41.008516749148662</v>
      </c>
      <c r="W46">
        <v>41.008516749148662</v>
      </c>
      <c r="X46">
        <v>41.008516749148662</v>
      </c>
      <c r="Y46">
        <v>41.008516749148662</v>
      </c>
      <c r="Z46">
        <v>41.008516749148662</v>
      </c>
      <c r="AA46">
        <v>41.008516749148662</v>
      </c>
      <c r="AB46">
        <v>41.008516749148662</v>
      </c>
      <c r="AC46">
        <v>41.008516749148662</v>
      </c>
    </row>
    <row r="47" spans="1:29" x14ac:dyDescent="0.25">
      <c r="A47" t="s">
        <v>157</v>
      </c>
      <c r="B47" t="s">
        <v>180</v>
      </c>
      <c r="C47" t="s">
        <v>157</v>
      </c>
      <c r="D47" t="s">
        <v>175</v>
      </c>
      <c r="E47" t="s">
        <v>176</v>
      </c>
      <c r="F47">
        <v>1.5</v>
      </c>
      <c r="G47" t="s">
        <v>181</v>
      </c>
      <c r="H47">
        <v>38.938656675305218</v>
      </c>
      <c r="I47">
        <v>32.874912620875563</v>
      </c>
      <c r="J47">
        <v>39.644385972844937</v>
      </c>
      <c r="K47">
        <v>42.81704682232651</v>
      </c>
      <c r="L47">
        <v>37.173565071720091</v>
      </c>
      <c r="M47">
        <v>35.209989304153851</v>
      </c>
      <c r="N47">
        <v>32.814250881098218</v>
      </c>
      <c r="O47">
        <v>31.36366933218622</v>
      </c>
      <c r="P47">
        <v>33.731268991391609</v>
      </c>
      <c r="Q47">
        <v>36.463523147075719</v>
      </c>
      <c r="R47">
        <v>38.882875786616253</v>
      </c>
      <c r="S47">
        <v>41.008516749148662</v>
      </c>
      <c r="T47">
        <v>41.008516749148662</v>
      </c>
      <c r="U47">
        <v>41.008516749148662</v>
      </c>
      <c r="V47">
        <v>41.008516749148662</v>
      </c>
      <c r="W47">
        <v>41.008516749148662</v>
      </c>
      <c r="X47">
        <v>41.008516749148662</v>
      </c>
      <c r="Y47">
        <v>41.008516749148662</v>
      </c>
      <c r="Z47">
        <v>41.008516749148662</v>
      </c>
      <c r="AA47">
        <v>41.008516749148662</v>
      </c>
      <c r="AB47">
        <v>41.008516749148662</v>
      </c>
      <c r="AC47">
        <v>41.008516749148662</v>
      </c>
    </row>
    <row r="48" spans="1:29" x14ac:dyDescent="0.25">
      <c r="A48" t="s">
        <v>157</v>
      </c>
      <c r="B48" t="s">
        <v>84</v>
      </c>
      <c r="C48" t="s">
        <v>157</v>
      </c>
      <c r="D48" t="s">
        <v>175</v>
      </c>
      <c r="E48" t="s">
        <v>182</v>
      </c>
      <c r="F48">
        <v>1</v>
      </c>
      <c r="G48" t="s">
        <v>183</v>
      </c>
      <c r="H48">
        <v>10.99119528849041</v>
      </c>
      <c r="I48">
        <v>7.9746075169450634</v>
      </c>
      <c r="J48">
        <v>11.85366068828508</v>
      </c>
      <c r="K48">
        <v>12.80228542457235</v>
      </c>
      <c r="L48">
        <v>11.11488590681871</v>
      </c>
      <c r="M48">
        <v>10.527777283156031</v>
      </c>
      <c r="N48">
        <v>9.8114521423343177</v>
      </c>
      <c r="O48">
        <v>9.3777286513646807</v>
      </c>
      <c r="P48">
        <v>10.085640309402301</v>
      </c>
      <c r="Q48">
        <v>10.90258356330515</v>
      </c>
      <c r="R48">
        <v>11.6259693484719</v>
      </c>
      <c r="S48">
        <v>12.26153542161623</v>
      </c>
      <c r="T48">
        <v>12.26153542161623</v>
      </c>
      <c r="U48">
        <v>12.26153542161623</v>
      </c>
      <c r="V48">
        <v>12.26153542161623</v>
      </c>
      <c r="W48">
        <v>12.26153542161623</v>
      </c>
      <c r="X48">
        <v>12.26153542161623</v>
      </c>
      <c r="Y48">
        <v>12.26153542161623</v>
      </c>
      <c r="Z48">
        <v>12.26153542161623</v>
      </c>
      <c r="AA48">
        <v>12.26153542161623</v>
      </c>
      <c r="AB48">
        <v>12.26153542161623</v>
      </c>
      <c r="AC48">
        <v>12.26153542161623</v>
      </c>
    </row>
    <row r="49" spans="1:29" x14ac:dyDescent="0.25">
      <c r="A49" t="s">
        <v>157</v>
      </c>
      <c r="B49" t="s">
        <v>184</v>
      </c>
      <c r="C49" t="s">
        <v>157</v>
      </c>
      <c r="D49" t="s">
        <v>92</v>
      </c>
      <c r="E49" t="s">
        <v>185</v>
      </c>
      <c r="F49">
        <v>1</v>
      </c>
      <c r="G49" t="s">
        <v>186</v>
      </c>
      <c r="H49">
        <v>11.12375241759783</v>
      </c>
      <c r="I49">
        <v>10.665359441029929</v>
      </c>
      <c r="J49">
        <v>12.796809097479549</v>
      </c>
      <c r="K49">
        <v>13.820912112965081</v>
      </c>
      <c r="L49">
        <v>12.488279997598211</v>
      </c>
      <c r="M49">
        <v>11.26766895065759</v>
      </c>
      <c r="N49">
        <v>10.947508552659921</v>
      </c>
      <c r="O49">
        <v>10.49011334493275</v>
      </c>
      <c r="P49">
        <v>11.02997224181253</v>
      </c>
      <c r="Q49">
        <v>11.220342208926949</v>
      </c>
      <c r="R49">
        <v>11.03273536325935</v>
      </c>
      <c r="S49">
        <v>11.0016349699681</v>
      </c>
      <c r="T49">
        <v>11.0016349699681</v>
      </c>
      <c r="U49">
        <v>11.0016349699681</v>
      </c>
      <c r="V49">
        <v>11.0016349699681</v>
      </c>
      <c r="W49">
        <v>11.0016349699681</v>
      </c>
      <c r="X49">
        <v>11.0016349699681</v>
      </c>
      <c r="Y49">
        <v>11.0016349699681</v>
      </c>
      <c r="Z49">
        <v>11.0016349699681</v>
      </c>
      <c r="AA49">
        <v>11.0016349699681</v>
      </c>
      <c r="AB49">
        <v>11.0016349699681</v>
      </c>
      <c r="AC49">
        <v>11.0016349699681</v>
      </c>
    </row>
    <row r="50" spans="1:29" x14ac:dyDescent="0.25">
      <c r="A50" t="s">
        <v>157</v>
      </c>
      <c r="B50" t="s">
        <v>95</v>
      </c>
      <c r="C50" t="s">
        <v>79</v>
      </c>
      <c r="D50" t="s">
        <v>92</v>
      </c>
      <c r="E50" t="s">
        <v>185</v>
      </c>
      <c r="F50">
        <v>2</v>
      </c>
      <c r="G50" t="s">
        <v>187</v>
      </c>
      <c r="H50">
        <v>22.24750483519567</v>
      </c>
      <c r="I50">
        <v>21.330718882059859</v>
      </c>
      <c r="J50">
        <v>25.593618194959099</v>
      </c>
      <c r="K50">
        <v>27.641824225930169</v>
      </c>
      <c r="L50">
        <v>26.689632295082308</v>
      </c>
      <c r="M50">
        <v>23.953947672007828</v>
      </c>
      <c r="N50">
        <v>22.836328474421911</v>
      </c>
      <c r="O50">
        <v>22.156121152604669</v>
      </c>
      <c r="P50">
        <v>24.837000420002649</v>
      </c>
      <c r="Q50">
        <v>27.188763081552519</v>
      </c>
      <c r="R50">
        <v>28.65642072067687</v>
      </c>
      <c r="S50">
        <v>30.117867811829701</v>
      </c>
      <c r="T50">
        <v>30.117867811829701</v>
      </c>
      <c r="U50">
        <v>30.117867811829701</v>
      </c>
      <c r="V50">
        <v>30.117867811829701</v>
      </c>
      <c r="W50">
        <v>30.117867811829701</v>
      </c>
      <c r="X50">
        <v>30.117867811829701</v>
      </c>
      <c r="Y50">
        <v>30.117867811829701</v>
      </c>
      <c r="Z50">
        <v>30.117867811829701</v>
      </c>
      <c r="AA50">
        <v>30.117867811829701</v>
      </c>
      <c r="AB50">
        <v>30.117867811829701</v>
      </c>
      <c r="AC50">
        <v>30.117867811829701</v>
      </c>
    </row>
    <row r="51" spans="1:29" x14ac:dyDescent="0.25">
      <c r="A51" t="s">
        <v>157</v>
      </c>
      <c r="B51" t="s">
        <v>97</v>
      </c>
      <c r="C51" t="s">
        <v>157</v>
      </c>
      <c r="D51" t="s">
        <v>97</v>
      </c>
      <c r="E51" t="s">
        <v>188</v>
      </c>
      <c r="F51">
        <v>1</v>
      </c>
      <c r="G51" t="s">
        <v>189</v>
      </c>
      <c r="H51">
        <v>39.767138732226613</v>
      </c>
      <c r="I51">
        <v>38.592760459555898</v>
      </c>
      <c r="J51">
        <v>39.79443231067134</v>
      </c>
      <c r="K51">
        <v>42.979101068207179</v>
      </c>
      <c r="L51">
        <v>43.520645043757092</v>
      </c>
      <c r="M51">
        <v>41.560671289863201</v>
      </c>
      <c r="N51">
        <v>39.823770525855842</v>
      </c>
      <c r="O51">
        <v>41.592041108522722</v>
      </c>
      <c r="P51">
        <v>44.764571864671588</v>
      </c>
      <c r="Q51">
        <v>47.702010731512658</v>
      </c>
      <c r="R51">
        <v>50.325799195144228</v>
      </c>
      <c r="S51">
        <v>51.889591647961851</v>
      </c>
      <c r="T51">
        <v>51.889591647961851</v>
      </c>
      <c r="U51">
        <v>51.889591647961851</v>
      </c>
      <c r="V51">
        <v>51.889591647961851</v>
      </c>
      <c r="W51">
        <v>51.889591647961851</v>
      </c>
      <c r="X51">
        <v>51.889591647961851</v>
      </c>
      <c r="Y51">
        <v>51.889591647961851</v>
      </c>
      <c r="Z51">
        <v>51.889591647961851</v>
      </c>
      <c r="AA51">
        <v>51.889591647961851</v>
      </c>
      <c r="AB51">
        <v>51.889591647961851</v>
      </c>
      <c r="AC51">
        <v>51.889591647961851</v>
      </c>
    </row>
    <row r="52" spans="1:29" x14ac:dyDescent="0.25">
      <c r="A52" t="s">
        <v>157</v>
      </c>
      <c r="B52" t="s">
        <v>100</v>
      </c>
      <c r="C52" t="s">
        <v>157</v>
      </c>
      <c r="D52" t="s">
        <v>97</v>
      </c>
      <c r="E52" t="s">
        <v>188</v>
      </c>
      <c r="F52">
        <v>2</v>
      </c>
      <c r="G52" t="s">
        <v>190</v>
      </c>
      <c r="H52">
        <v>79.534277464453211</v>
      </c>
      <c r="I52">
        <v>77.185520919111795</v>
      </c>
      <c r="J52">
        <v>79.58886462134268</v>
      </c>
      <c r="K52">
        <v>85.958202136414357</v>
      </c>
      <c r="L52">
        <v>87.041290087514184</v>
      </c>
      <c r="M52">
        <v>83.121342579726402</v>
      </c>
      <c r="N52">
        <v>79.647541051711684</v>
      </c>
      <c r="O52">
        <v>83.184082217045443</v>
      </c>
      <c r="P52">
        <v>89.52914372934319</v>
      </c>
      <c r="Q52">
        <v>95.404021463025316</v>
      </c>
      <c r="R52">
        <v>100.6515983902885</v>
      </c>
      <c r="S52">
        <v>103.7791832959237</v>
      </c>
      <c r="T52">
        <v>103.7791832959237</v>
      </c>
      <c r="U52">
        <v>103.7791832959237</v>
      </c>
      <c r="V52">
        <v>103.7791832959237</v>
      </c>
      <c r="W52">
        <v>103.7791832959237</v>
      </c>
      <c r="X52">
        <v>103.7791832959237</v>
      </c>
      <c r="Y52">
        <v>103.7791832959237</v>
      </c>
      <c r="Z52">
        <v>103.7791832959237</v>
      </c>
      <c r="AA52">
        <v>103.7791832959237</v>
      </c>
      <c r="AB52">
        <v>103.7791832959237</v>
      </c>
      <c r="AC52">
        <v>103.7791832959237</v>
      </c>
    </row>
    <row r="53" spans="1:29" x14ac:dyDescent="0.25">
      <c r="A53" t="s">
        <v>97</v>
      </c>
      <c r="B53" t="s">
        <v>111</v>
      </c>
      <c r="C53" t="s">
        <v>191</v>
      </c>
      <c r="D53" t="s">
        <v>85</v>
      </c>
      <c r="E53" t="s">
        <v>192</v>
      </c>
      <c r="F53">
        <v>1</v>
      </c>
      <c r="G53" t="s">
        <v>193</v>
      </c>
      <c r="H53">
        <v>15.531276960419611</v>
      </c>
      <c r="I53">
        <v>10.29646603208281</v>
      </c>
      <c r="J53">
        <v>16.140698911896319</v>
      </c>
      <c r="K53">
        <v>17.432406735448431</v>
      </c>
      <c r="L53">
        <v>15.96578593638675</v>
      </c>
      <c r="M53">
        <v>14.784620224476219</v>
      </c>
      <c r="N53">
        <v>13.4034213768775</v>
      </c>
      <c r="O53">
        <v>11.61348371129057</v>
      </c>
      <c r="P53">
        <v>12.53539259626851</v>
      </c>
      <c r="Q53">
        <v>13.486530091701299</v>
      </c>
      <c r="R53">
        <v>14.364992491667969</v>
      </c>
      <c r="S53">
        <v>15.18196376371692</v>
      </c>
      <c r="T53">
        <v>15.18196376371692</v>
      </c>
      <c r="U53">
        <v>15.18196376371692</v>
      </c>
      <c r="V53">
        <v>15.18196376371692</v>
      </c>
      <c r="W53">
        <v>15.18196376371692</v>
      </c>
      <c r="X53">
        <v>15.18196376371692</v>
      </c>
      <c r="Y53">
        <v>15.18196376371692</v>
      </c>
      <c r="Z53">
        <v>15.18196376371692</v>
      </c>
      <c r="AA53">
        <v>15.18196376371692</v>
      </c>
      <c r="AB53">
        <v>15.18196376371692</v>
      </c>
      <c r="AC53">
        <v>15.18196376371692</v>
      </c>
    </row>
    <row r="54" spans="1:29" x14ac:dyDescent="0.25">
      <c r="A54" t="s">
        <v>97</v>
      </c>
      <c r="B54" t="s">
        <v>84</v>
      </c>
      <c r="C54" t="s">
        <v>191</v>
      </c>
      <c r="D54" t="s">
        <v>114</v>
      </c>
      <c r="E54" t="s">
        <v>194</v>
      </c>
      <c r="F54">
        <v>1</v>
      </c>
      <c r="G54" t="s">
        <v>195</v>
      </c>
      <c r="H54">
        <v>12.99059865252736</v>
      </c>
      <c r="I54">
        <v>9.4067819281515224</v>
      </c>
      <c r="J54">
        <v>13.922156631177501</v>
      </c>
      <c r="K54">
        <v>15.03631895707005</v>
      </c>
      <c r="L54">
        <v>12.597648645914131</v>
      </c>
      <c r="M54">
        <v>12.325662601088309</v>
      </c>
      <c r="N54">
        <v>11.625465996462189</v>
      </c>
      <c r="O54">
        <v>12.30909849289373</v>
      </c>
      <c r="P54">
        <v>13.374947045204751</v>
      </c>
      <c r="Q54">
        <v>14.42355508465856</v>
      </c>
      <c r="R54">
        <v>14.66087589269757</v>
      </c>
      <c r="S54">
        <v>15.65346823164624</v>
      </c>
      <c r="T54">
        <v>15.65346823164624</v>
      </c>
      <c r="U54">
        <v>15.65346823164624</v>
      </c>
      <c r="V54">
        <v>15.65346823164624</v>
      </c>
      <c r="W54">
        <v>15.65346823164624</v>
      </c>
      <c r="X54">
        <v>15.65346823164624</v>
      </c>
      <c r="Y54">
        <v>15.65346823164624</v>
      </c>
      <c r="Z54">
        <v>15.65346823164624</v>
      </c>
      <c r="AA54">
        <v>15.65346823164624</v>
      </c>
      <c r="AB54">
        <v>15.65346823164624</v>
      </c>
      <c r="AC54">
        <v>15.65346823164624</v>
      </c>
    </row>
    <row r="55" spans="1:29" x14ac:dyDescent="0.25">
      <c r="A55" t="s">
        <v>97</v>
      </c>
      <c r="B55" t="s">
        <v>91</v>
      </c>
      <c r="C55" t="s">
        <v>191</v>
      </c>
      <c r="D55" t="s">
        <v>92</v>
      </c>
      <c r="E55" t="s">
        <v>196</v>
      </c>
      <c r="F55">
        <v>1</v>
      </c>
      <c r="G55" t="s">
        <v>197</v>
      </c>
      <c r="H55">
        <v>3.2697425179830768</v>
      </c>
      <c r="I55">
        <v>2.3001589028467402</v>
      </c>
      <c r="J55">
        <v>4.2548854369341553</v>
      </c>
      <c r="K55">
        <v>4.5953954010445051</v>
      </c>
      <c r="L55">
        <v>3.5948003283883661</v>
      </c>
      <c r="M55">
        <v>2.7934790058476091</v>
      </c>
      <c r="N55">
        <v>2.45813383495071</v>
      </c>
      <c r="O55">
        <v>2.2074105592583528</v>
      </c>
      <c r="P55">
        <v>2.670910209603381</v>
      </c>
      <c r="Q55">
        <v>3.1189180446038129</v>
      </c>
      <c r="R55">
        <v>3.1323627485479322</v>
      </c>
      <c r="S55">
        <v>3.2623374518863151</v>
      </c>
      <c r="T55">
        <v>3.2623374518863151</v>
      </c>
      <c r="U55">
        <v>3.2623374518863151</v>
      </c>
      <c r="V55">
        <v>3.2623374518863151</v>
      </c>
      <c r="W55">
        <v>3.2623374518863151</v>
      </c>
      <c r="X55">
        <v>3.2623374518863151</v>
      </c>
      <c r="Y55">
        <v>3.2623374518863151</v>
      </c>
      <c r="Z55">
        <v>3.2623374518863151</v>
      </c>
      <c r="AA55">
        <v>3.2623374518863151</v>
      </c>
      <c r="AB55">
        <v>3.2623374518863151</v>
      </c>
      <c r="AC55">
        <v>3.2623374518863151</v>
      </c>
    </row>
    <row r="56" spans="1:29" x14ac:dyDescent="0.25">
      <c r="A56" t="s">
        <v>97</v>
      </c>
      <c r="B56" t="s">
        <v>95</v>
      </c>
      <c r="C56" t="s">
        <v>191</v>
      </c>
      <c r="D56" t="s">
        <v>92</v>
      </c>
      <c r="E56" t="s">
        <v>196</v>
      </c>
      <c r="F56">
        <v>2</v>
      </c>
      <c r="G56" t="s">
        <v>198</v>
      </c>
      <c r="H56">
        <v>6.5394850359661536</v>
      </c>
      <c r="I56">
        <v>4.6003178056934786</v>
      </c>
      <c r="J56">
        <v>8.5097708738683107</v>
      </c>
      <c r="K56">
        <v>9.1907908020890101</v>
      </c>
      <c r="L56">
        <v>7.1896006567767312</v>
      </c>
      <c r="M56">
        <v>5.5869580116952173</v>
      </c>
      <c r="N56">
        <v>4.9162676699014201</v>
      </c>
      <c r="O56">
        <v>4.4148211185167057</v>
      </c>
      <c r="P56">
        <v>5.3418204192067611</v>
      </c>
      <c r="Q56">
        <v>6.237836089207625</v>
      </c>
      <c r="R56">
        <v>6.2647254970958626</v>
      </c>
      <c r="S56">
        <v>6.5246749037726302</v>
      </c>
      <c r="T56">
        <v>6.5246749037726302</v>
      </c>
      <c r="U56">
        <v>6.5246749037726302</v>
      </c>
      <c r="V56">
        <v>6.5246749037726302</v>
      </c>
      <c r="W56">
        <v>6.5246749037726302</v>
      </c>
      <c r="X56">
        <v>6.5246749037726302</v>
      </c>
      <c r="Y56">
        <v>6.5246749037726302</v>
      </c>
      <c r="Z56">
        <v>6.5246749037726302</v>
      </c>
      <c r="AA56">
        <v>6.5246749037726302</v>
      </c>
      <c r="AB56">
        <v>6.5246749037726302</v>
      </c>
      <c r="AC56">
        <v>6.5246749037726302</v>
      </c>
    </row>
    <row r="57" spans="1:29" x14ac:dyDescent="0.25">
      <c r="A57" t="s">
        <v>97</v>
      </c>
      <c r="B57" t="s">
        <v>148</v>
      </c>
      <c r="C57" t="s">
        <v>191</v>
      </c>
      <c r="D57" t="s">
        <v>199</v>
      </c>
      <c r="E57" t="s">
        <v>200</v>
      </c>
      <c r="F57">
        <v>1</v>
      </c>
      <c r="G57" t="s">
        <v>201</v>
      </c>
      <c r="H57">
        <v>2.5185854530410179</v>
      </c>
      <c r="I57">
        <v>2.267609484410229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</row>
    <row r="58" spans="1:29" x14ac:dyDescent="0.25">
      <c r="A58" t="s">
        <v>97</v>
      </c>
      <c r="B58" t="s">
        <v>202</v>
      </c>
      <c r="C58" t="s">
        <v>191</v>
      </c>
      <c r="D58" t="s">
        <v>202</v>
      </c>
      <c r="E58" t="s">
        <v>203</v>
      </c>
      <c r="F58">
        <v>1</v>
      </c>
      <c r="G58" t="s">
        <v>204</v>
      </c>
      <c r="H58">
        <v>0.74011063751643957</v>
      </c>
      <c r="I58">
        <v>0.69438759331222322</v>
      </c>
      <c r="J58">
        <v>0.68592611577779838</v>
      </c>
      <c r="K58">
        <v>0.74081940974017213</v>
      </c>
      <c r="L58">
        <v>0.72661508306929301</v>
      </c>
      <c r="M58">
        <v>0.72165822382837186</v>
      </c>
      <c r="N58">
        <v>0.72826210686187742</v>
      </c>
      <c r="O58">
        <v>0.76817224765170378</v>
      </c>
      <c r="P58">
        <v>0.81843287665180864</v>
      </c>
      <c r="Q58">
        <v>0.86958934774034158</v>
      </c>
      <c r="R58">
        <v>0.91907449131387198</v>
      </c>
      <c r="S58">
        <v>0.96468476379297519</v>
      </c>
      <c r="T58">
        <v>0.96468476379297519</v>
      </c>
      <c r="U58">
        <v>0.96468476379297519</v>
      </c>
      <c r="V58">
        <v>0.96468476379297519</v>
      </c>
      <c r="W58">
        <v>0.96468476379297519</v>
      </c>
      <c r="X58">
        <v>0.96468476379297519</v>
      </c>
      <c r="Y58">
        <v>0.96468476379297519</v>
      </c>
      <c r="Z58">
        <v>0.96468476379297519</v>
      </c>
      <c r="AA58">
        <v>0.96468476379297519</v>
      </c>
      <c r="AB58">
        <v>0.96468476379297519</v>
      </c>
      <c r="AC58">
        <v>0.96468476379297519</v>
      </c>
    </row>
    <row r="59" spans="1:29" x14ac:dyDescent="0.25">
      <c r="A59" t="s">
        <v>97</v>
      </c>
      <c r="B59" t="s">
        <v>205</v>
      </c>
      <c r="C59" t="s">
        <v>191</v>
      </c>
      <c r="D59" t="s">
        <v>199</v>
      </c>
      <c r="E59" t="s">
        <v>200</v>
      </c>
      <c r="F59">
        <v>2</v>
      </c>
      <c r="G59" t="s">
        <v>206</v>
      </c>
      <c r="H59">
        <v>5.0371709060820358</v>
      </c>
      <c r="I59">
        <v>4.5352189688204572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</row>
    <row r="60" spans="1:29" x14ac:dyDescent="0.25">
      <c r="A60" t="s">
        <v>97</v>
      </c>
      <c r="B60" t="s">
        <v>207</v>
      </c>
      <c r="C60" t="s">
        <v>191</v>
      </c>
      <c r="D60" t="s">
        <v>199</v>
      </c>
      <c r="E60" t="s">
        <v>200</v>
      </c>
      <c r="F60">
        <v>2</v>
      </c>
      <c r="G60" t="s">
        <v>208</v>
      </c>
      <c r="H60">
        <v>5.0371709060820358</v>
      </c>
      <c r="I60">
        <v>4.5352189688204572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</row>
    <row r="61" spans="1:29" x14ac:dyDescent="0.25">
      <c r="A61" t="s">
        <v>97</v>
      </c>
      <c r="B61" t="s">
        <v>209</v>
      </c>
      <c r="C61" t="s">
        <v>191</v>
      </c>
      <c r="D61" t="s">
        <v>199</v>
      </c>
      <c r="E61" t="s">
        <v>200</v>
      </c>
      <c r="F61">
        <v>1</v>
      </c>
      <c r="G61" t="s">
        <v>210</v>
      </c>
      <c r="H61">
        <v>2.5185854530410179</v>
      </c>
      <c r="I61">
        <v>2.267609484410229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</row>
    <row r="62" spans="1:29" x14ac:dyDescent="0.25">
      <c r="A62" t="s">
        <v>97</v>
      </c>
      <c r="B62" t="s">
        <v>211</v>
      </c>
      <c r="C62" t="s">
        <v>191</v>
      </c>
      <c r="D62" t="s">
        <v>199</v>
      </c>
      <c r="E62" t="s">
        <v>200</v>
      </c>
      <c r="F62">
        <v>1</v>
      </c>
      <c r="G62" t="s">
        <v>212</v>
      </c>
      <c r="H62">
        <v>2.5185854530410179</v>
      </c>
      <c r="I62">
        <v>2.267609484410229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</row>
    <row r="63" spans="1:29" x14ac:dyDescent="0.25">
      <c r="A63" t="s">
        <v>97</v>
      </c>
      <c r="B63" t="s">
        <v>102</v>
      </c>
      <c r="C63" t="s">
        <v>191</v>
      </c>
      <c r="D63" t="s">
        <v>199</v>
      </c>
      <c r="E63" t="s">
        <v>200</v>
      </c>
      <c r="F63">
        <v>1</v>
      </c>
      <c r="G63" t="s">
        <v>213</v>
      </c>
      <c r="H63">
        <v>2.5185854530410179</v>
      </c>
      <c r="I63">
        <v>2.267609484410229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</row>
    <row r="64" spans="1:29" x14ac:dyDescent="0.25">
      <c r="A64" t="s">
        <v>97</v>
      </c>
      <c r="B64" t="s">
        <v>214</v>
      </c>
      <c r="C64" t="s">
        <v>191</v>
      </c>
      <c r="D64" t="s">
        <v>214</v>
      </c>
      <c r="F64">
        <v>1</v>
      </c>
      <c r="G64" t="s">
        <v>215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</row>
    <row r="65" spans="1:29" x14ac:dyDescent="0.25">
      <c r="A65" t="s">
        <v>97</v>
      </c>
      <c r="B65" t="s">
        <v>106</v>
      </c>
      <c r="C65" t="s">
        <v>191</v>
      </c>
      <c r="D65" t="s">
        <v>106</v>
      </c>
      <c r="F65">
        <v>1</v>
      </c>
      <c r="G65" t="s">
        <v>216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</row>
    <row r="66" spans="1:29" x14ac:dyDescent="0.25">
      <c r="A66" t="s">
        <v>97</v>
      </c>
      <c r="B66" t="s">
        <v>217</v>
      </c>
      <c r="C66" t="s">
        <v>191</v>
      </c>
      <c r="D66" t="s">
        <v>217</v>
      </c>
      <c r="F66">
        <v>1</v>
      </c>
      <c r="G66" t="s">
        <v>218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</row>
    <row r="67" spans="1:29" x14ac:dyDescent="0.25">
      <c r="A67" t="s">
        <v>97</v>
      </c>
      <c r="B67" t="s">
        <v>104</v>
      </c>
      <c r="C67" t="s">
        <v>191</v>
      </c>
      <c r="D67" t="s">
        <v>104</v>
      </c>
      <c r="F67">
        <v>2</v>
      </c>
      <c r="G67" t="s">
        <v>219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</row>
    <row r="68" spans="1:29" x14ac:dyDescent="0.25">
      <c r="A68" t="s">
        <v>209</v>
      </c>
      <c r="B68" t="s">
        <v>80</v>
      </c>
      <c r="C68" t="s">
        <v>130</v>
      </c>
      <c r="D68" t="s">
        <v>81</v>
      </c>
      <c r="E68" t="s">
        <v>131</v>
      </c>
      <c r="F68">
        <v>1</v>
      </c>
      <c r="G68" t="s">
        <v>220</v>
      </c>
      <c r="H68">
        <v>15.144652000522971</v>
      </c>
      <c r="I68">
        <v>13.529708263442849</v>
      </c>
      <c r="J68">
        <v>22.453362696163861</v>
      </c>
      <c r="K68">
        <v>24.250260365713441</v>
      </c>
      <c r="L68">
        <v>21.481797480850251</v>
      </c>
      <c r="M68">
        <v>19.26532088002514</v>
      </c>
      <c r="N68">
        <v>17.113109475962059</v>
      </c>
      <c r="O68">
        <v>16.99591592028381</v>
      </c>
      <c r="P68">
        <v>20.560587519532969</v>
      </c>
      <c r="Q68">
        <v>23.160107164160792</v>
      </c>
      <c r="R68">
        <v>25.22769456365122</v>
      </c>
      <c r="S68">
        <v>26.66727181846386</v>
      </c>
      <c r="T68">
        <v>26.66727181846386</v>
      </c>
      <c r="U68">
        <v>26.66727181846386</v>
      </c>
      <c r="V68">
        <v>26.66727181846386</v>
      </c>
      <c r="W68">
        <v>26.66727181846386</v>
      </c>
      <c r="X68">
        <v>26.66727181846386</v>
      </c>
      <c r="Y68">
        <v>26.66727181846386</v>
      </c>
      <c r="Z68">
        <v>26.66727181846386</v>
      </c>
      <c r="AA68">
        <v>26.66727181846386</v>
      </c>
      <c r="AB68">
        <v>26.66727181846386</v>
      </c>
      <c r="AC68">
        <v>26.66727181846386</v>
      </c>
    </row>
    <row r="69" spans="1:29" x14ac:dyDescent="0.25">
      <c r="A69" t="s">
        <v>209</v>
      </c>
      <c r="B69" t="s">
        <v>111</v>
      </c>
      <c r="C69" t="s">
        <v>130</v>
      </c>
      <c r="D69" t="s">
        <v>85</v>
      </c>
      <c r="E69" t="s">
        <v>133</v>
      </c>
      <c r="F69">
        <v>1</v>
      </c>
      <c r="G69" t="s">
        <v>221</v>
      </c>
      <c r="H69">
        <v>16.205109033382339</v>
      </c>
      <c r="I69">
        <v>11.359747034342149</v>
      </c>
      <c r="J69">
        <v>15.42262000944144</v>
      </c>
      <c r="K69">
        <v>16.65686141587668</v>
      </c>
      <c r="L69">
        <v>15.2313309053818</v>
      </c>
      <c r="M69">
        <v>14.040167994286531</v>
      </c>
      <c r="N69">
        <v>12.70019889809025</v>
      </c>
      <c r="O69">
        <v>10.98037822826509</v>
      </c>
      <c r="P69">
        <v>11.82978757998092</v>
      </c>
      <c r="Q69">
        <v>12.81316817689917</v>
      </c>
      <c r="R69">
        <v>13.701334009009029</v>
      </c>
      <c r="S69">
        <v>14.4582687931834</v>
      </c>
      <c r="T69">
        <v>14.4582687931834</v>
      </c>
      <c r="U69">
        <v>14.4582687931834</v>
      </c>
      <c r="V69">
        <v>14.4582687931834</v>
      </c>
      <c r="W69">
        <v>14.4582687931834</v>
      </c>
      <c r="X69">
        <v>14.4582687931834</v>
      </c>
      <c r="Y69">
        <v>14.4582687931834</v>
      </c>
      <c r="Z69">
        <v>14.4582687931834</v>
      </c>
      <c r="AA69">
        <v>14.4582687931834</v>
      </c>
      <c r="AB69">
        <v>14.4582687931834</v>
      </c>
      <c r="AC69">
        <v>14.4582687931834</v>
      </c>
    </row>
    <row r="70" spans="1:29" x14ac:dyDescent="0.25">
      <c r="A70" t="s">
        <v>209</v>
      </c>
      <c r="B70" t="s">
        <v>84</v>
      </c>
      <c r="C70" t="s">
        <v>130</v>
      </c>
      <c r="D70" t="s">
        <v>114</v>
      </c>
      <c r="E70" t="s">
        <v>135</v>
      </c>
      <c r="F70">
        <v>1</v>
      </c>
      <c r="G70" t="s">
        <v>222</v>
      </c>
      <c r="H70">
        <v>10.803406022254901</v>
      </c>
      <c r="I70">
        <v>8.3760503443286929</v>
      </c>
      <c r="J70">
        <v>12.31451729732329</v>
      </c>
      <c r="K70">
        <v>13.300023465491529</v>
      </c>
      <c r="L70">
        <v>8.3058520131779208</v>
      </c>
      <c r="M70">
        <v>9.8242711554048068</v>
      </c>
      <c r="N70">
        <v>10.264384467441991</v>
      </c>
      <c r="O70">
        <v>15.911877844428449</v>
      </c>
      <c r="P70">
        <v>17.519001292651261</v>
      </c>
      <c r="Q70">
        <v>19.207624262464829</v>
      </c>
      <c r="R70">
        <v>20.805142293316191</v>
      </c>
      <c r="S70">
        <v>22.199438305906511</v>
      </c>
      <c r="T70">
        <v>22.199438305906511</v>
      </c>
      <c r="U70">
        <v>22.199438305906511</v>
      </c>
      <c r="V70">
        <v>22.199438305906511</v>
      </c>
      <c r="W70">
        <v>22.199438305906511</v>
      </c>
      <c r="X70">
        <v>22.199438305906511</v>
      </c>
      <c r="Y70">
        <v>22.199438305906511</v>
      </c>
      <c r="Z70">
        <v>22.199438305906511</v>
      </c>
      <c r="AA70">
        <v>22.199438305906511</v>
      </c>
      <c r="AB70">
        <v>22.199438305906511</v>
      </c>
      <c r="AC70">
        <v>22.199438305906511</v>
      </c>
    </row>
    <row r="71" spans="1:29" x14ac:dyDescent="0.25">
      <c r="A71" t="s">
        <v>209</v>
      </c>
      <c r="B71" t="s">
        <v>88</v>
      </c>
      <c r="C71" t="s">
        <v>130</v>
      </c>
      <c r="D71" t="s">
        <v>85</v>
      </c>
      <c r="E71" t="s">
        <v>137</v>
      </c>
      <c r="F71">
        <v>1</v>
      </c>
      <c r="G71" t="s">
        <v>223</v>
      </c>
      <c r="H71">
        <v>18.734740913848981</v>
      </c>
      <c r="I71">
        <v>13.594807100315871</v>
      </c>
      <c r="J71">
        <v>17.801926223545671</v>
      </c>
      <c r="K71">
        <v>19.226578743412901</v>
      </c>
      <c r="L71">
        <v>17.581126222264881</v>
      </c>
      <c r="M71">
        <v>16.206198080965891</v>
      </c>
      <c r="N71">
        <v>14.65950685874073</v>
      </c>
      <c r="O71">
        <v>12.674362916711811</v>
      </c>
      <c r="P71">
        <v>13.65481387793489</v>
      </c>
      <c r="Q71">
        <v>14.789904337616059</v>
      </c>
      <c r="R71">
        <v>15.815090888786649</v>
      </c>
      <c r="S71">
        <v>16.688800879414611</v>
      </c>
      <c r="T71">
        <v>16.688800879414611</v>
      </c>
      <c r="U71">
        <v>16.688800879414611</v>
      </c>
      <c r="V71">
        <v>16.688800879414611</v>
      </c>
      <c r="W71">
        <v>16.688800879414611</v>
      </c>
      <c r="X71">
        <v>16.688800879414611</v>
      </c>
      <c r="Y71">
        <v>16.688800879414611</v>
      </c>
      <c r="Z71">
        <v>16.688800879414611</v>
      </c>
      <c r="AA71">
        <v>16.688800879414611</v>
      </c>
      <c r="AB71">
        <v>16.688800879414611</v>
      </c>
      <c r="AC71">
        <v>16.688800879414611</v>
      </c>
    </row>
    <row r="72" spans="1:29" x14ac:dyDescent="0.25">
      <c r="A72" t="s">
        <v>209</v>
      </c>
      <c r="B72" t="s">
        <v>118</v>
      </c>
      <c r="C72" t="s">
        <v>130</v>
      </c>
      <c r="D72" t="s">
        <v>85</v>
      </c>
      <c r="E72" t="s">
        <v>139</v>
      </c>
      <c r="F72">
        <v>1</v>
      </c>
      <c r="G72" t="s">
        <v>224</v>
      </c>
      <c r="H72">
        <v>23.164358311522001</v>
      </c>
      <c r="I72">
        <v>19.37775377586923</v>
      </c>
      <c r="J72">
        <v>25.58290059940007</v>
      </c>
      <c r="K72">
        <v>27.630248922652981</v>
      </c>
      <c r="L72">
        <v>25.265591988287941</v>
      </c>
      <c r="M72">
        <v>23.289701877944371</v>
      </c>
      <c r="N72">
        <v>21.066973432759848</v>
      </c>
      <c r="O72">
        <v>18.214150681632209</v>
      </c>
      <c r="P72">
        <v>19.62314312259517</v>
      </c>
      <c r="Q72">
        <v>21.254365836176721</v>
      </c>
      <c r="R72">
        <v>22.727647171302682</v>
      </c>
      <c r="S72">
        <v>23.983243647900469</v>
      </c>
      <c r="T72">
        <v>23.983243647900469</v>
      </c>
      <c r="U72">
        <v>23.983243647900469</v>
      </c>
      <c r="V72">
        <v>23.983243647900469</v>
      </c>
      <c r="W72">
        <v>23.983243647900469</v>
      </c>
      <c r="X72">
        <v>23.983243647900469</v>
      </c>
      <c r="Y72">
        <v>23.983243647900469</v>
      </c>
      <c r="Z72">
        <v>23.983243647900469</v>
      </c>
      <c r="AA72">
        <v>23.983243647900469</v>
      </c>
      <c r="AB72">
        <v>23.983243647900469</v>
      </c>
      <c r="AC72">
        <v>23.983243647900469</v>
      </c>
    </row>
    <row r="73" spans="1:29" x14ac:dyDescent="0.25">
      <c r="A73" t="s">
        <v>209</v>
      </c>
      <c r="B73" t="s">
        <v>91</v>
      </c>
      <c r="C73" t="s">
        <v>130</v>
      </c>
      <c r="D73" t="s">
        <v>92</v>
      </c>
      <c r="E73" t="s">
        <v>141</v>
      </c>
      <c r="F73">
        <v>1</v>
      </c>
      <c r="G73" t="s">
        <v>225</v>
      </c>
      <c r="H73">
        <v>8.2406348595114025</v>
      </c>
      <c r="I73">
        <v>7.3453187605058599</v>
      </c>
      <c r="J73">
        <v>8.7026875939308148</v>
      </c>
      <c r="K73">
        <v>9.3991462610784318</v>
      </c>
      <c r="L73">
        <v>7.840660833120296</v>
      </c>
      <c r="M73">
        <v>6.3176618215180902</v>
      </c>
      <c r="N73">
        <v>5.7092574658049546</v>
      </c>
      <c r="O73">
        <v>5.4161205246663062</v>
      </c>
      <c r="P73">
        <v>6.5134169753070124</v>
      </c>
      <c r="Q73">
        <v>7.3212057953494627</v>
      </c>
      <c r="R73">
        <v>7.4682076067627428</v>
      </c>
      <c r="S73">
        <v>7.6916072679536196</v>
      </c>
      <c r="T73">
        <v>7.6916072679536196</v>
      </c>
      <c r="U73">
        <v>7.6916072679536196</v>
      </c>
      <c r="V73">
        <v>7.6916072679536196</v>
      </c>
      <c r="W73">
        <v>7.6916072679536196</v>
      </c>
      <c r="X73">
        <v>7.6916072679536196</v>
      </c>
      <c r="Y73">
        <v>7.6916072679536196</v>
      </c>
      <c r="Z73">
        <v>7.6916072679536196</v>
      </c>
      <c r="AA73">
        <v>7.6916072679536196</v>
      </c>
      <c r="AB73">
        <v>7.6916072679536196</v>
      </c>
      <c r="AC73">
        <v>7.6916072679536196</v>
      </c>
    </row>
    <row r="74" spans="1:29" x14ac:dyDescent="0.25">
      <c r="A74" t="s">
        <v>209</v>
      </c>
      <c r="B74" t="s">
        <v>95</v>
      </c>
      <c r="C74" t="s">
        <v>130</v>
      </c>
      <c r="D74" t="s">
        <v>92</v>
      </c>
      <c r="E74" t="s">
        <v>141</v>
      </c>
      <c r="F74">
        <v>2</v>
      </c>
      <c r="G74" t="s">
        <v>226</v>
      </c>
      <c r="H74">
        <v>16.481269719022809</v>
      </c>
      <c r="I74">
        <v>14.69063752101172</v>
      </c>
      <c r="J74">
        <v>17.40537518786163</v>
      </c>
      <c r="K74">
        <v>18.79829252215686</v>
      </c>
      <c r="L74">
        <v>15.68132166624059</v>
      </c>
      <c r="M74">
        <v>12.63532364303618</v>
      </c>
      <c r="N74">
        <v>11.418514931609909</v>
      </c>
      <c r="O74">
        <v>10.832241049332611</v>
      </c>
      <c r="P74">
        <v>13.026833950614019</v>
      </c>
      <c r="Q74">
        <v>14.642411590698931</v>
      </c>
      <c r="R74">
        <v>14.936415213525491</v>
      </c>
      <c r="S74">
        <v>15.383214535907239</v>
      </c>
      <c r="T74">
        <v>15.383214535907239</v>
      </c>
      <c r="U74">
        <v>15.383214535907239</v>
      </c>
      <c r="V74">
        <v>15.383214535907239</v>
      </c>
      <c r="W74">
        <v>15.383214535907239</v>
      </c>
      <c r="X74">
        <v>15.383214535907239</v>
      </c>
      <c r="Y74">
        <v>15.383214535907239</v>
      </c>
      <c r="Z74">
        <v>15.383214535907239</v>
      </c>
      <c r="AA74">
        <v>15.383214535907239</v>
      </c>
      <c r="AB74">
        <v>15.383214535907239</v>
      </c>
      <c r="AC74">
        <v>15.383214535907239</v>
      </c>
    </row>
    <row r="75" spans="1:29" x14ac:dyDescent="0.25">
      <c r="A75" t="s">
        <v>209</v>
      </c>
      <c r="B75" t="s">
        <v>144</v>
      </c>
      <c r="C75" t="s">
        <v>130</v>
      </c>
      <c r="D75" t="s">
        <v>145</v>
      </c>
      <c r="E75" t="s">
        <v>146</v>
      </c>
      <c r="F75">
        <v>1</v>
      </c>
      <c r="G75" t="s">
        <v>227</v>
      </c>
      <c r="H75">
        <v>3.7778781795615268</v>
      </c>
      <c r="I75">
        <v>3.981878855399779</v>
      </c>
      <c r="J75">
        <v>3.6011121078334409</v>
      </c>
      <c r="K75">
        <v>3.8893019011359029</v>
      </c>
      <c r="L75">
        <v>3.8487693381516159</v>
      </c>
      <c r="M75">
        <v>3.941073016684963</v>
      </c>
      <c r="N75">
        <v>4.0063416861398338</v>
      </c>
      <c r="O75">
        <v>4.4118734515392664</v>
      </c>
      <c r="P75">
        <v>4.9805161569166128</v>
      </c>
      <c r="Q75">
        <v>5.5737404371809172</v>
      </c>
      <c r="R75">
        <v>6.1313001281072026</v>
      </c>
      <c r="S75">
        <v>6.6964863768406717</v>
      </c>
      <c r="T75">
        <v>6.6964863768406717</v>
      </c>
      <c r="U75">
        <v>6.6964863768406717</v>
      </c>
      <c r="V75">
        <v>6.6964863768406717</v>
      </c>
      <c r="W75">
        <v>6.6964863768406717</v>
      </c>
      <c r="X75">
        <v>6.6964863768406717</v>
      </c>
      <c r="Y75">
        <v>6.6964863768406717</v>
      </c>
      <c r="Z75">
        <v>6.6964863768406717</v>
      </c>
      <c r="AA75">
        <v>6.6964863768406717</v>
      </c>
      <c r="AB75">
        <v>6.6964863768406717</v>
      </c>
      <c r="AC75">
        <v>6.6964863768406717</v>
      </c>
    </row>
    <row r="76" spans="1:29" x14ac:dyDescent="0.25">
      <c r="A76" t="s">
        <v>209</v>
      </c>
      <c r="B76" t="s">
        <v>148</v>
      </c>
      <c r="C76" t="s">
        <v>130</v>
      </c>
      <c r="D76" t="s">
        <v>149</v>
      </c>
      <c r="E76" t="s">
        <v>146</v>
      </c>
      <c r="F76">
        <v>1</v>
      </c>
      <c r="G76" t="s">
        <v>228</v>
      </c>
      <c r="H76">
        <v>3.7778781795615268</v>
      </c>
      <c r="I76">
        <v>3.981878855399779</v>
      </c>
      <c r="J76">
        <v>3.6011121078334409</v>
      </c>
      <c r="K76">
        <v>3.8893019011359029</v>
      </c>
      <c r="L76">
        <v>3.7264742863010918</v>
      </c>
      <c r="M76">
        <v>3.6977751293713381</v>
      </c>
      <c r="N76">
        <v>3.7934472796869061</v>
      </c>
      <c r="O76">
        <v>3.9236988583037791</v>
      </c>
      <c r="P76">
        <v>4.1425814000956578</v>
      </c>
      <c r="Q76">
        <v>4.4356798747533732</v>
      </c>
      <c r="R76">
        <v>4.6979638189573594</v>
      </c>
      <c r="S76">
        <v>4.9689665163366881</v>
      </c>
      <c r="T76">
        <v>4.9689665163366881</v>
      </c>
      <c r="U76">
        <v>4.9689665163366881</v>
      </c>
      <c r="V76">
        <v>4.9689665163366881</v>
      </c>
      <c r="W76">
        <v>4.9689665163366881</v>
      </c>
      <c r="X76">
        <v>4.9689665163366881</v>
      </c>
      <c r="Y76">
        <v>4.9689665163366881</v>
      </c>
      <c r="Z76">
        <v>4.9689665163366881</v>
      </c>
      <c r="AA76">
        <v>4.9689665163366881</v>
      </c>
      <c r="AB76">
        <v>4.9689665163366881</v>
      </c>
      <c r="AC76">
        <v>4.9689665163366881</v>
      </c>
    </row>
    <row r="77" spans="1:29" x14ac:dyDescent="0.25">
      <c r="A77" t="s">
        <v>209</v>
      </c>
      <c r="B77" t="s">
        <v>97</v>
      </c>
      <c r="C77" t="s">
        <v>130</v>
      </c>
      <c r="D77" t="s">
        <v>97</v>
      </c>
      <c r="E77" t="s">
        <v>151</v>
      </c>
      <c r="F77">
        <v>1</v>
      </c>
      <c r="G77" t="s">
        <v>229</v>
      </c>
      <c r="H77">
        <v>18.17137311514243</v>
      </c>
      <c r="I77">
        <v>17.630934986443169</v>
      </c>
      <c r="J77">
        <v>19.92401014423324</v>
      </c>
      <c r="K77">
        <v>21.518488792296559</v>
      </c>
      <c r="L77">
        <v>20.69531158607089</v>
      </c>
      <c r="M77">
        <v>18.77872943239614</v>
      </c>
      <c r="N77">
        <v>18.127858728487311</v>
      </c>
      <c r="O77">
        <v>17.722945350877559</v>
      </c>
      <c r="P77">
        <v>19.06314713208441</v>
      </c>
      <c r="Q77">
        <v>20.732892691250431</v>
      </c>
      <c r="R77">
        <v>21.803489149356121</v>
      </c>
      <c r="S77">
        <v>22.407177575713739</v>
      </c>
      <c r="T77">
        <v>22.407177575713739</v>
      </c>
      <c r="U77">
        <v>22.407177575713739</v>
      </c>
      <c r="V77">
        <v>22.407177575713739</v>
      </c>
      <c r="W77">
        <v>22.407177575713739</v>
      </c>
      <c r="X77">
        <v>22.407177575713739</v>
      </c>
      <c r="Y77">
        <v>22.407177575713739</v>
      </c>
      <c r="Z77">
        <v>22.407177575713739</v>
      </c>
      <c r="AA77">
        <v>22.407177575713739</v>
      </c>
      <c r="AB77">
        <v>22.407177575713739</v>
      </c>
      <c r="AC77">
        <v>22.407177575713739</v>
      </c>
    </row>
    <row r="78" spans="1:29" x14ac:dyDescent="0.25">
      <c r="A78" t="s">
        <v>209</v>
      </c>
      <c r="B78" t="s">
        <v>100</v>
      </c>
      <c r="C78" t="s">
        <v>130</v>
      </c>
      <c r="D78" t="s">
        <v>97</v>
      </c>
      <c r="E78" t="s">
        <v>151</v>
      </c>
      <c r="F78">
        <v>2</v>
      </c>
      <c r="G78" t="s">
        <v>230</v>
      </c>
      <c r="H78">
        <v>36.342746230284867</v>
      </c>
      <c r="I78">
        <v>35.261869972886331</v>
      </c>
      <c r="J78">
        <v>39.848020288466472</v>
      </c>
      <c r="K78">
        <v>43.036977584593117</v>
      </c>
      <c r="L78">
        <v>41.390623172141773</v>
      </c>
      <c r="M78">
        <v>37.557458864792267</v>
      </c>
      <c r="N78">
        <v>36.255717456974629</v>
      </c>
      <c r="O78">
        <v>35.445890701755118</v>
      </c>
      <c r="P78">
        <v>38.126294264168827</v>
      </c>
      <c r="Q78">
        <v>41.465785382500847</v>
      </c>
      <c r="R78">
        <v>43.606978298712249</v>
      </c>
      <c r="S78">
        <v>44.814355151427478</v>
      </c>
      <c r="T78">
        <v>44.814355151427478</v>
      </c>
      <c r="U78">
        <v>44.814355151427478</v>
      </c>
      <c r="V78">
        <v>44.814355151427478</v>
      </c>
      <c r="W78">
        <v>44.814355151427478</v>
      </c>
      <c r="X78">
        <v>44.814355151427478</v>
      </c>
      <c r="Y78">
        <v>44.814355151427478</v>
      </c>
      <c r="Z78">
        <v>44.814355151427478</v>
      </c>
      <c r="AA78">
        <v>44.814355151427478</v>
      </c>
      <c r="AB78">
        <v>44.814355151427478</v>
      </c>
      <c r="AC78">
        <v>44.814355151427478</v>
      </c>
    </row>
    <row r="79" spans="1:29" x14ac:dyDescent="0.25">
      <c r="A79" t="s">
        <v>209</v>
      </c>
      <c r="B79" t="s">
        <v>104</v>
      </c>
      <c r="C79" t="s">
        <v>130</v>
      </c>
      <c r="D79" t="s">
        <v>104</v>
      </c>
      <c r="F79">
        <v>1</v>
      </c>
      <c r="G79" t="s">
        <v>231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</row>
    <row r="80" spans="1:29" x14ac:dyDescent="0.25">
      <c r="A80" t="s">
        <v>209</v>
      </c>
      <c r="B80" t="s">
        <v>106</v>
      </c>
      <c r="C80" t="s">
        <v>130</v>
      </c>
      <c r="D80" t="s">
        <v>106</v>
      </c>
      <c r="F80">
        <v>1</v>
      </c>
      <c r="G80" t="s">
        <v>232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theme="8"/>
  </sheetPr>
  <dimension ref="A1"/>
  <sheetViews>
    <sheetView workbookViewId="0">
      <selection activeCell="K18" sqref="K18"/>
    </sheetView>
  </sheetViews>
  <sheetFormatPr defaultRowHeight="15" x14ac:dyDescent="0.25"/>
  <sheetData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B2:J125"/>
  <sheetViews>
    <sheetView zoomScale="85" zoomScaleNormal="85" workbookViewId="0">
      <selection activeCell="H38" sqref="H38"/>
    </sheetView>
  </sheetViews>
  <sheetFormatPr defaultRowHeight="15" x14ac:dyDescent="0.25"/>
  <cols>
    <col min="2" max="2" width="22.42578125" bestFit="1" customWidth="1"/>
    <col min="3" max="3" width="10.85546875" bestFit="1" customWidth="1"/>
    <col min="4" max="4" width="15.85546875" bestFit="1" customWidth="1"/>
    <col min="5" max="5" width="69.42578125" customWidth="1"/>
    <col min="6" max="6" width="10.42578125" bestFit="1" customWidth="1"/>
    <col min="7" max="7" width="11.85546875" bestFit="1" customWidth="1"/>
    <col min="8" max="8" width="22.5703125" bestFit="1" customWidth="1"/>
    <col min="9" max="9" width="17.28515625" bestFit="1" customWidth="1"/>
    <col min="10" max="10" width="15" bestFit="1" customWidth="1"/>
  </cols>
  <sheetData>
    <row r="2" spans="2:10" x14ac:dyDescent="0.25">
      <c r="B2" s="3" t="s">
        <v>233</v>
      </c>
    </row>
    <row r="3" spans="2:10" x14ac:dyDescent="0.25">
      <c r="B3" s="1" t="s">
        <v>234</v>
      </c>
      <c r="C3" s="1" t="s">
        <v>235</v>
      </c>
      <c r="D3" s="1" t="s">
        <v>236</v>
      </c>
      <c r="E3" s="1" t="s">
        <v>237</v>
      </c>
      <c r="F3" s="1" t="s">
        <v>238</v>
      </c>
      <c r="G3" s="1" t="s">
        <v>239</v>
      </c>
      <c r="H3" s="1" t="s">
        <v>240</v>
      </c>
      <c r="I3" s="1" t="s">
        <v>241</v>
      </c>
      <c r="J3" s="1" t="s">
        <v>242</v>
      </c>
    </row>
    <row r="4" spans="2:10" ht="27.6" customHeight="1" thickBot="1" x14ac:dyDescent="0.3">
      <c r="B4" s="2" t="s">
        <v>243</v>
      </c>
      <c r="C4" s="2" t="s">
        <v>235</v>
      </c>
      <c r="D4" s="2" t="s">
        <v>244</v>
      </c>
      <c r="E4" s="2" t="s">
        <v>245</v>
      </c>
      <c r="F4" s="2" t="s">
        <v>246</v>
      </c>
      <c r="G4" s="2" t="s">
        <v>247</v>
      </c>
      <c r="H4" s="2" t="s">
        <v>248</v>
      </c>
      <c r="I4" s="2" t="s">
        <v>249</v>
      </c>
      <c r="J4" s="2" t="s">
        <v>250</v>
      </c>
    </row>
    <row r="5" spans="2:10" x14ac:dyDescent="0.25">
      <c r="B5" t="s">
        <v>251</v>
      </c>
      <c r="C5" t="s">
        <v>252</v>
      </c>
      <c r="D5" t="str">
        <f>'ENE TECH'!G3&amp;RIGHT('City characteristics'!$C$20,2)</f>
        <v>RESLPG19</v>
      </c>
      <c r="E5" t="str">
        <f>'ENE TECH'!A3&amp;" "&amp;'ENE TECH'!B3&amp;" "&amp;"Import"</f>
        <v>Residential LPG Import</v>
      </c>
      <c r="F5" t="s">
        <v>253</v>
      </c>
      <c r="G5" t="s">
        <v>254</v>
      </c>
    </row>
    <row r="6" spans="2:10" x14ac:dyDescent="0.25">
      <c r="C6" t="s">
        <v>252</v>
      </c>
      <c r="D6" t="str">
        <f>'ENE TECH'!G4&amp;RIGHT('City characteristics'!$C$20,2)</f>
        <v>RESFOI19</v>
      </c>
      <c r="E6" t="str">
        <f>'ENE TECH'!A4&amp;" "&amp;'ENE TECH'!B4&amp;" "&amp;"Import"</f>
        <v>Residential Fuel oil Import</v>
      </c>
      <c r="F6" t="s">
        <v>253</v>
      </c>
      <c r="G6" t="s">
        <v>254</v>
      </c>
    </row>
    <row r="7" spans="2:10" x14ac:dyDescent="0.25">
      <c r="C7" t="s">
        <v>252</v>
      </c>
      <c r="D7" t="str">
        <f>'ENE TECH'!G5&amp;RIGHT('City characteristics'!$C$20,2)</f>
        <v>RESKER19</v>
      </c>
      <c r="E7" t="str">
        <f>'ENE TECH'!A5&amp;" "&amp;'ENE TECH'!B5&amp;" "&amp;"Import"</f>
        <v>Residential Kerosene Import</v>
      </c>
      <c r="F7" t="s">
        <v>253</v>
      </c>
      <c r="G7" t="s">
        <v>254</v>
      </c>
    </row>
    <row r="8" spans="2:10" x14ac:dyDescent="0.25">
      <c r="C8" t="s">
        <v>252</v>
      </c>
      <c r="D8" t="str">
        <f>'ENE TECH'!G6&amp;RIGHT('City characteristics'!$C$20,2)</f>
        <v>RESNGA19</v>
      </c>
      <c r="E8" t="str">
        <f>'ENE TECH'!A6&amp;" "&amp;'ENE TECH'!B6&amp;" "&amp;"Import"</f>
        <v>Residential Natural gas Import</v>
      </c>
      <c r="F8" t="s">
        <v>253</v>
      </c>
      <c r="G8" t="s">
        <v>254</v>
      </c>
    </row>
    <row r="9" spans="2:10" x14ac:dyDescent="0.25">
      <c r="C9" t="s">
        <v>252</v>
      </c>
      <c r="D9" t="str">
        <f>'ENE TECH'!G7&amp;RIGHT('City characteristics'!$C$20,2)</f>
        <v>RESRNG19</v>
      </c>
      <c r="E9" t="str">
        <f>'ENE TECH'!A7&amp;" "&amp;'ENE TECH'!B7&amp;" "&amp;"Import"</f>
        <v>Residential RNG Import</v>
      </c>
      <c r="F9" t="s">
        <v>253</v>
      </c>
      <c r="G9" t="s">
        <v>254</v>
      </c>
    </row>
    <row r="10" spans="2:10" x14ac:dyDescent="0.25">
      <c r="C10" t="s">
        <v>252</v>
      </c>
      <c r="D10" t="str">
        <f>'ENE TECH'!G8&amp;RIGHT('City characteristics'!$C$20,2)</f>
        <v>RESELC19</v>
      </c>
      <c r="E10" t="str">
        <f>'ENE TECH'!A8&amp;" "&amp;'ENE TECH'!B8&amp;" "&amp;"Import"</f>
        <v>Residential Electricity Import</v>
      </c>
      <c r="F10" t="s">
        <v>253</v>
      </c>
      <c r="G10" t="s">
        <v>254</v>
      </c>
      <c r="H10" t="s">
        <v>255</v>
      </c>
    </row>
    <row r="11" spans="2:10" x14ac:dyDescent="0.25">
      <c r="C11" t="s">
        <v>252</v>
      </c>
      <c r="D11" t="str">
        <f>'ENE TECH'!G9&amp;RIGHT('City characteristics'!$C$20,2)</f>
        <v>RESH2G19</v>
      </c>
      <c r="E11" t="str">
        <f>'ENE TECH'!A9&amp;" "&amp;'ENE TECH'!B9&amp;" "&amp;"Import"</f>
        <v>Residential Hydrogen Import</v>
      </c>
      <c r="F11" t="s">
        <v>253</v>
      </c>
      <c r="G11" t="s">
        <v>254</v>
      </c>
      <c r="H11" t="s">
        <v>255</v>
      </c>
    </row>
    <row r="12" spans="2:10" x14ac:dyDescent="0.25">
      <c r="C12" t="s">
        <v>252</v>
      </c>
      <c r="D12" t="str">
        <f>'ENE TECH'!G10&amp;RIGHT('City characteristics'!$C$20,2)</f>
        <v>RESSTM19</v>
      </c>
      <c r="E12" t="str">
        <f>'ENE TECH'!A10&amp;" "&amp;'ENE TECH'!B10&amp;" "&amp;"Import"</f>
        <v>Residential Steam Import</v>
      </c>
      <c r="F12" t="s">
        <v>253</v>
      </c>
      <c r="G12" t="s">
        <v>254</v>
      </c>
    </row>
    <row r="13" spans="2:10" x14ac:dyDescent="0.25">
      <c r="C13" t="s">
        <v>252</v>
      </c>
      <c r="D13" t="str">
        <f>'ENE TECH'!G11&amp;RIGHT('City characteristics'!$C$20,2)</f>
        <v>RESSOL19</v>
      </c>
      <c r="E13" t="str">
        <f>'ENE TECH'!A11&amp;" "&amp;'ENE TECH'!B11&amp;" "&amp;"Import"</f>
        <v>Residential Solar Import</v>
      </c>
      <c r="F13" t="s">
        <v>253</v>
      </c>
      <c r="G13" t="s">
        <v>254</v>
      </c>
    </row>
    <row r="14" spans="2:10" x14ac:dyDescent="0.25">
      <c r="C14" t="s">
        <v>252</v>
      </c>
      <c r="D14" t="str">
        <f>'ENE TECH'!G12&amp;RIGHT('City characteristics'!$C$20,2)</f>
        <v>RESWND19</v>
      </c>
      <c r="E14" t="str">
        <f>'ENE TECH'!A12&amp;" "&amp;'ENE TECH'!B12&amp;" "&amp;"Import"</f>
        <v>Residential Wind Import</v>
      </c>
      <c r="F14" t="s">
        <v>253</v>
      </c>
      <c r="G14" t="s">
        <v>254</v>
      </c>
    </row>
    <row r="15" spans="2:10" x14ac:dyDescent="0.25">
      <c r="C15" t="s">
        <v>252</v>
      </c>
      <c r="D15" t="str">
        <f>'ENE TECH'!G13&amp;RIGHT('City characteristics'!$C$20,2)</f>
        <v>COMLPG19</v>
      </c>
      <c r="E15" t="str">
        <f>'ENE TECH'!A13&amp;" "&amp;'ENE TECH'!B13&amp;" "&amp;"Import"</f>
        <v>Commercial LPG Import</v>
      </c>
      <c r="F15" t="s">
        <v>253</v>
      </c>
      <c r="G15" t="s">
        <v>254</v>
      </c>
    </row>
    <row r="16" spans="2:10" x14ac:dyDescent="0.25">
      <c r="C16" t="s">
        <v>252</v>
      </c>
      <c r="D16" t="str">
        <f>'ENE TECH'!G14&amp;RIGHT('City characteristics'!$C$20,2)</f>
        <v>COMDSL19</v>
      </c>
      <c r="E16" t="str">
        <f>'ENE TECH'!A14&amp;" "&amp;'ENE TECH'!B14&amp;" "&amp;"Import"</f>
        <v>Commercial Diesel Import</v>
      </c>
      <c r="F16" t="s">
        <v>253</v>
      </c>
      <c r="G16" t="s">
        <v>254</v>
      </c>
    </row>
    <row r="17" spans="3:8" x14ac:dyDescent="0.25">
      <c r="C17" t="s">
        <v>252</v>
      </c>
      <c r="D17" t="str">
        <f>'ENE TECH'!G15&amp;RIGHT('City characteristics'!$C$20,2)</f>
        <v>COMFOI19</v>
      </c>
      <c r="E17" t="str">
        <f>'ENE TECH'!A15&amp;" "&amp;'ENE TECH'!B15&amp;" "&amp;"Import"</f>
        <v>Commercial Fuel oil Import</v>
      </c>
      <c r="F17" t="s">
        <v>253</v>
      </c>
      <c r="G17" t="s">
        <v>254</v>
      </c>
    </row>
    <row r="18" spans="3:8" x14ac:dyDescent="0.25">
      <c r="C18" t="s">
        <v>252</v>
      </c>
      <c r="D18" t="str">
        <f>'ENE TECH'!G16&amp;RIGHT('City characteristics'!$C$20,2)</f>
        <v>COMKER19</v>
      </c>
      <c r="E18" t="str">
        <f>'ENE TECH'!A16&amp;" "&amp;'ENE TECH'!B16&amp;" "&amp;"Import"</f>
        <v>Commercial Kerosene Import</v>
      </c>
      <c r="F18" t="s">
        <v>253</v>
      </c>
      <c r="G18" t="s">
        <v>254</v>
      </c>
    </row>
    <row r="19" spans="3:8" x14ac:dyDescent="0.25">
      <c r="C19" t="s">
        <v>252</v>
      </c>
      <c r="D19" t="str">
        <f>'ENE TECH'!G17&amp;RIGHT('City characteristics'!$C$20,2)</f>
        <v>COMGSL19</v>
      </c>
      <c r="E19" t="str">
        <f>'ENE TECH'!A17&amp;" "&amp;'ENE TECH'!B17&amp;" "&amp;"Import"</f>
        <v>Commercial Gasoline Import</v>
      </c>
      <c r="F19" t="s">
        <v>253</v>
      </c>
      <c r="G19" t="s">
        <v>254</v>
      </c>
    </row>
    <row r="20" spans="3:8" x14ac:dyDescent="0.25">
      <c r="C20" t="s">
        <v>252</v>
      </c>
      <c r="D20" t="str">
        <f>'ENE TECH'!G18&amp;RIGHT('City characteristics'!$C$20,2)</f>
        <v>COMNGA19</v>
      </c>
      <c r="E20" t="str">
        <f>'ENE TECH'!A18&amp;" "&amp;'ENE TECH'!B18&amp;" "&amp;"Import"</f>
        <v>Commercial Natural gas Import</v>
      </c>
      <c r="F20" t="s">
        <v>253</v>
      </c>
      <c r="G20" t="s">
        <v>254</v>
      </c>
    </row>
    <row r="21" spans="3:8" x14ac:dyDescent="0.25">
      <c r="C21" t="s">
        <v>252</v>
      </c>
      <c r="D21" t="str">
        <f>'ENE TECH'!G19&amp;RIGHT('City characteristics'!$C$20,2)</f>
        <v>COMRNG19</v>
      </c>
      <c r="E21" t="str">
        <f>'ENE TECH'!A19&amp;" "&amp;'ENE TECH'!B19&amp;" "&amp;"Import"</f>
        <v>Commercial RNG Import</v>
      </c>
      <c r="F21" t="s">
        <v>253</v>
      </c>
      <c r="G21" t="s">
        <v>254</v>
      </c>
    </row>
    <row r="22" spans="3:8" x14ac:dyDescent="0.25">
      <c r="C22" t="s">
        <v>252</v>
      </c>
      <c r="D22" t="str">
        <f>'ENE TECH'!G20&amp;RIGHT('City characteristics'!$C$20,2)</f>
        <v>COMELC19</v>
      </c>
      <c r="E22" t="str">
        <f>'ENE TECH'!A20&amp;" "&amp;'ENE TECH'!B20&amp;" "&amp;"Import"</f>
        <v>Commercial Electricity Import</v>
      </c>
      <c r="F22" t="s">
        <v>253</v>
      </c>
      <c r="G22" t="s">
        <v>254</v>
      </c>
      <c r="H22" t="s">
        <v>255</v>
      </c>
    </row>
    <row r="23" spans="3:8" x14ac:dyDescent="0.25">
      <c r="C23" t="s">
        <v>252</v>
      </c>
      <c r="D23" t="str">
        <f>'ENE TECH'!G21&amp;RIGHT('City characteristics'!$C$20,2)</f>
        <v>COMH2G19</v>
      </c>
      <c r="E23" t="str">
        <f>'ENE TECH'!A21&amp;" "&amp;'ENE TECH'!B21&amp;" "&amp;"Import"</f>
        <v>Commercial Hydrogen Import</v>
      </c>
      <c r="F23" t="s">
        <v>253</v>
      </c>
      <c r="G23" t="s">
        <v>254</v>
      </c>
      <c r="H23" t="s">
        <v>255</v>
      </c>
    </row>
    <row r="24" spans="3:8" x14ac:dyDescent="0.25">
      <c r="C24" t="s">
        <v>252</v>
      </c>
      <c r="D24" t="str">
        <f>'ENE TECH'!G22&amp;RIGHT('City characteristics'!$C$20,2)</f>
        <v>COMSTM19</v>
      </c>
      <c r="E24" t="str">
        <f>'ENE TECH'!A22&amp;" "&amp;'ENE TECH'!B22&amp;" "&amp;"Import"</f>
        <v>Commercial Steam Import</v>
      </c>
      <c r="F24" t="s">
        <v>253</v>
      </c>
      <c r="G24" t="s">
        <v>254</v>
      </c>
    </row>
    <row r="25" spans="3:8" x14ac:dyDescent="0.25">
      <c r="C25" t="s">
        <v>252</v>
      </c>
      <c r="D25" t="str">
        <f>'ENE TECH'!G23&amp;RIGHT('City characteristics'!$C$20,2)</f>
        <v>COMSOL19</v>
      </c>
      <c r="E25" t="str">
        <f>'ENE TECH'!A23&amp;" "&amp;'ENE TECH'!B23&amp;" "&amp;"Import"</f>
        <v>Commercial Solar Import</v>
      </c>
      <c r="F25" t="s">
        <v>253</v>
      </c>
      <c r="G25" t="s">
        <v>254</v>
      </c>
    </row>
    <row r="26" spans="3:8" x14ac:dyDescent="0.25">
      <c r="C26" t="s">
        <v>252</v>
      </c>
      <c r="D26" t="str">
        <f>'ENE TECH'!G24&amp;RIGHT('City characteristics'!$C$20,2)</f>
        <v>COMWND19</v>
      </c>
      <c r="E26" t="str">
        <f>'ENE TECH'!A24&amp;" "&amp;'ENE TECH'!B24&amp;" "&amp;"Import"</f>
        <v>Commercial Wind Import</v>
      </c>
      <c r="F26" t="s">
        <v>253</v>
      </c>
      <c r="G26" t="s">
        <v>254</v>
      </c>
    </row>
    <row r="27" spans="3:8" x14ac:dyDescent="0.25">
      <c r="C27" t="s">
        <v>252</v>
      </c>
      <c r="D27" t="str">
        <f>'ENE TECH'!G25&amp;RIGHT('City characteristics'!$C$20,2)</f>
        <v>INDLPG19</v>
      </c>
      <c r="E27" t="str">
        <f>'ENE TECH'!A25&amp;" "&amp;'ENE TECH'!B25&amp;" "&amp;"Import"</f>
        <v>Industrial LPG Import</v>
      </c>
      <c r="F27" t="s">
        <v>253</v>
      </c>
      <c r="G27" t="s">
        <v>254</v>
      </c>
    </row>
    <row r="28" spans="3:8" x14ac:dyDescent="0.25">
      <c r="C28" t="s">
        <v>252</v>
      </c>
      <c r="D28" t="str">
        <f>'ENE TECH'!G26&amp;RIGHT('City characteristics'!$C$20,2)</f>
        <v>INDDSL19</v>
      </c>
      <c r="E28" t="str">
        <f>'ENE TECH'!A26&amp;" "&amp;'ENE TECH'!B26&amp;" "&amp;"Import"</f>
        <v>Industrial Diesel Import</v>
      </c>
      <c r="F28" t="s">
        <v>253</v>
      </c>
      <c r="G28" t="s">
        <v>254</v>
      </c>
    </row>
    <row r="29" spans="3:8" x14ac:dyDescent="0.25">
      <c r="C29" t="s">
        <v>252</v>
      </c>
      <c r="D29" t="str">
        <f>'ENE TECH'!G27&amp;RIGHT('City characteristics'!$C$20,2)</f>
        <v>INDFOI19</v>
      </c>
      <c r="E29" t="str">
        <f>'ENE TECH'!A27&amp;" "&amp;'ENE TECH'!B27&amp;" "&amp;"Import"</f>
        <v>Industrial Fuel oil Import</v>
      </c>
      <c r="F29" t="s">
        <v>253</v>
      </c>
      <c r="G29" t="s">
        <v>254</v>
      </c>
    </row>
    <row r="30" spans="3:8" x14ac:dyDescent="0.25">
      <c r="C30" t="s">
        <v>252</v>
      </c>
      <c r="D30" t="str">
        <f>'ENE TECH'!G28&amp;RIGHT('City characteristics'!$C$20,2)</f>
        <v>INDKER19</v>
      </c>
      <c r="E30" t="str">
        <f>'ENE TECH'!A28&amp;" "&amp;'ENE TECH'!B28&amp;" "&amp;"Import"</f>
        <v>Industrial Kerosene Import</v>
      </c>
      <c r="F30" t="s">
        <v>253</v>
      </c>
      <c r="G30" t="s">
        <v>254</v>
      </c>
    </row>
    <row r="31" spans="3:8" x14ac:dyDescent="0.25">
      <c r="C31" t="s">
        <v>252</v>
      </c>
      <c r="D31" t="str">
        <f>'ENE TECH'!G29&amp;RIGHT('City characteristics'!$C$20,2)</f>
        <v>INDGSL19</v>
      </c>
      <c r="E31" t="str">
        <f>'ENE TECH'!A29&amp;" "&amp;'ENE TECH'!B29&amp;" "&amp;"Import"</f>
        <v>Industrial Gasoline Import</v>
      </c>
      <c r="F31" t="s">
        <v>253</v>
      </c>
      <c r="G31" t="s">
        <v>254</v>
      </c>
    </row>
    <row r="32" spans="3:8" x14ac:dyDescent="0.25">
      <c r="C32" t="s">
        <v>252</v>
      </c>
      <c r="D32" t="str">
        <f>'ENE TECH'!G30&amp;RIGHT('City characteristics'!$C$20,2)</f>
        <v>INDNGA19</v>
      </c>
      <c r="E32" t="str">
        <f>'ENE TECH'!A30&amp;" "&amp;'ENE TECH'!B30&amp;" "&amp;"Import"</f>
        <v>Industrial Natural gas Import</v>
      </c>
      <c r="F32" t="s">
        <v>253</v>
      </c>
      <c r="G32" t="s">
        <v>254</v>
      </c>
    </row>
    <row r="33" spans="3:8" x14ac:dyDescent="0.25">
      <c r="C33" t="s">
        <v>252</v>
      </c>
      <c r="D33" t="str">
        <f>'ENE TECH'!G31&amp;RIGHT('City characteristics'!$C$20,2)</f>
        <v>INDRNG19</v>
      </c>
      <c r="E33" t="str">
        <f>'ENE TECH'!A31&amp;" "&amp;'ENE TECH'!B31&amp;" "&amp;"Import"</f>
        <v>Industrial RNG Import</v>
      </c>
      <c r="F33" t="s">
        <v>253</v>
      </c>
      <c r="G33" t="s">
        <v>254</v>
      </c>
    </row>
    <row r="34" spans="3:8" x14ac:dyDescent="0.25">
      <c r="C34" t="s">
        <v>252</v>
      </c>
      <c r="D34" t="str">
        <f>'ENE TECH'!G32&amp;RIGHT('City characteristics'!$C$20,2)</f>
        <v>INDPCK19</v>
      </c>
      <c r="E34" t="str">
        <f>'ENE TECH'!A32&amp;" "&amp;'ENE TECH'!B32&amp;" "&amp;"Import"</f>
        <v>Industrial Petcoke Import</v>
      </c>
      <c r="F34" t="s">
        <v>253</v>
      </c>
      <c r="G34" t="s">
        <v>254</v>
      </c>
    </row>
    <row r="35" spans="3:8" x14ac:dyDescent="0.25">
      <c r="C35" t="s">
        <v>252</v>
      </c>
      <c r="D35" t="str">
        <f>'ENE TECH'!G33&amp;RIGHT('City characteristics'!$C$20,2)</f>
        <v>INDCOA19</v>
      </c>
      <c r="E35" t="str">
        <f>'ENE TECH'!A33&amp;" "&amp;'ENE TECH'!B33&amp;" "&amp;"Import"</f>
        <v>Industrial Coal Import</v>
      </c>
      <c r="F35" t="s">
        <v>253</v>
      </c>
      <c r="G35" t="s">
        <v>254</v>
      </c>
    </row>
    <row r="36" spans="3:8" x14ac:dyDescent="0.25">
      <c r="C36" t="s">
        <v>252</v>
      </c>
      <c r="D36" t="str">
        <f>'ENE TECH'!G34&amp;RIGHT('City characteristics'!$C$20,2)</f>
        <v>INDELC19</v>
      </c>
      <c r="E36" t="str">
        <f>'ENE TECH'!A34&amp;" "&amp;'ENE TECH'!B34&amp;" "&amp;"Import"</f>
        <v>Industrial Electricity Import</v>
      </c>
      <c r="F36" t="s">
        <v>253</v>
      </c>
      <c r="G36" t="s">
        <v>254</v>
      </c>
      <c r="H36" t="s">
        <v>255</v>
      </c>
    </row>
    <row r="37" spans="3:8" x14ac:dyDescent="0.25">
      <c r="C37" t="s">
        <v>252</v>
      </c>
      <c r="D37" t="str">
        <f>'ENE TECH'!G35&amp;RIGHT('City characteristics'!$C$20,2)</f>
        <v>INDH2G19</v>
      </c>
      <c r="E37" t="str">
        <f>'ENE TECH'!A35&amp;" "&amp;'ENE TECH'!B35&amp;" "&amp;"Import"</f>
        <v>Industrial Hydrogen Import</v>
      </c>
      <c r="F37" t="s">
        <v>253</v>
      </c>
      <c r="G37" t="s">
        <v>254</v>
      </c>
      <c r="H37" t="s">
        <v>255</v>
      </c>
    </row>
    <row r="38" spans="3:8" x14ac:dyDescent="0.25">
      <c r="C38" t="s">
        <v>252</v>
      </c>
      <c r="D38" t="str">
        <f>'ENE TECH'!G36&amp;RIGHT('City characteristics'!$C$20,2)</f>
        <v>INDSTM19</v>
      </c>
      <c r="E38" t="str">
        <f>'ENE TECH'!A36&amp;" "&amp;'ENE TECH'!B36&amp;" "&amp;"Import"</f>
        <v>Industrial Steam Import</v>
      </c>
      <c r="F38" t="s">
        <v>253</v>
      </c>
      <c r="G38" t="s">
        <v>254</v>
      </c>
    </row>
    <row r="39" spans="3:8" x14ac:dyDescent="0.25">
      <c r="C39" t="s">
        <v>252</v>
      </c>
      <c r="D39" t="str">
        <f>'ENE TECH'!G37&amp;RIGHT('City characteristics'!$C$20,2)</f>
        <v>INDSOL19</v>
      </c>
      <c r="E39" t="str">
        <f>'ENE TECH'!A37&amp;" "&amp;'ENE TECH'!B37&amp;" "&amp;"Import"</f>
        <v>Industrial Solar Import</v>
      </c>
      <c r="F39" t="s">
        <v>253</v>
      </c>
      <c r="G39" t="s">
        <v>254</v>
      </c>
    </row>
    <row r="40" spans="3:8" x14ac:dyDescent="0.25">
      <c r="C40" t="s">
        <v>252</v>
      </c>
      <c r="D40" t="str">
        <f>'ENE TECH'!G38&amp;RIGHT('City characteristics'!$C$20,2)</f>
        <v>INDWND19</v>
      </c>
      <c r="E40" t="str">
        <f>'ENE TECH'!A38&amp;" "&amp;'ENE TECH'!B38&amp;" "&amp;"Import"</f>
        <v>Industrial Wind Import</v>
      </c>
      <c r="F40" t="s">
        <v>253</v>
      </c>
      <c r="G40" t="s">
        <v>254</v>
      </c>
    </row>
    <row r="41" spans="3:8" x14ac:dyDescent="0.25">
      <c r="C41" t="s">
        <v>252</v>
      </c>
      <c r="D41" t="str">
        <f>'ENE TECH'!G39&amp;RIGHT('City characteristics'!$C$20,2)</f>
        <v>TRALPG19</v>
      </c>
      <c r="E41" t="str">
        <f>'ENE TECH'!A39&amp;" "&amp;'ENE TECH'!B39&amp;" "&amp;"Import"</f>
        <v>Transportation LPG Import</v>
      </c>
      <c r="F41" t="s">
        <v>253</v>
      </c>
      <c r="G41" t="s">
        <v>254</v>
      </c>
    </row>
    <row r="42" spans="3:8" x14ac:dyDescent="0.25">
      <c r="C42" t="s">
        <v>252</v>
      </c>
      <c r="D42" t="str">
        <f>'ENE TECH'!G40&amp;RIGHT('City characteristics'!$C$20,2)</f>
        <v>TRAETH19</v>
      </c>
      <c r="E42" t="str">
        <f>'ENE TECH'!A40&amp;" "&amp;'ENE TECH'!B40&amp;" "&amp;"Import"</f>
        <v>Transportation Ethanol Import</v>
      </c>
      <c r="F42" t="s">
        <v>253</v>
      </c>
      <c r="G42" t="s">
        <v>254</v>
      </c>
    </row>
    <row r="43" spans="3:8" x14ac:dyDescent="0.25">
      <c r="C43" t="s">
        <v>252</v>
      </c>
      <c r="D43" t="str">
        <f>'ENE TECH'!G41&amp;RIGHT('City characteristics'!$C$20,2)</f>
        <v>TRAGSL19</v>
      </c>
      <c r="E43" t="str">
        <f>'ENE TECH'!A41&amp;" "&amp;'ENE TECH'!B41&amp;" "&amp;"Import"</f>
        <v>Transportation Gasoline Import</v>
      </c>
      <c r="F43" t="s">
        <v>253</v>
      </c>
      <c r="G43" t="s">
        <v>254</v>
      </c>
    </row>
    <row r="44" spans="3:8" x14ac:dyDescent="0.25">
      <c r="C44" t="s">
        <v>252</v>
      </c>
      <c r="D44" t="str">
        <f>'ENE TECH'!G42&amp;RIGHT('City characteristics'!$C$20,2)</f>
        <v>TRAAGA19</v>
      </c>
      <c r="E44" t="str">
        <f>'ENE TECH'!A42&amp;" "&amp;'ENE TECH'!B42&amp;" "&amp;"Import"</f>
        <v>Transportation Aviation gasoline Import</v>
      </c>
      <c r="F44" t="s">
        <v>253</v>
      </c>
      <c r="G44" t="s">
        <v>254</v>
      </c>
    </row>
    <row r="45" spans="3:8" x14ac:dyDescent="0.25">
      <c r="C45" t="s">
        <v>252</v>
      </c>
      <c r="D45" t="str">
        <f>'ENE TECH'!G43&amp;RIGHT('City characteristics'!$C$20,2)</f>
        <v>TRAATF19</v>
      </c>
      <c r="E45" t="str">
        <f>'ENE TECH'!A43&amp;" "&amp;'ENE TECH'!B43&amp;" "&amp;"Import"</f>
        <v>Transportation Aviation turbo-fuel Import</v>
      </c>
      <c r="F45" t="s">
        <v>253</v>
      </c>
      <c r="G45" t="s">
        <v>254</v>
      </c>
    </row>
    <row r="46" spans="3:8" x14ac:dyDescent="0.25">
      <c r="C46" t="s">
        <v>252</v>
      </c>
      <c r="D46" t="str">
        <f>'ENE TECH'!G44&amp;RIGHT('City characteristics'!$C$20,2)</f>
        <v>TRASAF19</v>
      </c>
      <c r="E46" t="str">
        <f>'ENE TECH'!A44&amp;" "&amp;'ENE TECH'!B44&amp;" "&amp;"Import"</f>
        <v>Transportation Sustainable aviation fuel Import</v>
      </c>
      <c r="F46" t="s">
        <v>253</v>
      </c>
      <c r="G46" t="s">
        <v>254</v>
      </c>
    </row>
    <row r="47" spans="3:8" x14ac:dyDescent="0.25">
      <c r="C47" t="s">
        <v>252</v>
      </c>
      <c r="D47" t="str">
        <f>'ENE TECH'!G45&amp;RIGHT('City characteristics'!$C$20,2)</f>
        <v>TRADSL19</v>
      </c>
      <c r="E47" t="str">
        <f>'ENE TECH'!A45&amp;" "&amp;'ENE TECH'!B45&amp;" "&amp;"Import"</f>
        <v>Transportation Diesel Import</v>
      </c>
      <c r="F47" t="s">
        <v>253</v>
      </c>
      <c r="G47" t="s">
        <v>254</v>
      </c>
    </row>
    <row r="48" spans="3:8" x14ac:dyDescent="0.25">
      <c r="C48" t="s">
        <v>252</v>
      </c>
      <c r="D48" t="str">
        <f>'ENE TECH'!G46&amp;RIGHT('City characteristics'!$C$20,2)</f>
        <v>TRARDS19</v>
      </c>
      <c r="E48" t="str">
        <f>'ENE TECH'!A46&amp;" "&amp;'ENE TECH'!B46&amp;" "&amp;"Import"</f>
        <v>Transportation Renewable diesel Import</v>
      </c>
      <c r="F48" t="s">
        <v>253</v>
      </c>
      <c r="G48" t="s">
        <v>254</v>
      </c>
    </row>
    <row r="49" spans="3:8" x14ac:dyDescent="0.25">
      <c r="C49" t="s">
        <v>252</v>
      </c>
      <c r="D49" t="str">
        <f>'ENE TECH'!G47&amp;RIGHT('City characteristics'!$C$20,2)</f>
        <v>TRABDS19</v>
      </c>
      <c r="E49" t="str">
        <f>'ENE TECH'!A47&amp;" "&amp;'ENE TECH'!B47&amp;" "&amp;"Import"</f>
        <v>Transportation Bio diesel Import</v>
      </c>
      <c r="F49" t="s">
        <v>253</v>
      </c>
      <c r="G49" t="s">
        <v>254</v>
      </c>
    </row>
    <row r="50" spans="3:8" x14ac:dyDescent="0.25">
      <c r="C50" t="s">
        <v>252</v>
      </c>
      <c r="D50" t="str">
        <f>'ENE TECH'!G49&amp;RIGHT('City characteristics'!$C$20,2)</f>
        <v>TRACNG19</v>
      </c>
      <c r="E50" t="str">
        <f>'ENE TECH'!A49&amp;" "&amp;'ENE TECH'!B49&amp;" "&amp;"Import"</f>
        <v>Transportation Compressed Natural gas Import</v>
      </c>
      <c r="F50" t="s">
        <v>253</v>
      </c>
      <c r="G50" t="s">
        <v>254</v>
      </c>
      <c r="H50" t="s">
        <v>255</v>
      </c>
    </row>
    <row r="51" spans="3:8" x14ac:dyDescent="0.25">
      <c r="C51" t="s">
        <v>252</v>
      </c>
      <c r="D51" t="str">
        <f>'ENE TECH'!G50&amp;RIGHT('City characteristics'!$C$20,2)</f>
        <v>TRARNG19</v>
      </c>
      <c r="E51" t="str">
        <f>'ENE TECH'!A50&amp;" "&amp;'ENE TECH'!B50&amp;" "&amp;"Import"</f>
        <v>Transportation RNG Import</v>
      </c>
      <c r="F51" t="s">
        <v>253</v>
      </c>
      <c r="G51" t="s">
        <v>254</v>
      </c>
      <c r="H51" t="s">
        <v>255</v>
      </c>
    </row>
    <row r="52" spans="3:8" x14ac:dyDescent="0.25">
      <c r="C52" t="s">
        <v>252</v>
      </c>
      <c r="D52" t="str">
        <f>'ENE TECH'!G51&amp;RIGHT('City characteristics'!$C$20,2)</f>
        <v>TRAELC19</v>
      </c>
      <c r="E52" t="str">
        <f>'ENE TECH'!A51&amp;" "&amp;'ENE TECH'!B51&amp;" "&amp;"Import"</f>
        <v>Transportation Electricity Import</v>
      </c>
      <c r="F52" t="s">
        <v>253</v>
      </c>
      <c r="G52" t="s">
        <v>254</v>
      </c>
    </row>
    <row r="53" spans="3:8" x14ac:dyDescent="0.25">
      <c r="C53" t="s">
        <v>252</v>
      </c>
      <c r="D53" t="str">
        <f>'ENE TECH'!G52&amp;RIGHT('City characteristics'!$C$20,2)</f>
        <v>TRAH2G19</v>
      </c>
      <c r="E53" t="str">
        <f>'ENE TECH'!A52&amp;" "&amp;'ENE TECH'!B52&amp;" "&amp;"Import"</f>
        <v>Transportation Hydrogen Import</v>
      </c>
      <c r="F53" t="s">
        <v>253</v>
      </c>
      <c r="G53" t="s">
        <v>254</v>
      </c>
    </row>
    <row r="54" spans="3:8" x14ac:dyDescent="0.25">
      <c r="C54" t="s">
        <v>252</v>
      </c>
      <c r="D54" t="str">
        <f>'ENE TECH'!G39&amp;RIGHT('City characteristics'!$C$20,2)</f>
        <v>TRALPG19</v>
      </c>
      <c r="E54" t="str">
        <f>'ENE TECH'!A39&amp;" "&amp;'ENE TECH'!B39&amp;" "&amp;"Import"</f>
        <v>Transportation LPG Import</v>
      </c>
      <c r="F54" t="s">
        <v>253</v>
      </c>
      <c r="G54" t="s">
        <v>254</v>
      </c>
    </row>
    <row r="55" spans="3:8" x14ac:dyDescent="0.25">
      <c r="C55" t="s">
        <v>252</v>
      </c>
      <c r="D55" t="str">
        <f>'ENE TECH'!G40&amp;RIGHT('City characteristics'!$C$20,2)</f>
        <v>TRAETH19</v>
      </c>
      <c r="E55" t="str">
        <f>'ENE TECH'!A40&amp;" "&amp;'ENE TECH'!B40&amp;" "&amp;"Import"</f>
        <v>Transportation Ethanol Import</v>
      </c>
      <c r="F55" t="s">
        <v>253</v>
      </c>
      <c r="G55" t="s">
        <v>254</v>
      </c>
    </row>
    <row r="56" spans="3:8" x14ac:dyDescent="0.25">
      <c r="C56" t="s">
        <v>252</v>
      </c>
      <c r="D56" t="str">
        <f>'ENE TECH'!G41&amp;RIGHT('City characteristics'!$C$20,2)</f>
        <v>TRAGSL19</v>
      </c>
      <c r="E56" t="str">
        <f>'ENE TECH'!A41&amp;" "&amp;'ENE TECH'!B41&amp;" "&amp;"Import"</f>
        <v>Transportation Gasoline Import</v>
      </c>
      <c r="F56" t="s">
        <v>253</v>
      </c>
      <c r="G56" t="s">
        <v>254</v>
      </c>
    </row>
    <row r="57" spans="3:8" x14ac:dyDescent="0.25">
      <c r="C57" t="s">
        <v>252</v>
      </c>
      <c r="D57" t="str">
        <f>'ENE TECH'!G42&amp;RIGHT('City characteristics'!$C$20,2)</f>
        <v>TRAAGA19</v>
      </c>
      <c r="E57" t="str">
        <f>'ENE TECH'!A42&amp;" "&amp;'ENE TECH'!B42&amp;" "&amp;"Import"</f>
        <v>Transportation Aviation gasoline Import</v>
      </c>
      <c r="F57" t="s">
        <v>253</v>
      </c>
      <c r="G57" t="s">
        <v>254</v>
      </c>
    </row>
    <row r="58" spans="3:8" x14ac:dyDescent="0.25">
      <c r="C58" t="s">
        <v>252</v>
      </c>
      <c r="D58" t="str">
        <f>'ENE TECH'!G43&amp;RIGHT('City characteristics'!$C$20,2)</f>
        <v>TRAATF19</v>
      </c>
      <c r="E58" t="str">
        <f>'ENE TECH'!A43&amp;" "&amp;'ENE TECH'!B43&amp;" "&amp;"Import"</f>
        <v>Transportation Aviation turbo-fuel Import</v>
      </c>
      <c r="F58" t="s">
        <v>253</v>
      </c>
      <c r="G58" t="s">
        <v>254</v>
      </c>
    </row>
    <row r="59" spans="3:8" x14ac:dyDescent="0.25">
      <c r="C59" t="s">
        <v>252</v>
      </c>
      <c r="D59" t="str">
        <f>'ENE TECH'!G44&amp;RIGHT('City characteristics'!$C$20,2)</f>
        <v>TRASAF19</v>
      </c>
      <c r="E59" t="str">
        <f>'ENE TECH'!A44&amp;" "&amp;'ENE TECH'!B44&amp;" "&amp;"Import"</f>
        <v>Transportation Sustainable aviation fuel Import</v>
      </c>
      <c r="F59" t="s">
        <v>253</v>
      </c>
      <c r="G59" t="s">
        <v>254</v>
      </c>
    </row>
    <row r="60" spans="3:8" x14ac:dyDescent="0.25">
      <c r="C60" t="s">
        <v>252</v>
      </c>
      <c r="D60" t="str">
        <f>'ENE TECH'!G45&amp;RIGHT('City characteristics'!$C$20,2)</f>
        <v>TRADSL19</v>
      </c>
      <c r="E60" t="str">
        <f>'ENE TECH'!A45&amp;" "&amp;'ENE TECH'!B45&amp;" "&amp;"Import"</f>
        <v>Transportation Diesel Import</v>
      </c>
      <c r="F60" t="s">
        <v>253</v>
      </c>
      <c r="G60" t="s">
        <v>254</v>
      </c>
    </row>
    <row r="61" spans="3:8" x14ac:dyDescent="0.25">
      <c r="C61" t="s">
        <v>252</v>
      </c>
      <c r="D61" t="str">
        <f>'ENE TECH'!G46&amp;RIGHT('City characteristics'!$C$20,2)</f>
        <v>TRARDS19</v>
      </c>
      <c r="E61" t="str">
        <f>'ENE TECH'!A46&amp;" "&amp;'ENE TECH'!B46&amp;" "&amp;"Import"</f>
        <v>Transportation Renewable diesel Import</v>
      </c>
      <c r="F61" t="s">
        <v>253</v>
      </c>
      <c r="G61" t="s">
        <v>254</v>
      </c>
    </row>
    <row r="62" spans="3:8" x14ac:dyDescent="0.25">
      <c r="C62" t="s">
        <v>252</v>
      </c>
      <c r="D62" t="str">
        <f>'ENE TECH'!G47&amp;RIGHT('City characteristics'!$C$20,2)</f>
        <v>TRABDS19</v>
      </c>
      <c r="E62" t="str">
        <f>'ENE TECH'!A47&amp;" "&amp;'ENE TECH'!B47&amp;" "&amp;"Import"</f>
        <v>Transportation Bio diesel Import</v>
      </c>
      <c r="F62" t="s">
        <v>253</v>
      </c>
      <c r="G62" t="s">
        <v>254</v>
      </c>
    </row>
    <row r="63" spans="3:8" x14ac:dyDescent="0.25">
      <c r="C63" t="s">
        <v>252</v>
      </c>
      <c r="D63" t="str">
        <f>'ENE TECH'!G48&amp;RIGHT('City characteristics'!$C$20,2)</f>
        <v>TRAFOI19</v>
      </c>
      <c r="E63" t="str">
        <f>'ENE TECH'!A48&amp;" "&amp;'ENE TECH'!B48&amp;" "&amp;"Import"</f>
        <v>Transportation Fuel oil Import</v>
      </c>
      <c r="F63" t="s">
        <v>253</v>
      </c>
      <c r="G63" t="s">
        <v>254</v>
      </c>
    </row>
    <row r="64" spans="3:8" x14ac:dyDescent="0.25">
      <c r="C64" t="s">
        <v>252</v>
      </c>
      <c r="D64" t="str">
        <f>'ENE TECH'!G49&amp;RIGHT('City characteristics'!$C$20,2)</f>
        <v>TRACNG19</v>
      </c>
      <c r="E64" t="str">
        <f>'ENE TECH'!A49&amp;" "&amp;'ENE TECH'!B49&amp;" "&amp;"Import"</f>
        <v>Transportation Compressed Natural gas Import</v>
      </c>
      <c r="F64" t="s">
        <v>253</v>
      </c>
      <c r="G64" t="s">
        <v>254</v>
      </c>
    </row>
    <row r="65" spans="3:8" x14ac:dyDescent="0.25">
      <c r="C65" t="s">
        <v>252</v>
      </c>
      <c r="D65" t="str">
        <f>'ENE TECH'!G50&amp;RIGHT('City characteristics'!$C$20,2)</f>
        <v>TRARNG19</v>
      </c>
      <c r="E65" t="str">
        <f>'ENE TECH'!A50&amp;" "&amp;'ENE TECH'!B50&amp;" "&amp;"Import"</f>
        <v>Transportation RNG Import</v>
      </c>
      <c r="F65" t="s">
        <v>253</v>
      </c>
      <c r="G65" t="s">
        <v>254</v>
      </c>
    </row>
    <row r="66" spans="3:8" x14ac:dyDescent="0.25">
      <c r="C66" t="s">
        <v>252</v>
      </c>
      <c r="D66" t="str">
        <f>'ENE TECH'!G51&amp;RIGHT('City characteristics'!$C$20,2)</f>
        <v>TRAELC19</v>
      </c>
      <c r="E66" t="str">
        <f>'ENE TECH'!A51&amp;" "&amp;'ENE TECH'!B51&amp;" "&amp;"Import"</f>
        <v>Transportation Electricity Import</v>
      </c>
      <c r="F66" t="s">
        <v>253</v>
      </c>
      <c r="G66" t="s">
        <v>254</v>
      </c>
      <c r="H66" t="s">
        <v>255</v>
      </c>
    </row>
    <row r="67" spans="3:8" x14ac:dyDescent="0.25">
      <c r="C67" t="s">
        <v>252</v>
      </c>
      <c r="D67" t="str">
        <f>'ENE TECH'!G52&amp;RIGHT('City characteristics'!$C$20,2)</f>
        <v>TRAH2G19</v>
      </c>
      <c r="E67" t="str">
        <f>'ENE TECH'!A52&amp;" "&amp;'ENE TECH'!B52&amp;" "&amp;"Import"</f>
        <v>Transportation Hydrogen Import</v>
      </c>
      <c r="F67" t="s">
        <v>253</v>
      </c>
      <c r="G67" t="s">
        <v>254</v>
      </c>
      <c r="H67" t="s">
        <v>255</v>
      </c>
    </row>
    <row r="68" spans="3:8" x14ac:dyDescent="0.25">
      <c r="C68" t="s">
        <v>256</v>
      </c>
      <c r="D68" t="str">
        <f>'ENE TECH'!G53&amp;RIGHT('City characteristics'!$C$20,2)</f>
        <v>ELCDSL19</v>
      </c>
      <c r="E68" t="str">
        <f>'ENE TECH'!A53&amp;" "&amp;'ENE TECH'!B53&amp;" "&amp;"Import"</f>
        <v>Electricity Diesel Import</v>
      </c>
      <c r="F68" t="s">
        <v>253</v>
      </c>
      <c r="G68" t="s">
        <v>254</v>
      </c>
    </row>
    <row r="69" spans="3:8" x14ac:dyDescent="0.25">
      <c r="C69" t="s">
        <v>256</v>
      </c>
      <c r="D69" t="str">
        <f>'ENE TECH'!G54&amp;RIGHT('City characteristics'!$C$20,2)</f>
        <v>ELCFOI19</v>
      </c>
      <c r="E69" t="str">
        <f>'ENE TECH'!A54&amp;" "&amp;'ENE TECH'!B54&amp;" "&amp;"Import"</f>
        <v>Electricity Fuel oil Import</v>
      </c>
      <c r="F69" t="s">
        <v>253</v>
      </c>
      <c r="G69" t="s">
        <v>254</v>
      </c>
    </row>
    <row r="70" spans="3:8" x14ac:dyDescent="0.25">
      <c r="C70" t="s">
        <v>256</v>
      </c>
      <c r="D70" t="str">
        <f>'ENE TECH'!G55&amp;RIGHT('City characteristics'!$C$20,2)</f>
        <v>ELCNGA19</v>
      </c>
      <c r="E70" t="str">
        <f>'ENE TECH'!A55&amp;" "&amp;'ENE TECH'!B55&amp;" "&amp;"Import"</f>
        <v>Electricity Natural gas Import</v>
      </c>
      <c r="F70" t="s">
        <v>253</v>
      </c>
      <c r="G70" t="s">
        <v>254</v>
      </c>
    </row>
    <row r="71" spans="3:8" x14ac:dyDescent="0.25">
      <c r="C71" t="s">
        <v>256</v>
      </c>
      <c r="D71" t="str">
        <f>'ENE TECH'!G56&amp;RIGHT('City characteristics'!$C$20,2)</f>
        <v>ELCRNG19</v>
      </c>
      <c r="E71" t="str">
        <f>'ENE TECH'!A56&amp;" "&amp;'ENE TECH'!B56&amp;" "&amp;"Import"</f>
        <v>Electricity RNG Import</v>
      </c>
      <c r="F71" t="s">
        <v>253</v>
      </c>
      <c r="G71" t="s">
        <v>254</v>
      </c>
    </row>
    <row r="72" spans="3:8" x14ac:dyDescent="0.25">
      <c r="C72" t="s">
        <v>256</v>
      </c>
      <c r="D72" t="str">
        <f>'ENE TECH'!G57&amp;RIGHT('City characteristics'!$C$20,2)</f>
        <v>ELCCOA19</v>
      </c>
      <c r="E72" t="str">
        <f>'ENE TECH'!A57&amp;" "&amp;'ENE TECH'!B57&amp;" "&amp;"Import"</f>
        <v>Electricity Coal Import</v>
      </c>
      <c r="F72" t="s">
        <v>253</v>
      </c>
      <c r="G72" t="s">
        <v>254</v>
      </c>
    </row>
    <row r="73" spans="3:8" x14ac:dyDescent="0.25">
      <c r="C73" t="s">
        <v>256</v>
      </c>
      <c r="D73" t="str">
        <f>'ENE TECH'!G58&amp;RIGHT('City characteristics'!$C$20,2)</f>
        <v>ELCURN19</v>
      </c>
      <c r="E73" t="str">
        <f>'ENE TECH'!A58&amp;" "&amp;'ENE TECH'!B58&amp;" "&amp;"Import"</f>
        <v>Electricity Uranium Import</v>
      </c>
      <c r="F73" t="s">
        <v>253</v>
      </c>
      <c r="G73" t="s">
        <v>254</v>
      </c>
    </row>
    <row r="74" spans="3:8" x14ac:dyDescent="0.25">
      <c r="C74" t="s">
        <v>256</v>
      </c>
      <c r="D74" t="str">
        <f>'ENE TECH'!G59&amp;RIGHT('City characteristics'!$C$20,2)</f>
        <v>ELCBIO19</v>
      </c>
      <c r="E74" t="str">
        <f>'ENE TECH'!A59&amp;" "&amp;'ENE TECH'!B59&amp;" "&amp;"Import"</f>
        <v>Electricity Biomass Import</v>
      </c>
      <c r="F74" t="s">
        <v>253</v>
      </c>
      <c r="G74" t="s">
        <v>254</v>
      </c>
    </row>
    <row r="75" spans="3:8" x14ac:dyDescent="0.25">
      <c r="C75" t="s">
        <v>256</v>
      </c>
      <c r="D75" t="str">
        <f>'ENE TECH'!G60&amp;RIGHT('City characteristics'!$C$20,2)</f>
        <v>ELCOTB19</v>
      </c>
      <c r="E75" t="str">
        <f>'ENE TECH'!A60&amp;" "&amp;'ENE TECH'!B60&amp;" "&amp;"Import"</f>
        <v>Electricity Other bioenergy Import</v>
      </c>
      <c r="F75" t="s">
        <v>253</v>
      </c>
      <c r="G75" t="s">
        <v>254</v>
      </c>
    </row>
    <row r="76" spans="3:8" x14ac:dyDescent="0.25">
      <c r="C76" t="s">
        <v>256</v>
      </c>
      <c r="D76" t="str">
        <f>'ENE TECH'!G61&amp;RIGHT('City characteristics'!$C$20,2)</f>
        <v>ELCWAS19</v>
      </c>
      <c r="E76" t="str">
        <f>'ENE TECH'!A61&amp;" "&amp;'ENE TECH'!B61&amp;" "&amp;"Import"</f>
        <v>Electricity Waste Import</v>
      </c>
      <c r="F76" t="s">
        <v>253</v>
      </c>
      <c r="G76" t="s">
        <v>254</v>
      </c>
    </row>
    <row r="77" spans="3:8" x14ac:dyDescent="0.25">
      <c r="C77" t="s">
        <v>256</v>
      </c>
      <c r="D77" t="str">
        <f>'ENE TECH'!G62&amp;RIGHT('City characteristics'!$C$20,2)</f>
        <v>ELCHET19</v>
      </c>
      <c r="E77" t="str">
        <f>'ENE TECH'!A62&amp;" "&amp;'ENE TECH'!B62&amp;" "&amp;"Import"</f>
        <v>Electricity Waste heat Import</v>
      </c>
      <c r="F77" t="s">
        <v>253</v>
      </c>
      <c r="G77" t="s">
        <v>254</v>
      </c>
    </row>
    <row r="78" spans="3:8" x14ac:dyDescent="0.25">
      <c r="C78" t="s">
        <v>256</v>
      </c>
      <c r="D78" t="str">
        <f>'ENE TECH'!G63&amp;RIGHT('City characteristics'!$C$20,2)</f>
        <v>ELCSTM19</v>
      </c>
      <c r="E78" t="str">
        <f>'ENE TECH'!A63&amp;" "&amp;'ENE TECH'!B63&amp;" "&amp;"Import"</f>
        <v>Electricity Steam Import</v>
      </c>
      <c r="F78" t="s">
        <v>253</v>
      </c>
      <c r="G78" t="s">
        <v>254</v>
      </c>
    </row>
    <row r="79" spans="3:8" x14ac:dyDescent="0.25">
      <c r="C79" t="s">
        <v>256</v>
      </c>
      <c r="D79" t="str">
        <f>'ENE TECH'!G64&amp;RIGHT('City characteristics'!$C$20,2)</f>
        <v>ELCGEO19</v>
      </c>
      <c r="E79" t="str">
        <f>'ENE TECH'!A64&amp;" "&amp;'ENE TECH'!B64&amp;" "&amp;"Import"</f>
        <v>Electricity Geothermal Import</v>
      </c>
      <c r="F79" t="s">
        <v>253</v>
      </c>
      <c r="G79" t="s">
        <v>254</v>
      </c>
    </row>
    <row r="80" spans="3:8" x14ac:dyDescent="0.25">
      <c r="C80" t="s">
        <v>256</v>
      </c>
      <c r="D80" t="str">
        <f>'ENE TECH'!G65&amp;RIGHT('City characteristics'!$C$20,2)</f>
        <v>ELCWND19</v>
      </c>
      <c r="E80" t="str">
        <f>'ENE TECH'!A65&amp;" "&amp;'ENE TECH'!B65&amp;" "&amp;"Import"</f>
        <v>Electricity Wind Import</v>
      </c>
      <c r="F80" t="s">
        <v>253</v>
      </c>
      <c r="G80" t="s">
        <v>254</v>
      </c>
    </row>
    <row r="81" spans="2:7" x14ac:dyDescent="0.25">
      <c r="C81" t="s">
        <v>256</v>
      </c>
      <c r="D81" t="str">
        <f>'ENE TECH'!G66&amp;RIGHT('City characteristics'!$C$20,2)</f>
        <v>ELCHYD19</v>
      </c>
      <c r="E81" t="str">
        <f>'ENE TECH'!A66&amp;" "&amp;'ENE TECH'!B66&amp;" "&amp;"Import"</f>
        <v>Electricity Hydro Import</v>
      </c>
      <c r="F81" t="s">
        <v>253</v>
      </c>
      <c r="G81" t="s">
        <v>254</v>
      </c>
    </row>
    <row r="82" spans="2:7" x14ac:dyDescent="0.25">
      <c r="C82" t="s">
        <v>256</v>
      </c>
      <c r="D82" t="str">
        <f>'ENE TECH'!G67&amp;RIGHT('City characteristics'!$C$20,2)</f>
        <v>ELCSOL19</v>
      </c>
      <c r="E82" t="str">
        <f>'ENE TECH'!A67&amp;" "&amp;'ENE TECH'!B67&amp;" "&amp;"Import"</f>
        <v>Electricity Solar Import</v>
      </c>
      <c r="F82" t="s">
        <v>253</v>
      </c>
      <c r="G82" t="s">
        <v>254</v>
      </c>
    </row>
    <row r="83" spans="2:7" x14ac:dyDescent="0.25">
      <c r="C83" t="s">
        <v>256</v>
      </c>
      <c r="D83" t="str">
        <f>'ENE TECH'!G68&amp;RIGHT('City characteristics'!$C$20,2)</f>
        <v>WASLPG19</v>
      </c>
      <c r="E83" t="str">
        <f>'ENE TECH'!A68&amp;" "&amp;'ENE TECH'!B68&amp;" "&amp;"Import"</f>
        <v>Waste LPG Import</v>
      </c>
      <c r="F83" t="s">
        <v>253</v>
      </c>
      <c r="G83" t="s">
        <v>254</v>
      </c>
    </row>
    <row r="84" spans="2:7" x14ac:dyDescent="0.25">
      <c r="C84" t="s">
        <v>256</v>
      </c>
      <c r="D84" t="str">
        <f>'ENE TECH'!G69&amp;RIGHT('City characteristics'!$C$20,2)</f>
        <v>WASDSL19</v>
      </c>
      <c r="E84" t="str">
        <f>'ENE TECH'!A69&amp;" "&amp;'ENE TECH'!B69&amp;" "&amp;"Import"</f>
        <v>Waste Diesel Import</v>
      </c>
      <c r="F84" t="s">
        <v>253</v>
      </c>
      <c r="G84" t="s">
        <v>254</v>
      </c>
    </row>
    <row r="85" spans="2:7" x14ac:dyDescent="0.25">
      <c r="C85" t="s">
        <v>256</v>
      </c>
      <c r="D85" t="str">
        <f>'ENE TECH'!G70&amp;RIGHT('City characteristics'!$C$20,2)</f>
        <v>WASFOI19</v>
      </c>
      <c r="E85" t="str">
        <f>'ENE TECH'!A70&amp;" "&amp;'ENE TECH'!B70&amp;" "&amp;"Import"</f>
        <v>Waste Fuel oil Import</v>
      </c>
      <c r="F85" t="s">
        <v>253</v>
      </c>
      <c r="G85" t="s">
        <v>254</v>
      </c>
    </row>
    <row r="86" spans="2:7" x14ac:dyDescent="0.25">
      <c r="C86" t="s">
        <v>256</v>
      </c>
      <c r="D86" t="str">
        <f>'ENE TECH'!G71&amp;RIGHT('City characteristics'!$C$20,2)</f>
        <v>WASKER19</v>
      </c>
      <c r="E86" t="str">
        <f>'ENE TECH'!A71&amp;" "&amp;'ENE TECH'!B71&amp;" "&amp;"Import"</f>
        <v>Waste Kerosene Import</v>
      </c>
      <c r="F86" t="s">
        <v>253</v>
      </c>
      <c r="G86" t="s">
        <v>254</v>
      </c>
    </row>
    <row r="87" spans="2:7" x14ac:dyDescent="0.25">
      <c r="C87" t="s">
        <v>256</v>
      </c>
      <c r="D87" t="str">
        <f>'ENE TECH'!G72&amp;RIGHT('City characteristics'!$C$20,2)</f>
        <v>WASGSL19</v>
      </c>
      <c r="E87" t="str">
        <f>'ENE TECH'!A72&amp;" "&amp;'ENE TECH'!B72&amp;" "&amp;"Import"</f>
        <v>Waste Gasoline Import</v>
      </c>
      <c r="F87" t="s">
        <v>253</v>
      </c>
      <c r="G87" t="s">
        <v>254</v>
      </c>
    </row>
    <row r="88" spans="2:7" x14ac:dyDescent="0.25">
      <c r="C88" t="s">
        <v>256</v>
      </c>
      <c r="D88" t="str">
        <f>'ENE TECH'!G73&amp;RIGHT('City characteristics'!$C$20,2)</f>
        <v>WASNGA19</v>
      </c>
      <c r="E88" t="str">
        <f>'ENE TECH'!A73&amp;" "&amp;'ENE TECH'!B73&amp;" "&amp;"Import"</f>
        <v>Waste Natural gas Import</v>
      </c>
      <c r="F88" t="s">
        <v>253</v>
      </c>
      <c r="G88" t="s">
        <v>254</v>
      </c>
    </row>
    <row r="89" spans="2:7" x14ac:dyDescent="0.25">
      <c r="C89" t="s">
        <v>256</v>
      </c>
      <c r="D89" t="str">
        <f>'ENE TECH'!G74&amp;RIGHT('City characteristics'!$C$20,2)</f>
        <v>WASRNG19</v>
      </c>
      <c r="E89" t="str">
        <f>'ENE TECH'!A74&amp;" "&amp;'ENE TECH'!B74&amp;" "&amp;"Import"</f>
        <v>Waste RNG Import</v>
      </c>
      <c r="F89" t="s">
        <v>253</v>
      </c>
      <c r="G89" t="s">
        <v>254</v>
      </c>
    </row>
    <row r="90" spans="2:7" x14ac:dyDescent="0.25">
      <c r="C90" t="s">
        <v>256</v>
      </c>
      <c r="D90" t="str">
        <f>'ENE TECH'!G75&amp;RIGHT('City characteristics'!$C$20,2)</f>
        <v>WASPCK19</v>
      </c>
      <c r="E90" t="str">
        <f>'ENE TECH'!A75&amp;" "&amp;'ENE TECH'!B75&amp;" "&amp;"Import"</f>
        <v>Waste Petcoke Import</v>
      </c>
      <c r="F90" t="s">
        <v>253</v>
      </c>
      <c r="G90" t="s">
        <v>254</v>
      </c>
    </row>
    <row r="91" spans="2:7" x14ac:dyDescent="0.25">
      <c r="C91" t="s">
        <v>256</v>
      </c>
      <c r="D91" t="str">
        <f>'ENE TECH'!G76&amp;RIGHT('City characteristics'!$C$20,2)</f>
        <v>WASCOA19</v>
      </c>
      <c r="E91" t="str">
        <f>'ENE TECH'!A76&amp;" "&amp;'ENE TECH'!B76&amp;" "&amp;"Import"</f>
        <v>Waste Coal Import</v>
      </c>
      <c r="F91" t="s">
        <v>253</v>
      </c>
      <c r="G91" t="s">
        <v>254</v>
      </c>
    </row>
    <row r="92" spans="2:7" x14ac:dyDescent="0.25">
      <c r="C92" t="s">
        <v>256</v>
      </c>
      <c r="D92" t="str">
        <f>'ENE TECH'!G77&amp;RIGHT('City characteristics'!$C$20,2)</f>
        <v>WASELC19</v>
      </c>
      <c r="E92" t="str">
        <f>'ENE TECH'!A77&amp;" "&amp;'ENE TECH'!B77&amp;" "&amp;"Import"</f>
        <v>Waste Electricity Import</v>
      </c>
      <c r="F92" t="s">
        <v>253</v>
      </c>
      <c r="G92" t="s">
        <v>254</v>
      </c>
    </row>
    <row r="93" spans="2:7" x14ac:dyDescent="0.25">
      <c r="C93" t="s">
        <v>256</v>
      </c>
      <c r="D93" t="str">
        <f>'ENE TECH'!G78&amp;RIGHT('City characteristics'!$C$20,2)</f>
        <v>WASH2G19</v>
      </c>
      <c r="E93" t="str">
        <f>'ENE TECH'!A78&amp;" "&amp;'ENE TECH'!B78&amp;" "&amp;"Import"</f>
        <v>Waste Hydrogen Import</v>
      </c>
      <c r="F93" t="s">
        <v>253</v>
      </c>
      <c r="G93" t="s">
        <v>254</v>
      </c>
    </row>
    <row r="94" spans="2:7" x14ac:dyDescent="0.25">
      <c r="C94" t="s">
        <v>256</v>
      </c>
      <c r="D94" t="str">
        <f>'ENE TECH'!G79&amp;RIGHT('City characteristics'!$C$20,2)</f>
        <v>WASSOL19</v>
      </c>
      <c r="E94" t="str">
        <f>'ENE TECH'!A79&amp;" "&amp;'ENE TECH'!B79&amp;" "&amp;"Import"</f>
        <v>Waste Solar Import</v>
      </c>
      <c r="F94" t="s">
        <v>253</v>
      </c>
      <c r="G94" t="s">
        <v>254</v>
      </c>
    </row>
    <row r="95" spans="2:7" x14ac:dyDescent="0.25">
      <c r="C95" t="s">
        <v>256</v>
      </c>
      <c r="D95" t="str">
        <f>'ENE TECH'!G80&amp;RIGHT('City characteristics'!$C$20,2)</f>
        <v>WASWND19</v>
      </c>
      <c r="E95" t="str">
        <f>'ENE TECH'!A80&amp;" "&amp;'ENE TECH'!B80&amp;" "&amp;"Import"</f>
        <v>Waste Wind Import</v>
      </c>
      <c r="F95" t="s">
        <v>253</v>
      </c>
      <c r="G95" t="s">
        <v>254</v>
      </c>
    </row>
    <row r="96" spans="2:7" x14ac:dyDescent="0.25">
      <c r="B96" t="s">
        <v>257</v>
      </c>
    </row>
    <row r="97" spans="2:7" x14ac:dyDescent="0.25">
      <c r="B97" t="s">
        <v>258</v>
      </c>
      <c r="C97" t="s">
        <v>256</v>
      </c>
      <c r="D97" t="str">
        <f>"IMP"&amp;List!B2&amp;RIGHT('City characteristics'!$C$20,2)</f>
        <v>IMPLPG19</v>
      </c>
      <c r="E97" t="str">
        <f>List!C2&amp;" "&amp;"Import"</f>
        <v>LPG Import</v>
      </c>
      <c r="F97" t="s">
        <v>253</v>
      </c>
      <c r="G97" t="s">
        <v>254</v>
      </c>
    </row>
    <row r="98" spans="2:7" x14ac:dyDescent="0.25">
      <c r="C98" t="s">
        <v>256</v>
      </c>
      <c r="D98" t="str">
        <f>"IMP"&amp;List!B3&amp;RIGHT('City characteristics'!$C$20,2)</f>
        <v>IMPFOI19</v>
      </c>
      <c r="E98" t="str">
        <f>List!C3&amp;" "&amp;"Import"</f>
        <v>Fuel oil Import</v>
      </c>
      <c r="F98" t="s">
        <v>253</v>
      </c>
      <c r="G98" t="s">
        <v>254</v>
      </c>
    </row>
    <row r="99" spans="2:7" x14ac:dyDescent="0.25">
      <c r="C99" t="s">
        <v>256</v>
      </c>
      <c r="D99" t="str">
        <f>"IMP"&amp;List!B4&amp;RIGHT('City characteristics'!$C$20,2)</f>
        <v>IMPKER19</v>
      </c>
      <c r="E99" t="str">
        <f>List!C4&amp;" "&amp;"Import"</f>
        <v>Kerosene Import</v>
      </c>
      <c r="F99" t="s">
        <v>253</v>
      </c>
      <c r="G99" t="s">
        <v>254</v>
      </c>
    </row>
    <row r="100" spans="2:7" x14ac:dyDescent="0.25">
      <c r="C100" t="s">
        <v>256</v>
      </c>
      <c r="D100" t="str">
        <f>"IMP"&amp;List!B5&amp;RIGHT('City characteristics'!$C$20,2)</f>
        <v>IMPNGA19</v>
      </c>
      <c r="E100" t="str">
        <f>List!C5&amp;" "&amp;"Import"</f>
        <v>Natural gas Import</v>
      </c>
      <c r="F100" t="s">
        <v>253</v>
      </c>
      <c r="G100" t="s">
        <v>254</v>
      </c>
    </row>
    <row r="101" spans="2:7" x14ac:dyDescent="0.25">
      <c r="C101" t="s">
        <v>256</v>
      </c>
      <c r="D101" t="str">
        <f>"IMP"&amp;List!B6&amp;RIGHT('City characteristics'!$C$20,2)</f>
        <v>IMPRNG19</v>
      </c>
      <c r="E101" t="str">
        <f>List!C6&amp;" "&amp;"Import"</f>
        <v>RNG Import</v>
      </c>
      <c r="F101" t="s">
        <v>253</v>
      </c>
      <c r="G101" t="s">
        <v>254</v>
      </c>
    </row>
    <row r="102" spans="2:7" x14ac:dyDescent="0.25">
      <c r="C102" t="s">
        <v>256</v>
      </c>
      <c r="D102" t="str">
        <f>"IMP"&amp;List!B9&amp;RIGHT('City characteristics'!$C$20,2)</f>
        <v>IMPDSL19</v>
      </c>
      <c r="E102" t="str">
        <f>List!C9&amp;" "&amp;"Import"</f>
        <v>Diesel Import</v>
      </c>
      <c r="F102" t="s">
        <v>253</v>
      </c>
      <c r="G102" t="s">
        <v>254</v>
      </c>
    </row>
    <row r="103" spans="2:7" x14ac:dyDescent="0.25">
      <c r="C103" t="s">
        <v>256</v>
      </c>
      <c r="D103" t="str">
        <f>"IMP"&amp;List!B10&amp;RIGHT('City characteristics'!$C$20,2)</f>
        <v>IMPGSL19</v>
      </c>
      <c r="E103" t="str">
        <f>List!C10&amp;" "&amp;"Import"</f>
        <v>Gasoline Import</v>
      </c>
      <c r="F103" t="s">
        <v>253</v>
      </c>
      <c r="G103" t="s">
        <v>254</v>
      </c>
    </row>
    <row r="104" spans="2:7" x14ac:dyDescent="0.25">
      <c r="C104" t="s">
        <v>256</v>
      </c>
      <c r="D104" t="str">
        <f>"IMP"&amp;List!B11&amp;RIGHT('City characteristics'!$C$20,2)</f>
        <v>IMPPCK19</v>
      </c>
      <c r="E104" t="str">
        <f>List!C11&amp;" "&amp;"Import"</f>
        <v>Petcoke Import</v>
      </c>
      <c r="F104" t="s">
        <v>253</v>
      </c>
      <c r="G104" t="s">
        <v>254</v>
      </c>
    </row>
    <row r="105" spans="2:7" x14ac:dyDescent="0.25">
      <c r="C105" t="s">
        <v>256</v>
      </c>
      <c r="D105" t="str">
        <f>"IMP"&amp;List!B12&amp;RIGHT('City characteristics'!$C$20,2)</f>
        <v>IMPCOA19</v>
      </c>
      <c r="E105" t="str">
        <f>List!C12&amp;" "&amp;"Import"</f>
        <v>Coal Import</v>
      </c>
      <c r="F105" t="s">
        <v>253</v>
      </c>
      <c r="G105" t="s">
        <v>254</v>
      </c>
    </row>
    <row r="106" spans="2:7" x14ac:dyDescent="0.25">
      <c r="C106" t="s">
        <v>256</v>
      </c>
      <c r="D106" t="str">
        <f>"IMP"&amp;List!B13&amp;RIGHT('City characteristics'!$C$20,2)</f>
        <v>IMPETH19</v>
      </c>
      <c r="E106" t="str">
        <f>List!C13&amp;" "&amp;"Import"</f>
        <v>Ethanol Import</v>
      </c>
      <c r="F106" t="s">
        <v>253</v>
      </c>
      <c r="G106" t="s">
        <v>254</v>
      </c>
    </row>
    <row r="107" spans="2:7" x14ac:dyDescent="0.25">
      <c r="C107" t="s">
        <v>256</v>
      </c>
      <c r="D107" t="str">
        <f>"IMP"&amp;List!B14&amp;RIGHT('City characteristics'!$C$20,2)</f>
        <v>IMPAGA19</v>
      </c>
      <c r="E107" t="str">
        <f>List!C14&amp;" "&amp;"Import"</f>
        <v>Aviation gasoline Import</v>
      </c>
      <c r="F107" t="s">
        <v>253</v>
      </c>
      <c r="G107" t="s">
        <v>254</v>
      </c>
    </row>
    <row r="108" spans="2:7" x14ac:dyDescent="0.25">
      <c r="C108" t="s">
        <v>256</v>
      </c>
      <c r="D108" t="str">
        <f>"IMP"&amp;List!B15&amp;RIGHT('City characteristics'!$C$20,2)</f>
        <v>IMPATF19</v>
      </c>
      <c r="E108" t="str">
        <f>List!C15&amp;" "&amp;"Import"</f>
        <v>Aviation turbo-fuel Import</v>
      </c>
      <c r="F108" t="s">
        <v>253</v>
      </c>
      <c r="G108" t="s">
        <v>254</v>
      </c>
    </row>
    <row r="109" spans="2:7" x14ac:dyDescent="0.25">
      <c r="C109" t="s">
        <v>256</v>
      </c>
      <c r="D109" t="str">
        <f>"IMP"&amp;List!B16&amp;RIGHT('City characteristics'!$C$20,2)</f>
        <v>IMPSAF19</v>
      </c>
      <c r="E109" t="str">
        <f>List!C16&amp;" "&amp;"Import"</f>
        <v>Sustainable aviation fuel Import</v>
      </c>
      <c r="F109" t="s">
        <v>253</v>
      </c>
      <c r="G109" t="s">
        <v>254</v>
      </c>
    </row>
    <row r="110" spans="2:7" x14ac:dyDescent="0.25">
      <c r="C110" t="s">
        <v>256</v>
      </c>
      <c r="D110" t="str">
        <f>"IMP"&amp;List!B17&amp;RIGHT('City characteristics'!$C$20,2)</f>
        <v>IMPRDS19</v>
      </c>
      <c r="E110" t="str">
        <f>List!C17&amp;" "&amp;"Import"</f>
        <v>Renewable diesel Import</v>
      </c>
      <c r="F110" t="s">
        <v>253</v>
      </c>
      <c r="G110" t="s">
        <v>254</v>
      </c>
    </row>
    <row r="111" spans="2:7" x14ac:dyDescent="0.25">
      <c r="C111" t="s">
        <v>256</v>
      </c>
      <c r="D111" t="str">
        <f>"IMP"&amp;List!B18&amp;RIGHT('City characteristics'!$C$20,2)</f>
        <v>IMPBDS19</v>
      </c>
      <c r="E111" t="str">
        <f>List!C18&amp;" "&amp;"Import"</f>
        <v>Bio diesel Import</v>
      </c>
      <c r="F111" t="s">
        <v>253</v>
      </c>
      <c r="G111" t="s">
        <v>254</v>
      </c>
    </row>
    <row r="112" spans="2:7" x14ac:dyDescent="0.25">
      <c r="C112" t="s">
        <v>256</v>
      </c>
      <c r="D112" t="str">
        <f>"IMP"&amp;List!B19&amp;RIGHT('City characteristics'!$C$20,2)</f>
        <v>IMPCNG19</v>
      </c>
      <c r="E112" t="str">
        <f>List!C19&amp;" "&amp;"Import"</f>
        <v>Compressed Natural gas Import</v>
      </c>
      <c r="F112" t="s">
        <v>253</v>
      </c>
      <c r="G112" t="s">
        <v>254</v>
      </c>
    </row>
    <row r="113" spans="2:8" x14ac:dyDescent="0.25">
      <c r="C113" t="s">
        <v>256</v>
      </c>
      <c r="D113" t="str">
        <f>"IMP"&amp;List!B20&amp;RIGHT('City characteristics'!$C$20,2)</f>
        <v>IMPURN19</v>
      </c>
      <c r="E113" t="str">
        <f>List!C20&amp;" "&amp;"Import"</f>
        <v>Uranium Import</v>
      </c>
      <c r="F113" t="s">
        <v>253</v>
      </c>
      <c r="G113" t="s">
        <v>254</v>
      </c>
    </row>
    <row r="114" spans="2:8" x14ac:dyDescent="0.25">
      <c r="C114" t="s">
        <v>256</v>
      </c>
      <c r="D114" t="str">
        <f>"IMP"&amp;List!B21&amp;RIGHT('City characteristics'!$C$20,2)</f>
        <v>IMPSOL19</v>
      </c>
      <c r="E114" t="str">
        <f>List!C21&amp;" "&amp;"Import"</f>
        <v>Solar Import</v>
      </c>
      <c r="F114" t="s">
        <v>253</v>
      </c>
      <c r="G114" t="s">
        <v>254</v>
      </c>
    </row>
    <row r="115" spans="2:8" x14ac:dyDescent="0.25">
      <c r="C115" t="s">
        <v>256</v>
      </c>
      <c r="D115" t="str">
        <f>"IMP"&amp;List!B22&amp;RIGHT('City characteristics'!$C$20,2)</f>
        <v>IMPWND19</v>
      </c>
      <c r="E115" t="str">
        <f>List!C22&amp;" "&amp;"Import"</f>
        <v>Wind Import</v>
      </c>
      <c r="F115" t="s">
        <v>253</v>
      </c>
      <c r="G115" t="s">
        <v>254</v>
      </c>
    </row>
    <row r="116" spans="2:8" x14ac:dyDescent="0.25">
      <c r="C116" t="s">
        <v>256</v>
      </c>
      <c r="D116" t="str">
        <f>"IMP"&amp;List!B23&amp;RIGHT('City characteristics'!$C$20,2)</f>
        <v>IMPBIO19</v>
      </c>
      <c r="E116" t="str">
        <f>List!C23&amp;" "&amp;"Import"</f>
        <v>Biomass Import</v>
      </c>
      <c r="F116" t="s">
        <v>253</v>
      </c>
      <c r="G116" t="s">
        <v>254</v>
      </c>
    </row>
    <row r="117" spans="2:8" x14ac:dyDescent="0.25">
      <c r="C117" t="s">
        <v>256</v>
      </c>
      <c r="D117" t="str">
        <f>"IMP"&amp;List!B24&amp;RIGHT('City characteristics'!$C$20,2)</f>
        <v>IMPOTB19</v>
      </c>
      <c r="E117" t="str">
        <f>List!C24&amp;" "&amp;"Import"</f>
        <v>Other bioenergy Import</v>
      </c>
      <c r="F117" t="s">
        <v>253</v>
      </c>
      <c r="G117" t="s">
        <v>254</v>
      </c>
    </row>
    <row r="118" spans="2:8" x14ac:dyDescent="0.25">
      <c r="C118" t="s">
        <v>256</v>
      </c>
      <c r="D118" t="str">
        <f>"IMP"&amp;List!B25&amp;RIGHT('City characteristics'!$C$20,2)</f>
        <v>IMPWAS19</v>
      </c>
      <c r="E118" t="str">
        <f>List!C25&amp;" "&amp;"Import"</f>
        <v>Waste Import</v>
      </c>
      <c r="F118" t="s">
        <v>253</v>
      </c>
      <c r="G118" t="s">
        <v>254</v>
      </c>
    </row>
    <row r="119" spans="2:8" x14ac:dyDescent="0.25">
      <c r="C119" t="s">
        <v>256</v>
      </c>
      <c r="D119" t="str">
        <f>"IMP"&amp;List!B26&amp;RIGHT('City characteristics'!$C$20,2)</f>
        <v>IMPHET19</v>
      </c>
      <c r="E119" t="str">
        <f>List!C26&amp;" "&amp;"Import"</f>
        <v>Waste heat Import</v>
      </c>
      <c r="F119" t="s">
        <v>253</v>
      </c>
      <c r="G119" t="s">
        <v>254</v>
      </c>
    </row>
    <row r="120" spans="2:8" x14ac:dyDescent="0.25">
      <c r="C120" t="s">
        <v>256</v>
      </c>
      <c r="D120" t="str">
        <f>"IMP"&amp;List!B27&amp;RIGHT('City characteristics'!$C$20,2)</f>
        <v>IMPSTM19</v>
      </c>
      <c r="E120" t="str">
        <f>List!C27&amp;" "&amp;"Import"</f>
        <v>Steam Import</v>
      </c>
      <c r="F120" t="s">
        <v>253</v>
      </c>
      <c r="G120" t="s">
        <v>254</v>
      </c>
    </row>
    <row r="121" spans="2:8" x14ac:dyDescent="0.25">
      <c r="C121" t="s">
        <v>256</v>
      </c>
      <c r="D121" t="str">
        <f>"IMP"&amp;List!B28&amp;RIGHT('City characteristics'!$C$20,2)</f>
        <v>IMPGEO19</v>
      </c>
      <c r="E121" t="str">
        <f>List!C28&amp;" "&amp;"Import"</f>
        <v>Geothermal Import</v>
      </c>
      <c r="F121" t="s">
        <v>253</v>
      </c>
      <c r="G121" t="s">
        <v>254</v>
      </c>
    </row>
    <row r="122" spans="2:8" x14ac:dyDescent="0.25">
      <c r="C122" t="s">
        <v>256</v>
      </c>
      <c r="D122" t="str">
        <f>"IMP"&amp;List!B29&amp;RIGHT('City characteristics'!$C$20,2)</f>
        <v>IMPHYD19</v>
      </c>
      <c r="E122" t="str">
        <f>List!C29&amp;" "&amp;"Import"</f>
        <v>Hydro Import</v>
      </c>
      <c r="F122" t="s">
        <v>253</v>
      </c>
      <c r="G122" t="s">
        <v>254</v>
      </c>
    </row>
    <row r="123" spans="2:8" x14ac:dyDescent="0.25">
      <c r="B123" t="s">
        <v>251</v>
      </c>
      <c r="C123" t="s">
        <v>256</v>
      </c>
      <c r="D123" t="str">
        <f>List!B7&amp;RIGHT('City characteristics'!$C$20,2)</f>
        <v>ELC19</v>
      </c>
      <c r="E123" t="str">
        <f>List!C7&amp;" "&amp;"Import"</f>
        <v>Electricity Import</v>
      </c>
      <c r="F123" t="s">
        <v>253</v>
      </c>
      <c r="G123" t="s">
        <v>254</v>
      </c>
      <c r="H123" t="s">
        <v>255</v>
      </c>
    </row>
    <row r="124" spans="2:8" x14ac:dyDescent="0.25">
      <c r="C124" t="s">
        <v>256</v>
      </c>
      <c r="D124" t="str">
        <f>"IMP"&amp;List!B8&amp;RIGHT('City characteristics'!$C$20,2)</f>
        <v>IMPH2G19</v>
      </c>
      <c r="E124" t="str">
        <f>List!C8&amp;" "&amp;"Import"</f>
        <v>Hydrogen Import</v>
      </c>
      <c r="F124" t="s">
        <v>253</v>
      </c>
      <c r="G124" t="s">
        <v>254</v>
      </c>
      <c r="H124" t="s">
        <v>255</v>
      </c>
    </row>
    <row r="125" spans="2:8" x14ac:dyDescent="0.25">
      <c r="B125" t="s">
        <v>257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B2:I169"/>
  <sheetViews>
    <sheetView tabSelected="1" topLeftCell="A80" workbookViewId="0">
      <selection activeCell="D117" sqref="D117"/>
    </sheetView>
  </sheetViews>
  <sheetFormatPr defaultRowHeight="15" x14ac:dyDescent="0.25"/>
  <cols>
    <col min="2" max="2" width="12.5703125" customWidth="1"/>
    <col min="3" max="3" width="11.42578125" bestFit="1" customWidth="1"/>
    <col min="4" max="4" width="70.28515625" bestFit="1" customWidth="1"/>
    <col min="5" max="5" width="4.5703125" bestFit="1" customWidth="1"/>
    <col min="6" max="6" width="15.7109375" customWidth="1"/>
    <col min="7" max="7" width="8.5703125" bestFit="1" customWidth="1"/>
    <col min="8" max="8" width="10.140625" customWidth="1"/>
    <col min="9" max="9" width="8.140625" bestFit="1" customWidth="1"/>
  </cols>
  <sheetData>
    <row r="2" spans="2:9" x14ac:dyDescent="0.25">
      <c r="B2" s="3" t="s">
        <v>259</v>
      </c>
    </row>
    <row r="3" spans="2:9" x14ac:dyDescent="0.25">
      <c r="B3" s="1" t="s">
        <v>260</v>
      </c>
      <c r="C3" s="1" t="s">
        <v>261</v>
      </c>
      <c r="D3" s="1" t="s">
        <v>262</v>
      </c>
      <c r="E3" s="1" t="s">
        <v>263</v>
      </c>
      <c r="F3" s="1" t="s">
        <v>264</v>
      </c>
      <c r="G3" s="1" t="s">
        <v>265</v>
      </c>
      <c r="H3" s="1" t="s">
        <v>266</v>
      </c>
      <c r="I3" s="1" t="s">
        <v>267</v>
      </c>
    </row>
    <row r="4" spans="2:9" ht="40.9" customHeight="1" thickBot="1" x14ac:dyDescent="0.3">
      <c r="B4" s="2" t="s">
        <v>268</v>
      </c>
      <c r="C4" s="2" t="s">
        <v>269</v>
      </c>
      <c r="D4" s="2" t="s">
        <v>270</v>
      </c>
      <c r="E4" s="2" t="s">
        <v>263</v>
      </c>
      <c r="F4" s="2" t="s">
        <v>271</v>
      </c>
      <c r="G4" s="2" t="s">
        <v>272</v>
      </c>
      <c r="H4" s="2" t="s">
        <v>273</v>
      </c>
      <c r="I4" s="2" t="s">
        <v>274</v>
      </c>
    </row>
    <row r="5" spans="2:9" x14ac:dyDescent="0.25">
      <c r="B5" t="s">
        <v>275</v>
      </c>
      <c r="C5" t="str">
        <f>'ENE TECH'!G3</f>
        <v>RESLPG</v>
      </c>
      <c r="D5" t="str">
        <f>'ENE TECH'!A3&amp;" "&amp;'ENE TECH'!B3</f>
        <v>Residential LPG</v>
      </c>
      <c r="E5" t="s">
        <v>253</v>
      </c>
    </row>
    <row r="6" spans="2:9" x14ac:dyDescent="0.25">
      <c r="C6" t="str">
        <f>'ENE TECH'!G4</f>
        <v>RESFOI</v>
      </c>
      <c r="D6" t="str">
        <f>'ENE TECH'!A4&amp;" "&amp;'ENE TECH'!B4</f>
        <v>Residential Fuel oil</v>
      </c>
      <c r="E6" t="s">
        <v>253</v>
      </c>
    </row>
    <row r="7" spans="2:9" x14ac:dyDescent="0.25">
      <c r="C7" t="str">
        <f>'ENE TECH'!G5</f>
        <v>RESKER</v>
      </c>
      <c r="D7" t="str">
        <f>'ENE TECH'!A5&amp;" "&amp;'ENE TECH'!B5</f>
        <v>Residential Kerosene</v>
      </c>
      <c r="E7" t="s">
        <v>253</v>
      </c>
    </row>
    <row r="8" spans="2:9" x14ac:dyDescent="0.25">
      <c r="C8" t="str">
        <f>'ENE TECH'!G6</f>
        <v>RESNGA</v>
      </c>
      <c r="D8" t="str">
        <f>'ENE TECH'!A6&amp;" "&amp;'ENE TECH'!B6</f>
        <v>Residential Natural gas</v>
      </c>
      <c r="E8" t="s">
        <v>253</v>
      </c>
    </row>
    <row r="9" spans="2:9" x14ac:dyDescent="0.25">
      <c r="C9" t="str">
        <f>'ENE TECH'!G7</f>
        <v>RESRNG</v>
      </c>
      <c r="D9" t="str">
        <f>'ENE TECH'!A7&amp;" "&amp;'ENE TECH'!B7</f>
        <v>Residential RNG</v>
      </c>
      <c r="E9" t="s">
        <v>253</v>
      </c>
    </row>
    <row r="10" spans="2:9" x14ac:dyDescent="0.25">
      <c r="C10" t="str">
        <f>'ENE TECH'!G8</f>
        <v>RESELC</v>
      </c>
      <c r="D10" t="str">
        <f>'ENE TECH'!A8&amp;" "&amp;'ENE TECH'!B8</f>
        <v>Residential Electricity</v>
      </c>
      <c r="E10" t="s">
        <v>253</v>
      </c>
      <c r="G10" t="s">
        <v>255</v>
      </c>
      <c r="H10" t="s">
        <v>276</v>
      </c>
      <c r="I10" t="s">
        <v>277</v>
      </c>
    </row>
    <row r="11" spans="2:9" x14ac:dyDescent="0.25">
      <c r="C11" t="str">
        <f>'ENE TECH'!G9</f>
        <v>RESH2G</v>
      </c>
      <c r="D11" t="str">
        <f>'ENE TECH'!A9&amp;" "&amp;'ENE TECH'!B9</f>
        <v>Residential Hydrogen</v>
      </c>
      <c r="E11" t="s">
        <v>253</v>
      </c>
      <c r="G11" t="s">
        <v>255</v>
      </c>
      <c r="H11" t="s">
        <v>276</v>
      </c>
    </row>
    <row r="12" spans="2:9" x14ac:dyDescent="0.25">
      <c r="C12" t="s">
        <v>103</v>
      </c>
      <c r="D12" t="s">
        <v>278</v>
      </c>
      <c r="E12" t="s">
        <v>253</v>
      </c>
      <c r="I12" t="s">
        <v>279</v>
      </c>
    </row>
    <row r="13" spans="2:9" x14ac:dyDescent="0.25">
      <c r="C13" t="str">
        <f>'ENE TECH'!G11</f>
        <v>RESSOL</v>
      </c>
      <c r="D13" t="str">
        <f>'ENE TECH'!A11&amp;" "&amp;'ENE TECH'!B11</f>
        <v>Residential Solar</v>
      </c>
      <c r="E13" t="s">
        <v>253</v>
      </c>
    </row>
    <row r="14" spans="2:9" x14ac:dyDescent="0.25">
      <c r="C14" t="str">
        <f>'ENE TECH'!G12</f>
        <v>RESWND</v>
      </c>
      <c r="D14" t="str">
        <f>'ENE TECH'!A12&amp;" "&amp;'ENE TECH'!B12</f>
        <v>Residential Wind</v>
      </c>
      <c r="E14" t="s">
        <v>253</v>
      </c>
    </row>
    <row r="15" spans="2:9" x14ac:dyDescent="0.25">
      <c r="C15" t="str">
        <f>'ENE TECH'!G13</f>
        <v>COMLPG</v>
      </c>
      <c r="D15" t="str">
        <f>'ENE TECH'!A13&amp;" "&amp;'ENE TECH'!B13</f>
        <v>Commercial LPG</v>
      </c>
      <c r="E15" t="s">
        <v>253</v>
      </c>
    </row>
    <row r="16" spans="2:9" x14ac:dyDescent="0.25">
      <c r="C16" t="str">
        <f>'ENE TECH'!G14</f>
        <v>COMDSL</v>
      </c>
      <c r="D16" t="str">
        <f>'ENE TECH'!A14&amp;" "&amp;'ENE TECH'!B14</f>
        <v>Commercial Diesel</v>
      </c>
      <c r="E16" t="s">
        <v>253</v>
      </c>
    </row>
    <row r="17" spans="3:9" x14ac:dyDescent="0.25">
      <c r="C17" t="str">
        <f>'ENE TECH'!G15</f>
        <v>COMFOI</v>
      </c>
      <c r="D17" t="str">
        <f>'ENE TECH'!A15&amp;" "&amp;'ENE TECH'!B15</f>
        <v>Commercial Fuel oil</v>
      </c>
      <c r="E17" t="s">
        <v>253</v>
      </c>
    </row>
    <row r="18" spans="3:9" x14ac:dyDescent="0.25">
      <c r="C18" t="str">
        <f>'ENE TECH'!G16</f>
        <v>COMKER</v>
      </c>
      <c r="D18" t="str">
        <f>'ENE TECH'!A16&amp;" "&amp;'ENE TECH'!B16</f>
        <v>Commercial Kerosene</v>
      </c>
      <c r="E18" t="s">
        <v>253</v>
      </c>
    </row>
    <row r="19" spans="3:9" x14ac:dyDescent="0.25">
      <c r="C19" t="str">
        <f>'ENE TECH'!G17</f>
        <v>COMGSL</v>
      </c>
      <c r="D19" t="str">
        <f>'ENE TECH'!A17&amp;" "&amp;'ENE TECH'!B17</f>
        <v>Commercial Gasoline</v>
      </c>
      <c r="E19" t="s">
        <v>253</v>
      </c>
    </row>
    <row r="20" spans="3:9" x14ac:dyDescent="0.25">
      <c r="C20" t="str">
        <f>'ENE TECH'!G18</f>
        <v>COMNGA</v>
      </c>
      <c r="D20" t="str">
        <f>'ENE TECH'!A18&amp;" "&amp;'ENE TECH'!B18</f>
        <v>Commercial Natural gas</v>
      </c>
      <c r="E20" t="s">
        <v>253</v>
      </c>
    </row>
    <row r="21" spans="3:9" x14ac:dyDescent="0.25">
      <c r="C21" t="str">
        <f>'ENE TECH'!G19</f>
        <v>COMRNG</v>
      </c>
      <c r="D21" t="str">
        <f>'ENE TECH'!A19&amp;" "&amp;'ENE TECH'!B19</f>
        <v>Commercial RNG</v>
      </c>
      <c r="E21" t="s">
        <v>253</v>
      </c>
    </row>
    <row r="22" spans="3:9" x14ac:dyDescent="0.25">
      <c r="C22" t="str">
        <f>'ENE TECH'!G20</f>
        <v>COMELC</v>
      </c>
      <c r="D22" t="str">
        <f>'ENE TECH'!A20&amp;" "&amp;'ENE TECH'!B20</f>
        <v>Commercial Electricity</v>
      </c>
      <c r="E22" t="s">
        <v>253</v>
      </c>
      <c r="G22" t="s">
        <v>255</v>
      </c>
      <c r="H22" t="s">
        <v>276</v>
      </c>
      <c r="I22" t="s">
        <v>277</v>
      </c>
    </row>
    <row r="23" spans="3:9" x14ac:dyDescent="0.25">
      <c r="C23" t="str">
        <f>'ENE TECH'!G21</f>
        <v>COMH2G</v>
      </c>
      <c r="D23" t="str">
        <f>'ENE TECH'!A21&amp;" "&amp;'ENE TECH'!B21</f>
        <v>Commercial Hydrogen</v>
      </c>
      <c r="E23" t="s">
        <v>253</v>
      </c>
      <c r="G23" t="s">
        <v>255</v>
      </c>
      <c r="H23" t="s">
        <v>276</v>
      </c>
    </row>
    <row r="24" spans="3:9" x14ac:dyDescent="0.25">
      <c r="C24" t="s">
        <v>127</v>
      </c>
      <c r="D24" t="s">
        <v>280</v>
      </c>
      <c r="E24" t="s">
        <v>253</v>
      </c>
      <c r="I24" t="s">
        <v>279</v>
      </c>
    </row>
    <row r="25" spans="3:9" x14ac:dyDescent="0.25">
      <c r="C25" t="str">
        <f>'ENE TECH'!G23</f>
        <v>COMSOL</v>
      </c>
      <c r="D25" t="str">
        <f>'ENE TECH'!A23&amp;" "&amp;'ENE TECH'!B23</f>
        <v>Commercial Solar</v>
      </c>
      <c r="E25" t="s">
        <v>253</v>
      </c>
    </row>
    <row r="26" spans="3:9" x14ac:dyDescent="0.25">
      <c r="C26" t="str">
        <f>'ENE TECH'!G24</f>
        <v>COMWND</v>
      </c>
      <c r="D26" t="str">
        <f>'ENE TECH'!A24&amp;" "&amp;'ENE TECH'!B24</f>
        <v>Commercial Wind</v>
      </c>
      <c r="E26" t="s">
        <v>253</v>
      </c>
    </row>
    <row r="27" spans="3:9" x14ac:dyDescent="0.25">
      <c r="C27" t="str">
        <f>'ENE TECH'!G25</f>
        <v>INDLPG</v>
      </c>
      <c r="D27" t="str">
        <f>'ENE TECH'!A25&amp;" "&amp;'ENE TECH'!B25</f>
        <v>Industrial LPG</v>
      </c>
      <c r="E27" t="s">
        <v>253</v>
      </c>
    </row>
    <row r="28" spans="3:9" x14ac:dyDescent="0.25">
      <c r="C28" t="str">
        <f>'ENE TECH'!G26</f>
        <v>INDDSL</v>
      </c>
      <c r="D28" t="str">
        <f>'ENE TECH'!A26&amp;" "&amp;'ENE TECH'!B26</f>
        <v>Industrial Diesel</v>
      </c>
      <c r="E28" t="s">
        <v>253</v>
      </c>
    </row>
    <row r="29" spans="3:9" x14ac:dyDescent="0.25">
      <c r="C29" t="str">
        <f>'ENE TECH'!G27</f>
        <v>INDFOI</v>
      </c>
      <c r="D29" t="str">
        <f>'ENE TECH'!A27&amp;" "&amp;'ENE TECH'!B27</f>
        <v>Industrial Fuel oil</v>
      </c>
      <c r="E29" t="s">
        <v>253</v>
      </c>
    </row>
    <row r="30" spans="3:9" x14ac:dyDescent="0.25">
      <c r="C30" t="str">
        <f>'ENE TECH'!G28</f>
        <v>INDKER</v>
      </c>
      <c r="D30" t="str">
        <f>'ENE TECH'!A28&amp;" "&amp;'ENE TECH'!B28</f>
        <v>Industrial Kerosene</v>
      </c>
      <c r="E30" t="s">
        <v>253</v>
      </c>
    </row>
    <row r="31" spans="3:9" x14ac:dyDescent="0.25">
      <c r="C31" t="str">
        <f>'ENE TECH'!G29</f>
        <v>INDGSL</v>
      </c>
      <c r="D31" t="str">
        <f>'ENE TECH'!A29&amp;" "&amp;'ENE TECH'!B29</f>
        <v>Industrial Gasoline</v>
      </c>
      <c r="E31" t="s">
        <v>253</v>
      </c>
    </row>
    <row r="32" spans="3:9" x14ac:dyDescent="0.25">
      <c r="C32" t="str">
        <f>'ENE TECH'!G30</f>
        <v>INDNGA</v>
      </c>
      <c r="D32" t="str">
        <f>'ENE TECH'!A30&amp;" "&amp;'ENE TECH'!B30</f>
        <v>Industrial Natural gas</v>
      </c>
      <c r="E32" t="s">
        <v>253</v>
      </c>
    </row>
    <row r="33" spans="3:9" x14ac:dyDescent="0.25">
      <c r="C33" t="str">
        <f>'ENE TECH'!G31</f>
        <v>INDRNG</v>
      </c>
      <c r="D33" t="str">
        <f>'ENE TECH'!A31&amp;" "&amp;'ENE TECH'!B31</f>
        <v>Industrial RNG</v>
      </c>
      <c r="E33" t="s">
        <v>253</v>
      </c>
    </row>
    <row r="34" spans="3:9" x14ac:dyDescent="0.25">
      <c r="C34" t="str">
        <f>'ENE TECH'!G32</f>
        <v>INDPCK</v>
      </c>
      <c r="D34" t="str">
        <f>'ENE TECH'!A32&amp;" "&amp;'ENE TECH'!B32</f>
        <v>Industrial Petcoke</v>
      </c>
      <c r="E34" t="s">
        <v>253</v>
      </c>
    </row>
    <row r="35" spans="3:9" x14ac:dyDescent="0.25">
      <c r="C35" t="str">
        <f>'ENE TECH'!G33</f>
        <v>INDCOA</v>
      </c>
      <c r="D35" t="str">
        <f>'ENE TECH'!A33&amp;" "&amp;'ENE TECH'!B33</f>
        <v>Industrial Coal</v>
      </c>
      <c r="E35" t="s">
        <v>253</v>
      </c>
    </row>
    <row r="36" spans="3:9" x14ac:dyDescent="0.25">
      <c r="C36" t="str">
        <f>'ENE TECH'!G34</f>
        <v>INDELC</v>
      </c>
      <c r="D36" t="str">
        <f>'ENE TECH'!A34&amp;" "&amp;'ENE TECH'!B34</f>
        <v>Industrial Electricity</v>
      </c>
      <c r="E36" t="s">
        <v>253</v>
      </c>
      <c r="G36" t="s">
        <v>255</v>
      </c>
      <c r="H36" t="s">
        <v>276</v>
      </c>
      <c r="I36" t="s">
        <v>277</v>
      </c>
    </row>
    <row r="37" spans="3:9" x14ac:dyDescent="0.25">
      <c r="C37" t="str">
        <f>'ENE TECH'!G35</f>
        <v>INDH2G</v>
      </c>
      <c r="D37" t="str">
        <f>'ENE TECH'!A35&amp;" "&amp;'ENE TECH'!B35</f>
        <v>Industrial Hydrogen</v>
      </c>
      <c r="E37" t="s">
        <v>253</v>
      </c>
      <c r="G37" t="s">
        <v>255</v>
      </c>
      <c r="H37" t="s">
        <v>276</v>
      </c>
    </row>
    <row r="38" spans="3:9" x14ac:dyDescent="0.25">
      <c r="C38" t="str">
        <f>'ENE TECH'!G36</f>
        <v>INDSTM</v>
      </c>
      <c r="D38" t="str">
        <f>'ENE TECH'!A36&amp;" "&amp;'ENE TECH'!B36</f>
        <v>Industrial Steam</v>
      </c>
      <c r="E38" t="s">
        <v>253</v>
      </c>
      <c r="I38" t="s">
        <v>279</v>
      </c>
    </row>
    <row r="39" spans="3:9" x14ac:dyDescent="0.25">
      <c r="C39" t="str">
        <f>'ENE TECH'!G37</f>
        <v>INDSOL</v>
      </c>
      <c r="D39" t="str">
        <f>'ENE TECH'!A37&amp;" "&amp;'ENE TECH'!B37</f>
        <v>Industrial Solar</v>
      </c>
      <c r="E39" t="s">
        <v>253</v>
      </c>
    </row>
    <row r="40" spans="3:9" x14ac:dyDescent="0.25">
      <c r="C40" t="str">
        <f>'ENE TECH'!G38</f>
        <v>INDWND</v>
      </c>
      <c r="D40" t="str">
        <f>'ENE TECH'!A38&amp;" "&amp;'ENE TECH'!B38</f>
        <v>Industrial Wind</v>
      </c>
      <c r="E40" t="s">
        <v>253</v>
      </c>
    </row>
    <row r="41" spans="3:9" x14ac:dyDescent="0.25">
      <c r="C41" t="str">
        <f>'ENE TECH'!G39</f>
        <v>TRALPG</v>
      </c>
      <c r="D41" t="str">
        <f>'ENE TECH'!A39&amp;" "&amp;'ENE TECH'!B39</f>
        <v>Transportation LPG</v>
      </c>
      <c r="E41" t="s">
        <v>253</v>
      </c>
    </row>
    <row r="42" spans="3:9" x14ac:dyDescent="0.25">
      <c r="C42" t="str">
        <f>'ENE TECH'!G40</f>
        <v>TRAETH</v>
      </c>
      <c r="D42" t="str">
        <f>'ENE TECH'!A40&amp;" "&amp;'ENE TECH'!B40</f>
        <v>Transportation Ethanol</v>
      </c>
      <c r="E42" t="s">
        <v>253</v>
      </c>
    </row>
    <row r="43" spans="3:9" x14ac:dyDescent="0.25">
      <c r="C43" t="str">
        <f>'ENE TECH'!G41</f>
        <v>TRAGSL</v>
      </c>
      <c r="D43" t="str">
        <f>'ENE TECH'!A41&amp;" "&amp;'ENE TECH'!B41</f>
        <v>Transportation Gasoline</v>
      </c>
      <c r="E43" t="s">
        <v>253</v>
      </c>
    </row>
    <row r="44" spans="3:9" x14ac:dyDescent="0.25">
      <c r="C44" t="str">
        <f>'ENE TECH'!G42</f>
        <v>TRAAGA</v>
      </c>
      <c r="D44" t="str">
        <f>'ENE TECH'!A42&amp;" "&amp;'ENE TECH'!B42</f>
        <v>Transportation Aviation gasoline</v>
      </c>
      <c r="E44" t="s">
        <v>253</v>
      </c>
    </row>
    <row r="45" spans="3:9" x14ac:dyDescent="0.25">
      <c r="C45" t="str">
        <f>'ENE TECH'!G43</f>
        <v>TRAATF</v>
      </c>
      <c r="D45" t="str">
        <f>'ENE TECH'!A43&amp;" "&amp;'ENE TECH'!B43</f>
        <v>Transportation Aviation turbo-fuel</v>
      </c>
      <c r="E45" t="s">
        <v>253</v>
      </c>
    </row>
    <row r="46" spans="3:9" x14ac:dyDescent="0.25">
      <c r="C46" t="str">
        <f>'ENE TECH'!G44</f>
        <v>TRASAF</v>
      </c>
      <c r="D46" t="str">
        <f>'ENE TECH'!A44&amp;" "&amp;'ENE TECH'!B44</f>
        <v>Transportation Sustainable aviation fuel</v>
      </c>
      <c r="E46" t="s">
        <v>253</v>
      </c>
    </row>
    <row r="47" spans="3:9" x14ac:dyDescent="0.25">
      <c r="C47" t="str">
        <f>'ENE TECH'!G45</f>
        <v>TRADSL</v>
      </c>
      <c r="D47" t="str">
        <f>'ENE TECH'!A45&amp;" "&amp;'ENE TECH'!B45</f>
        <v>Transportation Diesel</v>
      </c>
      <c r="E47" t="s">
        <v>253</v>
      </c>
    </row>
    <row r="48" spans="3:9" x14ac:dyDescent="0.25">
      <c r="C48" t="str">
        <f>'ENE TECH'!G46</f>
        <v>TRARDS</v>
      </c>
      <c r="D48" t="str">
        <f>'ENE TECH'!A46&amp;" "&amp;'ENE TECH'!B46</f>
        <v>Transportation Renewable diesel</v>
      </c>
      <c r="E48" t="s">
        <v>253</v>
      </c>
    </row>
    <row r="49" spans="3:9" x14ac:dyDescent="0.25">
      <c r="C49" t="str">
        <f>'ENE TECH'!G47</f>
        <v>TRABDS</v>
      </c>
      <c r="D49" t="str">
        <f>'ENE TECH'!A47&amp;" "&amp;'ENE TECH'!B47</f>
        <v>Transportation Bio diesel</v>
      </c>
      <c r="E49" t="s">
        <v>253</v>
      </c>
    </row>
    <row r="50" spans="3:9" x14ac:dyDescent="0.25">
      <c r="C50" t="str">
        <f>'ENE TECH'!G48</f>
        <v>TRAFOI</v>
      </c>
      <c r="D50" t="str">
        <f>'ENE TECH'!A48&amp;" "&amp;'ENE TECH'!B48</f>
        <v>Transportation Fuel oil</v>
      </c>
      <c r="E50" t="s">
        <v>253</v>
      </c>
    </row>
    <row r="51" spans="3:9" x14ac:dyDescent="0.25">
      <c r="C51" t="str">
        <f>'ENE TECH'!G49</f>
        <v>TRACNG</v>
      </c>
      <c r="D51" t="str">
        <f>'ENE TECH'!A49&amp;" "&amp;'ENE TECH'!B49</f>
        <v>Transportation Compressed Natural gas</v>
      </c>
      <c r="E51" t="s">
        <v>253</v>
      </c>
    </row>
    <row r="52" spans="3:9" x14ac:dyDescent="0.25">
      <c r="C52" t="str">
        <f>'ENE TECH'!G50</f>
        <v>TRARNG</v>
      </c>
      <c r="D52" t="str">
        <f>'ENE TECH'!A50&amp;" "&amp;'ENE TECH'!B50</f>
        <v>Transportation RNG</v>
      </c>
      <c r="E52" t="s">
        <v>253</v>
      </c>
    </row>
    <row r="53" spans="3:9" x14ac:dyDescent="0.25">
      <c r="C53" t="str">
        <f>'ENE TECH'!G51</f>
        <v>TRAELC</v>
      </c>
      <c r="D53" t="str">
        <f>'ENE TECH'!A51&amp;" "&amp;'ENE TECH'!B51</f>
        <v>Transportation Electricity</v>
      </c>
      <c r="E53" t="s">
        <v>253</v>
      </c>
      <c r="G53" t="s">
        <v>255</v>
      </c>
      <c r="H53" t="s">
        <v>276</v>
      </c>
      <c r="I53" t="s">
        <v>277</v>
      </c>
    </row>
    <row r="54" spans="3:9" x14ac:dyDescent="0.25">
      <c r="C54" t="str">
        <f>'ENE TECH'!G52</f>
        <v>TRAH2G</v>
      </c>
      <c r="D54" t="str">
        <f>'ENE TECH'!A52&amp;" "&amp;'ENE TECH'!B52</f>
        <v>Transportation Hydrogen</v>
      </c>
      <c r="E54" t="s">
        <v>253</v>
      </c>
      <c r="G54" t="s">
        <v>255</v>
      </c>
      <c r="H54" t="s">
        <v>276</v>
      </c>
    </row>
    <row r="55" spans="3:9" x14ac:dyDescent="0.25">
      <c r="C55" t="str">
        <f>'ENE TECH'!G53</f>
        <v>ELCDSL</v>
      </c>
      <c r="D55" t="str">
        <f>'ENE TECH'!A53&amp;" "&amp;'ENE TECH'!B53</f>
        <v>Electricity Diesel</v>
      </c>
      <c r="E55" t="s">
        <v>253</v>
      </c>
    </row>
    <row r="56" spans="3:9" x14ac:dyDescent="0.25">
      <c r="C56" t="str">
        <f>'ENE TECH'!G54</f>
        <v>ELCFOI</v>
      </c>
      <c r="D56" t="str">
        <f>'ENE TECH'!A54&amp;" "&amp;'ENE TECH'!B54</f>
        <v>Electricity Fuel oil</v>
      </c>
      <c r="E56" t="s">
        <v>253</v>
      </c>
    </row>
    <row r="57" spans="3:9" x14ac:dyDescent="0.25">
      <c r="C57" t="str">
        <f>'ENE TECH'!G55</f>
        <v>ELCNGA</v>
      </c>
      <c r="D57" t="str">
        <f>'ENE TECH'!A55&amp;" "&amp;'ENE TECH'!B55</f>
        <v>Electricity Natural gas</v>
      </c>
      <c r="E57" t="s">
        <v>253</v>
      </c>
    </row>
    <row r="58" spans="3:9" x14ac:dyDescent="0.25">
      <c r="C58" t="str">
        <f>'ENE TECH'!G56</f>
        <v>ELCRNG</v>
      </c>
      <c r="D58" t="str">
        <f>'ENE TECH'!A56&amp;" "&amp;'ENE TECH'!B56</f>
        <v>Electricity RNG</v>
      </c>
      <c r="E58" t="s">
        <v>253</v>
      </c>
    </row>
    <row r="59" spans="3:9" x14ac:dyDescent="0.25">
      <c r="C59" t="str">
        <f>'ENE TECH'!G57</f>
        <v>ELCCOA</v>
      </c>
      <c r="D59" t="str">
        <f>'ENE TECH'!A57&amp;" "&amp;'ENE TECH'!B57</f>
        <v>Electricity Coal</v>
      </c>
      <c r="E59" t="s">
        <v>253</v>
      </c>
    </row>
    <row r="60" spans="3:9" x14ac:dyDescent="0.25">
      <c r="C60" t="str">
        <f>'ENE TECH'!G58</f>
        <v>ELCURN</v>
      </c>
      <c r="D60" t="str">
        <f>'ENE TECH'!A58&amp;" "&amp;'ENE TECH'!B58</f>
        <v>Electricity Uranium</v>
      </c>
      <c r="E60" t="s">
        <v>253</v>
      </c>
    </row>
    <row r="61" spans="3:9" x14ac:dyDescent="0.25">
      <c r="C61" t="str">
        <f>'ENE TECH'!G59</f>
        <v>ELCBIO</v>
      </c>
      <c r="D61" t="str">
        <f>'ENE TECH'!A59&amp;" "&amp;'ENE TECH'!B59</f>
        <v>Electricity Biomass</v>
      </c>
      <c r="E61" t="s">
        <v>253</v>
      </c>
    </row>
    <row r="62" spans="3:9" x14ac:dyDescent="0.25">
      <c r="C62" t="str">
        <f>'ENE TECH'!G60</f>
        <v>ELCOTB</v>
      </c>
      <c r="D62" t="str">
        <f>'ENE TECH'!A60&amp;" "&amp;'ENE TECH'!B60</f>
        <v>Electricity Other bioenergy</v>
      </c>
      <c r="E62" t="s">
        <v>253</v>
      </c>
    </row>
    <row r="63" spans="3:9" x14ac:dyDescent="0.25">
      <c r="C63" t="str">
        <f>'ENE TECH'!G61</f>
        <v>ELCWAS</v>
      </c>
      <c r="D63" t="str">
        <f>'ENE TECH'!A61&amp;" "&amp;'ENE TECH'!B61</f>
        <v>Electricity Waste</v>
      </c>
      <c r="E63" t="s">
        <v>253</v>
      </c>
    </row>
    <row r="64" spans="3:9" x14ac:dyDescent="0.25">
      <c r="C64" t="str">
        <f>'ENE TECH'!G62</f>
        <v>ELCHET</v>
      </c>
      <c r="D64" t="str">
        <f>'ENE TECH'!A62&amp;" "&amp;'ENE TECH'!B62</f>
        <v>Electricity Waste heat</v>
      </c>
      <c r="E64" t="s">
        <v>253</v>
      </c>
    </row>
    <row r="65" spans="3:9" x14ac:dyDescent="0.25">
      <c r="C65" t="str">
        <f>'ENE TECH'!G63</f>
        <v>ELCSTM</v>
      </c>
      <c r="D65" t="str">
        <f>'ENE TECH'!A63&amp;" "&amp;'ENE TECH'!B63</f>
        <v>Electricity Steam</v>
      </c>
      <c r="E65" t="s">
        <v>253</v>
      </c>
    </row>
    <row r="66" spans="3:9" x14ac:dyDescent="0.25">
      <c r="C66" t="str">
        <f>'ENE TECH'!G64</f>
        <v>ELCGEO</v>
      </c>
      <c r="D66" t="str">
        <f>'ENE TECH'!A64&amp;" "&amp;'ENE TECH'!B64</f>
        <v>Electricity Geothermal</v>
      </c>
      <c r="E66" t="s">
        <v>253</v>
      </c>
    </row>
    <row r="67" spans="3:9" x14ac:dyDescent="0.25">
      <c r="C67" t="str">
        <f>'ENE TECH'!G65</f>
        <v>ELCWND</v>
      </c>
      <c r="D67" t="str">
        <f>'ENE TECH'!A65&amp;" "&amp;'ENE TECH'!B65</f>
        <v>Electricity Wind</v>
      </c>
      <c r="E67" t="s">
        <v>253</v>
      </c>
    </row>
    <row r="68" spans="3:9" x14ac:dyDescent="0.25">
      <c r="C68" t="str">
        <f>'ENE TECH'!G66</f>
        <v>ELCHYD</v>
      </c>
      <c r="D68" t="str">
        <f>'ENE TECH'!A66&amp;" "&amp;'ENE TECH'!B66</f>
        <v>Electricity Hydro</v>
      </c>
      <c r="E68" t="s">
        <v>253</v>
      </c>
    </row>
    <row r="69" spans="3:9" x14ac:dyDescent="0.25">
      <c r="C69" t="str">
        <f>'ENE TECH'!G67</f>
        <v>ELCSOL</v>
      </c>
      <c r="D69" t="str">
        <f>'ENE TECH'!A67&amp;" "&amp;'ENE TECH'!B67</f>
        <v>Electricity Solar</v>
      </c>
      <c r="E69" t="s">
        <v>253</v>
      </c>
    </row>
    <row r="70" spans="3:9" x14ac:dyDescent="0.25">
      <c r="C70" t="str">
        <f>'ENE TECH'!G68</f>
        <v>WASLPG</v>
      </c>
      <c r="D70" t="str">
        <f>'ENE TECH'!A68&amp;" "&amp;'ENE TECH'!B68</f>
        <v>Waste LPG</v>
      </c>
      <c r="E70" t="s">
        <v>253</v>
      </c>
    </row>
    <row r="71" spans="3:9" x14ac:dyDescent="0.25">
      <c r="C71" t="str">
        <f>'ENE TECH'!G69</f>
        <v>WASDSL</v>
      </c>
      <c r="D71" t="str">
        <f>'ENE TECH'!A69&amp;" "&amp;'ENE TECH'!B69</f>
        <v>Waste Diesel</v>
      </c>
      <c r="E71" t="s">
        <v>253</v>
      </c>
    </row>
    <row r="72" spans="3:9" x14ac:dyDescent="0.25">
      <c r="C72" t="str">
        <f>'ENE TECH'!G70</f>
        <v>WASFOI</v>
      </c>
      <c r="D72" t="str">
        <f>'ENE TECH'!A70&amp;" "&amp;'ENE TECH'!B70</f>
        <v>Waste Fuel oil</v>
      </c>
      <c r="E72" t="s">
        <v>253</v>
      </c>
    </row>
    <row r="73" spans="3:9" x14ac:dyDescent="0.25">
      <c r="C73" t="str">
        <f>'ENE TECH'!G71</f>
        <v>WASKER</v>
      </c>
      <c r="D73" t="str">
        <f>'ENE TECH'!A71&amp;" "&amp;'ENE TECH'!B71</f>
        <v>Waste Kerosene</v>
      </c>
      <c r="E73" t="s">
        <v>253</v>
      </c>
    </row>
    <row r="74" spans="3:9" x14ac:dyDescent="0.25">
      <c r="C74" t="str">
        <f>'ENE TECH'!G72</f>
        <v>WASGSL</v>
      </c>
      <c r="D74" t="str">
        <f>'ENE TECH'!A72&amp;" "&amp;'ENE TECH'!B72</f>
        <v>Waste Gasoline</v>
      </c>
      <c r="E74" t="s">
        <v>253</v>
      </c>
    </row>
    <row r="75" spans="3:9" x14ac:dyDescent="0.25">
      <c r="C75" t="str">
        <f>'ENE TECH'!G73</f>
        <v>WASNGA</v>
      </c>
      <c r="D75" t="str">
        <f>'ENE TECH'!A73&amp;" "&amp;'ENE TECH'!B73</f>
        <v>Waste Natural gas</v>
      </c>
      <c r="E75" t="s">
        <v>253</v>
      </c>
    </row>
    <row r="76" spans="3:9" x14ac:dyDescent="0.25">
      <c r="C76" t="str">
        <f>'ENE TECH'!G74</f>
        <v>WASRNG</v>
      </c>
      <c r="D76" t="str">
        <f>'ENE TECH'!A74&amp;" "&amp;'ENE TECH'!B74</f>
        <v>Waste RNG</v>
      </c>
      <c r="E76" t="s">
        <v>253</v>
      </c>
    </row>
    <row r="77" spans="3:9" x14ac:dyDescent="0.25">
      <c r="C77" t="str">
        <f>'ENE TECH'!G75</f>
        <v>WASPCK</v>
      </c>
      <c r="D77" t="str">
        <f>'ENE TECH'!A75&amp;" "&amp;'ENE TECH'!B75</f>
        <v>Waste Petcoke</v>
      </c>
      <c r="E77" t="s">
        <v>253</v>
      </c>
    </row>
    <row r="78" spans="3:9" x14ac:dyDescent="0.25">
      <c r="C78" t="str">
        <f>'ENE TECH'!G76</f>
        <v>WASCOA</v>
      </c>
      <c r="D78" t="str">
        <f>'ENE TECH'!A76&amp;" "&amp;'ENE TECH'!B76</f>
        <v>Waste Coal</v>
      </c>
      <c r="E78" t="s">
        <v>253</v>
      </c>
    </row>
    <row r="79" spans="3:9" x14ac:dyDescent="0.25">
      <c r="C79" t="str">
        <f>'ENE TECH'!G77</f>
        <v>WASELC</v>
      </c>
      <c r="D79" t="str">
        <f>'ENE TECH'!A77&amp;" "&amp;'ENE TECH'!B77</f>
        <v>Waste Electricity</v>
      </c>
      <c r="E79" t="s">
        <v>253</v>
      </c>
      <c r="G79" t="s">
        <v>255</v>
      </c>
      <c r="H79" t="s">
        <v>276</v>
      </c>
      <c r="I79" t="s">
        <v>277</v>
      </c>
    </row>
    <row r="80" spans="3:9" x14ac:dyDescent="0.25">
      <c r="C80" t="str">
        <f>'ENE TECH'!G78</f>
        <v>WASH2G</v>
      </c>
      <c r="D80" t="str">
        <f>'ENE TECH'!A78&amp;" "&amp;'ENE TECH'!B78</f>
        <v>Waste Hydrogen</v>
      </c>
      <c r="E80" t="s">
        <v>253</v>
      </c>
      <c r="G80" t="s">
        <v>255</v>
      </c>
      <c r="H80" t="s">
        <v>276</v>
      </c>
    </row>
    <row r="81" spans="2:5" x14ac:dyDescent="0.25">
      <c r="C81" t="str">
        <f>'ENE TECH'!G79</f>
        <v>WASSOL</v>
      </c>
      <c r="D81" t="str">
        <f>'ENE TECH'!A79&amp;" "&amp;'ENE TECH'!B79</f>
        <v>Waste Solar</v>
      </c>
      <c r="E81" t="s">
        <v>253</v>
      </c>
    </row>
    <row r="82" spans="2:5" x14ac:dyDescent="0.25">
      <c r="C82" t="str">
        <f>'ENE TECH'!G80</f>
        <v>WASWND</v>
      </c>
      <c r="D82" t="str">
        <f>'ENE TECH'!A80&amp;" "&amp;'ENE TECH'!B80</f>
        <v>Waste Wind</v>
      </c>
      <c r="E82" t="s">
        <v>253</v>
      </c>
    </row>
    <row r="83" spans="2:5" x14ac:dyDescent="0.25">
      <c r="B83" t="s">
        <v>257</v>
      </c>
    </row>
    <row r="84" spans="2:5" x14ac:dyDescent="0.25">
      <c r="B84" t="s">
        <v>275</v>
      </c>
      <c r="C84" t="str">
        <f>List!B2</f>
        <v>LPG</v>
      </c>
      <c r="D84" t="str">
        <f>List!C2</f>
        <v>LPG</v>
      </c>
      <c r="E84" t="s">
        <v>253</v>
      </c>
    </row>
    <row r="85" spans="2:5" x14ac:dyDescent="0.25">
      <c r="C85" t="str">
        <f>List!B3</f>
        <v>FOI</v>
      </c>
      <c r="D85" t="str">
        <f>List!C3</f>
        <v>Fuel oil</v>
      </c>
      <c r="E85" t="s">
        <v>253</v>
      </c>
    </row>
    <row r="86" spans="2:5" x14ac:dyDescent="0.25">
      <c r="C86" t="str">
        <f>List!B4</f>
        <v>KER</v>
      </c>
      <c r="D86" t="str">
        <f>List!C4</f>
        <v>Kerosene</v>
      </c>
      <c r="E86" t="s">
        <v>253</v>
      </c>
    </row>
    <row r="87" spans="2:5" x14ac:dyDescent="0.25">
      <c r="C87" t="str">
        <f>List!B5</f>
        <v>NGA</v>
      </c>
      <c r="D87" t="str">
        <f>List!C5</f>
        <v>Natural gas</v>
      </c>
      <c r="E87" t="s">
        <v>253</v>
      </c>
    </row>
    <row r="88" spans="2:5" x14ac:dyDescent="0.25">
      <c r="C88" t="str">
        <f>List!B6</f>
        <v>RNG</v>
      </c>
      <c r="D88" t="str">
        <f>List!C6</f>
        <v>RNG</v>
      </c>
      <c r="E88" t="s">
        <v>253</v>
      </c>
    </row>
    <row r="89" spans="2:5" x14ac:dyDescent="0.25">
      <c r="C89" t="str">
        <f>List!B9</f>
        <v>DSL</v>
      </c>
      <c r="D89" t="str">
        <f>List!C9</f>
        <v>Diesel</v>
      </c>
      <c r="E89" t="s">
        <v>253</v>
      </c>
    </row>
    <row r="90" spans="2:5" x14ac:dyDescent="0.25">
      <c r="C90" t="str">
        <f>List!B10</f>
        <v>GSL</v>
      </c>
      <c r="D90" t="str">
        <f>List!C10</f>
        <v>Gasoline</v>
      </c>
      <c r="E90" t="s">
        <v>253</v>
      </c>
    </row>
    <row r="91" spans="2:5" x14ac:dyDescent="0.25">
      <c r="C91" t="str">
        <f>List!B11</f>
        <v>PCK</v>
      </c>
      <c r="D91" t="str">
        <f>List!C11</f>
        <v>Petcoke</v>
      </c>
      <c r="E91" t="s">
        <v>253</v>
      </c>
    </row>
    <row r="92" spans="2:5" x14ac:dyDescent="0.25">
      <c r="C92" t="str">
        <f>List!B12</f>
        <v>COA</v>
      </c>
      <c r="D92" t="str">
        <f>List!C12</f>
        <v>Coal</v>
      </c>
      <c r="E92" t="s">
        <v>253</v>
      </c>
    </row>
    <row r="93" spans="2:5" x14ac:dyDescent="0.25">
      <c r="C93" t="str">
        <f>List!B13</f>
        <v>ETH</v>
      </c>
      <c r="D93" t="str">
        <f>List!C13</f>
        <v>Ethanol</v>
      </c>
      <c r="E93" t="s">
        <v>253</v>
      </c>
    </row>
    <row r="94" spans="2:5" x14ac:dyDescent="0.25">
      <c r="C94" t="str">
        <f>List!B14</f>
        <v>AGA</v>
      </c>
      <c r="D94" t="str">
        <f>List!C14</f>
        <v>Aviation gasoline</v>
      </c>
      <c r="E94" t="s">
        <v>253</v>
      </c>
    </row>
    <row r="95" spans="2:5" x14ac:dyDescent="0.25">
      <c r="C95" t="str">
        <f>List!B15</f>
        <v>ATF</v>
      </c>
      <c r="D95" t="str">
        <f>List!C15</f>
        <v>Aviation turbo-fuel</v>
      </c>
      <c r="E95" t="s">
        <v>253</v>
      </c>
    </row>
    <row r="96" spans="2:5" x14ac:dyDescent="0.25">
      <c r="C96" t="str">
        <f>List!B16</f>
        <v>SAF</v>
      </c>
      <c r="D96" t="str">
        <f>List!C16</f>
        <v>Sustainable aviation fuel</v>
      </c>
      <c r="E96" t="s">
        <v>253</v>
      </c>
    </row>
    <row r="97" spans="2:9" x14ac:dyDescent="0.25">
      <c r="C97" t="str">
        <f>List!B17</f>
        <v>RDS</v>
      </c>
      <c r="D97" t="str">
        <f>List!C17</f>
        <v>Renewable diesel</v>
      </c>
      <c r="E97" t="s">
        <v>253</v>
      </c>
    </row>
    <row r="98" spans="2:9" x14ac:dyDescent="0.25">
      <c r="C98" t="str">
        <f>List!B18</f>
        <v>BDS</v>
      </c>
      <c r="D98" t="str">
        <f>List!C18</f>
        <v>Bio diesel</v>
      </c>
      <c r="E98" t="s">
        <v>253</v>
      </c>
    </row>
    <row r="99" spans="2:9" x14ac:dyDescent="0.25">
      <c r="C99" t="str">
        <f>List!B19</f>
        <v>CNG</v>
      </c>
      <c r="D99" t="str">
        <f>List!C19</f>
        <v>Compressed Natural gas</v>
      </c>
      <c r="E99" t="s">
        <v>253</v>
      </c>
    </row>
    <row r="100" spans="2:9" x14ac:dyDescent="0.25">
      <c r="C100" t="str">
        <f>List!B20</f>
        <v>URN</v>
      </c>
      <c r="D100" t="str">
        <f>List!C20</f>
        <v>Uranium</v>
      </c>
      <c r="E100" t="s">
        <v>253</v>
      </c>
    </row>
    <row r="101" spans="2:9" x14ac:dyDescent="0.25">
      <c r="C101" t="str">
        <f>List!B21</f>
        <v>SOL</v>
      </c>
      <c r="D101" t="str">
        <f>List!C21</f>
        <v>Solar</v>
      </c>
      <c r="E101" t="s">
        <v>253</v>
      </c>
    </row>
    <row r="102" spans="2:9" x14ac:dyDescent="0.25">
      <c r="C102" t="str">
        <f>List!B22</f>
        <v>WND</v>
      </c>
      <c r="D102" t="str">
        <f>List!C22</f>
        <v>Wind</v>
      </c>
      <c r="E102" t="s">
        <v>253</v>
      </c>
    </row>
    <row r="103" spans="2:9" x14ac:dyDescent="0.25">
      <c r="C103" t="str">
        <f>List!B23</f>
        <v>BIO</v>
      </c>
      <c r="D103" t="str">
        <f>List!C23</f>
        <v>Biomass</v>
      </c>
      <c r="E103" t="s">
        <v>253</v>
      </c>
    </row>
    <row r="104" spans="2:9" x14ac:dyDescent="0.25">
      <c r="C104" t="str">
        <f>List!B24</f>
        <v>OTB</v>
      </c>
      <c r="D104" t="str">
        <f>List!C24</f>
        <v>Other bioenergy</v>
      </c>
      <c r="E104" t="s">
        <v>253</v>
      </c>
    </row>
    <row r="105" spans="2:9" x14ac:dyDescent="0.25">
      <c r="C105" t="str">
        <f>List!B25</f>
        <v>WAS</v>
      </c>
      <c r="D105" t="str">
        <f>List!C25</f>
        <v>Waste</v>
      </c>
      <c r="E105" t="s">
        <v>253</v>
      </c>
    </row>
    <row r="106" spans="2:9" x14ac:dyDescent="0.25">
      <c r="C106" t="str">
        <f>List!B26</f>
        <v>HET</v>
      </c>
      <c r="D106" t="str">
        <f>List!C26</f>
        <v>Waste heat</v>
      </c>
      <c r="E106" t="s">
        <v>253</v>
      </c>
    </row>
    <row r="107" spans="2:9" x14ac:dyDescent="0.25">
      <c r="C107" t="str">
        <f>List!B27</f>
        <v>STM</v>
      </c>
      <c r="D107" t="str">
        <f>List!C27</f>
        <v>Steam</v>
      </c>
      <c r="E107" t="s">
        <v>253</v>
      </c>
    </row>
    <row r="108" spans="2:9" x14ac:dyDescent="0.25">
      <c r="C108" t="str">
        <f>List!B28</f>
        <v>GEO</v>
      </c>
      <c r="D108" t="str">
        <f>List!C28</f>
        <v>Geothermal</v>
      </c>
      <c r="E108" t="s">
        <v>253</v>
      </c>
    </row>
    <row r="109" spans="2:9" x14ac:dyDescent="0.25">
      <c r="C109" t="str">
        <f>List!B29</f>
        <v>HYD</v>
      </c>
      <c r="D109" t="str">
        <f>List!C29</f>
        <v>Hydro</v>
      </c>
      <c r="E109" t="s">
        <v>253</v>
      </c>
    </row>
    <row r="110" spans="2:9" x14ac:dyDescent="0.25">
      <c r="B110" t="s">
        <v>257</v>
      </c>
    </row>
    <row r="111" spans="2:9" x14ac:dyDescent="0.25">
      <c r="B111" t="s">
        <v>275</v>
      </c>
      <c r="C111" t="str">
        <f>List!B30</f>
        <v>CELC</v>
      </c>
      <c r="D111" t="str">
        <f>List!C30</f>
        <v>Centralized Electricity</v>
      </c>
      <c r="E111" t="s">
        <v>253</v>
      </c>
      <c r="G111" t="s">
        <v>255</v>
      </c>
      <c r="H111" t="s">
        <v>276</v>
      </c>
      <c r="I111" t="s">
        <v>277</v>
      </c>
    </row>
    <row r="112" spans="2:9" x14ac:dyDescent="0.25">
      <c r="C112" t="str">
        <f>List!B31</f>
        <v>CH2G</v>
      </c>
      <c r="D112" t="str">
        <f>List!C31</f>
        <v>Centralized Hydrogen</v>
      </c>
      <c r="E112" t="s">
        <v>253</v>
      </c>
      <c r="G112" t="s">
        <v>255</v>
      </c>
      <c r="H112" t="s">
        <v>276</v>
      </c>
    </row>
    <row r="113" spans="2:5" x14ac:dyDescent="0.25">
      <c r="B113" t="s">
        <v>257</v>
      </c>
    </row>
    <row r="114" spans="2:5" x14ac:dyDescent="0.25">
      <c r="B114" t="s">
        <v>281</v>
      </c>
      <c r="C114" t="s">
        <v>282</v>
      </c>
      <c r="D114" t="s">
        <v>283</v>
      </c>
      <c r="E114" t="s">
        <v>284</v>
      </c>
    </row>
    <row r="115" spans="2:5" x14ac:dyDescent="0.25">
      <c r="C115" t="s">
        <v>285</v>
      </c>
      <c r="D115" t="s">
        <v>286</v>
      </c>
      <c r="E115" t="s">
        <v>284</v>
      </c>
    </row>
    <row r="116" spans="2:5" x14ac:dyDescent="0.25">
      <c r="C116" t="s">
        <v>287</v>
      </c>
      <c r="D116" t="s">
        <v>288</v>
      </c>
      <c r="E116" t="s">
        <v>284</v>
      </c>
    </row>
    <row r="117" spans="2:5" x14ac:dyDescent="0.25">
      <c r="C117" t="s">
        <v>289</v>
      </c>
      <c r="D117" t="s">
        <v>289</v>
      </c>
      <c r="E117" t="s">
        <v>284</v>
      </c>
    </row>
    <row r="118" spans="2:5" x14ac:dyDescent="0.25">
      <c r="C118" t="s">
        <v>290</v>
      </c>
      <c r="D118" t="s">
        <v>290</v>
      </c>
      <c r="E118" t="s">
        <v>284</v>
      </c>
    </row>
    <row r="119" spans="2:5" x14ac:dyDescent="0.25">
      <c r="C119" t="s">
        <v>291</v>
      </c>
      <c r="D119" t="s">
        <v>291</v>
      </c>
      <c r="E119" t="s">
        <v>284</v>
      </c>
    </row>
    <row r="120" spans="2:5" x14ac:dyDescent="0.25">
      <c r="C120" t="s">
        <v>292</v>
      </c>
      <c r="D120" t="s">
        <v>292</v>
      </c>
      <c r="E120" t="s">
        <v>284</v>
      </c>
    </row>
    <row r="121" spans="2:5" x14ac:dyDescent="0.25">
      <c r="C121" t="s">
        <v>293</v>
      </c>
      <c r="D121" t="s">
        <v>294</v>
      </c>
      <c r="E121" t="s">
        <v>284</v>
      </c>
    </row>
    <row r="122" spans="2:5" x14ac:dyDescent="0.25">
      <c r="C122" t="s">
        <v>295</v>
      </c>
      <c r="D122" t="s">
        <v>296</v>
      </c>
      <c r="E122" t="s">
        <v>284</v>
      </c>
    </row>
    <row r="123" spans="2:5" x14ac:dyDescent="0.25">
      <c r="C123" t="s">
        <v>297</v>
      </c>
      <c r="D123" t="s">
        <v>298</v>
      </c>
      <c r="E123" t="s">
        <v>284</v>
      </c>
    </row>
    <row r="124" spans="2:5" x14ac:dyDescent="0.25">
      <c r="C124" t="s">
        <v>299</v>
      </c>
      <c r="D124" t="s">
        <v>300</v>
      </c>
      <c r="E124" t="s">
        <v>284</v>
      </c>
    </row>
    <row r="125" spans="2:5" x14ac:dyDescent="0.25">
      <c r="C125" t="s">
        <v>301</v>
      </c>
      <c r="D125" t="s">
        <v>302</v>
      </c>
      <c r="E125" t="s">
        <v>284</v>
      </c>
    </row>
    <row r="126" spans="2:5" x14ac:dyDescent="0.25">
      <c r="C126" t="s">
        <v>303</v>
      </c>
      <c r="D126" t="s">
        <v>304</v>
      </c>
      <c r="E126" t="s">
        <v>284</v>
      </c>
    </row>
    <row r="127" spans="2:5" x14ac:dyDescent="0.25">
      <c r="C127" t="s">
        <v>305</v>
      </c>
      <c r="D127" t="s">
        <v>306</v>
      </c>
      <c r="E127" t="s">
        <v>284</v>
      </c>
    </row>
    <row r="128" spans="2:5" x14ac:dyDescent="0.25">
      <c r="C128" t="s">
        <v>307</v>
      </c>
      <c r="D128" t="s">
        <v>308</v>
      </c>
      <c r="E128" t="s">
        <v>284</v>
      </c>
    </row>
    <row r="129" spans="3:5" x14ac:dyDescent="0.25">
      <c r="C129" t="s">
        <v>309</v>
      </c>
      <c r="D129" t="s">
        <v>310</v>
      </c>
      <c r="E129" t="s">
        <v>284</v>
      </c>
    </row>
    <row r="130" spans="3:5" x14ac:dyDescent="0.25">
      <c r="C130" t="s">
        <v>311</v>
      </c>
      <c r="D130" t="s">
        <v>312</v>
      </c>
      <c r="E130" t="s">
        <v>284</v>
      </c>
    </row>
    <row r="131" spans="3:5" x14ac:dyDescent="0.25">
      <c r="C131" t="s">
        <v>313</v>
      </c>
      <c r="D131" t="s">
        <v>314</v>
      </c>
      <c r="E131" t="s">
        <v>284</v>
      </c>
    </row>
    <row r="132" spans="3:5" x14ac:dyDescent="0.25">
      <c r="C132" t="s">
        <v>315</v>
      </c>
      <c r="D132" t="s">
        <v>316</v>
      </c>
      <c r="E132" t="s">
        <v>284</v>
      </c>
    </row>
    <row r="133" spans="3:5" x14ac:dyDescent="0.25">
      <c r="C133" t="s">
        <v>317</v>
      </c>
      <c r="D133" t="s">
        <v>318</v>
      </c>
      <c r="E133" t="s">
        <v>284</v>
      </c>
    </row>
    <row r="134" spans="3:5" x14ac:dyDescent="0.25">
      <c r="C134" t="s">
        <v>319</v>
      </c>
      <c r="D134" t="s">
        <v>320</v>
      </c>
      <c r="E134" t="s">
        <v>284</v>
      </c>
    </row>
    <row r="135" spans="3:5" x14ac:dyDescent="0.25">
      <c r="C135" t="s">
        <v>321</v>
      </c>
      <c r="D135" t="s">
        <v>322</v>
      </c>
      <c r="E135" t="s">
        <v>284</v>
      </c>
    </row>
    <row r="136" spans="3:5" x14ac:dyDescent="0.25">
      <c r="C136" t="s">
        <v>323</v>
      </c>
      <c r="D136" t="s">
        <v>324</v>
      </c>
      <c r="E136" t="s">
        <v>284</v>
      </c>
    </row>
    <row r="137" spans="3:5" x14ac:dyDescent="0.25">
      <c r="C137" t="s">
        <v>325</v>
      </c>
      <c r="D137" t="s">
        <v>326</v>
      </c>
      <c r="E137" t="s">
        <v>284</v>
      </c>
    </row>
    <row r="138" spans="3:5" x14ac:dyDescent="0.25">
      <c r="C138" t="s">
        <v>327</v>
      </c>
      <c r="D138" t="s">
        <v>328</v>
      </c>
      <c r="E138" t="s">
        <v>284</v>
      </c>
    </row>
    <row r="139" spans="3:5" x14ac:dyDescent="0.25">
      <c r="C139" t="s">
        <v>329</v>
      </c>
      <c r="D139" t="s">
        <v>330</v>
      </c>
      <c r="E139" t="s">
        <v>284</v>
      </c>
    </row>
    <row r="140" spans="3:5" x14ac:dyDescent="0.25">
      <c r="C140" t="s">
        <v>331</v>
      </c>
      <c r="D140" t="s">
        <v>332</v>
      </c>
      <c r="E140" t="s">
        <v>284</v>
      </c>
    </row>
    <row r="141" spans="3:5" x14ac:dyDescent="0.25">
      <c r="C141" t="s">
        <v>333</v>
      </c>
      <c r="D141" t="s">
        <v>334</v>
      </c>
      <c r="E141" t="s">
        <v>284</v>
      </c>
    </row>
    <row r="142" spans="3:5" x14ac:dyDescent="0.25">
      <c r="C142" t="s">
        <v>335</v>
      </c>
      <c r="D142" t="s">
        <v>336</v>
      </c>
      <c r="E142" t="s">
        <v>284</v>
      </c>
    </row>
    <row r="143" spans="3:5" x14ac:dyDescent="0.25">
      <c r="C143" t="s">
        <v>337</v>
      </c>
      <c r="D143" t="s">
        <v>338</v>
      </c>
      <c r="E143" t="s">
        <v>284</v>
      </c>
    </row>
    <row r="144" spans="3:5" x14ac:dyDescent="0.25">
      <c r="C144" t="s">
        <v>339</v>
      </c>
      <c r="D144" t="s">
        <v>340</v>
      </c>
      <c r="E144" t="s">
        <v>284</v>
      </c>
    </row>
    <row r="145" spans="3:5" x14ac:dyDescent="0.25">
      <c r="C145" t="s">
        <v>341</v>
      </c>
      <c r="D145" t="s">
        <v>342</v>
      </c>
      <c r="E145" t="s">
        <v>284</v>
      </c>
    </row>
    <row r="146" spans="3:5" x14ac:dyDescent="0.25">
      <c r="C146" t="s">
        <v>343</v>
      </c>
      <c r="D146" t="s">
        <v>344</v>
      </c>
      <c r="E146" t="s">
        <v>284</v>
      </c>
    </row>
    <row r="147" spans="3:5" x14ac:dyDescent="0.25">
      <c r="C147" t="s">
        <v>345</v>
      </c>
      <c r="D147" t="s">
        <v>346</v>
      </c>
      <c r="E147" t="s">
        <v>284</v>
      </c>
    </row>
    <row r="148" spans="3:5" x14ac:dyDescent="0.25">
      <c r="C148" t="s">
        <v>347</v>
      </c>
      <c r="D148" t="s">
        <v>348</v>
      </c>
      <c r="E148" t="s">
        <v>284</v>
      </c>
    </row>
    <row r="149" spans="3:5" x14ac:dyDescent="0.25">
      <c r="C149" t="s">
        <v>349</v>
      </c>
      <c r="D149" t="s">
        <v>350</v>
      </c>
      <c r="E149" t="s">
        <v>284</v>
      </c>
    </row>
    <row r="150" spans="3:5" x14ac:dyDescent="0.25">
      <c r="C150" t="s">
        <v>351</v>
      </c>
      <c r="D150" t="s">
        <v>352</v>
      </c>
      <c r="E150" t="s">
        <v>284</v>
      </c>
    </row>
    <row r="151" spans="3:5" x14ac:dyDescent="0.25">
      <c r="C151" t="s">
        <v>353</v>
      </c>
      <c r="D151" t="s">
        <v>354</v>
      </c>
      <c r="E151" t="s">
        <v>284</v>
      </c>
    </row>
    <row r="152" spans="3:5" x14ac:dyDescent="0.25">
      <c r="C152" t="s">
        <v>355</v>
      </c>
      <c r="D152" t="s">
        <v>356</v>
      </c>
      <c r="E152" t="s">
        <v>284</v>
      </c>
    </row>
    <row r="153" spans="3:5" x14ac:dyDescent="0.25">
      <c r="C153" t="s">
        <v>357</v>
      </c>
      <c r="D153" t="s">
        <v>358</v>
      </c>
      <c r="E153" t="s">
        <v>284</v>
      </c>
    </row>
    <row r="154" spans="3:5" x14ac:dyDescent="0.25">
      <c r="C154" t="s">
        <v>359</v>
      </c>
      <c r="D154" t="s">
        <v>360</v>
      </c>
      <c r="E154" t="s">
        <v>284</v>
      </c>
    </row>
    <row r="155" spans="3:5" x14ac:dyDescent="0.25">
      <c r="C155" t="s">
        <v>361</v>
      </c>
      <c r="D155" t="s">
        <v>362</v>
      </c>
      <c r="E155" t="s">
        <v>284</v>
      </c>
    </row>
    <row r="156" spans="3:5" x14ac:dyDescent="0.25">
      <c r="C156" t="s">
        <v>363</v>
      </c>
      <c r="D156" t="s">
        <v>364</v>
      </c>
      <c r="E156" t="s">
        <v>284</v>
      </c>
    </row>
    <row r="157" spans="3:5" x14ac:dyDescent="0.25">
      <c r="C157" t="s">
        <v>365</v>
      </c>
      <c r="D157" t="s">
        <v>366</v>
      </c>
      <c r="E157" t="s">
        <v>284</v>
      </c>
    </row>
    <row r="158" spans="3:5" x14ac:dyDescent="0.25">
      <c r="C158" t="s">
        <v>367</v>
      </c>
      <c r="D158" t="s">
        <v>368</v>
      </c>
      <c r="E158" t="s">
        <v>284</v>
      </c>
    </row>
    <row r="159" spans="3:5" x14ac:dyDescent="0.25">
      <c r="C159" t="s">
        <v>369</v>
      </c>
      <c r="D159" t="s">
        <v>370</v>
      </c>
      <c r="E159" t="s">
        <v>284</v>
      </c>
    </row>
    <row r="160" spans="3:5" x14ac:dyDescent="0.25">
      <c r="C160" t="s">
        <v>371</v>
      </c>
      <c r="D160" t="s">
        <v>372</v>
      </c>
      <c r="E160" t="s">
        <v>284</v>
      </c>
    </row>
    <row r="161" spans="3:5" x14ac:dyDescent="0.25">
      <c r="C161" t="s">
        <v>373</v>
      </c>
      <c r="D161" t="s">
        <v>374</v>
      </c>
      <c r="E161" t="s">
        <v>284</v>
      </c>
    </row>
    <row r="162" spans="3:5" x14ac:dyDescent="0.25">
      <c r="C162" t="s">
        <v>375</v>
      </c>
      <c r="D162" t="s">
        <v>376</v>
      </c>
      <c r="E162" t="s">
        <v>284</v>
      </c>
    </row>
    <row r="163" spans="3:5" x14ac:dyDescent="0.25">
      <c r="C163" t="s">
        <v>377</v>
      </c>
      <c r="D163" t="s">
        <v>378</v>
      </c>
      <c r="E163" t="s">
        <v>284</v>
      </c>
    </row>
    <row r="164" spans="3:5" x14ac:dyDescent="0.25">
      <c r="C164" t="s">
        <v>379</v>
      </c>
      <c r="D164" t="s">
        <v>380</v>
      </c>
      <c r="E164" t="s">
        <v>284</v>
      </c>
    </row>
    <row r="165" spans="3:5" x14ac:dyDescent="0.25">
      <c r="C165" t="s">
        <v>381</v>
      </c>
      <c r="D165" t="s">
        <v>382</v>
      </c>
      <c r="E165" t="s">
        <v>284</v>
      </c>
    </row>
    <row r="166" spans="3:5" x14ac:dyDescent="0.25">
      <c r="C166" t="s">
        <v>383</v>
      </c>
      <c r="D166" t="s">
        <v>384</v>
      </c>
      <c r="E166" t="s">
        <v>284</v>
      </c>
    </row>
    <row r="167" spans="3:5" x14ac:dyDescent="0.25">
      <c r="C167" t="s">
        <v>385</v>
      </c>
      <c r="D167" t="s">
        <v>386</v>
      </c>
      <c r="E167" t="s">
        <v>284</v>
      </c>
    </row>
    <row r="168" spans="3:5" x14ac:dyDescent="0.25">
      <c r="C168" t="s">
        <v>387</v>
      </c>
      <c r="D168" t="s">
        <v>388</v>
      </c>
      <c r="E168" t="s">
        <v>284</v>
      </c>
    </row>
    <row r="169" spans="3:5" x14ac:dyDescent="0.25">
      <c r="C169" t="s">
        <v>389</v>
      </c>
      <c r="D169" t="s">
        <v>390</v>
      </c>
      <c r="E169" t="s">
        <v>284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B2:G31"/>
  <sheetViews>
    <sheetView workbookViewId="0">
      <selection activeCell="D27" sqref="D27"/>
    </sheetView>
  </sheetViews>
  <sheetFormatPr defaultRowHeight="15" x14ac:dyDescent="0.25"/>
  <cols>
    <col min="2" max="2" width="10.7109375" bestFit="1" customWidth="1"/>
  </cols>
  <sheetData>
    <row r="2" spans="2:7" x14ac:dyDescent="0.25">
      <c r="D2" s="3" t="s">
        <v>391</v>
      </c>
      <c r="E2" s="3"/>
    </row>
    <row r="3" spans="2:7" x14ac:dyDescent="0.25">
      <c r="B3" s="1" t="s">
        <v>236</v>
      </c>
      <c r="C3" s="1" t="s">
        <v>392</v>
      </c>
      <c r="D3" s="1" t="s">
        <v>393</v>
      </c>
      <c r="E3" s="1" t="s">
        <v>394</v>
      </c>
      <c r="F3" s="1" t="s">
        <v>252</v>
      </c>
      <c r="G3" s="1" t="s">
        <v>395</v>
      </c>
    </row>
    <row r="4" spans="2:7" ht="15" customHeight="1" thickBot="1" x14ac:dyDescent="0.3">
      <c r="B4" s="2" t="s">
        <v>257</v>
      </c>
      <c r="C4" s="2"/>
      <c r="D4" s="2"/>
      <c r="E4" s="2"/>
      <c r="F4" s="2"/>
      <c r="G4" s="2"/>
    </row>
    <row r="5" spans="2:7" x14ac:dyDescent="0.25">
      <c r="B5" t="str">
        <f>Def_Tech!D97</f>
        <v>IMPLPG19</v>
      </c>
      <c r="D5" t="str">
        <f>Def_Comm!C84</f>
        <v>LPG</v>
      </c>
      <c r="E5" t="s">
        <v>396</v>
      </c>
      <c r="F5">
        <f>1</f>
        <v>1</v>
      </c>
      <c r="G5">
        <f>1</f>
        <v>1</v>
      </c>
    </row>
    <row r="6" spans="2:7" x14ac:dyDescent="0.25">
      <c r="B6" t="str">
        <f>Def_Tech!D98</f>
        <v>IMPFOI19</v>
      </c>
      <c r="D6" t="str">
        <f>Def_Comm!C85</f>
        <v>FOI</v>
      </c>
      <c r="E6" t="s">
        <v>396</v>
      </c>
      <c r="F6">
        <f>1</f>
        <v>1</v>
      </c>
      <c r="G6">
        <f>1</f>
        <v>1</v>
      </c>
    </row>
    <row r="7" spans="2:7" x14ac:dyDescent="0.25">
      <c r="B7" t="str">
        <f>Def_Tech!D99</f>
        <v>IMPKER19</v>
      </c>
      <c r="D7" t="str">
        <f>Def_Comm!C86</f>
        <v>KER</v>
      </c>
      <c r="E7" t="s">
        <v>396</v>
      </c>
      <c r="F7">
        <f>1</f>
        <v>1</v>
      </c>
      <c r="G7">
        <f>1</f>
        <v>1</v>
      </c>
    </row>
    <row r="8" spans="2:7" x14ac:dyDescent="0.25">
      <c r="B8" t="str">
        <f>Def_Tech!D100</f>
        <v>IMPNGA19</v>
      </c>
      <c r="D8" t="str">
        <f>Def_Comm!C87</f>
        <v>NGA</v>
      </c>
      <c r="E8" t="s">
        <v>396</v>
      </c>
      <c r="F8">
        <f>1</f>
        <v>1</v>
      </c>
      <c r="G8">
        <f>1</f>
        <v>1</v>
      </c>
    </row>
    <row r="9" spans="2:7" x14ac:dyDescent="0.25">
      <c r="B9" t="str">
        <f>Def_Tech!D101</f>
        <v>IMPRNG19</v>
      </c>
      <c r="D9" t="str">
        <f>Def_Comm!C88</f>
        <v>RNG</v>
      </c>
      <c r="E9" t="s">
        <v>396</v>
      </c>
      <c r="F9">
        <f>1</f>
        <v>1</v>
      </c>
      <c r="G9">
        <f>1</f>
        <v>1</v>
      </c>
    </row>
    <row r="10" spans="2:7" x14ac:dyDescent="0.25">
      <c r="B10" t="str">
        <f>Def_Tech!D102</f>
        <v>IMPDSL19</v>
      </c>
      <c r="D10" t="str">
        <f>Def_Comm!C89</f>
        <v>DSL</v>
      </c>
      <c r="E10" t="s">
        <v>396</v>
      </c>
      <c r="F10">
        <f>1</f>
        <v>1</v>
      </c>
      <c r="G10">
        <f>1</f>
        <v>1</v>
      </c>
    </row>
    <row r="11" spans="2:7" x14ac:dyDescent="0.25">
      <c r="B11" t="str">
        <f>Def_Tech!D103</f>
        <v>IMPGSL19</v>
      </c>
      <c r="D11" t="str">
        <f>Def_Comm!C90</f>
        <v>GSL</v>
      </c>
      <c r="E11" t="s">
        <v>396</v>
      </c>
      <c r="F11">
        <f>1</f>
        <v>1</v>
      </c>
      <c r="G11">
        <f>1</f>
        <v>1</v>
      </c>
    </row>
    <row r="12" spans="2:7" x14ac:dyDescent="0.25">
      <c r="B12" t="str">
        <f>Def_Tech!D104</f>
        <v>IMPPCK19</v>
      </c>
      <c r="D12" t="str">
        <f>Def_Comm!C91</f>
        <v>PCK</v>
      </c>
      <c r="E12" t="s">
        <v>396</v>
      </c>
      <c r="F12">
        <f>1</f>
        <v>1</v>
      </c>
      <c r="G12">
        <f>1</f>
        <v>1</v>
      </c>
    </row>
    <row r="13" spans="2:7" x14ac:dyDescent="0.25">
      <c r="B13" t="str">
        <f>Def_Tech!D105</f>
        <v>IMPCOA19</v>
      </c>
      <c r="D13" t="str">
        <f>Def_Comm!C92</f>
        <v>COA</v>
      </c>
      <c r="E13" t="s">
        <v>396</v>
      </c>
      <c r="F13">
        <f>1</f>
        <v>1</v>
      </c>
      <c r="G13">
        <f>1</f>
        <v>1</v>
      </c>
    </row>
    <row r="14" spans="2:7" x14ac:dyDescent="0.25">
      <c r="B14" t="str">
        <f>Def_Tech!D106</f>
        <v>IMPETH19</v>
      </c>
      <c r="D14" t="str">
        <f>Def_Comm!C93</f>
        <v>ETH</v>
      </c>
      <c r="E14" t="s">
        <v>396</v>
      </c>
      <c r="F14">
        <f>1</f>
        <v>1</v>
      </c>
      <c r="G14">
        <f>1</f>
        <v>1</v>
      </c>
    </row>
    <row r="15" spans="2:7" x14ac:dyDescent="0.25">
      <c r="B15" t="str">
        <f>Def_Tech!D107</f>
        <v>IMPAGA19</v>
      </c>
      <c r="D15" t="str">
        <f>Def_Comm!C94</f>
        <v>AGA</v>
      </c>
      <c r="E15" t="s">
        <v>396</v>
      </c>
      <c r="F15">
        <f>1</f>
        <v>1</v>
      </c>
      <c r="G15">
        <f>1</f>
        <v>1</v>
      </c>
    </row>
    <row r="16" spans="2:7" x14ac:dyDescent="0.25">
      <c r="B16" t="str">
        <f>Def_Tech!D108</f>
        <v>IMPATF19</v>
      </c>
      <c r="D16" t="str">
        <f>Def_Comm!C95</f>
        <v>ATF</v>
      </c>
      <c r="E16" t="s">
        <v>396</v>
      </c>
      <c r="F16">
        <f>1</f>
        <v>1</v>
      </c>
      <c r="G16">
        <f>1</f>
        <v>1</v>
      </c>
    </row>
    <row r="17" spans="2:7" x14ac:dyDescent="0.25">
      <c r="B17" t="str">
        <f>Def_Tech!D109</f>
        <v>IMPSAF19</v>
      </c>
      <c r="D17" t="str">
        <f>Def_Comm!C96</f>
        <v>SAF</v>
      </c>
      <c r="E17" t="s">
        <v>396</v>
      </c>
      <c r="F17">
        <f>1</f>
        <v>1</v>
      </c>
      <c r="G17">
        <f>1</f>
        <v>1</v>
      </c>
    </row>
    <row r="18" spans="2:7" x14ac:dyDescent="0.25">
      <c r="B18" t="str">
        <f>Def_Tech!D110</f>
        <v>IMPRDS19</v>
      </c>
      <c r="D18" t="str">
        <f>Def_Comm!C97</f>
        <v>RDS</v>
      </c>
      <c r="E18" t="s">
        <v>396</v>
      </c>
      <c r="F18">
        <f>1</f>
        <v>1</v>
      </c>
      <c r="G18">
        <f>1</f>
        <v>1</v>
      </c>
    </row>
    <row r="19" spans="2:7" x14ac:dyDescent="0.25">
      <c r="B19" t="str">
        <f>Def_Tech!D111</f>
        <v>IMPBDS19</v>
      </c>
      <c r="D19" t="str">
        <f>Def_Comm!C98</f>
        <v>BDS</v>
      </c>
      <c r="E19" t="s">
        <v>396</v>
      </c>
      <c r="F19">
        <f>1</f>
        <v>1</v>
      </c>
      <c r="G19">
        <f>1</f>
        <v>1</v>
      </c>
    </row>
    <row r="20" spans="2:7" x14ac:dyDescent="0.25">
      <c r="B20" t="str">
        <f>Def_Tech!D112</f>
        <v>IMPCNG19</v>
      </c>
      <c r="D20" t="str">
        <f>Def_Comm!C99</f>
        <v>CNG</v>
      </c>
      <c r="E20" t="s">
        <v>396</v>
      </c>
      <c r="F20">
        <f>1</f>
        <v>1</v>
      </c>
      <c r="G20">
        <f>1</f>
        <v>1</v>
      </c>
    </row>
    <row r="21" spans="2:7" x14ac:dyDescent="0.25">
      <c r="B21" t="str">
        <f>Def_Tech!D113</f>
        <v>IMPURN19</v>
      </c>
      <c r="D21" t="str">
        <f>Def_Comm!C100</f>
        <v>URN</v>
      </c>
      <c r="E21" t="s">
        <v>396</v>
      </c>
      <c r="F21">
        <f>1</f>
        <v>1</v>
      </c>
      <c r="G21">
        <f>1</f>
        <v>1</v>
      </c>
    </row>
    <row r="22" spans="2:7" x14ac:dyDescent="0.25">
      <c r="B22" t="str">
        <f>Def_Tech!D114</f>
        <v>IMPSOL19</v>
      </c>
      <c r="D22" t="str">
        <f>Def_Comm!C101</f>
        <v>SOL</v>
      </c>
      <c r="E22" t="s">
        <v>396</v>
      </c>
      <c r="F22">
        <f>1</f>
        <v>1</v>
      </c>
      <c r="G22">
        <f>1</f>
        <v>1</v>
      </c>
    </row>
    <row r="23" spans="2:7" x14ac:dyDescent="0.25">
      <c r="B23" t="str">
        <f>Def_Tech!D115</f>
        <v>IMPWND19</v>
      </c>
      <c r="D23" t="str">
        <f>Def_Comm!C102</f>
        <v>WND</v>
      </c>
      <c r="E23" t="s">
        <v>396</v>
      </c>
      <c r="F23">
        <f>1</f>
        <v>1</v>
      </c>
      <c r="G23">
        <f>1</f>
        <v>1</v>
      </c>
    </row>
    <row r="24" spans="2:7" x14ac:dyDescent="0.25">
      <c r="B24" t="str">
        <f>Def_Tech!D116</f>
        <v>IMPBIO19</v>
      </c>
      <c r="D24" t="str">
        <f>Def_Comm!C103</f>
        <v>BIO</v>
      </c>
      <c r="E24" t="s">
        <v>396</v>
      </c>
      <c r="F24">
        <f>1</f>
        <v>1</v>
      </c>
      <c r="G24">
        <f>1</f>
        <v>1</v>
      </c>
    </row>
    <row r="25" spans="2:7" x14ac:dyDescent="0.25">
      <c r="B25" t="str">
        <f>Def_Tech!D117</f>
        <v>IMPOTB19</v>
      </c>
      <c r="D25" t="str">
        <f>Def_Comm!C104</f>
        <v>OTB</v>
      </c>
      <c r="E25" t="s">
        <v>396</v>
      </c>
      <c r="F25">
        <f>1</f>
        <v>1</v>
      </c>
      <c r="G25">
        <f>1</f>
        <v>1</v>
      </c>
    </row>
    <row r="26" spans="2:7" x14ac:dyDescent="0.25">
      <c r="B26" t="str">
        <f>Def_Tech!D118</f>
        <v>IMPWAS19</v>
      </c>
      <c r="D26" t="str">
        <f>Def_Comm!C105</f>
        <v>WAS</v>
      </c>
      <c r="E26" t="s">
        <v>396</v>
      </c>
      <c r="F26">
        <f>1</f>
        <v>1</v>
      </c>
      <c r="G26">
        <f>1</f>
        <v>1</v>
      </c>
    </row>
    <row r="27" spans="2:7" x14ac:dyDescent="0.25">
      <c r="B27" t="str">
        <f>Def_Tech!D119</f>
        <v>IMPHET19</v>
      </c>
      <c r="D27" t="str">
        <f>Def_Comm!C106</f>
        <v>HET</v>
      </c>
      <c r="E27" t="s">
        <v>396</v>
      </c>
      <c r="F27">
        <f>1</f>
        <v>1</v>
      </c>
      <c r="G27">
        <f>1</f>
        <v>1</v>
      </c>
    </row>
    <row r="28" spans="2:7" x14ac:dyDescent="0.25">
      <c r="B28" t="str">
        <f>Def_Tech!D120</f>
        <v>IMPSTM19</v>
      </c>
      <c r="D28" t="str">
        <f>Def_Comm!C107</f>
        <v>STM</v>
      </c>
      <c r="E28" t="s">
        <v>396</v>
      </c>
      <c r="F28">
        <f>1</f>
        <v>1</v>
      </c>
      <c r="G28">
        <f>1</f>
        <v>1</v>
      </c>
    </row>
    <row r="29" spans="2:7" x14ac:dyDescent="0.25">
      <c r="B29" t="str">
        <f>Def_Tech!D121</f>
        <v>IMPGEO19</v>
      </c>
      <c r="D29" t="str">
        <f>Def_Comm!C108</f>
        <v>GEO</v>
      </c>
      <c r="E29" t="s">
        <v>396</v>
      </c>
      <c r="F29">
        <f>1</f>
        <v>1</v>
      </c>
      <c r="G29">
        <f>1</f>
        <v>1</v>
      </c>
    </row>
    <row r="30" spans="2:7" x14ac:dyDescent="0.25">
      <c r="B30" t="str">
        <f>Def_Tech!D122</f>
        <v>IMPHYD19</v>
      </c>
      <c r="D30" t="str">
        <f>Def_Comm!C109</f>
        <v>HYD</v>
      </c>
      <c r="E30" t="s">
        <v>396</v>
      </c>
      <c r="F30">
        <f>1</f>
        <v>1</v>
      </c>
      <c r="G30">
        <f>1</f>
        <v>1</v>
      </c>
    </row>
    <row r="31" spans="2:7" x14ac:dyDescent="0.25">
      <c r="B31" t="str">
        <f>Def_Tech!D124</f>
        <v>IMPH2G19</v>
      </c>
      <c r="D31" t="str">
        <f>Def_Comm!C112</f>
        <v>CH2G</v>
      </c>
      <c r="E31" t="s">
        <v>396</v>
      </c>
      <c r="F31">
        <f>1</f>
        <v>1</v>
      </c>
      <c r="G31">
        <f>1</f>
        <v>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B1:AG105"/>
  <sheetViews>
    <sheetView topLeftCell="A10" zoomScale="85" zoomScaleNormal="85" workbookViewId="0">
      <selection activeCell="A40" sqref="A40:XFD40"/>
    </sheetView>
  </sheetViews>
  <sheetFormatPr defaultRowHeight="15" x14ac:dyDescent="0.25"/>
  <cols>
    <col min="2" max="2" width="11.85546875" bestFit="1" customWidth="1"/>
    <col min="3" max="3" width="9.7109375" bestFit="1" customWidth="1"/>
    <col min="4" max="4" width="11.7109375" bestFit="1" customWidth="1"/>
    <col min="6" max="6" width="5.85546875" bestFit="1" customWidth="1"/>
    <col min="7" max="9" width="5.85546875" customWidth="1"/>
    <col min="10" max="10" width="11.85546875" bestFit="1" customWidth="1"/>
    <col min="11" max="11" width="13.5703125" bestFit="1" customWidth="1"/>
    <col min="12" max="33" width="12.42578125" customWidth="1"/>
  </cols>
  <sheetData>
    <row r="1" spans="2:33" x14ac:dyDescent="0.25">
      <c r="L1">
        <f>'ENE TECH'!H2</f>
        <v>2019</v>
      </c>
      <c r="M1">
        <f>'ENE TECH'!I2</f>
        <v>2020</v>
      </c>
      <c r="N1">
        <f>'ENE TECH'!J2</f>
        <v>2021</v>
      </c>
      <c r="O1">
        <f>'ENE TECH'!K2</f>
        <v>2022</v>
      </c>
      <c r="P1">
        <f>'ENE TECH'!L2</f>
        <v>2023</v>
      </c>
      <c r="Q1">
        <f>'ENE TECH'!M2</f>
        <v>2024</v>
      </c>
      <c r="R1">
        <f>'ENE TECH'!N2</f>
        <v>2025</v>
      </c>
      <c r="S1">
        <f>'ENE TECH'!O2</f>
        <v>2030</v>
      </c>
      <c r="T1">
        <f>'ENE TECH'!P2</f>
        <v>2035</v>
      </c>
      <c r="U1">
        <f>'ENE TECH'!Q2</f>
        <v>2040</v>
      </c>
      <c r="V1">
        <f>'ENE TECH'!R2</f>
        <v>2045</v>
      </c>
      <c r="W1">
        <f>'ENE TECH'!S2</f>
        <v>2050</v>
      </c>
      <c r="X1">
        <f>'ENE TECH'!T2</f>
        <v>2055</v>
      </c>
      <c r="Y1">
        <f>'ENE TECH'!U2</f>
        <v>2060</v>
      </c>
      <c r="Z1">
        <f>'ENE TECH'!V2</f>
        <v>2065</v>
      </c>
      <c r="AA1">
        <f>'ENE TECH'!W2</f>
        <v>2070</v>
      </c>
      <c r="AB1">
        <f>'ENE TECH'!X2</f>
        <v>2075</v>
      </c>
      <c r="AC1">
        <f>'ENE TECH'!Y2</f>
        <v>2080</v>
      </c>
      <c r="AD1">
        <f>'ENE TECH'!Z2</f>
        <v>2085</v>
      </c>
      <c r="AE1">
        <f>'ENE TECH'!AA2</f>
        <v>2090</v>
      </c>
      <c r="AF1">
        <f>'ENE TECH'!AB2</f>
        <v>2095</v>
      </c>
      <c r="AG1">
        <f>'ENE TECH'!AC2</f>
        <v>2100</v>
      </c>
    </row>
    <row r="2" spans="2:33" x14ac:dyDescent="0.25">
      <c r="L2" t="s">
        <v>397</v>
      </c>
      <c r="M2" t="s">
        <v>397</v>
      </c>
      <c r="N2" t="s">
        <v>397</v>
      </c>
      <c r="O2" t="s">
        <v>397</v>
      </c>
      <c r="P2" t="s">
        <v>397</v>
      </c>
      <c r="Q2" t="s">
        <v>397</v>
      </c>
      <c r="R2" t="s">
        <v>397</v>
      </c>
      <c r="S2" t="s">
        <v>397</v>
      </c>
      <c r="T2" t="s">
        <v>397</v>
      </c>
      <c r="U2" t="s">
        <v>397</v>
      </c>
      <c r="V2" t="s">
        <v>397</v>
      </c>
      <c r="W2" t="s">
        <v>397</v>
      </c>
      <c r="X2" t="s">
        <v>397</v>
      </c>
      <c r="Y2" t="s">
        <v>397</v>
      </c>
      <c r="Z2" t="s">
        <v>397</v>
      </c>
      <c r="AA2" t="s">
        <v>397</v>
      </c>
      <c r="AB2" t="s">
        <v>397</v>
      </c>
      <c r="AC2" t="s">
        <v>397</v>
      </c>
      <c r="AD2" t="s">
        <v>397</v>
      </c>
      <c r="AE2" t="s">
        <v>397</v>
      </c>
      <c r="AF2" t="s">
        <v>397</v>
      </c>
      <c r="AG2" t="s">
        <v>397</v>
      </c>
    </row>
    <row r="4" spans="2:33" x14ac:dyDescent="0.25">
      <c r="D4" s="3" t="s">
        <v>391</v>
      </c>
      <c r="E4" s="3"/>
      <c r="L4" s="3" t="s">
        <v>391</v>
      </c>
    </row>
    <row r="5" spans="2:33" x14ac:dyDescent="0.25">
      <c r="B5" s="1" t="s">
        <v>236</v>
      </c>
      <c r="C5" s="1" t="s">
        <v>392</v>
      </c>
      <c r="D5" s="1" t="s">
        <v>393</v>
      </c>
      <c r="E5" s="1" t="s">
        <v>394</v>
      </c>
      <c r="F5" s="1" t="s">
        <v>252</v>
      </c>
      <c r="G5" s="1" t="s">
        <v>395</v>
      </c>
      <c r="J5" s="1" t="s">
        <v>236</v>
      </c>
      <c r="K5" s="1" t="s">
        <v>398</v>
      </c>
      <c r="L5" s="1" t="str">
        <f t="shared" ref="L5:AG5" si="0">L2&amp;"~"&amp;L1</f>
        <v>ACT_COST~2019</v>
      </c>
      <c r="M5" s="1" t="str">
        <f t="shared" si="0"/>
        <v>ACT_COST~2020</v>
      </c>
      <c r="N5" s="1" t="str">
        <f t="shared" si="0"/>
        <v>ACT_COST~2021</v>
      </c>
      <c r="O5" s="1" t="str">
        <f t="shared" si="0"/>
        <v>ACT_COST~2022</v>
      </c>
      <c r="P5" s="1" t="str">
        <f t="shared" si="0"/>
        <v>ACT_COST~2023</v>
      </c>
      <c r="Q5" s="1" t="str">
        <f t="shared" si="0"/>
        <v>ACT_COST~2024</v>
      </c>
      <c r="R5" s="1" t="str">
        <f t="shared" si="0"/>
        <v>ACT_COST~2025</v>
      </c>
      <c r="S5" s="1" t="str">
        <f t="shared" si="0"/>
        <v>ACT_COST~2030</v>
      </c>
      <c r="T5" s="1" t="str">
        <f t="shared" si="0"/>
        <v>ACT_COST~2035</v>
      </c>
      <c r="U5" s="1" t="str">
        <f t="shared" si="0"/>
        <v>ACT_COST~2040</v>
      </c>
      <c r="V5" s="1" t="str">
        <f t="shared" si="0"/>
        <v>ACT_COST~2045</v>
      </c>
      <c r="W5" s="1" t="str">
        <f t="shared" si="0"/>
        <v>ACT_COST~2050</v>
      </c>
      <c r="X5" s="1" t="str">
        <f t="shared" si="0"/>
        <v>ACT_COST~2055</v>
      </c>
      <c r="Y5" s="1" t="str">
        <f t="shared" si="0"/>
        <v>ACT_COST~2060</v>
      </c>
      <c r="Z5" s="1" t="str">
        <f t="shared" si="0"/>
        <v>ACT_COST~2065</v>
      </c>
      <c r="AA5" s="1" t="str">
        <f t="shared" si="0"/>
        <v>ACT_COST~2070</v>
      </c>
      <c r="AB5" s="1" t="str">
        <f t="shared" si="0"/>
        <v>ACT_COST~2075</v>
      </c>
      <c r="AC5" s="1" t="str">
        <f t="shared" si="0"/>
        <v>ACT_COST~2080</v>
      </c>
      <c r="AD5" s="1" t="str">
        <f t="shared" si="0"/>
        <v>ACT_COST~2085</v>
      </c>
      <c r="AE5" s="1" t="str">
        <f t="shared" si="0"/>
        <v>ACT_COST~2090</v>
      </c>
      <c r="AF5" s="1" t="str">
        <f t="shared" si="0"/>
        <v>ACT_COST~2095</v>
      </c>
      <c r="AG5" s="1" t="str">
        <f t="shared" si="0"/>
        <v>ACT_COST~2100</v>
      </c>
    </row>
    <row r="6" spans="2:33" ht="15" customHeight="1" thickBot="1" x14ac:dyDescent="0.3">
      <c r="B6" s="2"/>
      <c r="C6" s="2"/>
      <c r="D6" s="2"/>
      <c r="E6" s="2"/>
      <c r="F6" s="2" t="s">
        <v>399</v>
      </c>
      <c r="G6" s="2" t="s">
        <v>399</v>
      </c>
      <c r="J6" s="2"/>
      <c r="K6" s="2" t="s">
        <v>400</v>
      </c>
      <c r="L6" s="2" t="s">
        <v>401</v>
      </c>
      <c r="M6" s="2" t="s">
        <v>401</v>
      </c>
      <c r="N6" s="2" t="s">
        <v>401</v>
      </c>
      <c r="O6" s="2" t="s">
        <v>401</v>
      </c>
      <c r="P6" s="2" t="s">
        <v>401</v>
      </c>
      <c r="Q6" s="2" t="s">
        <v>401</v>
      </c>
      <c r="R6" s="2" t="s">
        <v>401</v>
      </c>
      <c r="S6" s="2" t="s">
        <v>401</v>
      </c>
      <c r="T6" s="2" t="s">
        <v>401</v>
      </c>
      <c r="U6" s="2" t="s">
        <v>401</v>
      </c>
      <c r="V6" s="2" t="s">
        <v>401</v>
      </c>
      <c r="W6" s="2" t="s">
        <v>401</v>
      </c>
      <c r="X6" s="2" t="s">
        <v>401</v>
      </c>
      <c r="Y6" s="2" t="s">
        <v>401</v>
      </c>
      <c r="Z6" s="2" t="s">
        <v>401</v>
      </c>
      <c r="AA6" s="2" t="s">
        <v>401</v>
      </c>
      <c r="AB6" s="2" t="s">
        <v>401</v>
      </c>
      <c r="AC6" s="2" t="s">
        <v>401</v>
      </c>
      <c r="AD6" s="2" t="s">
        <v>401</v>
      </c>
      <c r="AE6" s="2" t="s">
        <v>401</v>
      </c>
      <c r="AF6" s="2" t="s">
        <v>401</v>
      </c>
      <c r="AG6" s="2" t="s">
        <v>401</v>
      </c>
    </row>
    <row r="7" spans="2:33" x14ac:dyDescent="0.25">
      <c r="B7" t="str">
        <f>Def_Tech!D5</f>
        <v>RESLPG19</v>
      </c>
      <c r="C7" t="str">
        <f t="shared" ref="C7:C38" si="1">IF(OR(RIGHT(D7,LEN(D7)-3)="ELC",RIGHT(D7,LEN(D7)-3)="H2G"),"C"&amp;RIGHT(D7,LEN(D7)-3),RIGHT(D7,LEN(D7)-3))</f>
        <v>LPG</v>
      </c>
      <c r="D7" t="str">
        <f>Def_Comm!C5</f>
        <v>RESLPG</v>
      </c>
      <c r="E7" t="s">
        <v>396</v>
      </c>
      <c r="F7">
        <v>1</v>
      </c>
      <c r="J7" t="str">
        <f t="shared" ref="J7:J38" si="2">B7</f>
        <v>RESLPG19</v>
      </c>
      <c r="K7" t="str">
        <f>IF(_xlfn.XLOOKUP($J7,$B:$B,$C:$C)="CELC",1,"")</f>
        <v/>
      </c>
      <c r="L7" s="6">
        <f>IF(_xlfn.XLOOKUP($J7,$B:$B,$C:$C)="CELC",'ENE TECH'!H3-5,'ENE TECH'!H3)</f>
        <v>33.139282276855504</v>
      </c>
      <c r="M7" s="6">
        <f>IF(_xlfn.XLOOKUP($J7,$B:$B,$C:$C)="CELC",L7,'ENE TECH'!I3)</f>
        <v>28.40479248892813</v>
      </c>
      <c r="N7" s="6">
        <f>IF(_xlfn.XLOOKUP($J7,$B:$B,$C:$C)="CELC",M7,'ENE TECH'!J3)</f>
        <v>34.017648304355177</v>
      </c>
      <c r="O7" s="6">
        <f>IF(_xlfn.XLOOKUP($J7,$B:$B,$C:$C)="CELC",N7,'ENE TECH'!K3)</f>
        <v>36.740012601801659</v>
      </c>
      <c r="P7" s="6">
        <f>IF(_xlfn.XLOOKUP($J7,$B:$B,$C:$C)="CELC",O7,'ENE TECH'!L3)</f>
        <v>38.524661886623818</v>
      </c>
      <c r="Q7" s="6">
        <f>IF(_xlfn.XLOOKUP($J7,$B:$B,$C:$C)="CELC",P7,'ENE TECH'!M3)</f>
        <v>38.534249602272091</v>
      </c>
      <c r="R7" s="6">
        <f>IF(_xlfn.XLOOKUP($J7,$B:$B,$C:$C)="CELC",Q7,'ENE TECH'!N3)</f>
        <v>37.487506441701733</v>
      </c>
      <c r="S7" s="6">
        <f>IF(_xlfn.XLOOKUP($J7,$B:$B,$C:$C)="CELC",R7,'ENE TECH'!O3)</f>
        <v>36.540775308490318</v>
      </c>
      <c r="T7" s="6">
        <f>IF(_xlfn.XLOOKUP($J7,$B:$B,$C:$C)="CELC",S7,'ENE TECH'!P3)</f>
        <v>42.127352323597187</v>
      </c>
      <c r="U7" s="6">
        <f>IF(_xlfn.XLOOKUP($J7,$B:$B,$C:$C)="CELC",T7,'ENE TECH'!Q3)</f>
        <v>46.993145681004549</v>
      </c>
      <c r="V7" s="6">
        <f>IF(_xlfn.XLOOKUP($J7,$B:$B,$C:$C)="CELC",U7,'ENE TECH'!R3)</f>
        <v>51.097312431038382</v>
      </c>
      <c r="W7" s="6">
        <f>IF(_xlfn.XLOOKUP($J7,$B:$B,$C:$C)="CELC",V7,'ENE TECH'!S3)</f>
        <v>54.209147219371808</v>
      </c>
      <c r="X7" s="6">
        <f>IF(_xlfn.XLOOKUP($J7,$B:$B,$C:$C)="CELC",W7,'ENE TECH'!T3)</f>
        <v>54.209147219371808</v>
      </c>
      <c r="Y7" s="6">
        <f>IF(_xlfn.XLOOKUP($J7,$B:$B,$C:$C)="CELC",X7,'ENE TECH'!U3)</f>
        <v>54.209147219371808</v>
      </c>
      <c r="Z7" s="6">
        <f>IF(_xlfn.XLOOKUP($J7,$B:$B,$C:$C)="CELC",Y7,'ENE TECH'!V3)</f>
        <v>54.209147219371808</v>
      </c>
      <c r="AA7" s="6">
        <f>IF(_xlfn.XLOOKUP($J7,$B:$B,$C:$C)="CELC",Z7,'ENE TECH'!W3)</f>
        <v>54.209147219371808</v>
      </c>
      <c r="AB7" s="6">
        <f>IF(_xlfn.XLOOKUP($J7,$B:$B,$C:$C)="CELC",AA7,'ENE TECH'!X3)</f>
        <v>54.209147219371808</v>
      </c>
      <c r="AC7" s="6">
        <f>IF(_xlfn.XLOOKUP($J7,$B:$B,$C:$C)="CELC",AB7,'ENE TECH'!Y3)</f>
        <v>54.209147219371808</v>
      </c>
      <c r="AD7" s="6">
        <f>IF(_xlfn.XLOOKUP($J7,$B:$B,$C:$C)="CELC",AC7,'ENE TECH'!Z3)</f>
        <v>54.209147219371808</v>
      </c>
      <c r="AE7" s="6">
        <f>IF(_xlfn.XLOOKUP($J7,$B:$B,$C:$C)="CELC",AD7,'ENE TECH'!AA3)</f>
        <v>54.209147219371808</v>
      </c>
      <c r="AF7" s="6">
        <f>IF(_xlfn.XLOOKUP($J7,$B:$B,$C:$C)="CELC",AE7,'ENE TECH'!AB3)</f>
        <v>54.209147219371808</v>
      </c>
      <c r="AG7" s="6">
        <f>IF(_xlfn.XLOOKUP($J7,$B:$B,$C:$C)="CELC",AF7,'ENE TECH'!AC3)</f>
        <v>54.209147219371808</v>
      </c>
    </row>
    <row r="8" spans="2:33" x14ac:dyDescent="0.25">
      <c r="B8" t="str">
        <f>Def_Tech!D6</f>
        <v>RESFOI19</v>
      </c>
      <c r="C8" t="str">
        <f t="shared" si="1"/>
        <v>FOI</v>
      </c>
      <c r="D8" t="str">
        <f>Def_Comm!C6</f>
        <v>RESFOI</v>
      </c>
      <c r="E8" t="s">
        <v>396</v>
      </c>
      <c r="F8">
        <v>1</v>
      </c>
      <c r="J8" t="str">
        <f t="shared" si="2"/>
        <v>RESFOI19</v>
      </c>
      <c r="K8" t="str">
        <f>IF(_xlfn.XLOOKUP($J8,$B:$B,$C:$C)="CELC",1,"")</f>
        <v/>
      </c>
      <c r="L8" s="6">
        <f>IF(_xlfn.XLOOKUP($J8,$B:$B,$C:$C)="CELC",'ENE TECH'!H4-5,'ENE TECH'!H4)</f>
        <v>21.264372794315619</v>
      </c>
      <c r="M8" s="6">
        <f>IF(_xlfn.XLOOKUP($J8,$B:$B,$C:$C)="CELC",L8,'ENE TECH'!I4)</f>
        <v>17.088444679167988</v>
      </c>
      <c r="N8" s="6">
        <f>IF(_xlfn.XLOOKUP($J8,$B:$B,$C:$C)="CELC",M8,'ENE TECH'!J4)</f>
        <v>19.92401014423324</v>
      </c>
      <c r="O8" s="6">
        <f>IF(_xlfn.XLOOKUP($J8,$B:$B,$C:$C)="CELC",N8,'ENE TECH'!K4)</f>
        <v>21.518488792296559</v>
      </c>
      <c r="P8" s="6">
        <f>IF(_xlfn.XLOOKUP($J8,$B:$B,$C:$C)="CELC",O8,'ENE TECH'!L4)</f>
        <v>19.660522844879619</v>
      </c>
      <c r="Q8" s="6">
        <f>IF(_xlfn.XLOOKUP($J8,$B:$B,$C:$C)="CELC",P8,'ENE TECH'!M4)</f>
        <v>18.790160036417891</v>
      </c>
      <c r="R8" s="6">
        <f>IF(_xlfn.XLOOKUP($J8,$B:$B,$C:$C)="CELC",Q8,'ENE TECH'!N4)</f>
        <v>17.783448590788041</v>
      </c>
      <c r="S8" s="6">
        <f>IF(_xlfn.XLOOKUP($J8,$B:$B,$C:$C)="CELC",R8,'ENE TECH'!O4)</f>
        <v>17.917993422413289</v>
      </c>
      <c r="T8" s="6">
        <f>IF(_xlfn.XLOOKUP($J8,$B:$B,$C:$C)="CELC",S8,'ENE TECH'!P4)</f>
        <v>19.239677901023619</v>
      </c>
      <c r="U8" s="6">
        <f>IF(_xlfn.XLOOKUP($J8,$B:$B,$C:$C)="CELC",T8,'ENE TECH'!Q4)</f>
        <v>20.738887936986789</v>
      </c>
      <c r="V8" s="6">
        <f>IF(_xlfn.XLOOKUP($J8,$B:$B,$C:$C)="CELC",U8,'ENE TECH'!R4)</f>
        <v>22.093131907098801</v>
      </c>
      <c r="W8" s="6">
        <f>IF(_xlfn.XLOOKUP($J8,$B:$B,$C:$C)="CELC",V8,'ENE TECH'!S4)</f>
        <v>23.25884687222862</v>
      </c>
      <c r="X8" s="6">
        <f>IF(_xlfn.XLOOKUP($J8,$B:$B,$C:$C)="CELC",W8,'ENE TECH'!T4)</f>
        <v>23.25884687222862</v>
      </c>
      <c r="Y8" s="6">
        <f>IF(_xlfn.XLOOKUP($J8,$B:$B,$C:$C)="CELC",X8,'ENE TECH'!U4)</f>
        <v>23.25884687222862</v>
      </c>
      <c r="Z8" s="6">
        <f>IF(_xlfn.XLOOKUP($J8,$B:$B,$C:$C)="CELC",Y8,'ENE TECH'!V4)</f>
        <v>23.25884687222862</v>
      </c>
      <c r="AA8" s="6">
        <f>IF(_xlfn.XLOOKUP($J8,$B:$B,$C:$C)="CELC",Z8,'ENE TECH'!W4)</f>
        <v>23.25884687222862</v>
      </c>
      <c r="AB8" s="6">
        <f>IF(_xlfn.XLOOKUP($J8,$B:$B,$C:$C)="CELC",AA8,'ENE TECH'!X4)</f>
        <v>23.25884687222862</v>
      </c>
      <c r="AC8" s="6">
        <f>IF(_xlfn.XLOOKUP($J8,$B:$B,$C:$C)="CELC",AB8,'ENE TECH'!Y4)</f>
        <v>23.25884687222862</v>
      </c>
      <c r="AD8" s="6">
        <f>IF(_xlfn.XLOOKUP($J8,$B:$B,$C:$C)="CELC",AC8,'ENE TECH'!Z4)</f>
        <v>23.25884687222862</v>
      </c>
      <c r="AE8" s="6">
        <f>IF(_xlfn.XLOOKUP($J8,$B:$B,$C:$C)="CELC",AD8,'ENE TECH'!AA4)</f>
        <v>23.25884687222862</v>
      </c>
      <c r="AF8" s="6">
        <f>IF(_xlfn.XLOOKUP($J8,$B:$B,$C:$C)="CELC",AE8,'ENE TECH'!AB4)</f>
        <v>23.25884687222862</v>
      </c>
      <c r="AG8" s="6">
        <f>IF(_xlfn.XLOOKUP($J8,$B:$B,$C:$C)="CELC",AF8,'ENE TECH'!AC4)</f>
        <v>23.25884687222862</v>
      </c>
    </row>
    <row r="9" spans="2:33" x14ac:dyDescent="0.25">
      <c r="B9" t="str">
        <f>Def_Tech!D7</f>
        <v>RESKER19</v>
      </c>
      <c r="C9" t="str">
        <f t="shared" si="1"/>
        <v>KER</v>
      </c>
      <c r="D9" t="str">
        <f>Def_Comm!C7</f>
        <v>RESKER</v>
      </c>
      <c r="E9" t="s">
        <v>396</v>
      </c>
      <c r="F9">
        <v>1</v>
      </c>
      <c r="J9" t="str">
        <f t="shared" si="2"/>
        <v>RESKER19</v>
      </c>
      <c r="K9" t="str">
        <f>IF(_xlfn.XLOOKUP($J9,$B:$B,$C:$C)="CELC",1,"")</f>
        <v/>
      </c>
      <c r="L9" s="6">
        <f>IF(_xlfn.XLOOKUP($J9,$B:$B,$C:$C)="CELC",'ENE TECH'!H5-5,'ENE TECH'!H5)</f>
        <v>24.732951005959819</v>
      </c>
      <c r="M9" s="6">
        <f>IF(_xlfn.XLOOKUP($J9,$B:$B,$C:$C)="CELC",L9,'ENE TECH'!I5)</f>
        <v>15.77561813556207</v>
      </c>
      <c r="N9" s="6">
        <f>IF(_xlfn.XLOOKUP($J9,$B:$B,$C:$C)="CELC",M9,'ENE TECH'!J5)</f>
        <v>24.57544661685143</v>
      </c>
      <c r="O9" s="6">
        <f>IF(_xlfn.XLOOKUP($J9,$B:$B,$C:$C)="CELC",N9,'ENE TECH'!K5)</f>
        <v>26.542170414597098</v>
      </c>
      <c r="P9" s="6">
        <f>IF(_xlfn.XLOOKUP($J9,$B:$B,$C:$C)="CELC",O9,'ENE TECH'!L5)</f>
        <v>24.250445875905839</v>
      </c>
      <c r="Q9" s="6">
        <f>IF(_xlfn.XLOOKUP($J9,$B:$B,$C:$C)="CELC",P9,'ENE TECH'!M5)</f>
        <v>23.17688916810447</v>
      </c>
      <c r="R9" s="6">
        <f>IF(_xlfn.XLOOKUP($J9,$B:$B,$C:$C)="CELC",Q9,'ENE TECH'!N5)</f>
        <v>21.93515202726034</v>
      </c>
      <c r="S9" s="6">
        <f>IF(_xlfn.XLOOKUP($J9,$B:$B,$C:$C)="CELC",R9,'ENE TECH'!O5)</f>
        <v>22.101107540394661</v>
      </c>
      <c r="T9" s="6">
        <f>IF(_xlfn.XLOOKUP($J9,$B:$B,$C:$C)="CELC",S9,'ENE TECH'!P5)</f>
        <v>23.73135095591563</v>
      </c>
      <c r="U9" s="6">
        <f>IF(_xlfn.XLOOKUP($J9,$B:$B,$C:$C)="CELC",T9,'ENE TECH'!Q5)</f>
        <v>25.58056484104932</v>
      </c>
      <c r="V9" s="6">
        <f>IF(_xlfn.XLOOKUP($J9,$B:$B,$C:$C)="CELC",U9,'ENE TECH'!R5)</f>
        <v>27.2509690494769</v>
      </c>
      <c r="W9" s="6">
        <f>IF(_xlfn.XLOOKUP($J9,$B:$B,$C:$C)="CELC",V9,'ENE TECH'!S5)</f>
        <v>28.688830488445522</v>
      </c>
      <c r="X9" s="6">
        <f>IF(_xlfn.XLOOKUP($J9,$B:$B,$C:$C)="CELC",W9,'ENE TECH'!T5)</f>
        <v>28.688830488445522</v>
      </c>
      <c r="Y9" s="6">
        <f>IF(_xlfn.XLOOKUP($J9,$B:$B,$C:$C)="CELC",X9,'ENE TECH'!U5)</f>
        <v>28.688830488445522</v>
      </c>
      <c r="Z9" s="6">
        <f>IF(_xlfn.XLOOKUP($J9,$B:$B,$C:$C)="CELC",Y9,'ENE TECH'!V5)</f>
        <v>28.688830488445522</v>
      </c>
      <c r="AA9" s="6">
        <f>IF(_xlfn.XLOOKUP($J9,$B:$B,$C:$C)="CELC",Z9,'ENE TECH'!W5)</f>
        <v>28.688830488445522</v>
      </c>
      <c r="AB9" s="6">
        <f>IF(_xlfn.XLOOKUP($J9,$B:$B,$C:$C)="CELC",AA9,'ENE TECH'!X5)</f>
        <v>28.688830488445522</v>
      </c>
      <c r="AC9" s="6">
        <f>IF(_xlfn.XLOOKUP($J9,$B:$B,$C:$C)="CELC",AB9,'ENE TECH'!Y5)</f>
        <v>28.688830488445522</v>
      </c>
      <c r="AD9" s="6">
        <f>IF(_xlfn.XLOOKUP($J9,$B:$B,$C:$C)="CELC",AC9,'ENE TECH'!Z5)</f>
        <v>28.688830488445522</v>
      </c>
      <c r="AE9" s="6">
        <f>IF(_xlfn.XLOOKUP($J9,$B:$B,$C:$C)="CELC",AD9,'ENE TECH'!AA5)</f>
        <v>28.688830488445522</v>
      </c>
      <c r="AF9" s="6">
        <f>IF(_xlfn.XLOOKUP($J9,$B:$B,$C:$C)="CELC",AE9,'ENE TECH'!AB5)</f>
        <v>28.688830488445522</v>
      </c>
      <c r="AG9" s="6">
        <f>IF(_xlfn.XLOOKUP($J9,$B:$B,$C:$C)="CELC",AF9,'ENE TECH'!AC5)</f>
        <v>28.688830488445522</v>
      </c>
    </row>
    <row r="10" spans="2:33" x14ac:dyDescent="0.25">
      <c r="B10" t="str">
        <f>Def_Tech!D8</f>
        <v>RESNGA19</v>
      </c>
      <c r="C10" t="str">
        <f t="shared" si="1"/>
        <v>NGA</v>
      </c>
      <c r="D10" t="str">
        <f>Def_Comm!C8</f>
        <v>RESNGA</v>
      </c>
      <c r="E10" t="s">
        <v>396</v>
      </c>
      <c r="F10">
        <v>1</v>
      </c>
      <c r="J10" t="str">
        <f t="shared" si="2"/>
        <v>RESNGA19</v>
      </c>
      <c r="K10" t="str">
        <f>IF(_xlfn.XLOOKUP($J10,$B:$B,$C:$C)="CELC",1,"")</f>
        <v/>
      </c>
      <c r="L10" s="6">
        <f>IF(_xlfn.XLOOKUP($J10,$B:$B,$C:$C)="CELC",'ENE TECH'!H6-5,'ENE TECH'!H6)</f>
        <v>13.49873431410581</v>
      </c>
      <c r="M10" s="6">
        <f>IF(_xlfn.XLOOKUP($J10,$B:$B,$C:$C)="CELC",L10,'ENE TECH'!I6)</f>
        <v>13.43206000813332</v>
      </c>
      <c r="N10" s="6">
        <f>IF(_xlfn.XLOOKUP($J10,$B:$B,$C:$C)="CELC",M10,'ENE TECH'!J6)</f>
        <v>14.307990071302511</v>
      </c>
      <c r="O10" s="6">
        <f>IF(_xlfn.XLOOKUP($J10,$B:$B,$C:$C)="CELC",N10,'ENE TECH'!K6)</f>
        <v>15.4530298750489</v>
      </c>
      <c r="P10" s="6">
        <f>IF(_xlfn.XLOOKUP($J10,$B:$B,$C:$C)="CELC",O10,'ENE TECH'!L6)</f>
        <v>14.920711521748281</v>
      </c>
      <c r="Q10" s="6">
        <f>IF(_xlfn.XLOOKUP($J10,$B:$B,$C:$C)="CELC",P10,'ENE TECH'!M6)</f>
        <v>13.391340093019449</v>
      </c>
      <c r="R10" s="6">
        <f>IF(_xlfn.XLOOKUP($J10,$B:$B,$C:$C)="CELC",Q10,'ENE TECH'!N6)</f>
        <v>12.766540415977071</v>
      </c>
      <c r="S10" s="6">
        <f>IF(_xlfn.XLOOKUP($J10,$B:$B,$C:$C)="CELC",R10,'ENE TECH'!O6)</f>
        <v>12.38627375993603</v>
      </c>
      <c r="T10" s="6">
        <f>IF(_xlfn.XLOOKUP($J10,$B:$B,$C:$C)="CELC",S10,'ENE TECH'!P6)</f>
        <v>13.885006516207509</v>
      </c>
      <c r="U10" s="6">
        <f>IF(_xlfn.XLOOKUP($J10,$B:$B,$C:$C)="CELC",T10,'ENE TECH'!Q6)</f>
        <v>15.19974820513929</v>
      </c>
      <c r="V10" s="6">
        <f>IF(_xlfn.XLOOKUP($J10,$B:$B,$C:$C)="CELC",U10,'ENE TECH'!R6)</f>
        <v>16.020235201885939</v>
      </c>
      <c r="W10" s="6">
        <f>IF(_xlfn.XLOOKUP($J10,$B:$B,$C:$C)="CELC",V10,'ENE TECH'!S6)</f>
        <v>16.837250221437461</v>
      </c>
      <c r="X10" s="6">
        <f>IF(_xlfn.XLOOKUP($J10,$B:$B,$C:$C)="CELC",W10,'ENE TECH'!T6)</f>
        <v>16.837250221437461</v>
      </c>
      <c r="Y10" s="6">
        <f>IF(_xlfn.XLOOKUP($J10,$B:$B,$C:$C)="CELC",X10,'ENE TECH'!U6)</f>
        <v>16.837250221437461</v>
      </c>
      <c r="Z10" s="6">
        <f>IF(_xlfn.XLOOKUP($J10,$B:$B,$C:$C)="CELC",Y10,'ENE TECH'!V6)</f>
        <v>16.837250221437461</v>
      </c>
      <c r="AA10" s="6">
        <f>IF(_xlfn.XLOOKUP($J10,$B:$B,$C:$C)="CELC",Z10,'ENE TECH'!W6)</f>
        <v>16.837250221437461</v>
      </c>
      <c r="AB10" s="6">
        <f>IF(_xlfn.XLOOKUP($J10,$B:$B,$C:$C)="CELC",AA10,'ENE TECH'!X6)</f>
        <v>16.837250221437461</v>
      </c>
      <c r="AC10" s="6">
        <f>IF(_xlfn.XLOOKUP($J10,$B:$B,$C:$C)="CELC",AB10,'ENE TECH'!Y6)</f>
        <v>16.837250221437461</v>
      </c>
      <c r="AD10" s="6">
        <f>IF(_xlfn.XLOOKUP($J10,$B:$B,$C:$C)="CELC",AC10,'ENE TECH'!Z6)</f>
        <v>16.837250221437461</v>
      </c>
      <c r="AE10" s="6">
        <f>IF(_xlfn.XLOOKUP($J10,$B:$B,$C:$C)="CELC",AD10,'ENE TECH'!AA6)</f>
        <v>16.837250221437461</v>
      </c>
      <c r="AF10" s="6">
        <f>IF(_xlfn.XLOOKUP($J10,$B:$B,$C:$C)="CELC",AE10,'ENE TECH'!AB6)</f>
        <v>16.837250221437461</v>
      </c>
      <c r="AG10" s="6">
        <f>IF(_xlfn.XLOOKUP($J10,$B:$B,$C:$C)="CELC",AF10,'ENE TECH'!AC6)</f>
        <v>16.837250221437461</v>
      </c>
    </row>
    <row r="11" spans="2:33" x14ac:dyDescent="0.25">
      <c r="B11" t="str">
        <f>Def_Tech!D9</f>
        <v>RESRNG19</v>
      </c>
      <c r="C11" t="str">
        <f t="shared" si="1"/>
        <v>RNG</v>
      </c>
      <c r="D11" t="str">
        <f>Def_Comm!C9</f>
        <v>RESRNG</v>
      </c>
      <c r="E11" t="s">
        <v>396</v>
      </c>
      <c r="F11">
        <v>1</v>
      </c>
      <c r="J11" t="str">
        <f t="shared" si="2"/>
        <v>RESRNG19</v>
      </c>
      <c r="L11" s="6">
        <f>IF(_xlfn.XLOOKUP($J11,$B:$B,$C:$C)="CELC",'ENE TECH'!H7-5,'ENE TECH'!H7)</f>
        <v>26.997468628211621</v>
      </c>
      <c r="M11" s="6">
        <f>IF(_xlfn.XLOOKUP($J11,$B:$B,$C:$C)="CELC",L11,'ENE TECH'!I7)</f>
        <v>26.864120016266639</v>
      </c>
      <c r="N11" s="6">
        <f>IF(_xlfn.XLOOKUP($J11,$B:$B,$C:$C)="CELC",M11,'ENE TECH'!J7)</f>
        <v>28.615980142605029</v>
      </c>
      <c r="O11" s="6">
        <f>IF(_xlfn.XLOOKUP($J11,$B:$B,$C:$C)="CELC",N11,'ENE TECH'!K7)</f>
        <v>30.90605975009781</v>
      </c>
      <c r="P11" s="6">
        <f>IF(_xlfn.XLOOKUP($J11,$B:$B,$C:$C)="CELC",O11,'ENE TECH'!L7)</f>
        <v>29.841423043496551</v>
      </c>
      <c r="Q11" s="6">
        <f>IF(_xlfn.XLOOKUP($J11,$B:$B,$C:$C)="CELC",P11,'ENE TECH'!M7)</f>
        <v>26.78268018603891</v>
      </c>
      <c r="R11" s="6">
        <f>IF(_xlfn.XLOOKUP($J11,$B:$B,$C:$C)="CELC",Q11,'ENE TECH'!N7)</f>
        <v>25.533080831954141</v>
      </c>
      <c r="S11" s="6">
        <f>IF(_xlfn.XLOOKUP($J11,$B:$B,$C:$C)="CELC",R11,'ENE TECH'!O7)</f>
        <v>24.772547519872059</v>
      </c>
      <c r="T11" s="6">
        <f>IF(_xlfn.XLOOKUP($J11,$B:$B,$C:$C)="CELC",S11,'ENE TECH'!P7)</f>
        <v>27.770013032415029</v>
      </c>
      <c r="U11" s="6">
        <f>IF(_xlfn.XLOOKUP($J11,$B:$B,$C:$C)="CELC",T11,'ENE TECH'!Q7)</f>
        <v>30.39949641027858</v>
      </c>
      <c r="V11" s="6">
        <f>IF(_xlfn.XLOOKUP($J11,$B:$B,$C:$C)="CELC",U11,'ENE TECH'!R7)</f>
        <v>32.040470403771877</v>
      </c>
      <c r="W11" s="6">
        <f>IF(_xlfn.XLOOKUP($J11,$B:$B,$C:$C)="CELC",V11,'ENE TECH'!S7)</f>
        <v>33.67450044287493</v>
      </c>
      <c r="X11" s="6">
        <f>IF(_xlfn.XLOOKUP($J11,$B:$B,$C:$C)="CELC",W11,'ENE TECH'!T7)</f>
        <v>33.67450044287493</v>
      </c>
      <c r="Y11" s="6">
        <f>IF(_xlfn.XLOOKUP($J11,$B:$B,$C:$C)="CELC",X11,'ENE TECH'!U7)</f>
        <v>33.67450044287493</v>
      </c>
      <c r="Z11" s="6">
        <f>IF(_xlfn.XLOOKUP($J11,$B:$B,$C:$C)="CELC",Y11,'ENE TECH'!V7)</f>
        <v>33.67450044287493</v>
      </c>
      <c r="AA11" s="6">
        <f>IF(_xlfn.XLOOKUP($J11,$B:$B,$C:$C)="CELC",Z11,'ENE TECH'!W7)</f>
        <v>33.67450044287493</v>
      </c>
      <c r="AB11" s="6">
        <f>IF(_xlfn.XLOOKUP($J11,$B:$B,$C:$C)="CELC",AA11,'ENE TECH'!X7)</f>
        <v>33.67450044287493</v>
      </c>
      <c r="AC11" s="6">
        <f>IF(_xlfn.XLOOKUP($J11,$B:$B,$C:$C)="CELC",AB11,'ENE TECH'!Y7)</f>
        <v>33.67450044287493</v>
      </c>
      <c r="AD11" s="6">
        <f>IF(_xlfn.XLOOKUP($J11,$B:$B,$C:$C)="CELC",AC11,'ENE TECH'!Z7)</f>
        <v>33.67450044287493</v>
      </c>
      <c r="AE11" s="6">
        <f>IF(_xlfn.XLOOKUP($J11,$B:$B,$C:$C)="CELC",AD11,'ENE TECH'!AA7)</f>
        <v>33.67450044287493</v>
      </c>
      <c r="AF11" s="6">
        <f>IF(_xlfn.XLOOKUP($J11,$B:$B,$C:$C)="CELC",AE11,'ENE TECH'!AB7)</f>
        <v>33.67450044287493</v>
      </c>
      <c r="AG11" s="6">
        <f>IF(_xlfn.XLOOKUP($J11,$B:$B,$C:$C)="CELC",AF11,'ENE TECH'!AC7)</f>
        <v>33.67450044287493</v>
      </c>
    </row>
    <row r="12" spans="2:33" x14ac:dyDescent="0.25">
      <c r="B12" t="str">
        <f>Def_Tech!D10</f>
        <v>RESELC19</v>
      </c>
      <c r="C12" t="str">
        <f t="shared" si="1"/>
        <v>CELC</v>
      </c>
      <c r="D12" t="str">
        <f>Def_Comm!C10</f>
        <v>RESELC</v>
      </c>
      <c r="E12" t="s">
        <v>396</v>
      </c>
      <c r="F12">
        <v>1</v>
      </c>
      <c r="J12" t="str">
        <f t="shared" si="2"/>
        <v>RESELC19</v>
      </c>
      <c r="K12">
        <f t="shared" ref="K12:K43" si="3">IF(_xlfn.XLOOKUP($J12,$B:$B,$C:$C)="CELC",1,"")</f>
        <v>1</v>
      </c>
      <c r="L12" s="6">
        <f>IF(_xlfn.XLOOKUP($J12,$B:$B,$C:$C)="CELC",'ENE TECH'!H8-5,'ENE TECH'!H8)</f>
        <v>53.082115403902087</v>
      </c>
      <c r="M12" s="6">
        <f>IF(_xlfn.XLOOKUP($J12,$B:$B,$C:$C)="CELC",L12,'ENE TECH'!I8)</f>
        <v>53.082115403902087</v>
      </c>
      <c r="N12" s="6">
        <f>IF(_xlfn.XLOOKUP($J12,$B:$B,$C:$C)="CELC",M12,'ENE TECH'!J8)</f>
        <v>53.082115403902087</v>
      </c>
      <c r="O12" s="6">
        <f>IF(_xlfn.XLOOKUP($J12,$B:$B,$C:$C)="CELC",N12,'ENE TECH'!K8)</f>
        <v>53.082115403902087</v>
      </c>
      <c r="P12" s="6">
        <f>IF(_xlfn.XLOOKUP($J12,$B:$B,$C:$C)="CELC",O12,'ENE TECH'!L8)</f>
        <v>53.082115403902087</v>
      </c>
      <c r="Q12" s="6">
        <f>IF(_xlfn.XLOOKUP($J12,$B:$B,$C:$C)="CELC",P12,'ENE TECH'!M8)</f>
        <v>53.082115403902087</v>
      </c>
      <c r="R12" s="6">
        <f>IF(_xlfn.XLOOKUP($J12,$B:$B,$C:$C)="CELC",Q12,'ENE TECH'!N8)</f>
        <v>53.082115403902087</v>
      </c>
      <c r="S12" s="6">
        <f>IF(_xlfn.XLOOKUP($J12,$B:$B,$C:$C)="CELC",R12,'ENE TECH'!O8)</f>
        <v>53.082115403902087</v>
      </c>
      <c r="T12" s="6">
        <f>IF(_xlfn.XLOOKUP($J12,$B:$B,$C:$C)="CELC",S12,'ENE TECH'!P8)</f>
        <v>53.082115403902087</v>
      </c>
      <c r="U12" s="6">
        <f>IF(_xlfn.XLOOKUP($J12,$B:$B,$C:$C)="CELC",T12,'ENE TECH'!Q8)</f>
        <v>53.082115403902087</v>
      </c>
      <c r="V12" s="6">
        <f>IF(_xlfn.XLOOKUP($J12,$B:$B,$C:$C)="CELC",U12,'ENE TECH'!R8)</f>
        <v>53.082115403902087</v>
      </c>
      <c r="W12" s="6">
        <f>IF(_xlfn.XLOOKUP($J12,$B:$B,$C:$C)="CELC",V12,'ENE TECH'!S8)</f>
        <v>53.082115403902087</v>
      </c>
      <c r="X12" s="6">
        <f>IF(_xlfn.XLOOKUP($J12,$B:$B,$C:$C)="CELC",W12,'ENE TECH'!T8)</f>
        <v>53.082115403902087</v>
      </c>
      <c r="Y12" s="6">
        <f>IF(_xlfn.XLOOKUP($J12,$B:$B,$C:$C)="CELC",X12,'ENE TECH'!U8)</f>
        <v>53.082115403902087</v>
      </c>
      <c r="Z12" s="6">
        <f>IF(_xlfn.XLOOKUP($J12,$B:$B,$C:$C)="CELC",Y12,'ENE TECH'!V8)</f>
        <v>53.082115403902087</v>
      </c>
      <c r="AA12" s="6">
        <f>IF(_xlfn.XLOOKUP($J12,$B:$B,$C:$C)="CELC",Z12,'ENE TECH'!W8)</f>
        <v>53.082115403902087</v>
      </c>
      <c r="AB12" s="6">
        <f>IF(_xlfn.XLOOKUP($J12,$B:$B,$C:$C)="CELC",AA12,'ENE TECH'!X8)</f>
        <v>53.082115403902087</v>
      </c>
      <c r="AC12" s="6">
        <f>IF(_xlfn.XLOOKUP($J12,$B:$B,$C:$C)="CELC",AB12,'ENE TECH'!Y8)</f>
        <v>53.082115403902087</v>
      </c>
      <c r="AD12" s="6">
        <f>IF(_xlfn.XLOOKUP($J12,$B:$B,$C:$C)="CELC",AC12,'ENE TECH'!Z8)</f>
        <v>53.082115403902087</v>
      </c>
      <c r="AE12" s="6">
        <f>IF(_xlfn.XLOOKUP($J12,$B:$B,$C:$C)="CELC",AD12,'ENE TECH'!AA8)</f>
        <v>53.082115403902087</v>
      </c>
      <c r="AF12" s="6">
        <f>IF(_xlfn.XLOOKUP($J12,$B:$B,$C:$C)="CELC",AE12,'ENE TECH'!AB8)</f>
        <v>53.082115403902087</v>
      </c>
      <c r="AG12" s="6">
        <f>IF(_xlfn.XLOOKUP($J12,$B:$B,$C:$C)="CELC",AF12,'ENE TECH'!AC8)</f>
        <v>53.082115403902087</v>
      </c>
    </row>
    <row r="13" spans="2:33" x14ac:dyDescent="0.25">
      <c r="B13" t="str">
        <f>Def_Tech!D11</f>
        <v>RESH2G19</v>
      </c>
      <c r="C13" t="str">
        <f t="shared" si="1"/>
        <v>CH2G</v>
      </c>
      <c r="D13" t="str">
        <f>Def_Comm!C11</f>
        <v>RESH2G</v>
      </c>
      <c r="E13" t="s">
        <v>396</v>
      </c>
      <c r="F13">
        <v>1</v>
      </c>
      <c r="J13" t="str">
        <f t="shared" si="2"/>
        <v>RESH2G19</v>
      </c>
      <c r="K13" t="str">
        <f t="shared" si="3"/>
        <v/>
      </c>
      <c r="L13" s="6">
        <f>IF(_xlfn.XLOOKUP($J13,$B:$B,$C:$C)="CELC",'ENE TECH'!H9-5,'ENE TECH'!H9)</f>
        <v>116.1642308078042</v>
      </c>
      <c r="M13" s="6">
        <f>IF(_xlfn.XLOOKUP($J13,$B:$B,$C:$C)="CELC",L13,'ENE TECH'!I9)</f>
        <v>116.7873133501995</v>
      </c>
      <c r="N13" s="6">
        <f>IF(_xlfn.XLOOKUP($J13,$B:$B,$C:$C)="CELC",M13,'ENE TECH'!J9)</f>
        <v>122.3949412841009</v>
      </c>
      <c r="O13" s="6">
        <f>IF(_xlfn.XLOOKUP($J13,$B:$B,$C:$C)="CELC",N13,'ENE TECH'!K9)</f>
        <v>132.18996342551199</v>
      </c>
      <c r="P13" s="6">
        <f>IF(_xlfn.XLOOKUP($J13,$B:$B,$C:$C)="CELC",O13,'ENE TECH'!L9)</f>
        <v>125.9839979082037</v>
      </c>
      <c r="Q13" s="6">
        <f>IF(_xlfn.XLOOKUP($J13,$B:$B,$C:$C)="CELC",P13,'ENE TECH'!M9)</f>
        <v>121.8798043132501</v>
      </c>
      <c r="R13" s="6">
        <f>IF(_xlfn.XLOOKUP($J13,$B:$B,$C:$C)="CELC",Q13,'ENE TECH'!N9)</f>
        <v>119.72730939245859</v>
      </c>
      <c r="S13" s="6">
        <f>IF(_xlfn.XLOOKUP($J13,$B:$B,$C:$C)="CELC",R13,'ENE TECH'!O9)</f>
        <v>122.8060472135577</v>
      </c>
      <c r="T13" s="6">
        <f>IF(_xlfn.XLOOKUP($J13,$B:$B,$C:$C)="CELC",S13,'ENE TECH'!P9)</f>
        <v>134.14707145537781</v>
      </c>
      <c r="U13" s="6">
        <f>IF(_xlfn.XLOOKUP($J13,$B:$B,$C:$C)="CELC",T13,'ENE TECH'!Q9)</f>
        <v>145.63701051420441</v>
      </c>
      <c r="V13" s="6">
        <f>IF(_xlfn.XLOOKUP($J13,$B:$B,$C:$C)="CELC",U13,'ENE TECH'!R9)</f>
        <v>155.872659696509</v>
      </c>
      <c r="W13" s="6">
        <f>IF(_xlfn.XLOOKUP($J13,$B:$B,$C:$C)="CELC",V13,'ENE TECH'!S9)</f>
        <v>162.76708412875979</v>
      </c>
      <c r="X13" s="6">
        <f>IF(_xlfn.XLOOKUP($J13,$B:$B,$C:$C)="CELC",W13,'ENE TECH'!T9)</f>
        <v>162.76708412875979</v>
      </c>
      <c r="Y13" s="6">
        <f>IF(_xlfn.XLOOKUP($J13,$B:$B,$C:$C)="CELC",X13,'ENE TECH'!U9)</f>
        <v>162.76708412875979</v>
      </c>
      <c r="Z13" s="6">
        <f>IF(_xlfn.XLOOKUP($J13,$B:$B,$C:$C)="CELC",Y13,'ENE TECH'!V9)</f>
        <v>162.76708412875979</v>
      </c>
      <c r="AA13" s="6">
        <f>IF(_xlfn.XLOOKUP($J13,$B:$B,$C:$C)="CELC",Z13,'ENE TECH'!W9)</f>
        <v>162.76708412875979</v>
      </c>
      <c r="AB13" s="6">
        <f>IF(_xlfn.XLOOKUP($J13,$B:$B,$C:$C)="CELC",AA13,'ENE TECH'!X9)</f>
        <v>162.76708412875979</v>
      </c>
      <c r="AC13" s="6">
        <f>IF(_xlfn.XLOOKUP($J13,$B:$B,$C:$C)="CELC",AB13,'ENE TECH'!Y9)</f>
        <v>162.76708412875979</v>
      </c>
      <c r="AD13" s="6">
        <f>IF(_xlfn.XLOOKUP($J13,$B:$B,$C:$C)="CELC",AC13,'ENE TECH'!Z9)</f>
        <v>162.76708412875979</v>
      </c>
      <c r="AE13" s="6">
        <f>IF(_xlfn.XLOOKUP($J13,$B:$B,$C:$C)="CELC",AD13,'ENE TECH'!AA9)</f>
        <v>162.76708412875979</v>
      </c>
      <c r="AF13" s="6">
        <f>IF(_xlfn.XLOOKUP($J13,$B:$B,$C:$C)="CELC",AE13,'ENE TECH'!AB9)</f>
        <v>162.76708412875979</v>
      </c>
      <c r="AG13" s="6">
        <f>IF(_xlfn.XLOOKUP($J13,$B:$B,$C:$C)="CELC",AF13,'ENE TECH'!AC9)</f>
        <v>162.76708412875979</v>
      </c>
    </row>
    <row r="14" spans="2:33" x14ac:dyDescent="0.25">
      <c r="B14" t="str">
        <f>Def_Tech!D12</f>
        <v>RESSTM19</v>
      </c>
      <c r="C14" t="str">
        <f t="shared" si="1"/>
        <v>STM</v>
      </c>
      <c r="D14" t="str">
        <f>Def_Comm!C12</f>
        <v>RESSTM</v>
      </c>
      <c r="E14" t="s">
        <v>396</v>
      </c>
      <c r="F14">
        <v>1</v>
      </c>
      <c r="J14" t="str">
        <f t="shared" si="2"/>
        <v>RESSTM19</v>
      </c>
      <c r="K14" t="str">
        <f t="shared" si="3"/>
        <v/>
      </c>
      <c r="L14" s="6">
        <f>IF(_xlfn.XLOOKUP($J14,$B:$B,$C:$C)="CELC",'ENE TECH'!H10-5,'ENE TECH'!H10)</f>
        <v>116.1642308078042</v>
      </c>
      <c r="M14" s="6">
        <f>IF(_xlfn.XLOOKUP($J14,$B:$B,$C:$C)="CELC",L14,'ENE TECH'!I10)</f>
        <v>116.7873133501995</v>
      </c>
      <c r="N14" s="6">
        <f>IF(_xlfn.XLOOKUP($J14,$B:$B,$C:$C)="CELC",M14,'ENE TECH'!J10)</f>
        <v>122.3949412841009</v>
      </c>
      <c r="O14" s="6">
        <f>IF(_xlfn.XLOOKUP($J14,$B:$B,$C:$C)="CELC",N14,'ENE TECH'!K10)</f>
        <v>132.18996342551199</v>
      </c>
      <c r="P14" s="6">
        <f>IF(_xlfn.XLOOKUP($J14,$B:$B,$C:$C)="CELC",O14,'ENE TECH'!L10)</f>
        <v>125.9839979082037</v>
      </c>
      <c r="Q14" s="6">
        <f>IF(_xlfn.XLOOKUP($J14,$B:$B,$C:$C)="CELC",P14,'ENE TECH'!M10)</f>
        <v>121.8798043132501</v>
      </c>
      <c r="R14" s="6">
        <f>IF(_xlfn.XLOOKUP($J14,$B:$B,$C:$C)="CELC",Q14,'ENE TECH'!N10)</f>
        <v>119.72730939245859</v>
      </c>
      <c r="S14" s="6">
        <f>IF(_xlfn.XLOOKUP($J14,$B:$B,$C:$C)="CELC",R14,'ENE TECH'!O10)</f>
        <v>122.8060472135577</v>
      </c>
      <c r="T14" s="6">
        <f>IF(_xlfn.XLOOKUP($J14,$B:$B,$C:$C)="CELC",S14,'ENE TECH'!P10)</f>
        <v>134.14707145537781</v>
      </c>
      <c r="U14" s="6">
        <f>IF(_xlfn.XLOOKUP($J14,$B:$B,$C:$C)="CELC",T14,'ENE TECH'!Q10)</f>
        <v>145.63701051420441</v>
      </c>
      <c r="V14" s="6">
        <f>IF(_xlfn.XLOOKUP($J14,$B:$B,$C:$C)="CELC",U14,'ENE TECH'!R10)</f>
        <v>155.872659696509</v>
      </c>
      <c r="W14" s="6">
        <f>IF(_xlfn.XLOOKUP($J14,$B:$B,$C:$C)="CELC",V14,'ENE TECH'!S10)</f>
        <v>162.76708412875979</v>
      </c>
      <c r="X14" s="6">
        <f>IF(_xlfn.XLOOKUP($J14,$B:$B,$C:$C)="CELC",W14,'ENE TECH'!T10)</f>
        <v>162.76708412875979</v>
      </c>
      <c r="Y14" s="6">
        <f>IF(_xlfn.XLOOKUP($J14,$B:$B,$C:$C)="CELC",X14,'ENE TECH'!U10)</f>
        <v>162.76708412875979</v>
      </c>
      <c r="Z14" s="6">
        <f>IF(_xlfn.XLOOKUP($J14,$B:$B,$C:$C)="CELC",Y14,'ENE TECH'!V10)</f>
        <v>162.76708412875979</v>
      </c>
      <c r="AA14" s="6">
        <f>IF(_xlfn.XLOOKUP($J14,$B:$B,$C:$C)="CELC",Z14,'ENE TECH'!W10)</f>
        <v>162.76708412875979</v>
      </c>
      <c r="AB14" s="6">
        <f>IF(_xlfn.XLOOKUP($J14,$B:$B,$C:$C)="CELC",AA14,'ENE TECH'!X10)</f>
        <v>162.76708412875979</v>
      </c>
      <c r="AC14" s="6">
        <f>IF(_xlfn.XLOOKUP($J14,$B:$B,$C:$C)="CELC",AB14,'ENE TECH'!Y10)</f>
        <v>162.76708412875979</v>
      </c>
      <c r="AD14" s="6">
        <f>IF(_xlfn.XLOOKUP($J14,$B:$B,$C:$C)="CELC",AC14,'ENE TECH'!Z10)</f>
        <v>162.76708412875979</v>
      </c>
      <c r="AE14" s="6">
        <f>IF(_xlfn.XLOOKUP($J14,$B:$B,$C:$C)="CELC",AD14,'ENE TECH'!AA10)</f>
        <v>162.76708412875979</v>
      </c>
      <c r="AF14" s="6">
        <f>IF(_xlfn.XLOOKUP($J14,$B:$B,$C:$C)="CELC",AE14,'ENE TECH'!AB10)</f>
        <v>162.76708412875979</v>
      </c>
      <c r="AG14" s="6">
        <f>IF(_xlfn.XLOOKUP($J14,$B:$B,$C:$C)="CELC",AF14,'ENE TECH'!AC10)</f>
        <v>162.76708412875979</v>
      </c>
    </row>
    <row r="15" spans="2:33" x14ac:dyDescent="0.25">
      <c r="B15" t="str">
        <f>Def_Tech!D13</f>
        <v>RESSOL19</v>
      </c>
      <c r="C15" t="str">
        <f t="shared" si="1"/>
        <v>SOL</v>
      </c>
      <c r="D15" t="str">
        <f>Def_Comm!C13</f>
        <v>RESSOL</v>
      </c>
      <c r="E15" t="s">
        <v>396</v>
      </c>
      <c r="F15">
        <v>1</v>
      </c>
      <c r="J15" t="str">
        <f t="shared" si="2"/>
        <v>RESSOL19</v>
      </c>
      <c r="K15" t="str">
        <f t="shared" si="3"/>
        <v/>
      </c>
      <c r="L15" s="6">
        <f>IF(_xlfn.XLOOKUP($J15,$B:$B,$C:$C)="CELC",'ENE TECH'!H11-5,'ENE TECH'!H11)</f>
        <v>0</v>
      </c>
      <c r="M15" s="6">
        <f>IF(_xlfn.XLOOKUP($J15,$B:$B,$C:$C)="CELC",L15,'ENE TECH'!I11)</f>
        <v>0</v>
      </c>
      <c r="N15" s="6">
        <f>IF(_xlfn.XLOOKUP($J15,$B:$B,$C:$C)="CELC",M15,'ENE TECH'!J11)</f>
        <v>0</v>
      </c>
      <c r="O15" s="6">
        <f>IF(_xlfn.XLOOKUP($J15,$B:$B,$C:$C)="CELC",N15,'ENE TECH'!K11)</f>
        <v>0</v>
      </c>
      <c r="P15" s="6">
        <f>IF(_xlfn.XLOOKUP($J15,$B:$B,$C:$C)="CELC",O15,'ENE TECH'!L11)</f>
        <v>0</v>
      </c>
      <c r="Q15" s="6">
        <f>IF(_xlfn.XLOOKUP($J15,$B:$B,$C:$C)="CELC",P15,'ENE TECH'!M11)</f>
        <v>0</v>
      </c>
      <c r="R15" s="6">
        <f>IF(_xlfn.XLOOKUP($J15,$B:$B,$C:$C)="CELC",Q15,'ENE TECH'!N11)</f>
        <v>0</v>
      </c>
      <c r="S15" s="6">
        <f>IF(_xlfn.XLOOKUP($J15,$B:$B,$C:$C)="CELC",R15,'ENE TECH'!O11)</f>
        <v>0</v>
      </c>
      <c r="T15" s="6">
        <f>IF(_xlfn.XLOOKUP($J15,$B:$B,$C:$C)="CELC",S15,'ENE TECH'!P11)</f>
        <v>0</v>
      </c>
      <c r="U15" s="6">
        <f>IF(_xlfn.XLOOKUP($J15,$B:$B,$C:$C)="CELC",T15,'ENE TECH'!Q11)</f>
        <v>0</v>
      </c>
      <c r="V15" s="6">
        <f>IF(_xlfn.XLOOKUP($J15,$B:$B,$C:$C)="CELC",U15,'ENE TECH'!R11)</f>
        <v>0</v>
      </c>
      <c r="W15" s="6">
        <f>IF(_xlfn.XLOOKUP($J15,$B:$B,$C:$C)="CELC",V15,'ENE TECH'!S11)</f>
        <v>0</v>
      </c>
      <c r="X15" s="6">
        <f>IF(_xlfn.XLOOKUP($J15,$B:$B,$C:$C)="CELC",W15,'ENE TECH'!T11)</f>
        <v>0</v>
      </c>
      <c r="Y15" s="6">
        <f>IF(_xlfn.XLOOKUP($J15,$B:$B,$C:$C)="CELC",X15,'ENE TECH'!U11)</f>
        <v>0</v>
      </c>
      <c r="Z15" s="6">
        <f>IF(_xlfn.XLOOKUP($J15,$B:$B,$C:$C)="CELC",Y15,'ENE TECH'!V11)</f>
        <v>0</v>
      </c>
      <c r="AA15" s="6">
        <f>IF(_xlfn.XLOOKUP($J15,$B:$B,$C:$C)="CELC",Z15,'ENE TECH'!W11)</f>
        <v>0</v>
      </c>
      <c r="AB15" s="6">
        <f>IF(_xlfn.XLOOKUP($J15,$B:$B,$C:$C)="CELC",AA15,'ENE TECH'!X11)</f>
        <v>0</v>
      </c>
      <c r="AC15" s="6">
        <f>IF(_xlfn.XLOOKUP($J15,$B:$B,$C:$C)="CELC",AB15,'ENE TECH'!Y11)</f>
        <v>0</v>
      </c>
      <c r="AD15" s="6">
        <f>IF(_xlfn.XLOOKUP($J15,$B:$B,$C:$C)="CELC",AC15,'ENE TECH'!Z11)</f>
        <v>0</v>
      </c>
      <c r="AE15" s="6">
        <f>IF(_xlfn.XLOOKUP($J15,$B:$B,$C:$C)="CELC",AD15,'ENE TECH'!AA11)</f>
        <v>0</v>
      </c>
      <c r="AF15" s="6">
        <f>IF(_xlfn.XLOOKUP($J15,$B:$B,$C:$C)="CELC",AE15,'ENE TECH'!AB11)</f>
        <v>0</v>
      </c>
      <c r="AG15" s="6">
        <f>IF(_xlfn.XLOOKUP($J15,$B:$B,$C:$C)="CELC",AF15,'ENE TECH'!AC11)</f>
        <v>0</v>
      </c>
    </row>
    <row r="16" spans="2:33" x14ac:dyDescent="0.25">
      <c r="B16" t="str">
        <f>Def_Tech!D14</f>
        <v>RESWND19</v>
      </c>
      <c r="C16" t="str">
        <f t="shared" si="1"/>
        <v>WND</v>
      </c>
      <c r="D16" t="str">
        <f>Def_Comm!C14</f>
        <v>RESWND</v>
      </c>
      <c r="E16" t="s">
        <v>396</v>
      </c>
      <c r="F16">
        <v>1</v>
      </c>
      <c r="J16" t="str">
        <f t="shared" si="2"/>
        <v>RESWND19</v>
      </c>
      <c r="K16" t="str">
        <f t="shared" si="3"/>
        <v/>
      </c>
      <c r="L16" s="6">
        <f>IF(_xlfn.XLOOKUP($J16,$B:$B,$C:$C)="CELC",'ENE TECH'!H12-5,'ENE TECH'!H12)</f>
        <v>0</v>
      </c>
      <c r="M16" s="6">
        <f>IF(_xlfn.XLOOKUP($J16,$B:$B,$C:$C)="CELC",L16,'ENE TECH'!I12)</f>
        <v>0</v>
      </c>
      <c r="N16" s="6">
        <f>IF(_xlfn.XLOOKUP($J16,$B:$B,$C:$C)="CELC",M16,'ENE TECH'!J12)</f>
        <v>0</v>
      </c>
      <c r="O16" s="6">
        <f>IF(_xlfn.XLOOKUP($J16,$B:$B,$C:$C)="CELC",N16,'ENE TECH'!K12)</f>
        <v>0</v>
      </c>
      <c r="P16" s="6">
        <f>IF(_xlfn.XLOOKUP($J16,$B:$B,$C:$C)="CELC",O16,'ENE TECH'!L12)</f>
        <v>0</v>
      </c>
      <c r="Q16" s="6">
        <f>IF(_xlfn.XLOOKUP($J16,$B:$B,$C:$C)="CELC",P16,'ENE TECH'!M12)</f>
        <v>0</v>
      </c>
      <c r="R16" s="6">
        <f>IF(_xlfn.XLOOKUP($J16,$B:$B,$C:$C)="CELC",Q16,'ENE TECH'!N12)</f>
        <v>0</v>
      </c>
      <c r="S16" s="6">
        <f>IF(_xlfn.XLOOKUP($J16,$B:$B,$C:$C)="CELC",R16,'ENE TECH'!O12)</f>
        <v>0</v>
      </c>
      <c r="T16" s="6">
        <f>IF(_xlfn.XLOOKUP($J16,$B:$B,$C:$C)="CELC",S16,'ENE TECH'!P12)</f>
        <v>0</v>
      </c>
      <c r="U16" s="6">
        <f>IF(_xlfn.XLOOKUP($J16,$B:$B,$C:$C)="CELC",T16,'ENE TECH'!Q12)</f>
        <v>0</v>
      </c>
      <c r="V16" s="6">
        <f>IF(_xlfn.XLOOKUP($J16,$B:$B,$C:$C)="CELC",U16,'ENE TECH'!R12)</f>
        <v>0</v>
      </c>
      <c r="W16" s="6">
        <f>IF(_xlfn.XLOOKUP($J16,$B:$B,$C:$C)="CELC",V16,'ENE TECH'!S12)</f>
        <v>0</v>
      </c>
      <c r="X16" s="6">
        <f>IF(_xlfn.XLOOKUP($J16,$B:$B,$C:$C)="CELC",W16,'ENE TECH'!T12)</f>
        <v>0</v>
      </c>
      <c r="Y16" s="6">
        <f>IF(_xlfn.XLOOKUP($J16,$B:$B,$C:$C)="CELC",X16,'ENE TECH'!U12)</f>
        <v>0</v>
      </c>
      <c r="Z16" s="6">
        <f>IF(_xlfn.XLOOKUP($J16,$B:$B,$C:$C)="CELC",Y16,'ENE TECH'!V12)</f>
        <v>0</v>
      </c>
      <c r="AA16" s="6">
        <f>IF(_xlfn.XLOOKUP($J16,$B:$B,$C:$C)="CELC",Z16,'ENE TECH'!W12)</f>
        <v>0</v>
      </c>
      <c r="AB16" s="6">
        <f>IF(_xlfn.XLOOKUP($J16,$B:$B,$C:$C)="CELC",AA16,'ENE TECH'!X12)</f>
        <v>0</v>
      </c>
      <c r="AC16" s="6">
        <f>IF(_xlfn.XLOOKUP($J16,$B:$B,$C:$C)="CELC",AB16,'ENE TECH'!Y12)</f>
        <v>0</v>
      </c>
      <c r="AD16" s="6">
        <f>IF(_xlfn.XLOOKUP($J16,$B:$B,$C:$C)="CELC",AC16,'ENE TECH'!Z12)</f>
        <v>0</v>
      </c>
      <c r="AE16" s="6">
        <f>IF(_xlfn.XLOOKUP($J16,$B:$B,$C:$C)="CELC",AD16,'ENE TECH'!AA12)</f>
        <v>0</v>
      </c>
      <c r="AF16" s="6">
        <f>IF(_xlfn.XLOOKUP($J16,$B:$B,$C:$C)="CELC",AE16,'ENE TECH'!AB12)</f>
        <v>0</v>
      </c>
      <c r="AG16" s="6">
        <f>IF(_xlfn.XLOOKUP($J16,$B:$B,$C:$C)="CELC",AF16,'ENE TECH'!AC12)</f>
        <v>0</v>
      </c>
    </row>
    <row r="17" spans="2:33" x14ac:dyDescent="0.25">
      <c r="B17" t="str">
        <f>Def_Tech!D15</f>
        <v>COMLPG19</v>
      </c>
      <c r="C17" t="str">
        <f t="shared" si="1"/>
        <v>LPG</v>
      </c>
      <c r="D17" t="str">
        <f>Def_Comm!C15</f>
        <v>COMLPG</v>
      </c>
      <c r="E17" t="s">
        <v>396</v>
      </c>
      <c r="F17">
        <v>1</v>
      </c>
      <c r="J17" t="str">
        <f t="shared" si="2"/>
        <v>COMLPG19</v>
      </c>
      <c r="K17" t="str">
        <f t="shared" si="3"/>
        <v/>
      </c>
      <c r="L17" s="6">
        <f>IF(_xlfn.XLOOKUP($J17,$B:$B,$C:$C)="CELC",'ENE TECH'!H13-5,'ENE TECH'!H13)</f>
        <v>15.79639121863446</v>
      </c>
      <c r="M17" s="6">
        <f>IF(_xlfn.XLOOKUP($J17,$B:$B,$C:$C)="CELC",L17,'ENE TECH'!I13)</f>
        <v>14.36514333664662</v>
      </c>
      <c r="N17" s="6">
        <f>IF(_xlfn.XLOOKUP($J17,$B:$B,$C:$C)="CELC",M17,'ENE TECH'!J13)</f>
        <v>21.949635704889548</v>
      </c>
      <c r="O17" s="6">
        <f>IF(_xlfn.XLOOKUP($J17,$B:$B,$C:$C)="CELC",N17,'ENE TECH'!K13)</f>
        <v>23.706221111685512</v>
      </c>
      <c r="P17" s="6">
        <f>IF(_xlfn.XLOOKUP($J17,$B:$B,$C:$C)="CELC",O17,'ENE TECH'!L13)</f>
        <v>22.14642762839463</v>
      </c>
      <c r="Q17" s="6">
        <f>IF(_xlfn.XLOOKUP($J17,$B:$B,$C:$C)="CELC",P17,'ENE TECH'!M13)</f>
        <v>20.587192823846621</v>
      </c>
      <c r="R17" s="6">
        <f>IF(_xlfn.XLOOKUP($J17,$B:$B,$C:$C)="CELC",Q17,'ENE TECH'!N13)</f>
        <v>19.055313572750379</v>
      </c>
      <c r="S17" s="6">
        <f>IF(_xlfn.XLOOKUP($J17,$B:$B,$C:$C)="CELC",R17,'ENE TECH'!O13)</f>
        <v>19.150875922566179</v>
      </c>
      <c r="T17" s="6">
        <f>IF(_xlfn.XLOOKUP($J17,$B:$B,$C:$C)="CELC",S17,'ENE TECH'!P13)</f>
        <v>22.286657940317731</v>
      </c>
      <c r="U17" s="6">
        <f>IF(_xlfn.XLOOKUP($J17,$B:$B,$C:$C)="CELC",T17,'ENE TECH'!Q13)</f>
        <v>24.661889508996332</v>
      </c>
      <c r="V17" s="6">
        <f>IF(_xlfn.XLOOKUP($J17,$B:$B,$C:$C)="CELC",U17,'ENE TECH'!R13)</f>
        <v>26.631887048857159</v>
      </c>
      <c r="W17" s="6">
        <f>IF(_xlfn.XLOOKUP($J17,$B:$B,$C:$C)="CELC",V17,'ENE TECH'!S13)</f>
        <v>28.104430872191578</v>
      </c>
      <c r="X17" s="6">
        <f>IF(_xlfn.XLOOKUP($J17,$B:$B,$C:$C)="CELC",W17,'ENE TECH'!T13)</f>
        <v>28.104430872191578</v>
      </c>
      <c r="Y17" s="6">
        <f>IF(_xlfn.XLOOKUP($J17,$B:$B,$C:$C)="CELC",X17,'ENE TECH'!U13)</f>
        <v>28.104430872191578</v>
      </c>
      <c r="Z17" s="6">
        <f>IF(_xlfn.XLOOKUP($J17,$B:$B,$C:$C)="CELC",Y17,'ENE TECH'!V13)</f>
        <v>28.104430872191578</v>
      </c>
      <c r="AA17" s="6">
        <f>IF(_xlfn.XLOOKUP($J17,$B:$B,$C:$C)="CELC",Z17,'ENE TECH'!W13)</f>
        <v>28.104430872191578</v>
      </c>
      <c r="AB17" s="6">
        <f>IF(_xlfn.XLOOKUP($J17,$B:$B,$C:$C)="CELC",AA17,'ENE TECH'!X13)</f>
        <v>28.104430872191578</v>
      </c>
      <c r="AC17" s="6">
        <f>IF(_xlfn.XLOOKUP($J17,$B:$B,$C:$C)="CELC",AB17,'ENE TECH'!Y13)</f>
        <v>28.104430872191578</v>
      </c>
      <c r="AD17" s="6">
        <f>IF(_xlfn.XLOOKUP($J17,$B:$B,$C:$C)="CELC",AC17,'ENE TECH'!Z13)</f>
        <v>28.104430872191578</v>
      </c>
      <c r="AE17" s="6">
        <f>IF(_xlfn.XLOOKUP($J17,$B:$B,$C:$C)="CELC",AD17,'ENE TECH'!AA13)</f>
        <v>28.104430872191578</v>
      </c>
      <c r="AF17" s="6">
        <f>IF(_xlfn.XLOOKUP($J17,$B:$B,$C:$C)="CELC",AE17,'ENE TECH'!AB13)</f>
        <v>28.104430872191578</v>
      </c>
      <c r="AG17" s="6">
        <f>IF(_xlfn.XLOOKUP($J17,$B:$B,$C:$C)="CELC",AF17,'ENE TECH'!AC13)</f>
        <v>28.104430872191578</v>
      </c>
    </row>
    <row r="18" spans="2:33" x14ac:dyDescent="0.25">
      <c r="B18" t="str">
        <f>Def_Tech!D16</f>
        <v>COMDSL19</v>
      </c>
      <c r="C18" t="str">
        <f t="shared" si="1"/>
        <v>DSL</v>
      </c>
      <c r="D18" t="str">
        <f>Def_Comm!C16</f>
        <v>COMDSL</v>
      </c>
      <c r="E18" t="s">
        <v>396</v>
      </c>
      <c r="F18">
        <v>1</v>
      </c>
      <c r="J18" t="str">
        <f t="shared" si="2"/>
        <v>COMDSL19</v>
      </c>
      <c r="K18" t="str">
        <f t="shared" si="3"/>
        <v/>
      </c>
      <c r="L18" s="6">
        <f>IF(_xlfn.XLOOKUP($J18,$B:$B,$C:$C)="CELC",'ENE TECH'!H14-5,'ENE TECH'!H14)</f>
        <v>17.387076767923521</v>
      </c>
      <c r="M18" s="6">
        <f>IF(_xlfn.XLOOKUP($J18,$B:$B,$C:$C)="CELC",L18,'ENE TECH'!I14)</f>
        <v>11.511644320379199</v>
      </c>
      <c r="N18" s="6">
        <f>IF(_xlfn.XLOOKUP($J18,$B:$B,$C:$C)="CELC",M18,'ENE TECH'!J14)</f>
        <v>18.252065237024851</v>
      </c>
      <c r="O18" s="6">
        <f>IF(_xlfn.XLOOKUP($J18,$B:$B,$C:$C)="CELC",N18,'ENE TECH'!K14)</f>
        <v>19.712741481054891</v>
      </c>
      <c r="P18" s="6">
        <f>IF(_xlfn.XLOOKUP($J18,$B:$B,$C:$C)="CELC",O18,'ENE TECH'!L14)</f>
        <v>18.085099364693491</v>
      </c>
      <c r="Q18" s="6">
        <f>IF(_xlfn.XLOOKUP($J18,$B:$B,$C:$C)="CELC",P18,'ENE TECH'!M14)</f>
        <v>16.65661177013072</v>
      </c>
      <c r="R18" s="6">
        <f>IF(_xlfn.XLOOKUP($J18,$B:$B,$C:$C)="CELC",Q18,'ENE TECH'!N14)</f>
        <v>15.093245859978</v>
      </c>
      <c r="S18" s="6">
        <f>IF(_xlfn.XLOOKUP($J18,$B:$B,$C:$C)="CELC",R18,'ENE TECH'!O14)</f>
        <v>13.112383648677341</v>
      </c>
      <c r="T18" s="6">
        <f>IF(_xlfn.XLOOKUP($J18,$B:$B,$C:$C)="CELC",S18,'ENE TECH'!P14)</f>
        <v>14.11566755777924</v>
      </c>
      <c r="U18" s="6">
        <f>IF(_xlfn.XLOOKUP($J18,$B:$B,$C:$C)="CELC",T18,'ENE TECH'!Q14)</f>
        <v>15.252309763223661</v>
      </c>
      <c r="V18" s="6">
        <f>IF(_xlfn.XLOOKUP($J18,$B:$B,$C:$C)="CELC",U18,'ENE TECH'!R14)</f>
        <v>16.270150774064241</v>
      </c>
      <c r="W18" s="6">
        <f>IF(_xlfn.XLOOKUP($J18,$B:$B,$C:$C)="CELC",V18,'ENE TECH'!S14)</f>
        <v>17.126832834285931</v>
      </c>
      <c r="X18" s="6">
        <f>IF(_xlfn.XLOOKUP($J18,$B:$B,$C:$C)="CELC",W18,'ENE TECH'!T14)</f>
        <v>17.126832834285931</v>
      </c>
      <c r="Y18" s="6">
        <f>IF(_xlfn.XLOOKUP($J18,$B:$B,$C:$C)="CELC",X18,'ENE TECH'!U14)</f>
        <v>17.126832834285931</v>
      </c>
      <c r="Z18" s="6">
        <f>IF(_xlfn.XLOOKUP($J18,$B:$B,$C:$C)="CELC",Y18,'ENE TECH'!V14)</f>
        <v>17.126832834285931</v>
      </c>
      <c r="AA18" s="6">
        <f>IF(_xlfn.XLOOKUP($J18,$B:$B,$C:$C)="CELC",Z18,'ENE TECH'!W14)</f>
        <v>17.126832834285931</v>
      </c>
      <c r="AB18" s="6">
        <f>IF(_xlfn.XLOOKUP($J18,$B:$B,$C:$C)="CELC",AA18,'ENE TECH'!X14)</f>
        <v>17.126832834285931</v>
      </c>
      <c r="AC18" s="6">
        <f>IF(_xlfn.XLOOKUP($J18,$B:$B,$C:$C)="CELC",AB18,'ENE TECH'!Y14)</f>
        <v>17.126832834285931</v>
      </c>
      <c r="AD18" s="6">
        <f>IF(_xlfn.XLOOKUP($J18,$B:$B,$C:$C)="CELC",AC18,'ENE TECH'!Z14)</f>
        <v>17.126832834285931</v>
      </c>
      <c r="AE18" s="6">
        <f>IF(_xlfn.XLOOKUP($J18,$B:$B,$C:$C)="CELC",AD18,'ENE TECH'!AA14)</f>
        <v>17.126832834285931</v>
      </c>
      <c r="AF18" s="6">
        <f>IF(_xlfn.XLOOKUP($J18,$B:$B,$C:$C)="CELC",AE18,'ENE TECH'!AB14)</f>
        <v>17.126832834285931</v>
      </c>
      <c r="AG18" s="6">
        <f>IF(_xlfn.XLOOKUP($J18,$B:$B,$C:$C)="CELC",AF18,'ENE TECH'!AC14)</f>
        <v>17.126832834285931</v>
      </c>
    </row>
    <row r="19" spans="2:33" x14ac:dyDescent="0.25">
      <c r="B19" t="str">
        <f>Def_Tech!D17</f>
        <v>COMFOI19</v>
      </c>
      <c r="C19" t="str">
        <f t="shared" si="1"/>
        <v>FOI</v>
      </c>
      <c r="D19" t="str">
        <f>Def_Comm!C17</f>
        <v>COMFOI</v>
      </c>
      <c r="E19" t="s">
        <v>396</v>
      </c>
      <c r="F19">
        <v>1</v>
      </c>
      <c r="J19" t="str">
        <f t="shared" si="2"/>
        <v>COMFOI19</v>
      </c>
      <c r="K19" t="str">
        <f t="shared" si="3"/>
        <v/>
      </c>
      <c r="L19" s="6">
        <f>IF(_xlfn.XLOOKUP($J19,$B:$B,$C:$C)="CELC",'ENE TECH'!H15-5,'ENE TECH'!H15)</f>
        <v>17.387076767923521</v>
      </c>
      <c r="M19" s="6">
        <f>IF(_xlfn.XLOOKUP($J19,$B:$B,$C:$C)="CELC",L19,'ENE TECH'!I15)</f>
        <v>11.511644320379199</v>
      </c>
      <c r="N19" s="6">
        <f>IF(_xlfn.XLOOKUP($J19,$B:$B,$C:$C)="CELC",M19,'ENE TECH'!J15)</f>
        <v>18.252065237024851</v>
      </c>
      <c r="O19" s="6">
        <f>IF(_xlfn.XLOOKUP($J19,$B:$B,$C:$C)="CELC",N19,'ENE TECH'!K15)</f>
        <v>19.712741481054891</v>
      </c>
      <c r="P19" s="6">
        <f>IF(_xlfn.XLOOKUP($J19,$B:$B,$C:$C)="CELC",O19,'ENE TECH'!L15)</f>
        <v>12.04250115734091</v>
      </c>
      <c r="Q19" s="6">
        <f>IF(_xlfn.XLOOKUP($J19,$B:$B,$C:$C)="CELC",P19,'ENE TECH'!M15)</f>
        <v>14.29515236731695</v>
      </c>
      <c r="R19" s="6">
        <f>IF(_xlfn.XLOOKUP($J19,$B:$B,$C:$C)="CELC",Q19,'ENE TECH'!N15)</f>
        <v>14.50162642406179</v>
      </c>
      <c r="S19" s="6">
        <f>IF(_xlfn.XLOOKUP($J19,$B:$B,$C:$C)="CELC",R19,'ENE TECH'!O15)</f>
        <v>22.312093912701702</v>
      </c>
      <c r="T19" s="6">
        <f>IF(_xlfn.XLOOKUP($J19,$B:$B,$C:$C)="CELC",S19,'ENE TECH'!P15)</f>
        <v>24.510554488279571</v>
      </c>
      <c r="U19" s="6">
        <f>IF(_xlfn.XLOOKUP($J19,$B:$B,$C:$C)="CELC",T19,'ENE TECH'!Q15)</f>
        <v>26.868519097484011</v>
      </c>
      <c r="V19" s="6">
        <f>IF(_xlfn.XLOOKUP($J19,$B:$B,$C:$C)="CELC",U19,'ENE TECH'!R15)</f>
        <v>29.144687341305261</v>
      </c>
      <c r="W19" s="6">
        <f>IF(_xlfn.XLOOKUP($J19,$B:$B,$C:$C)="CELC",V19,'ENE TECH'!S15)</f>
        <v>31.154017009889959</v>
      </c>
      <c r="X19" s="6">
        <f>IF(_xlfn.XLOOKUP($J19,$B:$B,$C:$C)="CELC",W19,'ENE TECH'!T15)</f>
        <v>31.154017009889959</v>
      </c>
      <c r="Y19" s="6">
        <f>IF(_xlfn.XLOOKUP($J19,$B:$B,$C:$C)="CELC",X19,'ENE TECH'!U15)</f>
        <v>31.154017009889959</v>
      </c>
      <c r="Z19" s="6">
        <f>IF(_xlfn.XLOOKUP($J19,$B:$B,$C:$C)="CELC",Y19,'ENE TECH'!V15)</f>
        <v>31.154017009889959</v>
      </c>
      <c r="AA19" s="6">
        <f>IF(_xlfn.XLOOKUP($J19,$B:$B,$C:$C)="CELC",Z19,'ENE TECH'!W15)</f>
        <v>31.154017009889959</v>
      </c>
      <c r="AB19" s="6">
        <f>IF(_xlfn.XLOOKUP($J19,$B:$B,$C:$C)="CELC",AA19,'ENE TECH'!X15)</f>
        <v>31.154017009889959</v>
      </c>
      <c r="AC19" s="6">
        <f>IF(_xlfn.XLOOKUP($J19,$B:$B,$C:$C)="CELC",AB19,'ENE TECH'!Y15)</f>
        <v>31.154017009889959</v>
      </c>
      <c r="AD19" s="6">
        <f>IF(_xlfn.XLOOKUP($J19,$B:$B,$C:$C)="CELC",AC19,'ENE TECH'!Z15)</f>
        <v>31.154017009889959</v>
      </c>
      <c r="AE19" s="6">
        <f>IF(_xlfn.XLOOKUP($J19,$B:$B,$C:$C)="CELC",AD19,'ENE TECH'!AA15)</f>
        <v>31.154017009889959</v>
      </c>
      <c r="AF19" s="6">
        <f>IF(_xlfn.XLOOKUP($J19,$B:$B,$C:$C)="CELC",AE19,'ENE TECH'!AB15)</f>
        <v>31.154017009889959</v>
      </c>
      <c r="AG19" s="6">
        <f>IF(_xlfn.XLOOKUP($J19,$B:$B,$C:$C)="CELC",AF19,'ENE TECH'!AC15)</f>
        <v>31.154017009889959</v>
      </c>
    </row>
    <row r="20" spans="2:33" x14ac:dyDescent="0.25">
      <c r="B20" t="str">
        <f>Def_Tech!D18</f>
        <v>COMKER19</v>
      </c>
      <c r="C20" t="str">
        <f t="shared" si="1"/>
        <v>KER</v>
      </c>
      <c r="D20" t="str">
        <f>Def_Comm!C18</f>
        <v>COMKER</v>
      </c>
      <c r="E20" t="s">
        <v>396</v>
      </c>
      <c r="F20">
        <v>1</v>
      </c>
      <c r="J20" t="str">
        <f t="shared" si="2"/>
        <v>COMKER19</v>
      </c>
      <c r="K20" t="str">
        <f t="shared" si="3"/>
        <v/>
      </c>
      <c r="L20" s="6">
        <f>IF(_xlfn.XLOOKUP($J20,$B:$B,$C:$C)="CELC",'ENE TECH'!H16-5,'ENE TECH'!H16)</f>
        <v>24.732951005959819</v>
      </c>
      <c r="M20" s="6">
        <f>IF(_xlfn.XLOOKUP($J20,$B:$B,$C:$C)="CELC",L20,'ENE TECH'!I16)</f>
        <v>15.77561813556207</v>
      </c>
      <c r="N20" s="6">
        <f>IF(_xlfn.XLOOKUP($J20,$B:$B,$C:$C)="CELC",M20,'ENE TECH'!J16)</f>
        <v>24.57544661685143</v>
      </c>
      <c r="O20" s="6">
        <f>IF(_xlfn.XLOOKUP($J20,$B:$B,$C:$C)="CELC",N20,'ENE TECH'!K16)</f>
        <v>26.542170414597098</v>
      </c>
      <c r="P20" s="6">
        <f>IF(_xlfn.XLOOKUP($J20,$B:$B,$C:$C)="CELC",O20,'ENE TECH'!L16)</f>
        <v>24.350635844534441</v>
      </c>
      <c r="Q20" s="6">
        <f>IF(_xlfn.XLOOKUP($J20,$B:$B,$C:$C)="CELC",P20,'ENE TECH'!M16)</f>
        <v>22.427252371643998</v>
      </c>
      <c r="R20" s="6">
        <f>IF(_xlfn.XLOOKUP($J20,$B:$B,$C:$C)="CELC",Q20,'ENE TECH'!N16)</f>
        <v>20.322262335249292</v>
      </c>
      <c r="S20" s="6">
        <f>IF(_xlfn.XLOOKUP($J20,$B:$B,$C:$C)="CELC",R20,'ENE TECH'!O16)</f>
        <v>17.6551354705914</v>
      </c>
      <c r="T20" s="6">
        <f>IF(_xlfn.XLOOKUP($J20,$B:$B,$C:$C)="CELC",S20,'ENE TECH'!P16)</f>
        <v>19.006004527297581</v>
      </c>
      <c r="U20" s="6">
        <f>IF(_xlfn.XLOOKUP($J20,$B:$B,$C:$C)="CELC",T20,'ENE TECH'!Q16)</f>
        <v>20.536433521474951</v>
      </c>
      <c r="V20" s="6">
        <f>IF(_xlfn.XLOOKUP($J20,$B:$B,$C:$C)="CELC",U20,'ENE TECH'!R16)</f>
        <v>21.90690295063375</v>
      </c>
      <c r="W20" s="6">
        <f>IF(_xlfn.XLOOKUP($J20,$B:$B,$C:$C)="CELC",V20,'ENE TECH'!S16)</f>
        <v>23.060380322382638</v>
      </c>
      <c r="X20" s="6">
        <f>IF(_xlfn.XLOOKUP($J20,$B:$B,$C:$C)="CELC",W20,'ENE TECH'!T16)</f>
        <v>23.060380322382638</v>
      </c>
      <c r="Y20" s="6">
        <f>IF(_xlfn.XLOOKUP($J20,$B:$B,$C:$C)="CELC",X20,'ENE TECH'!U16)</f>
        <v>23.060380322382638</v>
      </c>
      <c r="Z20" s="6">
        <f>IF(_xlfn.XLOOKUP($J20,$B:$B,$C:$C)="CELC",Y20,'ENE TECH'!V16)</f>
        <v>23.060380322382638</v>
      </c>
      <c r="AA20" s="6">
        <f>IF(_xlfn.XLOOKUP($J20,$B:$B,$C:$C)="CELC",Z20,'ENE TECH'!W16)</f>
        <v>23.060380322382638</v>
      </c>
      <c r="AB20" s="6">
        <f>IF(_xlfn.XLOOKUP($J20,$B:$B,$C:$C)="CELC",AA20,'ENE TECH'!X16)</f>
        <v>23.060380322382638</v>
      </c>
      <c r="AC20" s="6">
        <f>IF(_xlfn.XLOOKUP($J20,$B:$B,$C:$C)="CELC",AB20,'ENE TECH'!Y16)</f>
        <v>23.060380322382638</v>
      </c>
      <c r="AD20" s="6">
        <f>IF(_xlfn.XLOOKUP($J20,$B:$B,$C:$C)="CELC",AC20,'ENE TECH'!Z16)</f>
        <v>23.060380322382638</v>
      </c>
      <c r="AE20" s="6">
        <f>IF(_xlfn.XLOOKUP($J20,$B:$B,$C:$C)="CELC",AD20,'ENE TECH'!AA16)</f>
        <v>23.060380322382638</v>
      </c>
      <c r="AF20" s="6">
        <f>IF(_xlfn.XLOOKUP($J20,$B:$B,$C:$C)="CELC",AE20,'ENE TECH'!AB16)</f>
        <v>23.060380322382638</v>
      </c>
      <c r="AG20" s="6">
        <f>IF(_xlfn.XLOOKUP($J20,$B:$B,$C:$C)="CELC",AF20,'ENE TECH'!AC16)</f>
        <v>23.060380322382638</v>
      </c>
    </row>
    <row r="21" spans="2:33" x14ac:dyDescent="0.25">
      <c r="B21" t="str">
        <f>Def_Tech!D19</f>
        <v>COMGSL19</v>
      </c>
      <c r="C21" t="str">
        <f t="shared" si="1"/>
        <v>GSL</v>
      </c>
      <c r="D21" t="str">
        <f>Def_Comm!C19</f>
        <v>COMGSL</v>
      </c>
      <c r="E21" t="s">
        <v>396</v>
      </c>
      <c r="F21">
        <v>1</v>
      </c>
      <c r="J21" t="str">
        <f t="shared" si="2"/>
        <v>COMGSL19</v>
      </c>
      <c r="K21" t="str">
        <f t="shared" si="3"/>
        <v/>
      </c>
      <c r="L21" s="6">
        <f>IF(_xlfn.XLOOKUP($J21,$B:$B,$C:$C)="CELC",'ENE TECH'!H17-5,'ENE TECH'!H17)</f>
        <v>23.164358311522001</v>
      </c>
      <c r="M21" s="6">
        <f>IF(_xlfn.XLOOKUP($J21,$B:$B,$C:$C)="CELC",L21,'ENE TECH'!I17)</f>
        <v>19.37775377586923</v>
      </c>
      <c r="N21" s="6">
        <f>IF(_xlfn.XLOOKUP($J21,$B:$B,$C:$C)="CELC",M21,'ENE TECH'!J17)</f>
        <v>25.58290059940007</v>
      </c>
      <c r="O21" s="6">
        <f>IF(_xlfn.XLOOKUP($J21,$B:$B,$C:$C)="CELC",N21,'ENE TECH'!K17)</f>
        <v>27.630248922652981</v>
      </c>
      <c r="P21" s="6">
        <f>IF(_xlfn.XLOOKUP($J21,$B:$B,$C:$C)="CELC",O21,'ENE TECH'!L17)</f>
        <v>25.34887385996673</v>
      </c>
      <c r="Q21" s="6">
        <f>IF(_xlfn.XLOOKUP($J21,$B:$B,$C:$C)="CELC",P21,'ENE TECH'!M17)</f>
        <v>23.346642569173241</v>
      </c>
      <c r="R21" s="6">
        <f>IF(_xlfn.XLOOKUP($J21,$B:$B,$C:$C)="CELC",Q21,'ENE TECH'!N17)</f>
        <v>21.155359875377261</v>
      </c>
      <c r="S21" s="6">
        <f>IF(_xlfn.XLOOKUP($J21,$B:$B,$C:$C)="CELC",R21,'ENE TECH'!O17)</f>
        <v>18.37889593035397</v>
      </c>
      <c r="T21" s="6">
        <f>IF(_xlfn.XLOOKUP($J21,$B:$B,$C:$C)="CELC",S21,'ENE TECH'!P17)</f>
        <v>19.78514295972932</v>
      </c>
      <c r="U21" s="6">
        <f>IF(_xlfn.XLOOKUP($J21,$B:$B,$C:$C)="CELC",T21,'ENE TECH'!Q17)</f>
        <v>21.378310866009901</v>
      </c>
      <c r="V21" s="6">
        <f>IF(_xlfn.XLOOKUP($J21,$B:$B,$C:$C)="CELC",U21,'ENE TECH'!R17)</f>
        <v>22.804961771985511</v>
      </c>
      <c r="W21" s="6">
        <f>IF(_xlfn.XLOOKUP($J21,$B:$B,$C:$C)="CELC",V21,'ENE TECH'!S17)</f>
        <v>24.005725176418391</v>
      </c>
      <c r="X21" s="6">
        <f>IF(_xlfn.XLOOKUP($J21,$B:$B,$C:$C)="CELC",W21,'ENE TECH'!T17)</f>
        <v>24.005725176418391</v>
      </c>
      <c r="Y21" s="6">
        <f>IF(_xlfn.XLOOKUP($J21,$B:$B,$C:$C)="CELC",X21,'ENE TECH'!U17)</f>
        <v>24.005725176418391</v>
      </c>
      <c r="Z21" s="6">
        <f>IF(_xlfn.XLOOKUP($J21,$B:$B,$C:$C)="CELC",Y21,'ENE TECH'!V17)</f>
        <v>24.005725176418391</v>
      </c>
      <c r="AA21" s="6">
        <f>IF(_xlfn.XLOOKUP($J21,$B:$B,$C:$C)="CELC",Z21,'ENE TECH'!W17)</f>
        <v>24.005725176418391</v>
      </c>
      <c r="AB21" s="6">
        <f>IF(_xlfn.XLOOKUP($J21,$B:$B,$C:$C)="CELC",AA21,'ENE TECH'!X17)</f>
        <v>24.005725176418391</v>
      </c>
      <c r="AC21" s="6">
        <f>IF(_xlfn.XLOOKUP($J21,$B:$B,$C:$C)="CELC",AB21,'ENE TECH'!Y17)</f>
        <v>24.005725176418391</v>
      </c>
      <c r="AD21" s="6">
        <f>IF(_xlfn.XLOOKUP($J21,$B:$B,$C:$C)="CELC",AC21,'ENE TECH'!Z17)</f>
        <v>24.005725176418391</v>
      </c>
      <c r="AE21" s="6">
        <f>IF(_xlfn.XLOOKUP($J21,$B:$B,$C:$C)="CELC",AD21,'ENE TECH'!AA17)</f>
        <v>24.005725176418391</v>
      </c>
      <c r="AF21" s="6">
        <f>IF(_xlfn.XLOOKUP($J21,$B:$B,$C:$C)="CELC",AE21,'ENE TECH'!AB17)</f>
        <v>24.005725176418391</v>
      </c>
      <c r="AG21" s="6">
        <f>IF(_xlfn.XLOOKUP($J21,$B:$B,$C:$C)="CELC",AF21,'ENE TECH'!AC17)</f>
        <v>24.005725176418391</v>
      </c>
    </row>
    <row r="22" spans="2:33" x14ac:dyDescent="0.25">
      <c r="B22" t="str">
        <f>Def_Tech!D20</f>
        <v>COMNGA19</v>
      </c>
      <c r="C22" t="str">
        <f t="shared" si="1"/>
        <v>NGA</v>
      </c>
      <c r="D22" t="str">
        <f>Def_Comm!C20</f>
        <v>COMNGA</v>
      </c>
      <c r="E22" t="s">
        <v>396</v>
      </c>
      <c r="F22">
        <v>1</v>
      </c>
      <c r="J22" t="str">
        <f t="shared" si="2"/>
        <v>COMNGA19</v>
      </c>
      <c r="K22" t="str">
        <f t="shared" si="3"/>
        <v/>
      </c>
      <c r="L22" s="6">
        <f>IF(_xlfn.XLOOKUP($J22,$B:$B,$C:$C)="CELC",'ENE TECH'!H18-5,'ENE TECH'!H18)</f>
        <v>7.710406343081714</v>
      </c>
      <c r="M22" s="6">
        <f>IF(_xlfn.XLOOKUP($J22,$B:$B,$C:$C)="CELC",L22,'ENE TECH'!I18)</f>
        <v>7.2259708929053224</v>
      </c>
      <c r="N22" s="6">
        <f>IF(_xlfn.XLOOKUP($J22,$B:$B,$C:$C)="CELC",M22,'ENE TECH'!J18)</f>
        <v>8.2096781982155242</v>
      </c>
      <c r="O22" s="6">
        <f>IF(_xlfn.XLOOKUP($J22,$B:$B,$C:$C)="CELC",N22,'ENE TECH'!K18)</f>
        <v>8.8666823103276844</v>
      </c>
      <c r="P22" s="6">
        <f>IF(_xlfn.XLOOKUP($J22,$B:$B,$C:$C)="CELC",O22,'ENE TECH'!L18)</f>
        <v>8.1872197266335256</v>
      </c>
      <c r="Q22" s="6">
        <f>IF(_xlfn.XLOOKUP($J22,$B:$B,$C:$C)="CELC",P22,'ENE TECH'!M18)</f>
        <v>7.2553840421977354</v>
      </c>
      <c r="R22" s="6">
        <f>IF(_xlfn.XLOOKUP($J22,$B:$B,$C:$C)="CELC",Q22,'ENE TECH'!N18)</f>
        <v>6.9579136242710602</v>
      </c>
      <c r="S22" s="6">
        <f>IF(_xlfn.XLOOKUP($J22,$B:$B,$C:$C)="CELC",R22,'ENE TECH'!O18)</f>
        <v>6.9767662127651624</v>
      </c>
      <c r="T22" s="6">
        <f>IF(_xlfn.XLOOKUP($J22,$B:$B,$C:$C)="CELC",S22,'ENE TECH'!P18)</f>
        <v>7.8550131792602134</v>
      </c>
      <c r="U22" s="6">
        <f>IF(_xlfn.XLOOKUP($J22,$B:$B,$C:$C)="CELC",T22,'ENE TECH'!Q18)</f>
        <v>8.6079722000311651</v>
      </c>
      <c r="V22" s="6">
        <f>IF(_xlfn.XLOOKUP($J22,$B:$B,$C:$C)="CELC",U22,'ENE TECH'!R18)</f>
        <v>9.0230732066085029</v>
      </c>
      <c r="W22" s="6">
        <f>IF(_xlfn.XLOOKUP($J22,$B:$B,$C:$C)="CELC",V22,'ENE TECH'!S18)</f>
        <v>9.4628453203511178</v>
      </c>
      <c r="X22" s="6">
        <f>IF(_xlfn.XLOOKUP($J22,$B:$B,$C:$C)="CELC",W22,'ENE TECH'!T18)</f>
        <v>9.4628453203511178</v>
      </c>
      <c r="Y22" s="6">
        <f>IF(_xlfn.XLOOKUP($J22,$B:$B,$C:$C)="CELC",X22,'ENE TECH'!U18)</f>
        <v>9.4628453203511178</v>
      </c>
      <c r="Z22" s="6">
        <f>IF(_xlfn.XLOOKUP($J22,$B:$B,$C:$C)="CELC",Y22,'ENE TECH'!V18)</f>
        <v>9.4628453203511178</v>
      </c>
      <c r="AA22" s="6">
        <f>IF(_xlfn.XLOOKUP($J22,$B:$B,$C:$C)="CELC",Z22,'ENE TECH'!W18)</f>
        <v>9.4628453203511178</v>
      </c>
      <c r="AB22" s="6">
        <f>IF(_xlfn.XLOOKUP($J22,$B:$B,$C:$C)="CELC",AA22,'ENE TECH'!X18)</f>
        <v>9.4628453203511178</v>
      </c>
      <c r="AC22" s="6">
        <f>IF(_xlfn.XLOOKUP($J22,$B:$B,$C:$C)="CELC",AB22,'ENE TECH'!Y18)</f>
        <v>9.4628453203511178</v>
      </c>
      <c r="AD22" s="6">
        <f>IF(_xlfn.XLOOKUP($J22,$B:$B,$C:$C)="CELC",AC22,'ENE TECH'!Z18)</f>
        <v>9.4628453203511178</v>
      </c>
      <c r="AE22" s="6">
        <f>IF(_xlfn.XLOOKUP($J22,$B:$B,$C:$C)="CELC",AD22,'ENE TECH'!AA18)</f>
        <v>9.4628453203511178</v>
      </c>
      <c r="AF22" s="6">
        <f>IF(_xlfn.XLOOKUP($J22,$B:$B,$C:$C)="CELC",AE22,'ENE TECH'!AB18)</f>
        <v>9.4628453203511178</v>
      </c>
      <c r="AG22" s="6">
        <f>IF(_xlfn.XLOOKUP($J22,$B:$B,$C:$C)="CELC",AF22,'ENE TECH'!AC18)</f>
        <v>9.4628453203511178</v>
      </c>
    </row>
    <row r="23" spans="2:33" x14ac:dyDescent="0.25">
      <c r="B23" t="str">
        <f>Def_Tech!D21</f>
        <v>COMRNG19</v>
      </c>
      <c r="C23" t="str">
        <f t="shared" si="1"/>
        <v>RNG</v>
      </c>
      <c r="D23" t="str">
        <f>Def_Comm!C21</f>
        <v>COMRNG</v>
      </c>
      <c r="E23" t="s">
        <v>396</v>
      </c>
      <c r="F23">
        <v>1</v>
      </c>
      <c r="J23" t="str">
        <f t="shared" si="2"/>
        <v>COMRNG19</v>
      </c>
      <c r="K23" t="str">
        <f t="shared" si="3"/>
        <v/>
      </c>
      <c r="L23" s="6">
        <f>IF(_xlfn.XLOOKUP($J23,$B:$B,$C:$C)="CELC",'ENE TECH'!H19-5,'ENE TECH'!H19)</f>
        <v>15.42081268616343</v>
      </c>
      <c r="M23" s="6">
        <f>IF(_xlfn.XLOOKUP($J23,$B:$B,$C:$C)="CELC",L23,'ENE TECH'!I19)</f>
        <v>14.451941785810639</v>
      </c>
      <c r="N23" s="6">
        <f>IF(_xlfn.XLOOKUP($J23,$B:$B,$C:$C)="CELC",M23,'ENE TECH'!J19)</f>
        <v>16.419356396431048</v>
      </c>
      <c r="O23" s="6">
        <f>IF(_xlfn.XLOOKUP($J23,$B:$B,$C:$C)="CELC",N23,'ENE TECH'!K19)</f>
        <v>17.733364620655369</v>
      </c>
      <c r="P23" s="6">
        <f>IF(_xlfn.XLOOKUP($J23,$B:$B,$C:$C)="CELC",O23,'ENE TECH'!L19)</f>
        <v>17.122494420463191</v>
      </c>
      <c r="Q23" s="6">
        <f>IF(_xlfn.XLOOKUP($J23,$B:$B,$C:$C)="CELC",P23,'ENE TECH'!M19)</f>
        <v>15.367440466296481</v>
      </c>
      <c r="R23" s="6">
        <f>IF(_xlfn.XLOOKUP($J23,$B:$B,$C:$C)="CELC",Q23,'ENE TECH'!N19)</f>
        <v>14.65044188560065</v>
      </c>
      <c r="S23" s="6">
        <f>IF(_xlfn.XLOOKUP($J23,$B:$B,$C:$C)="CELC",R23,'ENE TECH'!O19)</f>
        <v>14.21406097394906</v>
      </c>
      <c r="T23" s="6">
        <f>IF(_xlfn.XLOOKUP($J23,$B:$B,$C:$C)="CELC",S23,'ENE TECH'!P19)</f>
        <v>15.93395504331829</v>
      </c>
      <c r="U23" s="6">
        <f>IF(_xlfn.XLOOKUP($J23,$B:$B,$C:$C)="CELC",T23,'ENE TECH'!Q19)</f>
        <v>17.44270730357557</v>
      </c>
      <c r="V23" s="6">
        <f>IF(_xlfn.XLOOKUP($J23,$B:$B,$C:$C)="CELC",U23,'ENE TECH'!R19)</f>
        <v>18.38426990957997</v>
      </c>
      <c r="W23" s="6">
        <f>IF(_xlfn.XLOOKUP($J23,$B:$B,$C:$C)="CELC",V23,'ENE TECH'!S19)</f>
        <v>19.32184819418891</v>
      </c>
      <c r="X23" s="6">
        <f>IF(_xlfn.XLOOKUP($J23,$B:$B,$C:$C)="CELC",W23,'ENE TECH'!T19)</f>
        <v>19.32184819418891</v>
      </c>
      <c r="Y23" s="6">
        <f>IF(_xlfn.XLOOKUP($J23,$B:$B,$C:$C)="CELC",X23,'ENE TECH'!U19)</f>
        <v>19.32184819418891</v>
      </c>
      <c r="Z23" s="6">
        <f>IF(_xlfn.XLOOKUP($J23,$B:$B,$C:$C)="CELC",Y23,'ENE TECH'!V19)</f>
        <v>19.32184819418891</v>
      </c>
      <c r="AA23" s="6">
        <f>IF(_xlfn.XLOOKUP($J23,$B:$B,$C:$C)="CELC",Z23,'ENE TECH'!W19)</f>
        <v>19.32184819418891</v>
      </c>
      <c r="AB23" s="6">
        <f>IF(_xlfn.XLOOKUP($J23,$B:$B,$C:$C)="CELC",AA23,'ENE TECH'!X19)</f>
        <v>19.32184819418891</v>
      </c>
      <c r="AC23" s="6">
        <f>IF(_xlfn.XLOOKUP($J23,$B:$B,$C:$C)="CELC",AB23,'ENE TECH'!Y19)</f>
        <v>19.32184819418891</v>
      </c>
      <c r="AD23" s="6">
        <f>IF(_xlfn.XLOOKUP($J23,$B:$B,$C:$C)="CELC",AC23,'ENE TECH'!Z19)</f>
        <v>19.32184819418891</v>
      </c>
      <c r="AE23" s="6">
        <f>IF(_xlfn.XLOOKUP($J23,$B:$B,$C:$C)="CELC",AD23,'ENE TECH'!AA19)</f>
        <v>19.32184819418891</v>
      </c>
      <c r="AF23" s="6">
        <f>IF(_xlfn.XLOOKUP($J23,$B:$B,$C:$C)="CELC",AE23,'ENE TECH'!AB19)</f>
        <v>19.32184819418891</v>
      </c>
      <c r="AG23" s="6">
        <f>IF(_xlfn.XLOOKUP($J23,$B:$B,$C:$C)="CELC",AF23,'ENE TECH'!AC19)</f>
        <v>19.32184819418891</v>
      </c>
    </row>
    <row r="24" spans="2:33" x14ac:dyDescent="0.25">
      <c r="B24" t="str">
        <f>Def_Tech!D22</f>
        <v>COMELC19</v>
      </c>
      <c r="C24" t="str">
        <f t="shared" si="1"/>
        <v>CELC</v>
      </c>
      <c r="D24" t="str">
        <f>Def_Comm!C22</f>
        <v>COMELC</v>
      </c>
      <c r="E24" t="s">
        <v>396</v>
      </c>
      <c r="F24">
        <v>1</v>
      </c>
      <c r="J24" t="str">
        <f t="shared" si="2"/>
        <v>COMELC19</v>
      </c>
      <c r="K24">
        <f t="shared" si="3"/>
        <v>1</v>
      </c>
      <c r="L24" s="6">
        <f>IF(_xlfn.XLOOKUP($J24,$B:$B,$C:$C)="CELC",'ENE TECH'!H20-5,'ENE TECH'!H20)</f>
        <v>40.511280993548233</v>
      </c>
      <c r="M24" s="6">
        <f>IF(_xlfn.XLOOKUP($J24,$B:$B,$C:$C)="CELC",L24,'ENE TECH'!I20)</f>
        <v>40.511280993548233</v>
      </c>
      <c r="N24" s="6">
        <f>IF(_xlfn.XLOOKUP($J24,$B:$B,$C:$C)="CELC",M24,'ENE TECH'!J20)</f>
        <v>40.511280993548233</v>
      </c>
      <c r="O24" s="6">
        <f>IF(_xlfn.XLOOKUP($J24,$B:$B,$C:$C)="CELC",N24,'ENE TECH'!K20)</f>
        <v>40.511280993548233</v>
      </c>
      <c r="P24" s="6">
        <f>IF(_xlfn.XLOOKUP($J24,$B:$B,$C:$C)="CELC",O24,'ENE TECH'!L20)</f>
        <v>40.511280993548233</v>
      </c>
      <c r="Q24" s="6">
        <f>IF(_xlfn.XLOOKUP($J24,$B:$B,$C:$C)="CELC",P24,'ENE TECH'!M20)</f>
        <v>40.511280993548233</v>
      </c>
      <c r="R24" s="6">
        <f>IF(_xlfn.XLOOKUP($J24,$B:$B,$C:$C)="CELC",Q24,'ENE TECH'!N20)</f>
        <v>40.511280993548233</v>
      </c>
      <c r="S24" s="6">
        <f>IF(_xlfn.XLOOKUP($J24,$B:$B,$C:$C)="CELC",R24,'ENE TECH'!O20)</f>
        <v>40.511280993548233</v>
      </c>
      <c r="T24" s="6">
        <f>IF(_xlfn.XLOOKUP($J24,$B:$B,$C:$C)="CELC",S24,'ENE TECH'!P20)</f>
        <v>40.511280993548233</v>
      </c>
      <c r="U24" s="6">
        <f>IF(_xlfn.XLOOKUP($J24,$B:$B,$C:$C)="CELC",T24,'ENE TECH'!Q20)</f>
        <v>40.511280993548233</v>
      </c>
      <c r="V24" s="6">
        <f>IF(_xlfn.XLOOKUP($J24,$B:$B,$C:$C)="CELC",U24,'ENE TECH'!R20)</f>
        <v>40.511280993548233</v>
      </c>
      <c r="W24" s="6">
        <f>IF(_xlfn.XLOOKUP($J24,$B:$B,$C:$C)="CELC",V24,'ENE TECH'!S20)</f>
        <v>40.511280993548233</v>
      </c>
      <c r="X24" s="6">
        <f>IF(_xlfn.XLOOKUP($J24,$B:$B,$C:$C)="CELC",W24,'ENE TECH'!T20)</f>
        <v>40.511280993548233</v>
      </c>
      <c r="Y24" s="6">
        <f>IF(_xlfn.XLOOKUP($J24,$B:$B,$C:$C)="CELC",X24,'ENE TECH'!U20)</f>
        <v>40.511280993548233</v>
      </c>
      <c r="Z24" s="6">
        <f>IF(_xlfn.XLOOKUP($J24,$B:$B,$C:$C)="CELC",Y24,'ENE TECH'!V20)</f>
        <v>40.511280993548233</v>
      </c>
      <c r="AA24" s="6">
        <f>IF(_xlfn.XLOOKUP($J24,$B:$B,$C:$C)="CELC",Z24,'ENE TECH'!W20)</f>
        <v>40.511280993548233</v>
      </c>
      <c r="AB24" s="6">
        <f>IF(_xlfn.XLOOKUP($J24,$B:$B,$C:$C)="CELC",AA24,'ENE TECH'!X20)</f>
        <v>40.511280993548233</v>
      </c>
      <c r="AC24" s="6">
        <f>IF(_xlfn.XLOOKUP($J24,$B:$B,$C:$C)="CELC",AB24,'ENE TECH'!Y20)</f>
        <v>40.511280993548233</v>
      </c>
      <c r="AD24" s="6">
        <f>IF(_xlfn.XLOOKUP($J24,$B:$B,$C:$C)="CELC",AC24,'ENE TECH'!Z20)</f>
        <v>40.511280993548233</v>
      </c>
      <c r="AE24" s="6">
        <f>IF(_xlfn.XLOOKUP($J24,$B:$B,$C:$C)="CELC",AD24,'ENE TECH'!AA20)</f>
        <v>40.511280993548233</v>
      </c>
      <c r="AF24" s="6">
        <f>IF(_xlfn.XLOOKUP($J24,$B:$B,$C:$C)="CELC",AE24,'ENE TECH'!AB20)</f>
        <v>40.511280993548233</v>
      </c>
      <c r="AG24" s="6">
        <f>IF(_xlfn.XLOOKUP($J24,$B:$B,$C:$C)="CELC",AF24,'ENE TECH'!AC20)</f>
        <v>40.511280993548233</v>
      </c>
    </row>
    <row r="25" spans="2:33" x14ac:dyDescent="0.25">
      <c r="B25" t="str">
        <f>Def_Tech!D23</f>
        <v>COMH2G19</v>
      </c>
      <c r="C25" t="str">
        <f t="shared" si="1"/>
        <v>CH2G</v>
      </c>
      <c r="D25" t="str">
        <f>Def_Comm!C23</f>
        <v>COMH2G</v>
      </c>
      <c r="E25" t="s">
        <v>396</v>
      </c>
      <c r="F25">
        <v>1</v>
      </c>
      <c r="J25" t="str">
        <f t="shared" si="2"/>
        <v>COMH2G19</v>
      </c>
      <c r="K25" t="str">
        <f t="shared" si="3"/>
        <v/>
      </c>
      <c r="L25" s="6">
        <f>IF(_xlfn.XLOOKUP($J25,$B:$B,$C:$C)="CELC",'ENE TECH'!H21-5,'ENE TECH'!H21)</f>
        <v>91.022561987096466</v>
      </c>
      <c r="M25" s="6">
        <f>IF(_xlfn.XLOOKUP($J25,$B:$B,$C:$C)="CELC",L25,'ENE TECH'!I21)</f>
        <v>92.592245645726763</v>
      </c>
      <c r="N25" s="6">
        <f>IF(_xlfn.XLOOKUP($J25,$B:$B,$C:$C)="CELC",M25,'ENE TECH'!J21)</f>
        <v>100.9811853571628</v>
      </c>
      <c r="O25" s="6">
        <f>IF(_xlfn.XLOOKUP($J25,$B:$B,$C:$C)="CELC",N25,'ENE TECH'!K21)</f>
        <v>109.062507477686</v>
      </c>
      <c r="P25" s="6">
        <f>IF(_xlfn.XLOOKUP($J25,$B:$B,$C:$C)="CELC",O25,'ENE TECH'!L21)</f>
        <v>104.79503287230069</v>
      </c>
      <c r="Q25" s="6">
        <f>IF(_xlfn.XLOOKUP($J25,$B:$B,$C:$C)="CELC",P25,'ENE TECH'!M21)</f>
        <v>98.921325016494066</v>
      </c>
      <c r="R25" s="6">
        <f>IF(_xlfn.XLOOKUP($J25,$B:$B,$C:$C)="CELC",Q25,'ENE TECH'!N21)</f>
        <v>96.110984541724662</v>
      </c>
      <c r="S25" s="6">
        <f>IF(_xlfn.XLOOKUP($J25,$B:$B,$C:$C)="CELC",R25,'ENE TECH'!O21)</f>
        <v>96.150358642413494</v>
      </c>
      <c r="T25" s="6">
        <f>IF(_xlfn.XLOOKUP($J25,$B:$B,$C:$C)="CELC",S25,'ENE TECH'!P21)</f>
        <v>102.917916228259</v>
      </c>
      <c r="U25" s="6">
        <f>IF(_xlfn.XLOOKUP($J25,$B:$B,$C:$C)="CELC",T25,'ENE TECH'!Q21)</f>
        <v>110.5386493537937</v>
      </c>
      <c r="V25" s="6">
        <f>IF(_xlfn.XLOOKUP($J25,$B:$B,$C:$C)="CELC",U25,'ENE TECH'!R21)</f>
        <v>116.38553829210331</v>
      </c>
      <c r="W25" s="6">
        <f>IF(_xlfn.XLOOKUP($J25,$B:$B,$C:$C)="CELC",V25,'ENE TECH'!S21)</f>
        <v>120.0583784343374</v>
      </c>
      <c r="X25" s="6">
        <f>IF(_xlfn.XLOOKUP($J25,$B:$B,$C:$C)="CELC",W25,'ENE TECH'!T21)</f>
        <v>120.0583784343374</v>
      </c>
      <c r="Y25" s="6">
        <f>IF(_xlfn.XLOOKUP($J25,$B:$B,$C:$C)="CELC",X25,'ENE TECH'!U21)</f>
        <v>120.0583784343374</v>
      </c>
      <c r="Z25" s="6">
        <f>IF(_xlfn.XLOOKUP($J25,$B:$B,$C:$C)="CELC",Y25,'ENE TECH'!V21)</f>
        <v>120.0583784343374</v>
      </c>
      <c r="AA25" s="6">
        <f>IF(_xlfn.XLOOKUP($J25,$B:$B,$C:$C)="CELC",Z25,'ENE TECH'!W21)</f>
        <v>120.0583784343374</v>
      </c>
      <c r="AB25" s="6">
        <f>IF(_xlfn.XLOOKUP($J25,$B:$B,$C:$C)="CELC",AA25,'ENE TECH'!X21)</f>
        <v>120.0583784343374</v>
      </c>
      <c r="AC25" s="6">
        <f>IF(_xlfn.XLOOKUP($J25,$B:$B,$C:$C)="CELC",AB25,'ENE TECH'!Y21)</f>
        <v>120.0583784343374</v>
      </c>
      <c r="AD25" s="6">
        <f>IF(_xlfn.XLOOKUP($J25,$B:$B,$C:$C)="CELC",AC25,'ENE TECH'!Z21)</f>
        <v>120.0583784343374</v>
      </c>
      <c r="AE25" s="6">
        <f>IF(_xlfn.XLOOKUP($J25,$B:$B,$C:$C)="CELC",AD25,'ENE TECH'!AA21)</f>
        <v>120.0583784343374</v>
      </c>
      <c r="AF25" s="6">
        <f>IF(_xlfn.XLOOKUP($J25,$B:$B,$C:$C)="CELC",AE25,'ENE TECH'!AB21)</f>
        <v>120.0583784343374</v>
      </c>
      <c r="AG25" s="6">
        <f>IF(_xlfn.XLOOKUP($J25,$B:$B,$C:$C)="CELC",AF25,'ENE TECH'!AC21)</f>
        <v>120.0583784343374</v>
      </c>
    </row>
    <row r="26" spans="2:33" x14ac:dyDescent="0.25">
      <c r="B26" t="str">
        <f>Def_Tech!D24</f>
        <v>COMSTM19</v>
      </c>
      <c r="C26" t="str">
        <f t="shared" si="1"/>
        <v>STM</v>
      </c>
      <c r="D26" t="str">
        <f>Def_Comm!C24</f>
        <v>COMSTM</v>
      </c>
      <c r="E26" t="s">
        <v>396</v>
      </c>
      <c r="F26">
        <v>1</v>
      </c>
      <c r="J26" t="str">
        <f t="shared" si="2"/>
        <v>COMSTM19</v>
      </c>
      <c r="K26" t="str">
        <f t="shared" si="3"/>
        <v/>
      </c>
      <c r="L26" s="6">
        <f>IF(_xlfn.XLOOKUP($J26,$B:$B,$C:$C)="CELC",'ENE TECH'!H22-5,'ENE TECH'!H22)</f>
        <v>91.022561987096466</v>
      </c>
      <c r="M26" s="6">
        <f>IF(_xlfn.XLOOKUP($J26,$B:$B,$C:$C)="CELC",L26,'ENE TECH'!I22)</f>
        <v>92.592245645726763</v>
      </c>
      <c r="N26" s="6">
        <f>IF(_xlfn.XLOOKUP($J26,$B:$B,$C:$C)="CELC",M26,'ENE TECH'!J22)</f>
        <v>100.9811853571628</v>
      </c>
      <c r="O26" s="6">
        <f>IF(_xlfn.XLOOKUP($J26,$B:$B,$C:$C)="CELC",N26,'ENE TECH'!K22)</f>
        <v>109.062507477686</v>
      </c>
      <c r="P26" s="6">
        <f>IF(_xlfn.XLOOKUP($J26,$B:$B,$C:$C)="CELC",O26,'ENE TECH'!L22)</f>
        <v>104.79503287230069</v>
      </c>
      <c r="Q26" s="6">
        <f>IF(_xlfn.XLOOKUP($J26,$B:$B,$C:$C)="CELC",P26,'ENE TECH'!M22)</f>
        <v>98.921325016494066</v>
      </c>
      <c r="R26" s="6">
        <f>IF(_xlfn.XLOOKUP($J26,$B:$B,$C:$C)="CELC",Q26,'ENE TECH'!N22)</f>
        <v>96.110984541724662</v>
      </c>
      <c r="S26" s="6">
        <f>IF(_xlfn.XLOOKUP($J26,$B:$B,$C:$C)="CELC",R26,'ENE TECH'!O22)</f>
        <v>96.150358642413494</v>
      </c>
      <c r="T26" s="6">
        <f>IF(_xlfn.XLOOKUP($J26,$B:$B,$C:$C)="CELC",S26,'ENE TECH'!P22)</f>
        <v>102.917916228259</v>
      </c>
      <c r="U26" s="6">
        <f>IF(_xlfn.XLOOKUP($J26,$B:$B,$C:$C)="CELC",T26,'ENE TECH'!Q22)</f>
        <v>110.5386493537937</v>
      </c>
      <c r="V26" s="6">
        <f>IF(_xlfn.XLOOKUP($J26,$B:$B,$C:$C)="CELC",U26,'ENE TECH'!R22)</f>
        <v>116.38553829210331</v>
      </c>
      <c r="W26" s="6">
        <f>IF(_xlfn.XLOOKUP($J26,$B:$B,$C:$C)="CELC",V26,'ENE TECH'!S22)</f>
        <v>120.0583784343374</v>
      </c>
      <c r="X26" s="6">
        <f>IF(_xlfn.XLOOKUP($J26,$B:$B,$C:$C)="CELC",W26,'ENE TECH'!T22)</f>
        <v>120.0583784343374</v>
      </c>
      <c r="Y26" s="6">
        <f>IF(_xlfn.XLOOKUP($J26,$B:$B,$C:$C)="CELC",X26,'ENE TECH'!U22)</f>
        <v>120.0583784343374</v>
      </c>
      <c r="Z26" s="6">
        <f>IF(_xlfn.XLOOKUP($J26,$B:$B,$C:$C)="CELC",Y26,'ENE TECH'!V22)</f>
        <v>120.0583784343374</v>
      </c>
      <c r="AA26" s="6">
        <f>IF(_xlfn.XLOOKUP($J26,$B:$B,$C:$C)="CELC",Z26,'ENE TECH'!W22)</f>
        <v>120.0583784343374</v>
      </c>
      <c r="AB26" s="6">
        <f>IF(_xlfn.XLOOKUP($J26,$B:$B,$C:$C)="CELC",AA26,'ENE TECH'!X22)</f>
        <v>120.0583784343374</v>
      </c>
      <c r="AC26" s="6">
        <f>IF(_xlfn.XLOOKUP($J26,$B:$B,$C:$C)="CELC",AB26,'ENE TECH'!Y22)</f>
        <v>120.0583784343374</v>
      </c>
      <c r="AD26" s="6">
        <f>IF(_xlfn.XLOOKUP($J26,$B:$B,$C:$C)="CELC",AC26,'ENE TECH'!Z22)</f>
        <v>120.0583784343374</v>
      </c>
      <c r="AE26" s="6">
        <f>IF(_xlfn.XLOOKUP($J26,$B:$B,$C:$C)="CELC",AD26,'ENE TECH'!AA22)</f>
        <v>120.0583784343374</v>
      </c>
      <c r="AF26" s="6">
        <f>IF(_xlfn.XLOOKUP($J26,$B:$B,$C:$C)="CELC",AE26,'ENE TECH'!AB22)</f>
        <v>120.0583784343374</v>
      </c>
      <c r="AG26" s="6">
        <f>IF(_xlfn.XLOOKUP($J26,$B:$B,$C:$C)="CELC",AF26,'ENE TECH'!AC22)</f>
        <v>120.0583784343374</v>
      </c>
    </row>
    <row r="27" spans="2:33" x14ac:dyDescent="0.25">
      <c r="B27" t="str">
        <f>Def_Tech!D25</f>
        <v>COMSOL19</v>
      </c>
      <c r="C27" t="str">
        <f t="shared" si="1"/>
        <v>SOL</v>
      </c>
      <c r="D27" t="str">
        <f>Def_Comm!C25</f>
        <v>COMSOL</v>
      </c>
      <c r="E27" t="s">
        <v>396</v>
      </c>
      <c r="F27">
        <v>1</v>
      </c>
      <c r="J27" t="str">
        <f t="shared" si="2"/>
        <v>COMSOL19</v>
      </c>
      <c r="K27" t="str">
        <f t="shared" si="3"/>
        <v/>
      </c>
      <c r="L27" s="6">
        <f>IF(_xlfn.XLOOKUP($J27,$B:$B,$C:$C)="CELC",'ENE TECH'!H23-5,'ENE TECH'!H23)</f>
        <v>0</v>
      </c>
      <c r="M27" s="6">
        <f>IF(_xlfn.XLOOKUP($J27,$B:$B,$C:$C)="CELC",L27,'ENE TECH'!I23)</f>
        <v>0</v>
      </c>
      <c r="N27" s="6">
        <f>IF(_xlfn.XLOOKUP($J27,$B:$B,$C:$C)="CELC",M27,'ENE TECH'!J23)</f>
        <v>0</v>
      </c>
      <c r="O27" s="6">
        <f>IF(_xlfn.XLOOKUP($J27,$B:$B,$C:$C)="CELC",N27,'ENE TECH'!K23)</f>
        <v>0</v>
      </c>
      <c r="P27" s="6">
        <f>IF(_xlfn.XLOOKUP($J27,$B:$B,$C:$C)="CELC",O27,'ENE TECH'!L23)</f>
        <v>0</v>
      </c>
      <c r="Q27" s="6">
        <f>IF(_xlfn.XLOOKUP($J27,$B:$B,$C:$C)="CELC",P27,'ENE TECH'!M23)</f>
        <v>0</v>
      </c>
      <c r="R27" s="6">
        <f>IF(_xlfn.XLOOKUP($J27,$B:$B,$C:$C)="CELC",Q27,'ENE TECH'!N23)</f>
        <v>0</v>
      </c>
      <c r="S27" s="6">
        <f>IF(_xlfn.XLOOKUP($J27,$B:$B,$C:$C)="CELC",R27,'ENE TECH'!O23)</f>
        <v>0</v>
      </c>
      <c r="T27" s="6">
        <f>IF(_xlfn.XLOOKUP($J27,$B:$B,$C:$C)="CELC",S27,'ENE TECH'!P23)</f>
        <v>0</v>
      </c>
      <c r="U27" s="6">
        <f>IF(_xlfn.XLOOKUP($J27,$B:$B,$C:$C)="CELC",T27,'ENE TECH'!Q23)</f>
        <v>0</v>
      </c>
      <c r="V27" s="6">
        <f>IF(_xlfn.XLOOKUP($J27,$B:$B,$C:$C)="CELC",U27,'ENE TECH'!R23)</f>
        <v>0</v>
      </c>
      <c r="W27" s="6">
        <f>IF(_xlfn.XLOOKUP($J27,$B:$B,$C:$C)="CELC",V27,'ENE TECH'!S23)</f>
        <v>0</v>
      </c>
      <c r="X27" s="6">
        <f>IF(_xlfn.XLOOKUP($J27,$B:$B,$C:$C)="CELC",W27,'ENE TECH'!T23)</f>
        <v>0</v>
      </c>
      <c r="Y27" s="6">
        <f>IF(_xlfn.XLOOKUP($J27,$B:$B,$C:$C)="CELC",X27,'ENE TECH'!U23)</f>
        <v>0</v>
      </c>
      <c r="Z27" s="6">
        <f>IF(_xlfn.XLOOKUP($J27,$B:$B,$C:$C)="CELC",Y27,'ENE TECH'!V23)</f>
        <v>0</v>
      </c>
      <c r="AA27" s="6">
        <f>IF(_xlfn.XLOOKUP($J27,$B:$B,$C:$C)="CELC",Z27,'ENE TECH'!W23)</f>
        <v>0</v>
      </c>
      <c r="AB27" s="6">
        <f>IF(_xlfn.XLOOKUP($J27,$B:$B,$C:$C)="CELC",AA27,'ENE TECH'!X23)</f>
        <v>0</v>
      </c>
      <c r="AC27" s="6">
        <f>IF(_xlfn.XLOOKUP($J27,$B:$B,$C:$C)="CELC",AB27,'ENE TECH'!Y23)</f>
        <v>0</v>
      </c>
      <c r="AD27" s="6">
        <f>IF(_xlfn.XLOOKUP($J27,$B:$B,$C:$C)="CELC",AC27,'ENE TECH'!Z23)</f>
        <v>0</v>
      </c>
      <c r="AE27" s="6">
        <f>IF(_xlfn.XLOOKUP($J27,$B:$B,$C:$C)="CELC",AD27,'ENE TECH'!AA23)</f>
        <v>0</v>
      </c>
      <c r="AF27" s="6">
        <f>IF(_xlfn.XLOOKUP($J27,$B:$B,$C:$C)="CELC",AE27,'ENE TECH'!AB23)</f>
        <v>0</v>
      </c>
      <c r="AG27" s="6">
        <f>IF(_xlfn.XLOOKUP($J27,$B:$B,$C:$C)="CELC",AF27,'ENE TECH'!AC23)</f>
        <v>0</v>
      </c>
    </row>
    <row r="28" spans="2:33" x14ac:dyDescent="0.25">
      <c r="B28" t="str">
        <f>Def_Tech!D26</f>
        <v>COMWND19</v>
      </c>
      <c r="C28" t="str">
        <f t="shared" si="1"/>
        <v>WND</v>
      </c>
      <c r="D28" t="str">
        <f>Def_Comm!C26</f>
        <v>COMWND</v>
      </c>
      <c r="E28" t="s">
        <v>396</v>
      </c>
      <c r="F28">
        <v>1</v>
      </c>
      <c r="J28" t="str">
        <f t="shared" si="2"/>
        <v>COMWND19</v>
      </c>
      <c r="K28" t="str">
        <f t="shared" si="3"/>
        <v/>
      </c>
      <c r="L28" s="6">
        <f>IF(_xlfn.XLOOKUP($J28,$B:$B,$C:$C)="CELC",'ENE TECH'!H24-5,'ENE TECH'!H24)</f>
        <v>0</v>
      </c>
      <c r="M28" s="6">
        <f>IF(_xlfn.XLOOKUP($J28,$B:$B,$C:$C)="CELC",L28,'ENE TECH'!I24)</f>
        <v>0</v>
      </c>
      <c r="N28" s="6">
        <f>IF(_xlfn.XLOOKUP($J28,$B:$B,$C:$C)="CELC",M28,'ENE TECH'!J24)</f>
        <v>0</v>
      </c>
      <c r="O28" s="6">
        <f>IF(_xlfn.XLOOKUP($J28,$B:$B,$C:$C)="CELC",N28,'ENE TECH'!K24)</f>
        <v>0</v>
      </c>
      <c r="P28" s="6">
        <f>IF(_xlfn.XLOOKUP($J28,$B:$B,$C:$C)="CELC",O28,'ENE TECH'!L24)</f>
        <v>0</v>
      </c>
      <c r="Q28" s="6">
        <f>IF(_xlfn.XLOOKUP($J28,$B:$B,$C:$C)="CELC",P28,'ENE TECH'!M24)</f>
        <v>0</v>
      </c>
      <c r="R28" s="6">
        <f>IF(_xlfn.XLOOKUP($J28,$B:$B,$C:$C)="CELC",Q28,'ENE TECH'!N24)</f>
        <v>0</v>
      </c>
      <c r="S28" s="6">
        <f>IF(_xlfn.XLOOKUP($J28,$B:$B,$C:$C)="CELC",R28,'ENE TECH'!O24)</f>
        <v>0</v>
      </c>
      <c r="T28" s="6">
        <f>IF(_xlfn.XLOOKUP($J28,$B:$B,$C:$C)="CELC",S28,'ENE TECH'!P24)</f>
        <v>0</v>
      </c>
      <c r="U28" s="6">
        <f>IF(_xlfn.XLOOKUP($J28,$B:$B,$C:$C)="CELC",T28,'ENE TECH'!Q24)</f>
        <v>0</v>
      </c>
      <c r="V28" s="6">
        <f>IF(_xlfn.XLOOKUP($J28,$B:$B,$C:$C)="CELC",U28,'ENE TECH'!R24)</f>
        <v>0</v>
      </c>
      <c r="W28" s="6">
        <f>IF(_xlfn.XLOOKUP($J28,$B:$B,$C:$C)="CELC",V28,'ENE TECH'!S24)</f>
        <v>0</v>
      </c>
      <c r="X28" s="6">
        <f>IF(_xlfn.XLOOKUP($J28,$B:$B,$C:$C)="CELC",W28,'ENE TECH'!T24)</f>
        <v>0</v>
      </c>
      <c r="Y28" s="6">
        <f>IF(_xlfn.XLOOKUP($J28,$B:$B,$C:$C)="CELC",X28,'ENE TECH'!U24)</f>
        <v>0</v>
      </c>
      <c r="Z28" s="6">
        <f>IF(_xlfn.XLOOKUP($J28,$B:$B,$C:$C)="CELC",Y28,'ENE TECH'!V24)</f>
        <v>0</v>
      </c>
      <c r="AA28" s="6">
        <f>IF(_xlfn.XLOOKUP($J28,$B:$B,$C:$C)="CELC",Z28,'ENE TECH'!W24)</f>
        <v>0</v>
      </c>
      <c r="AB28" s="6">
        <f>IF(_xlfn.XLOOKUP($J28,$B:$B,$C:$C)="CELC",AA28,'ENE TECH'!X24)</f>
        <v>0</v>
      </c>
      <c r="AC28" s="6">
        <f>IF(_xlfn.XLOOKUP($J28,$B:$B,$C:$C)="CELC",AB28,'ENE TECH'!Y24)</f>
        <v>0</v>
      </c>
      <c r="AD28" s="6">
        <f>IF(_xlfn.XLOOKUP($J28,$B:$B,$C:$C)="CELC",AC28,'ENE TECH'!Z24)</f>
        <v>0</v>
      </c>
      <c r="AE28" s="6">
        <f>IF(_xlfn.XLOOKUP($J28,$B:$B,$C:$C)="CELC",AD28,'ENE TECH'!AA24)</f>
        <v>0</v>
      </c>
      <c r="AF28" s="6">
        <f>IF(_xlfn.XLOOKUP($J28,$B:$B,$C:$C)="CELC",AE28,'ENE TECH'!AB24)</f>
        <v>0</v>
      </c>
      <c r="AG28" s="6">
        <f>IF(_xlfn.XLOOKUP($J28,$B:$B,$C:$C)="CELC",AF28,'ENE TECH'!AC24)</f>
        <v>0</v>
      </c>
    </row>
    <row r="29" spans="2:33" x14ac:dyDescent="0.25">
      <c r="B29" t="str">
        <f>Def_Tech!D27</f>
        <v>INDLPG19</v>
      </c>
      <c r="C29" t="str">
        <f t="shared" si="1"/>
        <v>LPG</v>
      </c>
      <c r="D29" t="str">
        <f>Def_Comm!C27</f>
        <v>INDLPG</v>
      </c>
      <c r="E29" t="s">
        <v>396</v>
      </c>
      <c r="F29">
        <v>1</v>
      </c>
      <c r="J29" t="str">
        <f t="shared" si="2"/>
        <v>INDLPG19</v>
      </c>
      <c r="K29" t="str">
        <f t="shared" si="3"/>
        <v/>
      </c>
      <c r="L29" s="6">
        <f>IF(_xlfn.XLOOKUP($J29,$B:$B,$C:$C)="CELC",'ENE TECH'!H25-5,'ENE TECH'!H25)</f>
        <v>15.144652000522971</v>
      </c>
      <c r="M29" s="6">
        <f>IF(_xlfn.XLOOKUP($J29,$B:$B,$C:$C)="CELC",L29,'ENE TECH'!I25)</f>
        <v>13.529708263442849</v>
      </c>
      <c r="N29" s="6">
        <f>IF(_xlfn.XLOOKUP($J29,$B:$B,$C:$C)="CELC",M29,'ENE TECH'!J25)</f>
        <v>22.453362696163861</v>
      </c>
      <c r="O29" s="6">
        <f>IF(_xlfn.XLOOKUP($J29,$B:$B,$C:$C)="CELC",N29,'ENE TECH'!K25)</f>
        <v>24.250260365713441</v>
      </c>
      <c r="P29" s="6">
        <f>IF(_xlfn.XLOOKUP($J29,$B:$B,$C:$C)="CELC",O29,'ENE TECH'!L25)</f>
        <v>21.481797480850251</v>
      </c>
      <c r="Q29" s="6">
        <f>IF(_xlfn.XLOOKUP($J29,$B:$B,$C:$C)="CELC",P29,'ENE TECH'!M25)</f>
        <v>19.26532088002514</v>
      </c>
      <c r="R29" s="6">
        <f>IF(_xlfn.XLOOKUP($J29,$B:$B,$C:$C)="CELC",Q29,'ENE TECH'!N25)</f>
        <v>17.113109475962059</v>
      </c>
      <c r="S29" s="6">
        <f>IF(_xlfn.XLOOKUP($J29,$B:$B,$C:$C)="CELC",R29,'ENE TECH'!O25)</f>
        <v>16.99591592028381</v>
      </c>
      <c r="T29" s="6">
        <f>IF(_xlfn.XLOOKUP($J29,$B:$B,$C:$C)="CELC",S29,'ENE TECH'!P25)</f>
        <v>20.560587519532969</v>
      </c>
      <c r="U29" s="6">
        <f>IF(_xlfn.XLOOKUP($J29,$B:$B,$C:$C)="CELC",T29,'ENE TECH'!Q25)</f>
        <v>23.160107164160792</v>
      </c>
      <c r="V29" s="6">
        <f>IF(_xlfn.XLOOKUP($J29,$B:$B,$C:$C)="CELC",U29,'ENE TECH'!R25)</f>
        <v>25.22769456365122</v>
      </c>
      <c r="W29" s="6">
        <f>IF(_xlfn.XLOOKUP($J29,$B:$B,$C:$C)="CELC",V29,'ENE TECH'!S25)</f>
        <v>26.66727181846386</v>
      </c>
      <c r="X29" s="6">
        <f>IF(_xlfn.XLOOKUP($J29,$B:$B,$C:$C)="CELC",W29,'ENE TECH'!T25)</f>
        <v>26.66727181846386</v>
      </c>
      <c r="Y29" s="6">
        <f>IF(_xlfn.XLOOKUP($J29,$B:$B,$C:$C)="CELC",X29,'ENE TECH'!U25)</f>
        <v>26.66727181846386</v>
      </c>
      <c r="Z29" s="6">
        <f>IF(_xlfn.XLOOKUP($J29,$B:$B,$C:$C)="CELC",Y29,'ENE TECH'!V25)</f>
        <v>26.66727181846386</v>
      </c>
      <c r="AA29" s="6">
        <f>IF(_xlfn.XLOOKUP($J29,$B:$B,$C:$C)="CELC",Z29,'ENE TECH'!W25)</f>
        <v>26.66727181846386</v>
      </c>
      <c r="AB29" s="6">
        <f>IF(_xlfn.XLOOKUP($J29,$B:$B,$C:$C)="CELC",AA29,'ENE TECH'!X25)</f>
        <v>26.66727181846386</v>
      </c>
      <c r="AC29" s="6">
        <f>IF(_xlfn.XLOOKUP($J29,$B:$B,$C:$C)="CELC",AB29,'ENE TECH'!Y25)</f>
        <v>26.66727181846386</v>
      </c>
      <c r="AD29" s="6">
        <f>IF(_xlfn.XLOOKUP($J29,$B:$B,$C:$C)="CELC",AC29,'ENE TECH'!Z25)</f>
        <v>26.66727181846386</v>
      </c>
      <c r="AE29" s="6">
        <f>IF(_xlfn.XLOOKUP($J29,$B:$B,$C:$C)="CELC",AD29,'ENE TECH'!AA25)</f>
        <v>26.66727181846386</v>
      </c>
      <c r="AF29" s="6">
        <f>IF(_xlfn.XLOOKUP($J29,$B:$B,$C:$C)="CELC",AE29,'ENE TECH'!AB25)</f>
        <v>26.66727181846386</v>
      </c>
      <c r="AG29" s="6">
        <f>IF(_xlfn.XLOOKUP($J29,$B:$B,$C:$C)="CELC",AF29,'ENE TECH'!AC25)</f>
        <v>26.66727181846386</v>
      </c>
    </row>
    <row r="30" spans="2:33" x14ac:dyDescent="0.25">
      <c r="B30" t="str">
        <f>Def_Tech!D28</f>
        <v>INDDSL19</v>
      </c>
      <c r="C30" t="str">
        <f t="shared" si="1"/>
        <v>DSL</v>
      </c>
      <c r="D30" t="str">
        <f>Def_Comm!C28</f>
        <v>INDDSL</v>
      </c>
      <c r="E30" t="s">
        <v>396</v>
      </c>
      <c r="F30">
        <v>1</v>
      </c>
      <c r="J30" t="str">
        <f t="shared" si="2"/>
        <v>INDDSL19</v>
      </c>
      <c r="K30" t="str">
        <f t="shared" si="3"/>
        <v/>
      </c>
      <c r="L30" s="6">
        <f>IF(_xlfn.XLOOKUP($J30,$B:$B,$C:$C)="CELC",'ENE TECH'!H26-5,'ENE TECH'!H26)</f>
        <v>16.205109033382339</v>
      </c>
      <c r="M30" s="6">
        <f>IF(_xlfn.XLOOKUP($J30,$B:$B,$C:$C)="CELC",L30,'ENE TECH'!I26)</f>
        <v>11.359747034342149</v>
      </c>
      <c r="N30" s="6">
        <f>IF(_xlfn.XLOOKUP($J30,$B:$B,$C:$C)="CELC",M30,'ENE TECH'!J26)</f>
        <v>15.42262000944144</v>
      </c>
      <c r="O30" s="6">
        <f>IF(_xlfn.XLOOKUP($J30,$B:$B,$C:$C)="CELC",N30,'ENE TECH'!K26)</f>
        <v>16.65686141587668</v>
      </c>
      <c r="P30" s="6">
        <f>IF(_xlfn.XLOOKUP($J30,$B:$B,$C:$C)="CELC",O30,'ENE TECH'!L26)</f>
        <v>15.2313309053818</v>
      </c>
      <c r="Q30" s="6">
        <f>IF(_xlfn.XLOOKUP($J30,$B:$B,$C:$C)="CELC",P30,'ENE TECH'!M26)</f>
        <v>14.040167994286531</v>
      </c>
      <c r="R30" s="6">
        <f>IF(_xlfn.XLOOKUP($J30,$B:$B,$C:$C)="CELC",Q30,'ENE TECH'!N26)</f>
        <v>12.70019889809025</v>
      </c>
      <c r="S30" s="6">
        <f>IF(_xlfn.XLOOKUP($J30,$B:$B,$C:$C)="CELC",R30,'ENE TECH'!O26)</f>
        <v>10.98037822826509</v>
      </c>
      <c r="T30" s="6">
        <f>IF(_xlfn.XLOOKUP($J30,$B:$B,$C:$C)="CELC",S30,'ENE TECH'!P26)</f>
        <v>11.82978757998092</v>
      </c>
      <c r="U30" s="6">
        <f>IF(_xlfn.XLOOKUP($J30,$B:$B,$C:$C)="CELC",T30,'ENE TECH'!Q26)</f>
        <v>12.81316817689917</v>
      </c>
      <c r="V30" s="6">
        <f>IF(_xlfn.XLOOKUP($J30,$B:$B,$C:$C)="CELC",U30,'ENE TECH'!R26)</f>
        <v>13.701334009009029</v>
      </c>
      <c r="W30" s="6">
        <f>IF(_xlfn.XLOOKUP($J30,$B:$B,$C:$C)="CELC",V30,'ENE TECH'!S26)</f>
        <v>14.4582687931834</v>
      </c>
      <c r="X30" s="6">
        <f>IF(_xlfn.XLOOKUP($J30,$B:$B,$C:$C)="CELC",W30,'ENE TECH'!T26)</f>
        <v>14.4582687931834</v>
      </c>
      <c r="Y30" s="6">
        <f>IF(_xlfn.XLOOKUP($J30,$B:$B,$C:$C)="CELC",X30,'ENE TECH'!U26)</f>
        <v>14.4582687931834</v>
      </c>
      <c r="Z30" s="6">
        <f>IF(_xlfn.XLOOKUP($J30,$B:$B,$C:$C)="CELC",Y30,'ENE TECH'!V26)</f>
        <v>14.4582687931834</v>
      </c>
      <c r="AA30" s="6">
        <f>IF(_xlfn.XLOOKUP($J30,$B:$B,$C:$C)="CELC",Z30,'ENE TECH'!W26)</f>
        <v>14.4582687931834</v>
      </c>
      <c r="AB30" s="6">
        <f>IF(_xlfn.XLOOKUP($J30,$B:$B,$C:$C)="CELC",AA30,'ENE TECH'!X26)</f>
        <v>14.4582687931834</v>
      </c>
      <c r="AC30" s="6">
        <f>IF(_xlfn.XLOOKUP($J30,$B:$B,$C:$C)="CELC",AB30,'ENE TECH'!Y26)</f>
        <v>14.4582687931834</v>
      </c>
      <c r="AD30" s="6">
        <f>IF(_xlfn.XLOOKUP($J30,$B:$B,$C:$C)="CELC",AC30,'ENE TECH'!Z26)</f>
        <v>14.4582687931834</v>
      </c>
      <c r="AE30" s="6">
        <f>IF(_xlfn.XLOOKUP($J30,$B:$B,$C:$C)="CELC",AD30,'ENE TECH'!AA26)</f>
        <v>14.4582687931834</v>
      </c>
      <c r="AF30" s="6">
        <f>IF(_xlfn.XLOOKUP($J30,$B:$B,$C:$C)="CELC",AE30,'ENE TECH'!AB26)</f>
        <v>14.4582687931834</v>
      </c>
      <c r="AG30" s="6">
        <f>IF(_xlfn.XLOOKUP($J30,$B:$B,$C:$C)="CELC",AF30,'ENE TECH'!AC26)</f>
        <v>14.4582687931834</v>
      </c>
    </row>
    <row r="31" spans="2:33" x14ac:dyDescent="0.25">
      <c r="B31" t="str">
        <f>Def_Tech!D29</f>
        <v>INDFOI19</v>
      </c>
      <c r="C31" t="str">
        <f t="shared" si="1"/>
        <v>FOI</v>
      </c>
      <c r="D31" t="str">
        <f>Def_Comm!C29</f>
        <v>INDFOI</v>
      </c>
      <c r="E31" t="s">
        <v>396</v>
      </c>
      <c r="F31">
        <v>1</v>
      </c>
      <c r="J31" t="str">
        <f t="shared" si="2"/>
        <v>INDFOI19</v>
      </c>
      <c r="K31" t="str">
        <f t="shared" si="3"/>
        <v/>
      </c>
      <c r="L31" s="6">
        <f>IF(_xlfn.XLOOKUP($J31,$B:$B,$C:$C)="CELC",'ENE TECH'!H27-5,'ENE TECH'!H27)</f>
        <v>10.803406022254901</v>
      </c>
      <c r="M31" s="6">
        <f>IF(_xlfn.XLOOKUP($J31,$B:$B,$C:$C)="CELC",L31,'ENE TECH'!I27)</f>
        <v>8.3760503443286929</v>
      </c>
      <c r="N31" s="6">
        <f>IF(_xlfn.XLOOKUP($J31,$B:$B,$C:$C)="CELC",M31,'ENE TECH'!J27)</f>
        <v>12.31451729732329</v>
      </c>
      <c r="O31" s="6">
        <f>IF(_xlfn.XLOOKUP($J31,$B:$B,$C:$C)="CELC",N31,'ENE TECH'!K27)</f>
        <v>13.300023465491529</v>
      </c>
      <c r="P31" s="6">
        <f>IF(_xlfn.XLOOKUP($J31,$B:$B,$C:$C)="CELC",O31,'ENE TECH'!L27)</f>
        <v>8.3058520131779208</v>
      </c>
      <c r="Q31" s="6">
        <f>IF(_xlfn.XLOOKUP($J31,$B:$B,$C:$C)="CELC",P31,'ENE TECH'!M27)</f>
        <v>9.8242711554048068</v>
      </c>
      <c r="R31" s="6">
        <f>IF(_xlfn.XLOOKUP($J31,$B:$B,$C:$C)="CELC",Q31,'ENE TECH'!N27)</f>
        <v>10.264384467441991</v>
      </c>
      <c r="S31" s="6">
        <f>IF(_xlfn.XLOOKUP($J31,$B:$B,$C:$C)="CELC",R31,'ENE TECH'!O27)</f>
        <v>15.911877844428449</v>
      </c>
      <c r="T31" s="6">
        <f>IF(_xlfn.XLOOKUP($J31,$B:$B,$C:$C)="CELC",S31,'ENE TECH'!P27)</f>
        <v>17.519001292651261</v>
      </c>
      <c r="U31" s="6">
        <f>IF(_xlfn.XLOOKUP($J31,$B:$B,$C:$C)="CELC",T31,'ENE TECH'!Q27)</f>
        <v>19.207624262464829</v>
      </c>
      <c r="V31" s="6">
        <f>IF(_xlfn.XLOOKUP($J31,$B:$B,$C:$C)="CELC",U31,'ENE TECH'!R27)</f>
        <v>20.805142293316191</v>
      </c>
      <c r="W31" s="6">
        <f>IF(_xlfn.XLOOKUP($J31,$B:$B,$C:$C)="CELC",V31,'ENE TECH'!S27)</f>
        <v>22.199438305906511</v>
      </c>
      <c r="X31" s="6">
        <f>IF(_xlfn.XLOOKUP($J31,$B:$B,$C:$C)="CELC",W31,'ENE TECH'!T27)</f>
        <v>22.199438305906511</v>
      </c>
      <c r="Y31" s="6">
        <f>IF(_xlfn.XLOOKUP($J31,$B:$B,$C:$C)="CELC",X31,'ENE TECH'!U27)</f>
        <v>22.199438305906511</v>
      </c>
      <c r="Z31" s="6">
        <f>IF(_xlfn.XLOOKUP($J31,$B:$B,$C:$C)="CELC",Y31,'ENE TECH'!V27)</f>
        <v>22.199438305906511</v>
      </c>
      <c r="AA31" s="6">
        <f>IF(_xlfn.XLOOKUP($J31,$B:$B,$C:$C)="CELC",Z31,'ENE TECH'!W27)</f>
        <v>22.199438305906511</v>
      </c>
      <c r="AB31" s="6">
        <f>IF(_xlfn.XLOOKUP($J31,$B:$B,$C:$C)="CELC",AA31,'ENE TECH'!X27)</f>
        <v>22.199438305906511</v>
      </c>
      <c r="AC31" s="6">
        <f>IF(_xlfn.XLOOKUP($J31,$B:$B,$C:$C)="CELC",AB31,'ENE TECH'!Y27)</f>
        <v>22.199438305906511</v>
      </c>
      <c r="AD31" s="6">
        <f>IF(_xlfn.XLOOKUP($J31,$B:$B,$C:$C)="CELC",AC31,'ENE TECH'!Z27)</f>
        <v>22.199438305906511</v>
      </c>
      <c r="AE31" s="6">
        <f>IF(_xlfn.XLOOKUP($J31,$B:$B,$C:$C)="CELC",AD31,'ENE TECH'!AA27)</f>
        <v>22.199438305906511</v>
      </c>
      <c r="AF31" s="6">
        <f>IF(_xlfn.XLOOKUP($J31,$B:$B,$C:$C)="CELC",AE31,'ENE TECH'!AB27)</f>
        <v>22.199438305906511</v>
      </c>
      <c r="AG31" s="6">
        <f>IF(_xlfn.XLOOKUP($J31,$B:$B,$C:$C)="CELC",AF31,'ENE TECH'!AC27)</f>
        <v>22.199438305906511</v>
      </c>
    </row>
    <row r="32" spans="2:33" x14ac:dyDescent="0.25">
      <c r="B32" t="str">
        <f>Def_Tech!D30</f>
        <v>INDKER19</v>
      </c>
      <c r="C32" t="str">
        <f t="shared" si="1"/>
        <v>KER</v>
      </c>
      <c r="D32" t="str">
        <f>Def_Comm!C30</f>
        <v>INDKER</v>
      </c>
      <c r="E32" t="s">
        <v>396</v>
      </c>
      <c r="F32">
        <v>1</v>
      </c>
      <c r="J32" t="str">
        <f t="shared" si="2"/>
        <v>INDKER19</v>
      </c>
      <c r="K32" t="str">
        <f t="shared" si="3"/>
        <v/>
      </c>
      <c r="L32" s="6">
        <f>IF(_xlfn.XLOOKUP($J32,$B:$B,$C:$C)="CELC",'ENE TECH'!H28-5,'ENE TECH'!H28)</f>
        <v>18.734740913848981</v>
      </c>
      <c r="M32" s="6">
        <f>IF(_xlfn.XLOOKUP($J32,$B:$B,$C:$C)="CELC",L32,'ENE TECH'!I28)</f>
        <v>13.594807100315871</v>
      </c>
      <c r="N32" s="6">
        <f>IF(_xlfn.XLOOKUP($J32,$B:$B,$C:$C)="CELC",M32,'ENE TECH'!J28)</f>
        <v>17.801926223545671</v>
      </c>
      <c r="O32" s="6">
        <f>IF(_xlfn.XLOOKUP($J32,$B:$B,$C:$C)="CELC",N32,'ENE TECH'!K28)</f>
        <v>19.226578743412901</v>
      </c>
      <c r="P32" s="6">
        <f>IF(_xlfn.XLOOKUP($J32,$B:$B,$C:$C)="CELC",O32,'ENE TECH'!L28)</f>
        <v>17.581126222264881</v>
      </c>
      <c r="Q32" s="6">
        <f>IF(_xlfn.XLOOKUP($J32,$B:$B,$C:$C)="CELC",P32,'ENE TECH'!M28)</f>
        <v>16.206198080965891</v>
      </c>
      <c r="R32" s="6">
        <f>IF(_xlfn.XLOOKUP($J32,$B:$B,$C:$C)="CELC",Q32,'ENE TECH'!N28)</f>
        <v>14.65950685874073</v>
      </c>
      <c r="S32" s="6">
        <f>IF(_xlfn.XLOOKUP($J32,$B:$B,$C:$C)="CELC",R32,'ENE TECH'!O28)</f>
        <v>12.674362916711811</v>
      </c>
      <c r="T32" s="6">
        <f>IF(_xlfn.XLOOKUP($J32,$B:$B,$C:$C)="CELC",S32,'ENE TECH'!P28)</f>
        <v>13.65481387793489</v>
      </c>
      <c r="U32" s="6">
        <f>IF(_xlfn.XLOOKUP($J32,$B:$B,$C:$C)="CELC",T32,'ENE TECH'!Q28)</f>
        <v>14.789904337616059</v>
      </c>
      <c r="V32" s="6">
        <f>IF(_xlfn.XLOOKUP($J32,$B:$B,$C:$C)="CELC",U32,'ENE TECH'!R28)</f>
        <v>15.815090888786649</v>
      </c>
      <c r="W32" s="6">
        <f>IF(_xlfn.XLOOKUP($J32,$B:$B,$C:$C)="CELC",V32,'ENE TECH'!S28)</f>
        <v>16.688800879414611</v>
      </c>
      <c r="X32" s="6">
        <f>IF(_xlfn.XLOOKUP($J32,$B:$B,$C:$C)="CELC",W32,'ENE TECH'!T28)</f>
        <v>16.688800879414611</v>
      </c>
      <c r="Y32" s="6">
        <f>IF(_xlfn.XLOOKUP($J32,$B:$B,$C:$C)="CELC",X32,'ENE TECH'!U28)</f>
        <v>16.688800879414611</v>
      </c>
      <c r="Z32" s="6">
        <f>IF(_xlfn.XLOOKUP($J32,$B:$B,$C:$C)="CELC",Y32,'ENE TECH'!V28)</f>
        <v>16.688800879414611</v>
      </c>
      <c r="AA32" s="6">
        <f>IF(_xlfn.XLOOKUP($J32,$B:$B,$C:$C)="CELC",Z32,'ENE TECH'!W28)</f>
        <v>16.688800879414611</v>
      </c>
      <c r="AB32" s="6">
        <f>IF(_xlfn.XLOOKUP($J32,$B:$B,$C:$C)="CELC",AA32,'ENE TECH'!X28)</f>
        <v>16.688800879414611</v>
      </c>
      <c r="AC32" s="6">
        <f>IF(_xlfn.XLOOKUP($J32,$B:$B,$C:$C)="CELC",AB32,'ENE TECH'!Y28)</f>
        <v>16.688800879414611</v>
      </c>
      <c r="AD32" s="6">
        <f>IF(_xlfn.XLOOKUP($J32,$B:$B,$C:$C)="CELC",AC32,'ENE TECH'!Z28)</f>
        <v>16.688800879414611</v>
      </c>
      <c r="AE32" s="6">
        <f>IF(_xlfn.XLOOKUP($J32,$B:$B,$C:$C)="CELC",AD32,'ENE TECH'!AA28)</f>
        <v>16.688800879414611</v>
      </c>
      <c r="AF32" s="6">
        <f>IF(_xlfn.XLOOKUP($J32,$B:$B,$C:$C)="CELC",AE32,'ENE TECH'!AB28)</f>
        <v>16.688800879414611</v>
      </c>
      <c r="AG32" s="6">
        <f>IF(_xlfn.XLOOKUP($J32,$B:$B,$C:$C)="CELC",AF32,'ENE TECH'!AC28)</f>
        <v>16.688800879414611</v>
      </c>
    </row>
    <row r="33" spans="2:33" x14ac:dyDescent="0.25">
      <c r="B33" t="str">
        <f>Def_Tech!D31</f>
        <v>INDGSL19</v>
      </c>
      <c r="C33" t="str">
        <f t="shared" si="1"/>
        <v>GSL</v>
      </c>
      <c r="D33" t="str">
        <f>Def_Comm!C31</f>
        <v>INDGSL</v>
      </c>
      <c r="E33" t="s">
        <v>396</v>
      </c>
      <c r="F33">
        <v>1</v>
      </c>
      <c r="J33" t="str">
        <f t="shared" si="2"/>
        <v>INDGSL19</v>
      </c>
      <c r="K33" t="str">
        <f t="shared" si="3"/>
        <v/>
      </c>
      <c r="L33" s="6">
        <f>IF(_xlfn.XLOOKUP($J33,$B:$B,$C:$C)="CELC",'ENE TECH'!H29-5,'ENE TECH'!H29)</f>
        <v>23.164358311522001</v>
      </c>
      <c r="M33" s="6">
        <f>IF(_xlfn.XLOOKUP($J33,$B:$B,$C:$C)="CELC",L33,'ENE TECH'!I29)</f>
        <v>19.37775377586923</v>
      </c>
      <c r="N33" s="6">
        <f>IF(_xlfn.XLOOKUP($J33,$B:$B,$C:$C)="CELC",M33,'ENE TECH'!J29)</f>
        <v>25.58290059940007</v>
      </c>
      <c r="O33" s="6">
        <f>IF(_xlfn.XLOOKUP($J33,$B:$B,$C:$C)="CELC",N33,'ENE TECH'!K29)</f>
        <v>27.630248922652981</v>
      </c>
      <c r="P33" s="6">
        <f>IF(_xlfn.XLOOKUP($J33,$B:$B,$C:$C)="CELC",O33,'ENE TECH'!L29)</f>
        <v>25.265591988287941</v>
      </c>
      <c r="Q33" s="6">
        <f>IF(_xlfn.XLOOKUP($J33,$B:$B,$C:$C)="CELC",P33,'ENE TECH'!M29)</f>
        <v>23.289701877944371</v>
      </c>
      <c r="R33" s="6">
        <f>IF(_xlfn.XLOOKUP($J33,$B:$B,$C:$C)="CELC",Q33,'ENE TECH'!N29)</f>
        <v>21.066973432759848</v>
      </c>
      <c r="S33" s="6">
        <f>IF(_xlfn.XLOOKUP($J33,$B:$B,$C:$C)="CELC",R33,'ENE TECH'!O29)</f>
        <v>18.214150681632209</v>
      </c>
      <c r="T33" s="6">
        <f>IF(_xlfn.XLOOKUP($J33,$B:$B,$C:$C)="CELC",S33,'ENE TECH'!P29)</f>
        <v>19.62314312259517</v>
      </c>
      <c r="U33" s="6">
        <f>IF(_xlfn.XLOOKUP($J33,$B:$B,$C:$C)="CELC",T33,'ENE TECH'!Q29)</f>
        <v>21.254365836176721</v>
      </c>
      <c r="V33" s="6">
        <f>IF(_xlfn.XLOOKUP($J33,$B:$B,$C:$C)="CELC",U33,'ENE TECH'!R29)</f>
        <v>22.727647171302682</v>
      </c>
      <c r="W33" s="6">
        <f>IF(_xlfn.XLOOKUP($J33,$B:$B,$C:$C)="CELC",V33,'ENE TECH'!S29)</f>
        <v>23.983243647900469</v>
      </c>
      <c r="X33" s="6">
        <f>IF(_xlfn.XLOOKUP($J33,$B:$B,$C:$C)="CELC",W33,'ENE TECH'!T29)</f>
        <v>23.983243647900469</v>
      </c>
      <c r="Y33" s="6">
        <f>IF(_xlfn.XLOOKUP($J33,$B:$B,$C:$C)="CELC",X33,'ENE TECH'!U29)</f>
        <v>23.983243647900469</v>
      </c>
      <c r="Z33" s="6">
        <f>IF(_xlfn.XLOOKUP($J33,$B:$B,$C:$C)="CELC",Y33,'ENE TECH'!V29)</f>
        <v>23.983243647900469</v>
      </c>
      <c r="AA33" s="6">
        <f>IF(_xlfn.XLOOKUP($J33,$B:$B,$C:$C)="CELC",Z33,'ENE TECH'!W29)</f>
        <v>23.983243647900469</v>
      </c>
      <c r="AB33" s="6">
        <f>IF(_xlfn.XLOOKUP($J33,$B:$B,$C:$C)="CELC",AA33,'ENE TECH'!X29)</f>
        <v>23.983243647900469</v>
      </c>
      <c r="AC33" s="6">
        <f>IF(_xlfn.XLOOKUP($J33,$B:$B,$C:$C)="CELC",AB33,'ENE TECH'!Y29)</f>
        <v>23.983243647900469</v>
      </c>
      <c r="AD33" s="6">
        <f>IF(_xlfn.XLOOKUP($J33,$B:$B,$C:$C)="CELC",AC33,'ENE TECH'!Z29)</f>
        <v>23.983243647900469</v>
      </c>
      <c r="AE33" s="6">
        <f>IF(_xlfn.XLOOKUP($J33,$B:$B,$C:$C)="CELC",AD33,'ENE TECH'!AA29)</f>
        <v>23.983243647900469</v>
      </c>
      <c r="AF33" s="6">
        <f>IF(_xlfn.XLOOKUP($J33,$B:$B,$C:$C)="CELC",AE33,'ENE TECH'!AB29)</f>
        <v>23.983243647900469</v>
      </c>
      <c r="AG33" s="6">
        <f>IF(_xlfn.XLOOKUP($J33,$B:$B,$C:$C)="CELC",AF33,'ENE TECH'!AC29)</f>
        <v>23.983243647900469</v>
      </c>
    </row>
    <row r="34" spans="2:33" x14ac:dyDescent="0.25">
      <c r="B34" t="str">
        <f>Def_Tech!D32</f>
        <v>INDNGA19</v>
      </c>
      <c r="C34" t="str">
        <f t="shared" si="1"/>
        <v>NGA</v>
      </c>
      <c r="D34" t="str">
        <f>Def_Comm!C32</f>
        <v>INDNGA</v>
      </c>
      <c r="E34" t="s">
        <v>396</v>
      </c>
      <c r="F34">
        <v>1</v>
      </c>
      <c r="J34" t="str">
        <f t="shared" si="2"/>
        <v>INDNGA19</v>
      </c>
      <c r="K34" t="str">
        <f t="shared" si="3"/>
        <v/>
      </c>
      <c r="L34" s="6">
        <f>IF(_xlfn.XLOOKUP($J34,$B:$B,$C:$C)="CELC",'ENE TECH'!H30-5,'ENE TECH'!H30)</f>
        <v>8.2406348595114025</v>
      </c>
      <c r="M34" s="6">
        <f>IF(_xlfn.XLOOKUP($J34,$B:$B,$C:$C)="CELC",L34,'ENE TECH'!I30)</f>
        <v>7.3453187605058599</v>
      </c>
      <c r="N34" s="6">
        <f>IF(_xlfn.XLOOKUP($J34,$B:$B,$C:$C)="CELC",M34,'ENE TECH'!J30)</f>
        <v>8.7026875939308148</v>
      </c>
      <c r="O34" s="6">
        <f>IF(_xlfn.XLOOKUP($J34,$B:$B,$C:$C)="CELC",N34,'ENE TECH'!K30)</f>
        <v>9.3991462610784318</v>
      </c>
      <c r="P34" s="6">
        <f>IF(_xlfn.XLOOKUP($J34,$B:$B,$C:$C)="CELC",O34,'ENE TECH'!L30)</f>
        <v>7.840660833120296</v>
      </c>
      <c r="Q34" s="6">
        <f>IF(_xlfn.XLOOKUP($J34,$B:$B,$C:$C)="CELC",P34,'ENE TECH'!M30)</f>
        <v>6.3176618215180902</v>
      </c>
      <c r="R34" s="6">
        <f>IF(_xlfn.XLOOKUP($J34,$B:$B,$C:$C)="CELC",Q34,'ENE TECH'!N30)</f>
        <v>5.7092574658049546</v>
      </c>
      <c r="S34" s="6">
        <f>IF(_xlfn.XLOOKUP($J34,$B:$B,$C:$C)="CELC",R34,'ENE TECH'!O30)</f>
        <v>5.4161205246663062</v>
      </c>
      <c r="T34" s="6">
        <f>IF(_xlfn.XLOOKUP($J34,$B:$B,$C:$C)="CELC",S34,'ENE TECH'!P30)</f>
        <v>6.5134169753070124</v>
      </c>
      <c r="U34" s="6">
        <f>IF(_xlfn.XLOOKUP($J34,$B:$B,$C:$C)="CELC",T34,'ENE TECH'!Q30)</f>
        <v>7.3212057953494627</v>
      </c>
      <c r="V34" s="6">
        <f>IF(_xlfn.XLOOKUP($J34,$B:$B,$C:$C)="CELC",U34,'ENE TECH'!R30)</f>
        <v>7.4682076067627428</v>
      </c>
      <c r="W34" s="6">
        <f>IF(_xlfn.XLOOKUP($J34,$B:$B,$C:$C)="CELC",V34,'ENE TECH'!S30)</f>
        <v>7.6916072679536196</v>
      </c>
      <c r="X34" s="6">
        <f>IF(_xlfn.XLOOKUP($J34,$B:$B,$C:$C)="CELC",W34,'ENE TECH'!T30)</f>
        <v>7.6916072679536196</v>
      </c>
      <c r="Y34" s="6">
        <f>IF(_xlfn.XLOOKUP($J34,$B:$B,$C:$C)="CELC",X34,'ENE TECH'!U30)</f>
        <v>7.6916072679536196</v>
      </c>
      <c r="Z34" s="6">
        <f>IF(_xlfn.XLOOKUP($J34,$B:$B,$C:$C)="CELC",Y34,'ENE TECH'!V30)</f>
        <v>7.6916072679536196</v>
      </c>
      <c r="AA34" s="6">
        <f>IF(_xlfn.XLOOKUP($J34,$B:$B,$C:$C)="CELC",Z34,'ENE TECH'!W30)</f>
        <v>7.6916072679536196</v>
      </c>
      <c r="AB34" s="6">
        <f>IF(_xlfn.XLOOKUP($J34,$B:$B,$C:$C)="CELC",AA34,'ENE TECH'!X30)</f>
        <v>7.6916072679536196</v>
      </c>
      <c r="AC34" s="6">
        <f>IF(_xlfn.XLOOKUP($J34,$B:$B,$C:$C)="CELC",AB34,'ENE TECH'!Y30)</f>
        <v>7.6916072679536196</v>
      </c>
      <c r="AD34" s="6">
        <f>IF(_xlfn.XLOOKUP($J34,$B:$B,$C:$C)="CELC",AC34,'ENE TECH'!Z30)</f>
        <v>7.6916072679536196</v>
      </c>
      <c r="AE34" s="6">
        <f>IF(_xlfn.XLOOKUP($J34,$B:$B,$C:$C)="CELC",AD34,'ENE TECH'!AA30)</f>
        <v>7.6916072679536196</v>
      </c>
      <c r="AF34" s="6">
        <f>IF(_xlfn.XLOOKUP($J34,$B:$B,$C:$C)="CELC",AE34,'ENE TECH'!AB30)</f>
        <v>7.6916072679536196</v>
      </c>
      <c r="AG34" s="6">
        <f>IF(_xlfn.XLOOKUP($J34,$B:$B,$C:$C)="CELC",AF34,'ENE TECH'!AC30)</f>
        <v>7.6916072679536196</v>
      </c>
    </row>
    <row r="35" spans="2:33" x14ac:dyDescent="0.25">
      <c r="B35" t="str">
        <f>Def_Tech!D33</f>
        <v>INDRNG19</v>
      </c>
      <c r="C35" t="str">
        <f t="shared" si="1"/>
        <v>RNG</v>
      </c>
      <c r="D35" t="str">
        <f>Def_Comm!C33</f>
        <v>INDRNG</v>
      </c>
      <c r="E35" t="s">
        <v>396</v>
      </c>
      <c r="F35">
        <v>1</v>
      </c>
      <c r="J35" t="str">
        <f t="shared" si="2"/>
        <v>INDRNG19</v>
      </c>
      <c r="K35" t="str">
        <f t="shared" si="3"/>
        <v/>
      </c>
      <c r="L35" s="6">
        <f>IF(_xlfn.XLOOKUP($J35,$B:$B,$C:$C)="CELC",'ENE TECH'!H31-5,'ENE TECH'!H31)</f>
        <v>16.481269719022809</v>
      </c>
      <c r="M35" s="6">
        <f>IF(_xlfn.XLOOKUP($J35,$B:$B,$C:$C)="CELC",L35,'ENE TECH'!I31)</f>
        <v>14.69063752101172</v>
      </c>
      <c r="N35" s="6">
        <f>IF(_xlfn.XLOOKUP($J35,$B:$B,$C:$C)="CELC",M35,'ENE TECH'!J31)</f>
        <v>17.40537518786163</v>
      </c>
      <c r="O35" s="6">
        <f>IF(_xlfn.XLOOKUP($J35,$B:$B,$C:$C)="CELC",N35,'ENE TECH'!K31)</f>
        <v>18.79829252215686</v>
      </c>
      <c r="P35" s="6">
        <f>IF(_xlfn.XLOOKUP($J35,$B:$B,$C:$C)="CELC",O35,'ENE TECH'!L31)</f>
        <v>15.68132166624059</v>
      </c>
      <c r="Q35" s="6">
        <f>IF(_xlfn.XLOOKUP($J35,$B:$B,$C:$C)="CELC",P35,'ENE TECH'!M31)</f>
        <v>12.63532364303618</v>
      </c>
      <c r="R35" s="6">
        <f>IF(_xlfn.XLOOKUP($J35,$B:$B,$C:$C)="CELC",Q35,'ENE TECH'!N31)</f>
        <v>11.418514931609909</v>
      </c>
      <c r="S35" s="6">
        <f>IF(_xlfn.XLOOKUP($J35,$B:$B,$C:$C)="CELC",R35,'ENE TECH'!O31)</f>
        <v>10.832241049332611</v>
      </c>
      <c r="T35" s="6">
        <f>IF(_xlfn.XLOOKUP($J35,$B:$B,$C:$C)="CELC",S35,'ENE TECH'!P31)</f>
        <v>13.026833950614019</v>
      </c>
      <c r="U35" s="6">
        <f>IF(_xlfn.XLOOKUP($J35,$B:$B,$C:$C)="CELC",T35,'ENE TECH'!Q31)</f>
        <v>14.642411590698931</v>
      </c>
      <c r="V35" s="6">
        <f>IF(_xlfn.XLOOKUP($J35,$B:$B,$C:$C)="CELC",U35,'ENE TECH'!R31)</f>
        <v>14.936415213525491</v>
      </c>
      <c r="W35" s="6">
        <f>IF(_xlfn.XLOOKUP($J35,$B:$B,$C:$C)="CELC",V35,'ENE TECH'!S31)</f>
        <v>15.383214535907239</v>
      </c>
      <c r="X35" s="6">
        <f>IF(_xlfn.XLOOKUP($J35,$B:$B,$C:$C)="CELC",W35,'ENE TECH'!T31)</f>
        <v>15.383214535907239</v>
      </c>
      <c r="Y35" s="6">
        <f>IF(_xlfn.XLOOKUP($J35,$B:$B,$C:$C)="CELC",X35,'ENE TECH'!U31)</f>
        <v>15.383214535907239</v>
      </c>
      <c r="Z35" s="6">
        <f>IF(_xlfn.XLOOKUP($J35,$B:$B,$C:$C)="CELC",Y35,'ENE TECH'!V31)</f>
        <v>15.383214535907239</v>
      </c>
      <c r="AA35" s="6">
        <f>IF(_xlfn.XLOOKUP($J35,$B:$B,$C:$C)="CELC",Z35,'ENE TECH'!W31)</f>
        <v>15.383214535907239</v>
      </c>
      <c r="AB35" s="6">
        <f>IF(_xlfn.XLOOKUP($J35,$B:$B,$C:$C)="CELC",AA35,'ENE TECH'!X31)</f>
        <v>15.383214535907239</v>
      </c>
      <c r="AC35" s="6">
        <f>IF(_xlfn.XLOOKUP($J35,$B:$B,$C:$C)="CELC",AB35,'ENE TECH'!Y31)</f>
        <v>15.383214535907239</v>
      </c>
      <c r="AD35" s="6">
        <f>IF(_xlfn.XLOOKUP($J35,$B:$B,$C:$C)="CELC",AC35,'ENE TECH'!Z31)</f>
        <v>15.383214535907239</v>
      </c>
      <c r="AE35" s="6">
        <f>IF(_xlfn.XLOOKUP($J35,$B:$B,$C:$C)="CELC",AD35,'ENE TECH'!AA31)</f>
        <v>15.383214535907239</v>
      </c>
      <c r="AF35" s="6">
        <f>IF(_xlfn.XLOOKUP($J35,$B:$B,$C:$C)="CELC",AE35,'ENE TECH'!AB31)</f>
        <v>15.383214535907239</v>
      </c>
      <c r="AG35" s="6">
        <f>IF(_xlfn.XLOOKUP($J35,$B:$B,$C:$C)="CELC",AF35,'ENE TECH'!AC31)</f>
        <v>15.383214535907239</v>
      </c>
    </row>
    <row r="36" spans="2:33" x14ac:dyDescent="0.25">
      <c r="B36" t="str">
        <f>Def_Tech!D34</f>
        <v>INDPCK19</v>
      </c>
      <c r="C36" t="str">
        <f t="shared" si="1"/>
        <v>PCK</v>
      </c>
      <c r="D36" t="str">
        <f>Def_Comm!C34</f>
        <v>INDPCK</v>
      </c>
      <c r="E36" t="s">
        <v>396</v>
      </c>
      <c r="F36">
        <v>1</v>
      </c>
      <c r="J36" t="str">
        <f t="shared" si="2"/>
        <v>INDPCK19</v>
      </c>
      <c r="K36" t="str">
        <f t="shared" si="3"/>
        <v/>
      </c>
      <c r="L36" s="6">
        <f>IF(_xlfn.XLOOKUP($J36,$B:$B,$C:$C)="CELC",'ENE TECH'!H32-5,'ENE TECH'!H32)</f>
        <v>3.7778781795615268</v>
      </c>
      <c r="M36" s="6">
        <f>IF(_xlfn.XLOOKUP($J36,$B:$B,$C:$C)="CELC",L36,'ENE TECH'!I32)</f>
        <v>3.981878855399779</v>
      </c>
      <c r="N36" s="6">
        <f>IF(_xlfn.XLOOKUP($J36,$B:$B,$C:$C)="CELC",M36,'ENE TECH'!J32)</f>
        <v>3.6011121078334409</v>
      </c>
      <c r="O36" s="6">
        <f>IF(_xlfn.XLOOKUP($J36,$B:$B,$C:$C)="CELC",N36,'ENE TECH'!K32)</f>
        <v>3.8893019011359029</v>
      </c>
      <c r="P36" s="6">
        <f>IF(_xlfn.XLOOKUP($J36,$B:$B,$C:$C)="CELC",O36,'ENE TECH'!L32)</f>
        <v>3.8487693381516159</v>
      </c>
      <c r="Q36" s="6">
        <f>IF(_xlfn.XLOOKUP($J36,$B:$B,$C:$C)="CELC",P36,'ENE TECH'!M32)</f>
        <v>3.941073016684963</v>
      </c>
      <c r="R36" s="6">
        <f>IF(_xlfn.XLOOKUP($J36,$B:$B,$C:$C)="CELC",Q36,'ENE TECH'!N32)</f>
        <v>4.0063416861398338</v>
      </c>
      <c r="S36" s="6">
        <f>IF(_xlfn.XLOOKUP($J36,$B:$B,$C:$C)="CELC",R36,'ENE TECH'!O32)</f>
        <v>4.4118734515392664</v>
      </c>
      <c r="T36" s="6">
        <f>IF(_xlfn.XLOOKUP($J36,$B:$B,$C:$C)="CELC",S36,'ENE TECH'!P32)</f>
        <v>4.9805161569166128</v>
      </c>
      <c r="U36" s="6">
        <f>IF(_xlfn.XLOOKUP($J36,$B:$B,$C:$C)="CELC",T36,'ENE TECH'!Q32)</f>
        <v>5.5737404371809172</v>
      </c>
      <c r="V36" s="6">
        <f>IF(_xlfn.XLOOKUP($J36,$B:$B,$C:$C)="CELC",U36,'ENE TECH'!R32)</f>
        <v>6.1313001281072026</v>
      </c>
      <c r="W36" s="6">
        <f>IF(_xlfn.XLOOKUP($J36,$B:$B,$C:$C)="CELC",V36,'ENE TECH'!S32)</f>
        <v>6.6964863768406717</v>
      </c>
      <c r="X36" s="6">
        <f>IF(_xlfn.XLOOKUP($J36,$B:$B,$C:$C)="CELC",W36,'ENE TECH'!T32)</f>
        <v>6.6964863768406717</v>
      </c>
      <c r="Y36" s="6">
        <f>IF(_xlfn.XLOOKUP($J36,$B:$B,$C:$C)="CELC",X36,'ENE TECH'!U32)</f>
        <v>6.6964863768406717</v>
      </c>
      <c r="Z36" s="6">
        <f>IF(_xlfn.XLOOKUP($J36,$B:$B,$C:$C)="CELC",Y36,'ENE TECH'!V32)</f>
        <v>6.6964863768406717</v>
      </c>
      <c r="AA36" s="6">
        <f>IF(_xlfn.XLOOKUP($J36,$B:$B,$C:$C)="CELC",Z36,'ENE TECH'!W32)</f>
        <v>6.6964863768406717</v>
      </c>
      <c r="AB36" s="6">
        <f>IF(_xlfn.XLOOKUP($J36,$B:$B,$C:$C)="CELC",AA36,'ENE TECH'!X32)</f>
        <v>6.6964863768406717</v>
      </c>
      <c r="AC36" s="6">
        <f>IF(_xlfn.XLOOKUP($J36,$B:$B,$C:$C)="CELC",AB36,'ENE TECH'!Y32)</f>
        <v>6.6964863768406717</v>
      </c>
      <c r="AD36" s="6">
        <f>IF(_xlfn.XLOOKUP($J36,$B:$B,$C:$C)="CELC",AC36,'ENE TECH'!Z32)</f>
        <v>6.6964863768406717</v>
      </c>
      <c r="AE36" s="6">
        <f>IF(_xlfn.XLOOKUP($J36,$B:$B,$C:$C)="CELC",AD36,'ENE TECH'!AA32)</f>
        <v>6.6964863768406717</v>
      </c>
      <c r="AF36" s="6">
        <f>IF(_xlfn.XLOOKUP($J36,$B:$B,$C:$C)="CELC",AE36,'ENE TECH'!AB32)</f>
        <v>6.6964863768406717</v>
      </c>
      <c r="AG36" s="6">
        <f>IF(_xlfn.XLOOKUP($J36,$B:$B,$C:$C)="CELC",AF36,'ENE TECH'!AC32)</f>
        <v>6.6964863768406717</v>
      </c>
    </row>
    <row r="37" spans="2:33" x14ac:dyDescent="0.25">
      <c r="B37" t="str">
        <f>Def_Tech!D35</f>
        <v>INDCOA19</v>
      </c>
      <c r="C37" t="str">
        <f t="shared" si="1"/>
        <v>COA</v>
      </c>
      <c r="D37" t="str">
        <f>Def_Comm!C35</f>
        <v>INDCOA</v>
      </c>
      <c r="E37" t="s">
        <v>396</v>
      </c>
      <c r="F37">
        <v>1</v>
      </c>
      <c r="J37" t="str">
        <f t="shared" si="2"/>
        <v>INDCOA19</v>
      </c>
      <c r="K37" t="str">
        <f t="shared" si="3"/>
        <v/>
      </c>
      <c r="L37" s="6">
        <f>IF(_xlfn.XLOOKUP($J37,$B:$B,$C:$C)="CELC",'ENE TECH'!H33-5,'ENE TECH'!H33)</f>
        <v>3.7778781795615268</v>
      </c>
      <c r="M37" s="6">
        <f>IF(_xlfn.XLOOKUP($J37,$B:$B,$C:$C)="CELC",L37,'ENE TECH'!I33)</f>
        <v>3.981878855399779</v>
      </c>
      <c r="N37" s="6">
        <f>IF(_xlfn.XLOOKUP($J37,$B:$B,$C:$C)="CELC",M37,'ENE TECH'!J33)</f>
        <v>3.6011121078334409</v>
      </c>
      <c r="O37" s="6">
        <f>IF(_xlfn.XLOOKUP($J37,$B:$B,$C:$C)="CELC",N37,'ENE TECH'!K33)</f>
        <v>3.8893019011359029</v>
      </c>
      <c r="P37" s="6">
        <f>IF(_xlfn.XLOOKUP($J37,$B:$B,$C:$C)="CELC",O37,'ENE TECH'!L33)</f>
        <v>3.7264742863010918</v>
      </c>
      <c r="Q37" s="6">
        <f>IF(_xlfn.XLOOKUP($J37,$B:$B,$C:$C)="CELC",P37,'ENE TECH'!M33)</f>
        <v>3.6977751293713381</v>
      </c>
      <c r="R37" s="6">
        <f>IF(_xlfn.XLOOKUP($J37,$B:$B,$C:$C)="CELC",Q37,'ENE TECH'!N33)</f>
        <v>3.7934472796869061</v>
      </c>
      <c r="S37" s="6">
        <f>IF(_xlfn.XLOOKUP($J37,$B:$B,$C:$C)="CELC",R37,'ENE TECH'!O33)</f>
        <v>3.9236988583037791</v>
      </c>
      <c r="T37" s="6">
        <f>IF(_xlfn.XLOOKUP($J37,$B:$B,$C:$C)="CELC",S37,'ENE TECH'!P33)</f>
        <v>4.1425814000956578</v>
      </c>
      <c r="U37" s="6">
        <f>IF(_xlfn.XLOOKUP($J37,$B:$B,$C:$C)="CELC",T37,'ENE TECH'!Q33)</f>
        <v>4.4356798747533732</v>
      </c>
      <c r="V37" s="6">
        <f>IF(_xlfn.XLOOKUP($J37,$B:$B,$C:$C)="CELC",U37,'ENE TECH'!R33)</f>
        <v>4.6979638189573594</v>
      </c>
      <c r="W37" s="6">
        <f>IF(_xlfn.XLOOKUP($J37,$B:$B,$C:$C)="CELC",V37,'ENE TECH'!S33)</f>
        <v>4.9689665163366881</v>
      </c>
      <c r="X37" s="6">
        <f>IF(_xlfn.XLOOKUP($J37,$B:$B,$C:$C)="CELC",W37,'ENE TECH'!T33)</f>
        <v>4.9689665163366881</v>
      </c>
      <c r="Y37" s="6">
        <f>IF(_xlfn.XLOOKUP($J37,$B:$B,$C:$C)="CELC",X37,'ENE TECH'!U33)</f>
        <v>4.9689665163366881</v>
      </c>
      <c r="Z37" s="6">
        <f>IF(_xlfn.XLOOKUP($J37,$B:$B,$C:$C)="CELC",Y37,'ENE TECH'!V33)</f>
        <v>4.9689665163366881</v>
      </c>
      <c r="AA37" s="6">
        <f>IF(_xlfn.XLOOKUP($J37,$B:$B,$C:$C)="CELC",Z37,'ENE TECH'!W33)</f>
        <v>4.9689665163366881</v>
      </c>
      <c r="AB37" s="6">
        <f>IF(_xlfn.XLOOKUP($J37,$B:$B,$C:$C)="CELC",AA37,'ENE TECH'!X33)</f>
        <v>4.9689665163366881</v>
      </c>
      <c r="AC37" s="6">
        <f>IF(_xlfn.XLOOKUP($J37,$B:$B,$C:$C)="CELC",AB37,'ENE TECH'!Y33)</f>
        <v>4.9689665163366881</v>
      </c>
      <c r="AD37" s="6">
        <f>IF(_xlfn.XLOOKUP($J37,$B:$B,$C:$C)="CELC",AC37,'ENE TECH'!Z33)</f>
        <v>4.9689665163366881</v>
      </c>
      <c r="AE37" s="6">
        <f>IF(_xlfn.XLOOKUP($J37,$B:$B,$C:$C)="CELC",AD37,'ENE TECH'!AA33)</f>
        <v>4.9689665163366881</v>
      </c>
      <c r="AF37" s="6">
        <f>IF(_xlfn.XLOOKUP($J37,$B:$B,$C:$C)="CELC",AE37,'ENE TECH'!AB33)</f>
        <v>4.9689665163366881</v>
      </c>
      <c r="AG37" s="6">
        <f>IF(_xlfn.XLOOKUP($J37,$B:$B,$C:$C)="CELC",AF37,'ENE TECH'!AC33)</f>
        <v>4.9689665163366881</v>
      </c>
    </row>
    <row r="38" spans="2:33" x14ac:dyDescent="0.25">
      <c r="B38" t="str">
        <f>Def_Tech!D36</f>
        <v>INDELC19</v>
      </c>
      <c r="C38" t="str">
        <f t="shared" si="1"/>
        <v>CELC</v>
      </c>
      <c r="D38" t="str">
        <f>Def_Comm!C36</f>
        <v>INDELC</v>
      </c>
      <c r="E38" t="s">
        <v>396</v>
      </c>
      <c r="F38">
        <v>1</v>
      </c>
      <c r="J38" t="str">
        <f t="shared" si="2"/>
        <v>INDELC19</v>
      </c>
      <c r="K38">
        <f t="shared" si="3"/>
        <v>1</v>
      </c>
      <c r="L38" s="6">
        <f>IF(_xlfn.XLOOKUP($J38,$B:$B,$C:$C)="CELC",'ENE TECH'!H34-5,'ENE TECH'!H34)</f>
        <v>13.17137311514243</v>
      </c>
      <c r="M38" s="6">
        <f>IF(_xlfn.XLOOKUP($J38,$B:$B,$C:$C)="CELC",L38,'ENE TECH'!I34)</f>
        <v>13.17137311514243</v>
      </c>
      <c r="N38" s="6">
        <f>IF(_xlfn.XLOOKUP($J38,$B:$B,$C:$C)="CELC",M38,'ENE TECH'!J34)</f>
        <v>13.17137311514243</v>
      </c>
      <c r="O38" s="6">
        <f>IF(_xlfn.XLOOKUP($J38,$B:$B,$C:$C)="CELC",N38,'ENE TECH'!K34)</f>
        <v>13.17137311514243</v>
      </c>
      <c r="P38" s="6">
        <f>IF(_xlfn.XLOOKUP($J38,$B:$B,$C:$C)="CELC",O38,'ENE TECH'!L34)</f>
        <v>13.17137311514243</v>
      </c>
      <c r="Q38" s="6">
        <f>IF(_xlfn.XLOOKUP($J38,$B:$B,$C:$C)="CELC",P38,'ENE TECH'!M34)</f>
        <v>13.17137311514243</v>
      </c>
      <c r="R38" s="6">
        <f>IF(_xlfn.XLOOKUP($J38,$B:$B,$C:$C)="CELC",Q38,'ENE TECH'!N34)</f>
        <v>13.17137311514243</v>
      </c>
      <c r="S38" s="6">
        <f>IF(_xlfn.XLOOKUP($J38,$B:$B,$C:$C)="CELC",R38,'ENE TECH'!O34)</f>
        <v>13.17137311514243</v>
      </c>
      <c r="T38" s="6">
        <f>IF(_xlfn.XLOOKUP($J38,$B:$B,$C:$C)="CELC",S38,'ENE TECH'!P34)</f>
        <v>13.17137311514243</v>
      </c>
      <c r="U38" s="6">
        <f>IF(_xlfn.XLOOKUP($J38,$B:$B,$C:$C)="CELC",T38,'ENE TECH'!Q34)</f>
        <v>13.17137311514243</v>
      </c>
      <c r="V38" s="6">
        <f>IF(_xlfn.XLOOKUP($J38,$B:$B,$C:$C)="CELC",U38,'ENE TECH'!R34)</f>
        <v>13.17137311514243</v>
      </c>
      <c r="W38" s="6">
        <f>IF(_xlfn.XLOOKUP($J38,$B:$B,$C:$C)="CELC",V38,'ENE TECH'!S34)</f>
        <v>13.17137311514243</v>
      </c>
      <c r="X38" s="6">
        <f>IF(_xlfn.XLOOKUP($J38,$B:$B,$C:$C)="CELC",W38,'ENE TECH'!T34)</f>
        <v>13.17137311514243</v>
      </c>
      <c r="Y38" s="6">
        <f>IF(_xlfn.XLOOKUP($J38,$B:$B,$C:$C)="CELC",X38,'ENE TECH'!U34)</f>
        <v>13.17137311514243</v>
      </c>
      <c r="Z38" s="6">
        <f>IF(_xlfn.XLOOKUP($J38,$B:$B,$C:$C)="CELC",Y38,'ENE TECH'!V34)</f>
        <v>13.17137311514243</v>
      </c>
      <c r="AA38" s="6">
        <f>IF(_xlfn.XLOOKUP($J38,$B:$B,$C:$C)="CELC",Z38,'ENE TECH'!W34)</f>
        <v>13.17137311514243</v>
      </c>
      <c r="AB38" s="6">
        <f>IF(_xlfn.XLOOKUP($J38,$B:$B,$C:$C)="CELC",AA38,'ENE TECH'!X34)</f>
        <v>13.17137311514243</v>
      </c>
      <c r="AC38" s="6">
        <f>IF(_xlfn.XLOOKUP($J38,$B:$B,$C:$C)="CELC",AB38,'ENE TECH'!Y34)</f>
        <v>13.17137311514243</v>
      </c>
      <c r="AD38" s="6">
        <f>IF(_xlfn.XLOOKUP($J38,$B:$B,$C:$C)="CELC",AC38,'ENE TECH'!Z34)</f>
        <v>13.17137311514243</v>
      </c>
      <c r="AE38" s="6">
        <f>IF(_xlfn.XLOOKUP($J38,$B:$B,$C:$C)="CELC",AD38,'ENE TECH'!AA34)</f>
        <v>13.17137311514243</v>
      </c>
      <c r="AF38" s="6">
        <f>IF(_xlfn.XLOOKUP($J38,$B:$B,$C:$C)="CELC",AE38,'ENE TECH'!AB34)</f>
        <v>13.17137311514243</v>
      </c>
      <c r="AG38" s="6">
        <f>IF(_xlfn.XLOOKUP($J38,$B:$B,$C:$C)="CELC",AF38,'ENE TECH'!AC34)</f>
        <v>13.17137311514243</v>
      </c>
    </row>
    <row r="39" spans="2:33" x14ac:dyDescent="0.25">
      <c r="B39" t="str">
        <f>Def_Tech!D37</f>
        <v>INDH2G19</v>
      </c>
      <c r="C39" t="str">
        <f t="shared" ref="C39:C70" si="4">IF(OR(RIGHT(D39,LEN(D39)-3)="ELC",RIGHT(D39,LEN(D39)-3)="H2G"),"C"&amp;RIGHT(D39,LEN(D39)-3),RIGHT(D39,LEN(D39)-3))</f>
        <v>CH2G</v>
      </c>
      <c r="D39" t="str">
        <f>Def_Comm!C37</f>
        <v>INDH2G</v>
      </c>
      <c r="E39" t="s">
        <v>396</v>
      </c>
      <c r="F39">
        <v>1</v>
      </c>
      <c r="J39" t="str">
        <f t="shared" ref="J39:J70" si="5">B39</f>
        <v>INDH2G19</v>
      </c>
      <c r="K39" t="str">
        <f t="shared" si="3"/>
        <v/>
      </c>
      <c r="L39" s="6">
        <f>IF(_xlfn.XLOOKUP($J39,$B:$B,$C:$C)="CELC",'ENE TECH'!H35-5,'ENE TECH'!H35)</f>
        <v>36.342746230284867</v>
      </c>
      <c r="M39" s="6">
        <f>IF(_xlfn.XLOOKUP($J39,$B:$B,$C:$C)="CELC",L39,'ENE TECH'!I35)</f>
        <v>35.261869972886331</v>
      </c>
      <c r="N39" s="6">
        <f>IF(_xlfn.XLOOKUP($J39,$B:$B,$C:$C)="CELC",M39,'ENE TECH'!J35)</f>
        <v>39.848020288466472</v>
      </c>
      <c r="O39" s="6">
        <f>IF(_xlfn.XLOOKUP($J39,$B:$B,$C:$C)="CELC",N39,'ENE TECH'!K35)</f>
        <v>43.036977584593117</v>
      </c>
      <c r="P39" s="6">
        <f>IF(_xlfn.XLOOKUP($J39,$B:$B,$C:$C)="CELC",O39,'ENE TECH'!L35)</f>
        <v>41.390623172141773</v>
      </c>
      <c r="Q39" s="6">
        <f>IF(_xlfn.XLOOKUP($J39,$B:$B,$C:$C)="CELC",P39,'ENE TECH'!M35)</f>
        <v>37.557458864792267</v>
      </c>
      <c r="R39" s="6">
        <f>IF(_xlfn.XLOOKUP($J39,$B:$B,$C:$C)="CELC",Q39,'ENE TECH'!N35)</f>
        <v>36.255717456974629</v>
      </c>
      <c r="S39" s="6">
        <f>IF(_xlfn.XLOOKUP($J39,$B:$B,$C:$C)="CELC",R39,'ENE TECH'!O35)</f>
        <v>35.445890701755118</v>
      </c>
      <c r="T39" s="6">
        <f>IF(_xlfn.XLOOKUP($J39,$B:$B,$C:$C)="CELC",S39,'ENE TECH'!P35)</f>
        <v>38.126294264168827</v>
      </c>
      <c r="U39" s="6">
        <f>IF(_xlfn.XLOOKUP($J39,$B:$B,$C:$C)="CELC",T39,'ENE TECH'!Q35)</f>
        <v>41.465785382500847</v>
      </c>
      <c r="V39" s="6">
        <f>IF(_xlfn.XLOOKUP($J39,$B:$B,$C:$C)="CELC",U39,'ENE TECH'!R35)</f>
        <v>43.606978298712249</v>
      </c>
      <c r="W39" s="6">
        <f>IF(_xlfn.XLOOKUP($J39,$B:$B,$C:$C)="CELC",V39,'ENE TECH'!S35)</f>
        <v>44.814355151427478</v>
      </c>
      <c r="X39" s="6">
        <f>IF(_xlfn.XLOOKUP($J39,$B:$B,$C:$C)="CELC",W39,'ENE TECH'!T35)</f>
        <v>44.814355151427478</v>
      </c>
      <c r="Y39" s="6">
        <f>IF(_xlfn.XLOOKUP($J39,$B:$B,$C:$C)="CELC",X39,'ENE TECH'!U35)</f>
        <v>44.814355151427478</v>
      </c>
      <c r="Z39" s="6">
        <f>IF(_xlfn.XLOOKUP($J39,$B:$B,$C:$C)="CELC",Y39,'ENE TECH'!V35)</f>
        <v>44.814355151427478</v>
      </c>
      <c r="AA39" s="6">
        <f>IF(_xlfn.XLOOKUP($J39,$B:$B,$C:$C)="CELC",Z39,'ENE TECH'!W35)</f>
        <v>44.814355151427478</v>
      </c>
      <c r="AB39" s="6">
        <f>IF(_xlfn.XLOOKUP($J39,$B:$B,$C:$C)="CELC",AA39,'ENE TECH'!X35)</f>
        <v>44.814355151427478</v>
      </c>
      <c r="AC39" s="6">
        <f>IF(_xlfn.XLOOKUP($J39,$B:$B,$C:$C)="CELC",AB39,'ENE TECH'!Y35)</f>
        <v>44.814355151427478</v>
      </c>
      <c r="AD39" s="6">
        <f>IF(_xlfn.XLOOKUP($J39,$B:$B,$C:$C)="CELC",AC39,'ENE TECH'!Z35)</f>
        <v>44.814355151427478</v>
      </c>
      <c r="AE39" s="6">
        <f>IF(_xlfn.XLOOKUP($J39,$B:$B,$C:$C)="CELC",AD39,'ENE TECH'!AA35)</f>
        <v>44.814355151427478</v>
      </c>
      <c r="AF39" s="6">
        <f>IF(_xlfn.XLOOKUP($J39,$B:$B,$C:$C)="CELC",AE39,'ENE TECH'!AB35)</f>
        <v>44.814355151427478</v>
      </c>
      <c r="AG39" s="6">
        <f>IF(_xlfn.XLOOKUP($J39,$B:$B,$C:$C)="CELC",AF39,'ENE TECH'!AC35)</f>
        <v>44.814355151427478</v>
      </c>
    </row>
    <row r="40" spans="2:33" x14ac:dyDescent="0.25">
      <c r="B40" t="str">
        <f>Def_Tech!D38</f>
        <v>INDSTM19</v>
      </c>
      <c r="C40" t="str">
        <f t="shared" si="4"/>
        <v>STM</v>
      </c>
      <c r="D40" t="str">
        <f>Def_Comm!C38</f>
        <v>INDSTM</v>
      </c>
      <c r="E40" t="s">
        <v>396</v>
      </c>
      <c r="F40">
        <v>1</v>
      </c>
      <c r="J40" t="str">
        <f t="shared" si="5"/>
        <v>INDSTM19</v>
      </c>
      <c r="K40" t="str">
        <f t="shared" si="3"/>
        <v/>
      </c>
      <c r="L40" s="6">
        <f>IF(_xlfn.XLOOKUP($J40,$B:$B,$C:$C)="CELC",'ENE TECH'!H36-5,'ENE TECH'!H36)</f>
        <v>36.342746230284867</v>
      </c>
      <c r="M40" s="6">
        <f>IF(_xlfn.XLOOKUP($J40,$B:$B,$C:$C)="CELC",L40,'ENE TECH'!I36)</f>
        <v>35.261869972886331</v>
      </c>
      <c r="N40" s="6">
        <f>IF(_xlfn.XLOOKUP($J40,$B:$B,$C:$C)="CELC",M40,'ENE TECH'!J36)</f>
        <v>39.848020288466472</v>
      </c>
      <c r="O40" s="6">
        <f>IF(_xlfn.XLOOKUP($J40,$B:$B,$C:$C)="CELC",N40,'ENE TECH'!K36)</f>
        <v>43.036977584593117</v>
      </c>
      <c r="P40" s="6">
        <f>IF(_xlfn.XLOOKUP($J40,$B:$B,$C:$C)="CELC",O40,'ENE TECH'!L36)</f>
        <v>41.390623172141773</v>
      </c>
      <c r="Q40" s="6">
        <f>IF(_xlfn.XLOOKUP($J40,$B:$B,$C:$C)="CELC",P40,'ENE TECH'!M36)</f>
        <v>37.557458864792267</v>
      </c>
      <c r="R40" s="6">
        <f>IF(_xlfn.XLOOKUP($J40,$B:$B,$C:$C)="CELC",Q40,'ENE TECH'!N36)</f>
        <v>36.255717456974629</v>
      </c>
      <c r="S40" s="6">
        <f>IF(_xlfn.XLOOKUP($J40,$B:$B,$C:$C)="CELC",R40,'ENE TECH'!O36)</f>
        <v>35.445890701755118</v>
      </c>
      <c r="T40" s="6">
        <f>IF(_xlfn.XLOOKUP($J40,$B:$B,$C:$C)="CELC",S40,'ENE TECH'!P36)</f>
        <v>38.126294264168827</v>
      </c>
      <c r="U40" s="6">
        <f>IF(_xlfn.XLOOKUP($J40,$B:$B,$C:$C)="CELC",T40,'ENE TECH'!Q36)</f>
        <v>41.465785382500847</v>
      </c>
      <c r="V40" s="6">
        <f>IF(_xlfn.XLOOKUP($J40,$B:$B,$C:$C)="CELC",U40,'ENE TECH'!R36)</f>
        <v>43.606978298712249</v>
      </c>
      <c r="W40" s="6">
        <f>IF(_xlfn.XLOOKUP($J40,$B:$B,$C:$C)="CELC",V40,'ENE TECH'!S36)</f>
        <v>44.814355151427478</v>
      </c>
      <c r="X40" s="6">
        <f>IF(_xlfn.XLOOKUP($J40,$B:$B,$C:$C)="CELC",W40,'ENE TECH'!T36)</f>
        <v>44.814355151427478</v>
      </c>
      <c r="Y40" s="6">
        <f>IF(_xlfn.XLOOKUP($J40,$B:$B,$C:$C)="CELC",X40,'ENE TECH'!U36)</f>
        <v>44.814355151427478</v>
      </c>
      <c r="Z40" s="6">
        <f>IF(_xlfn.XLOOKUP($J40,$B:$B,$C:$C)="CELC",Y40,'ENE TECH'!V36)</f>
        <v>44.814355151427478</v>
      </c>
      <c r="AA40" s="6">
        <f>IF(_xlfn.XLOOKUP($J40,$B:$B,$C:$C)="CELC",Z40,'ENE TECH'!W36)</f>
        <v>44.814355151427478</v>
      </c>
      <c r="AB40" s="6">
        <f>IF(_xlfn.XLOOKUP($J40,$B:$B,$C:$C)="CELC",AA40,'ENE TECH'!X36)</f>
        <v>44.814355151427478</v>
      </c>
      <c r="AC40" s="6">
        <f>IF(_xlfn.XLOOKUP($J40,$B:$B,$C:$C)="CELC",AB40,'ENE TECH'!Y36)</f>
        <v>44.814355151427478</v>
      </c>
      <c r="AD40" s="6">
        <f>IF(_xlfn.XLOOKUP($J40,$B:$B,$C:$C)="CELC",AC40,'ENE TECH'!Z36)</f>
        <v>44.814355151427478</v>
      </c>
      <c r="AE40" s="6">
        <f>IF(_xlfn.XLOOKUP($J40,$B:$B,$C:$C)="CELC",AD40,'ENE TECH'!AA36)</f>
        <v>44.814355151427478</v>
      </c>
      <c r="AF40" s="6">
        <f>IF(_xlfn.XLOOKUP($J40,$B:$B,$C:$C)="CELC",AE40,'ENE TECH'!AB36)</f>
        <v>44.814355151427478</v>
      </c>
      <c r="AG40" s="6">
        <f>IF(_xlfn.XLOOKUP($J40,$B:$B,$C:$C)="CELC",AF40,'ENE TECH'!AC36)</f>
        <v>44.814355151427478</v>
      </c>
    </row>
    <row r="41" spans="2:33" x14ac:dyDescent="0.25">
      <c r="B41" t="str">
        <f>Def_Tech!D39</f>
        <v>INDSOL19</v>
      </c>
      <c r="C41" t="str">
        <f t="shared" si="4"/>
        <v>SOL</v>
      </c>
      <c r="D41" t="str">
        <f>Def_Comm!C39</f>
        <v>INDSOL</v>
      </c>
      <c r="E41" t="s">
        <v>396</v>
      </c>
      <c r="F41">
        <v>1</v>
      </c>
      <c r="J41" t="str">
        <f t="shared" si="5"/>
        <v>INDSOL19</v>
      </c>
      <c r="K41" t="str">
        <f t="shared" si="3"/>
        <v/>
      </c>
      <c r="L41" s="6">
        <f>IF(_xlfn.XLOOKUP($J41,$B:$B,$C:$C)="CELC",'ENE TECH'!H37-5,'ENE TECH'!H37)</f>
        <v>0</v>
      </c>
      <c r="M41" s="6">
        <f>IF(_xlfn.XLOOKUP($J41,$B:$B,$C:$C)="CELC",L41,'ENE TECH'!I37)</f>
        <v>0</v>
      </c>
      <c r="N41" s="6">
        <f>IF(_xlfn.XLOOKUP($J41,$B:$B,$C:$C)="CELC",M41,'ENE TECH'!J37)</f>
        <v>0</v>
      </c>
      <c r="O41" s="6">
        <f>IF(_xlfn.XLOOKUP($J41,$B:$B,$C:$C)="CELC",N41,'ENE TECH'!K37)</f>
        <v>0</v>
      </c>
      <c r="P41" s="6">
        <f>IF(_xlfn.XLOOKUP($J41,$B:$B,$C:$C)="CELC",O41,'ENE TECH'!L37)</f>
        <v>0</v>
      </c>
      <c r="Q41" s="6">
        <f>IF(_xlfn.XLOOKUP($J41,$B:$B,$C:$C)="CELC",P41,'ENE TECH'!M37)</f>
        <v>0</v>
      </c>
      <c r="R41" s="6">
        <f>IF(_xlfn.XLOOKUP($J41,$B:$B,$C:$C)="CELC",Q41,'ENE TECH'!N37)</f>
        <v>0</v>
      </c>
      <c r="S41" s="6">
        <f>IF(_xlfn.XLOOKUP($J41,$B:$B,$C:$C)="CELC",R41,'ENE TECH'!O37)</f>
        <v>0</v>
      </c>
      <c r="T41" s="6">
        <f>IF(_xlfn.XLOOKUP($J41,$B:$B,$C:$C)="CELC",S41,'ENE TECH'!P37)</f>
        <v>0</v>
      </c>
      <c r="U41" s="6">
        <f>IF(_xlfn.XLOOKUP($J41,$B:$B,$C:$C)="CELC",T41,'ENE TECH'!Q37)</f>
        <v>0</v>
      </c>
      <c r="V41" s="6">
        <f>IF(_xlfn.XLOOKUP($J41,$B:$B,$C:$C)="CELC",U41,'ENE TECH'!R37)</f>
        <v>0</v>
      </c>
      <c r="W41" s="6">
        <f>IF(_xlfn.XLOOKUP($J41,$B:$B,$C:$C)="CELC",V41,'ENE TECH'!S37)</f>
        <v>0</v>
      </c>
      <c r="X41" s="6">
        <f>IF(_xlfn.XLOOKUP($J41,$B:$B,$C:$C)="CELC",W41,'ENE TECH'!T37)</f>
        <v>0</v>
      </c>
      <c r="Y41" s="6">
        <f>IF(_xlfn.XLOOKUP($J41,$B:$B,$C:$C)="CELC",X41,'ENE TECH'!U37)</f>
        <v>0</v>
      </c>
      <c r="Z41" s="6">
        <f>IF(_xlfn.XLOOKUP($J41,$B:$B,$C:$C)="CELC",Y41,'ENE TECH'!V37)</f>
        <v>0</v>
      </c>
      <c r="AA41" s="6">
        <f>IF(_xlfn.XLOOKUP($J41,$B:$B,$C:$C)="CELC",Z41,'ENE TECH'!W37)</f>
        <v>0</v>
      </c>
      <c r="AB41" s="6">
        <f>IF(_xlfn.XLOOKUP($J41,$B:$B,$C:$C)="CELC",AA41,'ENE TECH'!X37)</f>
        <v>0</v>
      </c>
      <c r="AC41" s="6">
        <f>IF(_xlfn.XLOOKUP($J41,$B:$B,$C:$C)="CELC",AB41,'ENE TECH'!Y37)</f>
        <v>0</v>
      </c>
      <c r="AD41" s="6">
        <f>IF(_xlfn.XLOOKUP($J41,$B:$B,$C:$C)="CELC",AC41,'ENE TECH'!Z37)</f>
        <v>0</v>
      </c>
      <c r="AE41" s="6">
        <f>IF(_xlfn.XLOOKUP($J41,$B:$B,$C:$C)="CELC",AD41,'ENE TECH'!AA37)</f>
        <v>0</v>
      </c>
      <c r="AF41" s="6">
        <f>IF(_xlfn.XLOOKUP($J41,$B:$B,$C:$C)="CELC",AE41,'ENE TECH'!AB37)</f>
        <v>0</v>
      </c>
      <c r="AG41" s="6">
        <f>IF(_xlfn.XLOOKUP($J41,$B:$B,$C:$C)="CELC",AF41,'ENE TECH'!AC37)</f>
        <v>0</v>
      </c>
    </row>
    <row r="42" spans="2:33" x14ac:dyDescent="0.25">
      <c r="B42" t="str">
        <f>Def_Tech!D40</f>
        <v>INDWND19</v>
      </c>
      <c r="C42" t="str">
        <f t="shared" si="4"/>
        <v>WND</v>
      </c>
      <c r="D42" t="str">
        <f>Def_Comm!C40</f>
        <v>INDWND</v>
      </c>
      <c r="E42" t="s">
        <v>396</v>
      </c>
      <c r="F42">
        <v>1</v>
      </c>
      <c r="J42" t="str">
        <f t="shared" si="5"/>
        <v>INDWND19</v>
      </c>
      <c r="K42" t="str">
        <f t="shared" si="3"/>
        <v/>
      </c>
      <c r="L42" s="6">
        <f>IF(_xlfn.XLOOKUP($J42,$B:$B,$C:$C)="CELC",'ENE TECH'!H38-5,'ENE TECH'!H38)</f>
        <v>0</v>
      </c>
      <c r="M42" s="6">
        <f>IF(_xlfn.XLOOKUP($J42,$B:$B,$C:$C)="CELC",L42,'ENE TECH'!I38)</f>
        <v>0</v>
      </c>
      <c r="N42" s="6">
        <f>IF(_xlfn.XLOOKUP($J42,$B:$B,$C:$C)="CELC",M42,'ENE TECH'!J38)</f>
        <v>0</v>
      </c>
      <c r="O42" s="6">
        <f>IF(_xlfn.XLOOKUP($J42,$B:$B,$C:$C)="CELC",N42,'ENE TECH'!K38)</f>
        <v>0</v>
      </c>
      <c r="P42" s="6">
        <f>IF(_xlfn.XLOOKUP($J42,$B:$B,$C:$C)="CELC",O42,'ENE TECH'!L38)</f>
        <v>0</v>
      </c>
      <c r="Q42" s="6">
        <f>IF(_xlfn.XLOOKUP($J42,$B:$B,$C:$C)="CELC",P42,'ENE TECH'!M38)</f>
        <v>0</v>
      </c>
      <c r="R42" s="6">
        <f>IF(_xlfn.XLOOKUP($J42,$B:$B,$C:$C)="CELC",Q42,'ENE TECH'!N38)</f>
        <v>0</v>
      </c>
      <c r="S42" s="6">
        <f>IF(_xlfn.XLOOKUP($J42,$B:$B,$C:$C)="CELC",R42,'ENE TECH'!O38)</f>
        <v>0</v>
      </c>
      <c r="T42" s="6">
        <f>IF(_xlfn.XLOOKUP($J42,$B:$B,$C:$C)="CELC",S42,'ENE TECH'!P38)</f>
        <v>0</v>
      </c>
      <c r="U42" s="6">
        <f>IF(_xlfn.XLOOKUP($J42,$B:$B,$C:$C)="CELC",T42,'ENE TECH'!Q38)</f>
        <v>0</v>
      </c>
      <c r="V42" s="6">
        <f>IF(_xlfn.XLOOKUP($J42,$B:$B,$C:$C)="CELC",U42,'ENE TECH'!R38)</f>
        <v>0</v>
      </c>
      <c r="W42" s="6">
        <f>IF(_xlfn.XLOOKUP($J42,$B:$B,$C:$C)="CELC",V42,'ENE TECH'!S38)</f>
        <v>0</v>
      </c>
      <c r="X42" s="6">
        <f>IF(_xlfn.XLOOKUP($J42,$B:$B,$C:$C)="CELC",W42,'ENE TECH'!T38)</f>
        <v>0</v>
      </c>
      <c r="Y42" s="6">
        <f>IF(_xlfn.XLOOKUP($J42,$B:$B,$C:$C)="CELC",X42,'ENE TECH'!U38)</f>
        <v>0</v>
      </c>
      <c r="Z42" s="6">
        <f>IF(_xlfn.XLOOKUP($J42,$B:$B,$C:$C)="CELC",Y42,'ENE TECH'!V38)</f>
        <v>0</v>
      </c>
      <c r="AA42" s="6">
        <f>IF(_xlfn.XLOOKUP($J42,$B:$B,$C:$C)="CELC",Z42,'ENE TECH'!W38)</f>
        <v>0</v>
      </c>
      <c r="AB42" s="6">
        <f>IF(_xlfn.XLOOKUP($J42,$B:$B,$C:$C)="CELC",AA42,'ENE TECH'!X38)</f>
        <v>0</v>
      </c>
      <c r="AC42" s="6">
        <f>IF(_xlfn.XLOOKUP($J42,$B:$B,$C:$C)="CELC",AB42,'ENE TECH'!Y38)</f>
        <v>0</v>
      </c>
      <c r="AD42" s="6">
        <f>IF(_xlfn.XLOOKUP($J42,$B:$B,$C:$C)="CELC",AC42,'ENE TECH'!Z38)</f>
        <v>0</v>
      </c>
      <c r="AE42" s="6">
        <f>IF(_xlfn.XLOOKUP($J42,$B:$B,$C:$C)="CELC",AD42,'ENE TECH'!AA38)</f>
        <v>0</v>
      </c>
      <c r="AF42" s="6">
        <f>IF(_xlfn.XLOOKUP($J42,$B:$B,$C:$C)="CELC",AE42,'ENE TECH'!AB38)</f>
        <v>0</v>
      </c>
      <c r="AG42" s="6">
        <f>IF(_xlfn.XLOOKUP($J42,$B:$B,$C:$C)="CELC",AF42,'ENE TECH'!AC38)</f>
        <v>0</v>
      </c>
    </row>
    <row r="43" spans="2:33" x14ac:dyDescent="0.25">
      <c r="B43" t="str">
        <f>Def_Tech!D54</f>
        <v>TRALPG19</v>
      </c>
      <c r="C43" t="str">
        <f t="shared" si="4"/>
        <v>LPG</v>
      </c>
      <c r="D43" t="str">
        <f>Def_Comm!C41</f>
        <v>TRALPG</v>
      </c>
      <c r="E43" t="s">
        <v>396</v>
      </c>
      <c r="F43">
        <v>1</v>
      </c>
      <c r="J43" t="str">
        <f t="shared" si="5"/>
        <v>TRALPG19</v>
      </c>
      <c r="K43" t="str">
        <f t="shared" si="3"/>
        <v/>
      </c>
      <c r="L43" s="6">
        <f>IF(_xlfn.XLOOKUP($J43,$B:$B,$C:$C)="CELC",'ENE TECH'!H39-5,'ENE TECH'!H39)</f>
        <v>16.47022329159719</v>
      </c>
      <c r="M43" s="6">
        <f>IF(_xlfn.XLOOKUP($J43,$B:$B,$C:$C)="CELC",L43,'ENE TECH'!I39)</f>
        <v>15.02698151152233</v>
      </c>
      <c r="N43" s="6">
        <f>IF(_xlfn.XLOOKUP($J43,$B:$B,$C:$C)="CELC",M43,'ENE TECH'!J39)</f>
        <v>22.646279416226371</v>
      </c>
      <c r="O43" s="6">
        <f>IF(_xlfn.XLOOKUP($J43,$B:$B,$C:$C)="CELC",N43,'ENE TECH'!K39)</f>
        <v>24.458615824702871</v>
      </c>
      <c r="P43" s="6">
        <f>IF(_xlfn.XLOOKUP($J43,$B:$B,$C:$C)="CELC",O43,'ENE TECH'!L39)</f>
        <v>22.34230147272098</v>
      </c>
      <c r="Q43" s="6">
        <f>IF(_xlfn.XLOOKUP($J43,$B:$B,$C:$C)="CELC",P43,'ENE TECH'!M39)</f>
        <v>20.79455144777744</v>
      </c>
      <c r="R43" s="6">
        <f>IF(_xlfn.XLOOKUP($J43,$B:$B,$C:$C)="CELC",Q43,'ENE TECH'!N39)</f>
        <v>19.36533502655481</v>
      </c>
      <c r="S43" s="6">
        <f>IF(_xlfn.XLOOKUP($J43,$B:$B,$C:$C)="CELC",R43,'ENE TECH'!O39)</f>
        <v>19.716729474548561</v>
      </c>
      <c r="T43" s="6">
        <f>IF(_xlfn.XLOOKUP($J43,$B:$B,$C:$C)="CELC",S43,'ENE TECH'!P39)</f>
        <v>22.74877505478446</v>
      </c>
      <c r="U43" s="6">
        <f>IF(_xlfn.XLOOKUP($J43,$B:$B,$C:$C)="CELC",T43,'ENE TECH'!Q39)</f>
        <v>25.076456571274171</v>
      </c>
      <c r="V43" s="6">
        <f>IF(_xlfn.XLOOKUP($J43,$B:$B,$C:$C)="CELC",U43,'ENE TECH'!R39)</f>
        <v>27.010912210636111</v>
      </c>
      <c r="W43" s="6">
        <f>IF(_xlfn.XLOOKUP($J43,$B:$B,$C:$C)="CELC",V43,'ENE TECH'!S39)</f>
        <v>28.480686838419999</v>
      </c>
      <c r="X43" s="6">
        <f>IF(_xlfn.XLOOKUP($J43,$B:$B,$C:$C)="CELC",W43,'ENE TECH'!T39)</f>
        <v>28.480686838419999</v>
      </c>
      <c r="Y43" s="6">
        <f>IF(_xlfn.XLOOKUP($J43,$B:$B,$C:$C)="CELC",X43,'ENE TECH'!U39)</f>
        <v>28.480686838419999</v>
      </c>
      <c r="Z43" s="6">
        <f>IF(_xlfn.XLOOKUP($J43,$B:$B,$C:$C)="CELC",Y43,'ENE TECH'!V39)</f>
        <v>28.480686838419999</v>
      </c>
      <c r="AA43" s="6">
        <f>IF(_xlfn.XLOOKUP($J43,$B:$B,$C:$C)="CELC",Z43,'ENE TECH'!W39)</f>
        <v>28.480686838419999</v>
      </c>
      <c r="AB43" s="6">
        <f>IF(_xlfn.XLOOKUP($J43,$B:$B,$C:$C)="CELC",AA43,'ENE TECH'!X39)</f>
        <v>28.480686838419999</v>
      </c>
      <c r="AC43" s="6">
        <f>IF(_xlfn.XLOOKUP($J43,$B:$B,$C:$C)="CELC",AB43,'ENE TECH'!Y39)</f>
        <v>28.480686838419999</v>
      </c>
      <c r="AD43" s="6">
        <f>IF(_xlfn.XLOOKUP($J43,$B:$B,$C:$C)="CELC",AC43,'ENE TECH'!Z39)</f>
        <v>28.480686838419999</v>
      </c>
      <c r="AE43" s="6">
        <f>IF(_xlfn.XLOOKUP($J43,$B:$B,$C:$C)="CELC",AD43,'ENE TECH'!AA39)</f>
        <v>28.480686838419999</v>
      </c>
      <c r="AF43" s="6">
        <f>IF(_xlfn.XLOOKUP($J43,$B:$B,$C:$C)="CELC",AE43,'ENE TECH'!AB39)</f>
        <v>28.480686838419999</v>
      </c>
      <c r="AG43" s="6">
        <f>IF(_xlfn.XLOOKUP($J43,$B:$B,$C:$C)="CELC",AF43,'ENE TECH'!AC39)</f>
        <v>28.480686838419999</v>
      </c>
    </row>
    <row r="44" spans="2:33" x14ac:dyDescent="0.25">
      <c r="B44" t="str">
        <f>Def_Tech!D55</f>
        <v>TRAETH19</v>
      </c>
      <c r="C44" t="str">
        <f t="shared" si="4"/>
        <v>ETH</v>
      </c>
      <c r="D44" t="str">
        <f>Def_Comm!C42</f>
        <v>TRAETH</v>
      </c>
      <c r="E44" t="s">
        <v>396</v>
      </c>
      <c r="F44">
        <v>1</v>
      </c>
      <c r="J44" t="str">
        <f t="shared" si="5"/>
        <v>TRAETH19</v>
      </c>
      <c r="K44" t="str">
        <f t="shared" ref="K44:K75" si="6">IF(_xlfn.XLOOKUP($J44,$B:$B,$C:$C)="CELC",1,"")</f>
        <v/>
      </c>
      <c r="L44" s="6">
        <f>IF(_xlfn.XLOOKUP($J44,$B:$B,$C:$C)="CELC",'ENE TECH'!H40-5,'ENE TECH'!H40)</f>
        <v>27.79722997382639</v>
      </c>
      <c r="M44" s="6">
        <f>IF(_xlfn.XLOOKUP($J44,$B:$B,$C:$C)="CELC",L44,'ENE TECH'!I40)</f>
        <v>23.253304531043071</v>
      </c>
      <c r="N44" s="6">
        <f>IF(_xlfn.XLOOKUP($J44,$B:$B,$C:$C)="CELC",M44,'ENE TECH'!J40)</f>
        <v>30.699480719280089</v>
      </c>
      <c r="O44" s="6">
        <f>IF(_xlfn.XLOOKUP($J44,$B:$B,$C:$C)="CELC",N44,'ENE TECH'!K40)</f>
        <v>33.156298707183574</v>
      </c>
      <c r="P44" s="6">
        <f>IF(_xlfn.XLOOKUP($J44,$B:$B,$C:$C)="CELC",O44,'ENE TECH'!L40)</f>
        <v>28.73723990205734</v>
      </c>
      <c r="Q44" s="6">
        <f>IF(_xlfn.XLOOKUP($J44,$B:$B,$C:$C)="CELC",P44,'ENE TECH'!M40)</f>
        <v>27.204245230828001</v>
      </c>
      <c r="R44" s="6">
        <f>IF(_xlfn.XLOOKUP($J44,$B:$B,$C:$C)="CELC",Q44,'ENE TECH'!N40)</f>
        <v>25.274519432788111</v>
      </c>
      <c r="S44" s="6">
        <f>IF(_xlfn.XLOOKUP($J44,$B:$B,$C:$C)="CELC",R44,'ENE TECH'!O40)</f>
        <v>26.267091278892298</v>
      </c>
      <c r="T44" s="6">
        <f>IF(_xlfn.XLOOKUP($J44,$B:$B,$C:$C)="CELC",S44,'ENE TECH'!P40)</f>
        <v>28.182933385616671</v>
      </c>
      <c r="U44" s="6">
        <f>IF(_xlfn.XLOOKUP($J44,$B:$B,$C:$C)="CELC",T44,'ENE TECH'!Q40)</f>
        <v>30.271527208961679</v>
      </c>
      <c r="V44" s="6">
        <f>IF(_xlfn.XLOOKUP($J44,$B:$B,$C:$C)="CELC",U44,'ENE TECH'!R40)</f>
        <v>32.405294035547499</v>
      </c>
      <c r="W44" s="6">
        <f>IF(_xlfn.XLOOKUP($J44,$B:$B,$C:$C)="CELC",V44,'ENE TECH'!S40)</f>
        <v>34.480395104286288</v>
      </c>
      <c r="X44" s="6">
        <f>IF(_xlfn.XLOOKUP($J44,$B:$B,$C:$C)="CELC",W44,'ENE TECH'!T40)</f>
        <v>34.480395104286288</v>
      </c>
      <c r="Y44" s="6">
        <f>IF(_xlfn.XLOOKUP($J44,$B:$B,$C:$C)="CELC",X44,'ENE TECH'!U40)</f>
        <v>34.480395104286288</v>
      </c>
      <c r="Z44" s="6">
        <f>IF(_xlfn.XLOOKUP($J44,$B:$B,$C:$C)="CELC",Y44,'ENE TECH'!V40)</f>
        <v>34.480395104286288</v>
      </c>
      <c r="AA44" s="6">
        <f>IF(_xlfn.XLOOKUP($J44,$B:$B,$C:$C)="CELC",Z44,'ENE TECH'!W40)</f>
        <v>34.480395104286288</v>
      </c>
      <c r="AB44" s="6">
        <f>IF(_xlfn.XLOOKUP($J44,$B:$B,$C:$C)="CELC",AA44,'ENE TECH'!X40)</f>
        <v>34.480395104286288</v>
      </c>
      <c r="AC44" s="6">
        <f>IF(_xlfn.XLOOKUP($J44,$B:$B,$C:$C)="CELC",AB44,'ENE TECH'!Y40)</f>
        <v>34.480395104286288</v>
      </c>
      <c r="AD44" s="6">
        <f>IF(_xlfn.XLOOKUP($J44,$B:$B,$C:$C)="CELC",AC44,'ENE TECH'!Z40)</f>
        <v>34.480395104286288</v>
      </c>
      <c r="AE44" s="6">
        <f>IF(_xlfn.XLOOKUP($J44,$B:$B,$C:$C)="CELC",AD44,'ENE TECH'!AA40)</f>
        <v>34.480395104286288</v>
      </c>
      <c r="AF44" s="6">
        <f>IF(_xlfn.XLOOKUP($J44,$B:$B,$C:$C)="CELC",AE44,'ENE TECH'!AB40)</f>
        <v>34.480395104286288</v>
      </c>
      <c r="AG44" s="6">
        <f>IF(_xlfn.XLOOKUP($J44,$B:$B,$C:$C)="CELC",AF44,'ENE TECH'!AC40)</f>
        <v>34.480395104286288</v>
      </c>
    </row>
    <row r="45" spans="2:33" x14ac:dyDescent="0.25">
      <c r="B45" t="str">
        <f>Def_Tech!D56</f>
        <v>TRAGSL19</v>
      </c>
      <c r="C45" t="str">
        <f t="shared" si="4"/>
        <v>GSL</v>
      </c>
      <c r="D45" t="str">
        <f>Def_Comm!C43</f>
        <v>TRAGSL</v>
      </c>
      <c r="E45" t="s">
        <v>396</v>
      </c>
      <c r="F45">
        <v>1</v>
      </c>
      <c r="J45" t="str">
        <f t="shared" si="5"/>
        <v>TRAGSL19</v>
      </c>
      <c r="K45" t="str">
        <f t="shared" si="6"/>
        <v/>
      </c>
      <c r="L45" s="6">
        <f>IF(_xlfn.XLOOKUP($J45,$B:$B,$C:$C)="CELC",'ENE TECH'!H41-5,'ENE TECH'!H41)</f>
        <v>23.164358311522001</v>
      </c>
      <c r="M45" s="6">
        <f>IF(_xlfn.XLOOKUP($J45,$B:$B,$C:$C)="CELC",L45,'ENE TECH'!I41)</f>
        <v>19.37775377586923</v>
      </c>
      <c r="N45" s="6">
        <f>IF(_xlfn.XLOOKUP($J45,$B:$B,$C:$C)="CELC",M45,'ENE TECH'!J41)</f>
        <v>25.58290059940007</v>
      </c>
      <c r="O45" s="6">
        <f>IF(_xlfn.XLOOKUP($J45,$B:$B,$C:$C)="CELC",N45,'ENE TECH'!K41)</f>
        <v>27.630248922652981</v>
      </c>
      <c r="P45" s="6">
        <f>IF(_xlfn.XLOOKUP($J45,$B:$B,$C:$C)="CELC",O45,'ENE TECH'!L41)</f>
        <v>23.76309310822241</v>
      </c>
      <c r="Q45" s="6">
        <f>IF(_xlfn.XLOOKUP($J45,$B:$B,$C:$C)="CELC",P45,'ENE TECH'!M41)</f>
        <v>21.27566031001415</v>
      </c>
      <c r="R45" s="6">
        <f>IF(_xlfn.XLOOKUP($J45,$B:$B,$C:$C)="CELC",Q45,'ENE TECH'!N41)</f>
        <v>19.76974639387754</v>
      </c>
      <c r="S45" s="6">
        <f>IF(_xlfn.XLOOKUP($J45,$B:$B,$C:$C)="CELC",R45,'ENE TECH'!O41)</f>
        <v>20.49712934263755</v>
      </c>
      <c r="T45" s="6">
        <f>IF(_xlfn.XLOOKUP($J45,$B:$B,$C:$C)="CELC",S45,'ENE TECH'!P41)</f>
        <v>21.902318158060631</v>
      </c>
      <c r="U45" s="6">
        <f>IF(_xlfn.XLOOKUP($J45,$B:$B,$C:$C)="CELC",T45,'ENE TECH'!Q41)</f>
        <v>23.43746556384226</v>
      </c>
      <c r="V45" s="6">
        <f>IF(_xlfn.XLOOKUP($J45,$B:$B,$C:$C)="CELC",U45,'ENE TECH'!R41)</f>
        <v>25.029331458002272</v>
      </c>
      <c r="W45" s="6">
        <f>IF(_xlfn.XLOOKUP($J45,$B:$B,$C:$C)="CELC",V45,'ENE TECH'!S41)</f>
        <v>26.57519981598459</v>
      </c>
      <c r="X45" s="6">
        <f>IF(_xlfn.XLOOKUP($J45,$B:$B,$C:$C)="CELC",W45,'ENE TECH'!T41)</f>
        <v>26.57519981598459</v>
      </c>
      <c r="Y45" s="6">
        <f>IF(_xlfn.XLOOKUP($J45,$B:$B,$C:$C)="CELC",X45,'ENE TECH'!U41)</f>
        <v>26.57519981598459</v>
      </c>
      <c r="Z45" s="6">
        <f>IF(_xlfn.XLOOKUP($J45,$B:$B,$C:$C)="CELC",Y45,'ENE TECH'!V41)</f>
        <v>26.57519981598459</v>
      </c>
      <c r="AA45" s="6">
        <f>IF(_xlfn.XLOOKUP($J45,$B:$B,$C:$C)="CELC",Z45,'ENE TECH'!W41)</f>
        <v>26.57519981598459</v>
      </c>
      <c r="AB45" s="6">
        <f>IF(_xlfn.XLOOKUP($J45,$B:$B,$C:$C)="CELC",AA45,'ENE TECH'!X41)</f>
        <v>26.57519981598459</v>
      </c>
      <c r="AC45" s="6">
        <f>IF(_xlfn.XLOOKUP($J45,$B:$B,$C:$C)="CELC",AB45,'ENE TECH'!Y41)</f>
        <v>26.57519981598459</v>
      </c>
      <c r="AD45" s="6">
        <f>IF(_xlfn.XLOOKUP($J45,$B:$B,$C:$C)="CELC",AC45,'ENE TECH'!Z41)</f>
        <v>26.57519981598459</v>
      </c>
      <c r="AE45" s="6">
        <f>IF(_xlfn.XLOOKUP($J45,$B:$B,$C:$C)="CELC",AD45,'ENE TECH'!AA41)</f>
        <v>26.57519981598459</v>
      </c>
      <c r="AF45" s="6">
        <f>IF(_xlfn.XLOOKUP($J45,$B:$B,$C:$C)="CELC",AE45,'ENE TECH'!AB41)</f>
        <v>26.57519981598459</v>
      </c>
      <c r="AG45" s="6">
        <f>IF(_xlfn.XLOOKUP($J45,$B:$B,$C:$C)="CELC",AF45,'ENE TECH'!AC41)</f>
        <v>26.57519981598459</v>
      </c>
    </row>
    <row r="46" spans="2:33" x14ac:dyDescent="0.25">
      <c r="B46" t="str">
        <f>Def_Tech!D57</f>
        <v>TRAAGA19</v>
      </c>
      <c r="C46" t="str">
        <f t="shared" si="4"/>
        <v>AGA</v>
      </c>
      <c r="D46" t="str">
        <f>Def_Comm!C44</f>
        <v>TRAAGA</v>
      </c>
      <c r="E46" t="s">
        <v>396</v>
      </c>
      <c r="F46">
        <v>1</v>
      </c>
      <c r="J46" t="str">
        <f t="shared" si="5"/>
        <v>TRAAGA19</v>
      </c>
      <c r="K46" t="str">
        <f t="shared" si="6"/>
        <v/>
      </c>
      <c r="L46" s="6">
        <f>IF(_xlfn.XLOOKUP($J46,$B:$B,$C:$C)="CELC",'ENE TECH'!H42-5,'ENE TECH'!H42)</f>
        <v>28.245714927306508</v>
      </c>
      <c r="M46" s="6">
        <f>IF(_xlfn.XLOOKUP($J46,$B:$B,$C:$C)="CELC",L46,'ENE TECH'!I42)</f>
        <v>24.238466929054791</v>
      </c>
      <c r="N46" s="6">
        <f>IF(_xlfn.XLOOKUP($J46,$B:$B,$C:$C)="CELC",M46,'ENE TECH'!J42)</f>
        <v>30.930980783355089</v>
      </c>
      <c r="O46" s="6">
        <f>IF(_xlfn.XLOOKUP($J46,$B:$B,$C:$C)="CELC",N46,'ENE TECH'!K42)</f>
        <v>33.406325257970877</v>
      </c>
      <c r="P46" s="6">
        <f>IF(_xlfn.XLOOKUP($J46,$B:$B,$C:$C)="CELC",O46,'ENE TECH'!L42)</f>
        <v>27.656474405767629</v>
      </c>
      <c r="Q46" s="6">
        <f>IF(_xlfn.XLOOKUP($J46,$B:$B,$C:$C)="CELC",P46,'ENE TECH'!M42)</f>
        <v>26.288206786429939</v>
      </c>
      <c r="R46" s="6">
        <f>IF(_xlfn.XLOOKUP($J46,$B:$B,$C:$C)="CELC",Q46,'ENE TECH'!N42)</f>
        <v>24.365965634928131</v>
      </c>
      <c r="S46" s="6">
        <f>IF(_xlfn.XLOOKUP($J46,$B:$B,$C:$C)="CELC",R46,'ENE TECH'!O42)</f>
        <v>24.858630773525739</v>
      </c>
      <c r="T46" s="6">
        <f>IF(_xlfn.XLOOKUP($J46,$B:$B,$C:$C)="CELC",S46,'ENE TECH'!P42)</f>
        <v>27.383243323269561</v>
      </c>
      <c r="U46" s="6">
        <f>IF(_xlfn.XLOOKUP($J46,$B:$B,$C:$C)="CELC",T46,'ENE TECH'!Q42)</f>
        <v>30.022251577673181</v>
      </c>
      <c r="V46" s="6">
        <f>IF(_xlfn.XLOOKUP($J46,$B:$B,$C:$C)="CELC",U46,'ENE TECH'!R42)</f>
        <v>32.429150111494117</v>
      </c>
      <c r="W46" s="6">
        <f>IF(_xlfn.XLOOKUP($J46,$B:$B,$C:$C)="CELC",V46,'ENE TECH'!S42)</f>
        <v>34.425779160811928</v>
      </c>
      <c r="X46" s="6">
        <f>IF(_xlfn.XLOOKUP($J46,$B:$B,$C:$C)="CELC",W46,'ENE TECH'!T42)</f>
        <v>34.425779160811928</v>
      </c>
      <c r="Y46" s="6">
        <f>IF(_xlfn.XLOOKUP($J46,$B:$B,$C:$C)="CELC",X46,'ENE TECH'!U42)</f>
        <v>34.425779160811928</v>
      </c>
      <c r="Z46" s="6">
        <f>IF(_xlfn.XLOOKUP($J46,$B:$B,$C:$C)="CELC",Y46,'ENE TECH'!V42)</f>
        <v>34.425779160811928</v>
      </c>
      <c r="AA46" s="6">
        <f>IF(_xlfn.XLOOKUP($J46,$B:$B,$C:$C)="CELC",Z46,'ENE TECH'!W42)</f>
        <v>34.425779160811928</v>
      </c>
      <c r="AB46" s="6">
        <f>IF(_xlfn.XLOOKUP($J46,$B:$B,$C:$C)="CELC",AA46,'ENE TECH'!X42)</f>
        <v>34.425779160811928</v>
      </c>
      <c r="AC46" s="6">
        <f>IF(_xlfn.XLOOKUP($J46,$B:$B,$C:$C)="CELC",AB46,'ENE TECH'!Y42)</f>
        <v>34.425779160811928</v>
      </c>
      <c r="AD46" s="6">
        <f>IF(_xlfn.XLOOKUP($J46,$B:$B,$C:$C)="CELC",AC46,'ENE TECH'!Z42)</f>
        <v>34.425779160811928</v>
      </c>
      <c r="AE46" s="6">
        <f>IF(_xlfn.XLOOKUP($J46,$B:$B,$C:$C)="CELC",AD46,'ENE TECH'!AA42)</f>
        <v>34.425779160811928</v>
      </c>
      <c r="AF46" s="6">
        <f>IF(_xlfn.XLOOKUP($J46,$B:$B,$C:$C)="CELC",AE46,'ENE TECH'!AB42)</f>
        <v>34.425779160811928</v>
      </c>
      <c r="AG46" s="6">
        <f>IF(_xlfn.XLOOKUP($J46,$B:$B,$C:$C)="CELC",AF46,'ENE TECH'!AC42)</f>
        <v>34.425779160811928</v>
      </c>
    </row>
    <row r="47" spans="2:33" x14ac:dyDescent="0.25">
      <c r="B47" t="str">
        <f>Def_Tech!D58</f>
        <v>TRAATF19</v>
      </c>
      <c r="C47" t="str">
        <f t="shared" si="4"/>
        <v>ATF</v>
      </c>
      <c r="D47" t="str">
        <f>Def_Comm!C45</f>
        <v>TRAATF</v>
      </c>
      <c r="E47" t="s">
        <v>396</v>
      </c>
      <c r="F47">
        <v>1</v>
      </c>
      <c r="J47" t="str">
        <f t="shared" si="5"/>
        <v>TRAATF19</v>
      </c>
      <c r="K47" t="str">
        <f t="shared" si="6"/>
        <v/>
      </c>
      <c r="L47" s="6">
        <f>IF(_xlfn.XLOOKUP($J47,$B:$B,$C:$C)="CELC",'ENE TECH'!H43-5,'ENE TECH'!H43)</f>
        <v>16.31557330763853</v>
      </c>
      <c r="M47" s="6">
        <f>IF(_xlfn.XLOOKUP($J47,$B:$B,$C:$C)="CELC",L47,'ENE TECH'!I43)</f>
        <v>10.8932053700855</v>
      </c>
      <c r="N47" s="6">
        <f>IF(_xlfn.XLOOKUP($J47,$B:$B,$C:$C)="CELC",M47,'ENE TECH'!J43)</f>
        <v>15.754865471771311</v>
      </c>
      <c r="O47" s="6">
        <f>IF(_xlfn.XLOOKUP($J47,$B:$B,$C:$C)="CELC",N47,'ENE TECH'!K43)</f>
        <v>17.015695817469581</v>
      </c>
      <c r="P47" s="6">
        <f>IF(_xlfn.XLOOKUP($J47,$B:$B,$C:$C)="CELC",O47,'ENE TECH'!L43)</f>
        <v>14.086977607927381</v>
      </c>
      <c r="Q47" s="6">
        <f>IF(_xlfn.XLOOKUP($J47,$B:$B,$C:$C)="CELC",P47,'ENE TECH'!M43)</f>
        <v>13.39004295774498</v>
      </c>
      <c r="R47" s="6">
        <f>IF(_xlfn.XLOOKUP($J47,$B:$B,$C:$C)="CELC",Q47,'ENE TECH'!N43)</f>
        <v>12.41093883691766</v>
      </c>
      <c r="S47" s="6">
        <f>IF(_xlfn.XLOOKUP($J47,$B:$B,$C:$C)="CELC",R47,'ENE TECH'!O43)</f>
        <v>12.66188053952974</v>
      </c>
      <c r="T47" s="6">
        <f>IF(_xlfn.XLOOKUP($J47,$B:$B,$C:$C)="CELC",S47,'ENE TECH'!P43)</f>
        <v>13.94780585072982</v>
      </c>
      <c r="U47" s="6">
        <f>IF(_xlfn.XLOOKUP($J47,$B:$B,$C:$C)="CELC",T47,'ENE TECH'!Q43)</f>
        <v>15.29199924434497</v>
      </c>
      <c r="V47" s="6">
        <f>IF(_xlfn.XLOOKUP($J47,$B:$B,$C:$C)="CELC",U47,'ENE TECH'!R43)</f>
        <v>16.517966273006358</v>
      </c>
      <c r="W47" s="6">
        <f>IF(_xlfn.XLOOKUP($J47,$B:$B,$C:$C)="CELC",V47,'ENE TECH'!S43)</f>
        <v>17.534960279415639</v>
      </c>
      <c r="X47" s="6">
        <f>IF(_xlfn.XLOOKUP($J47,$B:$B,$C:$C)="CELC",W47,'ENE TECH'!T43)</f>
        <v>17.534960279415639</v>
      </c>
      <c r="Y47" s="6">
        <f>IF(_xlfn.XLOOKUP($J47,$B:$B,$C:$C)="CELC",X47,'ENE TECH'!U43)</f>
        <v>17.534960279415639</v>
      </c>
      <c r="Z47" s="6">
        <f>IF(_xlfn.XLOOKUP($J47,$B:$B,$C:$C)="CELC",Y47,'ENE TECH'!V43)</f>
        <v>17.534960279415639</v>
      </c>
      <c r="AA47" s="6">
        <f>IF(_xlfn.XLOOKUP($J47,$B:$B,$C:$C)="CELC",Z47,'ENE TECH'!W43)</f>
        <v>17.534960279415639</v>
      </c>
      <c r="AB47" s="6">
        <f>IF(_xlfn.XLOOKUP($J47,$B:$B,$C:$C)="CELC",AA47,'ENE TECH'!X43)</f>
        <v>17.534960279415639</v>
      </c>
      <c r="AC47" s="6">
        <f>IF(_xlfn.XLOOKUP($J47,$B:$B,$C:$C)="CELC",AB47,'ENE TECH'!Y43)</f>
        <v>17.534960279415639</v>
      </c>
      <c r="AD47" s="6">
        <f>IF(_xlfn.XLOOKUP($J47,$B:$B,$C:$C)="CELC",AC47,'ENE TECH'!Z43)</f>
        <v>17.534960279415639</v>
      </c>
      <c r="AE47" s="6">
        <f>IF(_xlfn.XLOOKUP($J47,$B:$B,$C:$C)="CELC",AD47,'ENE TECH'!AA43)</f>
        <v>17.534960279415639</v>
      </c>
      <c r="AF47" s="6">
        <f>IF(_xlfn.XLOOKUP($J47,$B:$B,$C:$C)="CELC",AE47,'ENE TECH'!AB43)</f>
        <v>17.534960279415639</v>
      </c>
      <c r="AG47" s="6">
        <f>IF(_xlfn.XLOOKUP($J47,$B:$B,$C:$C)="CELC",AF47,'ENE TECH'!AC43)</f>
        <v>17.534960279415639</v>
      </c>
    </row>
    <row r="48" spans="2:33" x14ac:dyDescent="0.25">
      <c r="B48" t="str">
        <f>Def_Tech!D59</f>
        <v>TRASAF19</v>
      </c>
      <c r="C48" t="str">
        <f t="shared" si="4"/>
        <v>SAF</v>
      </c>
      <c r="D48" t="str">
        <f>Def_Comm!C46</f>
        <v>TRASAF</v>
      </c>
      <c r="E48" t="s">
        <v>396</v>
      </c>
      <c r="F48">
        <v>1</v>
      </c>
      <c r="J48" t="str">
        <f t="shared" si="5"/>
        <v>TRASAF19</v>
      </c>
      <c r="K48" t="str">
        <f t="shared" si="6"/>
        <v/>
      </c>
      <c r="L48" s="6">
        <f>IF(_xlfn.XLOOKUP($J48,$B:$B,$C:$C)="CELC",'ENE TECH'!H44-5,'ENE TECH'!H44)</f>
        <v>32.631146615277054</v>
      </c>
      <c r="M48" s="6">
        <f>IF(_xlfn.XLOOKUP($J48,$B:$B,$C:$C)="CELC",L48,'ENE TECH'!I44)</f>
        <v>21.786410740171</v>
      </c>
      <c r="N48" s="6">
        <f>IF(_xlfn.XLOOKUP($J48,$B:$B,$C:$C)="CELC",M48,'ENE TECH'!J44)</f>
        <v>31.509730943542611</v>
      </c>
      <c r="O48" s="6">
        <f>IF(_xlfn.XLOOKUP($J48,$B:$B,$C:$C)="CELC",N48,'ENE TECH'!K44)</f>
        <v>34.031391634939148</v>
      </c>
      <c r="P48" s="6">
        <f>IF(_xlfn.XLOOKUP($J48,$B:$B,$C:$C)="CELC",O48,'ENE TECH'!L44)</f>
        <v>28.17395521585475</v>
      </c>
      <c r="Q48" s="6">
        <f>IF(_xlfn.XLOOKUP($J48,$B:$B,$C:$C)="CELC",P48,'ENE TECH'!M44)</f>
        <v>26.780085915489959</v>
      </c>
      <c r="R48" s="6">
        <f>IF(_xlfn.XLOOKUP($J48,$B:$B,$C:$C)="CELC",Q48,'ENE TECH'!N44)</f>
        <v>24.821877673835321</v>
      </c>
      <c r="S48" s="6">
        <f>IF(_xlfn.XLOOKUP($J48,$B:$B,$C:$C)="CELC",R48,'ENE TECH'!O44)</f>
        <v>25.32376107905948</v>
      </c>
      <c r="T48" s="6">
        <f>IF(_xlfn.XLOOKUP($J48,$B:$B,$C:$C)="CELC",S48,'ENE TECH'!P44)</f>
        <v>27.895611701459629</v>
      </c>
      <c r="U48" s="6">
        <f>IF(_xlfn.XLOOKUP($J48,$B:$B,$C:$C)="CELC",T48,'ENE TECH'!Q44)</f>
        <v>30.583998488689939</v>
      </c>
      <c r="V48" s="6">
        <f>IF(_xlfn.XLOOKUP($J48,$B:$B,$C:$C)="CELC",U48,'ENE TECH'!R44)</f>
        <v>33.035932546012717</v>
      </c>
      <c r="W48" s="6">
        <f>IF(_xlfn.XLOOKUP($J48,$B:$B,$C:$C)="CELC",V48,'ENE TECH'!S44)</f>
        <v>35.069920558831278</v>
      </c>
      <c r="X48" s="6">
        <f>IF(_xlfn.XLOOKUP($J48,$B:$B,$C:$C)="CELC",W48,'ENE TECH'!T44)</f>
        <v>35.069920558831278</v>
      </c>
      <c r="Y48" s="6">
        <f>IF(_xlfn.XLOOKUP($J48,$B:$B,$C:$C)="CELC",X48,'ENE TECH'!U44)</f>
        <v>35.069920558831278</v>
      </c>
      <c r="Z48" s="6">
        <f>IF(_xlfn.XLOOKUP($J48,$B:$B,$C:$C)="CELC",Y48,'ENE TECH'!V44)</f>
        <v>35.069920558831278</v>
      </c>
      <c r="AA48" s="6">
        <f>IF(_xlfn.XLOOKUP($J48,$B:$B,$C:$C)="CELC",Z48,'ENE TECH'!W44)</f>
        <v>35.069920558831278</v>
      </c>
      <c r="AB48" s="6">
        <f>IF(_xlfn.XLOOKUP($J48,$B:$B,$C:$C)="CELC",AA48,'ENE TECH'!X44)</f>
        <v>35.069920558831278</v>
      </c>
      <c r="AC48" s="6">
        <f>IF(_xlfn.XLOOKUP($J48,$B:$B,$C:$C)="CELC",AB48,'ENE TECH'!Y44)</f>
        <v>35.069920558831278</v>
      </c>
      <c r="AD48" s="6">
        <f>IF(_xlfn.XLOOKUP($J48,$B:$B,$C:$C)="CELC",AC48,'ENE TECH'!Z44)</f>
        <v>35.069920558831278</v>
      </c>
      <c r="AE48" s="6">
        <f>IF(_xlfn.XLOOKUP($J48,$B:$B,$C:$C)="CELC",AD48,'ENE TECH'!AA44)</f>
        <v>35.069920558831278</v>
      </c>
      <c r="AF48" s="6">
        <f>IF(_xlfn.XLOOKUP($J48,$B:$B,$C:$C)="CELC",AE48,'ENE TECH'!AB44)</f>
        <v>35.069920558831278</v>
      </c>
      <c r="AG48" s="6">
        <f>IF(_xlfn.XLOOKUP($J48,$B:$B,$C:$C)="CELC",AF48,'ENE TECH'!AC44)</f>
        <v>35.069920558831278</v>
      </c>
    </row>
    <row r="49" spans="2:33" x14ac:dyDescent="0.25">
      <c r="B49" t="str">
        <f>Def_Tech!D60</f>
        <v>TRADSL19</v>
      </c>
      <c r="C49" t="str">
        <f t="shared" si="4"/>
        <v>DSL</v>
      </c>
      <c r="D49" t="str">
        <f>Def_Comm!C47</f>
        <v>TRADSL</v>
      </c>
      <c r="E49" t="s">
        <v>396</v>
      </c>
      <c r="F49">
        <v>1</v>
      </c>
      <c r="J49" t="str">
        <f t="shared" si="5"/>
        <v>TRADSL19</v>
      </c>
      <c r="K49" t="str">
        <f t="shared" si="6"/>
        <v/>
      </c>
      <c r="L49" s="6">
        <f>IF(_xlfn.XLOOKUP($J49,$B:$B,$C:$C)="CELC",'ENE TECH'!H45-5,'ENE TECH'!H45)</f>
        <v>25.95910445020348</v>
      </c>
      <c r="M49" s="6">
        <f>IF(_xlfn.XLOOKUP($J49,$B:$B,$C:$C)="CELC",L49,'ENE TECH'!I45)</f>
        <v>21.916608413917039</v>
      </c>
      <c r="N49" s="6">
        <f>IF(_xlfn.XLOOKUP($J49,$B:$B,$C:$C)="CELC",M49,'ENE TECH'!J45)</f>
        <v>26.429590648563291</v>
      </c>
      <c r="O49" s="6">
        <f>IF(_xlfn.XLOOKUP($J49,$B:$B,$C:$C)="CELC",N49,'ENE TECH'!K45)</f>
        <v>28.544697881551009</v>
      </c>
      <c r="P49" s="6">
        <f>IF(_xlfn.XLOOKUP($J49,$B:$B,$C:$C)="CELC",O49,'ENE TECH'!L45)</f>
        <v>24.782376714480058</v>
      </c>
      <c r="Q49" s="6">
        <f>IF(_xlfn.XLOOKUP($J49,$B:$B,$C:$C)="CELC",P49,'ENE TECH'!M45)</f>
        <v>23.473326202769229</v>
      </c>
      <c r="R49" s="6">
        <f>IF(_xlfn.XLOOKUP($J49,$B:$B,$C:$C)="CELC",Q49,'ENE TECH'!N45)</f>
        <v>21.876167254065479</v>
      </c>
      <c r="S49" s="6">
        <f>IF(_xlfn.XLOOKUP($J49,$B:$B,$C:$C)="CELC",R49,'ENE TECH'!O45)</f>
        <v>20.909112888124149</v>
      </c>
      <c r="T49" s="6">
        <f>IF(_xlfn.XLOOKUP($J49,$B:$B,$C:$C)="CELC",S49,'ENE TECH'!P45)</f>
        <v>22.487512660927742</v>
      </c>
      <c r="U49" s="6">
        <f>IF(_xlfn.XLOOKUP($J49,$B:$B,$C:$C)="CELC",T49,'ENE TECH'!Q45)</f>
        <v>24.30901543138382</v>
      </c>
      <c r="V49" s="6">
        <f>IF(_xlfn.XLOOKUP($J49,$B:$B,$C:$C)="CELC",U49,'ENE TECH'!R45)</f>
        <v>25.921917191077501</v>
      </c>
      <c r="W49" s="6">
        <f>IF(_xlfn.XLOOKUP($J49,$B:$B,$C:$C)="CELC",V49,'ENE TECH'!S45)</f>
        <v>27.339011166099109</v>
      </c>
      <c r="X49" s="6">
        <f>IF(_xlfn.XLOOKUP($J49,$B:$B,$C:$C)="CELC",W49,'ENE TECH'!T45)</f>
        <v>27.339011166099109</v>
      </c>
      <c r="Y49" s="6">
        <f>IF(_xlfn.XLOOKUP($J49,$B:$B,$C:$C)="CELC",X49,'ENE TECH'!U45)</f>
        <v>27.339011166099109</v>
      </c>
      <c r="Z49" s="6">
        <f>IF(_xlfn.XLOOKUP($J49,$B:$B,$C:$C)="CELC",Y49,'ENE TECH'!V45)</f>
        <v>27.339011166099109</v>
      </c>
      <c r="AA49" s="6">
        <f>IF(_xlfn.XLOOKUP($J49,$B:$B,$C:$C)="CELC",Z49,'ENE TECH'!W45)</f>
        <v>27.339011166099109</v>
      </c>
      <c r="AB49" s="6">
        <f>IF(_xlfn.XLOOKUP($J49,$B:$B,$C:$C)="CELC",AA49,'ENE TECH'!X45)</f>
        <v>27.339011166099109</v>
      </c>
      <c r="AC49" s="6">
        <f>IF(_xlfn.XLOOKUP($J49,$B:$B,$C:$C)="CELC",AB49,'ENE TECH'!Y45)</f>
        <v>27.339011166099109</v>
      </c>
      <c r="AD49" s="6">
        <f>IF(_xlfn.XLOOKUP($J49,$B:$B,$C:$C)="CELC",AC49,'ENE TECH'!Z45)</f>
        <v>27.339011166099109</v>
      </c>
      <c r="AE49" s="6">
        <f>IF(_xlfn.XLOOKUP($J49,$B:$B,$C:$C)="CELC",AD49,'ENE TECH'!AA45)</f>
        <v>27.339011166099109</v>
      </c>
      <c r="AF49" s="6">
        <f>IF(_xlfn.XLOOKUP($J49,$B:$B,$C:$C)="CELC",AE49,'ENE TECH'!AB45)</f>
        <v>27.339011166099109</v>
      </c>
      <c r="AG49" s="6">
        <f>IF(_xlfn.XLOOKUP($J49,$B:$B,$C:$C)="CELC",AF49,'ENE TECH'!AC45)</f>
        <v>27.339011166099109</v>
      </c>
    </row>
    <row r="50" spans="2:33" x14ac:dyDescent="0.25">
      <c r="B50" t="str">
        <f>Def_Tech!D61</f>
        <v>TRARDS19</v>
      </c>
      <c r="C50" t="str">
        <f t="shared" si="4"/>
        <v>RDS</v>
      </c>
      <c r="D50" t="str">
        <f>Def_Comm!C48</f>
        <v>TRARDS</v>
      </c>
      <c r="E50" t="s">
        <v>396</v>
      </c>
      <c r="F50">
        <v>1</v>
      </c>
      <c r="J50" t="str">
        <f t="shared" si="5"/>
        <v>TRARDS19</v>
      </c>
      <c r="K50" t="str">
        <f t="shared" si="6"/>
        <v/>
      </c>
      <c r="L50" s="6">
        <f>IF(_xlfn.XLOOKUP($J50,$B:$B,$C:$C)="CELC",'ENE TECH'!H46-5,'ENE TECH'!H46)</f>
        <v>38.938656675305218</v>
      </c>
      <c r="M50" s="6">
        <f>IF(_xlfn.XLOOKUP($J50,$B:$B,$C:$C)="CELC",L50,'ENE TECH'!I46)</f>
        <v>32.874912620875563</v>
      </c>
      <c r="N50" s="6">
        <f>IF(_xlfn.XLOOKUP($J50,$B:$B,$C:$C)="CELC",M50,'ENE TECH'!J46)</f>
        <v>39.644385972844937</v>
      </c>
      <c r="O50" s="6">
        <f>IF(_xlfn.XLOOKUP($J50,$B:$B,$C:$C)="CELC",N50,'ENE TECH'!K46)</f>
        <v>42.81704682232651</v>
      </c>
      <c r="P50" s="6">
        <f>IF(_xlfn.XLOOKUP($J50,$B:$B,$C:$C)="CELC",O50,'ENE TECH'!L46)</f>
        <v>37.173565071720091</v>
      </c>
      <c r="Q50" s="6">
        <f>IF(_xlfn.XLOOKUP($J50,$B:$B,$C:$C)="CELC",P50,'ENE TECH'!M46)</f>
        <v>35.209989304153851</v>
      </c>
      <c r="R50" s="6">
        <f>IF(_xlfn.XLOOKUP($J50,$B:$B,$C:$C)="CELC",Q50,'ENE TECH'!N46)</f>
        <v>32.814250881098218</v>
      </c>
      <c r="S50" s="6">
        <f>IF(_xlfn.XLOOKUP($J50,$B:$B,$C:$C)="CELC",R50,'ENE TECH'!O46)</f>
        <v>31.36366933218622</v>
      </c>
      <c r="T50" s="6">
        <f>IF(_xlfn.XLOOKUP($J50,$B:$B,$C:$C)="CELC",S50,'ENE TECH'!P46)</f>
        <v>33.731268991391609</v>
      </c>
      <c r="U50" s="6">
        <f>IF(_xlfn.XLOOKUP($J50,$B:$B,$C:$C)="CELC",T50,'ENE TECH'!Q46)</f>
        <v>36.463523147075719</v>
      </c>
      <c r="V50" s="6">
        <f>IF(_xlfn.XLOOKUP($J50,$B:$B,$C:$C)="CELC",U50,'ENE TECH'!R46)</f>
        <v>38.882875786616253</v>
      </c>
      <c r="W50" s="6">
        <f>IF(_xlfn.XLOOKUP($J50,$B:$B,$C:$C)="CELC",V50,'ENE TECH'!S46)</f>
        <v>41.008516749148662</v>
      </c>
      <c r="X50" s="6">
        <f>IF(_xlfn.XLOOKUP($J50,$B:$B,$C:$C)="CELC",W50,'ENE TECH'!T46)</f>
        <v>41.008516749148662</v>
      </c>
      <c r="Y50" s="6">
        <f>IF(_xlfn.XLOOKUP($J50,$B:$B,$C:$C)="CELC",X50,'ENE TECH'!U46)</f>
        <v>41.008516749148662</v>
      </c>
      <c r="Z50" s="6">
        <f>IF(_xlfn.XLOOKUP($J50,$B:$B,$C:$C)="CELC",Y50,'ENE TECH'!V46)</f>
        <v>41.008516749148662</v>
      </c>
      <c r="AA50" s="6">
        <f>IF(_xlfn.XLOOKUP($J50,$B:$B,$C:$C)="CELC",Z50,'ENE TECH'!W46)</f>
        <v>41.008516749148662</v>
      </c>
      <c r="AB50" s="6">
        <f>IF(_xlfn.XLOOKUP($J50,$B:$B,$C:$C)="CELC",AA50,'ENE TECH'!X46)</f>
        <v>41.008516749148662</v>
      </c>
      <c r="AC50" s="6">
        <f>IF(_xlfn.XLOOKUP($J50,$B:$B,$C:$C)="CELC",AB50,'ENE TECH'!Y46)</f>
        <v>41.008516749148662</v>
      </c>
      <c r="AD50" s="6">
        <f>IF(_xlfn.XLOOKUP($J50,$B:$B,$C:$C)="CELC",AC50,'ENE TECH'!Z46)</f>
        <v>41.008516749148662</v>
      </c>
      <c r="AE50" s="6">
        <f>IF(_xlfn.XLOOKUP($J50,$B:$B,$C:$C)="CELC",AD50,'ENE TECH'!AA46)</f>
        <v>41.008516749148662</v>
      </c>
      <c r="AF50" s="6">
        <f>IF(_xlfn.XLOOKUP($J50,$B:$B,$C:$C)="CELC",AE50,'ENE TECH'!AB46)</f>
        <v>41.008516749148662</v>
      </c>
      <c r="AG50" s="6">
        <f>IF(_xlfn.XLOOKUP($J50,$B:$B,$C:$C)="CELC",AF50,'ENE TECH'!AC46)</f>
        <v>41.008516749148662</v>
      </c>
    </row>
    <row r="51" spans="2:33" x14ac:dyDescent="0.25">
      <c r="B51" t="str">
        <f>Def_Tech!D62</f>
        <v>TRABDS19</v>
      </c>
      <c r="C51" t="str">
        <f t="shared" si="4"/>
        <v>BDS</v>
      </c>
      <c r="D51" t="str">
        <f>Def_Comm!C49</f>
        <v>TRABDS</v>
      </c>
      <c r="E51" t="s">
        <v>396</v>
      </c>
      <c r="F51">
        <v>1</v>
      </c>
      <c r="J51" t="str">
        <f t="shared" si="5"/>
        <v>TRABDS19</v>
      </c>
      <c r="K51" t="str">
        <f t="shared" si="6"/>
        <v/>
      </c>
      <c r="L51" s="6">
        <f>IF(_xlfn.XLOOKUP($J51,$B:$B,$C:$C)="CELC",'ENE TECH'!H47-5,'ENE TECH'!H47)</f>
        <v>38.938656675305218</v>
      </c>
      <c r="M51" s="6">
        <f>IF(_xlfn.XLOOKUP($J51,$B:$B,$C:$C)="CELC",L51,'ENE TECH'!I47)</f>
        <v>32.874912620875563</v>
      </c>
      <c r="N51" s="6">
        <f>IF(_xlfn.XLOOKUP($J51,$B:$B,$C:$C)="CELC",M51,'ENE TECH'!J47)</f>
        <v>39.644385972844937</v>
      </c>
      <c r="O51" s="6">
        <f>IF(_xlfn.XLOOKUP($J51,$B:$B,$C:$C)="CELC",N51,'ENE TECH'!K47)</f>
        <v>42.81704682232651</v>
      </c>
      <c r="P51" s="6">
        <f>IF(_xlfn.XLOOKUP($J51,$B:$B,$C:$C)="CELC",O51,'ENE TECH'!L47)</f>
        <v>37.173565071720091</v>
      </c>
      <c r="Q51" s="6">
        <f>IF(_xlfn.XLOOKUP($J51,$B:$B,$C:$C)="CELC",P51,'ENE TECH'!M47)</f>
        <v>35.209989304153851</v>
      </c>
      <c r="R51" s="6">
        <f>IF(_xlfn.XLOOKUP($J51,$B:$B,$C:$C)="CELC",Q51,'ENE TECH'!N47)</f>
        <v>32.814250881098218</v>
      </c>
      <c r="S51" s="6">
        <f>IF(_xlfn.XLOOKUP($J51,$B:$B,$C:$C)="CELC",R51,'ENE TECH'!O47)</f>
        <v>31.36366933218622</v>
      </c>
      <c r="T51" s="6">
        <f>IF(_xlfn.XLOOKUP($J51,$B:$B,$C:$C)="CELC",S51,'ENE TECH'!P47)</f>
        <v>33.731268991391609</v>
      </c>
      <c r="U51" s="6">
        <f>IF(_xlfn.XLOOKUP($J51,$B:$B,$C:$C)="CELC",T51,'ENE TECH'!Q47)</f>
        <v>36.463523147075719</v>
      </c>
      <c r="V51" s="6">
        <f>IF(_xlfn.XLOOKUP($J51,$B:$B,$C:$C)="CELC",U51,'ENE TECH'!R47)</f>
        <v>38.882875786616253</v>
      </c>
      <c r="W51" s="6">
        <f>IF(_xlfn.XLOOKUP($J51,$B:$B,$C:$C)="CELC",V51,'ENE TECH'!S47)</f>
        <v>41.008516749148662</v>
      </c>
      <c r="X51" s="6">
        <f>IF(_xlfn.XLOOKUP($J51,$B:$B,$C:$C)="CELC",W51,'ENE TECH'!T47)</f>
        <v>41.008516749148662</v>
      </c>
      <c r="Y51" s="6">
        <f>IF(_xlfn.XLOOKUP($J51,$B:$B,$C:$C)="CELC",X51,'ENE TECH'!U47)</f>
        <v>41.008516749148662</v>
      </c>
      <c r="Z51" s="6">
        <f>IF(_xlfn.XLOOKUP($J51,$B:$B,$C:$C)="CELC",Y51,'ENE TECH'!V47)</f>
        <v>41.008516749148662</v>
      </c>
      <c r="AA51" s="6">
        <f>IF(_xlfn.XLOOKUP($J51,$B:$B,$C:$C)="CELC",Z51,'ENE TECH'!W47)</f>
        <v>41.008516749148662</v>
      </c>
      <c r="AB51" s="6">
        <f>IF(_xlfn.XLOOKUP($J51,$B:$B,$C:$C)="CELC",AA51,'ENE TECH'!X47)</f>
        <v>41.008516749148662</v>
      </c>
      <c r="AC51" s="6">
        <f>IF(_xlfn.XLOOKUP($J51,$B:$B,$C:$C)="CELC",AB51,'ENE TECH'!Y47)</f>
        <v>41.008516749148662</v>
      </c>
      <c r="AD51" s="6">
        <f>IF(_xlfn.XLOOKUP($J51,$B:$B,$C:$C)="CELC",AC51,'ENE TECH'!Z47)</f>
        <v>41.008516749148662</v>
      </c>
      <c r="AE51" s="6">
        <f>IF(_xlfn.XLOOKUP($J51,$B:$B,$C:$C)="CELC",AD51,'ENE TECH'!AA47)</f>
        <v>41.008516749148662</v>
      </c>
      <c r="AF51" s="6">
        <f>IF(_xlfn.XLOOKUP($J51,$B:$B,$C:$C)="CELC",AE51,'ENE TECH'!AB47)</f>
        <v>41.008516749148662</v>
      </c>
      <c r="AG51" s="6">
        <f>IF(_xlfn.XLOOKUP($J51,$B:$B,$C:$C)="CELC",AF51,'ENE TECH'!AC47)</f>
        <v>41.008516749148662</v>
      </c>
    </row>
    <row r="52" spans="2:33" x14ac:dyDescent="0.25">
      <c r="B52" t="str">
        <f>Def_Tech!D63</f>
        <v>TRAFOI19</v>
      </c>
      <c r="C52" t="str">
        <f t="shared" si="4"/>
        <v>FOI</v>
      </c>
      <c r="D52" t="str">
        <f>Def_Comm!C50</f>
        <v>TRAFOI</v>
      </c>
      <c r="E52" t="s">
        <v>396</v>
      </c>
      <c r="F52">
        <v>1</v>
      </c>
      <c r="J52" t="str">
        <f t="shared" si="5"/>
        <v>TRAFOI19</v>
      </c>
      <c r="K52" t="str">
        <f t="shared" si="6"/>
        <v/>
      </c>
      <c r="L52" s="6">
        <f>IF(_xlfn.XLOOKUP($J52,$B:$B,$C:$C)="CELC",'ENE TECH'!H48-5,'ENE TECH'!H48)</f>
        <v>10.99119528849041</v>
      </c>
      <c r="M52" s="6">
        <f>IF(_xlfn.XLOOKUP($J52,$B:$B,$C:$C)="CELC",L52,'ENE TECH'!I48)</f>
        <v>7.9746075169450634</v>
      </c>
      <c r="N52" s="6">
        <f>IF(_xlfn.XLOOKUP($J52,$B:$B,$C:$C)="CELC",M52,'ENE TECH'!J48)</f>
        <v>11.85366068828508</v>
      </c>
      <c r="O52" s="6">
        <f>IF(_xlfn.XLOOKUP($J52,$B:$B,$C:$C)="CELC",N52,'ENE TECH'!K48)</f>
        <v>12.80228542457235</v>
      </c>
      <c r="P52" s="6">
        <f>IF(_xlfn.XLOOKUP($J52,$B:$B,$C:$C)="CELC",O52,'ENE TECH'!L48)</f>
        <v>11.11488590681871</v>
      </c>
      <c r="Q52" s="6">
        <f>IF(_xlfn.XLOOKUP($J52,$B:$B,$C:$C)="CELC",P52,'ENE TECH'!M48)</f>
        <v>10.527777283156031</v>
      </c>
      <c r="R52" s="6">
        <f>IF(_xlfn.XLOOKUP($J52,$B:$B,$C:$C)="CELC",Q52,'ENE TECH'!N48)</f>
        <v>9.8114521423343177</v>
      </c>
      <c r="S52" s="6">
        <f>IF(_xlfn.XLOOKUP($J52,$B:$B,$C:$C)="CELC",R52,'ENE TECH'!O48)</f>
        <v>9.3777286513646807</v>
      </c>
      <c r="T52" s="6">
        <f>IF(_xlfn.XLOOKUP($J52,$B:$B,$C:$C)="CELC",S52,'ENE TECH'!P48)</f>
        <v>10.085640309402301</v>
      </c>
      <c r="U52" s="6">
        <f>IF(_xlfn.XLOOKUP($J52,$B:$B,$C:$C)="CELC",T52,'ENE TECH'!Q48)</f>
        <v>10.90258356330515</v>
      </c>
      <c r="V52" s="6">
        <f>IF(_xlfn.XLOOKUP($J52,$B:$B,$C:$C)="CELC",U52,'ENE TECH'!R48)</f>
        <v>11.6259693484719</v>
      </c>
      <c r="W52" s="6">
        <f>IF(_xlfn.XLOOKUP($J52,$B:$B,$C:$C)="CELC",V52,'ENE TECH'!S48)</f>
        <v>12.26153542161623</v>
      </c>
      <c r="X52" s="6">
        <f>IF(_xlfn.XLOOKUP($J52,$B:$B,$C:$C)="CELC",W52,'ENE TECH'!T48)</f>
        <v>12.26153542161623</v>
      </c>
      <c r="Y52" s="6">
        <f>IF(_xlfn.XLOOKUP($J52,$B:$B,$C:$C)="CELC",X52,'ENE TECH'!U48)</f>
        <v>12.26153542161623</v>
      </c>
      <c r="Z52" s="6">
        <f>IF(_xlfn.XLOOKUP($J52,$B:$B,$C:$C)="CELC",Y52,'ENE TECH'!V48)</f>
        <v>12.26153542161623</v>
      </c>
      <c r="AA52" s="6">
        <f>IF(_xlfn.XLOOKUP($J52,$B:$B,$C:$C)="CELC",Z52,'ENE TECH'!W48)</f>
        <v>12.26153542161623</v>
      </c>
      <c r="AB52" s="6">
        <f>IF(_xlfn.XLOOKUP($J52,$B:$B,$C:$C)="CELC",AA52,'ENE TECH'!X48)</f>
        <v>12.26153542161623</v>
      </c>
      <c r="AC52" s="6">
        <f>IF(_xlfn.XLOOKUP($J52,$B:$B,$C:$C)="CELC",AB52,'ENE TECH'!Y48)</f>
        <v>12.26153542161623</v>
      </c>
      <c r="AD52" s="6">
        <f>IF(_xlfn.XLOOKUP($J52,$B:$B,$C:$C)="CELC",AC52,'ENE TECH'!Z48)</f>
        <v>12.26153542161623</v>
      </c>
      <c r="AE52" s="6">
        <f>IF(_xlfn.XLOOKUP($J52,$B:$B,$C:$C)="CELC",AD52,'ENE TECH'!AA48)</f>
        <v>12.26153542161623</v>
      </c>
      <c r="AF52" s="6">
        <f>IF(_xlfn.XLOOKUP($J52,$B:$B,$C:$C)="CELC",AE52,'ENE TECH'!AB48)</f>
        <v>12.26153542161623</v>
      </c>
      <c r="AG52" s="6">
        <f>IF(_xlfn.XLOOKUP($J52,$B:$B,$C:$C)="CELC",AF52,'ENE TECH'!AC48)</f>
        <v>12.26153542161623</v>
      </c>
    </row>
    <row r="53" spans="2:33" x14ac:dyDescent="0.25">
      <c r="B53" t="str">
        <f>Def_Tech!D64</f>
        <v>TRACNG19</v>
      </c>
      <c r="C53" t="str">
        <f t="shared" si="4"/>
        <v>CNG</v>
      </c>
      <c r="D53" t="str">
        <f>Def_Comm!C51</f>
        <v>TRACNG</v>
      </c>
      <c r="E53" t="s">
        <v>396</v>
      </c>
      <c r="F53">
        <v>1</v>
      </c>
      <c r="J53" t="str">
        <f t="shared" si="5"/>
        <v>TRACNG19</v>
      </c>
      <c r="K53" t="str">
        <f t="shared" si="6"/>
        <v/>
      </c>
      <c r="L53" s="6">
        <f>IF(_xlfn.XLOOKUP($J53,$B:$B,$C:$C)="CELC",'ENE TECH'!H49-5,'ENE TECH'!H49)</f>
        <v>11.12375241759783</v>
      </c>
      <c r="M53" s="6">
        <f>IF(_xlfn.XLOOKUP($J53,$B:$B,$C:$C)="CELC",L53,'ENE TECH'!I49)</f>
        <v>10.665359441029929</v>
      </c>
      <c r="N53" s="6">
        <f>IF(_xlfn.XLOOKUP($J53,$B:$B,$C:$C)="CELC",M53,'ENE TECH'!J49)</f>
        <v>12.796809097479549</v>
      </c>
      <c r="O53" s="6">
        <f>IF(_xlfn.XLOOKUP($J53,$B:$B,$C:$C)="CELC",N53,'ENE TECH'!K49)</f>
        <v>13.820912112965081</v>
      </c>
      <c r="P53" s="6">
        <f>IF(_xlfn.XLOOKUP($J53,$B:$B,$C:$C)="CELC",O53,'ENE TECH'!L49)</f>
        <v>12.488279997598211</v>
      </c>
      <c r="Q53" s="6">
        <f>IF(_xlfn.XLOOKUP($J53,$B:$B,$C:$C)="CELC",P53,'ENE TECH'!M49)</f>
        <v>11.26766895065759</v>
      </c>
      <c r="R53" s="6">
        <f>IF(_xlfn.XLOOKUP($J53,$B:$B,$C:$C)="CELC",Q53,'ENE TECH'!N49)</f>
        <v>10.947508552659921</v>
      </c>
      <c r="S53" s="6">
        <f>IF(_xlfn.XLOOKUP($J53,$B:$B,$C:$C)="CELC",R53,'ENE TECH'!O49)</f>
        <v>10.49011334493275</v>
      </c>
      <c r="T53" s="6">
        <f>IF(_xlfn.XLOOKUP($J53,$B:$B,$C:$C)="CELC",S53,'ENE TECH'!P49)</f>
        <v>11.02997224181253</v>
      </c>
      <c r="U53" s="6">
        <f>IF(_xlfn.XLOOKUP($J53,$B:$B,$C:$C)="CELC",T53,'ENE TECH'!Q49)</f>
        <v>11.220342208926949</v>
      </c>
      <c r="V53" s="6">
        <f>IF(_xlfn.XLOOKUP($J53,$B:$B,$C:$C)="CELC",U53,'ENE TECH'!R49)</f>
        <v>11.03273536325935</v>
      </c>
      <c r="W53" s="6">
        <f>IF(_xlfn.XLOOKUP($J53,$B:$B,$C:$C)="CELC",V53,'ENE TECH'!S49)</f>
        <v>11.0016349699681</v>
      </c>
      <c r="X53" s="6">
        <f>IF(_xlfn.XLOOKUP($J53,$B:$B,$C:$C)="CELC",W53,'ENE TECH'!T49)</f>
        <v>11.0016349699681</v>
      </c>
      <c r="Y53" s="6">
        <f>IF(_xlfn.XLOOKUP($J53,$B:$B,$C:$C)="CELC",X53,'ENE TECH'!U49)</f>
        <v>11.0016349699681</v>
      </c>
      <c r="Z53" s="6">
        <f>IF(_xlfn.XLOOKUP($J53,$B:$B,$C:$C)="CELC",Y53,'ENE TECH'!V49)</f>
        <v>11.0016349699681</v>
      </c>
      <c r="AA53" s="6">
        <f>IF(_xlfn.XLOOKUP($J53,$B:$B,$C:$C)="CELC",Z53,'ENE TECH'!W49)</f>
        <v>11.0016349699681</v>
      </c>
      <c r="AB53" s="6">
        <f>IF(_xlfn.XLOOKUP($J53,$B:$B,$C:$C)="CELC",AA53,'ENE TECH'!X49)</f>
        <v>11.0016349699681</v>
      </c>
      <c r="AC53" s="6">
        <f>IF(_xlfn.XLOOKUP($J53,$B:$B,$C:$C)="CELC",AB53,'ENE TECH'!Y49)</f>
        <v>11.0016349699681</v>
      </c>
      <c r="AD53" s="6">
        <f>IF(_xlfn.XLOOKUP($J53,$B:$B,$C:$C)="CELC",AC53,'ENE TECH'!Z49)</f>
        <v>11.0016349699681</v>
      </c>
      <c r="AE53" s="6">
        <f>IF(_xlfn.XLOOKUP($J53,$B:$B,$C:$C)="CELC",AD53,'ENE TECH'!AA49)</f>
        <v>11.0016349699681</v>
      </c>
      <c r="AF53" s="6">
        <f>IF(_xlfn.XLOOKUP($J53,$B:$B,$C:$C)="CELC",AE53,'ENE TECH'!AB49)</f>
        <v>11.0016349699681</v>
      </c>
      <c r="AG53" s="6">
        <f>IF(_xlfn.XLOOKUP($J53,$B:$B,$C:$C)="CELC",AF53,'ENE TECH'!AC49)</f>
        <v>11.0016349699681</v>
      </c>
    </row>
    <row r="54" spans="2:33" x14ac:dyDescent="0.25">
      <c r="B54" t="str">
        <f>Def_Tech!D65</f>
        <v>TRARNG19</v>
      </c>
      <c r="C54" t="str">
        <f t="shared" si="4"/>
        <v>RNG</v>
      </c>
      <c r="D54" t="str">
        <f>Def_Comm!C52</f>
        <v>TRARNG</v>
      </c>
      <c r="E54" t="s">
        <v>396</v>
      </c>
      <c r="F54">
        <v>1</v>
      </c>
      <c r="J54" t="str">
        <f t="shared" si="5"/>
        <v>TRARNG19</v>
      </c>
      <c r="K54" t="str">
        <f t="shared" si="6"/>
        <v/>
      </c>
      <c r="L54" s="6">
        <f>IF(_xlfn.XLOOKUP($J54,$B:$B,$C:$C)="CELC",'ENE TECH'!H50-5,'ENE TECH'!H50)</f>
        <v>22.24750483519567</v>
      </c>
      <c r="M54" s="6">
        <f>IF(_xlfn.XLOOKUP($J54,$B:$B,$C:$C)="CELC",L54,'ENE TECH'!I50)</f>
        <v>21.330718882059859</v>
      </c>
      <c r="N54" s="6">
        <f>IF(_xlfn.XLOOKUP($J54,$B:$B,$C:$C)="CELC",M54,'ENE TECH'!J50)</f>
        <v>25.593618194959099</v>
      </c>
      <c r="O54" s="6">
        <f>IF(_xlfn.XLOOKUP($J54,$B:$B,$C:$C)="CELC",N54,'ENE TECH'!K50)</f>
        <v>27.641824225930169</v>
      </c>
      <c r="P54" s="6">
        <f>IF(_xlfn.XLOOKUP($J54,$B:$B,$C:$C)="CELC",O54,'ENE TECH'!L50)</f>
        <v>26.689632295082308</v>
      </c>
      <c r="Q54" s="6">
        <f>IF(_xlfn.XLOOKUP($J54,$B:$B,$C:$C)="CELC",P54,'ENE TECH'!M50)</f>
        <v>23.953947672007828</v>
      </c>
      <c r="R54" s="6">
        <f>IF(_xlfn.XLOOKUP($J54,$B:$B,$C:$C)="CELC",Q54,'ENE TECH'!N50)</f>
        <v>22.836328474421911</v>
      </c>
      <c r="S54" s="6">
        <f>IF(_xlfn.XLOOKUP($J54,$B:$B,$C:$C)="CELC",R54,'ENE TECH'!O50)</f>
        <v>22.156121152604669</v>
      </c>
      <c r="T54" s="6">
        <f>IF(_xlfn.XLOOKUP($J54,$B:$B,$C:$C)="CELC",S54,'ENE TECH'!P50)</f>
        <v>24.837000420002649</v>
      </c>
      <c r="U54" s="6">
        <f>IF(_xlfn.XLOOKUP($J54,$B:$B,$C:$C)="CELC",T54,'ENE TECH'!Q50)</f>
        <v>27.188763081552519</v>
      </c>
      <c r="V54" s="6">
        <f>IF(_xlfn.XLOOKUP($J54,$B:$B,$C:$C)="CELC",U54,'ENE TECH'!R50)</f>
        <v>28.65642072067687</v>
      </c>
      <c r="W54" s="6">
        <f>IF(_xlfn.XLOOKUP($J54,$B:$B,$C:$C)="CELC",V54,'ENE TECH'!S50)</f>
        <v>30.117867811829701</v>
      </c>
      <c r="X54" s="6">
        <f>IF(_xlfn.XLOOKUP($J54,$B:$B,$C:$C)="CELC",W54,'ENE TECH'!T50)</f>
        <v>30.117867811829701</v>
      </c>
      <c r="Y54" s="6">
        <f>IF(_xlfn.XLOOKUP($J54,$B:$B,$C:$C)="CELC",X54,'ENE TECH'!U50)</f>
        <v>30.117867811829701</v>
      </c>
      <c r="Z54" s="6">
        <f>IF(_xlfn.XLOOKUP($J54,$B:$B,$C:$C)="CELC",Y54,'ENE TECH'!V50)</f>
        <v>30.117867811829701</v>
      </c>
      <c r="AA54" s="6">
        <f>IF(_xlfn.XLOOKUP($J54,$B:$B,$C:$C)="CELC",Z54,'ENE TECH'!W50)</f>
        <v>30.117867811829701</v>
      </c>
      <c r="AB54" s="6">
        <f>IF(_xlfn.XLOOKUP($J54,$B:$B,$C:$C)="CELC",AA54,'ENE TECH'!X50)</f>
        <v>30.117867811829701</v>
      </c>
      <c r="AC54" s="6">
        <f>IF(_xlfn.XLOOKUP($J54,$B:$B,$C:$C)="CELC",AB54,'ENE TECH'!Y50)</f>
        <v>30.117867811829701</v>
      </c>
      <c r="AD54" s="6">
        <f>IF(_xlfn.XLOOKUP($J54,$B:$B,$C:$C)="CELC",AC54,'ENE TECH'!Z50)</f>
        <v>30.117867811829701</v>
      </c>
      <c r="AE54" s="6">
        <f>IF(_xlfn.XLOOKUP($J54,$B:$B,$C:$C)="CELC",AD54,'ENE TECH'!AA50)</f>
        <v>30.117867811829701</v>
      </c>
      <c r="AF54" s="6">
        <f>IF(_xlfn.XLOOKUP($J54,$B:$B,$C:$C)="CELC",AE54,'ENE TECH'!AB50)</f>
        <v>30.117867811829701</v>
      </c>
      <c r="AG54" s="6">
        <f>IF(_xlfn.XLOOKUP($J54,$B:$B,$C:$C)="CELC",AF54,'ENE TECH'!AC50)</f>
        <v>30.117867811829701</v>
      </c>
    </row>
    <row r="55" spans="2:33" x14ac:dyDescent="0.25">
      <c r="B55" t="str">
        <f>Def_Tech!D66</f>
        <v>TRAELC19</v>
      </c>
      <c r="C55" t="str">
        <f t="shared" si="4"/>
        <v>CELC</v>
      </c>
      <c r="D55" t="str">
        <f>Def_Comm!C53</f>
        <v>TRAELC</v>
      </c>
      <c r="E55" t="s">
        <v>396</v>
      </c>
      <c r="F55">
        <v>1</v>
      </c>
      <c r="J55" t="str">
        <f t="shared" si="5"/>
        <v>TRAELC19</v>
      </c>
      <c r="K55">
        <f t="shared" si="6"/>
        <v>1</v>
      </c>
      <c r="L55" s="6">
        <f>IF(_xlfn.XLOOKUP($J55,$B:$B,$C:$C)="CELC",'ENE TECH'!H51-5,'ENE TECH'!H51)</f>
        <v>34.767138732226613</v>
      </c>
      <c r="M55" s="6">
        <f>IF(_xlfn.XLOOKUP($J55,$B:$B,$C:$C)="CELC",L55,'ENE TECH'!I51)</f>
        <v>34.767138732226613</v>
      </c>
      <c r="N55" s="6">
        <f>IF(_xlfn.XLOOKUP($J55,$B:$B,$C:$C)="CELC",M55,'ENE TECH'!J51)</f>
        <v>34.767138732226613</v>
      </c>
      <c r="O55" s="6">
        <f>IF(_xlfn.XLOOKUP($J55,$B:$B,$C:$C)="CELC",N55,'ENE TECH'!K51)</f>
        <v>34.767138732226613</v>
      </c>
      <c r="P55" s="6">
        <f>IF(_xlfn.XLOOKUP($J55,$B:$B,$C:$C)="CELC",O55,'ENE TECH'!L51)</f>
        <v>34.767138732226613</v>
      </c>
      <c r="Q55" s="6">
        <f>IF(_xlfn.XLOOKUP($J55,$B:$B,$C:$C)="CELC",P55,'ENE TECH'!M51)</f>
        <v>34.767138732226613</v>
      </c>
      <c r="R55" s="6">
        <f>IF(_xlfn.XLOOKUP($J55,$B:$B,$C:$C)="CELC",Q55,'ENE TECH'!N51)</f>
        <v>34.767138732226613</v>
      </c>
      <c r="S55" s="6">
        <f>IF(_xlfn.XLOOKUP($J55,$B:$B,$C:$C)="CELC",R55,'ENE TECH'!O51)</f>
        <v>34.767138732226613</v>
      </c>
      <c r="T55" s="6">
        <f>IF(_xlfn.XLOOKUP($J55,$B:$B,$C:$C)="CELC",S55,'ENE TECH'!P51)</f>
        <v>34.767138732226613</v>
      </c>
      <c r="U55" s="6">
        <f>IF(_xlfn.XLOOKUP($J55,$B:$B,$C:$C)="CELC",T55,'ENE TECH'!Q51)</f>
        <v>34.767138732226613</v>
      </c>
      <c r="V55" s="6">
        <f>IF(_xlfn.XLOOKUP($J55,$B:$B,$C:$C)="CELC",U55,'ENE TECH'!R51)</f>
        <v>34.767138732226613</v>
      </c>
      <c r="W55" s="6">
        <f>IF(_xlfn.XLOOKUP($J55,$B:$B,$C:$C)="CELC",V55,'ENE TECH'!S51)</f>
        <v>34.767138732226613</v>
      </c>
      <c r="X55" s="6">
        <f>IF(_xlfn.XLOOKUP($J55,$B:$B,$C:$C)="CELC",W55,'ENE TECH'!T51)</f>
        <v>34.767138732226613</v>
      </c>
      <c r="Y55" s="6">
        <f>IF(_xlfn.XLOOKUP($J55,$B:$B,$C:$C)="CELC",X55,'ENE TECH'!U51)</f>
        <v>34.767138732226613</v>
      </c>
      <c r="Z55" s="6">
        <f>IF(_xlfn.XLOOKUP($J55,$B:$B,$C:$C)="CELC",Y55,'ENE TECH'!V51)</f>
        <v>34.767138732226613</v>
      </c>
      <c r="AA55" s="6">
        <f>IF(_xlfn.XLOOKUP($J55,$B:$B,$C:$C)="CELC",Z55,'ENE TECH'!W51)</f>
        <v>34.767138732226613</v>
      </c>
      <c r="AB55" s="6">
        <f>IF(_xlfn.XLOOKUP($J55,$B:$B,$C:$C)="CELC",AA55,'ENE TECH'!X51)</f>
        <v>34.767138732226613</v>
      </c>
      <c r="AC55" s="6">
        <f>IF(_xlfn.XLOOKUP($J55,$B:$B,$C:$C)="CELC",AB55,'ENE TECH'!Y51)</f>
        <v>34.767138732226613</v>
      </c>
      <c r="AD55" s="6">
        <f>IF(_xlfn.XLOOKUP($J55,$B:$B,$C:$C)="CELC",AC55,'ENE TECH'!Z51)</f>
        <v>34.767138732226613</v>
      </c>
      <c r="AE55" s="6">
        <f>IF(_xlfn.XLOOKUP($J55,$B:$B,$C:$C)="CELC",AD55,'ENE TECH'!AA51)</f>
        <v>34.767138732226613</v>
      </c>
      <c r="AF55" s="6">
        <f>IF(_xlfn.XLOOKUP($J55,$B:$B,$C:$C)="CELC",AE55,'ENE TECH'!AB51)</f>
        <v>34.767138732226613</v>
      </c>
      <c r="AG55" s="6">
        <f>IF(_xlfn.XLOOKUP($J55,$B:$B,$C:$C)="CELC",AF55,'ENE TECH'!AC51)</f>
        <v>34.767138732226613</v>
      </c>
    </row>
    <row r="56" spans="2:33" x14ac:dyDescent="0.25">
      <c r="B56" t="str">
        <f>Def_Tech!D67</f>
        <v>TRAH2G19</v>
      </c>
      <c r="C56" t="str">
        <f t="shared" si="4"/>
        <v>CH2G</v>
      </c>
      <c r="D56" t="str">
        <f>Def_Comm!C54</f>
        <v>TRAH2G</v>
      </c>
      <c r="E56" t="s">
        <v>396</v>
      </c>
      <c r="F56">
        <v>1</v>
      </c>
      <c r="J56" t="str">
        <f t="shared" si="5"/>
        <v>TRAH2G19</v>
      </c>
      <c r="K56" t="str">
        <f t="shared" si="6"/>
        <v/>
      </c>
      <c r="L56" s="6">
        <f>IF(_xlfn.XLOOKUP($J56,$B:$B,$C:$C)="CELC",'ENE TECH'!H52-5,'ENE TECH'!H52)</f>
        <v>79.534277464453211</v>
      </c>
      <c r="M56" s="6">
        <f>IF(_xlfn.XLOOKUP($J56,$B:$B,$C:$C)="CELC",L56,'ENE TECH'!I52)</f>
        <v>77.185520919111795</v>
      </c>
      <c r="N56" s="6">
        <f>IF(_xlfn.XLOOKUP($J56,$B:$B,$C:$C)="CELC",M56,'ENE TECH'!J52)</f>
        <v>79.58886462134268</v>
      </c>
      <c r="O56" s="6">
        <f>IF(_xlfn.XLOOKUP($J56,$B:$B,$C:$C)="CELC",N56,'ENE TECH'!K52)</f>
        <v>85.958202136414357</v>
      </c>
      <c r="P56" s="6">
        <f>IF(_xlfn.XLOOKUP($J56,$B:$B,$C:$C)="CELC",O56,'ENE TECH'!L52)</f>
        <v>87.041290087514184</v>
      </c>
      <c r="Q56" s="6">
        <f>IF(_xlfn.XLOOKUP($J56,$B:$B,$C:$C)="CELC",P56,'ENE TECH'!M52)</f>
        <v>83.121342579726402</v>
      </c>
      <c r="R56" s="6">
        <f>IF(_xlfn.XLOOKUP($J56,$B:$B,$C:$C)="CELC",Q56,'ENE TECH'!N52)</f>
        <v>79.647541051711684</v>
      </c>
      <c r="S56" s="6">
        <f>IF(_xlfn.XLOOKUP($J56,$B:$B,$C:$C)="CELC",R56,'ENE TECH'!O52)</f>
        <v>83.184082217045443</v>
      </c>
      <c r="T56" s="6">
        <f>IF(_xlfn.XLOOKUP($J56,$B:$B,$C:$C)="CELC",S56,'ENE TECH'!P52)</f>
        <v>89.52914372934319</v>
      </c>
      <c r="U56" s="6">
        <f>IF(_xlfn.XLOOKUP($J56,$B:$B,$C:$C)="CELC",T56,'ENE TECH'!Q52)</f>
        <v>95.404021463025316</v>
      </c>
      <c r="V56" s="6">
        <f>IF(_xlfn.XLOOKUP($J56,$B:$B,$C:$C)="CELC",U56,'ENE TECH'!R52)</f>
        <v>100.6515983902885</v>
      </c>
      <c r="W56" s="6">
        <f>IF(_xlfn.XLOOKUP($J56,$B:$B,$C:$C)="CELC",V56,'ENE TECH'!S52)</f>
        <v>103.7791832959237</v>
      </c>
      <c r="X56" s="6">
        <f>IF(_xlfn.XLOOKUP($J56,$B:$B,$C:$C)="CELC",W56,'ENE TECH'!T52)</f>
        <v>103.7791832959237</v>
      </c>
      <c r="Y56" s="6">
        <f>IF(_xlfn.XLOOKUP($J56,$B:$B,$C:$C)="CELC",X56,'ENE TECH'!U52)</f>
        <v>103.7791832959237</v>
      </c>
      <c r="Z56" s="6">
        <f>IF(_xlfn.XLOOKUP($J56,$B:$B,$C:$C)="CELC",Y56,'ENE TECH'!V52)</f>
        <v>103.7791832959237</v>
      </c>
      <c r="AA56" s="6">
        <f>IF(_xlfn.XLOOKUP($J56,$B:$B,$C:$C)="CELC",Z56,'ENE TECH'!W52)</f>
        <v>103.7791832959237</v>
      </c>
      <c r="AB56" s="6">
        <f>IF(_xlfn.XLOOKUP($J56,$B:$B,$C:$C)="CELC",AA56,'ENE TECH'!X52)</f>
        <v>103.7791832959237</v>
      </c>
      <c r="AC56" s="6">
        <f>IF(_xlfn.XLOOKUP($J56,$B:$B,$C:$C)="CELC",AB56,'ENE TECH'!Y52)</f>
        <v>103.7791832959237</v>
      </c>
      <c r="AD56" s="6">
        <f>IF(_xlfn.XLOOKUP($J56,$B:$B,$C:$C)="CELC",AC56,'ENE TECH'!Z52)</f>
        <v>103.7791832959237</v>
      </c>
      <c r="AE56" s="6">
        <f>IF(_xlfn.XLOOKUP($J56,$B:$B,$C:$C)="CELC",AD56,'ENE TECH'!AA52)</f>
        <v>103.7791832959237</v>
      </c>
      <c r="AF56" s="6">
        <f>IF(_xlfn.XLOOKUP($J56,$B:$B,$C:$C)="CELC",AE56,'ENE TECH'!AB52)</f>
        <v>103.7791832959237</v>
      </c>
      <c r="AG56" s="6">
        <f>IF(_xlfn.XLOOKUP($J56,$B:$B,$C:$C)="CELC",AF56,'ENE TECH'!AC52)</f>
        <v>103.7791832959237</v>
      </c>
    </row>
    <row r="57" spans="2:33" x14ac:dyDescent="0.25">
      <c r="B57" t="str">
        <f>Def_Tech!D68</f>
        <v>ELCDSL19</v>
      </c>
      <c r="C57" t="str">
        <f t="shared" si="4"/>
        <v>DSL</v>
      </c>
      <c r="D57" t="str">
        <f>Def_Comm!C55</f>
        <v>ELCDSL</v>
      </c>
      <c r="E57" t="s">
        <v>396</v>
      </c>
      <c r="F57">
        <v>1</v>
      </c>
      <c r="G57">
        <v>1</v>
      </c>
      <c r="J57" t="str">
        <f t="shared" si="5"/>
        <v>ELCDSL19</v>
      </c>
      <c r="K57" t="str">
        <f t="shared" si="6"/>
        <v/>
      </c>
      <c r="L57" s="6">
        <f>IF(_xlfn.XLOOKUP($J57,$B:$B,$C:$C)="CELC",'ENE TECH'!H53-5,'ENE TECH'!H53)</f>
        <v>15.531276960419611</v>
      </c>
      <c r="M57" s="6">
        <f>IF(_xlfn.XLOOKUP($J57,$B:$B,$C:$C)="CELC",L57,'ENE TECH'!I53)</f>
        <v>10.29646603208281</v>
      </c>
      <c r="N57" s="6">
        <f>IF(_xlfn.XLOOKUP($J57,$B:$B,$C:$C)="CELC",M57,'ENE TECH'!J53)</f>
        <v>16.140698911896319</v>
      </c>
      <c r="O57" s="6">
        <f>IF(_xlfn.XLOOKUP($J57,$B:$B,$C:$C)="CELC",N57,'ENE TECH'!K53)</f>
        <v>17.432406735448431</v>
      </c>
      <c r="P57" s="6">
        <f>IF(_xlfn.XLOOKUP($J57,$B:$B,$C:$C)="CELC",O57,'ENE TECH'!L53)</f>
        <v>15.96578593638675</v>
      </c>
      <c r="Q57" s="6">
        <f>IF(_xlfn.XLOOKUP($J57,$B:$B,$C:$C)="CELC",P57,'ENE TECH'!M53)</f>
        <v>14.784620224476219</v>
      </c>
      <c r="R57" s="6">
        <f>IF(_xlfn.XLOOKUP($J57,$B:$B,$C:$C)="CELC",Q57,'ENE TECH'!N53)</f>
        <v>13.4034213768775</v>
      </c>
      <c r="S57" s="6">
        <f>IF(_xlfn.XLOOKUP($J57,$B:$B,$C:$C)="CELC",R57,'ENE TECH'!O53)</f>
        <v>11.61348371129057</v>
      </c>
      <c r="T57" s="6">
        <f>IF(_xlfn.XLOOKUP($J57,$B:$B,$C:$C)="CELC",S57,'ENE TECH'!P53)</f>
        <v>12.53539259626851</v>
      </c>
      <c r="U57" s="6">
        <f>IF(_xlfn.XLOOKUP($J57,$B:$B,$C:$C)="CELC",T57,'ENE TECH'!Q53)</f>
        <v>13.486530091701299</v>
      </c>
      <c r="V57" s="6">
        <f>IF(_xlfn.XLOOKUP($J57,$B:$B,$C:$C)="CELC",U57,'ENE TECH'!R53)</f>
        <v>14.364992491667969</v>
      </c>
      <c r="W57" s="6">
        <f>IF(_xlfn.XLOOKUP($J57,$B:$B,$C:$C)="CELC",V57,'ENE TECH'!S53)</f>
        <v>15.18196376371692</v>
      </c>
      <c r="X57" s="6">
        <f>IF(_xlfn.XLOOKUP($J57,$B:$B,$C:$C)="CELC",W57,'ENE TECH'!T53)</f>
        <v>15.18196376371692</v>
      </c>
      <c r="Y57" s="6">
        <f>IF(_xlfn.XLOOKUP($J57,$B:$B,$C:$C)="CELC",X57,'ENE TECH'!U53)</f>
        <v>15.18196376371692</v>
      </c>
      <c r="Z57" s="6">
        <f>IF(_xlfn.XLOOKUP($J57,$B:$B,$C:$C)="CELC",Y57,'ENE TECH'!V53)</f>
        <v>15.18196376371692</v>
      </c>
      <c r="AA57" s="6">
        <f>IF(_xlfn.XLOOKUP($J57,$B:$B,$C:$C)="CELC",Z57,'ENE TECH'!W53)</f>
        <v>15.18196376371692</v>
      </c>
      <c r="AB57" s="6">
        <f>IF(_xlfn.XLOOKUP($J57,$B:$B,$C:$C)="CELC",AA57,'ENE TECH'!X53)</f>
        <v>15.18196376371692</v>
      </c>
      <c r="AC57" s="6">
        <f>IF(_xlfn.XLOOKUP($J57,$B:$B,$C:$C)="CELC",AB57,'ENE TECH'!Y53)</f>
        <v>15.18196376371692</v>
      </c>
      <c r="AD57" s="6">
        <f>IF(_xlfn.XLOOKUP($J57,$B:$B,$C:$C)="CELC",AC57,'ENE TECH'!Z53)</f>
        <v>15.18196376371692</v>
      </c>
      <c r="AE57" s="6">
        <f>IF(_xlfn.XLOOKUP($J57,$B:$B,$C:$C)="CELC",AD57,'ENE TECH'!AA53)</f>
        <v>15.18196376371692</v>
      </c>
      <c r="AF57" s="6">
        <f>IF(_xlfn.XLOOKUP($J57,$B:$B,$C:$C)="CELC",AE57,'ENE TECH'!AB53)</f>
        <v>15.18196376371692</v>
      </c>
      <c r="AG57" s="6">
        <f>IF(_xlfn.XLOOKUP($J57,$B:$B,$C:$C)="CELC",AF57,'ENE TECH'!AC53)</f>
        <v>15.18196376371692</v>
      </c>
    </row>
    <row r="58" spans="2:33" x14ac:dyDescent="0.25">
      <c r="B58" t="str">
        <f>Def_Tech!D69</f>
        <v>ELCFOI19</v>
      </c>
      <c r="C58" t="str">
        <f t="shared" si="4"/>
        <v>FOI</v>
      </c>
      <c r="D58" t="str">
        <f>Def_Comm!C56</f>
        <v>ELCFOI</v>
      </c>
      <c r="E58" t="s">
        <v>396</v>
      </c>
      <c r="F58">
        <v>1</v>
      </c>
      <c r="G58">
        <v>1</v>
      </c>
      <c r="J58" t="str">
        <f t="shared" si="5"/>
        <v>ELCFOI19</v>
      </c>
      <c r="K58" t="str">
        <f t="shared" si="6"/>
        <v/>
      </c>
      <c r="L58" s="6">
        <f>IF(_xlfn.XLOOKUP($J58,$B:$B,$C:$C)="CELC",'ENE TECH'!H54-5,'ENE TECH'!H54)</f>
        <v>12.99059865252736</v>
      </c>
      <c r="M58" s="6">
        <f>IF(_xlfn.XLOOKUP($J58,$B:$B,$C:$C)="CELC",L58,'ENE TECH'!I54)</f>
        <v>9.4067819281515224</v>
      </c>
      <c r="N58" s="6">
        <f>IF(_xlfn.XLOOKUP($J58,$B:$B,$C:$C)="CELC",M58,'ENE TECH'!J54)</f>
        <v>13.922156631177501</v>
      </c>
      <c r="O58" s="6">
        <f>IF(_xlfn.XLOOKUP($J58,$B:$B,$C:$C)="CELC",N58,'ENE TECH'!K54)</f>
        <v>15.03631895707005</v>
      </c>
      <c r="P58" s="6">
        <f>IF(_xlfn.XLOOKUP($J58,$B:$B,$C:$C)="CELC",O58,'ENE TECH'!L54)</f>
        <v>12.597648645914131</v>
      </c>
      <c r="Q58" s="6">
        <f>IF(_xlfn.XLOOKUP($J58,$B:$B,$C:$C)="CELC",P58,'ENE TECH'!M54)</f>
        <v>12.325662601088309</v>
      </c>
      <c r="R58" s="6">
        <f>IF(_xlfn.XLOOKUP($J58,$B:$B,$C:$C)="CELC",Q58,'ENE TECH'!N54)</f>
        <v>11.625465996462189</v>
      </c>
      <c r="S58" s="6">
        <f>IF(_xlfn.XLOOKUP($J58,$B:$B,$C:$C)="CELC",R58,'ENE TECH'!O54)</f>
        <v>12.30909849289373</v>
      </c>
      <c r="T58" s="6">
        <f>IF(_xlfn.XLOOKUP($J58,$B:$B,$C:$C)="CELC",S58,'ENE TECH'!P54)</f>
        <v>13.374947045204751</v>
      </c>
      <c r="U58" s="6">
        <f>IF(_xlfn.XLOOKUP($J58,$B:$B,$C:$C)="CELC",T58,'ENE TECH'!Q54)</f>
        <v>14.42355508465856</v>
      </c>
      <c r="V58" s="6">
        <f>IF(_xlfn.XLOOKUP($J58,$B:$B,$C:$C)="CELC",U58,'ENE TECH'!R54)</f>
        <v>14.66087589269757</v>
      </c>
      <c r="W58" s="6">
        <f>IF(_xlfn.XLOOKUP($J58,$B:$B,$C:$C)="CELC",V58,'ENE TECH'!S54)</f>
        <v>15.65346823164624</v>
      </c>
      <c r="X58" s="6">
        <f>IF(_xlfn.XLOOKUP($J58,$B:$B,$C:$C)="CELC",W58,'ENE TECH'!T54)</f>
        <v>15.65346823164624</v>
      </c>
      <c r="Y58" s="6">
        <f>IF(_xlfn.XLOOKUP($J58,$B:$B,$C:$C)="CELC",X58,'ENE TECH'!U54)</f>
        <v>15.65346823164624</v>
      </c>
      <c r="Z58" s="6">
        <f>IF(_xlfn.XLOOKUP($J58,$B:$B,$C:$C)="CELC",Y58,'ENE TECH'!V54)</f>
        <v>15.65346823164624</v>
      </c>
      <c r="AA58" s="6">
        <f>IF(_xlfn.XLOOKUP($J58,$B:$B,$C:$C)="CELC",Z58,'ENE TECH'!W54)</f>
        <v>15.65346823164624</v>
      </c>
      <c r="AB58" s="6">
        <f>IF(_xlfn.XLOOKUP($J58,$B:$B,$C:$C)="CELC",AA58,'ENE TECH'!X54)</f>
        <v>15.65346823164624</v>
      </c>
      <c r="AC58" s="6">
        <f>IF(_xlfn.XLOOKUP($J58,$B:$B,$C:$C)="CELC",AB58,'ENE TECH'!Y54)</f>
        <v>15.65346823164624</v>
      </c>
      <c r="AD58" s="6">
        <f>IF(_xlfn.XLOOKUP($J58,$B:$B,$C:$C)="CELC",AC58,'ENE TECH'!Z54)</f>
        <v>15.65346823164624</v>
      </c>
      <c r="AE58" s="6">
        <f>IF(_xlfn.XLOOKUP($J58,$B:$B,$C:$C)="CELC",AD58,'ENE TECH'!AA54)</f>
        <v>15.65346823164624</v>
      </c>
      <c r="AF58" s="6">
        <f>IF(_xlfn.XLOOKUP($J58,$B:$B,$C:$C)="CELC",AE58,'ENE TECH'!AB54)</f>
        <v>15.65346823164624</v>
      </c>
      <c r="AG58" s="6">
        <f>IF(_xlfn.XLOOKUP($J58,$B:$B,$C:$C)="CELC",AF58,'ENE TECH'!AC54)</f>
        <v>15.65346823164624</v>
      </c>
    </row>
    <row r="59" spans="2:33" x14ac:dyDescent="0.25">
      <c r="B59" t="str">
        <f>Def_Tech!D70</f>
        <v>ELCNGA19</v>
      </c>
      <c r="C59" t="str">
        <f t="shared" si="4"/>
        <v>NGA</v>
      </c>
      <c r="D59" t="str">
        <f>Def_Comm!C57</f>
        <v>ELCNGA</v>
      </c>
      <c r="E59" t="s">
        <v>396</v>
      </c>
      <c r="F59">
        <v>1</v>
      </c>
      <c r="G59">
        <v>1</v>
      </c>
      <c r="J59" t="str">
        <f t="shared" si="5"/>
        <v>ELCNGA19</v>
      </c>
      <c r="K59" t="str">
        <f t="shared" si="6"/>
        <v/>
      </c>
      <c r="L59" s="6">
        <f>IF(_xlfn.XLOOKUP($J59,$B:$B,$C:$C)="CELC",'ENE TECH'!H55-5,'ENE TECH'!H55)</f>
        <v>3.2697425179830768</v>
      </c>
      <c r="M59" s="6">
        <f>IF(_xlfn.XLOOKUP($J59,$B:$B,$C:$C)="CELC",L59,'ENE TECH'!I55)</f>
        <v>2.3001589028467402</v>
      </c>
      <c r="N59" s="6">
        <f>IF(_xlfn.XLOOKUP($J59,$B:$B,$C:$C)="CELC",M59,'ENE TECH'!J55)</f>
        <v>4.2548854369341553</v>
      </c>
      <c r="O59" s="6">
        <f>IF(_xlfn.XLOOKUP($J59,$B:$B,$C:$C)="CELC",N59,'ENE TECH'!K55)</f>
        <v>4.5953954010445051</v>
      </c>
      <c r="P59" s="6">
        <f>IF(_xlfn.XLOOKUP($J59,$B:$B,$C:$C)="CELC",O59,'ENE TECH'!L55)</f>
        <v>3.5948003283883661</v>
      </c>
      <c r="Q59" s="6">
        <f>IF(_xlfn.XLOOKUP($J59,$B:$B,$C:$C)="CELC",P59,'ENE TECH'!M55)</f>
        <v>2.7934790058476091</v>
      </c>
      <c r="R59" s="6">
        <f>IF(_xlfn.XLOOKUP($J59,$B:$B,$C:$C)="CELC",Q59,'ENE TECH'!N55)</f>
        <v>2.45813383495071</v>
      </c>
      <c r="S59" s="6">
        <f>IF(_xlfn.XLOOKUP($J59,$B:$B,$C:$C)="CELC",R59,'ENE TECH'!O55)</f>
        <v>2.2074105592583528</v>
      </c>
      <c r="T59" s="6">
        <f>IF(_xlfn.XLOOKUP($J59,$B:$B,$C:$C)="CELC",S59,'ENE TECH'!P55)</f>
        <v>2.670910209603381</v>
      </c>
      <c r="U59" s="6">
        <f>IF(_xlfn.XLOOKUP($J59,$B:$B,$C:$C)="CELC",T59,'ENE TECH'!Q55)</f>
        <v>3.1189180446038129</v>
      </c>
      <c r="V59" s="6">
        <f>IF(_xlfn.XLOOKUP($J59,$B:$B,$C:$C)="CELC",U59,'ENE TECH'!R55)</f>
        <v>3.1323627485479322</v>
      </c>
      <c r="W59" s="6">
        <f>IF(_xlfn.XLOOKUP($J59,$B:$B,$C:$C)="CELC",V59,'ENE TECH'!S55)</f>
        <v>3.2623374518863151</v>
      </c>
      <c r="X59" s="6">
        <f>IF(_xlfn.XLOOKUP($J59,$B:$B,$C:$C)="CELC",W59,'ENE TECH'!T55)</f>
        <v>3.2623374518863151</v>
      </c>
      <c r="Y59" s="6">
        <f>IF(_xlfn.XLOOKUP($J59,$B:$B,$C:$C)="CELC",X59,'ENE TECH'!U55)</f>
        <v>3.2623374518863151</v>
      </c>
      <c r="Z59" s="6">
        <f>IF(_xlfn.XLOOKUP($J59,$B:$B,$C:$C)="CELC",Y59,'ENE TECH'!V55)</f>
        <v>3.2623374518863151</v>
      </c>
      <c r="AA59" s="6">
        <f>IF(_xlfn.XLOOKUP($J59,$B:$B,$C:$C)="CELC",Z59,'ENE TECH'!W55)</f>
        <v>3.2623374518863151</v>
      </c>
      <c r="AB59" s="6">
        <f>IF(_xlfn.XLOOKUP($J59,$B:$B,$C:$C)="CELC",AA59,'ENE TECH'!X55)</f>
        <v>3.2623374518863151</v>
      </c>
      <c r="AC59" s="6">
        <f>IF(_xlfn.XLOOKUP($J59,$B:$B,$C:$C)="CELC",AB59,'ENE TECH'!Y55)</f>
        <v>3.2623374518863151</v>
      </c>
      <c r="AD59" s="6">
        <f>IF(_xlfn.XLOOKUP($J59,$B:$B,$C:$C)="CELC",AC59,'ENE TECH'!Z55)</f>
        <v>3.2623374518863151</v>
      </c>
      <c r="AE59" s="6">
        <f>IF(_xlfn.XLOOKUP($J59,$B:$B,$C:$C)="CELC",AD59,'ENE TECH'!AA55)</f>
        <v>3.2623374518863151</v>
      </c>
      <c r="AF59" s="6">
        <f>IF(_xlfn.XLOOKUP($J59,$B:$B,$C:$C)="CELC",AE59,'ENE TECH'!AB55)</f>
        <v>3.2623374518863151</v>
      </c>
      <c r="AG59" s="6">
        <f>IF(_xlfn.XLOOKUP($J59,$B:$B,$C:$C)="CELC",AF59,'ENE TECH'!AC55)</f>
        <v>3.2623374518863151</v>
      </c>
    </row>
    <row r="60" spans="2:33" x14ac:dyDescent="0.25">
      <c r="B60" t="str">
        <f>Def_Tech!D71</f>
        <v>ELCRNG19</v>
      </c>
      <c r="C60" t="str">
        <f t="shared" si="4"/>
        <v>RNG</v>
      </c>
      <c r="D60" t="str">
        <f>Def_Comm!C58</f>
        <v>ELCRNG</v>
      </c>
      <c r="E60" t="s">
        <v>396</v>
      </c>
      <c r="F60">
        <v>1</v>
      </c>
      <c r="G60">
        <v>1</v>
      </c>
      <c r="J60" t="str">
        <f t="shared" si="5"/>
        <v>ELCRNG19</v>
      </c>
      <c r="K60" t="str">
        <f t="shared" si="6"/>
        <v/>
      </c>
      <c r="L60" s="6">
        <f>IF(_xlfn.XLOOKUP($J60,$B:$B,$C:$C)="CELC",'ENE TECH'!H56-5,'ENE TECH'!H56)</f>
        <v>6.5394850359661536</v>
      </c>
      <c r="M60" s="6">
        <f>IF(_xlfn.XLOOKUP($J60,$B:$B,$C:$C)="CELC",L60,'ENE TECH'!I56)</f>
        <v>4.6003178056934786</v>
      </c>
      <c r="N60" s="6">
        <f>IF(_xlfn.XLOOKUP($J60,$B:$B,$C:$C)="CELC",M60,'ENE TECH'!J56)</f>
        <v>8.5097708738683107</v>
      </c>
      <c r="O60" s="6">
        <f>IF(_xlfn.XLOOKUP($J60,$B:$B,$C:$C)="CELC",N60,'ENE TECH'!K56)</f>
        <v>9.1907908020890101</v>
      </c>
      <c r="P60" s="6">
        <f>IF(_xlfn.XLOOKUP($J60,$B:$B,$C:$C)="CELC",O60,'ENE TECH'!L56)</f>
        <v>7.1896006567767312</v>
      </c>
      <c r="Q60" s="6">
        <f>IF(_xlfn.XLOOKUP($J60,$B:$B,$C:$C)="CELC",P60,'ENE TECH'!M56)</f>
        <v>5.5869580116952173</v>
      </c>
      <c r="R60" s="6">
        <f>IF(_xlfn.XLOOKUP($J60,$B:$B,$C:$C)="CELC",Q60,'ENE TECH'!N56)</f>
        <v>4.9162676699014201</v>
      </c>
      <c r="S60" s="6">
        <f>IF(_xlfn.XLOOKUP($J60,$B:$B,$C:$C)="CELC",R60,'ENE TECH'!O56)</f>
        <v>4.4148211185167057</v>
      </c>
      <c r="T60" s="6">
        <f>IF(_xlfn.XLOOKUP($J60,$B:$B,$C:$C)="CELC",S60,'ENE TECH'!P56)</f>
        <v>5.3418204192067611</v>
      </c>
      <c r="U60" s="6">
        <f>IF(_xlfn.XLOOKUP($J60,$B:$B,$C:$C)="CELC",T60,'ENE TECH'!Q56)</f>
        <v>6.237836089207625</v>
      </c>
      <c r="V60" s="6">
        <f>IF(_xlfn.XLOOKUP($J60,$B:$B,$C:$C)="CELC",U60,'ENE TECH'!R56)</f>
        <v>6.2647254970958626</v>
      </c>
      <c r="W60" s="6">
        <f>IF(_xlfn.XLOOKUP($J60,$B:$B,$C:$C)="CELC",V60,'ENE TECH'!S56)</f>
        <v>6.5246749037726302</v>
      </c>
      <c r="X60" s="6">
        <f>IF(_xlfn.XLOOKUP($J60,$B:$B,$C:$C)="CELC",W60,'ENE TECH'!T56)</f>
        <v>6.5246749037726302</v>
      </c>
      <c r="Y60" s="6">
        <f>IF(_xlfn.XLOOKUP($J60,$B:$B,$C:$C)="CELC",X60,'ENE TECH'!U56)</f>
        <v>6.5246749037726302</v>
      </c>
      <c r="Z60" s="6">
        <f>IF(_xlfn.XLOOKUP($J60,$B:$B,$C:$C)="CELC",Y60,'ENE TECH'!V56)</f>
        <v>6.5246749037726302</v>
      </c>
      <c r="AA60" s="6">
        <f>IF(_xlfn.XLOOKUP($J60,$B:$B,$C:$C)="CELC",Z60,'ENE TECH'!W56)</f>
        <v>6.5246749037726302</v>
      </c>
      <c r="AB60" s="6">
        <f>IF(_xlfn.XLOOKUP($J60,$B:$B,$C:$C)="CELC",AA60,'ENE TECH'!X56)</f>
        <v>6.5246749037726302</v>
      </c>
      <c r="AC60" s="6">
        <f>IF(_xlfn.XLOOKUP($J60,$B:$B,$C:$C)="CELC",AB60,'ENE TECH'!Y56)</f>
        <v>6.5246749037726302</v>
      </c>
      <c r="AD60" s="6">
        <f>IF(_xlfn.XLOOKUP($J60,$B:$B,$C:$C)="CELC",AC60,'ENE TECH'!Z56)</f>
        <v>6.5246749037726302</v>
      </c>
      <c r="AE60" s="6">
        <f>IF(_xlfn.XLOOKUP($J60,$B:$B,$C:$C)="CELC",AD60,'ENE TECH'!AA56)</f>
        <v>6.5246749037726302</v>
      </c>
      <c r="AF60" s="6">
        <f>IF(_xlfn.XLOOKUP($J60,$B:$B,$C:$C)="CELC",AE60,'ENE TECH'!AB56)</f>
        <v>6.5246749037726302</v>
      </c>
      <c r="AG60" s="6">
        <f>IF(_xlfn.XLOOKUP($J60,$B:$B,$C:$C)="CELC",AF60,'ENE TECH'!AC56)</f>
        <v>6.5246749037726302</v>
      </c>
    </row>
    <row r="61" spans="2:33" x14ac:dyDescent="0.25">
      <c r="B61" t="str">
        <f>Def_Tech!D72</f>
        <v>ELCCOA19</v>
      </c>
      <c r="C61" t="str">
        <f t="shared" si="4"/>
        <v>COA</v>
      </c>
      <c r="D61" t="str">
        <f>Def_Comm!C59</f>
        <v>ELCCOA</v>
      </c>
      <c r="E61" t="s">
        <v>396</v>
      </c>
      <c r="F61">
        <v>1</v>
      </c>
      <c r="G61">
        <v>1</v>
      </c>
      <c r="J61" t="str">
        <f t="shared" si="5"/>
        <v>ELCCOA19</v>
      </c>
      <c r="K61" t="str">
        <f t="shared" si="6"/>
        <v/>
      </c>
      <c r="L61" s="6">
        <f>IF(_xlfn.XLOOKUP($J61,$B:$B,$C:$C)="CELC",'ENE TECH'!H57-5,'ENE TECH'!H57)</f>
        <v>2.5185854530410179</v>
      </c>
      <c r="M61" s="6">
        <f>IF(_xlfn.XLOOKUP($J61,$B:$B,$C:$C)="CELC",L61,'ENE TECH'!I57)</f>
        <v>2.267609484410229</v>
      </c>
      <c r="N61" s="6">
        <f>IF(_xlfn.XLOOKUP($J61,$B:$B,$C:$C)="CELC",M61,'ENE TECH'!J57)</f>
        <v>0</v>
      </c>
      <c r="O61" s="6">
        <f>IF(_xlfn.XLOOKUP($J61,$B:$B,$C:$C)="CELC",N61,'ENE TECH'!K57)</f>
        <v>0</v>
      </c>
      <c r="P61" s="6">
        <f>IF(_xlfn.XLOOKUP($J61,$B:$B,$C:$C)="CELC",O61,'ENE TECH'!L57)</f>
        <v>0</v>
      </c>
      <c r="Q61" s="6">
        <f>IF(_xlfn.XLOOKUP($J61,$B:$B,$C:$C)="CELC",P61,'ENE TECH'!M57)</f>
        <v>0</v>
      </c>
      <c r="R61" s="6">
        <f>IF(_xlfn.XLOOKUP($J61,$B:$B,$C:$C)="CELC",Q61,'ENE TECH'!N57)</f>
        <v>0</v>
      </c>
      <c r="S61" s="6">
        <f>IF(_xlfn.XLOOKUP($J61,$B:$B,$C:$C)="CELC",R61,'ENE TECH'!O57)</f>
        <v>0</v>
      </c>
      <c r="T61" s="6">
        <f>IF(_xlfn.XLOOKUP($J61,$B:$B,$C:$C)="CELC",S61,'ENE TECH'!P57)</f>
        <v>0</v>
      </c>
      <c r="U61" s="6">
        <f>IF(_xlfn.XLOOKUP($J61,$B:$B,$C:$C)="CELC",T61,'ENE TECH'!Q57)</f>
        <v>0</v>
      </c>
      <c r="V61" s="6">
        <f>IF(_xlfn.XLOOKUP($J61,$B:$B,$C:$C)="CELC",U61,'ENE TECH'!R57)</f>
        <v>0</v>
      </c>
      <c r="W61" s="6">
        <f>IF(_xlfn.XLOOKUP($J61,$B:$B,$C:$C)="CELC",V61,'ENE TECH'!S57)</f>
        <v>0</v>
      </c>
      <c r="X61" s="6">
        <f>IF(_xlfn.XLOOKUP($J61,$B:$B,$C:$C)="CELC",W61,'ENE TECH'!T57)</f>
        <v>0</v>
      </c>
      <c r="Y61" s="6">
        <f>IF(_xlfn.XLOOKUP($J61,$B:$B,$C:$C)="CELC",X61,'ENE TECH'!U57)</f>
        <v>0</v>
      </c>
      <c r="Z61" s="6">
        <f>IF(_xlfn.XLOOKUP($J61,$B:$B,$C:$C)="CELC",Y61,'ENE TECH'!V57)</f>
        <v>0</v>
      </c>
      <c r="AA61" s="6">
        <f>IF(_xlfn.XLOOKUP($J61,$B:$B,$C:$C)="CELC",Z61,'ENE TECH'!W57)</f>
        <v>0</v>
      </c>
      <c r="AB61" s="6">
        <f>IF(_xlfn.XLOOKUP($J61,$B:$B,$C:$C)="CELC",AA61,'ENE TECH'!X57)</f>
        <v>0</v>
      </c>
      <c r="AC61" s="6">
        <f>IF(_xlfn.XLOOKUP($J61,$B:$B,$C:$C)="CELC",AB61,'ENE TECH'!Y57)</f>
        <v>0</v>
      </c>
      <c r="AD61" s="6">
        <f>IF(_xlfn.XLOOKUP($J61,$B:$B,$C:$C)="CELC",AC61,'ENE TECH'!Z57)</f>
        <v>0</v>
      </c>
      <c r="AE61" s="6">
        <f>IF(_xlfn.XLOOKUP($J61,$B:$B,$C:$C)="CELC",AD61,'ENE TECH'!AA57)</f>
        <v>0</v>
      </c>
      <c r="AF61" s="6">
        <f>IF(_xlfn.XLOOKUP($J61,$B:$B,$C:$C)="CELC",AE61,'ENE TECH'!AB57)</f>
        <v>0</v>
      </c>
      <c r="AG61" s="6">
        <f>IF(_xlfn.XLOOKUP($J61,$B:$B,$C:$C)="CELC",AF61,'ENE TECH'!AC57)</f>
        <v>0</v>
      </c>
    </row>
    <row r="62" spans="2:33" x14ac:dyDescent="0.25">
      <c r="B62" t="str">
        <f>Def_Tech!D73</f>
        <v>ELCURN19</v>
      </c>
      <c r="C62" t="str">
        <f t="shared" si="4"/>
        <v>URN</v>
      </c>
      <c r="D62" t="str">
        <f>Def_Comm!C60</f>
        <v>ELCURN</v>
      </c>
      <c r="E62" t="s">
        <v>396</v>
      </c>
      <c r="F62">
        <v>1</v>
      </c>
      <c r="G62">
        <v>1</v>
      </c>
      <c r="J62" t="str">
        <f t="shared" si="5"/>
        <v>ELCURN19</v>
      </c>
      <c r="K62" t="str">
        <f t="shared" si="6"/>
        <v/>
      </c>
      <c r="L62" s="6">
        <f>IF(_xlfn.XLOOKUP($J62,$B:$B,$C:$C)="CELC",'ENE TECH'!H58-5,'ENE TECH'!H58)</f>
        <v>0.74011063751643957</v>
      </c>
      <c r="M62" s="6">
        <f>IF(_xlfn.XLOOKUP($J62,$B:$B,$C:$C)="CELC",L62,'ENE TECH'!I58)</f>
        <v>0.69438759331222322</v>
      </c>
      <c r="N62" s="6">
        <f>IF(_xlfn.XLOOKUP($J62,$B:$B,$C:$C)="CELC",M62,'ENE TECH'!J58)</f>
        <v>0.68592611577779838</v>
      </c>
      <c r="O62" s="6">
        <f>IF(_xlfn.XLOOKUP($J62,$B:$B,$C:$C)="CELC",N62,'ENE TECH'!K58)</f>
        <v>0.74081940974017213</v>
      </c>
      <c r="P62" s="6">
        <f>IF(_xlfn.XLOOKUP($J62,$B:$B,$C:$C)="CELC",O62,'ENE TECH'!L58)</f>
        <v>0.72661508306929301</v>
      </c>
      <c r="Q62" s="6">
        <f>IF(_xlfn.XLOOKUP($J62,$B:$B,$C:$C)="CELC",P62,'ENE TECH'!M58)</f>
        <v>0.72165822382837186</v>
      </c>
      <c r="R62" s="6">
        <f>IF(_xlfn.XLOOKUP($J62,$B:$B,$C:$C)="CELC",Q62,'ENE TECH'!N58)</f>
        <v>0.72826210686187742</v>
      </c>
      <c r="S62" s="6">
        <f>IF(_xlfn.XLOOKUP($J62,$B:$B,$C:$C)="CELC",R62,'ENE TECH'!O58)</f>
        <v>0.76817224765170378</v>
      </c>
      <c r="T62" s="6">
        <f>IF(_xlfn.XLOOKUP($J62,$B:$B,$C:$C)="CELC",S62,'ENE TECH'!P58)</f>
        <v>0.81843287665180864</v>
      </c>
      <c r="U62" s="6">
        <f>IF(_xlfn.XLOOKUP($J62,$B:$B,$C:$C)="CELC",T62,'ENE TECH'!Q58)</f>
        <v>0.86958934774034158</v>
      </c>
      <c r="V62" s="6">
        <f>IF(_xlfn.XLOOKUP($J62,$B:$B,$C:$C)="CELC",U62,'ENE TECH'!R58)</f>
        <v>0.91907449131387198</v>
      </c>
      <c r="W62" s="6">
        <f>IF(_xlfn.XLOOKUP($J62,$B:$B,$C:$C)="CELC",V62,'ENE TECH'!S58)</f>
        <v>0.96468476379297519</v>
      </c>
      <c r="X62" s="6">
        <f>IF(_xlfn.XLOOKUP($J62,$B:$B,$C:$C)="CELC",W62,'ENE TECH'!T58)</f>
        <v>0.96468476379297519</v>
      </c>
      <c r="Y62" s="6">
        <f>IF(_xlfn.XLOOKUP($J62,$B:$B,$C:$C)="CELC",X62,'ENE TECH'!U58)</f>
        <v>0.96468476379297519</v>
      </c>
      <c r="Z62" s="6">
        <f>IF(_xlfn.XLOOKUP($J62,$B:$B,$C:$C)="CELC",Y62,'ENE TECH'!V58)</f>
        <v>0.96468476379297519</v>
      </c>
      <c r="AA62" s="6">
        <f>IF(_xlfn.XLOOKUP($J62,$B:$B,$C:$C)="CELC",Z62,'ENE TECH'!W58)</f>
        <v>0.96468476379297519</v>
      </c>
      <c r="AB62" s="6">
        <f>IF(_xlfn.XLOOKUP($J62,$B:$B,$C:$C)="CELC",AA62,'ENE TECH'!X58)</f>
        <v>0.96468476379297519</v>
      </c>
      <c r="AC62" s="6">
        <f>IF(_xlfn.XLOOKUP($J62,$B:$B,$C:$C)="CELC",AB62,'ENE TECH'!Y58)</f>
        <v>0.96468476379297519</v>
      </c>
      <c r="AD62" s="6">
        <f>IF(_xlfn.XLOOKUP($J62,$B:$B,$C:$C)="CELC",AC62,'ENE TECH'!Z58)</f>
        <v>0.96468476379297519</v>
      </c>
      <c r="AE62" s="6">
        <f>IF(_xlfn.XLOOKUP($J62,$B:$B,$C:$C)="CELC",AD62,'ENE TECH'!AA58)</f>
        <v>0.96468476379297519</v>
      </c>
      <c r="AF62" s="6">
        <f>IF(_xlfn.XLOOKUP($J62,$B:$B,$C:$C)="CELC",AE62,'ENE TECH'!AB58)</f>
        <v>0.96468476379297519</v>
      </c>
      <c r="AG62" s="6">
        <f>IF(_xlfn.XLOOKUP($J62,$B:$B,$C:$C)="CELC",AF62,'ENE TECH'!AC58)</f>
        <v>0.96468476379297519</v>
      </c>
    </row>
    <row r="63" spans="2:33" x14ac:dyDescent="0.25">
      <c r="B63" t="str">
        <f>Def_Tech!D74</f>
        <v>ELCBIO19</v>
      </c>
      <c r="C63" t="str">
        <f t="shared" si="4"/>
        <v>BIO</v>
      </c>
      <c r="D63" t="str">
        <f>Def_Comm!C61</f>
        <v>ELCBIO</v>
      </c>
      <c r="E63" t="s">
        <v>396</v>
      </c>
      <c r="F63">
        <v>1</v>
      </c>
      <c r="G63">
        <v>1</v>
      </c>
      <c r="J63" t="str">
        <f t="shared" si="5"/>
        <v>ELCBIO19</v>
      </c>
      <c r="K63" t="str">
        <f t="shared" si="6"/>
        <v/>
      </c>
      <c r="L63" s="6">
        <f>IF(_xlfn.XLOOKUP($J63,$B:$B,$C:$C)="CELC",'ENE TECH'!H59-5,'ENE TECH'!H59)</f>
        <v>5.0371709060820358</v>
      </c>
      <c r="M63" s="6">
        <f>IF(_xlfn.XLOOKUP($J63,$B:$B,$C:$C)="CELC",L63,'ENE TECH'!I59)</f>
        <v>4.5352189688204572</v>
      </c>
      <c r="N63" s="6">
        <f>IF(_xlfn.XLOOKUP($J63,$B:$B,$C:$C)="CELC",M63,'ENE TECH'!J59)</f>
        <v>0</v>
      </c>
      <c r="O63" s="6">
        <f>IF(_xlfn.XLOOKUP($J63,$B:$B,$C:$C)="CELC",N63,'ENE TECH'!K59)</f>
        <v>0</v>
      </c>
      <c r="P63" s="6">
        <f>IF(_xlfn.XLOOKUP($J63,$B:$B,$C:$C)="CELC",O63,'ENE TECH'!L59)</f>
        <v>0</v>
      </c>
      <c r="Q63" s="6">
        <f>IF(_xlfn.XLOOKUP($J63,$B:$B,$C:$C)="CELC",P63,'ENE TECH'!M59)</f>
        <v>0</v>
      </c>
      <c r="R63" s="6">
        <f>IF(_xlfn.XLOOKUP($J63,$B:$B,$C:$C)="CELC",Q63,'ENE TECH'!N59)</f>
        <v>0</v>
      </c>
      <c r="S63" s="6">
        <f>IF(_xlfn.XLOOKUP($J63,$B:$B,$C:$C)="CELC",R63,'ENE TECH'!O59)</f>
        <v>0</v>
      </c>
      <c r="T63" s="6">
        <f>IF(_xlfn.XLOOKUP($J63,$B:$B,$C:$C)="CELC",S63,'ENE TECH'!P59)</f>
        <v>0</v>
      </c>
      <c r="U63" s="6">
        <f>IF(_xlfn.XLOOKUP($J63,$B:$B,$C:$C)="CELC",T63,'ENE TECH'!Q59)</f>
        <v>0</v>
      </c>
      <c r="V63" s="6">
        <f>IF(_xlfn.XLOOKUP($J63,$B:$B,$C:$C)="CELC",U63,'ENE TECH'!R59)</f>
        <v>0</v>
      </c>
      <c r="W63" s="6">
        <f>IF(_xlfn.XLOOKUP($J63,$B:$B,$C:$C)="CELC",V63,'ENE TECH'!S59)</f>
        <v>0</v>
      </c>
      <c r="X63" s="6">
        <f>IF(_xlfn.XLOOKUP($J63,$B:$B,$C:$C)="CELC",W63,'ENE TECH'!T59)</f>
        <v>0</v>
      </c>
      <c r="Y63" s="6">
        <f>IF(_xlfn.XLOOKUP($J63,$B:$B,$C:$C)="CELC",X63,'ENE TECH'!U59)</f>
        <v>0</v>
      </c>
      <c r="Z63" s="6">
        <f>IF(_xlfn.XLOOKUP($J63,$B:$B,$C:$C)="CELC",Y63,'ENE TECH'!V59)</f>
        <v>0</v>
      </c>
      <c r="AA63" s="6">
        <f>IF(_xlfn.XLOOKUP($J63,$B:$B,$C:$C)="CELC",Z63,'ENE TECH'!W59)</f>
        <v>0</v>
      </c>
      <c r="AB63" s="6">
        <f>IF(_xlfn.XLOOKUP($J63,$B:$B,$C:$C)="CELC",AA63,'ENE TECH'!X59)</f>
        <v>0</v>
      </c>
      <c r="AC63" s="6">
        <f>IF(_xlfn.XLOOKUP($J63,$B:$B,$C:$C)="CELC",AB63,'ENE TECH'!Y59)</f>
        <v>0</v>
      </c>
      <c r="AD63" s="6">
        <f>IF(_xlfn.XLOOKUP($J63,$B:$B,$C:$C)="CELC",AC63,'ENE TECH'!Z59)</f>
        <v>0</v>
      </c>
      <c r="AE63" s="6">
        <f>IF(_xlfn.XLOOKUP($J63,$B:$B,$C:$C)="CELC",AD63,'ENE TECH'!AA59)</f>
        <v>0</v>
      </c>
      <c r="AF63" s="6">
        <f>IF(_xlfn.XLOOKUP($J63,$B:$B,$C:$C)="CELC",AE63,'ENE TECH'!AB59)</f>
        <v>0</v>
      </c>
      <c r="AG63" s="6">
        <f>IF(_xlfn.XLOOKUP($J63,$B:$B,$C:$C)="CELC",AF63,'ENE TECH'!AC59)</f>
        <v>0</v>
      </c>
    </row>
    <row r="64" spans="2:33" x14ac:dyDescent="0.25">
      <c r="B64" t="str">
        <f>Def_Tech!D75</f>
        <v>ELCOTB19</v>
      </c>
      <c r="C64" t="str">
        <f t="shared" si="4"/>
        <v>OTB</v>
      </c>
      <c r="D64" t="str">
        <f>Def_Comm!C62</f>
        <v>ELCOTB</v>
      </c>
      <c r="E64" t="s">
        <v>396</v>
      </c>
      <c r="F64">
        <v>1</v>
      </c>
      <c r="G64">
        <v>1</v>
      </c>
      <c r="J64" t="str">
        <f t="shared" si="5"/>
        <v>ELCOTB19</v>
      </c>
      <c r="K64" t="str">
        <f t="shared" si="6"/>
        <v/>
      </c>
      <c r="L64" s="6">
        <f>IF(_xlfn.XLOOKUP($J64,$B:$B,$C:$C)="CELC",'ENE TECH'!H60-5,'ENE TECH'!H60)</f>
        <v>5.0371709060820358</v>
      </c>
      <c r="M64" s="6">
        <f>IF(_xlfn.XLOOKUP($J64,$B:$B,$C:$C)="CELC",L64,'ENE TECH'!I60)</f>
        <v>4.5352189688204572</v>
      </c>
      <c r="N64" s="6">
        <f>IF(_xlfn.XLOOKUP($J64,$B:$B,$C:$C)="CELC",M64,'ENE TECH'!J60)</f>
        <v>0</v>
      </c>
      <c r="O64" s="6">
        <f>IF(_xlfn.XLOOKUP($J64,$B:$B,$C:$C)="CELC",N64,'ENE TECH'!K60)</f>
        <v>0</v>
      </c>
      <c r="P64" s="6">
        <f>IF(_xlfn.XLOOKUP($J64,$B:$B,$C:$C)="CELC",O64,'ENE TECH'!L60)</f>
        <v>0</v>
      </c>
      <c r="Q64" s="6">
        <f>IF(_xlfn.XLOOKUP($J64,$B:$B,$C:$C)="CELC",P64,'ENE TECH'!M60)</f>
        <v>0</v>
      </c>
      <c r="R64" s="6">
        <f>IF(_xlfn.XLOOKUP($J64,$B:$B,$C:$C)="CELC",Q64,'ENE TECH'!N60)</f>
        <v>0</v>
      </c>
      <c r="S64" s="6">
        <f>IF(_xlfn.XLOOKUP($J64,$B:$B,$C:$C)="CELC",R64,'ENE TECH'!O60)</f>
        <v>0</v>
      </c>
      <c r="T64" s="6">
        <f>IF(_xlfn.XLOOKUP($J64,$B:$B,$C:$C)="CELC",S64,'ENE TECH'!P60)</f>
        <v>0</v>
      </c>
      <c r="U64" s="6">
        <f>IF(_xlfn.XLOOKUP($J64,$B:$B,$C:$C)="CELC",T64,'ENE TECH'!Q60)</f>
        <v>0</v>
      </c>
      <c r="V64" s="6">
        <f>IF(_xlfn.XLOOKUP($J64,$B:$B,$C:$C)="CELC",U64,'ENE TECH'!R60)</f>
        <v>0</v>
      </c>
      <c r="W64" s="6">
        <f>IF(_xlfn.XLOOKUP($J64,$B:$B,$C:$C)="CELC",V64,'ENE TECH'!S60)</f>
        <v>0</v>
      </c>
      <c r="X64" s="6">
        <f>IF(_xlfn.XLOOKUP($J64,$B:$B,$C:$C)="CELC",W64,'ENE TECH'!T60)</f>
        <v>0</v>
      </c>
      <c r="Y64" s="6">
        <f>IF(_xlfn.XLOOKUP($J64,$B:$B,$C:$C)="CELC",X64,'ENE TECH'!U60)</f>
        <v>0</v>
      </c>
      <c r="Z64" s="6">
        <f>IF(_xlfn.XLOOKUP($J64,$B:$B,$C:$C)="CELC",Y64,'ENE TECH'!V60)</f>
        <v>0</v>
      </c>
      <c r="AA64" s="6">
        <f>IF(_xlfn.XLOOKUP($J64,$B:$B,$C:$C)="CELC",Z64,'ENE TECH'!W60)</f>
        <v>0</v>
      </c>
      <c r="AB64" s="6">
        <f>IF(_xlfn.XLOOKUP($J64,$B:$B,$C:$C)="CELC",AA64,'ENE TECH'!X60)</f>
        <v>0</v>
      </c>
      <c r="AC64" s="6">
        <f>IF(_xlfn.XLOOKUP($J64,$B:$B,$C:$C)="CELC",AB64,'ENE TECH'!Y60)</f>
        <v>0</v>
      </c>
      <c r="AD64" s="6">
        <f>IF(_xlfn.XLOOKUP($J64,$B:$B,$C:$C)="CELC",AC64,'ENE TECH'!Z60)</f>
        <v>0</v>
      </c>
      <c r="AE64" s="6">
        <f>IF(_xlfn.XLOOKUP($J64,$B:$B,$C:$C)="CELC",AD64,'ENE TECH'!AA60)</f>
        <v>0</v>
      </c>
      <c r="AF64" s="6">
        <f>IF(_xlfn.XLOOKUP($J64,$B:$B,$C:$C)="CELC",AE64,'ENE TECH'!AB60)</f>
        <v>0</v>
      </c>
      <c r="AG64" s="6">
        <f>IF(_xlfn.XLOOKUP($J64,$B:$B,$C:$C)="CELC",AF64,'ENE TECH'!AC60)</f>
        <v>0</v>
      </c>
    </row>
    <row r="65" spans="2:33" x14ac:dyDescent="0.25">
      <c r="B65" t="str">
        <f>Def_Tech!D76</f>
        <v>ELCWAS19</v>
      </c>
      <c r="C65" t="str">
        <f t="shared" si="4"/>
        <v>WAS</v>
      </c>
      <c r="D65" t="str">
        <f>Def_Comm!C63</f>
        <v>ELCWAS</v>
      </c>
      <c r="E65" t="s">
        <v>396</v>
      </c>
      <c r="F65">
        <v>1</v>
      </c>
      <c r="G65">
        <v>1</v>
      </c>
      <c r="J65" t="str">
        <f t="shared" si="5"/>
        <v>ELCWAS19</v>
      </c>
      <c r="K65" t="str">
        <f t="shared" si="6"/>
        <v/>
      </c>
      <c r="L65" s="6">
        <f>IF(_xlfn.XLOOKUP($J65,$B:$B,$C:$C)="CELC",'ENE TECH'!H61-5,'ENE TECH'!H61)</f>
        <v>2.5185854530410179</v>
      </c>
      <c r="M65" s="6">
        <f>IF(_xlfn.XLOOKUP($J65,$B:$B,$C:$C)="CELC",L65,'ENE TECH'!I61)</f>
        <v>2.267609484410229</v>
      </c>
      <c r="N65" s="6">
        <f>IF(_xlfn.XLOOKUP($J65,$B:$B,$C:$C)="CELC",M65,'ENE TECH'!J61)</f>
        <v>0</v>
      </c>
      <c r="O65" s="6">
        <f>IF(_xlfn.XLOOKUP($J65,$B:$B,$C:$C)="CELC",N65,'ENE TECH'!K61)</f>
        <v>0</v>
      </c>
      <c r="P65" s="6">
        <f>IF(_xlfn.XLOOKUP($J65,$B:$B,$C:$C)="CELC",O65,'ENE TECH'!L61)</f>
        <v>0</v>
      </c>
      <c r="Q65" s="6">
        <f>IF(_xlfn.XLOOKUP($J65,$B:$B,$C:$C)="CELC",P65,'ENE TECH'!M61)</f>
        <v>0</v>
      </c>
      <c r="R65" s="6">
        <f>IF(_xlfn.XLOOKUP($J65,$B:$B,$C:$C)="CELC",Q65,'ENE TECH'!N61)</f>
        <v>0</v>
      </c>
      <c r="S65" s="6">
        <f>IF(_xlfn.XLOOKUP($J65,$B:$B,$C:$C)="CELC",R65,'ENE TECH'!O61)</f>
        <v>0</v>
      </c>
      <c r="T65" s="6">
        <f>IF(_xlfn.XLOOKUP($J65,$B:$B,$C:$C)="CELC",S65,'ENE TECH'!P61)</f>
        <v>0</v>
      </c>
      <c r="U65" s="6">
        <f>IF(_xlfn.XLOOKUP($J65,$B:$B,$C:$C)="CELC",T65,'ENE TECH'!Q61)</f>
        <v>0</v>
      </c>
      <c r="V65" s="6">
        <f>IF(_xlfn.XLOOKUP($J65,$B:$B,$C:$C)="CELC",U65,'ENE TECH'!R61)</f>
        <v>0</v>
      </c>
      <c r="W65" s="6">
        <f>IF(_xlfn.XLOOKUP($J65,$B:$B,$C:$C)="CELC",V65,'ENE TECH'!S61)</f>
        <v>0</v>
      </c>
      <c r="X65" s="6">
        <f>IF(_xlfn.XLOOKUP($J65,$B:$B,$C:$C)="CELC",W65,'ENE TECH'!T61)</f>
        <v>0</v>
      </c>
      <c r="Y65" s="6">
        <f>IF(_xlfn.XLOOKUP($J65,$B:$B,$C:$C)="CELC",X65,'ENE TECH'!U61)</f>
        <v>0</v>
      </c>
      <c r="Z65" s="6">
        <f>IF(_xlfn.XLOOKUP($J65,$B:$B,$C:$C)="CELC",Y65,'ENE TECH'!V61)</f>
        <v>0</v>
      </c>
      <c r="AA65" s="6">
        <f>IF(_xlfn.XLOOKUP($J65,$B:$B,$C:$C)="CELC",Z65,'ENE TECH'!W61)</f>
        <v>0</v>
      </c>
      <c r="AB65" s="6">
        <f>IF(_xlfn.XLOOKUP($J65,$B:$B,$C:$C)="CELC",AA65,'ENE TECH'!X61)</f>
        <v>0</v>
      </c>
      <c r="AC65" s="6">
        <f>IF(_xlfn.XLOOKUP($J65,$B:$B,$C:$C)="CELC",AB65,'ENE TECH'!Y61)</f>
        <v>0</v>
      </c>
      <c r="AD65" s="6">
        <f>IF(_xlfn.XLOOKUP($J65,$B:$B,$C:$C)="CELC",AC65,'ENE TECH'!Z61)</f>
        <v>0</v>
      </c>
      <c r="AE65" s="6">
        <f>IF(_xlfn.XLOOKUP($J65,$B:$B,$C:$C)="CELC",AD65,'ENE TECH'!AA61)</f>
        <v>0</v>
      </c>
      <c r="AF65" s="6">
        <f>IF(_xlfn.XLOOKUP($J65,$B:$B,$C:$C)="CELC",AE65,'ENE TECH'!AB61)</f>
        <v>0</v>
      </c>
      <c r="AG65" s="6">
        <f>IF(_xlfn.XLOOKUP($J65,$B:$B,$C:$C)="CELC",AF65,'ENE TECH'!AC61)</f>
        <v>0</v>
      </c>
    </row>
    <row r="66" spans="2:33" x14ac:dyDescent="0.25">
      <c r="B66" t="str">
        <f>Def_Tech!D77</f>
        <v>ELCHET19</v>
      </c>
      <c r="C66" t="str">
        <f t="shared" si="4"/>
        <v>HET</v>
      </c>
      <c r="D66" t="str">
        <f>Def_Comm!C64</f>
        <v>ELCHET</v>
      </c>
      <c r="E66" t="s">
        <v>396</v>
      </c>
      <c r="F66">
        <v>1</v>
      </c>
      <c r="G66">
        <v>1</v>
      </c>
      <c r="J66" t="str">
        <f t="shared" si="5"/>
        <v>ELCHET19</v>
      </c>
      <c r="K66" t="str">
        <f t="shared" si="6"/>
        <v/>
      </c>
      <c r="L66" s="6">
        <f>IF(_xlfn.XLOOKUP($J66,$B:$B,$C:$C)="CELC",'ENE TECH'!H62-5,'ENE TECH'!H62)</f>
        <v>2.5185854530410179</v>
      </c>
      <c r="M66" s="6">
        <f>IF(_xlfn.XLOOKUP($J66,$B:$B,$C:$C)="CELC",L66,'ENE TECH'!I62)</f>
        <v>2.267609484410229</v>
      </c>
      <c r="N66" s="6">
        <f>IF(_xlfn.XLOOKUP($J66,$B:$B,$C:$C)="CELC",M66,'ENE TECH'!J62)</f>
        <v>0</v>
      </c>
      <c r="O66" s="6">
        <f>IF(_xlfn.XLOOKUP($J66,$B:$B,$C:$C)="CELC",N66,'ENE TECH'!K62)</f>
        <v>0</v>
      </c>
      <c r="P66" s="6">
        <f>IF(_xlfn.XLOOKUP($J66,$B:$B,$C:$C)="CELC",O66,'ENE TECH'!L62)</f>
        <v>0</v>
      </c>
      <c r="Q66" s="6">
        <f>IF(_xlfn.XLOOKUP($J66,$B:$B,$C:$C)="CELC",P66,'ENE TECH'!M62)</f>
        <v>0</v>
      </c>
      <c r="R66" s="6">
        <f>IF(_xlfn.XLOOKUP($J66,$B:$B,$C:$C)="CELC",Q66,'ENE TECH'!N62)</f>
        <v>0</v>
      </c>
      <c r="S66" s="6">
        <f>IF(_xlfn.XLOOKUP($J66,$B:$B,$C:$C)="CELC",R66,'ENE TECH'!O62)</f>
        <v>0</v>
      </c>
      <c r="T66" s="6">
        <f>IF(_xlfn.XLOOKUP($J66,$B:$B,$C:$C)="CELC",S66,'ENE TECH'!P62)</f>
        <v>0</v>
      </c>
      <c r="U66" s="6">
        <f>IF(_xlfn.XLOOKUP($J66,$B:$B,$C:$C)="CELC",T66,'ENE TECH'!Q62)</f>
        <v>0</v>
      </c>
      <c r="V66" s="6">
        <f>IF(_xlfn.XLOOKUP($J66,$B:$B,$C:$C)="CELC",U66,'ENE TECH'!R62)</f>
        <v>0</v>
      </c>
      <c r="W66" s="6">
        <f>IF(_xlfn.XLOOKUP($J66,$B:$B,$C:$C)="CELC",V66,'ENE TECH'!S62)</f>
        <v>0</v>
      </c>
      <c r="X66" s="6">
        <f>IF(_xlfn.XLOOKUP($J66,$B:$B,$C:$C)="CELC",W66,'ENE TECH'!T62)</f>
        <v>0</v>
      </c>
      <c r="Y66" s="6">
        <f>IF(_xlfn.XLOOKUP($J66,$B:$B,$C:$C)="CELC",X66,'ENE TECH'!U62)</f>
        <v>0</v>
      </c>
      <c r="Z66" s="6">
        <f>IF(_xlfn.XLOOKUP($J66,$B:$B,$C:$C)="CELC",Y66,'ENE TECH'!V62)</f>
        <v>0</v>
      </c>
      <c r="AA66" s="6">
        <f>IF(_xlfn.XLOOKUP($J66,$B:$B,$C:$C)="CELC",Z66,'ENE TECH'!W62)</f>
        <v>0</v>
      </c>
      <c r="AB66" s="6">
        <f>IF(_xlfn.XLOOKUP($J66,$B:$B,$C:$C)="CELC",AA66,'ENE TECH'!X62)</f>
        <v>0</v>
      </c>
      <c r="AC66" s="6">
        <f>IF(_xlfn.XLOOKUP($J66,$B:$B,$C:$C)="CELC",AB66,'ENE TECH'!Y62)</f>
        <v>0</v>
      </c>
      <c r="AD66" s="6">
        <f>IF(_xlfn.XLOOKUP($J66,$B:$B,$C:$C)="CELC",AC66,'ENE TECH'!Z62)</f>
        <v>0</v>
      </c>
      <c r="AE66" s="6">
        <f>IF(_xlfn.XLOOKUP($J66,$B:$B,$C:$C)="CELC",AD66,'ENE TECH'!AA62)</f>
        <v>0</v>
      </c>
      <c r="AF66" s="6">
        <f>IF(_xlfn.XLOOKUP($J66,$B:$B,$C:$C)="CELC",AE66,'ENE TECH'!AB62)</f>
        <v>0</v>
      </c>
      <c r="AG66" s="6">
        <f>IF(_xlfn.XLOOKUP($J66,$B:$B,$C:$C)="CELC",AF66,'ENE TECH'!AC62)</f>
        <v>0</v>
      </c>
    </row>
    <row r="67" spans="2:33" x14ac:dyDescent="0.25">
      <c r="B67" t="str">
        <f>Def_Tech!D78</f>
        <v>ELCSTM19</v>
      </c>
      <c r="C67" t="str">
        <f t="shared" si="4"/>
        <v>STM</v>
      </c>
      <c r="D67" t="str">
        <f>Def_Comm!C65</f>
        <v>ELCSTM</v>
      </c>
      <c r="E67" t="s">
        <v>396</v>
      </c>
      <c r="F67">
        <v>1</v>
      </c>
      <c r="G67">
        <v>1</v>
      </c>
      <c r="J67" t="str">
        <f t="shared" si="5"/>
        <v>ELCSTM19</v>
      </c>
      <c r="K67" t="str">
        <f t="shared" si="6"/>
        <v/>
      </c>
      <c r="L67" s="6">
        <f>IF(_xlfn.XLOOKUP($J67,$B:$B,$C:$C)="CELC",'ENE TECH'!H63-5,'ENE TECH'!H63)</f>
        <v>2.5185854530410179</v>
      </c>
      <c r="M67" s="6">
        <f>IF(_xlfn.XLOOKUP($J67,$B:$B,$C:$C)="CELC",L67,'ENE TECH'!I63)</f>
        <v>2.267609484410229</v>
      </c>
      <c r="N67" s="6">
        <f>IF(_xlfn.XLOOKUP($J67,$B:$B,$C:$C)="CELC",M67,'ENE TECH'!J63)</f>
        <v>0</v>
      </c>
      <c r="O67" s="6">
        <f>IF(_xlfn.XLOOKUP($J67,$B:$B,$C:$C)="CELC",N67,'ENE TECH'!K63)</f>
        <v>0</v>
      </c>
      <c r="P67" s="6">
        <f>IF(_xlfn.XLOOKUP($J67,$B:$B,$C:$C)="CELC",O67,'ENE TECH'!L63)</f>
        <v>0</v>
      </c>
      <c r="Q67" s="6">
        <f>IF(_xlfn.XLOOKUP($J67,$B:$B,$C:$C)="CELC",P67,'ENE TECH'!M63)</f>
        <v>0</v>
      </c>
      <c r="R67" s="6">
        <f>IF(_xlfn.XLOOKUP($J67,$B:$B,$C:$C)="CELC",Q67,'ENE TECH'!N63)</f>
        <v>0</v>
      </c>
      <c r="S67" s="6">
        <f>IF(_xlfn.XLOOKUP($J67,$B:$B,$C:$C)="CELC",R67,'ENE TECH'!O63)</f>
        <v>0</v>
      </c>
      <c r="T67" s="6">
        <f>IF(_xlfn.XLOOKUP($J67,$B:$B,$C:$C)="CELC",S67,'ENE TECH'!P63)</f>
        <v>0</v>
      </c>
      <c r="U67" s="6">
        <f>IF(_xlfn.XLOOKUP($J67,$B:$B,$C:$C)="CELC",T67,'ENE TECH'!Q63)</f>
        <v>0</v>
      </c>
      <c r="V67" s="6">
        <f>IF(_xlfn.XLOOKUP($J67,$B:$B,$C:$C)="CELC",U67,'ENE TECH'!R63)</f>
        <v>0</v>
      </c>
      <c r="W67" s="6">
        <f>IF(_xlfn.XLOOKUP($J67,$B:$B,$C:$C)="CELC",V67,'ENE TECH'!S63)</f>
        <v>0</v>
      </c>
      <c r="X67" s="6">
        <f>IF(_xlfn.XLOOKUP($J67,$B:$B,$C:$C)="CELC",W67,'ENE TECH'!T63)</f>
        <v>0</v>
      </c>
      <c r="Y67" s="6">
        <f>IF(_xlfn.XLOOKUP($J67,$B:$B,$C:$C)="CELC",X67,'ENE TECH'!U63)</f>
        <v>0</v>
      </c>
      <c r="Z67" s="6">
        <f>IF(_xlfn.XLOOKUP($J67,$B:$B,$C:$C)="CELC",Y67,'ENE TECH'!V63)</f>
        <v>0</v>
      </c>
      <c r="AA67" s="6">
        <f>IF(_xlfn.XLOOKUP($J67,$B:$B,$C:$C)="CELC",Z67,'ENE TECH'!W63)</f>
        <v>0</v>
      </c>
      <c r="AB67" s="6">
        <f>IF(_xlfn.XLOOKUP($J67,$B:$B,$C:$C)="CELC",AA67,'ENE TECH'!X63)</f>
        <v>0</v>
      </c>
      <c r="AC67" s="6">
        <f>IF(_xlfn.XLOOKUP($J67,$B:$B,$C:$C)="CELC",AB67,'ENE TECH'!Y63)</f>
        <v>0</v>
      </c>
      <c r="AD67" s="6">
        <f>IF(_xlfn.XLOOKUP($J67,$B:$B,$C:$C)="CELC",AC67,'ENE TECH'!Z63)</f>
        <v>0</v>
      </c>
      <c r="AE67" s="6">
        <f>IF(_xlfn.XLOOKUP($J67,$B:$B,$C:$C)="CELC",AD67,'ENE TECH'!AA63)</f>
        <v>0</v>
      </c>
      <c r="AF67" s="6">
        <f>IF(_xlfn.XLOOKUP($J67,$B:$B,$C:$C)="CELC",AE67,'ENE TECH'!AB63)</f>
        <v>0</v>
      </c>
      <c r="AG67" s="6">
        <f>IF(_xlfn.XLOOKUP($J67,$B:$B,$C:$C)="CELC",AF67,'ENE TECH'!AC63)</f>
        <v>0</v>
      </c>
    </row>
    <row r="68" spans="2:33" x14ac:dyDescent="0.25">
      <c r="B68" t="str">
        <f>Def_Tech!D79</f>
        <v>ELCGEO19</v>
      </c>
      <c r="C68" t="str">
        <f t="shared" si="4"/>
        <v>GEO</v>
      </c>
      <c r="D68" t="str">
        <f>Def_Comm!C66</f>
        <v>ELCGEO</v>
      </c>
      <c r="E68" t="s">
        <v>396</v>
      </c>
      <c r="F68">
        <v>1</v>
      </c>
      <c r="G68">
        <v>1</v>
      </c>
      <c r="J68" t="str">
        <f t="shared" si="5"/>
        <v>ELCGEO19</v>
      </c>
      <c r="K68" t="str">
        <f t="shared" si="6"/>
        <v/>
      </c>
      <c r="L68" s="6">
        <f>IF(_xlfn.XLOOKUP($J68,$B:$B,$C:$C)="CELC",'ENE TECH'!H64-5,'ENE TECH'!H64)</f>
        <v>0</v>
      </c>
      <c r="M68" s="6">
        <f>IF(_xlfn.XLOOKUP($J68,$B:$B,$C:$C)="CELC",L68,'ENE TECH'!I64)</f>
        <v>0</v>
      </c>
      <c r="N68" s="6">
        <f>IF(_xlfn.XLOOKUP($J68,$B:$B,$C:$C)="CELC",M68,'ENE TECH'!J64)</f>
        <v>0</v>
      </c>
      <c r="O68" s="6">
        <f>IF(_xlfn.XLOOKUP($J68,$B:$B,$C:$C)="CELC",N68,'ENE TECH'!K64)</f>
        <v>0</v>
      </c>
      <c r="P68" s="6">
        <f>IF(_xlfn.XLOOKUP($J68,$B:$B,$C:$C)="CELC",O68,'ENE TECH'!L64)</f>
        <v>0</v>
      </c>
      <c r="Q68" s="6">
        <f>IF(_xlfn.XLOOKUP($J68,$B:$B,$C:$C)="CELC",P68,'ENE TECH'!M64)</f>
        <v>0</v>
      </c>
      <c r="R68" s="6">
        <f>IF(_xlfn.XLOOKUP($J68,$B:$B,$C:$C)="CELC",Q68,'ENE TECH'!N64)</f>
        <v>0</v>
      </c>
      <c r="S68" s="6">
        <f>IF(_xlfn.XLOOKUP($J68,$B:$B,$C:$C)="CELC",R68,'ENE TECH'!O64)</f>
        <v>0</v>
      </c>
      <c r="T68" s="6">
        <f>IF(_xlfn.XLOOKUP($J68,$B:$B,$C:$C)="CELC",S68,'ENE TECH'!P64)</f>
        <v>0</v>
      </c>
      <c r="U68" s="6">
        <f>IF(_xlfn.XLOOKUP($J68,$B:$B,$C:$C)="CELC",T68,'ENE TECH'!Q64)</f>
        <v>0</v>
      </c>
      <c r="V68" s="6">
        <f>IF(_xlfn.XLOOKUP($J68,$B:$B,$C:$C)="CELC",U68,'ENE TECH'!R64)</f>
        <v>0</v>
      </c>
      <c r="W68" s="6">
        <f>IF(_xlfn.XLOOKUP($J68,$B:$B,$C:$C)="CELC",V68,'ENE TECH'!S64)</f>
        <v>0</v>
      </c>
      <c r="X68" s="6">
        <f>IF(_xlfn.XLOOKUP($J68,$B:$B,$C:$C)="CELC",W68,'ENE TECH'!T64)</f>
        <v>0</v>
      </c>
      <c r="Y68" s="6">
        <f>IF(_xlfn.XLOOKUP($J68,$B:$B,$C:$C)="CELC",X68,'ENE TECH'!U64)</f>
        <v>0</v>
      </c>
      <c r="Z68" s="6">
        <f>IF(_xlfn.XLOOKUP($J68,$B:$B,$C:$C)="CELC",Y68,'ENE TECH'!V64)</f>
        <v>0</v>
      </c>
      <c r="AA68" s="6">
        <f>IF(_xlfn.XLOOKUP($J68,$B:$B,$C:$C)="CELC",Z68,'ENE TECH'!W64)</f>
        <v>0</v>
      </c>
      <c r="AB68" s="6">
        <f>IF(_xlfn.XLOOKUP($J68,$B:$B,$C:$C)="CELC",AA68,'ENE TECH'!X64)</f>
        <v>0</v>
      </c>
      <c r="AC68" s="6">
        <f>IF(_xlfn.XLOOKUP($J68,$B:$B,$C:$C)="CELC",AB68,'ENE TECH'!Y64)</f>
        <v>0</v>
      </c>
      <c r="AD68" s="6">
        <f>IF(_xlfn.XLOOKUP($J68,$B:$B,$C:$C)="CELC",AC68,'ENE TECH'!Z64)</f>
        <v>0</v>
      </c>
      <c r="AE68" s="6">
        <f>IF(_xlfn.XLOOKUP($J68,$B:$B,$C:$C)="CELC",AD68,'ENE TECH'!AA64)</f>
        <v>0</v>
      </c>
      <c r="AF68" s="6">
        <f>IF(_xlfn.XLOOKUP($J68,$B:$B,$C:$C)="CELC",AE68,'ENE TECH'!AB64)</f>
        <v>0</v>
      </c>
      <c r="AG68" s="6">
        <f>IF(_xlfn.XLOOKUP($J68,$B:$B,$C:$C)="CELC",AF68,'ENE TECH'!AC64)</f>
        <v>0</v>
      </c>
    </row>
    <row r="69" spans="2:33" x14ac:dyDescent="0.25">
      <c r="B69" t="str">
        <f>Def_Tech!D80</f>
        <v>ELCWND19</v>
      </c>
      <c r="C69" t="str">
        <f t="shared" si="4"/>
        <v>WND</v>
      </c>
      <c r="D69" t="str">
        <f>Def_Comm!C67</f>
        <v>ELCWND</v>
      </c>
      <c r="E69" t="s">
        <v>396</v>
      </c>
      <c r="F69">
        <v>1</v>
      </c>
      <c r="G69">
        <v>1</v>
      </c>
      <c r="J69" t="str">
        <f t="shared" si="5"/>
        <v>ELCWND19</v>
      </c>
      <c r="K69" t="str">
        <f t="shared" si="6"/>
        <v/>
      </c>
      <c r="L69" s="6">
        <f>IF(_xlfn.XLOOKUP($J69,$B:$B,$C:$C)="CELC",'ENE TECH'!H65-5,'ENE TECH'!H65)</f>
        <v>0</v>
      </c>
      <c r="M69" s="6">
        <f>IF(_xlfn.XLOOKUP($J69,$B:$B,$C:$C)="CELC",L69,'ENE TECH'!I65)</f>
        <v>0</v>
      </c>
      <c r="N69" s="6">
        <f>IF(_xlfn.XLOOKUP($J69,$B:$B,$C:$C)="CELC",M69,'ENE TECH'!J65)</f>
        <v>0</v>
      </c>
      <c r="O69" s="6">
        <f>IF(_xlfn.XLOOKUP($J69,$B:$B,$C:$C)="CELC",N69,'ENE TECH'!K65)</f>
        <v>0</v>
      </c>
      <c r="P69" s="6">
        <f>IF(_xlfn.XLOOKUP($J69,$B:$B,$C:$C)="CELC",O69,'ENE TECH'!L65)</f>
        <v>0</v>
      </c>
      <c r="Q69" s="6">
        <f>IF(_xlfn.XLOOKUP($J69,$B:$B,$C:$C)="CELC",P69,'ENE TECH'!M65)</f>
        <v>0</v>
      </c>
      <c r="R69" s="6">
        <f>IF(_xlfn.XLOOKUP($J69,$B:$B,$C:$C)="CELC",Q69,'ENE TECH'!N65)</f>
        <v>0</v>
      </c>
      <c r="S69" s="6">
        <f>IF(_xlfn.XLOOKUP($J69,$B:$B,$C:$C)="CELC",R69,'ENE TECH'!O65)</f>
        <v>0</v>
      </c>
      <c r="T69" s="6">
        <f>IF(_xlfn.XLOOKUP($J69,$B:$B,$C:$C)="CELC",S69,'ENE TECH'!P65)</f>
        <v>0</v>
      </c>
      <c r="U69" s="6">
        <f>IF(_xlfn.XLOOKUP($J69,$B:$B,$C:$C)="CELC",T69,'ENE TECH'!Q65)</f>
        <v>0</v>
      </c>
      <c r="V69" s="6">
        <f>IF(_xlfn.XLOOKUP($J69,$B:$B,$C:$C)="CELC",U69,'ENE TECH'!R65)</f>
        <v>0</v>
      </c>
      <c r="W69" s="6">
        <f>IF(_xlfn.XLOOKUP($J69,$B:$B,$C:$C)="CELC",V69,'ENE TECH'!S65)</f>
        <v>0</v>
      </c>
      <c r="X69" s="6">
        <f>IF(_xlfn.XLOOKUP($J69,$B:$B,$C:$C)="CELC",W69,'ENE TECH'!T65)</f>
        <v>0</v>
      </c>
      <c r="Y69" s="6">
        <f>IF(_xlfn.XLOOKUP($J69,$B:$B,$C:$C)="CELC",X69,'ENE TECH'!U65)</f>
        <v>0</v>
      </c>
      <c r="Z69" s="6">
        <f>IF(_xlfn.XLOOKUP($J69,$B:$B,$C:$C)="CELC",Y69,'ENE TECH'!V65)</f>
        <v>0</v>
      </c>
      <c r="AA69" s="6">
        <f>IF(_xlfn.XLOOKUP($J69,$B:$B,$C:$C)="CELC",Z69,'ENE TECH'!W65)</f>
        <v>0</v>
      </c>
      <c r="AB69" s="6">
        <f>IF(_xlfn.XLOOKUP($J69,$B:$B,$C:$C)="CELC",AA69,'ENE TECH'!X65)</f>
        <v>0</v>
      </c>
      <c r="AC69" s="6">
        <f>IF(_xlfn.XLOOKUP($J69,$B:$B,$C:$C)="CELC",AB69,'ENE TECH'!Y65)</f>
        <v>0</v>
      </c>
      <c r="AD69" s="6">
        <f>IF(_xlfn.XLOOKUP($J69,$B:$B,$C:$C)="CELC",AC69,'ENE TECH'!Z65)</f>
        <v>0</v>
      </c>
      <c r="AE69" s="6">
        <f>IF(_xlfn.XLOOKUP($J69,$B:$B,$C:$C)="CELC",AD69,'ENE TECH'!AA65)</f>
        <v>0</v>
      </c>
      <c r="AF69" s="6">
        <f>IF(_xlfn.XLOOKUP($J69,$B:$B,$C:$C)="CELC",AE69,'ENE TECH'!AB65)</f>
        <v>0</v>
      </c>
      <c r="AG69" s="6">
        <f>IF(_xlfn.XLOOKUP($J69,$B:$B,$C:$C)="CELC",AF69,'ENE TECH'!AC65)</f>
        <v>0</v>
      </c>
    </row>
    <row r="70" spans="2:33" x14ac:dyDescent="0.25">
      <c r="B70" t="str">
        <f>Def_Tech!D81</f>
        <v>ELCHYD19</v>
      </c>
      <c r="C70" t="str">
        <f t="shared" si="4"/>
        <v>HYD</v>
      </c>
      <c r="D70" t="str">
        <f>Def_Comm!C68</f>
        <v>ELCHYD</v>
      </c>
      <c r="E70" t="s">
        <v>396</v>
      </c>
      <c r="F70">
        <v>1</v>
      </c>
      <c r="G70">
        <v>1</v>
      </c>
      <c r="J70" t="str">
        <f t="shared" si="5"/>
        <v>ELCHYD19</v>
      </c>
      <c r="K70" t="str">
        <f t="shared" si="6"/>
        <v/>
      </c>
      <c r="L70" s="6">
        <f>IF(_xlfn.XLOOKUP($J70,$B:$B,$C:$C)="CELC",'ENE TECH'!H66-5,'ENE TECH'!H66)</f>
        <v>0</v>
      </c>
      <c r="M70" s="6">
        <f>IF(_xlfn.XLOOKUP($J70,$B:$B,$C:$C)="CELC",L70,'ENE TECH'!I66)</f>
        <v>0</v>
      </c>
      <c r="N70" s="6">
        <f>IF(_xlfn.XLOOKUP($J70,$B:$B,$C:$C)="CELC",M70,'ENE TECH'!J66)</f>
        <v>0</v>
      </c>
      <c r="O70" s="6">
        <f>IF(_xlfn.XLOOKUP($J70,$B:$B,$C:$C)="CELC",N70,'ENE TECH'!K66)</f>
        <v>0</v>
      </c>
      <c r="P70" s="6">
        <f>IF(_xlfn.XLOOKUP($J70,$B:$B,$C:$C)="CELC",O70,'ENE TECH'!L66)</f>
        <v>0</v>
      </c>
      <c r="Q70" s="6">
        <f>IF(_xlfn.XLOOKUP($J70,$B:$B,$C:$C)="CELC",P70,'ENE TECH'!M66)</f>
        <v>0</v>
      </c>
      <c r="R70" s="6">
        <f>IF(_xlfn.XLOOKUP($J70,$B:$B,$C:$C)="CELC",Q70,'ENE TECH'!N66)</f>
        <v>0</v>
      </c>
      <c r="S70" s="6">
        <f>IF(_xlfn.XLOOKUP($J70,$B:$B,$C:$C)="CELC",R70,'ENE TECH'!O66)</f>
        <v>0</v>
      </c>
      <c r="T70" s="6">
        <f>IF(_xlfn.XLOOKUP($J70,$B:$B,$C:$C)="CELC",S70,'ENE TECH'!P66)</f>
        <v>0</v>
      </c>
      <c r="U70" s="6">
        <f>IF(_xlfn.XLOOKUP($J70,$B:$B,$C:$C)="CELC",T70,'ENE TECH'!Q66)</f>
        <v>0</v>
      </c>
      <c r="V70" s="6">
        <f>IF(_xlfn.XLOOKUP($J70,$B:$B,$C:$C)="CELC",U70,'ENE TECH'!R66)</f>
        <v>0</v>
      </c>
      <c r="W70" s="6">
        <f>IF(_xlfn.XLOOKUP($J70,$B:$B,$C:$C)="CELC",V70,'ENE TECH'!S66)</f>
        <v>0</v>
      </c>
      <c r="X70" s="6">
        <f>IF(_xlfn.XLOOKUP($J70,$B:$B,$C:$C)="CELC",W70,'ENE TECH'!T66)</f>
        <v>0</v>
      </c>
      <c r="Y70" s="6">
        <f>IF(_xlfn.XLOOKUP($J70,$B:$B,$C:$C)="CELC",X70,'ENE TECH'!U66)</f>
        <v>0</v>
      </c>
      <c r="Z70" s="6">
        <f>IF(_xlfn.XLOOKUP($J70,$B:$B,$C:$C)="CELC",Y70,'ENE TECH'!V66)</f>
        <v>0</v>
      </c>
      <c r="AA70" s="6">
        <f>IF(_xlfn.XLOOKUP($J70,$B:$B,$C:$C)="CELC",Z70,'ENE TECH'!W66)</f>
        <v>0</v>
      </c>
      <c r="AB70" s="6">
        <f>IF(_xlfn.XLOOKUP($J70,$B:$B,$C:$C)="CELC",AA70,'ENE TECH'!X66)</f>
        <v>0</v>
      </c>
      <c r="AC70" s="6">
        <f>IF(_xlfn.XLOOKUP($J70,$B:$B,$C:$C)="CELC",AB70,'ENE TECH'!Y66)</f>
        <v>0</v>
      </c>
      <c r="AD70" s="6">
        <f>IF(_xlfn.XLOOKUP($J70,$B:$B,$C:$C)="CELC",AC70,'ENE TECH'!Z66)</f>
        <v>0</v>
      </c>
      <c r="AE70" s="6">
        <f>IF(_xlfn.XLOOKUP($J70,$B:$B,$C:$C)="CELC",AD70,'ENE TECH'!AA66)</f>
        <v>0</v>
      </c>
      <c r="AF70" s="6">
        <f>IF(_xlfn.XLOOKUP($J70,$B:$B,$C:$C)="CELC",AE70,'ENE TECH'!AB66)</f>
        <v>0</v>
      </c>
      <c r="AG70" s="6">
        <f>IF(_xlfn.XLOOKUP($J70,$B:$B,$C:$C)="CELC",AF70,'ENE TECH'!AC66)</f>
        <v>0</v>
      </c>
    </row>
    <row r="71" spans="2:33" x14ac:dyDescent="0.25">
      <c r="B71" t="str">
        <f>Def_Tech!D82</f>
        <v>ELCSOL19</v>
      </c>
      <c r="C71" t="str">
        <f t="shared" ref="C71:C102" si="7">IF(OR(RIGHT(D71,LEN(D71)-3)="ELC",RIGHT(D71,LEN(D71)-3)="H2G"),"C"&amp;RIGHT(D71,LEN(D71)-3),RIGHT(D71,LEN(D71)-3))</f>
        <v>SOL</v>
      </c>
      <c r="D71" t="str">
        <f>Def_Comm!C69</f>
        <v>ELCSOL</v>
      </c>
      <c r="E71" t="s">
        <v>396</v>
      </c>
      <c r="F71">
        <v>1</v>
      </c>
      <c r="G71">
        <v>1</v>
      </c>
      <c r="J71" t="str">
        <f t="shared" ref="J71:J84" si="8">B71</f>
        <v>ELCSOL19</v>
      </c>
      <c r="K71" t="str">
        <f t="shared" si="6"/>
        <v/>
      </c>
      <c r="L71" s="6">
        <f>IF(_xlfn.XLOOKUP($J71,$B:$B,$C:$C)="CELC",'ENE TECH'!H67-5,'ENE TECH'!H67)</f>
        <v>0</v>
      </c>
      <c r="M71" s="6">
        <f>IF(_xlfn.XLOOKUP($J71,$B:$B,$C:$C)="CELC",L71,'ENE TECH'!I67)</f>
        <v>0</v>
      </c>
      <c r="N71" s="6">
        <f>IF(_xlfn.XLOOKUP($J71,$B:$B,$C:$C)="CELC",M71,'ENE TECH'!J67)</f>
        <v>0</v>
      </c>
      <c r="O71" s="6">
        <f>IF(_xlfn.XLOOKUP($J71,$B:$B,$C:$C)="CELC",N71,'ENE TECH'!K67)</f>
        <v>0</v>
      </c>
      <c r="P71" s="6">
        <f>IF(_xlfn.XLOOKUP($J71,$B:$B,$C:$C)="CELC",O71,'ENE TECH'!L67)</f>
        <v>0</v>
      </c>
      <c r="Q71" s="6">
        <f>IF(_xlfn.XLOOKUP($J71,$B:$B,$C:$C)="CELC",P71,'ENE TECH'!M67)</f>
        <v>0</v>
      </c>
      <c r="R71" s="6">
        <f>IF(_xlfn.XLOOKUP($J71,$B:$B,$C:$C)="CELC",Q71,'ENE TECH'!N67)</f>
        <v>0</v>
      </c>
      <c r="S71" s="6">
        <f>IF(_xlfn.XLOOKUP($J71,$B:$B,$C:$C)="CELC",R71,'ENE TECH'!O67)</f>
        <v>0</v>
      </c>
      <c r="T71" s="6">
        <f>IF(_xlfn.XLOOKUP($J71,$B:$B,$C:$C)="CELC",S71,'ENE TECH'!P67)</f>
        <v>0</v>
      </c>
      <c r="U71" s="6">
        <f>IF(_xlfn.XLOOKUP($J71,$B:$B,$C:$C)="CELC",T71,'ENE TECH'!Q67)</f>
        <v>0</v>
      </c>
      <c r="V71" s="6">
        <f>IF(_xlfn.XLOOKUP($J71,$B:$B,$C:$C)="CELC",U71,'ENE TECH'!R67)</f>
        <v>0</v>
      </c>
      <c r="W71" s="6">
        <f>IF(_xlfn.XLOOKUP($J71,$B:$B,$C:$C)="CELC",V71,'ENE TECH'!S67)</f>
        <v>0</v>
      </c>
      <c r="X71" s="6">
        <f>IF(_xlfn.XLOOKUP($J71,$B:$B,$C:$C)="CELC",W71,'ENE TECH'!T67)</f>
        <v>0</v>
      </c>
      <c r="Y71" s="6">
        <f>IF(_xlfn.XLOOKUP($J71,$B:$B,$C:$C)="CELC",X71,'ENE TECH'!U67)</f>
        <v>0</v>
      </c>
      <c r="Z71" s="6">
        <f>IF(_xlfn.XLOOKUP($J71,$B:$B,$C:$C)="CELC",Y71,'ENE TECH'!V67)</f>
        <v>0</v>
      </c>
      <c r="AA71" s="6">
        <f>IF(_xlfn.XLOOKUP($J71,$B:$B,$C:$C)="CELC",Z71,'ENE TECH'!W67)</f>
        <v>0</v>
      </c>
      <c r="AB71" s="6">
        <f>IF(_xlfn.XLOOKUP($J71,$B:$B,$C:$C)="CELC",AA71,'ENE TECH'!X67)</f>
        <v>0</v>
      </c>
      <c r="AC71" s="6">
        <f>IF(_xlfn.XLOOKUP($J71,$B:$B,$C:$C)="CELC",AB71,'ENE TECH'!Y67)</f>
        <v>0</v>
      </c>
      <c r="AD71" s="6">
        <f>IF(_xlfn.XLOOKUP($J71,$B:$B,$C:$C)="CELC",AC71,'ENE TECH'!Z67)</f>
        <v>0</v>
      </c>
      <c r="AE71" s="6">
        <f>IF(_xlfn.XLOOKUP($J71,$B:$B,$C:$C)="CELC",AD71,'ENE TECH'!AA67)</f>
        <v>0</v>
      </c>
      <c r="AF71" s="6">
        <f>IF(_xlfn.XLOOKUP($J71,$B:$B,$C:$C)="CELC",AE71,'ENE TECH'!AB67)</f>
        <v>0</v>
      </c>
      <c r="AG71" s="6">
        <f>IF(_xlfn.XLOOKUP($J71,$B:$B,$C:$C)="CELC",AF71,'ENE TECH'!AC67)</f>
        <v>0</v>
      </c>
    </row>
    <row r="72" spans="2:33" x14ac:dyDescent="0.25">
      <c r="B72" t="str">
        <f>Def_Tech!D83</f>
        <v>WASLPG19</v>
      </c>
      <c r="C72" t="str">
        <f t="shared" si="7"/>
        <v>LPG</v>
      </c>
      <c r="D72" t="str">
        <f>Def_Comm!C70</f>
        <v>WASLPG</v>
      </c>
      <c r="E72" t="s">
        <v>396</v>
      </c>
      <c r="F72">
        <v>1</v>
      </c>
      <c r="J72" t="str">
        <f t="shared" si="8"/>
        <v>WASLPG19</v>
      </c>
      <c r="K72" t="str">
        <f t="shared" si="6"/>
        <v/>
      </c>
      <c r="L72" s="6">
        <f>IF(_xlfn.XLOOKUP($J72,$B:$B,$C:$C)="CELC",'ENE TECH'!H68-5,'ENE TECH'!H68)</f>
        <v>15.144652000522971</v>
      </c>
      <c r="M72" s="6">
        <f>IF(_xlfn.XLOOKUP($J72,$B:$B,$C:$C)="CELC",L72,'ENE TECH'!I68)</f>
        <v>13.529708263442849</v>
      </c>
      <c r="N72" s="6">
        <f>IF(_xlfn.XLOOKUP($J72,$B:$B,$C:$C)="CELC",M72,'ENE TECH'!J68)</f>
        <v>22.453362696163861</v>
      </c>
      <c r="O72" s="6">
        <f>IF(_xlfn.XLOOKUP($J72,$B:$B,$C:$C)="CELC",N72,'ENE TECH'!K68)</f>
        <v>24.250260365713441</v>
      </c>
      <c r="P72" s="6">
        <f>IF(_xlfn.XLOOKUP($J72,$B:$B,$C:$C)="CELC",O72,'ENE TECH'!L68)</f>
        <v>21.481797480850251</v>
      </c>
      <c r="Q72" s="6">
        <f>IF(_xlfn.XLOOKUP($J72,$B:$B,$C:$C)="CELC",P72,'ENE TECH'!M68)</f>
        <v>19.26532088002514</v>
      </c>
      <c r="R72" s="6">
        <f>IF(_xlfn.XLOOKUP($J72,$B:$B,$C:$C)="CELC",Q72,'ENE TECH'!N68)</f>
        <v>17.113109475962059</v>
      </c>
      <c r="S72" s="6">
        <f>IF(_xlfn.XLOOKUP($J72,$B:$B,$C:$C)="CELC",R72,'ENE TECH'!O68)</f>
        <v>16.99591592028381</v>
      </c>
      <c r="T72" s="6">
        <f>IF(_xlfn.XLOOKUP($J72,$B:$B,$C:$C)="CELC",S72,'ENE TECH'!P68)</f>
        <v>20.560587519532969</v>
      </c>
      <c r="U72" s="6">
        <f>IF(_xlfn.XLOOKUP($J72,$B:$B,$C:$C)="CELC",T72,'ENE TECH'!Q68)</f>
        <v>23.160107164160792</v>
      </c>
      <c r="V72" s="6">
        <f>IF(_xlfn.XLOOKUP($J72,$B:$B,$C:$C)="CELC",U72,'ENE TECH'!R68)</f>
        <v>25.22769456365122</v>
      </c>
      <c r="W72" s="6">
        <f>IF(_xlfn.XLOOKUP($J72,$B:$B,$C:$C)="CELC",V72,'ENE TECH'!S68)</f>
        <v>26.66727181846386</v>
      </c>
      <c r="X72" s="6">
        <f>IF(_xlfn.XLOOKUP($J72,$B:$B,$C:$C)="CELC",W72,'ENE TECH'!T68)</f>
        <v>26.66727181846386</v>
      </c>
      <c r="Y72" s="6">
        <f>IF(_xlfn.XLOOKUP($J72,$B:$B,$C:$C)="CELC",X72,'ENE TECH'!U68)</f>
        <v>26.66727181846386</v>
      </c>
      <c r="Z72" s="6">
        <f>IF(_xlfn.XLOOKUP($J72,$B:$B,$C:$C)="CELC",Y72,'ENE TECH'!V68)</f>
        <v>26.66727181846386</v>
      </c>
      <c r="AA72" s="6">
        <f>IF(_xlfn.XLOOKUP($J72,$B:$B,$C:$C)="CELC",Z72,'ENE TECH'!W68)</f>
        <v>26.66727181846386</v>
      </c>
      <c r="AB72" s="6">
        <f>IF(_xlfn.XLOOKUP($J72,$B:$B,$C:$C)="CELC",AA72,'ENE TECH'!X68)</f>
        <v>26.66727181846386</v>
      </c>
      <c r="AC72" s="6">
        <f>IF(_xlfn.XLOOKUP($J72,$B:$B,$C:$C)="CELC",AB72,'ENE TECH'!Y68)</f>
        <v>26.66727181846386</v>
      </c>
      <c r="AD72" s="6">
        <f>IF(_xlfn.XLOOKUP($J72,$B:$B,$C:$C)="CELC",AC72,'ENE TECH'!Z68)</f>
        <v>26.66727181846386</v>
      </c>
      <c r="AE72" s="6">
        <f>IF(_xlfn.XLOOKUP($J72,$B:$B,$C:$C)="CELC",AD72,'ENE TECH'!AA68)</f>
        <v>26.66727181846386</v>
      </c>
      <c r="AF72" s="6">
        <f>IF(_xlfn.XLOOKUP($J72,$B:$B,$C:$C)="CELC",AE72,'ENE TECH'!AB68)</f>
        <v>26.66727181846386</v>
      </c>
      <c r="AG72" s="6">
        <f>IF(_xlfn.XLOOKUP($J72,$B:$B,$C:$C)="CELC",AF72,'ENE TECH'!AC68)</f>
        <v>26.66727181846386</v>
      </c>
    </row>
    <row r="73" spans="2:33" x14ac:dyDescent="0.25">
      <c r="B73" t="str">
        <f>Def_Tech!D84</f>
        <v>WASDSL19</v>
      </c>
      <c r="C73" t="str">
        <f t="shared" si="7"/>
        <v>DSL</v>
      </c>
      <c r="D73" t="str">
        <f>Def_Comm!C71</f>
        <v>WASDSL</v>
      </c>
      <c r="E73" t="s">
        <v>396</v>
      </c>
      <c r="F73">
        <v>1</v>
      </c>
      <c r="J73" t="str">
        <f t="shared" si="8"/>
        <v>WASDSL19</v>
      </c>
      <c r="K73" t="str">
        <f t="shared" si="6"/>
        <v/>
      </c>
      <c r="L73" s="6">
        <f>IF(_xlfn.XLOOKUP($J73,$B:$B,$C:$C)="CELC",'ENE TECH'!H69-5,'ENE TECH'!H69)</f>
        <v>16.205109033382339</v>
      </c>
      <c r="M73" s="6">
        <f>IF(_xlfn.XLOOKUP($J73,$B:$B,$C:$C)="CELC",L73,'ENE TECH'!I69)</f>
        <v>11.359747034342149</v>
      </c>
      <c r="N73" s="6">
        <f>IF(_xlfn.XLOOKUP($J73,$B:$B,$C:$C)="CELC",M73,'ENE TECH'!J69)</f>
        <v>15.42262000944144</v>
      </c>
      <c r="O73" s="6">
        <f>IF(_xlfn.XLOOKUP($J73,$B:$B,$C:$C)="CELC",N73,'ENE TECH'!K69)</f>
        <v>16.65686141587668</v>
      </c>
      <c r="P73" s="6">
        <f>IF(_xlfn.XLOOKUP($J73,$B:$B,$C:$C)="CELC",O73,'ENE TECH'!L69)</f>
        <v>15.2313309053818</v>
      </c>
      <c r="Q73" s="6">
        <f>IF(_xlfn.XLOOKUP($J73,$B:$B,$C:$C)="CELC",P73,'ENE TECH'!M69)</f>
        <v>14.040167994286531</v>
      </c>
      <c r="R73" s="6">
        <f>IF(_xlfn.XLOOKUP($J73,$B:$B,$C:$C)="CELC",Q73,'ENE TECH'!N69)</f>
        <v>12.70019889809025</v>
      </c>
      <c r="S73" s="6">
        <f>IF(_xlfn.XLOOKUP($J73,$B:$B,$C:$C)="CELC",R73,'ENE TECH'!O69)</f>
        <v>10.98037822826509</v>
      </c>
      <c r="T73" s="6">
        <f>IF(_xlfn.XLOOKUP($J73,$B:$B,$C:$C)="CELC",S73,'ENE TECH'!P69)</f>
        <v>11.82978757998092</v>
      </c>
      <c r="U73" s="6">
        <f>IF(_xlfn.XLOOKUP($J73,$B:$B,$C:$C)="CELC",T73,'ENE TECH'!Q69)</f>
        <v>12.81316817689917</v>
      </c>
      <c r="V73" s="6">
        <f>IF(_xlfn.XLOOKUP($J73,$B:$B,$C:$C)="CELC",U73,'ENE TECH'!R69)</f>
        <v>13.701334009009029</v>
      </c>
      <c r="W73" s="6">
        <f>IF(_xlfn.XLOOKUP($J73,$B:$B,$C:$C)="CELC",V73,'ENE TECH'!S69)</f>
        <v>14.4582687931834</v>
      </c>
      <c r="X73" s="6">
        <f>IF(_xlfn.XLOOKUP($J73,$B:$B,$C:$C)="CELC",W73,'ENE TECH'!T69)</f>
        <v>14.4582687931834</v>
      </c>
      <c r="Y73" s="6">
        <f>IF(_xlfn.XLOOKUP($J73,$B:$B,$C:$C)="CELC",X73,'ENE TECH'!U69)</f>
        <v>14.4582687931834</v>
      </c>
      <c r="Z73" s="6">
        <f>IF(_xlfn.XLOOKUP($J73,$B:$B,$C:$C)="CELC",Y73,'ENE TECH'!V69)</f>
        <v>14.4582687931834</v>
      </c>
      <c r="AA73" s="6">
        <f>IF(_xlfn.XLOOKUP($J73,$B:$B,$C:$C)="CELC",Z73,'ENE TECH'!W69)</f>
        <v>14.4582687931834</v>
      </c>
      <c r="AB73" s="6">
        <f>IF(_xlfn.XLOOKUP($J73,$B:$B,$C:$C)="CELC",AA73,'ENE TECH'!X69)</f>
        <v>14.4582687931834</v>
      </c>
      <c r="AC73" s="6">
        <f>IF(_xlfn.XLOOKUP($J73,$B:$B,$C:$C)="CELC",AB73,'ENE TECH'!Y69)</f>
        <v>14.4582687931834</v>
      </c>
      <c r="AD73" s="6">
        <f>IF(_xlfn.XLOOKUP($J73,$B:$B,$C:$C)="CELC",AC73,'ENE TECH'!Z69)</f>
        <v>14.4582687931834</v>
      </c>
      <c r="AE73" s="6">
        <f>IF(_xlfn.XLOOKUP($J73,$B:$B,$C:$C)="CELC",AD73,'ENE TECH'!AA69)</f>
        <v>14.4582687931834</v>
      </c>
      <c r="AF73" s="6">
        <f>IF(_xlfn.XLOOKUP($J73,$B:$B,$C:$C)="CELC",AE73,'ENE TECH'!AB69)</f>
        <v>14.4582687931834</v>
      </c>
      <c r="AG73" s="6">
        <f>IF(_xlfn.XLOOKUP($J73,$B:$B,$C:$C)="CELC",AF73,'ENE TECH'!AC69)</f>
        <v>14.4582687931834</v>
      </c>
    </row>
    <row r="74" spans="2:33" x14ac:dyDescent="0.25">
      <c r="B74" t="str">
        <f>Def_Tech!D85</f>
        <v>WASFOI19</v>
      </c>
      <c r="C74" t="str">
        <f t="shared" si="7"/>
        <v>FOI</v>
      </c>
      <c r="D74" t="str">
        <f>Def_Comm!C72</f>
        <v>WASFOI</v>
      </c>
      <c r="E74" t="s">
        <v>396</v>
      </c>
      <c r="F74">
        <v>1</v>
      </c>
      <c r="J74" t="str">
        <f t="shared" si="8"/>
        <v>WASFOI19</v>
      </c>
      <c r="K74" t="str">
        <f t="shared" si="6"/>
        <v/>
      </c>
      <c r="L74" s="6">
        <f>IF(_xlfn.XLOOKUP($J74,$B:$B,$C:$C)="CELC",'ENE TECH'!H70-5,'ENE TECH'!H70)</f>
        <v>10.803406022254901</v>
      </c>
      <c r="M74" s="6">
        <f>IF(_xlfn.XLOOKUP($J74,$B:$B,$C:$C)="CELC",L74,'ENE TECH'!I70)</f>
        <v>8.3760503443286929</v>
      </c>
      <c r="N74" s="6">
        <f>IF(_xlfn.XLOOKUP($J74,$B:$B,$C:$C)="CELC",M74,'ENE TECH'!J70)</f>
        <v>12.31451729732329</v>
      </c>
      <c r="O74" s="6">
        <f>IF(_xlfn.XLOOKUP($J74,$B:$B,$C:$C)="CELC",N74,'ENE TECH'!K70)</f>
        <v>13.300023465491529</v>
      </c>
      <c r="P74" s="6">
        <f>IF(_xlfn.XLOOKUP($J74,$B:$B,$C:$C)="CELC",O74,'ENE TECH'!L70)</f>
        <v>8.3058520131779208</v>
      </c>
      <c r="Q74" s="6">
        <f>IF(_xlfn.XLOOKUP($J74,$B:$B,$C:$C)="CELC",P74,'ENE TECH'!M70)</f>
        <v>9.8242711554048068</v>
      </c>
      <c r="R74" s="6">
        <f>IF(_xlfn.XLOOKUP($J74,$B:$B,$C:$C)="CELC",Q74,'ENE TECH'!N70)</f>
        <v>10.264384467441991</v>
      </c>
      <c r="S74" s="6">
        <f>IF(_xlfn.XLOOKUP($J74,$B:$B,$C:$C)="CELC",R74,'ENE TECH'!O70)</f>
        <v>15.911877844428449</v>
      </c>
      <c r="T74" s="6">
        <f>IF(_xlfn.XLOOKUP($J74,$B:$B,$C:$C)="CELC",S74,'ENE TECH'!P70)</f>
        <v>17.519001292651261</v>
      </c>
      <c r="U74" s="6">
        <f>IF(_xlfn.XLOOKUP($J74,$B:$B,$C:$C)="CELC",T74,'ENE TECH'!Q70)</f>
        <v>19.207624262464829</v>
      </c>
      <c r="V74" s="6">
        <f>IF(_xlfn.XLOOKUP($J74,$B:$B,$C:$C)="CELC",U74,'ENE TECH'!R70)</f>
        <v>20.805142293316191</v>
      </c>
      <c r="W74" s="6">
        <f>IF(_xlfn.XLOOKUP($J74,$B:$B,$C:$C)="CELC",V74,'ENE TECH'!S70)</f>
        <v>22.199438305906511</v>
      </c>
      <c r="X74" s="6">
        <f>IF(_xlfn.XLOOKUP($J74,$B:$B,$C:$C)="CELC",W74,'ENE TECH'!T70)</f>
        <v>22.199438305906511</v>
      </c>
      <c r="Y74" s="6">
        <f>IF(_xlfn.XLOOKUP($J74,$B:$B,$C:$C)="CELC",X74,'ENE TECH'!U70)</f>
        <v>22.199438305906511</v>
      </c>
      <c r="Z74" s="6">
        <f>IF(_xlfn.XLOOKUP($J74,$B:$B,$C:$C)="CELC",Y74,'ENE TECH'!V70)</f>
        <v>22.199438305906511</v>
      </c>
      <c r="AA74" s="6">
        <f>IF(_xlfn.XLOOKUP($J74,$B:$B,$C:$C)="CELC",Z74,'ENE TECH'!W70)</f>
        <v>22.199438305906511</v>
      </c>
      <c r="AB74" s="6">
        <f>IF(_xlfn.XLOOKUP($J74,$B:$B,$C:$C)="CELC",AA74,'ENE TECH'!X70)</f>
        <v>22.199438305906511</v>
      </c>
      <c r="AC74" s="6">
        <f>IF(_xlfn.XLOOKUP($J74,$B:$B,$C:$C)="CELC",AB74,'ENE TECH'!Y70)</f>
        <v>22.199438305906511</v>
      </c>
      <c r="AD74" s="6">
        <f>IF(_xlfn.XLOOKUP($J74,$B:$B,$C:$C)="CELC",AC74,'ENE TECH'!Z70)</f>
        <v>22.199438305906511</v>
      </c>
      <c r="AE74" s="6">
        <f>IF(_xlfn.XLOOKUP($J74,$B:$B,$C:$C)="CELC",AD74,'ENE TECH'!AA70)</f>
        <v>22.199438305906511</v>
      </c>
      <c r="AF74" s="6">
        <f>IF(_xlfn.XLOOKUP($J74,$B:$B,$C:$C)="CELC",AE74,'ENE TECH'!AB70)</f>
        <v>22.199438305906511</v>
      </c>
      <c r="AG74" s="6">
        <f>IF(_xlfn.XLOOKUP($J74,$B:$B,$C:$C)="CELC",AF74,'ENE TECH'!AC70)</f>
        <v>22.199438305906511</v>
      </c>
    </row>
    <row r="75" spans="2:33" x14ac:dyDescent="0.25">
      <c r="B75" t="str">
        <f>Def_Tech!D86</f>
        <v>WASKER19</v>
      </c>
      <c r="C75" t="str">
        <f t="shared" si="7"/>
        <v>KER</v>
      </c>
      <c r="D75" t="str">
        <f>Def_Comm!C73</f>
        <v>WASKER</v>
      </c>
      <c r="E75" t="s">
        <v>396</v>
      </c>
      <c r="F75">
        <v>1</v>
      </c>
      <c r="J75" t="str">
        <f t="shared" si="8"/>
        <v>WASKER19</v>
      </c>
      <c r="K75" t="str">
        <f t="shared" si="6"/>
        <v/>
      </c>
      <c r="L75" s="6">
        <f>IF(_xlfn.XLOOKUP($J75,$B:$B,$C:$C)="CELC",'ENE TECH'!H71-5,'ENE TECH'!H71)</f>
        <v>18.734740913848981</v>
      </c>
      <c r="M75" s="6">
        <f>IF(_xlfn.XLOOKUP($J75,$B:$B,$C:$C)="CELC",L75,'ENE TECH'!I71)</f>
        <v>13.594807100315871</v>
      </c>
      <c r="N75" s="6">
        <f>IF(_xlfn.XLOOKUP($J75,$B:$B,$C:$C)="CELC",M75,'ENE TECH'!J71)</f>
        <v>17.801926223545671</v>
      </c>
      <c r="O75" s="6">
        <f>IF(_xlfn.XLOOKUP($J75,$B:$B,$C:$C)="CELC",N75,'ENE TECH'!K71)</f>
        <v>19.226578743412901</v>
      </c>
      <c r="P75" s="6">
        <f>IF(_xlfn.XLOOKUP($J75,$B:$B,$C:$C)="CELC",O75,'ENE TECH'!L71)</f>
        <v>17.581126222264881</v>
      </c>
      <c r="Q75" s="6">
        <f>IF(_xlfn.XLOOKUP($J75,$B:$B,$C:$C)="CELC",P75,'ENE TECH'!M71)</f>
        <v>16.206198080965891</v>
      </c>
      <c r="R75" s="6">
        <f>IF(_xlfn.XLOOKUP($J75,$B:$B,$C:$C)="CELC",Q75,'ENE TECH'!N71)</f>
        <v>14.65950685874073</v>
      </c>
      <c r="S75" s="6">
        <f>IF(_xlfn.XLOOKUP($J75,$B:$B,$C:$C)="CELC",R75,'ENE TECH'!O71)</f>
        <v>12.674362916711811</v>
      </c>
      <c r="T75" s="6">
        <f>IF(_xlfn.XLOOKUP($J75,$B:$B,$C:$C)="CELC",S75,'ENE TECH'!P71)</f>
        <v>13.65481387793489</v>
      </c>
      <c r="U75" s="6">
        <f>IF(_xlfn.XLOOKUP($J75,$B:$B,$C:$C)="CELC",T75,'ENE TECH'!Q71)</f>
        <v>14.789904337616059</v>
      </c>
      <c r="V75" s="6">
        <f>IF(_xlfn.XLOOKUP($J75,$B:$B,$C:$C)="CELC",U75,'ENE TECH'!R71)</f>
        <v>15.815090888786649</v>
      </c>
      <c r="W75" s="6">
        <f>IF(_xlfn.XLOOKUP($J75,$B:$B,$C:$C)="CELC",V75,'ENE TECH'!S71)</f>
        <v>16.688800879414611</v>
      </c>
      <c r="X75" s="6">
        <f>IF(_xlfn.XLOOKUP($J75,$B:$B,$C:$C)="CELC",W75,'ENE TECH'!T71)</f>
        <v>16.688800879414611</v>
      </c>
      <c r="Y75" s="6">
        <f>IF(_xlfn.XLOOKUP($J75,$B:$B,$C:$C)="CELC",X75,'ENE TECH'!U71)</f>
        <v>16.688800879414611</v>
      </c>
      <c r="Z75" s="6">
        <f>IF(_xlfn.XLOOKUP($J75,$B:$B,$C:$C)="CELC",Y75,'ENE TECH'!V71)</f>
        <v>16.688800879414611</v>
      </c>
      <c r="AA75" s="6">
        <f>IF(_xlfn.XLOOKUP($J75,$B:$B,$C:$C)="CELC",Z75,'ENE TECH'!W71)</f>
        <v>16.688800879414611</v>
      </c>
      <c r="AB75" s="6">
        <f>IF(_xlfn.XLOOKUP($J75,$B:$B,$C:$C)="CELC",AA75,'ENE TECH'!X71)</f>
        <v>16.688800879414611</v>
      </c>
      <c r="AC75" s="6">
        <f>IF(_xlfn.XLOOKUP($J75,$B:$B,$C:$C)="CELC",AB75,'ENE TECH'!Y71)</f>
        <v>16.688800879414611</v>
      </c>
      <c r="AD75" s="6">
        <f>IF(_xlfn.XLOOKUP($J75,$B:$B,$C:$C)="CELC",AC75,'ENE TECH'!Z71)</f>
        <v>16.688800879414611</v>
      </c>
      <c r="AE75" s="6">
        <f>IF(_xlfn.XLOOKUP($J75,$B:$B,$C:$C)="CELC",AD75,'ENE TECH'!AA71)</f>
        <v>16.688800879414611</v>
      </c>
      <c r="AF75" s="6">
        <f>IF(_xlfn.XLOOKUP($J75,$B:$B,$C:$C)="CELC",AE75,'ENE TECH'!AB71)</f>
        <v>16.688800879414611</v>
      </c>
      <c r="AG75" s="6">
        <f>IF(_xlfn.XLOOKUP($J75,$B:$B,$C:$C)="CELC",AF75,'ENE TECH'!AC71)</f>
        <v>16.688800879414611</v>
      </c>
    </row>
    <row r="76" spans="2:33" x14ac:dyDescent="0.25">
      <c r="B76" t="str">
        <f>Def_Tech!D87</f>
        <v>WASGSL19</v>
      </c>
      <c r="C76" t="str">
        <f t="shared" si="7"/>
        <v>GSL</v>
      </c>
      <c r="D76" t="str">
        <f>Def_Comm!C74</f>
        <v>WASGSL</v>
      </c>
      <c r="E76" t="s">
        <v>396</v>
      </c>
      <c r="F76">
        <v>1</v>
      </c>
      <c r="J76" t="str">
        <f t="shared" si="8"/>
        <v>WASGSL19</v>
      </c>
      <c r="K76" t="str">
        <f t="shared" ref="K76:K84" si="9">IF(_xlfn.XLOOKUP($J76,$B:$B,$C:$C)="CELC",1,"")</f>
        <v/>
      </c>
      <c r="L76" s="6">
        <f>IF(_xlfn.XLOOKUP($J76,$B:$B,$C:$C)="CELC",'ENE TECH'!H72-5,'ENE TECH'!H72)</f>
        <v>23.164358311522001</v>
      </c>
      <c r="M76" s="6">
        <f>IF(_xlfn.XLOOKUP($J76,$B:$B,$C:$C)="CELC",L76,'ENE TECH'!I72)</f>
        <v>19.37775377586923</v>
      </c>
      <c r="N76" s="6">
        <f>IF(_xlfn.XLOOKUP($J76,$B:$B,$C:$C)="CELC",M76,'ENE TECH'!J72)</f>
        <v>25.58290059940007</v>
      </c>
      <c r="O76" s="6">
        <f>IF(_xlfn.XLOOKUP($J76,$B:$B,$C:$C)="CELC",N76,'ENE TECH'!K72)</f>
        <v>27.630248922652981</v>
      </c>
      <c r="P76" s="6">
        <f>IF(_xlfn.XLOOKUP($J76,$B:$B,$C:$C)="CELC",O76,'ENE TECH'!L72)</f>
        <v>25.265591988287941</v>
      </c>
      <c r="Q76" s="6">
        <f>IF(_xlfn.XLOOKUP($J76,$B:$B,$C:$C)="CELC",P76,'ENE TECH'!M72)</f>
        <v>23.289701877944371</v>
      </c>
      <c r="R76" s="6">
        <f>IF(_xlfn.XLOOKUP($J76,$B:$B,$C:$C)="CELC",Q76,'ENE TECH'!N72)</f>
        <v>21.066973432759848</v>
      </c>
      <c r="S76" s="6">
        <f>IF(_xlfn.XLOOKUP($J76,$B:$B,$C:$C)="CELC",R76,'ENE TECH'!O72)</f>
        <v>18.214150681632209</v>
      </c>
      <c r="T76" s="6">
        <f>IF(_xlfn.XLOOKUP($J76,$B:$B,$C:$C)="CELC",S76,'ENE TECH'!P72)</f>
        <v>19.62314312259517</v>
      </c>
      <c r="U76" s="6">
        <f>IF(_xlfn.XLOOKUP($J76,$B:$B,$C:$C)="CELC",T76,'ENE TECH'!Q72)</f>
        <v>21.254365836176721</v>
      </c>
      <c r="V76" s="6">
        <f>IF(_xlfn.XLOOKUP($J76,$B:$B,$C:$C)="CELC",U76,'ENE TECH'!R72)</f>
        <v>22.727647171302682</v>
      </c>
      <c r="W76" s="6">
        <f>IF(_xlfn.XLOOKUP($J76,$B:$B,$C:$C)="CELC",V76,'ENE TECH'!S72)</f>
        <v>23.983243647900469</v>
      </c>
      <c r="X76" s="6">
        <f>IF(_xlfn.XLOOKUP($J76,$B:$B,$C:$C)="CELC",W76,'ENE TECH'!T72)</f>
        <v>23.983243647900469</v>
      </c>
      <c r="Y76" s="6">
        <f>IF(_xlfn.XLOOKUP($J76,$B:$B,$C:$C)="CELC",X76,'ENE TECH'!U72)</f>
        <v>23.983243647900469</v>
      </c>
      <c r="Z76" s="6">
        <f>IF(_xlfn.XLOOKUP($J76,$B:$B,$C:$C)="CELC",Y76,'ENE TECH'!V72)</f>
        <v>23.983243647900469</v>
      </c>
      <c r="AA76" s="6">
        <f>IF(_xlfn.XLOOKUP($J76,$B:$B,$C:$C)="CELC",Z76,'ENE TECH'!W72)</f>
        <v>23.983243647900469</v>
      </c>
      <c r="AB76" s="6">
        <f>IF(_xlfn.XLOOKUP($J76,$B:$B,$C:$C)="CELC",AA76,'ENE TECH'!X72)</f>
        <v>23.983243647900469</v>
      </c>
      <c r="AC76" s="6">
        <f>IF(_xlfn.XLOOKUP($J76,$B:$B,$C:$C)="CELC",AB76,'ENE TECH'!Y72)</f>
        <v>23.983243647900469</v>
      </c>
      <c r="AD76" s="6">
        <f>IF(_xlfn.XLOOKUP($J76,$B:$B,$C:$C)="CELC",AC76,'ENE TECH'!Z72)</f>
        <v>23.983243647900469</v>
      </c>
      <c r="AE76" s="6">
        <f>IF(_xlfn.XLOOKUP($J76,$B:$B,$C:$C)="CELC",AD76,'ENE TECH'!AA72)</f>
        <v>23.983243647900469</v>
      </c>
      <c r="AF76" s="6">
        <f>IF(_xlfn.XLOOKUP($J76,$B:$B,$C:$C)="CELC",AE76,'ENE TECH'!AB72)</f>
        <v>23.983243647900469</v>
      </c>
      <c r="AG76" s="6">
        <f>IF(_xlfn.XLOOKUP($J76,$B:$B,$C:$C)="CELC",AF76,'ENE TECH'!AC72)</f>
        <v>23.983243647900469</v>
      </c>
    </row>
    <row r="77" spans="2:33" x14ac:dyDescent="0.25">
      <c r="B77" t="str">
        <f>Def_Tech!D88</f>
        <v>WASNGA19</v>
      </c>
      <c r="C77" t="str">
        <f t="shared" si="7"/>
        <v>NGA</v>
      </c>
      <c r="D77" t="str">
        <f>Def_Comm!C75</f>
        <v>WASNGA</v>
      </c>
      <c r="E77" t="s">
        <v>396</v>
      </c>
      <c r="F77">
        <v>1</v>
      </c>
      <c r="J77" t="str">
        <f t="shared" si="8"/>
        <v>WASNGA19</v>
      </c>
      <c r="K77" t="str">
        <f t="shared" si="9"/>
        <v/>
      </c>
      <c r="L77" s="6">
        <f>IF(_xlfn.XLOOKUP($J77,$B:$B,$C:$C)="CELC",'ENE TECH'!H73-5,'ENE TECH'!H73)</f>
        <v>8.2406348595114025</v>
      </c>
      <c r="M77" s="6">
        <f>IF(_xlfn.XLOOKUP($J77,$B:$B,$C:$C)="CELC",L77,'ENE TECH'!I73)</f>
        <v>7.3453187605058599</v>
      </c>
      <c r="N77" s="6">
        <f>IF(_xlfn.XLOOKUP($J77,$B:$B,$C:$C)="CELC",M77,'ENE TECH'!J73)</f>
        <v>8.7026875939308148</v>
      </c>
      <c r="O77" s="6">
        <f>IF(_xlfn.XLOOKUP($J77,$B:$B,$C:$C)="CELC",N77,'ENE TECH'!K73)</f>
        <v>9.3991462610784318</v>
      </c>
      <c r="P77" s="6">
        <f>IF(_xlfn.XLOOKUP($J77,$B:$B,$C:$C)="CELC",O77,'ENE TECH'!L73)</f>
        <v>7.840660833120296</v>
      </c>
      <c r="Q77" s="6">
        <f>IF(_xlfn.XLOOKUP($J77,$B:$B,$C:$C)="CELC",P77,'ENE TECH'!M73)</f>
        <v>6.3176618215180902</v>
      </c>
      <c r="R77" s="6">
        <f>IF(_xlfn.XLOOKUP($J77,$B:$B,$C:$C)="CELC",Q77,'ENE TECH'!N73)</f>
        <v>5.7092574658049546</v>
      </c>
      <c r="S77" s="6">
        <f>IF(_xlfn.XLOOKUP($J77,$B:$B,$C:$C)="CELC",R77,'ENE TECH'!O73)</f>
        <v>5.4161205246663062</v>
      </c>
      <c r="T77" s="6">
        <f>IF(_xlfn.XLOOKUP($J77,$B:$B,$C:$C)="CELC",S77,'ENE TECH'!P73)</f>
        <v>6.5134169753070124</v>
      </c>
      <c r="U77" s="6">
        <f>IF(_xlfn.XLOOKUP($J77,$B:$B,$C:$C)="CELC",T77,'ENE TECH'!Q73)</f>
        <v>7.3212057953494627</v>
      </c>
      <c r="V77" s="6">
        <f>IF(_xlfn.XLOOKUP($J77,$B:$B,$C:$C)="CELC",U77,'ENE TECH'!R73)</f>
        <v>7.4682076067627428</v>
      </c>
      <c r="W77" s="6">
        <f>IF(_xlfn.XLOOKUP($J77,$B:$B,$C:$C)="CELC",V77,'ENE TECH'!S73)</f>
        <v>7.6916072679536196</v>
      </c>
      <c r="X77" s="6">
        <f>IF(_xlfn.XLOOKUP($J77,$B:$B,$C:$C)="CELC",W77,'ENE TECH'!T73)</f>
        <v>7.6916072679536196</v>
      </c>
      <c r="Y77" s="6">
        <f>IF(_xlfn.XLOOKUP($J77,$B:$B,$C:$C)="CELC",X77,'ENE TECH'!U73)</f>
        <v>7.6916072679536196</v>
      </c>
      <c r="Z77" s="6">
        <f>IF(_xlfn.XLOOKUP($J77,$B:$B,$C:$C)="CELC",Y77,'ENE TECH'!V73)</f>
        <v>7.6916072679536196</v>
      </c>
      <c r="AA77" s="6">
        <f>IF(_xlfn.XLOOKUP($J77,$B:$B,$C:$C)="CELC",Z77,'ENE TECH'!W73)</f>
        <v>7.6916072679536196</v>
      </c>
      <c r="AB77" s="6">
        <f>IF(_xlfn.XLOOKUP($J77,$B:$B,$C:$C)="CELC",AA77,'ENE TECH'!X73)</f>
        <v>7.6916072679536196</v>
      </c>
      <c r="AC77" s="6">
        <f>IF(_xlfn.XLOOKUP($J77,$B:$B,$C:$C)="CELC",AB77,'ENE TECH'!Y73)</f>
        <v>7.6916072679536196</v>
      </c>
      <c r="AD77" s="6">
        <f>IF(_xlfn.XLOOKUP($J77,$B:$B,$C:$C)="CELC",AC77,'ENE TECH'!Z73)</f>
        <v>7.6916072679536196</v>
      </c>
      <c r="AE77" s="6">
        <f>IF(_xlfn.XLOOKUP($J77,$B:$B,$C:$C)="CELC",AD77,'ENE TECH'!AA73)</f>
        <v>7.6916072679536196</v>
      </c>
      <c r="AF77" s="6">
        <f>IF(_xlfn.XLOOKUP($J77,$B:$B,$C:$C)="CELC",AE77,'ENE TECH'!AB73)</f>
        <v>7.6916072679536196</v>
      </c>
      <c r="AG77" s="6">
        <f>IF(_xlfn.XLOOKUP($J77,$B:$B,$C:$C)="CELC",AF77,'ENE TECH'!AC73)</f>
        <v>7.6916072679536196</v>
      </c>
    </row>
    <row r="78" spans="2:33" x14ac:dyDescent="0.25">
      <c r="B78" t="str">
        <f>Def_Tech!D89</f>
        <v>WASRNG19</v>
      </c>
      <c r="C78" t="str">
        <f t="shared" si="7"/>
        <v>RNG</v>
      </c>
      <c r="D78" t="str">
        <f>Def_Comm!C76</f>
        <v>WASRNG</v>
      </c>
      <c r="E78" t="s">
        <v>396</v>
      </c>
      <c r="F78">
        <v>1</v>
      </c>
      <c r="J78" t="str">
        <f t="shared" si="8"/>
        <v>WASRNG19</v>
      </c>
      <c r="K78" t="str">
        <f t="shared" si="9"/>
        <v/>
      </c>
      <c r="L78" s="6">
        <f>IF(_xlfn.XLOOKUP($J78,$B:$B,$C:$C)="CELC",'ENE TECH'!H74-5,'ENE TECH'!H74)</f>
        <v>16.481269719022809</v>
      </c>
      <c r="M78" s="6">
        <f>IF(_xlfn.XLOOKUP($J78,$B:$B,$C:$C)="CELC",L78,'ENE TECH'!I74)</f>
        <v>14.69063752101172</v>
      </c>
      <c r="N78" s="6">
        <f>IF(_xlfn.XLOOKUP($J78,$B:$B,$C:$C)="CELC",M78,'ENE TECH'!J74)</f>
        <v>17.40537518786163</v>
      </c>
      <c r="O78" s="6">
        <f>IF(_xlfn.XLOOKUP($J78,$B:$B,$C:$C)="CELC",N78,'ENE TECH'!K74)</f>
        <v>18.79829252215686</v>
      </c>
      <c r="P78" s="6">
        <f>IF(_xlfn.XLOOKUP($J78,$B:$B,$C:$C)="CELC",O78,'ENE TECH'!L74)</f>
        <v>15.68132166624059</v>
      </c>
      <c r="Q78" s="6">
        <f>IF(_xlfn.XLOOKUP($J78,$B:$B,$C:$C)="CELC",P78,'ENE TECH'!M74)</f>
        <v>12.63532364303618</v>
      </c>
      <c r="R78" s="6">
        <f>IF(_xlfn.XLOOKUP($J78,$B:$B,$C:$C)="CELC",Q78,'ENE TECH'!N74)</f>
        <v>11.418514931609909</v>
      </c>
      <c r="S78" s="6">
        <f>IF(_xlfn.XLOOKUP($J78,$B:$B,$C:$C)="CELC",R78,'ENE TECH'!O74)</f>
        <v>10.832241049332611</v>
      </c>
      <c r="T78" s="6">
        <f>IF(_xlfn.XLOOKUP($J78,$B:$B,$C:$C)="CELC",S78,'ENE TECH'!P74)</f>
        <v>13.026833950614019</v>
      </c>
      <c r="U78" s="6">
        <f>IF(_xlfn.XLOOKUP($J78,$B:$B,$C:$C)="CELC",T78,'ENE TECH'!Q74)</f>
        <v>14.642411590698931</v>
      </c>
      <c r="V78" s="6">
        <f>IF(_xlfn.XLOOKUP($J78,$B:$B,$C:$C)="CELC",U78,'ENE TECH'!R74)</f>
        <v>14.936415213525491</v>
      </c>
      <c r="W78" s="6">
        <f>IF(_xlfn.XLOOKUP($J78,$B:$B,$C:$C)="CELC",V78,'ENE TECH'!S74)</f>
        <v>15.383214535907239</v>
      </c>
      <c r="X78" s="6">
        <f>IF(_xlfn.XLOOKUP($J78,$B:$B,$C:$C)="CELC",W78,'ENE TECH'!T74)</f>
        <v>15.383214535907239</v>
      </c>
      <c r="Y78" s="6">
        <f>IF(_xlfn.XLOOKUP($J78,$B:$B,$C:$C)="CELC",X78,'ENE TECH'!U74)</f>
        <v>15.383214535907239</v>
      </c>
      <c r="Z78" s="6">
        <f>IF(_xlfn.XLOOKUP($J78,$B:$B,$C:$C)="CELC",Y78,'ENE TECH'!V74)</f>
        <v>15.383214535907239</v>
      </c>
      <c r="AA78" s="6">
        <f>IF(_xlfn.XLOOKUP($J78,$B:$B,$C:$C)="CELC",Z78,'ENE TECH'!W74)</f>
        <v>15.383214535907239</v>
      </c>
      <c r="AB78" s="6">
        <f>IF(_xlfn.XLOOKUP($J78,$B:$B,$C:$C)="CELC",AA78,'ENE TECH'!X74)</f>
        <v>15.383214535907239</v>
      </c>
      <c r="AC78" s="6">
        <f>IF(_xlfn.XLOOKUP($J78,$B:$B,$C:$C)="CELC",AB78,'ENE TECH'!Y74)</f>
        <v>15.383214535907239</v>
      </c>
      <c r="AD78" s="6">
        <f>IF(_xlfn.XLOOKUP($J78,$B:$B,$C:$C)="CELC",AC78,'ENE TECH'!Z74)</f>
        <v>15.383214535907239</v>
      </c>
      <c r="AE78" s="6">
        <f>IF(_xlfn.XLOOKUP($J78,$B:$B,$C:$C)="CELC",AD78,'ENE TECH'!AA74)</f>
        <v>15.383214535907239</v>
      </c>
      <c r="AF78" s="6">
        <f>IF(_xlfn.XLOOKUP($J78,$B:$B,$C:$C)="CELC",AE78,'ENE TECH'!AB74)</f>
        <v>15.383214535907239</v>
      </c>
      <c r="AG78" s="6">
        <f>IF(_xlfn.XLOOKUP($J78,$B:$B,$C:$C)="CELC",AF78,'ENE TECH'!AC74)</f>
        <v>15.383214535907239</v>
      </c>
    </row>
    <row r="79" spans="2:33" x14ac:dyDescent="0.25">
      <c r="B79" t="str">
        <f>Def_Tech!D90</f>
        <v>WASPCK19</v>
      </c>
      <c r="C79" t="str">
        <f t="shared" si="7"/>
        <v>PCK</v>
      </c>
      <c r="D79" t="str">
        <f>Def_Comm!C77</f>
        <v>WASPCK</v>
      </c>
      <c r="E79" t="s">
        <v>396</v>
      </c>
      <c r="F79">
        <v>1</v>
      </c>
      <c r="J79" t="str">
        <f t="shared" si="8"/>
        <v>WASPCK19</v>
      </c>
      <c r="K79" t="str">
        <f t="shared" si="9"/>
        <v/>
      </c>
      <c r="L79" s="6">
        <f>IF(_xlfn.XLOOKUP($J79,$B:$B,$C:$C)="CELC",'ENE TECH'!H75-5,'ENE TECH'!H75)</f>
        <v>3.7778781795615268</v>
      </c>
      <c r="M79" s="6">
        <f>IF(_xlfn.XLOOKUP($J79,$B:$B,$C:$C)="CELC",L79,'ENE TECH'!I75)</f>
        <v>3.981878855399779</v>
      </c>
      <c r="N79" s="6">
        <f>IF(_xlfn.XLOOKUP($J79,$B:$B,$C:$C)="CELC",M79,'ENE TECH'!J75)</f>
        <v>3.6011121078334409</v>
      </c>
      <c r="O79" s="6">
        <f>IF(_xlfn.XLOOKUP($J79,$B:$B,$C:$C)="CELC",N79,'ENE TECH'!K75)</f>
        <v>3.8893019011359029</v>
      </c>
      <c r="P79" s="6">
        <f>IF(_xlfn.XLOOKUP($J79,$B:$B,$C:$C)="CELC",O79,'ENE TECH'!L75)</f>
        <v>3.8487693381516159</v>
      </c>
      <c r="Q79" s="6">
        <f>IF(_xlfn.XLOOKUP($J79,$B:$B,$C:$C)="CELC",P79,'ENE TECH'!M75)</f>
        <v>3.941073016684963</v>
      </c>
      <c r="R79" s="6">
        <f>IF(_xlfn.XLOOKUP($J79,$B:$B,$C:$C)="CELC",Q79,'ENE TECH'!N75)</f>
        <v>4.0063416861398338</v>
      </c>
      <c r="S79" s="6">
        <f>IF(_xlfn.XLOOKUP($J79,$B:$B,$C:$C)="CELC",R79,'ENE TECH'!O75)</f>
        <v>4.4118734515392664</v>
      </c>
      <c r="T79" s="6">
        <f>IF(_xlfn.XLOOKUP($J79,$B:$B,$C:$C)="CELC",S79,'ENE TECH'!P75)</f>
        <v>4.9805161569166128</v>
      </c>
      <c r="U79" s="6">
        <f>IF(_xlfn.XLOOKUP($J79,$B:$B,$C:$C)="CELC",T79,'ENE TECH'!Q75)</f>
        <v>5.5737404371809172</v>
      </c>
      <c r="V79" s="6">
        <f>IF(_xlfn.XLOOKUP($J79,$B:$B,$C:$C)="CELC",U79,'ENE TECH'!R75)</f>
        <v>6.1313001281072026</v>
      </c>
      <c r="W79" s="6">
        <f>IF(_xlfn.XLOOKUP($J79,$B:$B,$C:$C)="CELC",V79,'ENE TECH'!S75)</f>
        <v>6.6964863768406717</v>
      </c>
      <c r="X79" s="6">
        <f>IF(_xlfn.XLOOKUP($J79,$B:$B,$C:$C)="CELC",W79,'ENE TECH'!T75)</f>
        <v>6.6964863768406717</v>
      </c>
      <c r="Y79" s="6">
        <f>IF(_xlfn.XLOOKUP($J79,$B:$B,$C:$C)="CELC",X79,'ENE TECH'!U75)</f>
        <v>6.6964863768406717</v>
      </c>
      <c r="Z79" s="6">
        <f>IF(_xlfn.XLOOKUP($J79,$B:$B,$C:$C)="CELC",Y79,'ENE TECH'!V75)</f>
        <v>6.6964863768406717</v>
      </c>
      <c r="AA79" s="6">
        <f>IF(_xlfn.XLOOKUP($J79,$B:$B,$C:$C)="CELC",Z79,'ENE TECH'!W75)</f>
        <v>6.6964863768406717</v>
      </c>
      <c r="AB79" s="6">
        <f>IF(_xlfn.XLOOKUP($J79,$B:$B,$C:$C)="CELC",AA79,'ENE TECH'!X75)</f>
        <v>6.6964863768406717</v>
      </c>
      <c r="AC79" s="6">
        <f>IF(_xlfn.XLOOKUP($J79,$B:$B,$C:$C)="CELC",AB79,'ENE TECH'!Y75)</f>
        <v>6.6964863768406717</v>
      </c>
      <c r="AD79" s="6">
        <f>IF(_xlfn.XLOOKUP($J79,$B:$B,$C:$C)="CELC",AC79,'ENE TECH'!Z75)</f>
        <v>6.6964863768406717</v>
      </c>
      <c r="AE79" s="6">
        <f>IF(_xlfn.XLOOKUP($J79,$B:$B,$C:$C)="CELC",AD79,'ENE TECH'!AA75)</f>
        <v>6.6964863768406717</v>
      </c>
      <c r="AF79" s="6">
        <f>IF(_xlfn.XLOOKUP($J79,$B:$B,$C:$C)="CELC",AE79,'ENE TECH'!AB75)</f>
        <v>6.6964863768406717</v>
      </c>
      <c r="AG79" s="6">
        <f>IF(_xlfn.XLOOKUP($J79,$B:$B,$C:$C)="CELC",AF79,'ENE TECH'!AC75)</f>
        <v>6.6964863768406717</v>
      </c>
    </row>
    <row r="80" spans="2:33" x14ac:dyDescent="0.25">
      <c r="B80" t="str">
        <f>Def_Tech!D91</f>
        <v>WASCOA19</v>
      </c>
      <c r="C80" t="str">
        <f t="shared" si="7"/>
        <v>COA</v>
      </c>
      <c r="D80" t="str">
        <f>Def_Comm!C78</f>
        <v>WASCOA</v>
      </c>
      <c r="E80" t="s">
        <v>396</v>
      </c>
      <c r="F80">
        <v>1</v>
      </c>
      <c r="J80" t="str">
        <f t="shared" si="8"/>
        <v>WASCOA19</v>
      </c>
      <c r="K80" t="str">
        <f t="shared" si="9"/>
        <v/>
      </c>
      <c r="L80" s="6">
        <f>IF(_xlfn.XLOOKUP($J80,$B:$B,$C:$C)="CELC",'ENE TECH'!H76-5,'ENE TECH'!H76)</f>
        <v>3.7778781795615268</v>
      </c>
      <c r="M80" s="6">
        <f>IF(_xlfn.XLOOKUP($J80,$B:$B,$C:$C)="CELC",L80,'ENE TECH'!I76)</f>
        <v>3.981878855399779</v>
      </c>
      <c r="N80" s="6">
        <f>IF(_xlfn.XLOOKUP($J80,$B:$B,$C:$C)="CELC",M80,'ENE TECH'!J76)</f>
        <v>3.6011121078334409</v>
      </c>
      <c r="O80" s="6">
        <f>IF(_xlfn.XLOOKUP($J80,$B:$B,$C:$C)="CELC",N80,'ENE TECH'!K76)</f>
        <v>3.8893019011359029</v>
      </c>
      <c r="P80" s="6">
        <f>IF(_xlfn.XLOOKUP($J80,$B:$B,$C:$C)="CELC",O80,'ENE TECH'!L76)</f>
        <v>3.7264742863010918</v>
      </c>
      <c r="Q80" s="6">
        <f>IF(_xlfn.XLOOKUP($J80,$B:$B,$C:$C)="CELC",P80,'ENE TECH'!M76)</f>
        <v>3.6977751293713381</v>
      </c>
      <c r="R80" s="6">
        <f>IF(_xlfn.XLOOKUP($J80,$B:$B,$C:$C)="CELC",Q80,'ENE TECH'!N76)</f>
        <v>3.7934472796869061</v>
      </c>
      <c r="S80" s="6">
        <f>IF(_xlfn.XLOOKUP($J80,$B:$B,$C:$C)="CELC",R80,'ENE TECH'!O76)</f>
        <v>3.9236988583037791</v>
      </c>
      <c r="T80" s="6">
        <f>IF(_xlfn.XLOOKUP($J80,$B:$B,$C:$C)="CELC",S80,'ENE TECH'!P76)</f>
        <v>4.1425814000956578</v>
      </c>
      <c r="U80" s="6">
        <f>IF(_xlfn.XLOOKUP($J80,$B:$B,$C:$C)="CELC",T80,'ENE TECH'!Q76)</f>
        <v>4.4356798747533732</v>
      </c>
      <c r="V80" s="6">
        <f>IF(_xlfn.XLOOKUP($J80,$B:$B,$C:$C)="CELC",U80,'ENE TECH'!R76)</f>
        <v>4.6979638189573594</v>
      </c>
      <c r="W80" s="6">
        <f>IF(_xlfn.XLOOKUP($J80,$B:$B,$C:$C)="CELC",V80,'ENE TECH'!S76)</f>
        <v>4.9689665163366881</v>
      </c>
      <c r="X80" s="6">
        <f>IF(_xlfn.XLOOKUP($J80,$B:$B,$C:$C)="CELC",W80,'ENE TECH'!T76)</f>
        <v>4.9689665163366881</v>
      </c>
      <c r="Y80" s="6">
        <f>IF(_xlfn.XLOOKUP($J80,$B:$B,$C:$C)="CELC",X80,'ENE TECH'!U76)</f>
        <v>4.9689665163366881</v>
      </c>
      <c r="Z80" s="6">
        <f>IF(_xlfn.XLOOKUP($J80,$B:$B,$C:$C)="CELC",Y80,'ENE TECH'!V76)</f>
        <v>4.9689665163366881</v>
      </c>
      <c r="AA80" s="6">
        <f>IF(_xlfn.XLOOKUP($J80,$B:$B,$C:$C)="CELC",Z80,'ENE TECH'!W76)</f>
        <v>4.9689665163366881</v>
      </c>
      <c r="AB80" s="6">
        <f>IF(_xlfn.XLOOKUP($J80,$B:$B,$C:$C)="CELC",AA80,'ENE TECH'!X76)</f>
        <v>4.9689665163366881</v>
      </c>
      <c r="AC80" s="6">
        <f>IF(_xlfn.XLOOKUP($J80,$B:$B,$C:$C)="CELC",AB80,'ENE TECH'!Y76)</f>
        <v>4.9689665163366881</v>
      </c>
      <c r="AD80" s="6">
        <f>IF(_xlfn.XLOOKUP($J80,$B:$B,$C:$C)="CELC",AC80,'ENE TECH'!Z76)</f>
        <v>4.9689665163366881</v>
      </c>
      <c r="AE80" s="6">
        <f>IF(_xlfn.XLOOKUP($J80,$B:$B,$C:$C)="CELC",AD80,'ENE TECH'!AA76)</f>
        <v>4.9689665163366881</v>
      </c>
      <c r="AF80" s="6">
        <f>IF(_xlfn.XLOOKUP($J80,$B:$B,$C:$C)="CELC",AE80,'ENE TECH'!AB76)</f>
        <v>4.9689665163366881</v>
      </c>
      <c r="AG80" s="6">
        <f>IF(_xlfn.XLOOKUP($J80,$B:$B,$C:$C)="CELC",AF80,'ENE TECH'!AC76)</f>
        <v>4.9689665163366881</v>
      </c>
    </row>
    <row r="81" spans="2:33" x14ac:dyDescent="0.25">
      <c r="B81" t="str">
        <f>Def_Tech!D92</f>
        <v>WASELC19</v>
      </c>
      <c r="C81" t="str">
        <f t="shared" si="7"/>
        <v>CELC</v>
      </c>
      <c r="D81" t="str">
        <f>Def_Comm!C79</f>
        <v>WASELC</v>
      </c>
      <c r="E81" t="s">
        <v>396</v>
      </c>
      <c r="F81">
        <v>1</v>
      </c>
      <c r="J81" t="str">
        <f t="shared" si="8"/>
        <v>WASELC19</v>
      </c>
      <c r="K81">
        <f t="shared" si="9"/>
        <v>1</v>
      </c>
      <c r="L81" s="6">
        <f>IF(_xlfn.XLOOKUP($J81,$B:$B,$C:$C)="CELC",'ENE TECH'!H77-5,'ENE TECH'!H77)</f>
        <v>13.17137311514243</v>
      </c>
      <c r="M81" s="6">
        <f>IF(_xlfn.XLOOKUP($J81,$B:$B,$C:$C)="CELC",L81,'ENE TECH'!I77)</f>
        <v>13.17137311514243</v>
      </c>
      <c r="N81" s="6">
        <f>IF(_xlfn.XLOOKUP($J81,$B:$B,$C:$C)="CELC",M81,'ENE TECH'!J77)</f>
        <v>13.17137311514243</v>
      </c>
      <c r="O81" s="6">
        <f>IF(_xlfn.XLOOKUP($J81,$B:$B,$C:$C)="CELC",N81,'ENE TECH'!K77)</f>
        <v>13.17137311514243</v>
      </c>
      <c r="P81" s="6">
        <f>IF(_xlfn.XLOOKUP($J81,$B:$B,$C:$C)="CELC",O81,'ENE TECH'!L77)</f>
        <v>13.17137311514243</v>
      </c>
      <c r="Q81" s="6">
        <f>IF(_xlfn.XLOOKUP($J81,$B:$B,$C:$C)="CELC",P81,'ENE TECH'!M77)</f>
        <v>13.17137311514243</v>
      </c>
      <c r="R81" s="6">
        <f>IF(_xlfn.XLOOKUP($J81,$B:$B,$C:$C)="CELC",Q81,'ENE TECH'!N77)</f>
        <v>13.17137311514243</v>
      </c>
      <c r="S81" s="6">
        <f>IF(_xlfn.XLOOKUP($J81,$B:$B,$C:$C)="CELC",R81,'ENE TECH'!O77)</f>
        <v>13.17137311514243</v>
      </c>
      <c r="T81" s="6">
        <f>IF(_xlfn.XLOOKUP($J81,$B:$B,$C:$C)="CELC",S81,'ENE TECH'!P77)</f>
        <v>13.17137311514243</v>
      </c>
      <c r="U81" s="6">
        <f>IF(_xlfn.XLOOKUP($J81,$B:$B,$C:$C)="CELC",T81,'ENE TECH'!Q77)</f>
        <v>13.17137311514243</v>
      </c>
      <c r="V81" s="6">
        <f>IF(_xlfn.XLOOKUP($J81,$B:$B,$C:$C)="CELC",U81,'ENE TECH'!R77)</f>
        <v>13.17137311514243</v>
      </c>
      <c r="W81" s="6">
        <f>IF(_xlfn.XLOOKUP($J81,$B:$B,$C:$C)="CELC",V81,'ENE TECH'!S77)</f>
        <v>13.17137311514243</v>
      </c>
      <c r="X81" s="6">
        <f>IF(_xlfn.XLOOKUP($J81,$B:$B,$C:$C)="CELC",W81,'ENE TECH'!T77)</f>
        <v>13.17137311514243</v>
      </c>
      <c r="Y81" s="6">
        <f>IF(_xlfn.XLOOKUP($J81,$B:$B,$C:$C)="CELC",X81,'ENE TECH'!U77)</f>
        <v>13.17137311514243</v>
      </c>
      <c r="Z81" s="6">
        <f>IF(_xlfn.XLOOKUP($J81,$B:$B,$C:$C)="CELC",Y81,'ENE TECH'!V77)</f>
        <v>13.17137311514243</v>
      </c>
      <c r="AA81" s="6">
        <f>IF(_xlfn.XLOOKUP($J81,$B:$B,$C:$C)="CELC",Z81,'ENE TECH'!W77)</f>
        <v>13.17137311514243</v>
      </c>
      <c r="AB81" s="6">
        <f>IF(_xlfn.XLOOKUP($J81,$B:$B,$C:$C)="CELC",AA81,'ENE TECH'!X77)</f>
        <v>13.17137311514243</v>
      </c>
      <c r="AC81" s="6">
        <f>IF(_xlfn.XLOOKUP($J81,$B:$B,$C:$C)="CELC",AB81,'ENE TECH'!Y77)</f>
        <v>13.17137311514243</v>
      </c>
      <c r="AD81" s="6">
        <f>IF(_xlfn.XLOOKUP($J81,$B:$B,$C:$C)="CELC",AC81,'ENE TECH'!Z77)</f>
        <v>13.17137311514243</v>
      </c>
      <c r="AE81" s="6">
        <f>IF(_xlfn.XLOOKUP($J81,$B:$B,$C:$C)="CELC",AD81,'ENE TECH'!AA77)</f>
        <v>13.17137311514243</v>
      </c>
      <c r="AF81" s="6">
        <f>IF(_xlfn.XLOOKUP($J81,$B:$B,$C:$C)="CELC",AE81,'ENE TECH'!AB77)</f>
        <v>13.17137311514243</v>
      </c>
      <c r="AG81" s="6">
        <f>IF(_xlfn.XLOOKUP($J81,$B:$B,$C:$C)="CELC",AF81,'ENE TECH'!AC77)</f>
        <v>13.17137311514243</v>
      </c>
    </row>
    <row r="82" spans="2:33" x14ac:dyDescent="0.25">
      <c r="B82" t="str">
        <f>Def_Tech!D93</f>
        <v>WASH2G19</v>
      </c>
      <c r="C82" t="str">
        <f t="shared" si="7"/>
        <v>CH2G</v>
      </c>
      <c r="D82" t="str">
        <f>Def_Comm!C80</f>
        <v>WASH2G</v>
      </c>
      <c r="E82" t="s">
        <v>396</v>
      </c>
      <c r="F82">
        <v>1</v>
      </c>
      <c r="J82" t="str">
        <f t="shared" si="8"/>
        <v>WASH2G19</v>
      </c>
      <c r="K82" t="str">
        <f t="shared" si="9"/>
        <v/>
      </c>
      <c r="L82" s="6">
        <f>IF(_xlfn.XLOOKUP($J82,$B:$B,$C:$C)="CELC",'ENE TECH'!H78-5,'ENE TECH'!H78)</f>
        <v>36.342746230284867</v>
      </c>
      <c r="M82" s="6">
        <f>IF(_xlfn.XLOOKUP($J82,$B:$B,$C:$C)="CELC",L82,'ENE TECH'!I78)</f>
        <v>35.261869972886331</v>
      </c>
      <c r="N82" s="6">
        <f>IF(_xlfn.XLOOKUP($J82,$B:$B,$C:$C)="CELC",M82,'ENE TECH'!J78)</f>
        <v>39.848020288466472</v>
      </c>
      <c r="O82" s="6">
        <f>IF(_xlfn.XLOOKUP($J82,$B:$B,$C:$C)="CELC",N82,'ENE TECH'!K78)</f>
        <v>43.036977584593117</v>
      </c>
      <c r="P82" s="6">
        <f>IF(_xlfn.XLOOKUP($J82,$B:$B,$C:$C)="CELC",O82,'ENE TECH'!L78)</f>
        <v>41.390623172141773</v>
      </c>
      <c r="Q82" s="6">
        <f>IF(_xlfn.XLOOKUP($J82,$B:$B,$C:$C)="CELC",P82,'ENE TECH'!M78)</f>
        <v>37.557458864792267</v>
      </c>
      <c r="R82" s="6">
        <f>IF(_xlfn.XLOOKUP($J82,$B:$B,$C:$C)="CELC",Q82,'ENE TECH'!N78)</f>
        <v>36.255717456974629</v>
      </c>
      <c r="S82" s="6">
        <f>IF(_xlfn.XLOOKUP($J82,$B:$B,$C:$C)="CELC",R82,'ENE TECH'!O78)</f>
        <v>35.445890701755118</v>
      </c>
      <c r="T82" s="6">
        <f>IF(_xlfn.XLOOKUP($J82,$B:$B,$C:$C)="CELC",S82,'ENE TECH'!P78)</f>
        <v>38.126294264168827</v>
      </c>
      <c r="U82" s="6">
        <f>IF(_xlfn.XLOOKUP($J82,$B:$B,$C:$C)="CELC",T82,'ENE TECH'!Q78)</f>
        <v>41.465785382500847</v>
      </c>
      <c r="V82" s="6">
        <f>IF(_xlfn.XLOOKUP($J82,$B:$B,$C:$C)="CELC",U82,'ENE TECH'!R78)</f>
        <v>43.606978298712249</v>
      </c>
      <c r="W82" s="6">
        <f>IF(_xlfn.XLOOKUP($J82,$B:$B,$C:$C)="CELC",V82,'ENE TECH'!S78)</f>
        <v>44.814355151427478</v>
      </c>
      <c r="X82" s="6">
        <f>IF(_xlfn.XLOOKUP($J82,$B:$B,$C:$C)="CELC",W82,'ENE TECH'!T78)</f>
        <v>44.814355151427478</v>
      </c>
      <c r="Y82" s="6">
        <f>IF(_xlfn.XLOOKUP($J82,$B:$B,$C:$C)="CELC",X82,'ENE TECH'!U78)</f>
        <v>44.814355151427478</v>
      </c>
      <c r="Z82" s="6">
        <f>IF(_xlfn.XLOOKUP($J82,$B:$B,$C:$C)="CELC",Y82,'ENE TECH'!V78)</f>
        <v>44.814355151427478</v>
      </c>
      <c r="AA82" s="6">
        <f>IF(_xlfn.XLOOKUP($J82,$B:$B,$C:$C)="CELC",Z82,'ENE TECH'!W78)</f>
        <v>44.814355151427478</v>
      </c>
      <c r="AB82" s="6">
        <f>IF(_xlfn.XLOOKUP($J82,$B:$B,$C:$C)="CELC",AA82,'ENE TECH'!X78)</f>
        <v>44.814355151427478</v>
      </c>
      <c r="AC82" s="6">
        <f>IF(_xlfn.XLOOKUP($J82,$B:$B,$C:$C)="CELC",AB82,'ENE TECH'!Y78)</f>
        <v>44.814355151427478</v>
      </c>
      <c r="AD82" s="6">
        <f>IF(_xlfn.XLOOKUP($J82,$B:$B,$C:$C)="CELC",AC82,'ENE TECH'!Z78)</f>
        <v>44.814355151427478</v>
      </c>
      <c r="AE82" s="6">
        <f>IF(_xlfn.XLOOKUP($J82,$B:$B,$C:$C)="CELC",AD82,'ENE TECH'!AA78)</f>
        <v>44.814355151427478</v>
      </c>
      <c r="AF82" s="6">
        <f>IF(_xlfn.XLOOKUP($J82,$B:$B,$C:$C)="CELC",AE82,'ENE TECH'!AB78)</f>
        <v>44.814355151427478</v>
      </c>
      <c r="AG82" s="6">
        <f>IF(_xlfn.XLOOKUP($J82,$B:$B,$C:$C)="CELC",AF82,'ENE TECH'!AC78)</f>
        <v>44.814355151427478</v>
      </c>
    </row>
    <row r="83" spans="2:33" x14ac:dyDescent="0.25">
      <c r="B83" t="str">
        <f>Def_Tech!D94</f>
        <v>WASSOL19</v>
      </c>
      <c r="C83" t="str">
        <f t="shared" si="7"/>
        <v>SOL</v>
      </c>
      <c r="D83" t="str">
        <f>Def_Comm!C81</f>
        <v>WASSOL</v>
      </c>
      <c r="E83" t="s">
        <v>396</v>
      </c>
      <c r="F83">
        <v>1</v>
      </c>
      <c r="J83" t="str">
        <f t="shared" si="8"/>
        <v>WASSOL19</v>
      </c>
      <c r="K83" t="str">
        <f t="shared" si="9"/>
        <v/>
      </c>
      <c r="L83" s="6">
        <f>IF(_xlfn.XLOOKUP($J83,$B:$B,$C:$C)="CELC",'ENE TECH'!H79-5,'ENE TECH'!H79)</f>
        <v>0</v>
      </c>
      <c r="M83" s="6">
        <f>IF(_xlfn.XLOOKUP($J83,$B:$B,$C:$C)="CELC",L83,'ENE TECH'!I79)</f>
        <v>0</v>
      </c>
      <c r="N83" s="6">
        <f>IF(_xlfn.XLOOKUP($J83,$B:$B,$C:$C)="CELC",M83,'ENE TECH'!J79)</f>
        <v>0</v>
      </c>
      <c r="O83" s="6">
        <f>IF(_xlfn.XLOOKUP($J83,$B:$B,$C:$C)="CELC",N83,'ENE TECH'!K79)</f>
        <v>0</v>
      </c>
      <c r="P83" s="6">
        <f>IF(_xlfn.XLOOKUP($J83,$B:$B,$C:$C)="CELC",O83,'ENE TECH'!L79)</f>
        <v>0</v>
      </c>
      <c r="Q83" s="6">
        <f>IF(_xlfn.XLOOKUP($J83,$B:$B,$C:$C)="CELC",P83,'ENE TECH'!M79)</f>
        <v>0</v>
      </c>
      <c r="R83" s="6">
        <f>IF(_xlfn.XLOOKUP($J83,$B:$B,$C:$C)="CELC",Q83,'ENE TECH'!N79)</f>
        <v>0</v>
      </c>
      <c r="S83" s="6">
        <f>IF(_xlfn.XLOOKUP($J83,$B:$B,$C:$C)="CELC",R83,'ENE TECH'!O79)</f>
        <v>0</v>
      </c>
      <c r="T83" s="6">
        <f>IF(_xlfn.XLOOKUP($J83,$B:$B,$C:$C)="CELC",S83,'ENE TECH'!P79)</f>
        <v>0</v>
      </c>
      <c r="U83" s="6">
        <f>IF(_xlfn.XLOOKUP($J83,$B:$B,$C:$C)="CELC",T83,'ENE TECH'!Q79)</f>
        <v>0</v>
      </c>
      <c r="V83" s="6">
        <f>IF(_xlfn.XLOOKUP($J83,$B:$B,$C:$C)="CELC",U83,'ENE TECH'!R79)</f>
        <v>0</v>
      </c>
      <c r="W83" s="6">
        <f>IF(_xlfn.XLOOKUP($J83,$B:$B,$C:$C)="CELC",V83,'ENE TECH'!S79)</f>
        <v>0</v>
      </c>
      <c r="X83" s="6">
        <f>IF(_xlfn.XLOOKUP($J83,$B:$B,$C:$C)="CELC",W83,'ENE TECH'!T79)</f>
        <v>0</v>
      </c>
      <c r="Y83" s="6">
        <f>IF(_xlfn.XLOOKUP($J83,$B:$B,$C:$C)="CELC",X83,'ENE TECH'!U79)</f>
        <v>0</v>
      </c>
      <c r="Z83" s="6">
        <f>IF(_xlfn.XLOOKUP($J83,$B:$B,$C:$C)="CELC",Y83,'ENE TECH'!V79)</f>
        <v>0</v>
      </c>
      <c r="AA83" s="6">
        <f>IF(_xlfn.XLOOKUP($J83,$B:$B,$C:$C)="CELC",Z83,'ENE TECH'!W79)</f>
        <v>0</v>
      </c>
      <c r="AB83" s="6">
        <f>IF(_xlfn.XLOOKUP($J83,$B:$B,$C:$C)="CELC",AA83,'ENE TECH'!X79)</f>
        <v>0</v>
      </c>
      <c r="AC83" s="6">
        <f>IF(_xlfn.XLOOKUP($J83,$B:$B,$C:$C)="CELC",AB83,'ENE TECH'!Y79)</f>
        <v>0</v>
      </c>
      <c r="AD83" s="6">
        <f>IF(_xlfn.XLOOKUP($J83,$B:$B,$C:$C)="CELC",AC83,'ENE TECH'!Z79)</f>
        <v>0</v>
      </c>
      <c r="AE83" s="6">
        <f>IF(_xlfn.XLOOKUP($J83,$B:$B,$C:$C)="CELC",AD83,'ENE TECH'!AA79)</f>
        <v>0</v>
      </c>
      <c r="AF83" s="6">
        <f>IF(_xlfn.XLOOKUP($J83,$B:$B,$C:$C)="CELC",AE83,'ENE TECH'!AB79)</f>
        <v>0</v>
      </c>
      <c r="AG83" s="6">
        <f>IF(_xlfn.XLOOKUP($J83,$B:$B,$C:$C)="CELC",AF83,'ENE TECH'!AC79)</f>
        <v>0</v>
      </c>
    </row>
    <row r="84" spans="2:33" x14ac:dyDescent="0.25">
      <c r="B84" t="str">
        <f>Def_Tech!D95</f>
        <v>WASWND19</v>
      </c>
      <c r="C84" t="str">
        <f t="shared" si="7"/>
        <v>WND</v>
      </c>
      <c r="D84" t="str">
        <f>Def_Comm!C82</f>
        <v>WASWND</v>
      </c>
      <c r="E84" t="s">
        <v>396</v>
      </c>
      <c r="F84">
        <v>1</v>
      </c>
      <c r="J84" t="str">
        <f t="shared" si="8"/>
        <v>WASWND19</v>
      </c>
      <c r="K84" t="str">
        <f t="shared" si="9"/>
        <v/>
      </c>
      <c r="L84" s="6">
        <f>IF(_xlfn.XLOOKUP($J84,$B:$B,$C:$C)="CELC",'ENE TECH'!H80-5,'ENE TECH'!H80)</f>
        <v>0</v>
      </c>
      <c r="M84" s="6">
        <f>IF(_xlfn.XLOOKUP($J84,$B:$B,$C:$C)="CELC",L84,'ENE TECH'!I80)</f>
        <v>0</v>
      </c>
      <c r="N84" s="6">
        <f>IF(_xlfn.XLOOKUP($J84,$B:$B,$C:$C)="CELC",M84,'ENE TECH'!J80)</f>
        <v>0</v>
      </c>
      <c r="O84" s="6">
        <f>IF(_xlfn.XLOOKUP($J84,$B:$B,$C:$C)="CELC",N84,'ENE TECH'!K80)</f>
        <v>0</v>
      </c>
      <c r="P84" s="6">
        <f>IF(_xlfn.XLOOKUP($J84,$B:$B,$C:$C)="CELC",O84,'ENE TECH'!L80)</f>
        <v>0</v>
      </c>
      <c r="Q84" s="6">
        <f>IF(_xlfn.XLOOKUP($J84,$B:$B,$C:$C)="CELC",P84,'ENE TECH'!M80)</f>
        <v>0</v>
      </c>
      <c r="R84" s="6">
        <f>IF(_xlfn.XLOOKUP($J84,$B:$B,$C:$C)="CELC",Q84,'ENE TECH'!N80)</f>
        <v>0</v>
      </c>
      <c r="S84" s="6">
        <f>IF(_xlfn.XLOOKUP($J84,$B:$B,$C:$C)="CELC",R84,'ENE TECH'!O80)</f>
        <v>0</v>
      </c>
      <c r="T84" s="6">
        <f>IF(_xlfn.XLOOKUP($J84,$B:$B,$C:$C)="CELC",S84,'ENE TECH'!P80)</f>
        <v>0</v>
      </c>
      <c r="U84" s="6">
        <f>IF(_xlfn.XLOOKUP($J84,$B:$B,$C:$C)="CELC",T84,'ENE TECH'!Q80)</f>
        <v>0</v>
      </c>
      <c r="V84" s="6">
        <f>IF(_xlfn.XLOOKUP($J84,$B:$B,$C:$C)="CELC",U84,'ENE TECH'!R80)</f>
        <v>0</v>
      </c>
      <c r="W84" s="6">
        <f>IF(_xlfn.XLOOKUP($J84,$B:$B,$C:$C)="CELC",V84,'ENE TECH'!S80)</f>
        <v>0</v>
      </c>
      <c r="X84" s="6">
        <f>IF(_xlfn.XLOOKUP($J84,$B:$B,$C:$C)="CELC",W84,'ENE TECH'!T80)</f>
        <v>0</v>
      </c>
      <c r="Y84" s="6">
        <f>IF(_xlfn.XLOOKUP($J84,$B:$B,$C:$C)="CELC",X84,'ENE TECH'!U80)</f>
        <v>0</v>
      </c>
      <c r="Z84" s="6">
        <f>IF(_xlfn.XLOOKUP($J84,$B:$B,$C:$C)="CELC",Y84,'ENE TECH'!V80)</f>
        <v>0</v>
      </c>
      <c r="AA84" s="6">
        <f>IF(_xlfn.XLOOKUP($J84,$B:$B,$C:$C)="CELC",Z84,'ENE TECH'!W80)</f>
        <v>0</v>
      </c>
      <c r="AB84" s="6">
        <f>IF(_xlfn.XLOOKUP($J84,$B:$B,$C:$C)="CELC",AA84,'ENE TECH'!X80)</f>
        <v>0</v>
      </c>
      <c r="AC84" s="6">
        <f>IF(_xlfn.XLOOKUP($J84,$B:$B,$C:$C)="CELC",AB84,'ENE TECH'!Y80)</f>
        <v>0</v>
      </c>
      <c r="AD84" s="6">
        <f>IF(_xlfn.XLOOKUP($J84,$B:$B,$C:$C)="CELC",AC84,'ENE TECH'!Z80)</f>
        <v>0</v>
      </c>
      <c r="AE84" s="6">
        <f>IF(_xlfn.XLOOKUP($J84,$B:$B,$C:$C)="CELC",AD84,'ENE TECH'!AA80)</f>
        <v>0</v>
      </c>
      <c r="AF84" s="6">
        <f>IF(_xlfn.XLOOKUP($J84,$B:$B,$C:$C)="CELC",AE84,'ENE TECH'!AB80)</f>
        <v>0</v>
      </c>
      <c r="AG84" s="6">
        <f>IF(_xlfn.XLOOKUP($J84,$B:$B,$C:$C)="CELC",AF84,'ENE TECH'!AC80)</f>
        <v>0</v>
      </c>
    </row>
    <row r="85" spans="2:33" x14ac:dyDescent="0.25"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  <c r="AB85" s="6"/>
      <c r="AC85" s="6"/>
      <c r="AD85" s="6"/>
      <c r="AE85" s="6"/>
      <c r="AF85" s="6"/>
      <c r="AG85" s="6"/>
    </row>
    <row r="86" spans="2:33" x14ac:dyDescent="0.25"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  <c r="AB86" s="6"/>
      <c r="AC86" s="6"/>
      <c r="AD86" s="6"/>
      <c r="AE86" s="6"/>
      <c r="AF86" s="6"/>
      <c r="AG86" s="6"/>
    </row>
    <row r="87" spans="2:33" x14ac:dyDescent="0.25"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  <c r="AB87" s="6"/>
      <c r="AC87" s="6"/>
      <c r="AD87" s="6"/>
      <c r="AE87" s="6"/>
      <c r="AF87" s="6"/>
      <c r="AG87" s="6"/>
    </row>
    <row r="88" spans="2:33" x14ac:dyDescent="0.25"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  <c r="AC88" s="6"/>
      <c r="AD88" s="6"/>
      <c r="AE88" s="6"/>
      <c r="AF88" s="6"/>
      <c r="AG88" s="6"/>
    </row>
    <row r="89" spans="2:33" x14ac:dyDescent="0.25"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  <c r="AB89" s="6"/>
      <c r="AC89" s="6"/>
      <c r="AD89" s="6"/>
      <c r="AE89" s="6"/>
      <c r="AF89" s="6"/>
      <c r="AG89" s="6"/>
    </row>
    <row r="90" spans="2:33" x14ac:dyDescent="0.25"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  <c r="AC90" s="6"/>
      <c r="AD90" s="6"/>
      <c r="AE90" s="6"/>
      <c r="AF90" s="6"/>
      <c r="AG90" s="6"/>
    </row>
    <row r="91" spans="2:33" x14ac:dyDescent="0.25"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  <c r="AC91" s="6"/>
      <c r="AD91" s="6"/>
      <c r="AE91" s="6"/>
      <c r="AF91" s="6"/>
      <c r="AG91" s="6"/>
    </row>
    <row r="92" spans="2:33" x14ac:dyDescent="0.25"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  <c r="AB92" s="6"/>
      <c r="AC92" s="6"/>
      <c r="AD92" s="6"/>
      <c r="AE92" s="6"/>
      <c r="AF92" s="6"/>
      <c r="AG92" s="6"/>
    </row>
    <row r="93" spans="2:33" x14ac:dyDescent="0.25"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  <c r="AC93" s="6"/>
      <c r="AD93" s="6"/>
      <c r="AE93" s="6"/>
      <c r="AF93" s="6"/>
      <c r="AG93" s="6"/>
    </row>
    <row r="94" spans="2:33" x14ac:dyDescent="0.25"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  <c r="AC94" s="6"/>
      <c r="AD94" s="6"/>
      <c r="AE94" s="6"/>
      <c r="AF94" s="6"/>
      <c r="AG94" s="6"/>
    </row>
    <row r="95" spans="2:33" x14ac:dyDescent="0.25"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  <c r="AC95" s="6"/>
      <c r="AD95" s="6"/>
      <c r="AE95" s="6"/>
      <c r="AF95" s="6"/>
      <c r="AG95" s="6"/>
    </row>
    <row r="96" spans="2:33" x14ac:dyDescent="0.25"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  <c r="AB96" s="6"/>
      <c r="AC96" s="6"/>
      <c r="AD96" s="6"/>
      <c r="AE96" s="6"/>
      <c r="AF96" s="6"/>
      <c r="AG96" s="6"/>
    </row>
    <row r="97" spans="12:33" x14ac:dyDescent="0.25"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  <c r="AB97" s="6"/>
      <c r="AC97" s="6"/>
      <c r="AD97" s="6"/>
      <c r="AE97" s="6"/>
      <c r="AF97" s="6"/>
      <c r="AG97" s="6"/>
    </row>
    <row r="98" spans="12:33" x14ac:dyDescent="0.25"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  <c r="AB98" s="6"/>
      <c r="AC98" s="6"/>
      <c r="AD98" s="6"/>
      <c r="AE98" s="6"/>
      <c r="AF98" s="6"/>
      <c r="AG98" s="6"/>
    </row>
    <row r="99" spans="12:33" x14ac:dyDescent="0.25"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  <c r="AB99" s="6"/>
      <c r="AC99" s="6"/>
      <c r="AD99" s="6"/>
      <c r="AE99" s="6"/>
      <c r="AF99" s="6"/>
      <c r="AG99" s="6"/>
    </row>
    <row r="100" spans="12:33" x14ac:dyDescent="0.25"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  <c r="AC100" s="6"/>
      <c r="AD100" s="6"/>
      <c r="AE100" s="6"/>
      <c r="AF100" s="6"/>
      <c r="AG100" s="6"/>
    </row>
    <row r="101" spans="12:33" x14ac:dyDescent="0.25"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  <c r="AA101" s="6"/>
      <c r="AB101" s="6"/>
      <c r="AC101" s="6"/>
      <c r="AD101" s="6"/>
      <c r="AE101" s="6"/>
      <c r="AF101" s="6"/>
      <c r="AG101" s="6"/>
    </row>
    <row r="102" spans="12:33" x14ac:dyDescent="0.25"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  <c r="AA102" s="6"/>
      <c r="AB102" s="6"/>
      <c r="AC102" s="6"/>
      <c r="AD102" s="6"/>
      <c r="AE102" s="6"/>
      <c r="AF102" s="6"/>
      <c r="AG102" s="6"/>
    </row>
    <row r="103" spans="12:33" x14ac:dyDescent="0.25"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  <c r="AA103" s="6"/>
      <c r="AB103" s="6"/>
      <c r="AC103" s="6"/>
      <c r="AD103" s="6"/>
      <c r="AE103" s="6"/>
      <c r="AF103" s="6"/>
      <c r="AG103" s="6"/>
    </row>
    <row r="104" spans="12:33" x14ac:dyDescent="0.25"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  <c r="AA104" s="6"/>
      <c r="AB104" s="6"/>
      <c r="AC104" s="6"/>
      <c r="AD104" s="6"/>
      <c r="AE104" s="6"/>
      <c r="AF104" s="6"/>
      <c r="AG104" s="6"/>
    </row>
    <row r="105" spans="12:33" x14ac:dyDescent="0.25"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  <c r="AA105" s="6"/>
      <c r="AB105" s="6"/>
      <c r="AC105" s="6"/>
      <c r="AD105" s="6"/>
      <c r="AE105" s="6"/>
      <c r="AF105" s="6"/>
      <c r="AG105" s="6"/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B2:BC19"/>
  <sheetViews>
    <sheetView zoomScaleNormal="100" workbookViewId="0">
      <pane xSplit="3" ySplit="3" topLeftCell="AO4" activePane="bottomRight" state="frozen"/>
      <selection activeCell="K22" sqref="K22"/>
      <selection pane="topRight" activeCell="K22" sqref="K22"/>
      <selection pane="bottomLeft" activeCell="K22" sqref="K22"/>
      <selection pane="bottomRight" activeCell="A10" sqref="A10:XFD10"/>
    </sheetView>
  </sheetViews>
  <sheetFormatPr defaultRowHeight="12.75" x14ac:dyDescent="0.2"/>
  <cols>
    <col min="1" max="2" width="8.85546875" style="12" customWidth="1"/>
    <col min="3" max="3" width="13.7109375" style="12" customWidth="1"/>
    <col min="4" max="7" width="10.28515625" style="12" bestFit="1" customWidth="1"/>
    <col min="8" max="10" width="11.7109375" style="12" bestFit="1" customWidth="1"/>
    <col min="11" max="14" width="10.28515625" style="12" bestFit="1" customWidth="1"/>
    <col min="15" max="17" width="11.7109375" style="12" bestFit="1" customWidth="1"/>
    <col min="18" max="21" width="10.28515625" style="12" bestFit="1" customWidth="1"/>
    <col min="22" max="24" width="11.7109375" style="12" bestFit="1" customWidth="1"/>
    <col min="25" max="28" width="10.28515625" style="12" bestFit="1" customWidth="1"/>
    <col min="29" max="31" width="11.7109375" style="12" bestFit="1" customWidth="1"/>
    <col min="32" max="35" width="10.28515625" style="12" bestFit="1" customWidth="1"/>
    <col min="36" max="37" width="11.7109375" style="12" bestFit="1" customWidth="1"/>
    <col min="38" max="41" width="10.28515625" style="12" bestFit="1" customWidth="1"/>
    <col min="42" max="43" width="11.7109375" style="12" bestFit="1" customWidth="1"/>
    <col min="44" max="47" width="10.28515625" style="12" bestFit="1" customWidth="1"/>
    <col min="48" max="49" width="11.7109375" style="12" bestFit="1" customWidth="1"/>
    <col min="50" max="53" width="10.28515625" style="12" bestFit="1" customWidth="1"/>
    <col min="54" max="55" width="11.7109375" style="12" bestFit="1" customWidth="1"/>
    <col min="56" max="245" width="8.85546875" style="12" customWidth="1"/>
    <col min="246" max="246" width="10.85546875" style="12" bestFit="1" customWidth="1"/>
    <col min="247" max="247" width="8.7109375" style="12" customWidth="1"/>
    <col min="248" max="248" width="8.5703125" style="12" customWidth="1"/>
    <col min="249" max="250" width="8.7109375" style="12" customWidth="1"/>
    <col min="251" max="252" width="10.28515625" style="12" customWidth="1"/>
    <col min="253" max="253" width="9.42578125" style="12" customWidth="1"/>
    <col min="254" max="257" width="9.5703125" style="12" customWidth="1"/>
    <col min="258" max="258" width="9.42578125" style="12" customWidth="1"/>
    <col min="259" max="259" width="9.5703125" style="12" customWidth="1"/>
    <col min="260" max="261" width="8.85546875" style="12" customWidth="1"/>
    <col min="262" max="262" width="9" style="12" customWidth="1"/>
    <col min="263" max="263" width="8" style="12" customWidth="1"/>
    <col min="264" max="264" width="7.7109375" style="12" customWidth="1"/>
    <col min="265" max="265" width="7.85546875" style="12" customWidth="1"/>
    <col min="266" max="266" width="8" style="12" customWidth="1"/>
    <col min="267" max="267" width="7.7109375" style="12" customWidth="1"/>
    <col min="268" max="268" width="7.85546875" style="12" customWidth="1"/>
    <col min="269" max="269" width="8.5703125" style="12" customWidth="1"/>
    <col min="270" max="270" width="7.7109375" style="12" customWidth="1"/>
    <col min="271" max="271" width="7.5703125" style="12" customWidth="1"/>
    <col min="272" max="273" width="7.85546875" style="12" customWidth="1"/>
    <col min="274" max="274" width="8.85546875" style="12" customWidth="1"/>
    <col min="275" max="276" width="8.7109375" style="12" customWidth="1"/>
    <col min="277" max="277" width="8.5703125" style="12" customWidth="1"/>
    <col min="278" max="278" width="8.28515625" style="12" customWidth="1"/>
    <col min="279" max="279" width="8.42578125" style="12" customWidth="1"/>
    <col min="280" max="280" width="8.5703125" style="12" customWidth="1"/>
    <col min="281" max="281" width="8.28515625" style="12" customWidth="1"/>
    <col min="282" max="282" width="8.42578125" style="12" customWidth="1"/>
    <col min="283" max="283" width="8.7109375" style="12" bestFit="1" customWidth="1"/>
    <col min="284" max="284" width="8.42578125" style="12" bestFit="1" customWidth="1"/>
    <col min="285" max="285" width="8.5703125" style="12" bestFit="1" customWidth="1"/>
    <col min="286" max="286" width="8.7109375" style="12" bestFit="1" customWidth="1"/>
    <col min="287" max="287" width="8.42578125" style="12" bestFit="1" customWidth="1"/>
    <col min="288" max="288" width="11" style="12" customWidth="1"/>
    <col min="289" max="289" width="8.85546875" style="12" customWidth="1"/>
    <col min="290" max="293" width="9.7109375" style="12" bestFit="1" customWidth="1"/>
    <col min="294" max="294" width="9" style="12" bestFit="1" customWidth="1"/>
    <col min="295" max="501" width="8.85546875" style="12" customWidth="1"/>
    <col min="502" max="502" width="10.85546875" style="12" bestFit="1" customWidth="1"/>
    <col min="503" max="503" width="8.7109375" style="12" customWidth="1"/>
    <col min="504" max="504" width="8.5703125" style="12" customWidth="1"/>
    <col min="505" max="506" width="8.7109375" style="12" customWidth="1"/>
    <col min="507" max="508" width="10.28515625" style="12" customWidth="1"/>
    <col min="509" max="509" width="9.42578125" style="12" customWidth="1"/>
    <col min="510" max="513" width="9.5703125" style="12" customWidth="1"/>
    <col min="514" max="514" width="9.42578125" style="12" customWidth="1"/>
    <col min="515" max="515" width="9.5703125" style="12" customWidth="1"/>
    <col min="516" max="517" width="8.85546875" style="12" customWidth="1"/>
    <col min="518" max="518" width="9" style="12" customWidth="1"/>
    <col min="519" max="519" width="8" style="12" customWidth="1"/>
    <col min="520" max="520" width="7.7109375" style="12" customWidth="1"/>
    <col min="521" max="521" width="7.85546875" style="12" customWidth="1"/>
    <col min="522" max="522" width="8" style="12" customWidth="1"/>
    <col min="523" max="523" width="7.7109375" style="12" customWidth="1"/>
    <col min="524" max="524" width="7.85546875" style="12" customWidth="1"/>
    <col min="525" max="525" width="8.5703125" style="12" customWidth="1"/>
    <col min="526" max="526" width="7.7109375" style="12" customWidth="1"/>
    <col min="527" max="527" width="7.5703125" style="12" customWidth="1"/>
    <col min="528" max="529" width="7.85546875" style="12" customWidth="1"/>
    <col min="530" max="530" width="8.85546875" style="12" customWidth="1"/>
    <col min="531" max="532" width="8.7109375" style="12" customWidth="1"/>
    <col min="533" max="533" width="8.5703125" style="12" customWidth="1"/>
    <col min="534" max="534" width="8.28515625" style="12" customWidth="1"/>
    <col min="535" max="535" width="8.42578125" style="12" customWidth="1"/>
    <col min="536" max="536" width="8.5703125" style="12" customWidth="1"/>
    <col min="537" max="537" width="8.28515625" style="12" customWidth="1"/>
    <col min="538" max="538" width="8.42578125" style="12" customWidth="1"/>
    <col min="539" max="539" width="8.7109375" style="12" bestFit="1" customWidth="1"/>
    <col min="540" max="540" width="8.42578125" style="12" bestFit="1" customWidth="1"/>
    <col min="541" max="541" width="8.5703125" style="12" bestFit="1" customWidth="1"/>
    <col min="542" max="542" width="8.7109375" style="12" bestFit="1" customWidth="1"/>
    <col min="543" max="543" width="8.42578125" style="12" bestFit="1" customWidth="1"/>
    <col min="544" max="544" width="11" style="12" customWidth="1"/>
    <col min="545" max="545" width="8.85546875" style="12" customWidth="1"/>
    <col min="546" max="549" width="9.7109375" style="12" bestFit="1" customWidth="1"/>
    <col min="550" max="550" width="9" style="12" bestFit="1" customWidth="1"/>
    <col min="551" max="757" width="8.85546875" style="12" customWidth="1"/>
    <col min="758" max="758" width="10.85546875" style="12" bestFit="1" customWidth="1"/>
    <col min="759" max="759" width="8.7109375" style="12" customWidth="1"/>
    <col min="760" max="760" width="8.5703125" style="12" customWidth="1"/>
    <col min="761" max="762" width="8.7109375" style="12" customWidth="1"/>
    <col min="763" max="764" width="10.28515625" style="12" customWidth="1"/>
    <col min="765" max="765" width="9.42578125" style="12" customWidth="1"/>
    <col min="766" max="769" width="9.5703125" style="12" customWidth="1"/>
    <col min="770" max="770" width="9.42578125" style="12" customWidth="1"/>
    <col min="771" max="771" width="9.5703125" style="12" customWidth="1"/>
    <col min="772" max="773" width="8.85546875" style="12" customWidth="1"/>
    <col min="774" max="774" width="9" style="12" customWidth="1"/>
    <col min="775" max="775" width="8" style="12" customWidth="1"/>
    <col min="776" max="776" width="7.7109375" style="12" customWidth="1"/>
    <col min="777" max="777" width="7.85546875" style="12" customWidth="1"/>
    <col min="778" max="778" width="8" style="12" customWidth="1"/>
    <col min="779" max="779" width="7.7109375" style="12" customWidth="1"/>
    <col min="780" max="780" width="7.85546875" style="12" customWidth="1"/>
    <col min="781" max="781" width="8.5703125" style="12" customWidth="1"/>
    <col min="782" max="782" width="7.7109375" style="12" customWidth="1"/>
    <col min="783" max="783" width="7.5703125" style="12" customWidth="1"/>
    <col min="784" max="785" width="7.85546875" style="12" customWidth="1"/>
    <col min="786" max="786" width="8.85546875" style="12" customWidth="1"/>
    <col min="787" max="788" width="8.7109375" style="12" customWidth="1"/>
    <col min="789" max="789" width="8.5703125" style="12" customWidth="1"/>
    <col min="790" max="790" width="8.28515625" style="12" customWidth="1"/>
    <col min="791" max="791" width="8.42578125" style="12" customWidth="1"/>
    <col min="792" max="792" width="8.5703125" style="12" customWidth="1"/>
    <col min="793" max="793" width="8.28515625" style="12" customWidth="1"/>
    <col min="794" max="794" width="8.42578125" style="12" customWidth="1"/>
    <col min="795" max="795" width="8.7109375" style="12" bestFit="1" customWidth="1"/>
    <col min="796" max="796" width="8.42578125" style="12" bestFit="1" customWidth="1"/>
    <col min="797" max="797" width="8.5703125" style="12" bestFit="1" customWidth="1"/>
    <col min="798" max="798" width="8.7109375" style="12" bestFit="1" customWidth="1"/>
    <col min="799" max="799" width="8.42578125" style="12" bestFit="1" customWidth="1"/>
    <col min="800" max="800" width="11" style="12" customWidth="1"/>
    <col min="801" max="801" width="8.85546875" style="12" customWidth="1"/>
    <col min="802" max="805" width="9.7109375" style="12" bestFit="1" customWidth="1"/>
    <col min="806" max="806" width="9" style="12" bestFit="1" customWidth="1"/>
    <col min="807" max="1013" width="8.85546875" style="12" customWidth="1"/>
    <col min="1014" max="1014" width="10.85546875" style="12" bestFit="1" customWidth="1"/>
    <col min="1015" max="1015" width="8.7109375" style="12" customWidth="1"/>
    <col min="1016" max="1016" width="8.5703125" style="12" customWidth="1"/>
    <col min="1017" max="1018" width="8.7109375" style="12" customWidth="1"/>
    <col min="1019" max="1020" width="10.28515625" style="12" customWidth="1"/>
    <col min="1021" max="1021" width="9.42578125" style="12" customWidth="1"/>
    <col min="1022" max="1025" width="9.5703125" style="12" customWidth="1"/>
    <col min="1026" max="1026" width="9.42578125" style="12" customWidth="1"/>
    <col min="1027" max="1027" width="9.5703125" style="12" customWidth="1"/>
    <col min="1028" max="1029" width="8.85546875" style="12" customWidth="1"/>
    <col min="1030" max="1030" width="9" style="12" customWidth="1"/>
    <col min="1031" max="1031" width="8" style="12" customWidth="1"/>
    <col min="1032" max="1032" width="7.7109375" style="12" customWidth="1"/>
    <col min="1033" max="1033" width="7.85546875" style="12" customWidth="1"/>
    <col min="1034" max="1034" width="8" style="12" customWidth="1"/>
    <col min="1035" max="1035" width="7.7109375" style="12" customWidth="1"/>
    <col min="1036" max="1036" width="7.85546875" style="12" customWidth="1"/>
    <col min="1037" max="1037" width="8.5703125" style="12" customWidth="1"/>
    <col min="1038" max="1038" width="7.7109375" style="12" customWidth="1"/>
    <col min="1039" max="1039" width="7.5703125" style="12" customWidth="1"/>
    <col min="1040" max="1041" width="7.85546875" style="12" customWidth="1"/>
    <col min="1042" max="1042" width="8.85546875" style="12" customWidth="1"/>
    <col min="1043" max="1044" width="8.7109375" style="12" customWidth="1"/>
    <col min="1045" max="1045" width="8.5703125" style="12" customWidth="1"/>
    <col min="1046" max="1046" width="8.28515625" style="12" customWidth="1"/>
    <col min="1047" max="1047" width="8.42578125" style="12" customWidth="1"/>
    <col min="1048" max="1048" width="8.5703125" style="12" customWidth="1"/>
    <col min="1049" max="1049" width="8.28515625" style="12" customWidth="1"/>
    <col min="1050" max="1050" width="8.42578125" style="12" customWidth="1"/>
    <col min="1051" max="1051" width="8.7109375" style="12" bestFit="1" customWidth="1"/>
    <col min="1052" max="1052" width="8.42578125" style="12" bestFit="1" customWidth="1"/>
    <col min="1053" max="1053" width="8.5703125" style="12" bestFit="1" customWidth="1"/>
    <col min="1054" max="1054" width="8.7109375" style="12" bestFit="1" customWidth="1"/>
    <col min="1055" max="1055" width="8.42578125" style="12" bestFit="1" customWidth="1"/>
    <col min="1056" max="1056" width="11" style="12" customWidth="1"/>
    <col min="1057" max="1057" width="8.85546875" style="12" customWidth="1"/>
    <col min="1058" max="1061" width="9.7109375" style="12" bestFit="1" customWidth="1"/>
    <col min="1062" max="1062" width="9" style="12" bestFit="1" customWidth="1"/>
    <col min="1063" max="1269" width="8.85546875" style="12" customWidth="1"/>
    <col min="1270" max="1270" width="10.85546875" style="12" bestFit="1" customWidth="1"/>
    <col min="1271" max="1271" width="8.7109375" style="12" customWidth="1"/>
    <col min="1272" max="1272" width="8.5703125" style="12" customWidth="1"/>
    <col min="1273" max="1274" width="8.7109375" style="12" customWidth="1"/>
    <col min="1275" max="1276" width="10.28515625" style="12" customWidth="1"/>
    <col min="1277" max="1277" width="9.42578125" style="12" customWidth="1"/>
    <col min="1278" max="1281" width="9.5703125" style="12" customWidth="1"/>
    <col min="1282" max="1282" width="9.42578125" style="12" customWidth="1"/>
    <col min="1283" max="1283" width="9.5703125" style="12" customWidth="1"/>
    <col min="1284" max="1285" width="8.85546875" style="12" customWidth="1"/>
    <col min="1286" max="1286" width="9" style="12" customWidth="1"/>
    <col min="1287" max="1287" width="8" style="12" customWidth="1"/>
    <col min="1288" max="1288" width="7.7109375" style="12" customWidth="1"/>
    <col min="1289" max="1289" width="7.85546875" style="12" customWidth="1"/>
    <col min="1290" max="1290" width="8" style="12" customWidth="1"/>
    <col min="1291" max="1291" width="7.7109375" style="12" customWidth="1"/>
    <col min="1292" max="1292" width="7.85546875" style="12" customWidth="1"/>
    <col min="1293" max="1293" width="8.5703125" style="12" customWidth="1"/>
    <col min="1294" max="1294" width="7.7109375" style="12" customWidth="1"/>
    <col min="1295" max="1295" width="7.5703125" style="12" customWidth="1"/>
    <col min="1296" max="1297" width="7.85546875" style="12" customWidth="1"/>
    <col min="1298" max="1298" width="8.85546875" style="12" customWidth="1"/>
    <col min="1299" max="1300" width="8.7109375" style="12" customWidth="1"/>
    <col min="1301" max="1301" width="8.5703125" style="12" customWidth="1"/>
    <col min="1302" max="1302" width="8.28515625" style="12" customWidth="1"/>
    <col min="1303" max="1303" width="8.42578125" style="12" customWidth="1"/>
    <col min="1304" max="1304" width="8.5703125" style="12" customWidth="1"/>
    <col min="1305" max="1305" width="8.28515625" style="12" customWidth="1"/>
    <col min="1306" max="1306" width="8.42578125" style="12" customWidth="1"/>
    <col min="1307" max="1307" width="8.7109375" style="12" bestFit="1" customWidth="1"/>
    <col min="1308" max="1308" width="8.42578125" style="12" bestFit="1" customWidth="1"/>
    <col min="1309" max="1309" width="8.5703125" style="12" bestFit="1" customWidth="1"/>
    <col min="1310" max="1310" width="8.7109375" style="12" bestFit="1" customWidth="1"/>
    <col min="1311" max="1311" width="8.42578125" style="12" bestFit="1" customWidth="1"/>
    <col min="1312" max="1312" width="11" style="12" customWidth="1"/>
    <col min="1313" max="1313" width="8.85546875" style="12" customWidth="1"/>
    <col min="1314" max="1317" width="9.7109375" style="12" bestFit="1" customWidth="1"/>
    <col min="1318" max="1318" width="9" style="12" bestFit="1" customWidth="1"/>
    <col min="1319" max="1525" width="8.85546875" style="12" customWidth="1"/>
    <col min="1526" max="1526" width="10.85546875" style="12" bestFit="1" customWidth="1"/>
    <col min="1527" max="1527" width="8.7109375" style="12" customWidth="1"/>
    <col min="1528" max="1528" width="8.5703125" style="12" customWidth="1"/>
    <col min="1529" max="1530" width="8.7109375" style="12" customWidth="1"/>
    <col min="1531" max="1532" width="10.28515625" style="12" customWidth="1"/>
    <col min="1533" max="1533" width="9.42578125" style="12" customWidth="1"/>
    <col min="1534" max="1537" width="9.5703125" style="12" customWidth="1"/>
    <col min="1538" max="1538" width="9.42578125" style="12" customWidth="1"/>
    <col min="1539" max="1539" width="9.5703125" style="12" customWidth="1"/>
    <col min="1540" max="1541" width="8.85546875" style="12" customWidth="1"/>
    <col min="1542" max="1542" width="9" style="12" customWidth="1"/>
    <col min="1543" max="1543" width="8" style="12" customWidth="1"/>
    <col min="1544" max="1544" width="7.7109375" style="12" customWidth="1"/>
    <col min="1545" max="1545" width="7.85546875" style="12" customWidth="1"/>
    <col min="1546" max="1546" width="8" style="12" customWidth="1"/>
    <col min="1547" max="1547" width="7.7109375" style="12" customWidth="1"/>
    <col min="1548" max="1548" width="7.85546875" style="12" customWidth="1"/>
    <col min="1549" max="1549" width="8.5703125" style="12" customWidth="1"/>
    <col min="1550" max="1550" width="7.7109375" style="12" customWidth="1"/>
    <col min="1551" max="1551" width="7.5703125" style="12" customWidth="1"/>
    <col min="1552" max="1553" width="7.85546875" style="12" customWidth="1"/>
    <col min="1554" max="1554" width="8.85546875" style="12" customWidth="1"/>
    <col min="1555" max="1556" width="8.7109375" style="12" customWidth="1"/>
    <col min="1557" max="1557" width="8.5703125" style="12" customWidth="1"/>
    <col min="1558" max="1558" width="8.28515625" style="12" customWidth="1"/>
    <col min="1559" max="1559" width="8.42578125" style="12" customWidth="1"/>
    <col min="1560" max="1560" width="8.5703125" style="12" customWidth="1"/>
    <col min="1561" max="1561" width="8.28515625" style="12" customWidth="1"/>
    <col min="1562" max="1562" width="8.42578125" style="12" customWidth="1"/>
    <col min="1563" max="1563" width="8.7109375" style="12" bestFit="1" customWidth="1"/>
    <col min="1564" max="1564" width="8.42578125" style="12" bestFit="1" customWidth="1"/>
    <col min="1565" max="1565" width="8.5703125" style="12" bestFit="1" customWidth="1"/>
    <col min="1566" max="1566" width="8.7109375" style="12" bestFit="1" customWidth="1"/>
    <col min="1567" max="1567" width="8.42578125" style="12" bestFit="1" customWidth="1"/>
    <col min="1568" max="1568" width="11" style="12" customWidth="1"/>
    <col min="1569" max="1569" width="8.85546875" style="12" customWidth="1"/>
    <col min="1570" max="1573" width="9.7109375" style="12" bestFit="1" customWidth="1"/>
    <col min="1574" max="1574" width="9" style="12" bestFit="1" customWidth="1"/>
    <col min="1575" max="1781" width="8.85546875" style="12" customWidth="1"/>
    <col min="1782" max="1782" width="10.85546875" style="12" bestFit="1" customWidth="1"/>
    <col min="1783" max="1783" width="8.7109375" style="12" customWidth="1"/>
    <col min="1784" max="1784" width="8.5703125" style="12" customWidth="1"/>
    <col min="1785" max="1786" width="8.7109375" style="12" customWidth="1"/>
    <col min="1787" max="1788" width="10.28515625" style="12" customWidth="1"/>
    <col min="1789" max="1789" width="9.42578125" style="12" customWidth="1"/>
    <col min="1790" max="1793" width="9.5703125" style="12" customWidth="1"/>
    <col min="1794" max="1794" width="9.42578125" style="12" customWidth="1"/>
    <col min="1795" max="1795" width="9.5703125" style="12" customWidth="1"/>
    <col min="1796" max="1797" width="8.85546875" style="12" customWidth="1"/>
    <col min="1798" max="1798" width="9" style="12" customWidth="1"/>
    <col min="1799" max="1799" width="8" style="12" customWidth="1"/>
    <col min="1800" max="1800" width="7.7109375" style="12" customWidth="1"/>
    <col min="1801" max="1801" width="7.85546875" style="12" customWidth="1"/>
    <col min="1802" max="1802" width="8" style="12" customWidth="1"/>
    <col min="1803" max="1803" width="7.7109375" style="12" customWidth="1"/>
    <col min="1804" max="1804" width="7.85546875" style="12" customWidth="1"/>
    <col min="1805" max="1805" width="8.5703125" style="12" customWidth="1"/>
    <col min="1806" max="1806" width="7.7109375" style="12" customWidth="1"/>
    <col min="1807" max="1807" width="7.5703125" style="12" customWidth="1"/>
    <col min="1808" max="1809" width="7.85546875" style="12" customWidth="1"/>
    <col min="1810" max="1810" width="8.85546875" style="12" customWidth="1"/>
    <col min="1811" max="1812" width="8.7109375" style="12" customWidth="1"/>
    <col min="1813" max="1813" width="8.5703125" style="12" customWidth="1"/>
    <col min="1814" max="1814" width="8.28515625" style="12" customWidth="1"/>
    <col min="1815" max="1815" width="8.42578125" style="12" customWidth="1"/>
    <col min="1816" max="1816" width="8.5703125" style="12" customWidth="1"/>
    <col min="1817" max="1817" width="8.28515625" style="12" customWidth="1"/>
    <col min="1818" max="1818" width="8.42578125" style="12" customWidth="1"/>
    <col min="1819" max="1819" width="8.7109375" style="12" bestFit="1" customWidth="1"/>
    <col min="1820" max="1820" width="8.42578125" style="12" bestFit="1" customWidth="1"/>
    <col min="1821" max="1821" width="8.5703125" style="12" bestFit="1" customWidth="1"/>
    <col min="1822" max="1822" width="8.7109375" style="12" bestFit="1" customWidth="1"/>
    <col min="1823" max="1823" width="8.42578125" style="12" bestFit="1" customWidth="1"/>
    <col min="1824" max="1824" width="11" style="12" customWidth="1"/>
    <col min="1825" max="1825" width="8.85546875" style="12" customWidth="1"/>
    <col min="1826" max="1829" width="9.7109375" style="12" bestFit="1" customWidth="1"/>
    <col min="1830" max="1830" width="9" style="12" bestFit="1" customWidth="1"/>
    <col min="1831" max="2037" width="8.85546875" style="12" customWidth="1"/>
    <col min="2038" max="2038" width="10.85546875" style="12" bestFit="1" customWidth="1"/>
    <col min="2039" max="2039" width="8.7109375" style="12" customWidth="1"/>
    <col min="2040" max="2040" width="8.5703125" style="12" customWidth="1"/>
    <col min="2041" max="2042" width="8.7109375" style="12" customWidth="1"/>
    <col min="2043" max="2044" width="10.28515625" style="12" customWidth="1"/>
    <col min="2045" max="2045" width="9.42578125" style="12" customWidth="1"/>
    <col min="2046" max="2049" width="9.5703125" style="12" customWidth="1"/>
    <col min="2050" max="2050" width="9.42578125" style="12" customWidth="1"/>
    <col min="2051" max="2051" width="9.5703125" style="12" customWidth="1"/>
    <col min="2052" max="2053" width="8.85546875" style="12" customWidth="1"/>
    <col min="2054" max="2054" width="9" style="12" customWidth="1"/>
    <col min="2055" max="2055" width="8" style="12" customWidth="1"/>
    <col min="2056" max="2056" width="7.7109375" style="12" customWidth="1"/>
    <col min="2057" max="2057" width="7.85546875" style="12" customWidth="1"/>
    <col min="2058" max="2058" width="8" style="12" customWidth="1"/>
    <col min="2059" max="2059" width="7.7109375" style="12" customWidth="1"/>
    <col min="2060" max="2060" width="7.85546875" style="12" customWidth="1"/>
    <col min="2061" max="2061" width="8.5703125" style="12" customWidth="1"/>
    <col min="2062" max="2062" width="7.7109375" style="12" customWidth="1"/>
    <col min="2063" max="2063" width="7.5703125" style="12" customWidth="1"/>
    <col min="2064" max="2065" width="7.85546875" style="12" customWidth="1"/>
    <col min="2066" max="2066" width="8.85546875" style="12" customWidth="1"/>
    <col min="2067" max="2068" width="8.7109375" style="12" customWidth="1"/>
    <col min="2069" max="2069" width="8.5703125" style="12" customWidth="1"/>
    <col min="2070" max="2070" width="8.28515625" style="12" customWidth="1"/>
    <col min="2071" max="2071" width="8.42578125" style="12" customWidth="1"/>
    <col min="2072" max="2072" width="8.5703125" style="12" customWidth="1"/>
    <col min="2073" max="2073" width="8.28515625" style="12" customWidth="1"/>
    <col min="2074" max="2074" width="8.42578125" style="12" customWidth="1"/>
    <col min="2075" max="2075" width="8.7109375" style="12" bestFit="1" customWidth="1"/>
    <col min="2076" max="2076" width="8.42578125" style="12" bestFit="1" customWidth="1"/>
    <col min="2077" max="2077" width="8.5703125" style="12" bestFit="1" customWidth="1"/>
    <col min="2078" max="2078" width="8.7109375" style="12" bestFit="1" customWidth="1"/>
    <col min="2079" max="2079" width="8.42578125" style="12" bestFit="1" customWidth="1"/>
    <col min="2080" max="2080" width="11" style="12" customWidth="1"/>
    <col min="2081" max="2081" width="8.85546875" style="12" customWidth="1"/>
    <col min="2082" max="2085" width="9.7109375" style="12" bestFit="1" customWidth="1"/>
    <col min="2086" max="2086" width="9" style="12" bestFit="1" customWidth="1"/>
    <col min="2087" max="2293" width="8.85546875" style="12" customWidth="1"/>
    <col min="2294" max="2294" width="10.85546875" style="12" bestFit="1" customWidth="1"/>
    <col min="2295" max="2295" width="8.7109375" style="12" customWidth="1"/>
    <col min="2296" max="2296" width="8.5703125" style="12" customWidth="1"/>
    <col min="2297" max="2298" width="8.7109375" style="12" customWidth="1"/>
    <col min="2299" max="2300" width="10.28515625" style="12" customWidth="1"/>
    <col min="2301" max="2301" width="9.42578125" style="12" customWidth="1"/>
    <col min="2302" max="2305" width="9.5703125" style="12" customWidth="1"/>
    <col min="2306" max="2306" width="9.42578125" style="12" customWidth="1"/>
    <col min="2307" max="2307" width="9.5703125" style="12" customWidth="1"/>
    <col min="2308" max="2309" width="8.85546875" style="12" customWidth="1"/>
    <col min="2310" max="2310" width="9" style="12" customWidth="1"/>
    <col min="2311" max="2311" width="8" style="12" customWidth="1"/>
    <col min="2312" max="2312" width="7.7109375" style="12" customWidth="1"/>
    <col min="2313" max="2313" width="7.85546875" style="12" customWidth="1"/>
    <col min="2314" max="2314" width="8" style="12" customWidth="1"/>
    <col min="2315" max="2315" width="7.7109375" style="12" customWidth="1"/>
    <col min="2316" max="2316" width="7.85546875" style="12" customWidth="1"/>
    <col min="2317" max="2317" width="8.5703125" style="12" customWidth="1"/>
    <col min="2318" max="2318" width="7.7109375" style="12" customWidth="1"/>
    <col min="2319" max="2319" width="7.5703125" style="12" customWidth="1"/>
    <col min="2320" max="2321" width="7.85546875" style="12" customWidth="1"/>
    <col min="2322" max="2322" width="8.85546875" style="12" customWidth="1"/>
    <col min="2323" max="2324" width="8.7109375" style="12" customWidth="1"/>
    <col min="2325" max="2325" width="8.5703125" style="12" customWidth="1"/>
    <col min="2326" max="2326" width="8.28515625" style="12" customWidth="1"/>
    <col min="2327" max="2327" width="8.42578125" style="12" customWidth="1"/>
    <col min="2328" max="2328" width="8.5703125" style="12" customWidth="1"/>
    <col min="2329" max="2329" width="8.28515625" style="12" customWidth="1"/>
    <col min="2330" max="2330" width="8.42578125" style="12" customWidth="1"/>
    <col min="2331" max="2331" width="8.7109375" style="12" bestFit="1" customWidth="1"/>
    <col min="2332" max="2332" width="8.42578125" style="12" bestFit="1" customWidth="1"/>
    <col min="2333" max="2333" width="8.5703125" style="12" bestFit="1" customWidth="1"/>
    <col min="2334" max="2334" width="8.7109375" style="12" bestFit="1" customWidth="1"/>
    <col min="2335" max="2335" width="8.42578125" style="12" bestFit="1" customWidth="1"/>
    <col min="2336" max="2336" width="11" style="12" customWidth="1"/>
    <col min="2337" max="2337" width="8.85546875" style="12" customWidth="1"/>
    <col min="2338" max="2341" width="9.7109375" style="12" bestFit="1" customWidth="1"/>
    <col min="2342" max="2342" width="9" style="12" bestFit="1" customWidth="1"/>
    <col min="2343" max="2549" width="8.85546875" style="12" customWidth="1"/>
    <col min="2550" max="2550" width="10.85546875" style="12" bestFit="1" customWidth="1"/>
    <col min="2551" max="2551" width="8.7109375" style="12" customWidth="1"/>
    <col min="2552" max="2552" width="8.5703125" style="12" customWidth="1"/>
    <col min="2553" max="2554" width="8.7109375" style="12" customWidth="1"/>
    <col min="2555" max="2556" width="10.28515625" style="12" customWidth="1"/>
    <col min="2557" max="2557" width="9.42578125" style="12" customWidth="1"/>
    <col min="2558" max="2561" width="9.5703125" style="12" customWidth="1"/>
    <col min="2562" max="2562" width="9.42578125" style="12" customWidth="1"/>
    <col min="2563" max="2563" width="9.5703125" style="12" customWidth="1"/>
    <col min="2564" max="2565" width="8.85546875" style="12" customWidth="1"/>
    <col min="2566" max="2566" width="9" style="12" customWidth="1"/>
    <col min="2567" max="2567" width="8" style="12" customWidth="1"/>
    <col min="2568" max="2568" width="7.7109375" style="12" customWidth="1"/>
    <col min="2569" max="2569" width="7.85546875" style="12" customWidth="1"/>
    <col min="2570" max="2570" width="8" style="12" customWidth="1"/>
    <col min="2571" max="2571" width="7.7109375" style="12" customWidth="1"/>
    <col min="2572" max="2572" width="7.85546875" style="12" customWidth="1"/>
    <col min="2573" max="2573" width="8.5703125" style="12" customWidth="1"/>
    <col min="2574" max="2574" width="7.7109375" style="12" customWidth="1"/>
    <col min="2575" max="2575" width="7.5703125" style="12" customWidth="1"/>
    <col min="2576" max="2577" width="7.85546875" style="12" customWidth="1"/>
    <col min="2578" max="2578" width="8.85546875" style="12" customWidth="1"/>
    <col min="2579" max="2580" width="8.7109375" style="12" customWidth="1"/>
    <col min="2581" max="2581" width="8.5703125" style="12" customWidth="1"/>
    <col min="2582" max="2582" width="8.28515625" style="12" customWidth="1"/>
    <col min="2583" max="2583" width="8.42578125" style="12" customWidth="1"/>
    <col min="2584" max="2584" width="8.5703125" style="12" customWidth="1"/>
    <col min="2585" max="2585" width="8.28515625" style="12" customWidth="1"/>
    <col min="2586" max="2586" width="8.42578125" style="12" customWidth="1"/>
    <col min="2587" max="2587" width="8.7109375" style="12" bestFit="1" customWidth="1"/>
    <col min="2588" max="2588" width="8.42578125" style="12" bestFit="1" customWidth="1"/>
    <col min="2589" max="2589" width="8.5703125" style="12" bestFit="1" customWidth="1"/>
    <col min="2590" max="2590" width="8.7109375" style="12" bestFit="1" customWidth="1"/>
    <col min="2591" max="2591" width="8.42578125" style="12" bestFit="1" customWidth="1"/>
    <col min="2592" max="2592" width="11" style="12" customWidth="1"/>
    <col min="2593" max="2593" width="8.85546875" style="12" customWidth="1"/>
    <col min="2594" max="2597" width="9.7109375" style="12" bestFit="1" customWidth="1"/>
    <col min="2598" max="2598" width="9" style="12" bestFit="1" customWidth="1"/>
    <col min="2599" max="2805" width="8.85546875" style="12" customWidth="1"/>
    <col min="2806" max="2806" width="10.85546875" style="12" bestFit="1" customWidth="1"/>
    <col min="2807" max="2807" width="8.7109375" style="12" customWidth="1"/>
    <col min="2808" max="2808" width="8.5703125" style="12" customWidth="1"/>
    <col min="2809" max="2810" width="8.7109375" style="12" customWidth="1"/>
    <col min="2811" max="2812" width="10.28515625" style="12" customWidth="1"/>
    <col min="2813" max="2813" width="9.42578125" style="12" customWidth="1"/>
    <col min="2814" max="2817" width="9.5703125" style="12" customWidth="1"/>
    <col min="2818" max="2818" width="9.42578125" style="12" customWidth="1"/>
    <col min="2819" max="2819" width="9.5703125" style="12" customWidth="1"/>
    <col min="2820" max="2821" width="8.85546875" style="12" customWidth="1"/>
    <col min="2822" max="2822" width="9" style="12" customWidth="1"/>
    <col min="2823" max="2823" width="8" style="12" customWidth="1"/>
    <col min="2824" max="2824" width="7.7109375" style="12" customWidth="1"/>
    <col min="2825" max="2825" width="7.85546875" style="12" customWidth="1"/>
    <col min="2826" max="2826" width="8" style="12" customWidth="1"/>
    <col min="2827" max="2827" width="7.7109375" style="12" customWidth="1"/>
    <col min="2828" max="2828" width="7.85546875" style="12" customWidth="1"/>
    <col min="2829" max="2829" width="8.5703125" style="12" customWidth="1"/>
    <col min="2830" max="2830" width="7.7109375" style="12" customWidth="1"/>
    <col min="2831" max="2831" width="7.5703125" style="12" customWidth="1"/>
    <col min="2832" max="2833" width="7.85546875" style="12" customWidth="1"/>
    <col min="2834" max="2834" width="8.85546875" style="12" customWidth="1"/>
    <col min="2835" max="2836" width="8.7109375" style="12" customWidth="1"/>
    <col min="2837" max="2837" width="8.5703125" style="12" customWidth="1"/>
    <col min="2838" max="2838" width="8.28515625" style="12" customWidth="1"/>
    <col min="2839" max="2839" width="8.42578125" style="12" customWidth="1"/>
    <col min="2840" max="2840" width="8.5703125" style="12" customWidth="1"/>
    <col min="2841" max="2841" width="8.28515625" style="12" customWidth="1"/>
    <col min="2842" max="2842" width="8.42578125" style="12" customWidth="1"/>
    <col min="2843" max="2843" width="8.7109375" style="12" bestFit="1" customWidth="1"/>
    <col min="2844" max="2844" width="8.42578125" style="12" bestFit="1" customWidth="1"/>
    <col min="2845" max="2845" width="8.5703125" style="12" bestFit="1" customWidth="1"/>
    <col min="2846" max="2846" width="8.7109375" style="12" bestFit="1" customWidth="1"/>
    <col min="2847" max="2847" width="8.42578125" style="12" bestFit="1" customWidth="1"/>
    <col min="2848" max="2848" width="11" style="12" customWidth="1"/>
    <col min="2849" max="2849" width="8.85546875" style="12" customWidth="1"/>
    <col min="2850" max="2853" width="9.7109375" style="12" bestFit="1" customWidth="1"/>
    <col min="2854" max="2854" width="9" style="12" bestFit="1" customWidth="1"/>
    <col min="2855" max="3061" width="8.85546875" style="12" customWidth="1"/>
    <col min="3062" max="3062" width="10.85546875" style="12" bestFit="1" customWidth="1"/>
    <col min="3063" max="3063" width="8.7109375" style="12" customWidth="1"/>
    <col min="3064" max="3064" width="8.5703125" style="12" customWidth="1"/>
    <col min="3065" max="3066" width="8.7109375" style="12" customWidth="1"/>
    <col min="3067" max="3068" width="10.28515625" style="12" customWidth="1"/>
    <col min="3069" max="3069" width="9.42578125" style="12" customWidth="1"/>
    <col min="3070" max="3073" width="9.5703125" style="12" customWidth="1"/>
    <col min="3074" max="3074" width="9.42578125" style="12" customWidth="1"/>
    <col min="3075" max="3075" width="9.5703125" style="12" customWidth="1"/>
    <col min="3076" max="3077" width="8.85546875" style="12" customWidth="1"/>
    <col min="3078" max="3078" width="9" style="12" customWidth="1"/>
    <col min="3079" max="3079" width="8" style="12" customWidth="1"/>
    <col min="3080" max="3080" width="7.7109375" style="12" customWidth="1"/>
    <col min="3081" max="3081" width="7.85546875" style="12" customWidth="1"/>
    <col min="3082" max="3082" width="8" style="12" customWidth="1"/>
    <col min="3083" max="3083" width="7.7109375" style="12" customWidth="1"/>
    <col min="3084" max="3084" width="7.85546875" style="12" customWidth="1"/>
    <col min="3085" max="3085" width="8.5703125" style="12" customWidth="1"/>
    <col min="3086" max="3086" width="7.7109375" style="12" customWidth="1"/>
    <col min="3087" max="3087" width="7.5703125" style="12" customWidth="1"/>
    <col min="3088" max="3089" width="7.85546875" style="12" customWidth="1"/>
    <col min="3090" max="3090" width="8.85546875" style="12" customWidth="1"/>
    <col min="3091" max="3092" width="8.7109375" style="12" customWidth="1"/>
    <col min="3093" max="3093" width="8.5703125" style="12" customWidth="1"/>
    <col min="3094" max="3094" width="8.28515625" style="12" customWidth="1"/>
    <col min="3095" max="3095" width="8.42578125" style="12" customWidth="1"/>
    <col min="3096" max="3096" width="8.5703125" style="12" customWidth="1"/>
    <col min="3097" max="3097" width="8.28515625" style="12" customWidth="1"/>
    <col min="3098" max="3098" width="8.42578125" style="12" customWidth="1"/>
    <col min="3099" max="3099" width="8.7109375" style="12" bestFit="1" customWidth="1"/>
    <col min="3100" max="3100" width="8.42578125" style="12" bestFit="1" customWidth="1"/>
    <col min="3101" max="3101" width="8.5703125" style="12" bestFit="1" customWidth="1"/>
    <col min="3102" max="3102" width="8.7109375" style="12" bestFit="1" customWidth="1"/>
    <col min="3103" max="3103" width="8.42578125" style="12" bestFit="1" customWidth="1"/>
    <col min="3104" max="3104" width="11" style="12" customWidth="1"/>
    <col min="3105" max="3105" width="8.85546875" style="12" customWidth="1"/>
    <col min="3106" max="3109" width="9.7109375" style="12" bestFit="1" customWidth="1"/>
    <col min="3110" max="3110" width="9" style="12" bestFit="1" customWidth="1"/>
    <col min="3111" max="3317" width="8.85546875" style="12" customWidth="1"/>
    <col min="3318" max="3318" width="10.85546875" style="12" bestFit="1" customWidth="1"/>
    <col min="3319" max="3319" width="8.7109375" style="12" customWidth="1"/>
    <col min="3320" max="3320" width="8.5703125" style="12" customWidth="1"/>
    <col min="3321" max="3322" width="8.7109375" style="12" customWidth="1"/>
    <col min="3323" max="3324" width="10.28515625" style="12" customWidth="1"/>
    <col min="3325" max="3325" width="9.42578125" style="12" customWidth="1"/>
    <col min="3326" max="3329" width="9.5703125" style="12" customWidth="1"/>
    <col min="3330" max="3330" width="9.42578125" style="12" customWidth="1"/>
    <col min="3331" max="3331" width="9.5703125" style="12" customWidth="1"/>
    <col min="3332" max="3333" width="8.85546875" style="12" customWidth="1"/>
    <col min="3334" max="3334" width="9" style="12" customWidth="1"/>
    <col min="3335" max="3335" width="8" style="12" customWidth="1"/>
    <col min="3336" max="3336" width="7.7109375" style="12" customWidth="1"/>
    <col min="3337" max="3337" width="7.85546875" style="12" customWidth="1"/>
    <col min="3338" max="3338" width="8" style="12" customWidth="1"/>
    <col min="3339" max="3339" width="7.7109375" style="12" customWidth="1"/>
    <col min="3340" max="3340" width="7.85546875" style="12" customWidth="1"/>
    <col min="3341" max="3341" width="8.5703125" style="12" customWidth="1"/>
    <col min="3342" max="3342" width="7.7109375" style="12" customWidth="1"/>
    <col min="3343" max="3343" width="7.5703125" style="12" customWidth="1"/>
    <col min="3344" max="3345" width="7.85546875" style="12" customWidth="1"/>
    <col min="3346" max="3346" width="8.85546875" style="12" customWidth="1"/>
    <col min="3347" max="3348" width="8.7109375" style="12" customWidth="1"/>
    <col min="3349" max="3349" width="8.5703125" style="12" customWidth="1"/>
    <col min="3350" max="3350" width="8.28515625" style="12" customWidth="1"/>
    <col min="3351" max="3351" width="8.42578125" style="12" customWidth="1"/>
    <col min="3352" max="3352" width="8.5703125" style="12" customWidth="1"/>
    <col min="3353" max="3353" width="8.28515625" style="12" customWidth="1"/>
    <col min="3354" max="3354" width="8.42578125" style="12" customWidth="1"/>
    <col min="3355" max="3355" width="8.7109375" style="12" bestFit="1" customWidth="1"/>
    <col min="3356" max="3356" width="8.42578125" style="12" bestFit="1" customWidth="1"/>
    <col min="3357" max="3357" width="8.5703125" style="12" bestFit="1" customWidth="1"/>
    <col min="3358" max="3358" width="8.7109375" style="12" bestFit="1" customWidth="1"/>
    <col min="3359" max="3359" width="8.42578125" style="12" bestFit="1" customWidth="1"/>
    <col min="3360" max="3360" width="11" style="12" customWidth="1"/>
    <col min="3361" max="3361" width="8.85546875" style="12" customWidth="1"/>
    <col min="3362" max="3365" width="9.7109375" style="12" bestFit="1" customWidth="1"/>
    <col min="3366" max="3366" width="9" style="12" bestFit="1" customWidth="1"/>
    <col min="3367" max="3573" width="8.85546875" style="12" customWidth="1"/>
    <col min="3574" max="3574" width="10.85546875" style="12" bestFit="1" customWidth="1"/>
    <col min="3575" max="3575" width="8.7109375" style="12" customWidth="1"/>
    <col min="3576" max="3576" width="8.5703125" style="12" customWidth="1"/>
    <col min="3577" max="3578" width="8.7109375" style="12" customWidth="1"/>
    <col min="3579" max="3580" width="10.28515625" style="12" customWidth="1"/>
    <col min="3581" max="3581" width="9.42578125" style="12" customWidth="1"/>
    <col min="3582" max="3585" width="9.5703125" style="12" customWidth="1"/>
    <col min="3586" max="3586" width="9.42578125" style="12" customWidth="1"/>
    <col min="3587" max="3587" width="9.5703125" style="12" customWidth="1"/>
    <col min="3588" max="3589" width="8.85546875" style="12" customWidth="1"/>
    <col min="3590" max="3590" width="9" style="12" customWidth="1"/>
    <col min="3591" max="3591" width="8" style="12" customWidth="1"/>
    <col min="3592" max="3592" width="7.7109375" style="12" customWidth="1"/>
    <col min="3593" max="3593" width="7.85546875" style="12" customWidth="1"/>
    <col min="3594" max="3594" width="8" style="12" customWidth="1"/>
    <col min="3595" max="3595" width="7.7109375" style="12" customWidth="1"/>
    <col min="3596" max="3596" width="7.85546875" style="12" customWidth="1"/>
    <col min="3597" max="3597" width="8.5703125" style="12" customWidth="1"/>
    <col min="3598" max="3598" width="7.7109375" style="12" customWidth="1"/>
    <col min="3599" max="3599" width="7.5703125" style="12" customWidth="1"/>
    <col min="3600" max="3601" width="7.85546875" style="12" customWidth="1"/>
    <col min="3602" max="3602" width="8.85546875" style="12" customWidth="1"/>
    <col min="3603" max="3604" width="8.7109375" style="12" customWidth="1"/>
    <col min="3605" max="3605" width="8.5703125" style="12" customWidth="1"/>
    <col min="3606" max="3606" width="8.28515625" style="12" customWidth="1"/>
    <col min="3607" max="3607" width="8.42578125" style="12" customWidth="1"/>
    <col min="3608" max="3608" width="8.5703125" style="12" customWidth="1"/>
    <col min="3609" max="3609" width="8.28515625" style="12" customWidth="1"/>
    <col min="3610" max="3610" width="8.42578125" style="12" customWidth="1"/>
    <col min="3611" max="3611" width="8.7109375" style="12" bestFit="1" customWidth="1"/>
    <col min="3612" max="3612" width="8.42578125" style="12" bestFit="1" customWidth="1"/>
    <col min="3613" max="3613" width="8.5703125" style="12" bestFit="1" customWidth="1"/>
    <col min="3614" max="3614" width="8.7109375" style="12" bestFit="1" customWidth="1"/>
    <col min="3615" max="3615" width="8.42578125" style="12" bestFit="1" customWidth="1"/>
    <col min="3616" max="3616" width="11" style="12" customWidth="1"/>
    <col min="3617" max="3617" width="8.85546875" style="12" customWidth="1"/>
    <col min="3618" max="3621" width="9.7109375" style="12" bestFit="1" customWidth="1"/>
    <col min="3622" max="3622" width="9" style="12" bestFit="1" customWidth="1"/>
    <col min="3623" max="3829" width="8.85546875" style="12" customWidth="1"/>
    <col min="3830" max="3830" width="10.85546875" style="12" bestFit="1" customWidth="1"/>
    <col min="3831" max="3831" width="8.7109375" style="12" customWidth="1"/>
    <col min="3832" max="3832" width="8.5703125" style="12" customWidth="1"/>
    <col min="3833" max="3834" width="8.7109375" style="12" customWidth="1"/>
    <col min="3835" max="3836" width="10.28515625" style="12" customWidth="1"/>
    <col min="3837" max="3837" width="9.42578125" style="12" customWidth="1"/>
    <col min="3838" max="3841" width="9.5703125" style="12" customWidth="1"/>
    <col min="3842" max="3842" width="9.42578125" style="12" customWidth="1"/>
    <col min="3843" max="3843" width="9.5703125" style="12" customWidth="1"/>
    <col min="3844" max="3845" width="8.85546875" style="12" customWidth="1"/>
    <col min="3846" max="3846" width="9" style="12" customWidth="1"/>
    <col min="3847" max="3847" width="8" style="12" customWidth="1"/>
    <col min="3848" max="3848" width="7.7109375" style="12" customWidth="1"/>
    <col min="3849" max="3849" width="7.85546875" style="12" customWidth="1"/>
    <col min="3850" max="3850" width="8" style="12" customWidth="1"/>
    <col min="3851" max="3851" width="7.7109375" style="12" customWidth="1"/>
    <col min="3852" max="3852" width="7.85546875" style="12" customWidth="1"/>
    <col min="3853" max="3853" width="8.5703125" style="12" customWidth="1"/>
    <col min="3854" max="3854" width="7.7109375" style="12" customWidth="1"/>
    <col min="3855" max="3855" width="7.5703125" style="12" customWidth="1"/>
    <col min="3856" max="3857" width="7.85546875" style="12" customWidth="1"/>
    <col min="3858" max="3858" width="8.85546875" style="12" customWidth="1"/>
    <col min="3859" max="3860" width="8.7109375" style="12" customWidth="1"/>
    <col min="3861" max="3861" width="8.5703125" style="12" customWidth="1"/>
    <col min="3862" max="3862" width="8.28515625" style="12" customWidth="1"/>
    <col min="3863" max="3863" width="8.42578125" style="12" customWidth="1"/>
    <col min="3864" max="3864" width="8.5703125" style="12" customWidth="1"/>
    <col min="3865" max="3865" width="8.28515625" style="12" customWidth="1"/>
    <col min="3866" max="3866" width="8.42578125" style="12" customWidth="1"/>
    <col min="3867" max="3867" width="8.7109375" style="12" bestFit="1" customWidth="1"/>
    <col min="3868" max="3868" width="8.42578125" style="12" bestFit="1" customWidth="1"/>
    <col min="3869" max="3869" width="8.5703125" style="12" bestFit="1" customWidth="1"/>
    <col min="3870" max="3870" width="8.7109375" style="12" bestFit="1" customWidth="1"/>
    <col min="3871" max="3871" width="8.42578125" style="12" bestFit="1" customWidth="1"/>
    <col min="3872" max="3872" width="11" style="12" customWidth="1"/>
    <col min="3873" max="3873" width="8.85546875" style="12" customWidth="1"/>
    <col min="3874" max="3877" width="9.7109375" style="12" bestFit="1" customWidth="1"/>
    <col min="3878" max="3878" width="9" style="12" bestFit="1" customWidth="1"/>
    <col min="3879" max="4085" width="8.85546875" style="12" customWidth="1"/>
    <col min="4086" max="4086" width="10.85546875" style="12" bestFit="1" customWidth="1"/>
    <col min="4087" max="4087" width="8.7109375" style="12" customWidth="1"/>
    <col min="4088" max="4088" width="8.5703125" style="12" customWidth="1"/>
    <col min="4089" max="4090" width="8.7109375" style="12" customWidth="1"/>
    <col min="4091" max="4092" width="10.28515625" style="12" customWidth="1"/>
    <col min="4093" max="4093" width="9.42578125" style="12" customWidth="1"/>
    <col min="4094" max="4097" width="9.5703125" style="12" customWidth="1"/>
    <col min="4098" max="4098" width="9.42578125" style="12" customWidth="1"/>
    <col min="4099" max="4099" width="9.5703125" style="12" customWidth="1"/>
    <col min="4100" max="4101" width="8.85546875" style="12" customWidth="1"/>
    <col min="4102" max="4102" width="9" style="12" customWidth="1"/>
    <col min="4103" max="4103" width="8" style="12" customWidth="1"/>
    <col min="4104" max="4104" width="7.7109375" style="12" customWidth="1"/>
    <col min="4105" max="4105" width="7.85546875" style="12" customWidth="1"/>
    <col min="4106" max="4106" width="8" style="12" customWidth="1"/>
    <col min="4107" max="4107" width="7.7109375" style="12" customWidth="1"/>
    <col min="4108" max="4108" width="7.85546875" style="12" customWidth="1"/>
    <col min="4109" max="4109" width="8.5703125" style="12" customWidth="1"/>
    <col min="4110" max="4110" width="7.7109375" style="12" customWidth="1"/>
    <col min="4111" max="4111" width="7.5703125" style="12" customWidth="1"/>
    <col min="4112" max="4113" width="7.85546875" style="12" customWidth="1"/>
    <col min="4114" max="4114" width="8.85546875" style="12" customWidth="1"/>
    <col min="4115" max="4116" width="8.7109375" style="12" customWidth="1"/>
    <col min="4117" max="4117" width="8.5703125" style="12" customWidth="1"/>
    <col min="4118" max="4118" width="8.28515625" style="12" customWidth="1"/>
    <col min="4119" max="4119" width="8.42578125" style="12" customWidth="1"/>
    <col min="4120" max="4120" width="8.5703125" style="12" customWidth="1"/>
    <col min="4121" max="4121" width="8.28515625" style="12" customWidth="1"/>
    <col min="4122" max="4122" width="8.42578125" style="12" customWidth="1"/>
    <col min="4123" max="4123" width="8.7109375" style="12" bestFit="1" customWidth="1"/>
    <col min="4124" max="4124" width="8.42578125" style="12" bestFit="1" customWidth="1"/>
    <col min="4125" max="4125" width="8.5703125" style="12" bestFit="1" customWidth="1"/>
    <col min="4126" max="4126" width="8.7109375" style="12" bestFit="1" customWidth="1"/>
    <col min="4127" max="4127" width="8.42578125" style="12" bestFit="1" customWidth="1"/>
    <col min="4128" max="4128" width="11" style="12" customWidth="1"/>
    <col min="4129" max="4129" width="8.85546875" style="12" customWidth="1"/>
    <col min="4130" max="4133" width="9.7109375" style="12" bestFit="1" customWidth="1"/>
    <col min="4134" max="4134" width="9" style="12" bestFit="1" customWidth="1"/>
    <col min="4135" max="4341" width="8.85546875" style="12" customWidth="1"/>
    <col min="4342" max="4342" width="10.85546875" style="12" bestFit="1" customWidth="1"/>
    <col min="4343" max="4343" width="8.7109375" style="12" customWidth="1"/>
    <col min="4344" max="4344" width="8.5703125" style="12" customWidth="1"/>
    <col min="4345" max="4346" width="8.7109375" style="12" customWidth="1"/>
    <col min="4347" max="4348" width="10.28515625" style="12" customWidth="1"/>
    <col min="4349" max="4349" width="9.42578125" style="12" customWidth="1"/>
    <col min="4350" max="4353" width="9.5703125" style="12" customWidth="1"/>
    <col min="4354" max="4354" width="9.42578125" style="12" customWidth="1"/>
    <col min="4355" max="4355" width="9.5703125" style="12" customWidth="1"/>
    <col min="4356" max="4357" width="8.85546875" style="12" customWidth="1"/>
    <col min="4358" max="4358" width="9" style="12" customWidth="1"/>
    <col min="4359" max="4359" width="8" style="12" customWidth="1"/>
    <col min="4360" max="4360" width="7.7109375" style="12" customWidth="1"/>
    <col min="4361" max="4361" width="7.85546875" style="12" customWidth="1"/>
    <col min="4362" max="4362" width="8" style="12" customWidth="1"/>
    <col min="4363" max="4363" width="7.7109375" style="12" customWidth="1"/>
    <col min="4364" max="4364" width="7.85546875" style="12" customWidth="1"/>
    <col min="4365" max="4365" width="8.5703125" style="12" customWidth="1"/>
    <col min="4366" max="4366" width="7.7109375" style="12" customWidth="1"/>
    <col min="4367" max="4367" width="7.5703125" style="12" customWidth="1"/>
    <col min="4368" max="4369" width="7.85546875" style="12" customWidth="1"/>
    <col min="4370" max="4370" width="8.85546875" style="12" customWidth="1"/>
    <col min="4371" max="4372" width="8.7109375" style="12" customWidth="1"/>
    <col min="4373" max="4373" width="8.5703125" style="12" customWidth="1"/>
    <col min="4374" max="4374" width="8.28515625" style="12" customWidth="1"/>
    <col min="4375" max="4375" width="8.42578125" style="12" customWidth="1"/>
    <col min="4376" max="4376" width="8.5703125" style="12" customWidth="1"/>
    <col min="4377" max="4377" width="8.28515625" style="12" customWidth="1"/>
    <col min="4378" max="4378" width="8.42578125" style="12" customWidth="1"/>
    <col min="4379" max="4379" width="8.7109375" style="12" bestFit="1" customWidth="1"/>
    <col min="4380" max="4380" width="8.42578125" style="12" bestFit="1" customWidth="1"/>
    <col min="4381" max="4381" width="8.5703125" style="12" bestFit="1" customWidth="1"/>
    <col min="4382" max="4382" width="8.7109375" style="12" bestFit="1" customWidth="1"/>
    <col min="4383" max="4383" width="8.42578125" style="12" bestFit="1" customWidth="1"/>
    <col min="4384" max="4384" width="11" style="12" customWidth="1"/>
    <col min="4385" max="4385" width="8.85546875" style="12" customWidth="1"/>
    <col min="4386" max="4389" width="9.7109375" style="12" bestFit="1" customWidth="1"/>
    <col min="4390" max="4390" width="9" style="12" bestFit="1" customWidth="1"/>
    <col min="4391" max="4597" width="8.85546875" style="12" customWidth="1"/>
    <col min="4598" max="4598" width="10.85546875" style="12" bestFit="1" customWidth="1"/>
    <col min="4599" max="4599" width="8.7109375" style="12" customWidth="1"/>
    <col min="4600" max="4600" width="8.5703125" style="12" customWidth="1"/>
    <col min="4601" max="4602" width="8.7109375" style="12" customWidth="1"/>
    <col min="4603" max="4604" width="10.28515625" style="12" customWidth="1"/>
    <col min="4605" max="4605" width="9.42578125" style="12" customWidth="1"/>
    <col min="4606" max="4609" width="9.5703125" style="12" customWidth="1"/>
    <col min="4610" max="4610" width="9.42578125" style="12" customWidth="1"/>
    <col min="4611" max="4611" width="9.5703125" style="12" customWidth="1"/>
    <col min="4612" max="4613" width="8.85546875" style="12" customWidth="1"/>
    <col min="4614" max="4614" width="9" style="12" customWidth="1"/>
    <col min="4615" max="4615" width="8" style="12" customWidth="1"/>
    <col min="4616" max="4616" width="7.7109375" style="12" customWidth="1"/>
    <col min="4617" max="4617" width="7.85546875" style="12" customWidth="1"/>
    <col min="4618" max="4618" width="8" style="12" customWidth="1"/>
    <col min="4619" max="4619" width="7.7109375" style="12" customWidth="1"/>
    <col min="4620" max="4620" width="7.85546875" style="12" customWidth="1"/>
    <col min="4621" max="4621" width="8.5703125" style="12" customWidth="1"/>
    <col min="4622" max="4622" width="7.7109375" style="12" customWidth="1"/>
    <col min="4623" max="4623" width="7.5703125" style="12" customWidth="1"/>
    <col min="4624" max="4625" width="7.85546875" style="12" customWidth="1"/>
    <col min="4626" max="4626" width="8.85546875" style="12" customWidth="1"/>
    <col min="4627" max="4628" width="8.7109375" style="12" customWidth="1"/>
    <col min="4629" max="4629" width="8.5703125" style="12" customWidth="1"/>
    <col min="4630" max="4630" width="8.28515625" style="12" customWidth="1"/>
    <col min="4631" max="4631" width="8.42578125" style="12" customWidth="1"/>
    <col min="4632" max="4632" width="8.5703125" style="12" customWidth="1"/>
    <col min="4633" max="4633" width="8.28515625" style="12" customWidth="1"/>
    <col min="4634" max="4634" width="8.42578125" style="12" customWidth="1"/>
    <col min="4635" max="4635" width="8.7109375" style="12" bestFit="1" customWidth="1"/>
    <col min="4636" max="4636" width="8.42578125" style="12" bestFit="1" customWidth="1"/>
    <col min="4637" max="4637" width="8.5703125" style="12" bestFit="1" customWidth="1"/>
    <col min="4638" max="4638" width="8.7109375" style="12" bestFit="1" customWidth="1"/>
    <col min="4639" max="4639" width="8.42578125" style="12" bestFit="1" customWidth="1"/>
    <col min="4640" max="4640" width="11" style="12" customWidth="1"/>
    <col min="4641" max="4641" width="8.85546875" style="12" customWidth="1"/>
    <col min="4642" max="4645" width="9.7109375" style="12" bestFit="1" customWidth="1"/>
    <col min="4646" max="4646" width="9" style="12" bestFit="1" customWidth="1"/>
    <col min="4647" max="4853" width="8.85546875" style="12" customWidth="1"/>
    <col min="4854" max="4854" width="10.85546875" style="12" bestFit="1" customWidth="1"/>
    <col min="4855" max="4855" width="8.7109375" style="12" customWidth="1"/>
    <col min="4856" max="4856" width="8.5703125" style="12" customWidth="1"/>
    <col min="4857" max="4858" width="8.7109375" style="12" customWidth="1"/>
    <col min="4859" max="4860" width="10.28515625" style="12" customWidth="1"/>
    <col min="4861" max="4861" width="9.42578125" style="12" customWidth="1"/>
    <col min="4862" max="4865" width="9.5703125" style="12" customWidth="1"/>
    <col min="4866" max="4866" width="9.42578125" style="12" customWidth="1"/>
    <col min="4867" max="4867" width="9.5703125" style="12" customWidth="1"/>
    <col min="4868" max="4869" width="8.85546875" style="12" customWidth="1"/>
    <col min="4870" max="4870" width="9" style="12" customWidth="1"/>
    <col min="4871" max="4871" width="8" style="12" customWidth="1"/>
    <col min="4872" max="4872" width="7.7109375" style="12" customWidth="1"/>
    <col min="4873" max="4873" width="7.85546875" style="12" customWidth="1"/>
    <col min="4874" max="4874" width="8" style="12" customWidth="1"/>
    <col min="4875" max="4875" width="7.7109375" style="12" customWidth="1"/>
    <col min="4876" max="4876" width="7.85546875" style="12" customWidth="1"/>
    <col min="4877" max="4877" width="8.5703125" style="12" customWidth="1"/>
    <col min="4878" max="4878" width="7.7109375" style="12" customWidth="1"/>
    <col min="4879" max="4879" width="7.5703125" style="12" customWidth="1"/>
    <col min="4880" max="4881" width="7.85546875" style="12" customWidth="1"/>
    <col min="4882" max="4882" width="8.85546875" style="12" customWidth="1"/>
    <col min="4883" max="4884" width="8.7109375" style="12" customWidth="1"/>
    <col min="4885" max="4885" width="8.5703125" style="12" customWidth="1"/>
    <col min="4886" max="4886" width="8.28515625" style="12" customWidth="1"/>
    <col min="4887" max="4887" width="8.42578125" style="12" customWidth="1"/>
    <col min="4888" max="4888" width="8.5703125" style="12" customWidth="1"/>
    <col min="4889" max="4889" width="8.28515625" style="12" customWidth="1"/>
    <col min="4890" max="4890" width="8.42578125" style="12" customWidth="1"/>
    <col min="4891" max="4891" width="8.7109375" style="12" bestFit="1" customWidth="1"/>
    <col min="4892" max="4892" width="8.42578125" style="12" bestFit="1" customWidth="1"/>
    <col min="4893" max="4893" width="8.5703125" style="12" bestFit="1" customWidth="1"/>
    <col min="4894" max="4894" width="8.7109375" style="12" bestFit="1" customWidth="1"/>
    <col min="4895" max="4895" width="8.42578125" style="12" bestFit="1" customWidth="1"/>
    <col min="4896" max="4896" width="11" style="12" customWidth="1"/>
    <col min="4897" max="4897" width="8.85546875" style="12" customWidth="1"/>
    <col min="4898" max="4901" width="9.7109375" style="12" bestFit="1" customWidth="1"/>
    <col min="4902" max="4902" width="9" style="12" bestFit="1" customWidth="1"/>
    <col min="4903" max="5109" width="8.85546875" style="12" customWidth="1"/>
    <col min="5110" max="5110" width="10.85546875" style="12" bestFit="1" customWidth="1"/>
    <col min="5111" max="5111" width="8.7109375" style="12" customWidth="1"/>
    <col min="5112" max="5112" width="8.5703125" style="12" customWidth="1"/>
    <col min="5113" max="5114" width="8.7109375" style="12" customWidth="1"/>
    <col min="5115" max="5116" width="10.28515625" style="12" customWidth="1"/>
    <col min="5117" max="5117" width="9.42578125" style="12" customWidth="1"/>
    <col min="5118" max="5121" width="9.5703125" style="12" customWidth="1"/>
    <col min="5122" max="5122" width="9.42578125" style="12" customWidth="1"/>
    <col min="5123" max="5123" width="9.5703125" style="12" customWidth="1"/>
    <col min="5124" max="5125" width="8.85546875" style="12" customWidth="1"/>
    <col min="5126" max="5126" width="9" style="12" customWidth="1"/>
    <col min="5127" max="5127" width="8" style="12" customWidth="1"/>
    <col min="5128" max="5128" width="7.7109375" style="12" customWidth="1"/>
    <col min="5129" max="5129" width="7.85546875" style="12" customWidth="1"/>
    <col min="5130" max="5130" width="8" style="12" customWidth="1"/>
    <col min="5131" max="5131" width="7.7109375" style="12" customWidth="1"/>
    <col min="5132" max="5132" width="7.85546875" style="12" customWidth="1"/>
    <col min="5133" max="5133" width="8.5703125" style="12" customWidth="1"/>
    <col min="5134" max="5134" width="7.7109375" style="12" customWidth="1"/>
    <col min="5135" max="5135" width="7.5703125" style="12" customWidth="1"/>
    <col min="5136" max="5137" width="7.85546875" style="12" customWidth="1"/>
    <col min="5138" max="5138" width="8.85546875" style="12" customWidth="1"/>
    <col min="5139" max="5140" width="8.7109375" style="12" customWidth="1"/>
    <col min="5141" max="5141" width="8.5703125" style="12" customWidth="1"/>
    <col min="5142" max="5142" width="8.28515625" style="12" customWidth="1"/>
    <col min="5143" max="5143" width="8.42578125" style="12" customWidth="1"/>
    <col min="5144" max="5144" width="8.5703125" style="12" customWidth="1"/>
    <col min="5145" max="5145" width="8.28515625" style="12" customWidth="1"/>
    <col min="5146" max="5146" width="8.42578125" style="12" customWidth="1"/>
    <col min="5147" max="5147" width="8.7109375" style="12" bestFit="1" customWidth="1"/>
    <col min="5148" max="5148" width="8.42578125" style="12" bestFit="1" customWidth="1"/>
    <col min="5149" max="5149" width="8.5703125" style="12" bestFit="1" customWidth="1"/>
    <col min="5150" max="5150" width="8.7109375" style="12" bestFit="1" customWidth="1"/>
    <col min="5151" max="5151" width="8.42578125" style="12" bestFit="1" customWidth="1"/>
    <col min="5152" max="5152" width="11" style="12" customWidth="1"/>
    <col min="5153" max="5153" width="8.85546875" style="12" customWidth="1"/>
    <col min="5154" max="5157" width="9.7109375" style="12" bestFit="1" customWidth="1"/>
    <col min="5158" max="5158" width="9" style="12" bestFit="1" customWidth="1"/>
    <col min="5159" max="5365" width="8.85546875" style="12" customWidth="1"/>
    <col min="5366" max="5366" width="10.85546875" style="12" bestFit="1" customWidth="1"/>
    <col min="5367" max="5367" width="8.7109375" style="12" customWidth="1"/>
    <col min="5368" max="5368" width="8.5703125" style="12" customWidth="1"/>
    <col min="5369" max="5370" width="8.7109375" style="12" customWidth="1"/>
    <col min="5371" max="5372" width="10.28515625" style="12" customWidth="1"/>
    <col min="5373" max="5373" width="9.42578125" style="12" customWidth="1"/>
    <col min="5374" max="5377" width="9.5703125" style="12" customWidth="1"/>
    <col min="5378" max="5378" width="9.42578125" style="12" customWidth="1"/>
    <col min="5379" max="5379" width="9.5703125" style="12" customWidth="1"/>
    <col min="5380" max="5381" width="8.85546875" style="12" customWidth="1"/>
    <col min="5382" max="5382" width="9" style="12" customWidth="1"/>
    <col min="5383" max="5383" width="8" style="12" customWidth="1"/>
    <col min="5384" max="5384" width="7.7109375" style="12" customWidth="1"/>
    <col min="5385" max="5385" width="7.85546875" style="12" customWidth="1"/>
    <col min="5386" max="5386" width="8" style="12" customWidth="1"/>
    <col min="5387" max="5387" width="7.7109375" style="12" customWidth="1"/>
    <col min="5388" max="5388" width="7.85546875" style="12" customWidth="1"/>
    <col min="5389" max="5389" width="8.5703125" style="12" customWidth="1"/>
    <col min="5390" max="5390" width="7.7109375" style="12" customWidth="1"/>
    <col min="5391" max="5391" width="7.5703125" style="12" customWidth="1"/>
    <col min="5392" max="5393" width="7.85546875" style="12" customWidth="1"/>
    <col min="5394" max="5394" width="8.85546875" style="12" customWidth="1"/>
    <col min="5395" max="5396" width="8.7109375" style="12" customWidth="1"/>
    <col min="5397" max="5397" width="8.5703125" style="12" customWidth="1"/>
    <col min="5398" max="5398" width="8.28515625" style="12" customWidth="1"/>
    <col min="5399" max="5399" width="8.42578125" style="12" customWidth="1"/>
    <col min="5400" max="5400" width="8.5703125" style="12" customWidth="1"/>
    <col min="5401" max="5401" width="8.28515625" style="12" customWidth="1"/>
    <col min="5402" max="5402" width="8.42578125" style="12" customWidth="1"/>
    <col min="5403" max="5403" width="8.7109375" style="12" bestFit="1" customWidth="1"/>
    <col min="5404" max="5404" width="8.42578125" style="12" bestFit="1" customWidth="1"/>
    <col min="5405" max="5405" width="8.5703125" style="12" bestFit="1" customWidth="1"/>
    <col min="5406" max="5406" width="8.7109375" style="12" bestFit="1" customWidth="1"/>
    <col min="5407" max="5407" width="8.42578125" style="12" bestFit="1" customWidth="1"/>
    <col min="5408" max="5408" width="11" style="12" customWidth="1"/>
    <col min="5409" max="5409" width="8.85546875" style="12" customWidth="1"/>
    <col min="5410" max="5413" width="9.7109375" style="12" bestFit="1" customWidth="1"/>
    <col min="5414" max="5414" width="9" style="12" bestFit="1" customWidth="1"/>
    <col min="5415" max="5621" width="8.85546875" style="12" customWidth="1"/>
    <col min="5622" max="5622" width="10.85546875" style="12" bestFit="1" customWidth="1"/>
    <col min="5623" max="5623" width="8.7109375" style="12" customWidth="1"/>
    <col min="5624" max="5624" width="8.5703125" style="12" customWidth="1"/>
    <col min="5625" max="5626" width="8.7109375" style="12" customWidth="1"/>
    <col min="5627" max="5628" width="10.28515625" style="12" customWidth="1"/>
    <col min="5629" max="5629" width="9.42578125" style="12" customWidth="1"/>
    <col min="5630" max="5633" width="9.5703125" style="12" customWidth="1"/>
    <col min="5634" max="5634" width="9.42578125" style="12" customWidth="1"/>
    <col min="5635" max="5635" width="9.5703125" style="12" customWidth="1"/>
    <col min="5636" max="5637" width="8.85546875" style="12" customWidth="1"/>
    <col min="5638" max="5638" width="9" style="12" customWidth="1"/>
    <col min="5639" max="5639" width="8" style="12" customWidth="1"/>
    <col min="5640" max="5640" width="7.7109375" style="12" customWidth="1"/>
    <col min="5641" max="5641" width="7.85546875" style="12" customWidth="1"/>
    <col min="5642" max="5642" width="8" style="12" customWidth="1"/>
    <col min="5643" max="5643" width="7.7109375" style="12" customWidth="1"/>
    <col min="5644" max="5644" width="7.85546875" style="12" customWidth="1"/>
    <col min="5645" max="5645" width="8.5703125" style="12" customWidth="1"/>
    <col min="5646" max="5646" width="7.7109375" style="12" customWidth="1"/>
    <col min="5647" max="5647" width="7.5703125" style="12" customWidth="1"/>
    <col min="5648" max="5649" width="7.85546875" style="12" customWidth="1"/>
    <col min="5650" max="5650" width="8.85546875" style="12" customWidth="1"/>
    <col min="5651" max="5652" width="8.7109375" style="12" customWidth="1"/>
    <col min="5653" max="5653" width="8.5703125" style="12" customWidth="1"/>
    <col min="5654" max="5654" width="8.28515625" style="12" customWidth="1"/>
    <col min="5655" max="5655" width="8.42578125" style="12" customWidth="1"/>
    <col min="5656" max="5656" width="8.5703125" style="12" customWidth="1"/>
    <col min="5657" max="5657" width="8.28515625" style="12" customWidth="1"/>
    <col min="5658" max="5658" width="8.42578125" style="12" customWidth="1"/>
    <col min="5659" max="5659" width="8.7109375" style="12" bestFit="1" customWidth="1"/>
    <col min="5660" max="5660" width="8.42578125" style="12" bestFit="1" customWidth="1"/>
    <col min="5661" max="5661" width="8.5703125" style="12" bestFit="1" customWidth="1"/>
    <col min="5662" max="5662" width="8.7109375" style="12" bestFit="1" customWidth="1"/>
    <col min="5663" max="5663" width="8.42578125" style="12" bestFit="1" customWidth="1"/>
    <col min="5664" max="5664" width="11" style="12" customWidth="1"/>
    <col min="5665" max="5665" width="8.85546875" style="12" customWidth="1"/>
    <col min="5666" max="5669" width="9.7109375" style="12" bestFit="1" customWidth="1"/>
    <col min="5670" max="5670" width="9" style="12" bestFit="1" customWidth="1"/>
    <col min="5671" max="5877" width="8.85546875" style="12" customWidth="1"/>
    <col min="5878" max="5878" width="10.85546875" style="12" bestFit="1" customWidth="1"/>
    <col min="5879" max="5879" width="8.7109375" style="12" customWidth="1"/>
    <col min="5880" max="5880" width="8.5703125" style="12" customWidth="1"/>
    <col min="5881" max="5882" width="8.7109375" style="12" customWidth="1"/>
    <col min="5883" max="5884" width="10.28515625" style="12" customWidth="1"/>
    <col min="5885" max="5885" width="9.42578125" style="12" customWidth="1"/>
    <col min="5886" max="5889" width="9.5703125" style="12" customWidth="1"/>
    <col min="5890" max="5890" width="9.42578125" style="12" customWidth="1"/>
    <col min="5891" max="5891" width="9.5703125" style="12" customWidth="1"/>
    <col min="5892" max="5893" width="8.85546875" style="12" customWidth="1"/>
    <col min="5894" max="5894" width="9" style="12" customWidth="1"/>
    <col min="5895" max="5895" width="8" style="12" customWidth="1"/>
    <col min="5896" max="5896" width="7.7109375" style="12" customWidth="1"/>
    <col min="5897" max="5897" width="7.85546875" style="12" customWidth="1"/>
    <col min="5898" max="5898" width="8" style="12" customWidth="1"/>
    <col min="5899" max="5899" width="7.7109375" style="12" customWidth="1"/>
    <col min="5900" max="5900" width="7.85546875" style="12" customWidth="1"/>
    <col min="5901" max="5901" width="8.5703125" style="12" customWidth="1"/>
    <col min="5902" max="5902" width="7.7109375" style="12" customWidth="1"/>
    <col min="5903" max="5903" width="7.5703125" style="12" customWidth="1"/>
    <col min="5904" max="5905" width="7.85546875" style="12" customWidth="1"/>
    <col min="5906" max="5906" width="8.85546875" style="12" customWidth="1"/>
    <col min="5907" max="5908" width="8.7109375" style="12" customWidth="1"/>
    <col min="5909" max="5909" width="8.5703125" style="12" customWidth="1"/>
    <col min="5910" max="5910" width="8.28515625" style="12" customWidth="1"/>
    <col min="5911" max="5911" width="8.42578125" style="12" customWidth="1"/>
    <col min="5912" max="5912" width="8.5703125" style="12" customWidth="1"/>
    <col min="5913" max="5913" width="8.28515625" style="12" customWidth="1"/>
    <col min="5914" max="5914" width="8.42578125" style="12" customWidth="1"/>
    <col min="5915" max="5915" width="8.7109375" style="12" bestFit="1" customWidth="1"/>
    <col min="5916" max="5916" width="8.42578125" style="12" bestFit="1" customWidth="1"/>
    <col min="5917" max="5917" width="8.5703125" style="12" bestFit="1" customWidth="1"/>
    <col min="5918" max="5918" width="8.7109375" style="12" bestFit="1" customWidth="1"/>
    <col min="5919" max="5919" width="8.42578125" style="12" bestFit="1" customWidth="1"/>
    <col min="5920" max="5920" width="11" style="12" customWidth="1"/>
    <col min="5921" max="5921" width="8.85546875" style="12" customWidth="1"/>
    <col min="5922" max="5925" width="9.7109375" style="12" bestFit="1" customWidth="1"/>
    <col min="5926" max="5926" width="9" style="12" bestFit="1" customWidth="1"/>
    <col min="5927" max="6133" width="8.85546875" style="12" customWidth="1"/>
    <col min="6134" max="6134" width="10.85546875" style="12" bestFit="1" customWidth="1"/>
    <col min="6135" max="6135" width="8.7109375" style="12" customWidth="1"/>
    <col min="6136" max="6136" width="8.5703125" style="12" customWidth="1"/>
    <col min="6137" max="6138" width="8.7109375" style="12" customWidth="1"/>
    <col min="6139" max="6140" width="10.28515625" style="12" customWidth="1"/>
    <col min="6141" max="6141" width="9.42578125" style="12" customWidth="1"/>
    <col min="6142" max="6145" width="9.5703125" style="12" customWidth="1"/>
    <col min="6146" max="6146" width="9.42578125" style="12" customWidth="1"/>
    <col min="6147" max="6147" width="9.5703125" style="12" customWidth="1"/>
    <col min="6148" max="6149" width="8.85546875" style="12" customWidth="1"/>
    <col min="6150" max="6150" width="9" style="12" customWidth="1"/>
    <col min="6151" max="6151" width="8" style="12" customWidth="1"/>
    <col min="6152" max="6152" width="7.7109375" style="12" customWidth="1"/>
    <col min="6153" max="6153" width="7.85546875" style="12" customWidth="1"/>
    <col min="6154" max="6154" width="8" style="12" customWidth="1"/>
    <col min="6155" max="6155" width="7.7109375" style="12" customWidth="1"/>
    <col min="6156" max="6156" width="7.85546875" style="12" customWidth="1"/>
    <col min="6157" max="6157" width="8.5703125" style="12" customWidth="1"/>
    <col min="6158" max="6158" width="7.7109375" style="12" customWidth="1"/>
    <col min="6159" max="6159" width="7.5703125" style="12" customWidth="1"/>
    <col min="6160" max="6161" width="7.85546875" style="12" customWidth="1"/>
    <col min="6162" max="6162" width="8.85546875" style="12" customWidth="1"/>
    <col min="6163" max="6164" width="8.7109375" style="12" customWidth="1"/>
    <col min="6165" max="6165" width="8.5703125" style="12" customWidth="1"/>
    <col min="6166" max="6166" width="8.28515625" style="12" customWidth="1"/>
    <col min="6167" max="6167" width="8.42578125" style="12" customWidth="1"/>
    <col min="6168" max="6168" width="8.5703125" style="12" customWidth="1"/>
    <col min="6169" max="6169" width="8.28515625" style="12" customWidth="1"/>
    <col min="6170" max="6170" width="8.42578125" style="12" customWidth="1"/>
    <col min="6171" max="6171" width="8.7109375" style="12" bestFit="1" customWidth="1"/>
    <col min="6172" max="6172" width="8.42578125" style="12" bestFit="1" customWidth="1"/>
    <col min="6173" max="6173" width="8.5703125" style="12" bestFit="1" customWidth="1"/>
    <col min="6174" max="6174" width="8.7109375" style="12" bestFit="1" customWidth="1"/>
    <col min="6175" max="6175" width="8.42578125" style="12" bestFit="1" customWidth="1"/>
    <col min="6176" max="6176" width="11" style="12" customWidth="1"/>
    <col min="6177" max="6177" width="8.85546875" style="12" customWidth="1"/>
    <col min="6178" max="6181" width="9.7109375" style="12" bestFit="1" customWidth="1"/>
    <col min="6182" max="6182" width="9" style="12" bestFit="1" customWidth="1"/>
    <col min="6183" max="6389" width="8.85546875" style="12" customWidth="1"/>
    <col min="6390" max="6390" width="10.85546875" style="12" bestFit="1" customWidth="1"/>
    <col min="6391" max="6391" width="8.7109375" style="12" customWidth="1"/>
    <col min="6392" max="6392" width="8.5703125" style="12" customWidth="1"/>
    <col min="6393" max="6394" width="8.7109375" style="12" customWidth="1"/>
    <col min="6395" max="6396" width="10.28515625" style="12" customWidth="1"/>
    <col min="6397" max="6397" width="9.42578125" style="12" customWidth="1"/>
    <col min="6398" max="6401" width="9.5703125" style="12" customWidth="1"/>
    <col min="6402" max="6402" width="9.42578125" style="12" customWidth="1"/>
    <col min="6403" max="6403" width="9.5703125" style="12" customWidth="1"/>
    <col min="6404" max="6405" width="8.85546875" style="12" customWidth="1"/>
    <col min="6406" max="6406" width="9" style="12" customWidth="1"/>
    <col min="6407" max="6407" width="8" style="12" customWidth="1"/>
    <col min="6408" max="6408" width="7.7109375" style="12" customWidth="1"/>
    <col min="6409" max="6409" width="7.85546875" style="12" customWidth="1"/>
    <col min="6410" max="6410" width="8" style="12" customWidth="1"/>
    <col min="6411" max="6411" width="7.7109375" style="12" customWidth="1"/>
    <col min="6412" max="6412" width="7.85546875" style="12" customWidth="1"/>
    <col min="6413" max="6413" width="8.5703125" style="12" customWidth="1"/>
    <col min="6414" max="6414" width="7.7109375" style="12" customWidth="1"/>
    <col min="6415" max="6415" width="7.5703125" style="12" customWidth="1"/>
    <col min="6416" max="6417" width="7.85546875" style="12" customWidth="1"/>
    <col min="6418" max="6418" width="8.85546875" style="12" customWidth="1"/>
    <col min="6419" max="6420" width="8.7109375" style="12" customWidth="1"/>
    <col min="6421" max="6421" width="8.5703125" style="12" customWidth="1"/>
    <col min="6422" max="6422" width="8.28515625" style="12" customWidth="1"/>
    <col min="6423" max="6423" width="8.42578125" style="12" customWidth="1"/>
    <col min="6424" max="6424" width="8.5703125" style="12" customWidth="1"/>
    <col min="6425" max="6425" width="8.28515625" style="12" customWidth="1"/>
    <col min="6426" max="6426" width="8.42578125" style="12" customWidth="1"/>
    <col min="6427" max="6427" width="8.7109375" style="12" bestFit="1" customWidth="1"/>
    <col min="6428" max="6428" width="8.42578125" style="12" bestFit="1" customWidth="1"/>
    <col min="6429" max="6429" width="8.5703125" style="12" bestFit="1" customWidth="1"/>
    <col min="6430" max="6430" width="8.7109375" style="12" bestFit="1" customWidth="1"/>
    <col min="6431" max="6431" width="8.42578125" style="12" bestFit="1" customWidth="1"/>
    <col min="6432" max="6432" width="11" style="12" customWidth="1"/>
    <col min="6433" max="6433" width="8.85546875" style="12" customWidth="1"/>
    <col min="6434" max="6437" width="9.7109375" style="12" bestFit="1" customWidth="1"/>
    <col min="6438" max="6438" width="9" style="12" bestFit="1" customWidth="1"/>
    <col min="6439" max="6645" width="8.85546875" style="12" customWidth="1"/>
    <col min="6646" max="6646" width="10.85546875" style="12" bestFit="1" customWidth="1"/>
    <col min="6647" max="6647" width="8.7109375" style="12" customWidth="1"/>
    <col min="6648" max="6648" width="8.5703125" style="12" customWidth="1"/>
    <col min="6649" max="6650" width="8.7109375" style="12" customWidth="1"/>
    <col min="6651" max="6652" width="10.28515625" style="12" customWidth="1"/>
    <col min="6653" max="6653" width="9.42578125" style="12" customWidth="1"/>
    <col min="6654" max="6657" width="9.5703125" style="12" customWidth="1"/>
    <col min="6658" max="6658" width="9.42578125" style="12" customWidth="1"/>
    <col min="6659" max="6659" width="9.5703125" style="12" customWidth="1"/>
    <col min="6660" max="6661" width="8.85546875" style="12" customWidth="1"/>
    <col min="6662" max="6662" width="9" style="12" customWidth="1"/>
    <col min="6663" max="6663" width="8" style="12" customWidth="1"/>
    <col min="6664" max="6664" width="7.7109375" style="12" customWidth="1"/>
    <col min="6665" max="6665" width="7.85546875" style="12" customWidth="1"/>
    <col min="6666" max="6666" width="8" style="12" customWidth="1"/>
    <col min="6667" max="6667" width="7.7109375" style="12" customWidth="1"/>
    <col min="6668" max="6668" width="7.85546875" style="12" customWidth="1"/>
    <col min="6669" max="6669" width="8.5703125" style="12" customWidth="1"/>
    <col min="6670" max="6670" width="7.7109375" style="12" customWidth="1"/>
    <col min="6671" max="6671" width="7.5703125" style="12" customWidth="1"/>
    <col min="6672" max="6673" width="7.85546875" style="12" customWidth="1"/>
    <col min="6674" max="6674" width="8.85546875" style="12" customWidth="1"/>
    <col min="6675" max="6676" width="8.7109375" style="12" customWidth="1"/>
    <col min="6677" max="6677" width="8.5703125" style="12" customWidth="1"/>
    <col min="6678" max="6678" width="8.28515625" style="12" customWidth="1"/>
    <col min="6679" max="6679" width="8.42578125" style="12" customWidth="1"/>
    <col min="6680" max="6680" width="8.5703125" style="12" customWidth="1"/>
    <col min="6681" max="6681" width="8.28515625" style="12" customWidth="1"/>
    <col min="6682" max="6682" width="8.42578125" style="12" customWidth="1"/>
    <col min="6683" max="6683" width="8.7109375" style="12" bestFit="1" customWidth="1"/>
    <col min="6684" max="6684" width="8.42578125" style="12" bestFit="1" customWidth="1"/>
    <col min="6685" max="6685" width="8.5703125" style="12" bestFit="1" customWidth="1"/>
    <col min="6686" max="6686" width="8.7109375" style="12" bestFit="1" customWidth="1"/>
    <col min="6687" max="6687" width="8.42578125" style="12" bestFit="1" customWidth="1"/>
    <col min="6688" max="6688" width="11" style="12" customWidth="1"/>
    <col min="6689" max="6689" width="8.85546875" style="12" customWidth="1"/>
    <col min="6690" max="6693" width="9.7109375" style="12" bestFit="1" customWidth="1"/>
    <col min="6694" max="6694" width="9" style="12" bestFit="1" customWidth="1"/>
    <col min="6695" max="6901" width="8.85546875" style="12" customWidth="1"/>
    <col min="6902" max="6902" width="10.85546875" style="12" bestFit="1" customWidth="1"/>
    <col min="6903" max="6903" width="8.7109375" style="12" customWidth="1"/>
    <col min="6904" max="6904" width="8.5703125" style="12" customWidth="1"/>
    <col min="6905" max="6906" width="8.7109375" style="12" customWidth="1"/>
    <col min="6907" max="6908" width="10.28515625" style="12" customWidth="1"/>
    <col min="6909" max="6909" width="9.42578125" style="12" customWidth="1"/>
    <col min="6910" max="6913" width="9.5703125" style="12" customWidth="1"/>
    <col min="6914" max="6914" width="9.42578125" style="12" customWidth="1"/>
    <col min="6915" max="6915" width="9.5703125" style="12" customWidth="1"/>
    <col min="6916" max="6917" width="8.85546875" style="12" customWidth="1"/>
    <col min="6918" max="6918" width="9" style="12" customWidth="1"/>
    <col min="6919" max="6919" width="8" style="12" customWidth="1"/>
    <col min="6920" max="6920" width="7.7109375" style="12" customWidth="1"/>
    <col min="6921" max="6921" width="7.85546875" style="12" customWidth="1"/>
    <col min="6922" max="6922" width="8" style="12" customWidth="1"/>
    <col min="6923" max="6923" width="7.7109375" style="12" customWidth="1"/>
    <col min="6924" max="6924" width="7.85546875" style="12" customWidth="1"/>
    <col min="6925" max="6925" width="8.5703125" style="12" customWidth="1"/>
    <col min="6926" max="6926" width="7.7109375" style="12" customWidth="1"/>
    <col min="6927" max="6927" width="7.5703125" style="12" customWidth="1"/>
    <col min="6928" max="6929" width="7.85546875" style="12" customWidth="1"/>
    <col min="6930" max="6930" width="8.85546875" style="12" customWidth="1"/>
    <col min="6931" max="6932" width="8.7109375" style="12" customWidth="1"/>
    <col min="6933" max="6933" width="8.5703125" style="12" customWidth="1"/>
    <col min="6934" max="6934" width="8.28515625" style="12" customWidth="1"/>
    <col min="6935" max="6935" width="8.42578125" style="12" customWidth="1"/>
    <col min="6936" max="6936" width="8.5703125" style="12" customWidth="1"/>
    <col min="6937" max="6937" width="8.28515625" style="12" customWidth="1"/>
    <col min="6938" max="6938" width="8.42578125" style="12" customWidth="1"/>
    <col min="6939" max="6939" width="8.7109375" style="12" bestFit="1" customWidth="1"/>
    <col min="6940" max="6940" width="8.42578125" style="12" bestFit="1" customWidth="1"/>
    <col min="6941" max="6941" width="8.5703125" style="12" bestFit="1" customWidth="1"/>
    <col min="6942" max="6942" width="8.7109375" style="12" bestFit="1" customWidth="1"/>
    <col min="6943" max="6943" width="8.42578125" style="12" bestFit="1" customWidth="1"/>
    <col min="6944" max="6944" width="11" style="12" customWidth="1"/>
    <col min="6945" max="6945" width="8.85546875" style="12" customWidth="1"/>
    <col min="6946" max="6949" width="9.7109375" style="12" bestFit="1" customWidth="1"/>
    <col min="6950" max="6950" width="9" style="12" bestFit="1" customWidth="1"/>
    <col min="6951" max="7157" width="8.85546875" style="12" customWidth="1"/>
    <col min="7158" max="7158" width="10.85546875" style="12" bestFit="1" customWidth="1"/>
    <col min="7159" max="7159" width="8.7109375" style="12" customWidth="1"/>
    <col min="7160" max="7160" width="8.5703125" style="12" customWidth="1"/>
    <col min="7161" max="7162" width="8.7109375" style="12" customWidth="1"/>
    <col min="7163" max="7164" width="10.28515625" style="12" customWidth="1"/>
    <col min="7165" max="7165" width="9.42578125" style="12" customWidth="1"/>
    <col min="7166" max="7169" width="9.5703125" style="12" customWidth="1"/>
    <col min="7170" max="7170" width="9.42578125" style="12" customWidth="1"/>
    <col min="7171" max="7171" width="9.5703125" style="12" customWidth="1"/>
    <col min="7172" max="7173" width="8.85546875" style="12" customWidth="1"/>
    <col min="7174" max="7174" width="9" style="12" customWidth="1"/>
    <col min="7175" max="7175" width="8" style="12" customWidth="1"/>
    <col min="7176" max="7176" width="7.7109375" style="12" customWidth="1"/>
    <col min="7177" max="7177" width="7.85546875" style="12" customWidth="1"/>
    <col min="7178" max="7178" width="8" style="12" customWidth="1"/>
    <col min="7179" max="7179" width="7.7109375" style="12" customWidth="1"/>
    <col min="7180" max="7180" width="7.85546875" style="12" customWidth="1"/>
    <col min="7181" max="7181" width="8.5703125" style="12" customWidth="1"/>
    <col min="7182" max="7182" width="7.7109375" style="12" customWidth="1"/>
    <col min="7183" max="7183" width="7.5703125" style="12" customWidth="1"/>
    <col min="7184" max="7185" width="7.85546875" style="12" customWidth="1"/>
    <col min="7186" max="7186" width="8.85546875" style="12" customWidth="1"/>
    <col min="7187" max="7188" width="8.7109375" style="12" customWidth="1"/>
    <col min="7189" max="7189" width="8.5703125" style="12" customWidth="1"/>
    <col min="7190" max="7190" width="8.28515625" style="12" customWidth="1"/>
    <col min="7191" max="7191" width="8.42578125" style="12" customWidth="1"/>
    <col min="7192" max="7192" width="8.5703125" style="12" customWidth="1"/>
    <col min="7193" max="7193" width="8.28515625" style="12" customWidth="1"/>
    <col min="7194" max="7194" width="8.42578125" style="12" customWidth="1"/>
    <col min="7195" max="7195" width="8.7109375" style="12" bestFit="1" customWidth="1"/>
    <col min="7196" max="7196" width="8.42578125" style="12" bestFit="1" customWidth="1"/>
    <col min="7197" max="7197" width="8.5703125" style="12" bestFit="1" customWidth="1"/>
    <col min="7198" max="7198" width="8.7109375" style="12" bestFit="1" customWidth="1"/>
    <col min="7199" max="7199" width="8.42578125" style="12" bestFit="1" customWidth="1"/>
    <col min="7200" max="7200" width="11" style="12" customWidth="1"/>
    <col min="7201" max="7201" width="8.85546875" style="12" customWidth="1"/>
    <col min="7202" max="7205" width="9.7109375" style="12" bestFit="1" customWidth="1"/>
    <col min="7206" max="7206" width="9" style="12" bestFit="1" customWidth="1"/>
    <col min="7207" max="7413" width="8.85546875" style="12" customWidth="1"/>
    <col min="7414" max="7414" width="10.85546875" style="12" bestFit="1" customWidth="1"/>
    <col min="7415" max="7415" width="8.7109375" style="12" customWidth="1"/>
    <col min="7416" max="7416" width="8.5703125" style="12" customWidth="1"/>
    <col min="7417" max="7418" width="8.7109375" style="12" customWidth="1"/>
    <col min="7419" max="7420" width="10.28515625" style="12" customWidth="1"/>
    <col min="7421" max="7421" width="9.42578125" style="12" customWidth="1"/>
    <col min="7422" max="7425" width="9.5703125" style="12" customWidth="1"/>
    <col min="7426" max="7426" width="9.42578125" style="12" customWidth="1"/>
    <col min="7427" max="7427" width="9.5703125" style="12" customWidth="1"/>
    <col min="7428" max="7429" width="8.85546875" style="12" customWidth="1"/>
    <col min="7430" max="7430" width="9" style="12" customWidth="1"/>
    <col min="7431" max="7431" width="8" style="12" customWidth="1"/>
    <col min="7432" max="7432" width="7.7109375" style="12" customWidth="1"/>
    <col min="7433" max="7433" width="7.85546875" style="12" customWidth="1"/>
    <col min="7434" max="7434" width="8" style="12" customWidth="1"/>
    <col min="7435" max="7435" width="7.7109375" style="12" customWidth="1"/>
    <col min="7436" max="7436" width="7.85546875" style="12" customWidth="1"/>
    <col min="7437" max="7437" width="8.5703125" style="12" customWidth="1"/>
    <col min="7438" max="7438" width="7.7109375" style="12" customWidth="1"/>
    <col min="7439" max="7439" width="7.5703125" style="12" customWidth="1"/>
    <col min="7440" max="7441" width="7.85546875" style="12" customWidth="1"/>
    <col min="7442" max="7442" width="8.85546875" style="12" customWidth="1"/>
    <col min="7443" max="7444" width="8.7109375" style="12" customWidth="1"/>
    <col min="7445" max="7445" width="8.5703125" style="12" customWidth="1"/>
    <col min="7446" max="7446" width="8.28515625" style="12" customWidth="1"/>
    <col min="7447" max="7447" width="8.42578125" style="12" customWidth="1"/>
    <col min="7448" max="7448" width="8.5703125" style="12" customWidth="1"/>
    <col min="7449" max="7449" width="8.28515625" style="12" customWidth="1"/>
    <col min="7450" max="7450" width="8.42578125" style="12" customWidth="1"/>
    <col min="7451" max="7451" width="8.7109375" style="12" bestFit="1" customWidth="1"/>
    <col min="7452" max="7452" width="8.42578125" style="12" bestFit="1" customWidth="1"/>
    <col min="7453" max="7453" width="8.5703125" style="12" bestFit="1" customWidth="1"/>
    <col min="7454" max="7454" width="8.7109375" style="12" bestFit="1" customWidth="1"/>
    <col min="7455" max="7455" width="8.42578125" style="12" bestFit="1" customWidth="1"/>
    <col min="7456" max="7456" width="11" style="12" customWidth="1"/>
    <col min="7457" max="7457" width="8.85546875" style="12" customWidth="1"/>
    <col min="7458" max="7461" width="9.7109375" style="12" bestFit="1" customWidth="1"/>
    <col min="7462" max="7462" width="9" style="12" bestFit="1" customWidth="1"/>
    <col min="7463" max="7669" width="8.85546875" style="12" customWidth="1"/>
    <col min="7670" max="7670" width="10.85546875" style="12" bestFit="1" customWidth="1"/>
    <col min="7671" max="7671" width="8.7109375" style="12" customWidth="1"/>
    <col min="7672" max="7672" width="8.5703125" style="12" customWidth="1"/>
    <col min="7673" max="7674" width="8.7109375" style="12" customWidth="1"/>
    <col min="7675" max="7676" width="10.28515625" style="12" customWidth="1"/>
    <col min="7677" max="7677" width="9.42578125" style="12" customWidth="1"/>
    <col min="7678" max="7681" width="9.5703125" style="12" customWidth="1"/>
    <col min="7682" max="7682" width="9.42578125" style="12" customWidth="1"/>
    <col min="7683" max="7683" width="9.5703125" style="12" customWidth="1"/>
    <col min="7684" max="7685" width="8.85546875" style="12" customWidth="1"/>
    <col min="7686" max="7686" width="9" style="12" customWidth="1"/>
    <col min="7687" max="7687" width="8" style="12" customWidth="1"/>
    <col min="7688" max="7688" width="7.7109375" style="12" customWidth="1"/>
    <col min="7689" max="7689" width="7.85546875" style="12" customWidth="1"/>
    <col min="7690" max="7690" width="8" style="12" customWidth="1"/>
    <col min="7691" max="7691" width="7.7109375" style="12" customWidth="1"/>
    <col min="7692" max="7692" width="7.85546875" style="12" customWidth="1"/>
    <col min="7693" max="7693" width="8.5703125" style="12" customWidth="1"/>
    <col min="7694" max="7694" width="7.7109375" style="12" customWidth="1"/>
    <col min="7695" max="7695" width="7.5703125" style="12" customWidth="1"/>
    <col min="7696" max="7697" width="7.85546875" style="12" customWidth="1"/>
    <col min="7698" max="7698" width="8.85546875" style="12" customWidth="1"/>
    <col min="7699" max="7700" width="8.7109375" style="12" customWidth="1"/>
    <col min="7701" max="7701" width="8.5703125" style="12" customWidth="1"/>
    <col min="7702" max="7702" width="8.28515625" style="12" customWidth="1"/>
    <col min="7703" max="7703" width="8.42578125" style="12" customWidth="1"/>
    <col min="7704" max="7704" width="8.5703125" style="12" customWidth="1"/>
    <col min="7705" max="7705" width="8.28515625" style="12" customWidth="1"/>
    <col min="7706" max="7706" width="8.42578125" style="12" customWidth="1"/>
    <col min="7707" max="7707" width="8.7109375" style="12" bestFit="1" customWidth="1"/>
    <col min="7708" max="7708" width="8.42578125" style="12" bestFit="1" customWidth="1"/>
    <col min="7709" max="7709" width="8.5703125" style="12" bestFit="1" customWidth="1"/>
    <col min="7710" max="7710" width="8.7109375" style="12" bestFit="1" customWidth="1"/>
    <col min="7711" max="7711" width="8.42578125" style="12" bestFit="1" customWidth="1"/>
    <col min="7712" max="7712" width="11" style="12" customWidth="1"/>
    <col min="7713" max="7713" width="8.85546875" style="12" customWidth="1"/>
    <col min="7714" max="7717" width="9.7109375" style="12" bestFit="1" customWidth="1"/>
    <col min="7718" max="7718" width="9" style="12" bestFit="1" customWidth="1"/>
    <col min="7719" max="7925" width="8.85546875" style="12" customWidth="1"/>
    <col min="7926" max="7926" width="10.85546875" style="12" bestFit="1" customWidth="1"/>
    <col min="7927" max="7927" width="8.7109375" style="12" customWidth="1"/>
    <col min="7928" max="7928" width="8.5703125" style="12" customWidth="1"/>
    <col min="7929" max="7930" width="8.7109375" style="12" customWidth="1"/>
    <col min="7931" max="7932" width="10.28515625" style="12" customWidth="1"/>
    <col min="7933" max="7933" width="9.42578125" style="12" customWidth="1"/>
    <col min="7934" max="7937" width="9.5703125" style="12" customWidth="1"/>
    <col min="7938" max="7938" width="9.42578125" style="12" customWidth="1"/>
    <col min="7939" max="7939" width="9.5703125" style="12" customWidth="1"/>
    <col min="7940" max="7941" width="8.85546875" style="12" customWidth="1"/>
    <col min="7942" max="7942" width="9" style="12" customWidth="1"/>
    <col min="7943" max="7943" width="8" style="12" customWidth="1"/>
    <col min="7944" max="7944" width="7.7109375" style="12" customWidth="1"/>
    <col min="7945" max="7945" width="7.85546875" style="12" customWidth="1"/>
    <col min="7946" max="7946" width="8" style="12" customWidth="1"/>
    <col min="7947" max="7947" width="7.7109375" style="12" customWidth="1"/>
    <col min="7948" max="7948" width="7.85546875" style="12" customWidth="1"/>
    <col min="7949" max="7949" width="8.5703125" style="12" customWidth="1"/>
    <col min="7950" max="7950" width="7.7109375" style="12" customWidth="1"/>
    <col min="7951" max="7951" width="7.5703125" style="12" customWidth="1"/>
    <col min="7952" max="7953" width="7.85546875" style="12" customWidth="1"/>
    <col min="7954" max="7954" width="8.85546875" style="12" customWidth="1"/>
    <col min="7955" max="7956" width="8.7109375" style="12" customWidth="1"/>
    <col min="7957" max="7957" width="8.5703125" style="12" customWidth="1"/>
    <col min="7958" max="7958" width="8.28515625" style="12" customWidth="1"/>
    <col min="7959" max="7959" width="8.42578125" style="12" customWidth="1"/>
    <col min="7960" max="7960" width="8.5703125" style="12" customWidth="1"/>
    <col min="7961" max="7961" width="8.28515625" style="12" customWidth="1"/>
    <col min="7962" max="7962" width="8.42578125" style="12" customWidth="1"/>
    <col min="7963" max="7963" width="8.7109375" style="12" bestFit="1" customWidth="1"/>
    <col min="7964" max="7964" width="8.42578125" style="12" bestFit="1" customWidth="1"/>
    <col min="7965" max="7965" width="8.5703125" style="12" bestFit="1" customWidth="1"/>
    <col min="7966" max="7966" width="8.7109375" style="12" bestFit="1" customWidth="1"/>
    <col min="7967" max="7967" width="8.42578125" style="12" bestFit="1" customWidth="1"/>
    <col min="7968" max="7968" width="11" style="12" customWidth="1"/>
    <col min="7969" max="7969" width="8.85546875" style="12" customWidth="1"/>
    <col min="7970" max="7973" width="9.7109375" style="12" bestFit="1" customWidth="1"/>
    <col min="7974" max="7974" width="9" style="12" bestFit="1" customWidth="1"/>
    <col min="7975" max="8181" width="8.85546875" style="12" customWidth="1"/>
    <col min="8182" max="8182" width="10.85546875" style="12" bestFit="1" customWidth="1"/>
    <col min="8183" max="8183" width="8.7109375" style="12" customWidth="1"/>
    <col min="8184" max="8184" width="8.5703125" style="12" customWidth="1"/>
    <col min="8185" max="8186" width="8.7109375" style="12" customWidth="1"/>
    <col min="8187" max="8188" width="10.28515625" style="12" customWidth="1"/>
    <col min="8189" max="8189" width="9.42578125" style="12" customWidth="1"/>
    <col min="8190" max="8193" width="9.5703125" style="12" customWidth="1"/>
    <col min="8194" max="8194" width="9.42578125" style="12" customWidth="1"/>
    <col min="8195" max="8195" width="9.5703125" style="12" customWidth="1"/>
    <col min="8196" max="8197" width="8.85546875" style="12" customWidth="1"/>
    <col min="8198" max="8198" width="9" style="12" customWidth="1"/>
    <col min="8199" max="8199" width="8" style="12" customWidth="1"/>
    <col min="8200" max="8200" width="7.7109375" style="12" customWidth="1"/>
    <col min="8201" max="8201" width="7.85546875" style="12" customWidth="1"/>
    <col min="8202" max="8202" width="8" style="12" customWidth="1"/>
    <col min="8203" max="8203" width="7.7109375" style="12" customWidth="1"/>
    <col min="8204" max="8204" width="7.85546875" style="12" customWidth="1"/>
    <col min="8205" max="8205" width="8.5703125" style="12" customWidth="1"/>
    <col min="8206" max="8206" width="7.7109375" style="12" customWidth="1"/>
    <col min="8207" max="8207" width="7.5703125" style="12" customWidth="1"/>
    <col min="8208" max="8209" width="7.85546875" style="12" customWidth="1"/>
    <col min="8210" max="8210" width="8.85546875" style="12" customWidth="1"/>
    <col min="8211" max="8212" width="8.7109375" style="12" customWidth="1"/>
    <col min="8213" max="8213" width="8.5703125" style="12" customWidth="1"/>
    <col min="8214" max="8214" width="8.28515625" style="12" customWidth="1"/>
    <col min="8215" max="8215" width="8.42578125" style="12" customWidth="1"/>
    <col min="8216" max="8216" width="8.5703125" style="12" customWidth="1"/>
    <col min="8217" max="8217" width="8.28515625" style="12" customWidth="1"/>
    <col min="8218" max="8218" width="8.42578125" style="12" customWidth="1"/>
    <col min="8219" max="8219" width="8.7109375" style="12" bestFit="1" customWidth="1"/>
    <col min="8220" max="8220" width="8.42578125" style="12" bestFit="1" customWidth="1"/>
    <col min="8221" max="8221" width="8.5703125" style="12" bestFit="1" customWidth="1"/>
    <col min="8222" max="8222" width="8.7109375" style="12" bestFit="1" customWidth="1"/>
    <col min="8223" max="8223" width="8.42578125" style="12" bestFit="1" customWidth="1"/>
    <col min="8224" max="8224" width="11" style="12" customWidth="1"/>
    <col min="8225" max="8225" width="8.85546875" style="12" customWidth="1"/>
    <col min="8226" max="8229" width="9.7109375" style="12" bestFit="1" customWidth="1"/>
    <col min="8230" max="8230" width="9" style="12" bestFit="1" customWidth="1"/>
    <col min="8231" max="8437" width="8.85546875" style="12" customWidth="1"/>
    <col min="8438" max="8438" width="10.85546875" style="12" bestFit="1" customWidth="1"/>
    <col min="8439" max="8439" width="8.7109375" style="12" customWidth="1"/>
    <col min="8440" max="8440" width="8.5703125" style="12" customWidth="1"/>
    <col min="8441" max="8442" width="8.7109375" style="12" customWidth="1"/>
    <col min="8443" max="8444" width="10.28515625" style="12" customWidth="1"/>
    <col min="8445" max="8445" width="9.42578125" style="12" customWidth="1"/>
    <col min="8446" max="8449" width="9.5703125" style="12" customWidth="1"/>
    <col min="8450" max="8450" width="9.42578125" style="12" customWidth="1"/>
    <col min="8451" max="8451" width="9.5703125" style="12" customWidth="1"/>
    <col min="8452" max="8453" width="8.85546875" style="12" customWidth="1"/>
    <col min="8454" max="8454" width="9" style="12" customWidth="1"/>
    <col min="8455" max="8455" width="8" style="12" customWidth="1"/>
    <col min="8456" max="8456" width="7.7109375" style="12" customWidth="1"/>
    <col min="8457" max="8457" width="7.85546875" style="12" customWidth="1"/>
    <col min="8458" max="8458" width="8" style="12" customWidth="1"/>
    <col min="8459" max="8459" width="7.7109375" style="12" customWidth="1"/>
    <col min="8460" max="8460" width="7.85546875" style="12" customWidth="1"/>
    <col min="8461" max="8461" width="8.5703125" style="12" customWidth="1"/>
    <col min="8462" max="8462" width="7.7109375" style="12" customWidth="1"/>
    <col min="8463" max="8463" width="7.5703125" style="12" customWidth="1"/>
    <col min="8464" max="8465" width="7.85546875" style="12" customWidth="1"/>
    <col min="8466" max="8466" width="8.85546875" style="12" customWidth="1"/>
    <col min="8467" max="8468" width="8.7109375" style="12" customWidth="1"/>
    <col min="8469" max="8469" width="8.5703125" style="12" customWidth="1"/>
    <col min="8470" max="8470" width="8.28515625" style="12" customWidth="1"/>
    <col min="8471" max="8471" width="8.42578125" style="12" customWidth="1"/>
    <col min="8472" max="8472" width="8.5703125" style="12" customWidth="1"/>
    <col min="8473" max="8473" width="8.28515625" style="12" customWidth="1"/>
    <col min="8474" max="8474" width="8.42578125" style="12" customWidth="1"/>
    <col min="8475" max="8475" width="8.7109375" style="12" bestFit="1" customWidth="1"/>
    <col min="8476" max="8476" width="8.42578125" style="12" bestFit="1" customWidth="1"/>
    <col min="8477" max="8477" width="8.5703125" style="12" bestFit="1" customWidth="1"/>
    <col min="8478" max="8478" width="8.7109375" style="12" bestFit="1" customWidth="1"/>
    <col min="8479" max="8479" width="8.42578125" style="12" bestFit="1" customWidth="1"/>
    <col min="8480" max="8480" width="11" style="12" customWidth="1"/>
    <col min="8481" max="8481" width="8.85546875" style="12" customWidth="1"/>
    <col min="8482" max="8485" width="9.7109375" style="12" bestFit="1" customWidth="1"/>
    <col min="8486" max="8486" width="9" style="12" bestFit="1" customWidth="1"/>
    <col min="8487" max="8693" width="8.85546875" style="12" customWidth="1"/>
    <col min="8694" max="8694" width="10.85546875" style="12" bestFit="1" customWidth="1"/>
    <col min="8695" max="8695" width="8.7109375" style="12" customWidth="1"/>
    <col min="8696" max="8696" width="8.5703125" style="12" customWidth="1"/>
    <col min="8697" max="8698" width="8.7109375" style="12" customWidth="1"/>
    <col min="8699" max="8700" width="10.28515625" style="12" customWidth="1"/>
    <col min="8701" max="8701" width="9.42578125" style="12" customWidth="1"/>
    <col min="8702" max="8705" width="9.5703125" style="12" customWidth="1"/>
    <col min="8706" max="8706" width="9.42578125" style="12" customWidth="1"/>
    <col min="8707" max="8707" width="9.5703125" style="12" customWidth="1"/>
    <col min="8708" max="8709" width="8.85546875" style="12" customWidth="1"/>
    <col min="8710" max="8710" width="9" style="12" customWidth="1"/>
    <col min="8711" max="8711" width="8" style="12" customWidth="1"/>
    <col min="8712" max="8712" width="7.7109375" style="12" customWidth="1"/>
    <col min="8713" max="8713" width="7.85546875" style="12" customWidth="1"/>
    <col min="8714" max="8714" width="8" style="12" customWidth="1"/>
    <col min="8715" max="8715" width="7.7109375" style="12" customWidth="1"/>
    <col min="8716" max="8716" width="7.85546875" style="12" customWidth="1"/>
    <col min="8717" max="8717" width="8.5703125" style="12" customWidth="1"/>
    <col min="8718" max="8718" width="7.7109375" style="12" customWidth="1"/>
    <col min="8719" max="8719" width="7.5703125" style="12" customWidth="1"/>
    <col min="8720" max="8721" width="7.85546875" style="12" customWidth="1"/>
    <col min="8722" max="8722" width="8.85546875" style="12" customWidth="1"/>
    <col min="8723" max="8724" width="8.7109375" style="12" customWidth="1"/>
    <col min="8725" max="8725" width="8.5703125" style="12" customWidth="1"/>
    <col min="8726" max="8726" width="8.28515625" style="12" customWidth="1"/>
    <col min="8727" max="8727" width="8.42578125" style="12" customWidth="1"/>
    <col min="8728" max="8728" width="8.5703125" style="12" customWidth="1"/>
    <col min="8729" max="8729" width="8.28515625" style="12" customWidth="1"/>
    <col min="8730" max="8730" width="8.42578125" style="12" customWidth="1"/>
    <col min="8731" max="8731" width="8.7109375" style="12" bestFit="1" customWidth="1"/>
    <col min="8732" max="8732" width="8.42578125" style="12" bestFit="1" customWidth="1"/>
    <col min="8733" max="8733" width="8.5703125" style="12" bestFit="1" customWidth="1"/>
    <col min="8734" max="8734" width="8.7109375" style="12" bestFit="1" customWidth="1"/>
    <col min="8735" max="8735" width="8.42578125" style="12" bestFit="1" customWidth="1"/>
    <col min="8736" max="8736" width="11" style="12" customWidth="1"/>
    <col min="8737" max="8737" width="8.85546875" style="12" customWidth="1"/>
    <col min="8738" max="8741" width="9.7109375" style="12" bestFit="1" customWidth="1"/>
    <col min="8742" max="8742" width="9" style="12" bestFit="1" customWidth="1"/>
    <col min="8743" max="8949" width="8.85546875" style="12" customWidth="1"/>
    <col min="8950" max="8950" width="10.85546875" style="12" bestFit="1" customWidth="1"/>
    <col min="8951" max="8951" width="8.7109375" style="12" customWidth="1"/>
    <col min="8952" max="8952" width="8.5703125" style="12" customWidth="1"/>
    <col min="8953" max="8954" width="8.7109375" style="12" customWidth="1"/>
    <col min="8955" max="8956" width="10.28515625" style="12" customWidth="1"/>
    <col min="8957" max="8957" width="9.42578125" style="12" customWidth="1"/>
    <col min="8958" max="8961" width="9.5703125" style="12" customWidth="1"/>
    <col min="8962" max="8962" width="9.42578125" style="12" customWidth="1"/>
    <col min="8963" max="8963" width="9.5703125" style="12" customWidth="1"/>
    <col min="8964" max="8965" width="8.85546875" style="12" customWidth="1"/>
    <col min="8966" max="8966" width="9" style="12" customWidth="1"/>
    <col min="8967" max="8967" width="8" style="12" customWidth="1"/>
    <col min="8968" max="8968" width="7.7109375" style="12" customWidth="1"/>
    <col min="8969" max="8969" width="7.85546875" style="12" customWidth="1"/>
    <col min="8970" max="8970" width="8" style="12" customWidth="1"/>
    <col min="8971" max="8971" width="7.7109375" style="12" customWidth="1"/>
    <col min="8972" max="8972" width="7.85546875" style="12" customWidth="1"/>
    <col min="8973" max="8973" width="8.5703125" style="12" customWidth="1"/>
    <col min="8974" max="8974" width="7.7109375" style="12" customWidth="1"/>
    <col min="8975" max="8975" width="7.5703125" style="12" customWidth="1"/>
    <col min="8976" max="8977" width="7.85546875" style="12" customWidth="1"/>
    <col min="8978" max="8978" width="8.85546875" style="12" customWidth="1"/>
    <col min="8979" max="8980" width="8.7109375" style="12" customWidth="1"/>
    <col min="8981" max="8981" width="8.5703125" style="12" customWidth="1"/>
    <col min="8982" max="8982" width="8.28515625" style="12" customWidth="1"/>
    <col min="8983" max="8983" width="8.42578125" style="12" customWidth="1"/>
    <col min="8984" max="8984" width="8.5703125" style="12" customWidth="1"/>
    <col min="8985" max="8985" width="8.28515625" style="12" customWidth="1"/>
    <col min="8986" max="8986" width="8.42578125" style="12" customWidth="1"/>
    <col min="8987" max="8987" width="8.7109375" style="12" bestFit="1" customWidth="1"/>
    <col min="8988" max="8988" width="8.42578125" style="12" bestFit="1" customWidth="1"/>
    <col min="8989" max="8989" width="8.5703125" style="12" bestFit="1" customWidth="1"/>
    <col min="8990" max="8990" width="8.7109375" style="12" bestFit="1" customWidth="1"/>
    <col min="8991" max="8991" width="8.42578125" style="12" bestFit="1" customWidth="1"/>
    <col min="8992" max="8992" width="11" style="12" customWidth="1"/>
    <col min="8993" max="8993" width="8.85546875" style="12" customWidth="1"/>
    <col min="8994" max="8997" width="9.7109375" style="12" bestFit="1" customWidth="1"/>
    <col min="8998" max="8998" width="9" style="12" bestFit="1" customWidth="1"/>
    <col min="8999" max="9205" width="8.85546875" style="12" customWidth="1"/>
    <col min="9206" max="9206" width="10.85546875" style="12" bestFit="1" customWidth="1"/>
    <col min="9207" max="9207" width="8.7109375" style="12" customWidth="1"/>
    <col min="9208" max="9208" width="8.5703125" style="12" customWidth="1"/>
    <col min="9209" max="9210" width="8.7109375" style="12" customWidth="1"/>
    <col min="9211" max="9212" width="10.28515625" style="12" customWidth="1"/>
    <col min="9213" max="9213" width="9.42578125" style="12" customWidth="1"/>
    <col min="9214" max="9217" width="9.5703125" style="12" customWidth="1"/>
    <col min="9218" max="9218" width="9.42578125" style="12" customWidth="1"/>
    <col min="9219" max="9219" width="9.5703125" style="12" customWidth="1"/>
    <col min="9220" max="9221" width="8.85546875" style="12" customWidth="1"/>
    <col min="9222" max="9222" width="9" style="12" customWidth="1"/>
    <col min="9223" max="9223" width="8" style="12" customWidth="1"/>
    <col min="9224" max="9224" width="7.7109375" style="12" customWidth="1"/>
    <col min="9225" max="9225" width="7.85546875" style="12" customWidth="1"/>
    <col min="9226" max="9226" width="8" style="12" customWidth="1"/>
    <col min="9227" max="9227" width="7.7109375" style="12" customWidth="1"/>
    <col min="9228" max="9228" width="7.85546875" style="12" customWidth="1"/>
    <col min="9229" max="9229" width="8.5703125" style="12" customWidth="1"/>
    <col min="9230" max="9230" width="7.7109375" style="12" customWidth="1"/>
    <col min="9231" max="9231" width="7.5703125" style="12" customWidth="1"/>
    <col min="9232" max="9233" width="7.85546875" style="12" customWidth="1"/>
    <col min="9234" max="9234" width="8.85546875" style="12" customWidth="1"/>
    <col min="9235" max="9236" width="8.7109375" style="12" customWidth="1"/>
    <col min="9237" max="9237" width="8.5703125" style="12" customWidth="1"/>
    <col min="9238" max="9238" width="8.28515625" style="12" customWidth="1"/>
    <col min="9239" max="9239" width="8.42578125" style="12" customWidth="1"/>
    <col min="9240" max="9240" width="8.5703125" style="12" customWidth="1"/>
    <col min="9241" max="9241" width="8.28515625" style="12" customWidth="1"/>
    <col min="9242" max="9242" width="8.42578125" style="12" customWidth="1"/>
    <col min="9243" max="9243" width="8.7109375" style="12" bestFit="1" customWidth="1"/>
    <col min="9244" max="9244" width="8.42578125" style="12" bestFit="1" customWidth="1"/>
    <col min="9245" max="9245" width="8.5703125" style="12" bestFit="1" customWidth="1"/>
    <col min="9246" max="9246" width="8.7109375" style="12" bestFit="1" customWidth="1"/>
    <col min="9247" max="9247" width="8.42578125" style="12" bestFit="1" customWidth="1"/>
    <col min="9248" max="9248" width="11" style="12" customWidth="1"/>
    <col min="9249" max="9249" width="8.85546875" style="12" customWidth="1"/>
    <col min="9250" max="9253" width="9.7109375" style="12" bestFit="1" customWidth="1"/>
    <col min="9254" max="9254" width="9" style="12" bestFit="1" customWidth="1"/>
    <col min="9255" max="9461" width="8.85546875" style="12" customWidth="1"/>
    <col min="9462" max="9462" width="10.85546875" style="12" bestFit="1" customWidth="1"/>
    <col min="9463" max="9463" width="8.7109375" style="12" customWidth="1"/>
    <col min="9464" max="9464" width="8.5703125" style="12" customWidth="1"/>
    <col min="9465" max="9466" width="8.7109375" style="12" customWidth="1"/>
    <col min="9467" max="9468" width="10.28515625" style="12" customWidth="1"/>
    <col min="9469" max="9469" width="9.42578125" style="12" customWidth="1"/>
    <col min="9470" max="9473" width="9.5703125" style="12" customWidth="1"/>
    <col min="9474" max="9474" width="9.42578125" style="12" customWidth="1"/>
    <col min="9475" max="9475" width="9.5703125" style="12" customWidth="1"/>
    <col min="9476" max="9477" width="8.85546875" style="12" customWidth="1"/>
    <col min="9478" max="9478" width="9" style="12" customWidth="1"/>
    <col min="9479" max="9479" width="8" style="12" customWidth="1"/>
    <col min="9480" max="9480" width="7.7109375" style="12" customWidth="1"/>
    <col min="9481" max="9481" width="7.85546875" style="12" customWidth="1"/>
    <col min="9482" max="9482" width="8" style="12" customWidth="1"/>
    <col min="9483" max="9483" width="7.7109375" style="12" customWidth="1"/>
    <col min="9484" max="9484" width="7.85546875" style="12" customWidth="1"/>
    <col min="9485" max="9485" width="8.5703125" style="12" customWidth="1"/>
    <col min="9486" max="9486" width="7.7109375" style="12" customWidth="1"/>
    <col min="9487" max="9487" width="7.5703125" style="12" customWidth="1"/>
    <col min="9488" max="9489" width="7.85546875" style="12" customWidth="1"/>
    <col min="9490" max="9490" width="8.85546875" style="12" customWidth="1"/>
    <col min="9491" max="9492" width="8.7109375" style="12" customWidth="1"/>
    <col min="9493" max="9493" width="8.5703125" style="12" customWidth="1"/>
    <col min="9494" max="9494" width="8.28515625" style="12" customWidth="1"/>
    <col min="9495" max="9495" width="8.42578125" style="12" customWidth="1"/>
    <col min="9496" max="9496" width="8.5703125" style="12" customWidth="1"/>
    <col min="9497" max="9497" width="8.28515625" style="12" customWidth="1"/>
    <col min="9498" max="9498" width="8.42578125" style="12" customWidth="1"/>
    <col min="9499" max="9499" width="8.7109375" style="12" bestFit="1" customWidth="1"/>
    <col min="9500" max="9500" width="8.42578125" style="12" bestFit="1" customWidth="1"/>
    <col min="9501" max="9501" width="8.5703125" style="12" bestFit="1" customWidth="1"/>
    <col min="9502" max="9502" width="8.7109375" style="12" bestFit="1" customWidth="1"/>
    <col min="9503" max="9503" width="8.42578125" style="12" bestFit="1" customWidth="1"/>
    <col min="9504" max="9504" width="11" style="12" customWidth="1"/>
    <col min="9505" max="9505" width="8.85546875" style="12" customWidth="1"/>
    <col min="9506" max="9509" width="9.7109375" style="12" bestFit="1" customWidth="1"/>
    <col min="9510" max="9510" width="9" style="12" bestFit="1" customWidth="1"/>
    <col min="9511" max="9717" width="8.85546875" style="12" customWidth="1"/>
    <col min="9718" max="9718" width="10.85546875" style="12" bestFit="1" customWidth="1"/>
    <col min="9719" max="9719" width="8.7109375" style="12" customWidth="1"/>
    <col min="9720" max="9720" width="8.5703125" style="12" customWidth="1"/>
    <col min="9721" max="9722" width="8.7109375" style="12" customWidth="1"/>
    <col min="9723" max="9724" width="10.28515625" style="12" customWidth="1"/>
    <col min="9725" max="9725" width="9.42578125" style="12" customWidth="1"/>
    <col min="9726" max="9729" width="9.5703125" style="12" customWidth="1"/>
    <col min="9730" max="9730" width="9.42578125" style="12" customWidth="1"/>
    <col min="9731" max="9731" width="9.5703125" style="12" customWidth="1"/>
    <col min="9732" max="9733" width="8.85546875" style="12" customWidth="1"/>
    <col min="9734" max="9734" width="9" style="12" customWidth="1"/>
    <col min="9735" max="9735" width="8" style="12" customWidth="1"/>
    <col min="9736" max="9736" width="7.7109375" style="12" customWidth="1"/>
    <col min="9737" max="9737" width="7.85546875" style="12" customWidth="1"/>
    <col min="9738" max="9738" width="8" style="12" customWidth="1"/>
    <col min="9739" max="9739" width="7.7109375" style="12" customWidth="1"/>
    <col min="9740" max="9740" width="7.85546875" style="12" customWidth="1"/>
    <col min="9741" max="9741" width="8.5703125" style="12" customWidth="1"/>
    <col min="9742" max="9742" width="7.7109375" style="12" customWidth="1"/>
    <col min="9743" max="9743" width="7.5703125" style="12" customWidth="1"/>
    <col min="9744" max="9745" width="7.85546875" style="12" customWidth="1"/>
    <col min="9746" max="9746" width="8.85546875" style="12" customWidth="1"/>
    <col min="9747" max="9748" width="8.7109375" style="12" customWidth="1"/>
    <col min="9749" max="9749" width="8.5703125" style="12" customWidth="1"/>
    <col min="9750" max="9750" width="8.28515625" style="12" customWidth="1"/>
    <col min="9751" max="9751" width="8.42578125" style="12" customWidth="1"/>
    <col min="9752" max="9752" width="8.5703125" style="12" customWidth="1"/>
    <col min="9753" max="9753" width="8.28515625" style="12" customWidth="1"/>
    <col min="9754" max="9754" width="8.42578125" style="12" customWidth="1"/>
    <col min="9755" max="9755" width="8.7109375" style="12" bestFit="1" customWidth="1"/>
    <col min="9756" max="9756" width="8.42578125" style="12" bestFit="1" customWidth="1"/>
    <col min="9757" max="9757" width="8.5703125" style="12" bestFit="1" customWidth="1"/>
    <col min="9758" max="9758" width="8.7109375" style="12" bestFit="1" customWidth="1"/>
    <col min="9759" max="9759" width="8.42578125" style="12" bestFit="1" customWidth="1"/>
    <col min="9760" max="9760" width="11" style="12" customWidth="1"/>
    <col min="9761" max="9761" width="8.85546875" style="12" customWidth="1"/>
    <col min="9762" max="9765" width="9.7109375" style="12" bestFit="1" customWidth="1"/>
    <col min="9766" max="9766" width="9" style="12" bestFit="1" customWidth="1"/>
    <col min="9767" max="9973" width="8.85546875" style="12" customWidth="1"/>
    <col min="9974" max="9974" width="10.85546875" style="12" bestFit="1" customWidth="1"/>
    <col min="9975" max="9975" width="8.7109375" style="12" customWidth="1"/>
    <col min="9976" max="9976" width="8.5703125" style="12" customWidth="1"/>
    <col min="9977" max="9978" width="8.7109375" style="12" customWidth="1"/>
    <col min="9979" max="9980" width="10.28515625" style="12" customWidth="1"/>
    <col min="9981" max="9981" width="9.42578125" style="12" customWidth="1"/>
    <col min="9982" max="9985" width="9.5703125" style="12" customWidth="1"/>
    <col min="9986" max="9986" width="9.42578125" style="12" customWidth="1"/>
    <col min="9987" max="9987" width="9.5703125" style="12" customWidth="1"/>
    <col min="9988" max="9989" width="8.85546875" style="12" customWidth="1"/>
    <col min="9990" max="9990" width="9" style="12" customWidth="1"/>
    <col min="9991" max="9991" width="8" style="12" customWidth="1"/>
    <col min="9992" max="9992" width="7.7109375" style="12" customWidth="1"/>
    <col min="9993" max="9993" width="7.85546875" style="12" customWidth="1"/>
    <col min="9994" max="9994" width="8" style="12" customWidth="1"/>
    <col min="9995" max="9995" width="7.7109375" style="12" customWidth="1"/>
    <col min="9996" max="9996" width="7.85546875" style="12" customWidth="1"/>
    <col min="9997" max="9997" width="8.5703125" style="12" customWidth="1"/>
    <col min="9998" max="9998" width="7.7109375" style="12" customWidth="1"/>
    <col min="9999" max="9999" width="7.5703125" style="12" customWidth="1"/>
    <col min="10000" max="10001" width="7.85546875" style="12" customWidth="1"/>
    <col min="10002" max="10002" width="8.85546875" style="12" customWidth="1"/>
    <col min="10003" max="10004" width="8.7109375" style="12" customWidth="1"/>
    <col min="10005" max="10005" width="8.5703125" style="12" customWidth="1"/>
    <col min="10006" max="10006" width="8.28515625" style="12" customWidth="1"/>
    <col min="10007" max="10007" width="8.42578125" style="12" customWidth="1"/>
    <col min="10008" max="10008" width="8.5703125" style="12" customWidth="1"/>
    <col min="10009" max="10009" width="8.28515625" style="12" customWidth="1"/>
    <col min="10010" max="10010" width="8.42578125" style="12" customWidth="1"/>
    <col min="10011" max="10011" width="8.7109375" style="12" bestFit="1" customWidth="1"/>
    <col min="10012" max="10012" width="8.42578125" style="12" bestFit="1" customWidth="1"/>
    <col min="10013" max="10013" width="8.5703125" style="12" bestFit="1" customWidth="1"/>
    <col min="10014" max="10014" width="8.7109375" style="12" bestFit="1" customWidth="1"/>
    <col min="10015" max="10015" width="8.42578125" style="12" bestFit="1" customWidth="1"/>
    <col min="10016" max="10016" width="11" style="12" customWidth="1"/>
    <col min="10017" max="10017" width="8.85546875" style="12" customWidth="1"/>
    <col min="10018" max="10021" width="9.7109375" style="12" bestFit="1" customWidth="1"/>
    <col min="10022" max="10022" width="9" style="12" bestFit="1" customWidth="1"/>
    <col min="10023" max="10229" width="8.85546875" style="12" customWidth="1"/>
    <col min="10230" max="10230" width="10.85546875" style="12" bestFit="1" customWidth="1"/>
    <col min="10231" max="10231" width="8.7109375" style="12" customWidth="1"/>
    <col min="10232" max="10232" width="8.5703125" style="12" customWidth="1"/>
    <col min="10233" max="10234" width="8.7109375" style="12" customWidth="1"/>
    <col min="10235" max="10236" width="10.28515625" style="12" customWidth="1"/>
    <col min="10237" max="10237" width="9.42578125" style="12" customWidth="1"/>
    <col min="10238" max="10241" width="9.5703125" style="12" customWidth="1"/>
    <col min="10242" max="10242" width="9.42578125" style="12" customWidth="1"/>
    <col min="10243" max="10243" width="9.5703125" style="12" customWidth="1"/>
    <col min="10244" max="10245" width="8.85546875" style="12" customWidth="1"/>
    <col min="10246" max="10246" width="9" style="12" customWidth="1"/>
    <col min="10247" max="10247" width="8" style="12" customWidth="1"/>
    <col min="10248" max="10248" width="7.7109375" style="12" customWidth="1"/>
    <col min="10249" max="10249" width="7.85546875" style="12" customWidth="1"/>
    <col min="10250" max="10250" width="8" style="12" customWidth="1"/>
    <col min="10251" max="10251" width="7.7109375" style="12" customWidth="1"/>
    <col min="10252" max="10252" width="7.85546875" style="12" customWidth="1"/>
    <col min="10253" max="10253" width="8.5703125" style="12" customWidth="1"/>
    <col min="10254" max="10254" width="7.7109375" style="12" customWidth="1"/>
    <col min="10255" max="10255" width="7.5703125" style="12" customWidth="1"/>
    <col min="10256" max="10257" width="7.85546875" style="12" customWidth="1"/>
    <col min="10258" max="10258" width="8.85546875" style="12" customWidth="1"/>
    <col min="10259" max="10260" width="8.7109375" style="12" customWidth="1"/>
    <col min="10261" max="10261" width="8.5703125" style="12" customWidth="1"/>
    <col min="10262" max="10262" width="8.28515625" style="12" customWidth="1"/>
    <col min="10263" max="10263" width="8.42578125" style="12" customWidth="1"/>
    <col min="10264" max="10264" width="8.5703125" style="12" customWidth="1"/>
    <col min="10265" max="10265" width="8.28515625" style="12" customWidth="1"/>
    <col min="10266" max="10266" width="8.42578125" style="12" customWidth="1"/>
    <col min="10267" max="10267" width="8.7109375" style="12" bestFit="1" customWidth="1"/>
    <col min="10268" max="10268" width="8.42578125" style="12" bestFit="1" customWidth="1"/>
    <col min="10269" max="10269" width="8.5703125" style="12" bestFit="1" customWidth="1"/>
    <col min="10270" max="10270" width="8.7109375" style="12" bestFit="1" customWidth="1"/>
    <col min="10271" max="10271" width="8.42578125" style="12" bestFit="1" customWidth="1"/>
    <col min="10272" max="10272" width="11" style="12" customWidth="1"/>
    <col min="10273" max="10273" width="8.85546875" style="12" customWidth="1"/>
    <col min="10274" max="10277" width="9.7109375" style="12" bestFit="1" customWidth="1"/>
    <col min="10278" max="10278" width="9" style="12" bestFit="1" customWidth="1"/>
    <col min="10279" max="10485" width="8.85546875" style="12" customWidth="1"/>
    <col min="10486" max="10486" width="10.85546875" style="12" bestFit="1" customWidth="1"/>
    <col min="10487" max="10487" width="8.7109375" style="12" customWidth="1"/>
    <col min="10488" max="10488" width="8.5703125" style="12" customWidth="1"/>
    <col min="10489" max="10490" width="8.7109375" style="12" customWidth="1"/>
    <col min="10491" max="10492" width="10.28515625" style="12" customWidth="1"/>
    <col min="10493" max="10493" width="9.42578125" style="12" customWidth="1"/>
    <col min="10494" max="10497" width="9.5703125" style="12" customWidth="1"/>
    <col min="10498" max="10498" width="9.42578125" style="12" customWidth="1"/>
    <col min="10499" max="10499" width="9.5703125" style="12" customWidth="1"/>
    <col min="10500" max="10501" width="8.85546875" style="12" customWidth="1"/>
    <col min="10502" max="10502" width="9" style="12" customWidth="1"/>
    <col min="10503" max="10503" width="8" style="12" customWidth="1"/>
    <col min="10504" max="10504" width="7.7109375" style="12" customWidth="1"/>
    <col min="10505" max="10505" width="7.85546875" style="12" customWidth="1"/>
    <col min="10506" max="10506" width="8" style="12" customWidth="1"/>
    <col min="10507" max="10507" width="7.7109375" style="12" customWidth="1"/>
    <col min="10508" max="10508" width="7.85546875" style="12" customWidth="1"/>
    <col min="10509" max="10509" width="8.5703125" style="12" customWidth="1"/>
    <col min="10510" max="10510" width="7.7109375" style="12" customWidth="1"/>
    <col min="10511" max="10511" width="7.5703125" style="12" customWidth="1"/>
    <col min="10512" max="10513" width="7.85546875" style="12" customWidth="1"/>
    <col min="10514" max="10514" width="8.85546875" style="12" customWidth="1"/>
    <col min="10515" max="10516" width="8.7109375" style="12" customWidth="1"/>
    <col min="10517" max="10517" width="8.5703125" style="12" customWidth="1"/>
    <col min="10518" max="10518" width="8.28515625" style="12" customWidth="1"/>
    <col min="10519" max="10519" width="8.42578125" style="12" customWidth="1"/>
    <col min="10520" max="10520" width="8.5703125" style="12" customWidth="1"/>
    <col min="10521" max="10521" width="8.28515625" style="12" customWidth="1"/>
    <col min="10522" max="10522" width="8.42578125" style="12" customWidth="1"/>
    <col min="10523" max="10523" width="8.7109375" style="12" bestFit="1" customWidth="1"/>
    <col min="10524" max="10524" width="8.42578125" style="12" bestFit="1" customWidth="1"/>
    <col min="10525" max="10525" width="8.5703125" style="12" bestFit="1" customWidth="1"/>
    <col min="10526" max="10526" width="8.7109375" style="12" bestFit="1" customWidth="1"/>
    <col min="10527" max="10527" width="8.42578125" style="12" bestFit="1" customWidth="1"/>
    <col min="10528" max="10528" width="11" style="12" customWidth="1"/>
    <col min="10529" max="10529" width="8.85546875" style="12" customWidth="1"/>
    <col min="10530" max="10533" width="9.7109375" style="12" bestFit="1" customWidth="1"/>
    <col min="10534" max="10534" width="9" style="12" bestFit="1" customWidth="1"/>
    <col min="10535" max="10741" width="8.85546875" style="12" customWidth="1"/>
    <col min="10742" max="10742" width="10.85546875" style="12" bestFit="1" customWidth="1"/>
    <col min="10743" max="10743" width="8.7109375" style="12" customWidth="1"/>
    <col min="10744" max="10744" width="8.5703125" style="12" customWidth="1"/>
    <col min="10745" max="10746" width="8.7109375" style="12" customWidth="1"/>
    <col min="10747" max="10748" width="10.28515625" style="12" customWidth="1"/>
    <col min="10749" max="10749" width="9.42578125" style="12" customWidth="1"/>
    <col min="10750" max="10753" width="9.5703125" style="12" customWidth="1"/>
    <col min="10754" max="10754" width="9.42578125" style="12" customWidth="1"/>
    <col min="10755" max="10755" width="9.5703125" style="12" customWidth="1"/>
    <col min="10756" max="10757" width="8.85546875" style="12" customWidth="1"/>
    <col min="10758" max="10758" width="9" style="12" customWidth="1"/>
    <col min="10759" max="10759" width="8" style="12" customWidth="1"/>
    <col min="10760" max="10760" width="7.7109375" style="12" customWidth="1"/>
    <col min="10761" max="10761" width="7.85546875" style="12" customWidth="1"/>
    <col min="10762" max="10762" width="8" style="12" customWidth="1"/>
    <col min="10763" max="10763" width="7.7109375" style="12" customWidth="1"/>
    <col min="10764" max="10764" width="7.85546875" style="12" customWidth="1"/>
    <col min="10765" max="10765" width="8.5703125" style="12" customWidth="1"/>
    <col min="10766" max="10766" width="7.7109375" style="12" customWidth="1"/>
    <col min="10767" max="10767" width="7.5703125" style="12" customWidth="1"/>
    <col min="10768" max="10769" width="7.85546875" style="12" customWidth="1"/>
    <col min="10770" max="10770" width="8.85546875" style="12" customWidth="1"/>
    <col min="10771" max="10772" width="8.7109375" style="12" customWidth="1"/>
    <col min="10773" max="10773" width="8.5703125" style="12" customWidth="1"/>
    <col min="10774" max="10774" width="8.28515625" style="12" customWidth="1"/>
    <col min="10775" max="10775" width="8.42578125" style="12" customWidth="1"/>
    <col min="10776" max="10776" width="8.5703125" style="12" customWidth="1"/>
    <col min="10777" max="10777" width="8.28515625" style="12" customWidth="1"/>
    <col min="10778" max="10778" width="8.42578125" style="12" customWidth="1"/>
    <col min="10779" max="10779" width="8.7109375" style="12" bestFit="1" customWidth="1"/>
    <col min="10780" max="10780" width="8.42578125" style="12" bestFit="1" customWidth="1"/>
    <col min="10781" max="10781" width="8.5703125" style="12" bestFit="1" customWidth="1"/>
    <col min="10782" max="10782" width="8.7109375" style="12" bestFit="1" customWidth="1"/>
    <col min="10783" max="10783" width="8.42578125" style="12" bestFit="1" customWidth="1"/>
    <col min="10784" max="10784" width="11" style="12" customWidth="1"/>
    <col min="10785" max="10785" width="8.85546875" style="12" customWidth="1"/>
    <col min="10786" max="10789" width="9.7109375" style="12" bestFit="1" customWidth="1"/>
    <col min="10790" max="10790" width="9" style="12" bestFit="1" customWidth="1"/>
    <col min="10791" max="10997" width="8.85546875" style="12" customWidth="1"/>
    <col min="10998" max="10998" width="10.85546875" style="12" bestFit="1" customWidth="1"/>
    <col min="10999" max="10999" width="8.7109375" style="12" customWidth="1"/>
    <col min="11000" max="11000" width="8.5703125" style="12" customWidth="1"/>
    <col min="11001" max="11002" width="8.7109375" style="12" customWidth="1"/>
    <col min="11003" max="11004" width="10.28515625" style="12" customWidth="1"/>
    <col min="11005" max="11005" width="9.42578125" style="12" customWidth="1"/>
    <col min="11006" max="11009" width="9.5703125" style="12" customWidth="1"/>
    <col min="11010" max="11010" width="9.42578125" style="12" customWidth="1"/>
    <col min="11011" max="11011" width="9.5703125" style="12" customWidth="1"/>
    <col min="11012" max="11013" width="8.85546875" style="12" customWidth="1"/>
    <col min="11014" max="11014" width="9" style="12" customWidth="1"/>
    <col min="11015" max="11015" width="8" style="12" customWidth="1"/>
    <col min="11016" max="11016" width="7.7109375" style="12" customWidth="1"/>
    <col min="11017" max="11017" width="7.85546875" style="12" customWidth="1"/>
    <col min="11018" max="11018" width="8" style="12" customWidth="1"/>
    <col min="11019" max="11019" width="7.7109375" style="12" customWidth="1"/>
    <col min="11020" max="11020" width="7.85546875" style="12" customWidth="1"/>
    <col min="11021" max="11021" width="8.5703125" style="12" customWidth="1"/>
    <col min="11022" max="11022" width="7.7109375" style="12" customWidth="1"/>
    <col min="11023" max="11023" width="7.5703125" style="12" customWidth="1"/>
    <col min="11024" max="11025" width="7.85546875" style="12" customWidth="1"/>
    <col min="11026" max="11026" width="8.85546875" style="12" customWidth="1"/>
    <col min="11027" max="11028" width="8.7109375" style="12" customWidth="1"/>
    <col min="11029" max="11029" width="8.5703125" style="12" customWidth="1"/>
    <col min="11030" max="11030" width="8.28515625" style="12" customWidth="1"/>
    <col min="11031" max="11031" width="8.42578125" style="12" customWidth="1"/>
    <col min="11032" max="11032" width="8.5703125" style="12" customWidth="1"/>
    <col min="11033" max="11033" width="8.28515625" style="12" customWidth="1"/>
    <col min="11034" max="11034" width="8.42578125" style="12" customWidth="1"/>
    <col min="11035" max="11035" width="8.7109375" style="12" bestFit="1" customWidth="1"/>
    <col min="11036" max="11036" width="8.42578125" style="12" bestFit="1" customWidth="1"/>
    <col min="11037" max="11037" width="8.5703125" style="12" bestFit="1" customWidth="1"/>
    <col min="11038" max="11038" width="8.7109375" style="12" bestFit="1" customWidth="1"/>
    <col min="11039" max="11039" width="8.42578125" style="12" bestFit="1" customWidth="1"/>
    <col min="11040" max="11040" width="11" style="12" customWidth="1"/>
    <col min="11041" max="11041" width="8.85546875" style="12" customWidth="1"/>
    <col min="11042" max="11045" width="9.7109375" style="12" bestFit="1" customWidth="1"/>
    <col min="11046" max="11046" width="9" style="12" bestFit="1" customWidth="1"/>
    <col min="11047" max="11253" width="8.85546875" style="12" customWidth="1"/>
    <col min="11254" max="11254" width="10.85546875" style="12" bestFit="1" customWidth="1"/>
    <col min="11255" max="11255" width="8.7109375" style="12" customWidth="1"/>
    <col min="11256" max="11256" width="8.5703125" style="12" customWidth="1"/>
    <col min="11257" max="11258" width="8.7109375" style="12" customWidth="1"/>
    <col min="11259" max="11260" width="10.28515625" style="12" customWidth="1"/>
    <col min="11261" max="11261" width="9.42578125" style="12" customWidth="1"/>
    <col min="11262" max="11265" width="9.5703125" style="12" customWidth="1"/>
    <col min="11266" max="11266" width="9.42578125" style="12" customWidth="1"/>
    <col min="11267" max="11267" width="9.5703125" style="12" customWidth="1"/>
    <col min="11268" max="11269" width="8.85546875" style="12" customWidth="1"/>
    <col min="11270" max="11270" width="9" style="12" customWidth="1"/>
    <col min="11271" max="11271" width="8" style="12" customWidth="1"/>
    <col min="11272" max="11272" width="7.7109375" style="12" customWidth="1"/>
    <col min="11273" max="11273" width="7.85546875" style="12" customWidth="1"/>
    <col min="11274" max="11274" width="8" style="12" customWidth="1"/>
    <col min="11275" max="11275" width="7.7109375" style="12" customWidth="1"/>
    <col min="11276" max="11276" width="7.85546875" style="12" customWidth="1"/>
    <col min="11277" max="11277" width="8.5703125" style="12" customWidth="1"/>
    <col min="11278" max="11278" width="7.7109375" style="12" customWidth="1"/>
    <col min="11279" max="11279" width="7.5703125" style="12" customWidth="1"/>
    <col min="11280" max="11281" width="7.85546875" style="12" customWidth="1"/>
    <col min="11282" max="11282" width="8.85546875" style="12" customWidth="1"/>
    <col min="11283" max="11284" width="8.7109375" style="12" customWidth="1"/>
    <col min="11285" max="11285" width="8.5703125" style="12" customWidth="1"/>
    <col min="11286" max="11286" width="8.28515625" style="12" customWidth="1"/>
    <col min="11287" max="11287" width="8.42578125" style="12" customWidth="1"/>
    <col min="11288" max="11288" width="8.5703125" style="12" customWidth="1"/>
    <col min="11289" max="11289" width="8.28515625" style="12" customWidth="1"/>
    <col min="11290" max="11290" width="8.42578125" style="12" customWidth="1"/>
    <col min="11291" max="11291" width="8.7109375" style="12" bestFit="1" customWidth="1"/>
    <col min="11292" max="11292" width="8.42578125" style="12" bestFit="1" customWidth="1"/>
    <col min="11293" max="11293" width="8.5703125" style="12" bestFit="1" customWidth="1"/>
    <col min="11294" max="11294" width="8.7109375" style="12" bestFit="1" customWidth="1"/>
    <col min="11295" max="11295" width="8.42578125" style="12" bestFit="1" customWidth="1"/>
    <col min="11296" max="11296" width="11" style="12" customWidth="1"/>
    <col min="11297" max="11297" width="8.85546875" style="12" customWidth="1"/>
    <col min="11298" max="11301" width="9.7109375" style="12" bestFit="1" customWidth="1"/>
    <col min="11302" max="11302" width="9" style="12" bestFit="1" customWidth="1"/>
    <col min="11303" max="11509" width="8.85546875" style="12" customWidth="1"/>
    <col min="11510" max="11510" width="10.85546875" style="12" bestFit="1" customWidth="1"/>
    <col min="11511" max="11511" width="8.7109375" style="12" customWidth="1"/>
    <col min="11512" max="11512" width="8.5703125" style="12" customWidth="1"/>
    <col min="11513" max="11514" width="8.7109375" style="12" customWidth="1"/>
    <col min="11515" max="11516" width="10.28515625" style="12" customWidth="1"/>
    <col min="11517" max="11517" width="9.42578125" style="12" customWidth="1"/>
    <col min="11518" max="11521" width="9.5703125" style="12" customWidth="1"/>
    <col min="11522" max="11522" width="9.42578125" style="12" customWidth="1"/>
    <col min="11523" max="11523" width="9.5703125" style="12" customWidth="1"/>
    <col min="11524" max="11525" width="8.85546875" style="12" customWidth="1"/>
    <col min="11526" max="11526" width="9" style="12" customWidth="1"/>
    <col min="11527" max="11527" width="8" style="12" customWidth="1"/>
    <col min="11528" max="11528" width="7.7109375" style="12" customWidth="1"/>
    <col min="11529" max="11529" width="7.85546875" style="12" customWidth="1"/>
    <col min="11530" max="11530" width="8" style="12" customWidth="1"/>
    <col min="11531" max="11531" width="7.7109375" style="12" customWidth="1"/>
    <col min="11532" max="11532" width="7.85546875" style="12" customWidth="1"/>
    <col min="11533" max="11533" width="8.5703125" style="12" customWidth="1"/>
    <col min="11534" max="11534" width="7.7109375" style="12" customWidth="1"/>
    <col min="11535" max="11535" width="7.5703125" style="12" customWidth="1"/>
    <col min="11536" max="11537" width="7.85546875" style="12" customWidth="1"/>
    <col min="11538" max="11538" width="8.85546875" style="12" customWidth="1"/>
    <col min="11539" max="11540" width="8.7109375" style="12" customWidth="1"/>
    <col min="11541" max="11541" width="8.5703125" style="12" customWidth="1"/>
    <col min="11542" max="11542" width="8.28515625" style="12" customWidth="1"/>
    <col min="11543" max="11543" width="8.42578125" style="12" customWidth="1"/>
    <col min="11544" max="11544" width="8.5703125" style="12" customWidth="1"/>
    <col min="11545" max="11545" width="8.28515625" style="12" customWidth="1"/>
    <col min="11546" max="11546" width="8.42578125" style="12" customWidth="1"/>
    <col min="11547" max="11547" width="8.7109375" style="12" bestFit="1" customWidth="1"/>
    <col min="11548" max="11548" width="8.42578125" style="12" bestFit="1" customWidth="1"/>
    <col min="11549" max="11549" width="8.5703125" style="12" bestFit="1" customWidth="1"/>
    <col min="11550" max="11550" width="8.7109375" style="12" bestFit="1" customWidth="1"/>
    <col min="11551" max="11551" width="8.42578125" style="12" bestFit="1" customWidth="1"/>
    <col min="11552" max="11552" width="11" style="12" customWidth="1"/>
    <col min="11553" max="11553" width="8.85546875" style="12" customWidth="1"/>
    <col min="11554" max="11557" width="9.7109375" style="12" bestFit="1" customWidth="1"/>
    <col min="11558" max="11558" width="9" style="12" bestFit="1" customWidth="1"/>
    <col min="11559" max="11765" width="8.85546875" style="12" customWidth="1"/>
    <col min="11766" max="11766" width="10.85546875" style="12" bestFit="1" customWidth="1"/>
    <col min="11767" max="11767" width="8.7109375" style="12" customWidth="1"/>
    <col min="11768" max="11768" width="8.5703125" style="12" customWidth="1"/>
    <col min="11769" max="11770" width="8.7109375" style="12" customWidth="1"/>
    <col min="11771" max="11772" width="10.28515625" style="12" customWidth="1"/>
    <col min="11773" max="11773" width="9.42578125" style="12" customWidth="1"/>
    <col min="11774" max="11777" width="9.5703125" style="12" customWidth="1"/>
    <col min="11778" max="11778" width="9.42578125" style="12" customWidth="1"/>
    <col min="11779" max="11779" width="9.5703125" style="12" customWidth="1"/>
    <col min="11780" max="11781" width="8.85546875" style="12" customWidth="1"/>
    <col min="11782" max="11782" width="9" style="12" customWidth="1"/>
    <col min="11783" max="11783" width="8" style="12" customWidth="1"/>
    <col min="11784" max="11784" width="7.7109375" style="12" customWidth="1"/>
    <col min="11785" max="11785" width="7.85546875" style="12" customWidth="1"/>
    <col min="11786" max="11786" width="8" style="12" customWidth="1"/>
    <col min="11787" max="11787" width="7.7109375" style="12" customWidth="1"/>
    <col min="11788" max="11788" width="7.85546875" style="12" customWidth="1"/>
    <col min="11789" max="11789" width="8.5703125" style="12" customWidth="1"/>
    <col min="11790" max="11790" width="7.7109375" style="12" customWidth="1"/>
    <col min="11791" max="11791" width="7.5703125" style="12" customWidth="1"/>
    <col min="11792" max="11793" width="7.85546875" style="12" customWidth="1"/>
    <col min="11794" max="11794" width="8.85546875" style="12" customWidth="1"/>
    <col min="11795" max="11796" width="8.7109375" style="12" customWidth="1"/>
    <col min="11797" max="11797" width="8.5703125" style="12" customWidth="1"/>
    <col min="11798" max="11798" width="8.28515625" style="12" customWidth="1"/>
    <col min="11799" max="11799" width="8.42578125" style="12" customWidth="1"/>
    <col min="11800" max="11800" width="8.5703125" style="12" customWidth="1"/>
    <col min="11801" max="11801" width="8.28515625" style="12" customWidth="1"/>
    <col min="11802" max="11802" width="8.42578125" style="12" customWidth="1"/>
    <col min="11803" max="11803" width="8.7109375" style="12" bestFit="1" customWidth="1"/>
    <col min="11804" max="11804" width="8.42578125" style="12" bestFit="1" customWidth="1"/>
    <col min="11805" max="11805" width="8.5703125" style="12" bestFit="1" customWidth="1"/>
    <col min="11806" max="11806" width="8.7109375" style="12" bestFit="1" customWidth="1"/>
    <col min="11807" max="11807" width="8.42578125" style="12" bestFit="1" customWidth="1"/>
    <col min="11808" max="11808" width="11" style="12" customWidth="1"/>
    <col min="11809" max="11809" width="8.85546875" style="12" customWidth="1"/>
    <col min="11810" max="11813" width="9.7109375" style="12" bestFit="1" customWidth="1"/>
    <col min="11814" max="11814" width="9" style="12" bestFit="1" customWidth="1"/>
    <col min="11815" max="12021" width="8.85546875" style="12" customWidth="1"/>
    <col min="12022" max="12022" width="10.85546875" style="12" bestFit="1" customWidth="1"/>
    <col min="12023" max="12023" width="8.7109375" style="12" customWidth="1"/>
    <col min="12024" max="12024" width="8.5703125" style="12" customWidth="1"/>
    <col min="12025" max="12026" width="8.7109375" style="12" customWidth="1"/>
    <col min="12027" max="12028" width="10.28515625" style="12" customWidth="1"/>
    <col min="12029" max="12029" width="9.42578125" style="12" customWidth="1"/>
    <col min="12030" max="12033" width="9.5703125" style="12" customWidth="1"/>
    <col min="12034" max="12034" width="9.42578125" style="12" customWidth="1"/>
    <col min="12035" max="12035" width="9.5703125" style="12" customWidth="1"/>
    <col min="12036" max="12037" width="8.85546875" style="12" customWidth="1"/>
    <col min="12038" max="12038" width="9" style="12" customWidth="1"/>
    <col min="12039" max="12039" width="8" style="12" customWidth="1"/>
    <col min="12040" max="12040" width="7.7109375" style="12" customWidth="1"/>
    <col min="12041" max="12041" width="7.85546875" style="12" customWidth="1"/>
    <col min="12042" max="12042" width="8" style="12" customWidth="1"/>
    <col min="12043" max="12043" width="7.7109375" style="12" customWidth="1"/>
    <col min="12044" max="12044" width="7.85546875" style="12" customWidth="1"/>
    <col min="12045" max="12045" width="8.5703125" style="12" customWidth="1"/>
    <col min="12046" max="12046" width="7.7109375" style="12" customWidth="1"/>
    <col min="12047" max="12047" width="7.5703125" style="12" customWidth="1"/>
    <col min="12048" max="12049" width="7.85546875" style="12" customWidth="1"/>
    <col min="12050" max="12050" width="8.85546875" style="12" customWidth="1"/>
    <col min="12051" max="12052" width="8.7109375" style="12" customWidth="1"/>
    <col min="12053" max="12053" width="8.5703125" style="12" customWidth="1"/>
    <col min="12054" max="12054" width="8.28515625" style="12" customWidth="1"/>
    <col min="12055" max="12055" width="8.42578125" style="12" customWidth="1"/>
    <col min="12056" max="12056" width="8.5703125" style="12" customWidth="1"/>
    <col min="12057" max="12057" width="8.28515625" style="12" customWidth="1"/>
    <col min="12058" max="12058" width="8.42578125" style="12" customWidth="1"/>
    <col min="12059" max="12059" width="8.7109375" style="12" bestFit="1" customWidth="1"/>
    <col min="12060" max="12060" width="8.42578125" style="12" bestFit="1" customWidth="1"/>
    <col min="12061" max="12061" width="8.5703125" style="12" bestFit="1" customWidth="1"/>
    <col min="12062" max="12062" width="8.7109375" style="12" bestFit="1" customWidth="1"/>
    <col min="12063" max="12063" width="8.42578125" style="12" bestFit="1" customWidth="1"/>
    <col min="12064" max="12064" width="11" style="12" customWidth="1"/>
    <col min="12065" max="12065" width="8.85546875" style="12" customWidth="1"/>
    <col min="12066" max="12069" width="9.7109375" style="12" bestFit="1" customWidth="1"/>
    <col min="12070" max="12070" width="9" style="12" bestFit="1" customWidth="1"/>
    <col min="12071" max="12277" width="8.85546875" style="12" customWidth="1"/>
    <col min="12278" max="12278" width="10.85546875" style="12" bestFit="1" customWidth="1"/>
    <col min="12279" max="12279" width="8.7109375" style="12" customWidth="1"/>
    <col min="12280" max="12280" width="8.5703125" style="12" customWidth="1"/>
    <col min="12281" max="12282" width="8.7109375" style="12" customWidth="1"/>
    <col min="12283" max="12284" width="10.28515625" style="12" customWidth="1"/>
    <col min="12285" max="12285" width="9.42578125" style="12" customWidth="1"/>
    <col min="12286" max="12289" width="9.5703125" style="12" customWidth="1"/>
    <col min="12290" max="12290" width="9.42578125" style="12" customWidth="1"/>
    <col min="12291" max="12291" width="9.5703125" style="12" customWidth="1"/>
    <col min="12292" max="12293" width="8.85546875" style="12" customWidth="1"/>
    <col min="12294" max="12294" width="9" style="12" customWidth="1"/>
    <col min="12295" max="12295" width="8" style="12" customWidth="1"/>
    <col min="12296" max="12296" width="7.7109375" style="12" customWidth="1"/>
    <col min="12297" max="12297" width="7.85546875" style="12" customWidth="1"/>
    <col min="12298" max="12298" width="8" style="12" customWidth="1"/>
    <col min="12299" max="12299" width="7.7109375" style="12" customWidth="1"/>
    <col min="12300" max="12300" width="7.85546875" style="12" customWidth="1"/>
    <col min="12301" max="12301" width="8.5703125" style="12" customWidth="1"/>
    <col min="12302" max="12302" width="7.7109375" style="12" customWidth="1"/>
    <col min="12303" max="12303" width="7.5703125" style="12" customWidth="1"/>
    <col min="12304" max="12305" width="7.85546875" style="12" customWidth="1"/>
    <col min="12306" max="12306" width="8.85546875" style="12" customWidth="1"/>
    <col min="12307" max="12308" width="8.7109375" style="12" customWidth="1"/>
    <col min="12309" max="12309" width="8.5703125" style="12" customWidth="1"/>
    <col min="12310" max="12310" width="8.28515625" style="12" customWidth="1"/>
    <col min="12311" max="12311" width="8.42578125" style="12" customWidth="1"/>
    <col min="12312" max="12312" width="8.5703125" style="12" customWidth="1"/>
    <col min="12313" max="12313" width="8.28515625" style="12" customWidth="1"/>
    <col min="12314" max="12314" width="8.42578125" style="12" customWidth="1"/>
    <col min="12315" max="12315" width="8.7109375" style="12" bestFit="1" customWidth="1"/>
    <col min="12316" max="12316" width="8.42578125" style="12" bestFit="1" customWidth="1"/>
    <col min="12317" max="12317" width="8.5703125" style="12" bestFit="1" customWidth="1"/>
    <col min="12318" max="12318" width="8.7109375" style="12" bestFit="1" customWidth="1"/>
    <col min="12319" max="12319" width="8.42578125" style="12" bestFit="1" customWidth="1"/>
    <col min="12320" max="12320" width="11" style="12" customWidth="1"/>
    <col min="12321" max="12321" width="8.85546875" style="12" customWidth="1"/>
    <col min="12322" max="12325" width="9.7109375" style="12" bestFit="1" customWidth="1"/>
    <col min="12326" max="12326" width="9" style="12" bestFit="1" customWidth="1"/>
    <col min="12327" max="12533" width="8.85546875" style="12" customWidth="1"/>
    <col min="12534" max="12534" width="10.85546875" style="12" bestFit="1" customWidth="1"/>
    <col min="12535" max="12535" width="8.7109375" style="12" customWidth="1"/>
    <col min="12536" max="12536" width="8.5703125" style="12" customWidth="1"/>
    <col min="12537" max="12538" width="8.7109375" style="12" customWidth="1"/>
    <col min="12539" max="12540" width="10.28515625" style="12" customWidth="1"/>
    <col min="12541" max="12541" width="9.42578125" style="12" customWidth="1"/>
    <col min="12542" max="12545" width="9.5703125" style="12" customWidth="1"/>
    <col min="12546" max="12546" width="9.42578125" style="12" customWidth="1"/>
    <col min="12547" max="12547" width="9.5703125" style="12" customWidth="1"/>
    <col min="12548" max="12549" width="8.85546875" style="12" customWidth="1"/>
    <col min="12550" max="12550" width="9" style="12" customWidth="1"/>
    <col min="12551" max="12551" width="8" style="12" customWidth="1"/>
    <col min="12552" max="12552" width="7.7109375" style="12" customWidth="1"/>
    <col min="12553" max="12553" width="7.85546875" style="12" customWidth="1"/>
    <col min="12554" max="12554" width="8" style="12" customWidth="1"/>
    <col min="12555" max="12555" width="7.7109375" style="12" customWidth="1"/>
    <col min="12556" max="12556" width="7.85546875" style="12" customWidth="1"/>
    <col min="12557" max="12557" width="8.5703125" style="12" customWidth="1"/>
    <col min="12558" max="12558" width="7.7109375" style="12" customWidth="1"/>
    <col min="12559" max="12559" width="7.5703125" style="12" customWidth="1"/>
    <col min="12560" max="12561" width="7.85546875" style="12" customWidth="1"/>
    <col min="12562" max="12562" width="8.85546875" style="12" customWidth="1"/>
    <col min="12563" max="12564" width="8.7109375" style="12" customWidth="1"/>
    <col min="12565" max="12565" width="8.5703125" style="12" customWidth="1"/>
    <col min="12566" max="12566" width="8.28515625" style="12" customWidth="1"/>
    <col min="12567" max="12567" width="8.42578125" style="12" customWidth="1"/>
    <col min="12568" max="12568" width="8.5703125" style="12" customWidth="1"/>
    <col min="12569" max="12569" width="8.28515625" style="12" customWidth="1"/>
    <col min="12570" max="12570" width="8.42578125" style="12" customWidth="1"/>
    <col min="12571" max="12571" width="8.7109375" style="12" bestFit="1" customWidth="1"/>
    <col min="12572" max="12572" width="8.42578125" style="12" bestFit="1" customWidth="1"/>
    <col min="12573" max="12573" width="8.5703125" style="12" bestFit="1" customWidth="1"/>
    <col min="12574" max="12574" width="8.7109375" style="12" bestFit="1" customWidth="1"/>
    <col min="12575" max="12575" width="8.42578125" style="12" bestFit="1" customWidth="1"/>
    <col min="12576" max="12576" width="11" style="12" customWidth="1"/>
    <col min="12577" max="12577" width="8.85546875" style="12" customWidth="1"/>
    <col min="12578" max="12581" width="9.7109375" style="12" bestFit="1" customWidth="1"/>
    <col min="12582" max="12582" width="9" style="12" bestFit="1" customWidth="1"/>
    <col min="12583" max="12789" width="8.85546875" style="12" customWidth="1"/>
    <col min="12790" max="12790" width="10.85546875" style="12" bestFit="1" customWidth="1"/>
    <col min="12791" max="12791" width="8.7109375" style="12" customWidth="1"/>
    <col min="12792" max="12792" width="8.5703125" style="12" customWidth="1"/>
    <col min="12793" max="12794" width="8.7109375" style="12" customWidth="1"/>
    <col min="12795" max="12796" width="10.28515625" style="12" customWidth="1"/>
    <col min="12797" max="12797" width="9.42578125" style="12" customWidth="1"/>
    <col min="12798" max="12801" width="9.5703125" style="12" customWidth="1"/>
    <col min="12802" max="12802" width="9.42578125" style="12" customWidth="1"/>
    <col min="12803" max="12803" width="9.5703125" style="12" customWidth="1"/>
    <col min="12804" max="12805" width="8.85546875" style="12" customWidth="1"/>
    <col min="12806" max="12806" width="9" style="12" customWidth="1"/>
    <col min="12807" max="12807" width="8" style="12" customWidth="1"/>
    <col min="12808" max="12808" width="7.7109375" style="12" customWidth="1"/>
    <col min="12809" max="12809" width="7.85546875" style="12" customWidth="1"/>
    <col min="12810" max="12810" width="8" style="12" customWidth="1"/>
    <col min="12811" max="12811" width="7.7109375" style="12" customWidth="1"/>
    <col min="12812" max="12812" width="7.85546875" style="12" customWidth="1"/>
    <col min="12813" max="12813" width="8.5703125" style="12" customWidth="1"/>
    <col min="12814" max="12814" width="7.7109375" style="12" customWidth="1"/>
    <col min="12815" max="12815" width="7.5703125" style="12" customWidth="1"/>
    <col min="12816" max="12817" width="7.85546875" style="12" customWidth="1"/>
    <col min="12818" max="12818" width="8.85546875" style="12" customWidth="1"/>
    <col min="12819" max="12820" width="8.7109375" style="12" customWidth="1"/>
    <col min="12821" max="12821" width="8.5703125" style="12" customWidth="1"/>
    <col min="12822" max="12822" width="8.28515625" style="12" customWidth="1"/>
    <col min="12823" max="12823" width="8.42578125" style="12" customWidth="1"/>
    <col min="12824" max="12824" width="8.5703125" style="12" customWidth="1"/>
    <col min="12825" max="12825" width="8.28515625" style="12" customWidth="1"/>
    <col min="12826" max="12826" width="8.42578125" style="12" customWidth="1"/>
    <col min="12827" max="12827" width="8.7109375" style="12" bestFit="1" customWidth="1"/>
    <col min="12828" max="12828" width="8.42578125" style="12" bestFit="1" customWidth="1"/>
    <col min="12829" max="12829" width="8.5703125" style="12" bestFit="1" customWidth="1"/>
    <col min="12830" max="12830" width="8.7109375" style="12" bestFit="1" customWidth="1"/>
    <col min="12831" max="12831" width="8.42578125" style="12" bestFit="1" customWidth="1"/>
    <col min="12832" max="12832" width="11" style="12" customWidth="1"/>
    <col min="12833" max="12833" width="8.85546875" style="12" customWidth="1"/>
    <col min="12834" max="12837" width="9.7109375" style="12" bestFit="1" customWidth="1"/>
    <col min="12838" max="12838" width="9" style="12" bestFit="1" customWidth="1"/>
    <col min="12839" max="13045" width="8.85546875" style="12" customWidth="1"/>
    <col min="13046" max="13046" width="10.85546875" style="12" bestFit="1" customWidth="1"/>
    <col min="13047" max="13047" width="8.7109375" style="12" customWidth="1"/>
    <col min="13048" max="13048" width="8.5703125" style="12" customWidth="1"/>
    <col min="13049" max="13050" width="8.7109375" style="12" customWidth="1"/>
    <col min="13051" max="13052" width="10.28515625" style="12" customWidth="1"/>
    <col min="13053" max="13053" width="9.42578125" style="12" customWidth="1"/>
    <col min="13054" max="13057" width="9.5703125" style="12" customWidth="1"/>
    <col min="13058" max="13058" width="9.42578125" style="12" customWidth="1"/>
    <col min="13059" max="13059" width="9.5703125" style="12" customWidth="1"/>
    <col min="13060" max="13061" width="8.85546875" style="12" customWidth="1"/>
    <col min="13062" max="13062" width="9" style="12" customWidth="1"/>
    <col min="13063" max="13063" width="8" style="12" customWidth="1"/>
    <col min="13064" max="13064" width="7.7109375" style="12" customWidth="1"/>
    <col min="13065" max="13065" width="7.85546875" style="12" customWidth="1"/>
    <col min="13066" max="13066" width="8" style="12" customWidth="1"/>
    <col min="13067" max="13067" width="7.7109375" style="12" customWidth="1"/>
    <col min="13068" max="13068" width="7.85546875" style="12" customWidth="1"/>
    <col min="13069" max="13069" width="8.5703125" style="12" customWidth="1"/>
    <col min="13070" max="13070" width="7.7109375" style="12" customWidth="1"/>
    <col min="13071" max="13071" width="7.5703125" style="12" customWidth="1"/>
    <col min="13072" max="13073" width="7.85546875" style="12" customWidth="1"/>
    <col min="13074" max="13074" width="8.85546875" style="12" customWidth="1"/>
    <col min="13075" max="13076" width="8.7109375" style="12" customWidth="1"/>
    <col min="13077" max="13077" width="8.5703125" style="12" customWidth="1"/>
    <col min="13078" max="13078" width="8.28515625" style="12" customWidth="1"/>
    <col min="13079" max="13079" width="8.42578125" style="12" customWidth="1"/>
    <col min="13080" max="13080" width="8.5703125" style="12" customWidth="1"/>
    <col min="13081" max="13081" width="8.28515625" style="12" customWidth="1"/>
    <col min="13082" max="13082" width="8.42578125" style="12" customWidth="1"/>
    <col min="13083" max="13083" width="8.7109375" style="12" bestFit="1" customWidth="1"/>
    <col min="13084" max="13084" width="8.42578125" style="12" bestFit="1" customWidth="1"/>
    <col min="13085" max="13085" width="8.5703125" style="12" bestFit="1" customWidth="1"/>
    <col min="13086" max="13086" width="8.7109375" style="12" bestFit="1" customWidth="1"/>
    <col min="13087" max="13087" width="8.42578125" style="12" bestFit="1" customWidth="1"/>
    <col min="13088" max="13088" width="11" style="12" customWidth="1"/>
    <col min="13089" max="13089" width="8.85546875" style="12" customWidth="1"/>
    <col min="13090" max="13093" width="9.7109375" style="12" bestFit="1" customWidth="1"/>
    <col min="13094" max="13094" width="9" style="12" bestFit="1" customWidth="1"/>
    <col min="13095" max="13301" width="8.85546875" style="12" customWidth="1"/>
    <col min="13302" max="13302" width="10.85546875" style="12" bestFit="1" customWidth="1"/>
    <col min="13303" max="13303" width="8.7109375" style="12" customWidth="1"/>
    <col min="13304" max="13304" width="8.5703125" style="12" customWidth="1"/>
    <col min="13305" max="13306" width="8.7109375" style="12" customWidth="1"/>
    <col min="13307" max="13308" width="10.28515625" style="12" customWidth="1"/>
    <col min="13309" max="13309" width="9.42578125" style="12" customWidth="1"/>
    <col min="13310" max="13313" width="9.5703125" style="12" customWidth="1"/>
    <col min="13314" max="13314" width="9.42578125" style="12" customWidth="1"/>
    <col min="13315" max="13315" width="9.5703125" style="12" customWidth="1"/>
    <col min="13316" max="13317" width="8.85546875" style="12" customWidth="1"/>
    <col min="13318" max="13318" width="9" style="12" customWidth="1"/>
    <col min="13319" max="13319" width="8" style="12" customWidth="1"/>
    <col min="13320" max="13320" width="7.7109375" style="12" customWidth="1"/>
    <col min="13321" max="13321" width="7.85546875" style="12" customWidth="1"/>
    <col min="13322" max="13322" width="8" style="12" customWidth="1"/>
    <col min="13323" max="13323" width="7.7109375" style="12" customWidth="1"/>
    <col min="13324" max="13324" width="7.85546875" style="12" customWidth="1"/>
    <col min="13325" max="13325" width="8.5703125" style="12" customWidth="1"/>
    <col min="13326" max="13326" width="7.7109375" style="12" customWidth="1"/>
    <col min="13327" max="13327" width="7.5703125" style="12" customWidth="1"/>
    <col min="13328" max="13329" width="7.85546875" style="12" customWidth="1"/>
    <col min="13330" max="13330" width="8.85546875" style="12" customWidth="1"/>
    <col min="13331" max="13332" width="8.7109375" style="12" customWidth="1"/>
    <col min="13333" max="13333" width="8.5703125" style="12" customWidth="1"/>
    <col min="13334" max="13334" width="8.28515625" style="12" customWidth="1"/>
    <col min="13335" max="13335" width="8.42578125" style="12" customWidth="1"/>
    <col min="13336" max="13336" width="8.5703125" style="12" customWidth="1"/>
    <col min="13337" max="13337" width="8.28515625" style="12" customWidth="1"/>
    <col min="13338" max="13338" width="8.42578125" style="12" customWidth="1"/>
    <col min="13339" max="13339" width="8.7109375" style="12" bestFit="1" customWidth="1"/>
    <col min="13340" max="13340" width="8.42578125" style="12" bestFit="1" customWidth="1"/>
    <col min="13341" max="13341" width="8.5703125" style="12" bestFit="1" customWidth="1"/>
    <col min="13342" max="13342" width="8.7109375" style="12" bestFit="1" customWidth="1"/>
    <col min="13343" max="13343" width="8.42578125" style="12" bestFit="1" customWidth="1"/>
    <col min="13344" max="13344" width="11" style="12" customWidth="1"/>
    <col min="13345" max="13345" width="8.85546875" style="12" customWidth="1"/>
    <col min="13346" max="13349" width="9.7109375" style="12" bestFit="1" customWidth="1"/>
    <col min="13350" max="13350" width="9" style="12" bestFit="1" customWidth="1"/>
    <col min="13351" max="13557" width="8.85546875" style="12" customWidth="1"/>
    <col min="13558" max="13558" width="10.85546875" style="12" bestFit="1" customWidth="1"/>
    <col min="13559" max="13559" width="8.7109375" style="12" customWidth="1"/>
    <col min="13560" max="13560" width="8.5703125" style="12" customWidth="1"/>
    <col min="13561" max="13562" width="8.7109375" style="12" customWidth="1"/>
    <col min="13563" max="13564" width="10.28515625" style="12" customWidth="1"/>
    <col min="13565" max="13565" width="9.42578125" style="12" customWidth="1"/>
    <col min="13566" max="13569" width="9.5703125" style="12" customWidth="1"/>
    <col min="13570" max="13570" width="9.42578125" style="12" customWidth="1"/>
    <col min="13571" max="13571" width="9.5703125" style="12" customWidth="1"/>
    <col min="13572" max="13573" width="8.85546875" style="12" customWidth="1"/>
    <col min="13574" max="13574" width="9" style="12" customWidth="1"/>
    <col min="13575" max="13575" width="8" style="12" customWidth="1"/>
    <col min="13576" max="13576" width="7.7109375" style="12" customWidth="1"/>
    <col min="13577" max="13577" width="7.85546875" style="12" customWidth="1"/>
    <col min="13578" max="13578" width="8" style="12" customWidth="1"/>
    <col min="13579" max="13579" width="7.7109375" style="12" customWidth="1"/>
    <col min="13580" max="13580" width="7.85546875" style="12" customWidth="1"/>
    <col min="13581" max="13581" width="8.5703125" style="12" customWidth="1"/>
    <col min="13582" max="13582" width="7.7109375" style="12" customWidth="1"/>
    <col min="13583" max="13583" width="7.5703125" style="12" customWidth="1"/>
    <col min="13584" max="13585" width="7.85546875" style="12" customWidth="1"/>
    <col min="13586" max="13586" width="8.85546875" style="12" customWidth="1"/>
    <col min="13587" max="13588" width="8.7109375" style="12" customWidth="1"/>
    <col min="13589" max="13589" width="8.5703125" style="12" customWidth="1"/>
    <col min="13590" max="13590" width="8.28515625" style="12" customWidth="1"/>
    <col min="13591" max="13591" width="8.42578125" style="12" customWidth="1"/>
    <col min="13592" max="13592" width="8.5703125" style="12" customWidth="1"/>
    <col min="13593" max="13593" width="8.28515625" style="12" customWidth="1"/>
    <col min="13594" max="13594" width="8.42578125" style="12" customWidth="1"/>
    <col min="13595" max="13595" width="8.7109375" style="12" bestFit="1" customWidth="1"/>
    <col min="13596" max="13596" width="8.42578125" style="12" bestFit="1" customWidth="1"/>
    <col min="13597" max="13597" width="8.5703125" style="12" bestFit="1" customWidth="1"/>
    <col min="13598" max="13598" width="8.7109375" style="12" bestFit="1" customWidth="1"/>
    <col min="13599" max="13599" width="8.42578125" style="12" bestFit="1" customWidth="1"/>
    <col min="13600" max="13600" width="11" style="12" customWidth="1"/>
    <col min="13601" max="13601" width="8.85546875" style="12" customWidth="1"/>
    <col min="13602" max="13605" width="9.7109375" style="12" bestFit="1" customWidth="1"/>
    <col min="13606" max="13606" width="9" style="12" bestFit="1" customWidth="1"/>
    <col min="13607" max="13813" width="8.85546875" style="12" customWidth="1"/>
    <col min="13814" max="13814" width="10.85546875" style="12" bestFit="1" customWidth="1"/>
    <col min="13815" max="13815" width="8.7109375" style="12" customWidth="1"/>
    <col min="13816" max="13816" width="8.5703125" style="12" customWidth="1"/>
    <col min="13817" max="13818" width="8.7109375" style="12" customWidth="1"/>
    <col min="13819" max="13820" width="10.28515625" style="12" customWidth="1"/>
    <col min="13821" max="13821" width="9.42578125" style="12" customWidth="1"/>
    <col min="13822" max="13825" width="9.5703125" style="12" customWidth="1"/>
    <col min="13826" max="13826" width="9.42578125" style="12" customWidth="1"/>
    <col min="13827" max="13827" width="9.5703125" style="12" customWidth="1"/>
    <col min="13828" max="13829" width="8.85546875" style="12" customWidth="1"/>
    <col min="13830" max="13830" width="9" style="12" customWidth="1"/>
    <col min="13831" max="13831" width="8" style="12" customWidth="1"/>
    <col min="13832" max="13832" width="7.7109375" style="12" customWidth="1"/>
    <col min="13833" max="13833" width="7.85546875" style="12" customWidth="1"/>
    <col min="13834" max="13834" width="8" style="12" customWidth="1"/>
    <col min="13835" max="13835" width="7.7109375" style="12" customWidth="1"/>
    <col min="13836" max="13836" width="7.85546875" style="12" customWidth="1"/>
    <col min="13837" max="13837" width="8.5703125" style="12" customWidth="1"/>
    <col min="13838" max="13838" width="7.7109375" style="12" customWidth="1"/>
    <col min="13839" max="13839" width="7.5703125" style="12" customWidth="1"/>
    <col min="13840" max="13841" width="7.85546875" style="12" customWidth="1"/>
    <col min="13842" max="13842" width="8.85546875" style="12" customWidth="1"/>
    <col min="13843" max="13844" width="8.7109375" style="12" customWidth="1"/>
    <col min="13845" max="13845" width="8.5703125" style="12" customWidth="1"/>
    <col min="13846" max="13846" width="8.28515625" style="12" customWidth="1"/>
    <col min="13847" max="13847" width="8.42578125" style="12" customWidth="1"/>
    <col min="13848" max="13848" width="8.5703125" style="12" customWidth="1"/>
    <col min="13849" max="13849" width="8.28515625" style="12" customWidth="1"/>
    <col min="13850" max="13850" width="8.42578125" style="12" customWidth="1"/>
    <col min="13851" max="13851" width="8.7109375" style="12" bestFit="1" customWidth="1"/>
    <col min="13852" max="13852" width="8.42578125" style="12" bestFit="1" customWidth="1"/>
    <col min="13853" max="13853" width="8.5703125" style="12" bestFit="1" customWidth="1"/>
    <col min="13854" max="13854" width="8.7109375" style="12" bestFit="1" customWidth="1"/>
    <col min="13855" max="13855" width="8.42578125" style="12" bestFit="1" customWidth="1"/>
    <col min="13856" max="13856" width="11" style="12" customWidth="1"/>
    <col min="13857" max="13857" width="8.85546875" style="12" customWidth="1"/>
    <col min="13858" max="13861" width="9.7109375" style="12" bestFit="1" customWidth="1"/>
    <col min="13862" max="13862" width="9" style="12" bestFit="1" customWidth="1"/>
    <col min="13863" max="14069" width="8.85546875" style="12" customWidth="1"/>
    <col min="14070" max="14070" width="10.85546875" style="12" bestFit="1" customWidth="1"/>
    <col min="14071" max="14071" width="8.7109375" style="12" customWidth="1"/>
    <col min="14072" max="14072" width="8.5703125" style="12" customWidth="1"/>
    <col min="14073" max="14074" width="8.7109375" style="12" customWidth="1"/>
    <col min="14075" max="14076" width="10.28515625" style="12" customWidth="1"/>
    <col min="14077" max="14077" width="9.42578125" style="12" customWidth="1"/>
    <col min="14078" max="14081" width="9.5703125" style="12" customWidth="1"/>
    <col min="14082" max="14082" width="9.42578125" style="12" customWidth="1"/>
    <col min="14083" max="14083" width="9.5703125" style="12" customWidth="1"/>
    <col min="14084" max="14085" width="8.85546875" style="12" customWidth="1"/>
    <col min="14086" max="14086" width="9" style="12" customWidth="1"/>
    <col min="14087" max="14087" width="8" style="12" customWidth="1"/>
    <col min="14088" max="14088" width="7.7109375" style="12" customWidth="1"/>
    <col min="14089" max="14089" width="7.85546875" style="12" customWidth="1"/>
    <col min="14090" max="14090" width="8" style="12" customWidth="1"/>
    <col min="14091" max="14091" width="7.7109375" style="12" customWidth="1"/>
    <col min="14092" max="14092" width="7.85546875" style="12" customWidth="1"/>
    <col min="14093" max="14093" width="8.5703125" style="12" customWidth="1"/>
    <col min="14094" max="14094" width="7.7109375" style="12" customWidth="1"/>
    <col min="14095" max="14095" width="7.5703125" style="12" customWidth="1"/>
    <col min="14096" max="14097" width="7.85546875" style="12" customWidth="1"/>
    <col min="14098" max="14098" width="8.85546875" style="12" customWidth="1"/>
    <col min="14099" max="14100" width="8.7109375" style="12" customWidth="1"/>
    <col min="14101" max="14101" width="8.5703125" style="12" customWidth="1"/>
    <col min="14102" max="14102" width="8.28515625" style="12" customWidth="1"/>
    <col min="14103" max="14103" width="8.42578125" style="12" customWidth="1"/>
    <col min="14104" max="14104" width="8.5703125" style="12" customWidth="1"/>
    <col min="14105" max="14105" width="8.28515625" style="12" customWidth="1"/>
    <col min="14106" max="14106" width="8.42578125" style="12" customWidth="1"/>
    <col min="14107" max="14107" width="8.7109375" style="12" bestFit="1" customWidth="1"/>
    <col min="14108" max="14108" width="8.42578125" style="12" bestFit="1" customWidth="1"/>
    <col min="14109" max="14109" width="8.5703125" style="12" bestFit="1" customWidth="1"/>
    <col min="14110" max="14110" width="8.7109375" style="12" bestFit="1" customWidth="1"/>
    <col min="14111" max="14111" width="8.42578125" style="12" bestFit="1" customWidth="1"/>
    <col min="14112" max="14112" width="11" style="12" customWidth="1"/>
    <col min="14113" max="14113" width="8.85546875" style="12" customWidth="1"/>
    <col min="14114" max="14117" width="9.7109375" style="12" bestFit="1" customWidth="1"/>
    <col min="14118" max="14118" width="9" style="12" bestFit="1" customWidth="1"/>
    <col min="14119" max="14325" width="8.85546875" style="12" customWidth="1"/>
    <col min="14326" max="14326" width="10.85546875" style="12" bestFit="1" customWidth="1"/>
    <col min="14327" max="14327" width="8.7109375" style="12" customWidth="1"/>
    <col min="14328" max="14328" width="8.5703125" style="12" customWidth="1"/>
    <col min="14329" max="14330" width="8.7109375" style="12" customWidth="1"/>
    <col min="14331" max="14332" width="10.28515625" style="12" customWidth="1"/>
    <col min="14333" max="14333" width="9.42578125" style="12" customWidth="1"/>
    <col min="14334" max="14337" width="9.5703125" style="12" customWidth="1"/>
    <col min="14338" max="14338" width="9.42578125" style="12" customWidth="1"/>
    <col min="14339" max="14339" width="9.5703125" style="12" customWidth="1"/>
    <col min="14340" max="14341" width="8.85546875" style="12" customWidth="1"/>
    <col min="14342" max="14342" width="9" style="12" customWidth="1"/>
    <col min="14343" max="14343" width="8" style="12" customWidth="1"/>
    <col min="14344" max="14344" width="7.7109375" style="12" customWidth="1"/>
    <col min="14345" max="14345" width="7.85546875" style="12" customWidth="1"/>
    <col min="14346" max="14346" width="8" style="12" customWidth="1"/>
    <col min="14347" max="14347" width="7.7109375" style="12" customWidth="1"/>
    <col min="14348" max="14348" width="7.85546875" style="12" customWidth="1"/>
    <col min="14349" max="14349" width="8.5703125" style="12" customWidth="1"/>
    <col min="14350" max="14350" width="7.7109375" style="12" customWidth="1"/>
    <col min="14351" max="14351" width="7.5703125" style="12" customWidth="1"/>
    <col min="14352" max="14353" width="7.85546875" style="12" customWidth="1"/>
    <col min="14354" max="14354" width="8.85546875" style="12" customWidth="1"/>
    <col min="14355" max="14356" width="8.7109375" style="12" customWidth="1"/>
    <col min="14357" max="14357" width="8.5703125" style="12" customWidth="1"/>
    <col min="14358" max="14358" width="8.28515625" style="12" customWidth="1"/>
    <col min="14359" max="14359" width="8.42578125" style="12" customWidth="1"/>
    <col min="14360" max="14360" width="8.5703125" style="12" customWidth="1"/>
    <col min="14361" max="14361" width="8.28515625" style="12" customWidth="1"/>
    <col min="14362" max="14362" width="8.42578125" style="12" customWidth="1"/>
    <col min="14363" max="14363" width="8.7109375" style="12" bestFit="1" customWidth="1"/>
    <col min="14364" max="14364" width="8.42578125" style="12" bestFit="1" customWidth="1"/>
    <col min="14365" max="14365" width="8.5703125" style="12" bestFit="1" customWidth="1"/>
    <col min="14366" max="14366" width="8.7109375" style="12" bestFit="1" customWidth="1"/>
    <col min="14367" max="14367" width="8.42578125" style="12" bestFit="1" customWidth="1"/>
    <col min="14368" max="14368" width="11" style="12" customWidth="1"/>
    <col min="14369" max="14369" width="8.85546875" style="12" customWidth="1"/>
    <col min="14370" max="14373" width="9.7109375" style="12" bestFit="1" customWidth="1"/>
    <col min="14374" max="14374" width="9" style="12" bestFit="1" customWidth="1"/>
    <col min="14375" max="14581" width="8.85546875" style="12" customWidth="1"/>
    <col min="14582" max="14582" width="10.85546875" style="12" bestFit="1" customWidth="1"/>
    <col min="14583" max="14583" width="8.7109375" style="12" customWidth="1"/>
    <col min="14584" max="14584" width="8.5703125" style="12" customWidth="1"/>
    <col min="14585" max="14586" width="8.7109375" style="12" customWidth="1"/>
    <col min="14587" max="14588" width="10.28515625" style="12" customWidth="1"/>
    <col min="14589" max="14589" width="9.42578125" style="12" customWidth="1"/>
    <col min="14590" max="14593" width="9.5703125" style="12" customWidth="1"/>
    <col min="14594" max="14594" width="9.42578125" style="12" customWidth="1"/>
    <col min="14595" max="14595" width="9.5703125" style="12" customWidth="1"/>
    <col min="14596" max="14597" width="8.85546875" style="12" customWidth="1"/>
    <col min="14598" max="14598" width="9" style="12" customWidth="1"/>
    <col min="14599" max="14599" width="8" style="12" customWidth="1"/>
    <col min="14600" max="14600" width="7.7109375" style="12" customWidth="1"/>
    <col min="14601" max="14601" width="7.85546875" style="12" customWidth="1"/>
    <col min="14602" max="14602" width="8" style="12" customWidth="1"/>
    <col min="14603" max="14603" width="7.7109375" style="12" customWidth="1"/>
    <col min="14604" max="14604" width="7.85546875" style="12" customWidth="1"/>
    <col min="14605" max="14605" width="8.5703125" style="12" customWidth="1"/>
    <col min="14606" max="14606" width="7.7109375" style="12" customWidth="1"/>
    <col min="14607" max="14607" width="7.5703125" style="12" customWidth="1"/>
    <col min="14608" max="14609" width="7.85546875" style="12" customWidth="1"/>
    <col min="14610" max="14610" width="8.85546875" style="12" customWidth="1"/>
    <col min="14611" max="14612" width="8.7109375" style="12" customWidth="1"/>
    <col min="14613" max="14613" width="8.5703125" style="12" customWidth="1"/>
    <col min="14614" max="14614" width="8.28515625" style="12" customWidth="1"/>
    <col min="14615" max="14615" width="8.42578125" style="12" customWidth="1"/>
    <col min="14616" max="14616" width="8.5703125" style="12" customWidth="1"/>
    <col min="14617" max="14617" width="8.28515625" style="12" customWidth="1"/>
    <col min="14618" max="14618" width="8.42578125" style="12" customWidth="1"/>
    <col min="14619" max="14619" width="8.7109375" style="12" bestFit="1" customWidth="1"/>
    <col min="14620" max="14620" width="8.42578125" style="12" bestFit="1" customWidth="1"/>
    <col min="14621" max="14621" width="8.5703125" style="12" bestFit="1" customWidth="1"/>
    <col min="14622" max="14622" width="8.7109375" style="12" bestFit="1" customWidth="1"/>
    <col min="14623" max="14623" width="8.42578125" style="12" bestFit="1" customWidth="1"/>
    <col min="14624" max="14624" width="11" style="12" customWidth="1"/>
    <col min="14625" max="14625" width="8.85546875" style="12" customWidth="1"/>
    <col min="14626" max="14629" width="9.7109375" style="12" bestFit="1" customWidth="1"/>
    <col min="14630" max="14630" width="9" style="12" bestFit="1" customWidth="1"/>
    <col min="14631" max="14837" width="8.85546875" style="12" customWidth="1"/>
    <col min="14838" max="14838" width="10.85546875" style="12" bestFit="1" customWidth="1"/>
    <col min="14839" max="14839" width="8.7109375" style="12" customWidth="1"/>
    <col min="14840" max="14840" width="8.5703125" style="12" customWidth="1"/>
    <col min="14841" max="14842" width="8.7109375" style="12" customWidth="1"/>
    <col min="14843" max="14844" width="10.28515625" style="12" customWidth="1"/>
    <col min="14845" max="14845" width="9.42578125" style="12" customWidth="1"/>
    <col min="14846" max="14849" width="9.5703125" style="12" customWidth="1"/>
    <col min="14850" max="14850" width="9.42578125" style="12" customWidth="1"/>
    <col min="14851" max="14851" width="9.5703125" style="12" customWidth="1"/>
    <col min="14852" max="14853" width="8.85546875" style="12" customWidth="1"/>
    <col min="14854" max="14854" width="9" style="12" customWidth="1"/>
    <col min="14855" max="14855" width="8" style="12" customWidth="1"/>
    <col min="14856" max="14856" width="7.7109375" style="12" customWidth="1"/>
    <col min="14857" max="14857" width="7.85546875" style="12" customWidth="1"/>
    <col min="14858" max="14858" width="8" style="12" customWidth="1"/>
    <col min="14859" max="14859" width="7.7109375" style="12" customWidth="1"/>
    <col min="14860" max="14860" width="7.85546875" style="12" customWidth="1"/>
    <col min="14861" max="14861" width="8.5703125" style="12" customWidth="1"/>
    <col min="14862" max="14862" width="7.7109375" style="12" customWidth="1"/>
    <col min="14863" max="14863" width="7.5703125" style="12" customWidth="1"/>
    <col min="14864" max="14865" width="7.85546875" style="12" customWidth="1"/>
    <col min="14866" max="14866" width="8.85546875" style="12" customWidth="1"/>
    <col min="14867" max="14868" width="8.7109375" style="12" customWidth="1"/>
    <col min="14869" max="14869" width="8.5703125" style="12" customWidth="1"/>
    <col min="14870" max="14870" width="8.28515625" style="12" customWidth="1"/>
    <col min="14871" max="14871" width="8.42578125" style="12" customWidth="1"/>
    <col min="14872" max="14872" width="8.5703125" style="12" customWidth="1"/>
    <col min="14873" max="14873" width="8.28515625" style="12" customWidth="1"/>
    <col min="14874" max="14874" width="8.42578125" style="12" customWidth="1"/>
    <col min="14875" max="14875" width="8.7109375" style="12" bestFit="1" customWidth="1"/>
    <col min="14876" max="14876" width="8.42578125" style="12" bestFit="1" customWidth="1"/>
    <col min="14877" max="14877" width="8.5703125" style="12" bestFit="1" customWidth="1"/>
    <col min="14878" max="14878" width="8.7109375" style="12" bestFit="1" customWidth="1"/>
    <col min="14879" max="14879" width="8.42578125" style="12" bestFit="1" customWidth="1"/>
    <col min="14880" max="14880" width="11" style="12" customWidth="1"/>
    <col min="14881" max="14881" width="8.85546875" style="12" customWidth="1"/>
    <col min="14882" max="14885" width="9.7109375" style="12" bestFit="1" customWidth="1"/>
    <col min="14886" max="14886" width="9" style="12" bestFit="1" customWidth="1"/>
    <col min="14887" max="15093" width="8.85546875" style="12" customWidth="1"/>
    <col min="15094" max="15094" width="10.85546875" style="12" bestFit="1" customWidth="1"/>
    <col min="15095" max="15095" width="8.7109375" style="12" customWidth="1"/>
    <col min="15096" max="15096" width="8.5703125" style="12" customWidth="1"/>
    <col min="15097" max="15098" width="8.7109375" style="12" customWidth="1"/>
    <col min="15099" max="15100" width="10.28515625" style="12" customWidth="1"/>
    <col min="15101" max="15101" width="9.42578125" style="12" customWidth="1"/>
    <col min="15102" max="15105" width="9.5703125" style="12" customWidth="1"/>
    <col min="15106" max="15106" width="9.42578125" style="12" customWidth="1"/>
    <col min="15107" max="15107" width="9.5703125" style="12" customWidth="1"/>
    <col min="15108" max="15109" width="8.85546875" style="12" customWidth="1"/>
    <col min="15110" max="15110" width="9" style="12" customWidth="1"/>
    <col min="15111" max="15111" width="8" style="12" customWidth="1"/>
    <col min="15112" max="15112" width="7.7109375" style="12" customWidth="1"/>
    <col min="15113" max="15113" width="7.85546875" style="12" customWidth="1"/>
    <col min="15114" max="15114" width="8" style="12" customWidth="1"/>
    <col min="15115" max="15115" width="7.7109375" style="12" customWidth="1"/>
    <col min="15116" max="15116" width="7.85546875" style="12" customWidth="1"/>
    <col min="15117" max="15117" width="8.5703125" style="12" customWidth="1"/>
    <col min="15118" max="15118" width="7.7109375" style="12" customWidth="1"/>
    <col min="15119" max="15119" width="7.5703125" style="12" customWidth="1"/>
    <col min="15120" max="15121" width="7.85546875" style="12" customWidth="1"/>
    <col min="15122" max="15122" width="8.85546875" style="12" customWidth="1"/>
    <col min="15123" max="15124" width="8.7109375" style="12" customWidth="1"/>
    <col min="15125" max="15125" width="8.5703125" style="12" customWidth="1"/>
    <col min="15126" max="15126" width="8.28515625" style="12" customWidth="1"/>
    <col min="15127" max="15127" width="8.42578125" style="12" customWidth="1"/>
    <col min="15128" max="15128" width="8.5703125" style="12" customWidth="1"/>
    <col min="15129" max="15129" width="8.28515625" style="12" customWidth="1"/>
    <col min="15130" max="15130" width="8.42578125" style="12" customWidth="1"/>
    <col min="15131" max="15131" width="8.7109375" style="12" bestFit="1" customWidth="1"/>
    <col min="15132" max="15132" width="8.42578125" style="12" bestFit="1" customWidth="1"/>
    <col min="15133" max="15133" width="8.5703125" style="12" bestFit="1" customWidth="1"/>
    <col min="15134" max="15134" width="8.7109375" style="12" bestFit="1" customWidth="1"/>
    <col min="15135" max="15135" width="8.42578125" style="12" bestFit="1" customWidth="1"/>
    <col min="15136" max="15136" width="11" style="12" customWidth="1"/>
    <col min="15137" max="15137" width="8.85546875" style="12" customWidth="1"/>
    <col min="15138" max="15141" width="9.7109375" style="12" bestFit="1" customWidth="1"/>
    <col min="15142" max="15142" width="9" style="12" bestFit="1" customWidth="1"/>
    <col min="15143" max="15349" width="8.85546875" style="12" customWidth="1"/>
    <col min="15350" max="15350" width="10.85546875" style="12" bestFit="1" customWidth="1"/>
    <col min="15351" max="15351" width="8.7109375" style="12" customWidth="1"/>
    <col min="15352" max="15352" width="8.5703125" style="12" customWidth="1"/>
    <col min="15353" max="15354" width="8.7109375" style="12" customWidth="1"/>
    <col min="15355" max="15356" width="10.28515625" style="12" customWidth="1"/>
    <col min="15357" max="15357" width="9.42578125" style="12" customWidth="1"/>
    <col min="15358" max="15361" width="9.5703125" style="12" customWidth="1"/>
    <col min="15362" max="15362" width="9.42578125" style="12" customWidth="1"/>
    <col min="15363" max="15363" width="9.5703125" style="12" customWidth="1"/>
    <col min="15364" max="15365" width="8.85546875" style="12" customWidth="1"/>
    <col min="15366" max="15366" width="9" style="12" customWidth="1"/>
    <col min="15367" max="15367" width="8" style="12" customWidth="1"/>
    <col min="15368" max="15368" width="7.7109375" style="12" customWidth="1"/>
    <col min="15369" max="15369" width="7.85546875" style="12" customWidth="1"/>
    <col min="15370" max="15370" width="8" style="12" customWidth="1"/>
    <col min="15371" max="15371" width="7.7109375" style="12" customWidth="1"/>
    <col min="15372" max="15372" width="7.85546875" style="12" customWidth="1"/>
    <col min="15373" max="15373" width="8.5703125" style="12" customWidth="1"/>
    <col min="15374" max="15374" width="7.7109375" style="12" customWidth="1"/>
    <col min="15375" max="15375" width="7.5703125" style="12" customWidth="1"/>
    <col min="15376" max="15377" width="7.85546875" style="12" customWidth="1"/>
    <col min="15378" max="15378" width="8.85546875" style="12" customWidth="1"/>
    <col min="15379" max="15380" width="8.7109375" style="12" customWidth="1"/>
    <col min="15381" max="15381" width="8.5703125" style="12" customWidth="1"/>
    <col min="15382" max="15382" width="8.28515625" style="12" customWidth="1"/>
    <col min="15383" max="15383" width="8.42578125" style="12" customWidth="1"/>
    <col min="15384" max="15384" width="8.5703125" style="12" customWidth="1"/>
    <col min="15385" max="15385" width="8.28515625" style="12" customWidth="1"/>
    <col min="15386" max="15386" width="8.42578125" style="12" customWidth="1"/>
    <col min="15387" max="15387" width="8.7109375" style="12" bestFit="1" customWidth="1"/>
    <col min="15388" max="15388" width="8.42578125" style="12" bestFit="1" customWidth="1"/>
    <col min="15389" max="15389" width="8.5703125" style="12" bestFit="1" customWidth="1"/>
    <col min="15390" max="15390" width="8.7109375" style="12" bestFit="1" customWidth="1"/>
    <col min="15391" max="15391" width="8.42578125" style="12" bestFit="1" customWidth="1"/>
    <col min="15392" max="15392" width="11" style="12" customWidth="1"/>
    <col min="15393" max="15393" width="8.85546875" style="12" customWidth="1"/>
    <col min="15394" max="15397" width="9.7109375" style="12" bestFit="1" customWidth="1"/>
    <col min="15398" max="15398" width="9" style="12" bestFit="1" customWidth="1"/>
    <col min="15399" max="15605" width="8.85546875" style="12" customWidth="1"/>
    <col min="15606" max="15606" width="10.85546875" style="12" bestFit="1" customWidth="1"/>
    <col min="15607" max="15607" width="8.7109375" style="12" customWidth="1"/>
    <col min="15608" max="15608" width="8.5703125" style="12" customWidth="1"/>
    <col min="15609" max="15610" width="8.7109375" style="12" customWidth="1"/>
    <col min="15611" max="15612" width="10.28515625" style="12" customWidth="1"/>
    <col min="15613" max="15613" width="9.42578125" style="12" customWidth="1"/>
    <col min="15614" max="15617" width="9.5703125" style="12" customWidth="1"/>
    <col min="15618" max="15618" width="9.42578125" style="12" customWidth="1"/>
    <col min="15619" max="15619" width="9.5703125" style="12" customWidth="1"/>
    <col min="15620" max="15621" width="8.85546875" style="12" customWidth="1"/>
    <col min="15622" max="15622" width="9" style="12" customWidth="1"/>
    <col min="15623" max="15623" width="8" style="12" customWidth="1"/>
    <col min="15624" max="15624" width="7.7109375" style="12" customWidth="1"/>
    <col min="15625" max="15625" width="7.85546875" style="12" customWidth="1"/>
    <col min="15626" max="15626" width="8" style="12" customWidth="1"/>
    <col min="15627" max="15627" width="7.7109375" style="12" customWidth="1"/>
    <col min="15628" max="15628" width="7.85546875" style="12" customWidth="1"/>
    <col min="15629" max="15629" width="8.5703125" style="12" customWidth="1"/>
    <col min="15630" max="15630" width="7.7109375" style="12" customWidth="1"/>
    <col min="15631" max="15631" width="7.5703125" style="12" customWidth="1"/>
    <col min="15632" max="15633" width="7.85546875" style="12" customWidth="1"/>
    <col min="15634" max="15634" width="8.85546875" style="12" customWidth="1"/>
    <col min="15635" max="15636" width="8.7109375" style="12" customWidth="1"/>
    <col min="15637" max="15637" width="8.5703125" style="12" customWidth="1"/>
    <col min="15638" max="15638" width="8.28515625" style="12" customWidth="1"/>
    <col min="15639" max="15639" width="8.42578125" style="12" customWidth="1"/>
    <col min="15640" max="15640" width="8.5703125" style="12" customWidth="1"/>
    <col min="15641" max="15641" width="8.28515625" style="12" customWidth="1"/>
    <col min="15642" max="15642" width="8.42578125" style="12" customWidth="1"/>
    <col min="15643" max="15643" width="8.7109375" style="12" bestFit="1" customWidth="1"/>
    <col min="15644" max="15644" width="8.42578125" style="12" bestFit="1" customWidth="1"/>
    <col min="15645" max="15645" width="8.5703125" style="12" bestFit="1" customWidth="1"/>
    <col min="15646" max="15646" width="8.7109375" style="12" bestFit="1" customWidth="1"/>
    <col min="15647" max="15647" width="8.42578125" style="12" bestFit="1" customWidth="1"/>
    <col min="15648" max="15648" width="11" style="12" customWidth="1"/>
    <col min="15649" max="15649" width="8.85546875" style="12" customWidth="1"/>
    <col min="15650" max="15653" width="9.7109375" style="12" bestFit="1" customWidth="1"/>
    <col min="15654" max="15654" width="9" style="12" bestFit="1" customWidth="1"/>
    <col min="15655" max="15861" width="8.85546875" style="12" customWidth="1"/>
    <col min="15862" max="15862" width="10.85546875" style="12" bestFit="1" customWidth="1"/>
    <col min="15863" max="15863" width="8.7109375" style="12" customWidth="1"/>
    <col min="15864" max="15864" width="8.5703125" style="12" customWidth="1"/>
    <col min="15865" max="15866" width="8.7109375" style="12" customWidth="1"/>
    <col min="15867" max="15868" width="10.28515625" style="12" customWidth="1"/>
    <col min="15869" max="15869" width="9.42578125" style="12" customWidth="1"/>
    <col min="15870" max="15873" width="9.5703125" style="12" customWidth="1"/>
    <col min="15874" max="15874" width="9.42578125" style="12" customWidth="1"/>
    <col min="15875" max="15875" width="9.5703125" style="12" customWidth="1"/>
    <col min="15876" max="15877" width="8.85546875" style="12" customWidth="1"/>
    <col min="15878" max="15878" width="9" style="12" customWidth="1"/>
    <col min="15879" max="15879" width="8" style="12" customWidth="1"/>
    <col min="15880" max="15880" width="7.7109375" style="12" customWidth="1"/>
    <col min="15881" max="15881" width="7.85546875" style="12" customWidth="1"/>
    <col min="15882" max="15882" width="8" style="12" customWidth="1"/>
    <col min="15883" max="15883" width="7.7109375" style="12" customWidth="1"/>
    <col min="15884" max="15884" width="7.85546875" style="12" customWidth="1"/>
    <col min="15885" max="15885" width="8.5703125" style="12" customWidth="1"/>
    <col min="15886" max="15886" width="7.7109375" style="12" customWidth="1"/>
    <col min="15887" max="15887" width="7.5703125" style="12" customWidth="1"/>
    <col min="15888" max="15889" width="7.85546875" style="12" customWidth="1"/>
    <col min="15890" max="15890" width="8.85546875" style="12" customWidth="1"/>
    <col min="15891" max="15892" width="8.7109375" style="12" customWidth="1"/>
    <col min="15893" max="15893" width="8.5703125" style="12" customWidth="1"/>
    <col min="15894" max="15894" width="8.28515625" style="12" customWidth="1"/>
    <col min="15895" max="15895" width="8.42578125" style="12" customWidth="1"/>
    <col min="15896" max="15896" width="8.5703125" style="12" customWidth="1"/>
    <col min="15897" max="15897" width="8.28515625" style="12" customWidth="1"/>
    <col min="15898" max="15898" width="8.42578125" style="12" customWidth="1"/>
    <col min="15899" max="15899" width="8.7109375" style="12" bestFit="1" customWidth="1"/>
    <col min="15900" max="15900" width="8.42578125" style="12" bestFit="1" customWidth="1"/>
    <col min="15901" max="15901" width="8.5703125" style="12" bestFit="1" customWidth="1"/>
    <col min="15902" max="15902" width="8.7109375" style="12" bestFit="1" customWidth="1"/>
    <col min="15903" max="15903" width="8.42578125" style="12" bestFit="1" customWidth="1"/>
    <col min="15904" max="15904" width="11" style="12" customWidth="1"/>
    <col min="15905" max="15905" width="8.85546875" style="12" customWidth="1"/>
    <col min="15906" max="15909" width="9.7109375" style="12" bestFit="1" customWidth="1"/>
    <col min="15910" max="15910" width="9" style="12" bestFit="1" customWidth="1"/>
    <col min="15911" max="16117" width="8.85546875" style="12" customWidth="1"/>
    <col min="16118" max="16118" width="10.85546875" style="12" bestFit="1" customWidth="1"/>
    <col min="16119" max="16119" width="8.7109375" style="12" customWidth="1"/>
    <col min="16120" max="16120" width="8.5703125" style="12" customWidth="1"/>
    <col min="16121" max="16122" width="8.7109375" style="12" customWidth="1"/>
    <col min="16123" max="16124" width="10.28515625" style="12" customWidth="1"/>
    <col min="16125" max="16125" width="9.42578125" style="12" customWidth="1"/>
    <col min="16126" max="16129" width="9.5703125" style="12" customWidth="1"/>
    <col min="16130" max="16130" width="9.42578125" style="12" customWidth="1"/>
    <col min="16131" max="16131" width="9.5703125" style="12" customWidth="1"/>
    <col min="16132" max="16133" width="8.85546875" style="12" customWidth="1"/>
    <col min="16134" max="16134" width="9" style="12" customWidth="1"/>
    <col min="16135" max="16135" width="8" style="12" customWidth="1"/>
    <col min="16136" max="16136" width="7.7109375" style="12" customWidth="1"/>
    <col min="16137" max="16137" width="7.85546875" style="12" customWidth="1"/>
    <col min="16138" max="16138" width="8" style="12" customWidth="1"/>
    <col min="16139" max="16139" width="7.7109375" style="12" customWidth="1"/>
    <col min="16140" max="16140" width="7.85546875" style="12" customWidth="1"/>
    <col min="16141" max="16141" width="8.5703125" style="12" customWidth="1"/>
    <col min="16142" max="16142" width="7.7109375" style="12" customWidth="1"/>
    <col min="16143" max="16143" width="7.5703125" style="12" customWidth="1"/>
    <col min="16144" max="16145" width="7.85546875" style="12" customWidth="1"/>
    <col min="16146" max="16146" width="8.85546875" style="12" customWidth="1"/>
    <col min="16147" max="16148" width="8.7109375" style="12" customWidth="1"/>
    <col min="16149" max="16149" width="8.5703125" style="12" customWidth="1"/>
    <col min="16150" max="16150" width="8.28515625" style="12" customWidth="1"/>
    <col min="16151" max="16151" width="8.42578125" style="12" customWidth="1"/>
    <col min="16152" max="16152" width="8.5703125" style="12" customWidth="1"/>
    <col min="16153" max="16153" width="8.28515625" style="12" customWidth="1"/>
    <col min="16154" max="16154" width="8.42578125" style="12" customWidth="1"/>
    <col min="16155" max="16155" width="8.7109375" style="12" bestFit="1" customWidth="1"/>
    <col min="16156" max="16156" width="8.42578125" style="12" bestFit="1" customWidth="1"/>
    <col min="16157" max="16157" width="8.5703125" style="12" bestFit="1" customWidth="1"/>
    <col min="16158" max="16158" width="8.7109375" style="12" bestFit="1" customWidth="1"/>
    <col min="16159" max="16159" width="8.42578125" style="12" bestFit="1" customWidth="1"/>
    <col min="16160" max="16160" width="11" style="12" customWidth="1"/>
    <col min="16161" max="16161" width="8.85546875" style="12" customWidth="1"/>
    <col min="16162" max="16165" width="9.7109375" style="12" bestFit="1" customWidth="1"/>
    <col min="16166" max="16166" width="9" style="12" bestFit="1" customWidth="1"/>
    <col min="16167" max="16384" width="8.85546875" style="12" customWidth="1"/>
  </cols>
  <sheetData>
    <row r="2" spans="2:55" ht="12.95" customHeight="1" x14ac:dyDescent="0.2">
      <c r="C2" s="13" t="s">
        <v>402</v>
      </c>
      <c r="D2" s="14"/>
      <c r="K2" s="14"/>
      <c r="R2" s="14"/>
      <c r="Y2" s="14"/>
      <c r="AF2" s="14"/>
      <c r="AL2" s="14"/>
      <c r="AR2" s="14"/>
      <c r="AX2" s="14"/>
    </row>
    <row r="3" spans="2:55" ht="12.95" customHeight="1" x14ac:dyDescent="0.2">
      <c r="B3" s="1" t="s">
        <v>235</v>
      </c>
      <c r="C3" s="1" t="s">
        <v>261</v>
      </c>
      <c r="D3" s="1" t="s">
        <v>383</v>
      </c>
      <c r="E3" s="1" t="s">
        <v>385</v>
      </c>
      <c r="F3" s="1" t="s">
        <v>387</v>
      </c>
      <c r="G3" s="1" t="s">
        <v>381</v>
      </c>
      <c r="H3" s="1" t="s">
        <v>389</v>
      </c>
      <c r="I3" s="1" t="s">
        <v>403</v>
      </c>
      <c r="J3" s="1" t="s">
        <v>379</v>
      </c>
      <c r="K3" s="1" t="s">
        <v>321</v>
      </c>
      <c r="L3" s="1" t="s">
        <v>335</v>
      </c>
      <c r="M3" s="1" t="s">
        <v>349</v>
      </c>
      <c r="N3" s="1" t="s">
        <v>307</v>
      </c>
      <c r="O3" s="1" t="s">
        <v>363</v>
      </c>
      <c r="P3" s="1" t="s">
        <v>404</v>
      </c>
      <c r="Q3" s="1" t="s">
        <v>293</v>
      </c>
      <c r="R3" s="1" t="s">
        <v>323</v>
      </c>
      <c r="S3" s="1" t="s">
        <v>337</v>
      </c>
      <c r="T3" s="1" t="s">
        <v>351</v>
      </c>
      <c r="U3" s="1" t="s">
        <v>309</v>
      </c>
      <c r="V3" s="1" t="s">
        <v>365</v>
      </c>
      <c r="W3" s="1" t="s">
        <v>405</v>
      </c>
      <c r="X3" s="1" t="s">
        <v>295</v>
      </c>
      <c r="Y3" s="1" t="s">
        <v>325</v>
      </c>
      <c r="Z3" s="1" t="s">
        <v>339</v>
      </c>
      <c r="AA3" s="1" t="s">
        <v>353</v>
      </c>
      <c r="AB3" s="1" t="s">
        <v>311</v>
      </c>
      <c r="AC3" s="1" t="s">
        <v>367</v>
      </c>
      <c r="AD3" s="1" t="s">
        <v>406</v>
      </c>
      <c r="AE3" s="1" t="s">
        <v>297</v>
      </c>
      <c r="AF3" s="1" t="s">
        <v>327</v>
      </c>
      <c r="AG3" s="1" t="s">
        <v>341</v>
      </c>
      <c r="AH3" s="1" t="s">
        <v>355</v>
      </c>
      <c r="AI3" s="1" t="s">
        <v>313</v>
      </c>
      <c r="AJ3" s="1" t="s">
        <v>369</v>
      </c>
      <c r="AK3" s="1" t="s">
        <v>299</v>
      </c>
      <c r="AL3" s="1" t="s">
        <v>329</v>
      </c>
      <c r="AM3" s="1" t="s">
        <v>343</v>
      </c>
      <c r="AN3" s="1" t="s">
        <v>357</v>
      </c>
      <c r="AO3" s="1" t="s">
        <v>315</v>
      </c>
      <c r="AP3" s="1" t="s">
        <v>371</v>
      </c>
      <c r="AQ3" s="1" t="s">
        <v>301</v>
      </c>
      <c r="AR3" s="1" t="s">
        <v>331</v>
      </c>
      <c r="AS3" s="1" t="s">
        <v>345</v>
      </c>
      <c r="AT3" s="1" t="s">
        <v>359</v>
      </c>
      <c r="AU3" s="1" t="s">
        <v>317</v>
      </c>
      <c r="AV3" s="1" t="s">
        <v>373</v>
      </c>
      <c r="AW3" s="1" t="s">
        <v>303</v>
      </c>
      <c r="AX3" s="1" t="s">
        <v>333</v>
      </c>
      <c r="AY3" s="1" t="s">
        <v>347</v>
      </c>
      <c r="AZ3" s="1" t="s">
        <v>361</v>
      </c>
      <c r="BA3" s="1" t="s">
        <v>319</v>
      </c>
      <c r="BB3" s="1" t="s">
        <v>375</v>
      </c>
      <c r="BC3" s="1" t="s">
        <v>305</v>
      </c>
    </row>
    <row r="4" spans="2:55" x14ac:dyDescent="0.2">
      <c r="B4" s="15" t="s">
        <v>252</v>
      </c>
      <c r="C4" s="15" t="s">
        <v>377</v>
      </c>
      <c r="D4" s="12">
        <v>1</v>
      </c>
      <c r="E4" s="12">
        <v>1</v>
      </c>
      <c r="F4" s="12">
        <v>1</v>
      </c>
      <c r="G4" s="12">
        <v>1</v>
      </c>
      <c r="H4" s="12">
        <v>1</v>
      </c>
      <c r="I4" s="12">
        <v>1</v>
      </c>
      <c r="J4" s="12">
        <v>1</v>
      </c>
    </row>
    <row r="5" spans="2:55" x14ac:dyDescent="0.2">
      <c r="B5" s="15" t="s">
        <v>252</v>
      </c>
      <c r="C5" s="15" t="s">
        <v>282</v>
      </c>
      <c r="K5" s="12">
        <v>1</v>
      </c>
      <c r="L5" s="12">
        <v>1</v>
      </c>
      <c r="M5" s="12">
        <v>1</v>
      </c>
      <c r="N5" s="12">
        <v>1</v>
      </c>
      <c r="O5" s="12">
        <v>1</v>
      </c>
      <c r="P5" s="12">
        <v>1</v>
      </c>
      <c r="Q5" s="12">
        <v>1</v>
      </c>
    </row>
    <row r="6" spans="2:55" x14ac:dyDescent="0.2">
      <c r="B6" s="15" t="s">
        <v>252</v>
      </c>
      <c r="C6" s="15" t="s">
        <v>285</v>
      </c>
      <c r="R6" s="12">
        <v>1</v>
      </c>
      <c r="S6" s="12">
        <v>1</v>
      </c>
      <c r="T6" s="12">
        <v>1</v>
      </c>
      <c r="U6" s="12">
        <v>1</v>
      </c>
      <c r="V6" s="12">
        <v>1</v>
      </c>
      <c r="W6" s="12">
        <v>1</v>
      </c>
      <c r="X6" s="12">
        <v>1</v>
      </c>
    </row>
    <row r="7" spans="2:55" x14ac:dyDescent="0.2">
      <c r="B7" s="15" t="s">
        <v>252</v>
      </c>
      <c r="C7" s="15" t="s">
        <v>287</v>
      </c>
      <c r="Y7" s="12">
        <v>1</v>
      </c>
      <c r="Z7" s="12">
        <v>1</v>
      </c>
      <c r="AA7" s="12">
        <v>1</v>
      </c>
      <c r="AB7" s="12">
        <v>1</v>
      </c>
      <c r="AC7" s="12">
        <v>1</v>
      </c>
      <c r="AD7" s="12">
        <v>1</v>
      </c>
      <c r="AE7" s="12">
        <v>1</v>
      </c>
    </row>
    <row r="8" spans="2:55" x14ac:dyDescent="0.2">
      <c r="B8" s="15" t="s">
        <v>252</v>
      </c>
      <c r="C8" s="15" t="s">
        <v>289</v>
      </c>
      <c r="AF8" s="12">
        <v>1</v>
      </c>
      <c r="AG8" s="12">
        <v>1</v>
      </c>
      <c r="AH8" s="12">
        <v>1</v>
      </c>
      <c r="AI8" s="12">
        <v>1</v>
      </c>
      <c r="AJ8" s="12">
        <v>1</v>
      </c>
      <c r="AK8" s="12">
        <v>1</v>
      </c>
    </row>
    <row r="9" spans="2:55" x14ac:dyDescent="0.2">
      <c r="B9" s="15" t="s">
        <v>252</v>
      </c>
      <c r="C9" s="15" t="s">
        <v>290</v>
      </c>
      <c r="AL9" s="12">
        <v>1</v>
      </c>
      <c r="AM9" s="12">
        <v>1</v>
      </c>
      <c r="AN9" s="12">
        <v>1</v>
      </c>
      <c r="AO9" s="12">
        <v>1</v>
      </c>
      <c r="AP9" s="12">
        <v>1</v>
      </c>
      <c r="AQ9" s="12">
        <v>1</v>
      </c>
    </row>
    <row r="10" spans="2:55" x14ac:dyDescent="0.2">
      <c r="B10" s="15" t="s">
        <v>252</v>
      </c>
      <c r="C10" s="15" t="s">
        <v>291</v>
      </c>
      <c r="AR10" s="12">
        <v>1</v>
      </c>
      <c r="AS10" s="12">
        <v>1</v>
      </c>
      <c r="AT10" s="12">
        <v>1</v>
      </c>
      <c r="AU10" s="12">
        <v>1</v>
      </c>
      <c r="AV10" s="12">
        <v>1</v>
      </c>
      <c r="AW10" s="12">
        <v>1</v>
      </c>
    </row>
    <row r="11" spans="2:55" x14ac:dyDescent="0.2">
      <c r="B11" s="15" t="s">
        <v>252</v>
      </c>
      <c r="C11" s="15" t="s">
        <v>292</v>
      </c>
      <c r="AX11" s="12">
        <v>1</v>
      </c>
      <c r="AY11" s="12">
        <v>1</v>
      </c>
      <c r="AZ11" s="12">
        <v>1</v>
      </c>
      <c r="BA11" s="12">
        <v>1</v>
      </c>
      <c r="BB11" s="12">
        <v>1</v>
      </c>
      <c r="BC11" s="12">
        <v>1</v>
      </c>
    </row>
    <row r="12" spans="2:55" x14ac:dyDescent="0.2">
      <c r="B12" s="15" t="s">
        <v>395</v>
      </c>
      <c r="C12" s="15" t="s">
        <v>377</v>
      </c>
      <c r="D12" s="12">
        <v>1</v>
      </c>
      <c r="E12" s="12">
        <v>1</v>
      </c>
      <c r="F12" s="12">
        <v>1</v>
      </c>
      <c r="G12" s="12">
        <v>1</v>
      </c>
      <c r="H12" s="12">
        <v>1</v>
      </c>
      <c r="I12" s="12">
        <v>1</v>
      </c>
      <c r="J12" s="12">
        <v>1</v>
      </c>
    </row>
    <row r="13" spans="2:55" x14ac:dyDescent="0.2">
      <c r="B13" s="15" t="s">
        <v>395</v>
      </c>
      <c r="C13" s="15" t="s">
        <v>282</v>
      </c>
      <c r="K13" s="12">
        <v>1</v>
      </c>
      <c r="L13" s="12">
        <v>1</v>
      </c>
      <c r="M13" s="12">
        <v>1</v>
      </c>
      <c r="N13" s="12">
        <v>1</v>
      </c>
      <c r="O13" s="12">
        <v>1</v>
      </c>
      <c r="P13" s="12">
        <v>1</v>
      </c>
      <c r="Q13" s="12">
        <v>1</v>
      </c>
    </row>
    <row r="14" spans="2:55" x14ac:dyDescent="0.2">
      <c r="B14" s="15" t="s">
        <v>395</v>
      </c>
      <c r="C14" s="15" t="s">
        <v>285</v>
      </c>
      <c r="R14" s="12">
        <v>1</v>
      </c>
      <c r="S14" s="12">
        <v>1</v>
      </c>
      <c r="T14" s="12">
        <v>1</v>
      </c>
      <c r="U14" s="12">
        <v>1</v>
      </c>
      <c r="V14" s="12">
        <v>1</v>
      </c>
      <c r="W14" s="12">
        <v>1</v>
      </c>
      <c r="X14" s="12">
        <v>1</v>
      </c>
    </row>
    <row r="15" spans="2:55" x14ac:dyDescent="0.2">
      <c r="B15" s="15" t="s">
        <v>395</v>
      </c>
      <c r="C15" s="15" t="s">
        <v>287</v>
      </c>
      <c r="Y15" s="12">
        <v>1</v>
      </c>
      <c r="Z15" s="12">
        <v>1</v>
      </c>
      <c r="AA15" s="12">
        <v>1</v>
      </c>
      <c r="AB15" s="12">
        <v>1</v>
      </c>
      <c r="AC15" s="12">
        <v>1</v>
      </c>
      <c r="AD15" s="12">
        <v>1</v>
      </c>
      <c r="AE15" s="12">
        <v>1</v>
      </c>
    </row>
    <row r="16" spans="2:55" x14ac:dyDescent="0.2">
      <c r="B16" s="15" t="s">
        <v>395</v>
      </c>
      <c r="C16" s="15" t="s">
        <v>289</v>
      </c>
      <c r="AF16" s="12">
        <v>1</v>
      </c>
      <c r="AG16" s="12">
        <v>1</v>
      </c>
      <c r="AH16" s="12">
        <v>1</v>
      </c>
      <c r="AI16" s="12">
        <v>1</v>
      </c>
      <c r="AJ16" s="12">
        <v>1</v>
      </c>
      <c r="AK16" s="12">
        <v>1</v>
      </c>
    </row>
    <row r="17" spans="2:55" x14ac:dyDescent="0.2">
      <c r="B17" s="15" t="s">
        <v>395</v>
      </c>
      <c r="C17" s="15" t="s">
        <v>290</v>
      </c>
      <c r="AL17" s="12">
        <v>1</v>
      </c>
      <c r="AM17" s="12">
        <v>1</v>
      </c>
      <c r="AN17" s="12">
        <v>1</v>
      </c>
      <c r="AO17" s="12">
        <v>1</v>
      </c>
      <c r="AP17" s="12">
        <v>1</v>
      </c>
      <c r="AQ17" s="12">
        <v>1</v>
      </c>
    </row>
    <row r="18" spans="2:55" x14ac:dyDescent="0.2">
      <c r="B18" s="15" t="s">
        <v>395</v>
      </c>
      <c r="C18" s="15" t="s">
        <v>291</v>
      </c>
      <c r="AR18" s="12">
        <v>1</v>
      </c>
      <c r="AS18" s="12">
        <v>1</v>
      </c>
      <c r="AT18" s="12">
        <v>1</v>
      </c>
      <c r="AU18" s="12">
        <v>1</v>
      </c>
      <c r="AV18" s="12">
        <v>1</v>
      </c>
      <c r="AW18" s="12">
        <v>1</v>
      </c>
    </row>
    <row r="19" spans="2:55" x14ac:dyDescent="0.2">
      <c r="B19" s="15" t="s">
        <v>395</v>
      </c>
      <c r="C19" s="15" t="s">
        <v>292</v>
      </c>
      <c r="AX19" s="12">
        <v>1</v>
      </c>
      <c r="AY19" s="12">
        <v>1</v>
      </c>
      <c r="AZ19" s="12">
        <v>1</v>
      </c>
      <c r="BA19" s="12">
        <v>1</v>
      </c>
      <c r="BB19" s="12">
        <v>1</v>
      </c>
      <c r="BC19" s="12">
        <v>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B2:P79"/>
  <sheetViews>
    <sheetView topLeftCell="A4" workbookViewId="0">
      <selection activeCell="G32" sqref="G32"/>
    </sheetView>
  </sheetViews>
  <sheetFormatPr defaultRowHeight="15" x14ac:dyDescent="0.25"/>
  <cols>
    <col min="2" max="2" width="16.42578125" bestFit="1" customWidth="1"/>
    <col min="3" max="3" width="16.42578125" customWidth="1"/>
    <col min="4" max="4" width="10.7109375" bestFit="1" customWidth="1"/>
    <col min="6" max="6" width="16.42578125" bestFit="1" customWidth="1"/>
    <col min="7" max="7" width="16.42578125" customWidth="1"/>
    <col min="8" max="8" width="23.28515625" bestFit="1" customWidth="1"/>
    <col min="10" max="10" width="16.42578125" bestFit="1" customWidth="1"/>
    <col min="11" max="11" width="16.42578125" customWidth="1"/>
    <col min="12" max="12" width="18.42578125" bestFit="1" customWidth="1"/>
    <col min="14" max="14" width="16.42578125" bestFit="1" customWidth="1"/>
    <col min="15" max="15" width="16.42578125" customWidth="1"/>
    <col min="16" max="16" width="10.7109375" bestFit="1" customWidth="1"/>
  </cols>
  <sheetData>
    <row r="2" spans="2:16" x14ac:dyDescent="0.25">
      <c r="B2" s="13" t="s">
        <v>407</v>
      </c>
      <c r="F2" s="13" t="s">
        <v>407</v>
      </c>
      <c r="J2" s="13" t="s">
        <v>407</v>
      </c>
      <c r="N2" s="13" t="s">
        <v>407</v>
      </c>
    </row>
    <row r="3" spans="2:16" x14ac:dyDescent="0.25">
      <c r="B3" s="1" t="s">
        <v>408</v>
      </c>
      <c r="C3" s="1" t="s">
        <v>409</v>
      </c>
      <c r="D3" s="1" t="s">
        <v>410</v>
      </c>
      <c r="F3" s="1" t="s">
        <v>408</v>
      </c>
      <c r="G3" s="1" t="s">
        <v>409</v>
      </c>
      <c r="H3" s="1" t="s">
        <v>410</v>
      </c>
      <c r="J3" s="1" t="s">
        <v>408</v>
      </c>
      <c r="K3" s="1" t="s">
        <v>409</v>
      </c>
      <c r="L3" s="1" t="s">
        <v>410</v>
      </c>
      <c r="N3" s="1" t="s">
        <v>408</v>
      </c>
      <c r="O3" s="1" t="s">
        <v>409</v>
      </c>
      <c r="P3" s="1" t="s">
        <v>410</v>
      </c>
    </row>
    <row r="4" spans="2:16" x14ac:dyDescent="0.25">
      <c r="B4" t="s">
        <v>411</v>
      </c>
      <c r="C4" t="str">
        <f>Def_Comm!C5</f>
        <v>RESLPG</v>
      </c>
      <c r="D4" t="str">
        <f>'ENE TECH'!A3</f>
        <v>Residential</v>
      </c>
      <c r="F4" t="s">
        <v>412</v>
      </c>
      <c r="G4" t="str">
        <f>Def_Comm!C5</f>
        <v>RESLPG</v>
      </c>
      <c r="H4" t="str">
        <f>'ENE TECH'!B3</f>
        <v>LPG</v>
      </c>
      <c r="J4" t="s">
        <v>412</v>
      </c>
      <c r="K4" t="str">
        <f>Def_Comm!C121</f>
        <v>ELCCO2</v>
      </c>
      <c r="L4" t="str">
        <f>Def_Comm!D114</f>
        <v>Carbon dioxide</v>
      </c>
      <c r="N4" t="s">
        <v>411</v>
      </c>
      <c r="O4" t="str">
        <f>Def_Comm!C121</f>
        <v>ELCCO2</v>
      </c>
      <c r="P4" t="s">
        <v>97</v>
      </c>
    </row>
    <row r="5" spans="2:16" x14ac:dyDescent="0.25">
      <c r="B5" t="s">
        <v>411</v>
      </c>
      <c r="C5" t="str">
        <f>Def_Comm!C6</f>
        <v>RESFOI</v>
      </c>
      <c r="D5" t="str">
        <f>'ENE TECH'!A4</f>
        <v>Residential</v>
      </c>
      <c r="F5" t="s">
        <v>412</v>
      </c>
      <c r="G5" t="str">
        <f>Def_Comm!C6</f>
        <v>RESFOI</v>
      </c>
      <c r="H5" t="str">
        <f>'ENE TECH'!B4</f>
        <v>Fuel oil</v>
      </c>
      <c r="J5" t="s">
        <v>412</v>
      </c>
      <c r="K5" t="str">
        <f>Def_Comm!C122</f>
        <v>ELCCH4</v>
      </c>
      <c r="L5" t="str">
        <f>Def_Comm!D115</f>
        <v>Methane</v>
      </c>
      <c r="N5" t="s">
        <v>411</v>
      </c>
      <c r="O5" t="str">
        <f>Def_Comm!C122</f>
        <v>ELCCH4</v>
      </c>
      <c r="P5" t="s">
        <v>97</v>
      </c>
    </row>
    <row r="6" spans="2:16" x14ac:dyDescent="0.25">
      <c r="B6" t="s">
        <v>411</v>
      </c>
      <c r="C6" t="str">
        <f>Def_Comm!C7</f>
        <v>RESKER</v>
      </c>
      <c r="D6" t="str">
        <f>'ENE TECH'!A5</f>
        <v>Residential</v>
      </c>
      <c r="F6" t="s">
        <v>412</v>
      </c>
      <c r="G6" t="str">
        <f>Def_Comm!C7</f>
        <v>RESKER</v>
      </c>
      <c r="H6" t="str">
        <f>'ENE TECH'!B5</f>
        <v>Kerosene</v>
      </c>
      <c r="J6" t="s">
        <v>412</v>
      </c>
      <c r="K6" t="str">
        <f>Def_Comm!C123</f>
        <v>ELCN2O</v>
      </c>
      <c r="L6" t="str">
        <f>Def_Comm!D116</f>
        <v>Nitrous oxide</v>
      </c>
      <c r="N6" t="s">
        <v>411</v>
      </c>
      <c r="O6" t="str">
        <f>Def_Comm!C123</f>
        <v>ELCN2O</v>
      </c>
      <c r="P6" t="s">
        <v>97</v>
      </c>
    </row>
    <row r="7" spans="2:16" x14ac:dyDescent="0.25">
      <c r="B7" t="s">
        <v>411</v>
      </c>
      <c r="C7" t="str">
        <f>Def_Comm!C8</f>
        <v>RESNGA</v>
      </c>
      <c r="D7" t="str">
        <f>'ENE TECH'!A6</f>
        <v>Residential</v>
      </c>
      <c r="F7" t="s">
        <v>412</v>
      </c>
      <c r="G7" t="str">
        <f>Def_Comm!C8</f>
        <v>RESNGA</v>
      </c>
      <c r="H7" t="str">
        <f>'ENE TECH'!B6</f>
        <v>Natural gas</v>
      </c>
      <c r="J7" t="s">
        <v>412</v>
      </c>
      <c r="K7" t="str">
        <f>Def_Comm!C124</f>
        <v>ELCNOX</v>
      </c>
      <c r="L7" t="str">
        <f>Def_Comm!D117</f>
        <v>NOX</v>
      </c>
      <c r="N7" t="s">
        <v>411</v>
      </c>
      <c r="O7" t="str">
        <f>Def_Comm!C124</f>
        <v>ELCNOX</v>
      </c>
      <c r="P7" t="s">
        <v>97</v>
      </c>
    </row>
    <row r="8" spans="2:16" x14ac:dyDescent="0.25">
      <c r="B8" t="s">
        <v>411</v>
      </c>
      <c r="C8" t="str">
        <f>Def_Comm!C9</f>
        <v>RESRNG</v>
      </c>
      <c r="D8" t="str">
        <f>'ENE TECH'!A7</f>
        <v>Residential</v>
      </c>
      <c r="F8" t="s">
        <v>412</v>
      </c>
      <c r="G8" t="str">
        <f>Def_Comm!C9</f>
        <v>RESRNG</v>
      </c>
      <c r="H8" t="str">
        <f>'ENE TECH'!B7</f>
        <v>RNG</v>
      </c>
      <c r="J8" t="s">
        <v>412</v>
      </c>
      <c r="K8" t="str">
        <f>Def_Comm!C125</f>
        <v>ELCSO2</v>
      </c>
      <c r="L8" t="str">
        <f>Def_Comm!D118</f>
        <v>SO2</v>
      </c>
      <c r="N8" t="s">
        <v>411</v>
      </c>
      <c r="O8" t="str">
        <f>Def_Comm!C125</f>
        <v>ELCSO2</v>
      </c>
      <c r="P8" t="s">
        <v>97</v>
      </c>
    </row>
    <row r="9" spans="2:16" x14ac:dyDescent="0.25">
      <c r="B9" t="s">
        <v>411</v>
      </c>
      <c r="C9" t="str">
        <f>Def_Comm!C10</f>
        <v>RESELC</v>
      </c>
      <c r="D9" t="str">
        <f>'ENE TECH'!A8</f>
        <v>Residential</v>
      </c>
      <c r="F9" t="s">
        <v>412</v>
      </c>
      <c r="G9" t="str">
        <f>Def_Comm!C10</f>
        <v>RESELC</v>
      </c>
      <c r="H9" t="str">
        <f>'ENE TECH'!B8</f>
        <v>Electricity</v>
      </c>
      <c r="J9" t="s">
        <v>412</v>
      </c>
      <c r="K9" t="str">
        <f>Def_Comm!C126</f>
        <v>ELCPM25</v>
      </c>
      <c r="L9" t="str">
        <f>Def_Comm!D119</f>
        <v>PM25</v>
      </c>
      <c r="N9" t="s">
        <v>411</v>
      </c>
      <c r="O9" t="str">
        <f>Def_Comm!C126</f>
        <v>ELCPM25</v>
      </c>
      <c r="P9" t="s">
        <v>97</v>
      </c>
    </row>
    <row r="10" spans="2:16" x14ac:dyDescent="0.25">
      <c r="B10" t="s">
        <v>411</v>
      </c>
      <c r="C10" t="str">
        <f>Def_Comm!C11</f>
        <v>RESH2G</v>
      </c>
      <c r="D10" t="str">
        <f>'ENE TECH'!A9</f>
        <v>Residential</v>
      </c>
      <c r="F10" t="s">
        <v>412</v>
      </c>
      <c r="G10" t="str">
        <f>Def_Comm!C11</f>
        <v>RESH2G</v>
      </c>
      <c r="H10" t="str">
        <f>'ENE TECH'!B9</f>
        <v>Hydrogen</v>
      </c>
      <c r="J10" t="s">
        <v>412</v>
      </c>
      <c r="K10" t="str">
        <f>Def_Comm!C127</f>
        <v>ELCPM10</v>
      </c>
      <c r="L10" t="str">
        <f>Def_Comm!D120</f>
        <v>PM10</v>
      </c>
      <c r="N10" t="s">
        <v>411</v>
      </c>
      <c r="O10" t="str">
        <f>Def_Comm!C127</f>
        <v>ELCPM10</v>
      </c>
      <c r="P10" t="s">
        <v>97</v>
      </c>
    </row>
    <row r="11" spans="2:16" x14ac:dyDescent="0.25">
      <c r="B11" t="s">
        <v>411</v>
      </c>
      <c r="C11" t="str">
        <f>Def_Comm!C13</f>
        <v>RESSOL</v>
      </c>
      <c r="D11" t="str">
        <f>'ENE TECH'!A11</f>
        <v>Residential</v>
      </c>
      <c r="F11" t="s">
        <v>412</v>
      </c>
      <c r="G11" t="str">
        <f>Def_Comm!C12</f>
        <v>RESSTM</v>
      </c>
      <c r="H11" t="str">
        <f>'ENE TECH'!B10</f>
        <v>Steam</v>
      </c>
      <c r="J11" t="s">
        <v>412</v>
      </c>
      <c r="K11" t="str">
        <f>Def_Comm!C128</f>
        <v>TRACO2</v>
      </c>
      <c r="L11" t="str">
        <f t="shared" ref="L11:L45" si="0">L4</f>
        <v>Carbon dioxide</v>
      </c>
      <c r="N11" t="s">
        <v>411</v>
      </c>
      <c r="O11" t="str">
        <f>Def_Comm!C128</f>
        <v>TRACO2</v>
      </c>
      <c r="P11" t="s">
        <v>157</v>
      </c>
    </row>
    <row r="12" spans="2:16" x14ac:dyDescent="0.25">
      <c r="B12" t="s">
        <v>411</v>
      </c>
      <c r="C12" t="str">
        <f>Def_Comm!C14</f>
        <v>RESWND</v>
      </c>
      <c r="D12" t="str">
        <f>'ENE TECH'!A12</f>
        <v>Residential</v>
      </c>
      <c r="F12" t="s">
        <v>412</v>
      </c>
      <c r="G12" t="str">
        <f>Def_Comm!C13</f>
        <v>RESSOL</v>
      </c>
      <c r="H12" t="str">
        <f>'ENE TECH'!B11</f>
        <v>Solar</v>
      </c>
      <c r="J12" t="s">
        <v>412</v>
      </c>
      <c r="K12" t="str">
        <f>Def_Comm!C129</f>
        <v>TRACH4</v>
      </c>
      <c r="L12" t="str">
        <f t="shared" si="0"/>
        <v>Methane</v>
      </c>
      <c r="N12" t="s">
        <v>411</v>
      </c>
      <c r="O12" t="str">
        <f>Def_Comm!C129</f>
        <v>TRACH4</v>
      </c>
      <c r="P12" t="s">
        <v>157</v>
      </c>
    </row>
    <row r="13" spans="2:16" x14ac:dyDescent="0.25">
      <c r="B13" t="s">
        <v>411</v>
      </c>
      <c r="C13" t="str">
        <f>Def_Comm!C15</f>
        <v>COMLPG</v>
      </c>
      <c r="D13" t="str">
        <f>'ENE TECH'!A13</f>
        <v>Commercial</v>
      </c>
      <c r="F13" t="s">
        <v>412</v>
      </c>
      <c r="G13" t="str">
        <f>Def_Comm!C14</f>
        <v>RESWND</v>
      </c>
      <c r="H13" t="str">
        <f>'ENE TECH'!B12</f>
        <v>Wind</v>
      </c>
      <c r="J13" t="s">
        <v>412</v>
      </c>
      <c r="K13" t="str">
        <f>Def_Comm!C130</f>
        <v>TRAN2O</v>
      </c>
      <c r="L13" t="str">
        <f t="shared" si="0"/>
        <v>Nitrous oxide</v>
      </c>
      <c r="N13" t="s">
        <v>411</v>
      </c>
      <c r="O13" t="str">
        <f>Def_Comm!C130</f>
        <v>TRAN2O</v>
      </c>
      <c r="P13" t="s">
        <v>157</v>
      </c>
    </row>
    <row r="14" spans="2:16" x14ac:dyDescent="0.25">
      <c r="B14" t="s">
        <v>411</v>
      </c>
      <c r="C14" t="str">
        <f>Def_Comm!C16</f>
        <v>COMDSL</v>
      </c>
      <c r="D14" t="str">
        <f>'ENE TECH'!A14</f>
        <v>Commercial</v>
      </c>
      <c r="F14" t="s">
        <v>412</v>
      </c>
      <c r="G14" t="str">
        <f>Def_Comm!C15</f>
        <v>COMLPG</v>
      </c>
      <c r="H14" t="str">
        <f>'ENE TECH'!B13</f>
        <v>LPG</v>
      </c>
      <c r="J14" t="s">
        <v>412</v>
      </c>
      <c r="K14" t="str">
        <f>Def_Comm!C131</f>
        <v>TRANOX</v>
      </c>
      <c r="L14" t="str">
        <f t="shared" si="0"/>
        <v>NOX</v>
      </c>
      <c r="N14" t="s">
        <v>411</v>
      </c>
      <c r="O14" t="str">
        <f>Def_Comm!C131</f>
        <v>TRANOX</v>
      </c>
      <c r="P14" t="s">
        <v>157</v>
      </c>
    </row>
    <row r="15" spans="2:16" x14ac:dyDescent="0.25">
      <c r="B15" t="s">
        <v>411</v>
      </c>
      <c r="C15" t="str">
        <f>Def_Comm!C17</f>
        <v>COMFOI</v>
      </c>
      <c r="D15" t="str">
        <f>'ENE TECH'!A15</f>
        <v>Commercial</v>
      </c>
      <c r="F15" t="s">
        <v>412</v>
      </c>
      <c r="G15" t="str">
        <f>Def_Comm!C16</f>
        <v>COMDSL</v>
      </c>
      <c r="H15" t="str">
        <f>'ENE TECH'!B14</f>
        <v>Diesel</v>
      </c>
      <c r="J15" t="s">
        <v>412</v>
      </c>
      <c r="K15" t="str">
        <f>Def_Comm!C132</f>
        <v>TRASO2</v>
      </c>
      <c r="L15" t="str">
        <f t="shared" si="0"/>
        <v>SO2</v>
      </c>
      <c r="N15" t="s">
        <v>411</v>
      </c>
      <c r="O15" t="str">
        <f>Def_Comm!C132</f>
        <v>TRASO2</v>
      </c>
      <c r="P15" t="s">
        <v>157</v>
      </c>
    </row>
    <row r="16" spans="2:16" x14ac:dyDescent="0.25">
      <c r="B16" t="s">
        <v>411</v>
      </c>
      <c r="C16" t="str">
        <f>Def_Comm!C18</f>
        <v>COMKER</v>
      </c>
      <c r="D16" t="str">
        <f>'ENE TECH'!A16</f>
        <v>Commercial</v>
      </c>
      <c r="F16" t="s">
        <v>412</v>
      </c>
      <c r="G16" t="str">
        <f>Def_Comm!C17</f>
        <v>COMFOI</v>
      </c>
      <c r="H16" t="str">
        <f>'ENE TECH'!B15</f>
        <v>Fuel oil</v>
      </c>
      <c r="J16" t="s">
        <v>412</v>
      </c>
      <c r="K16" t="str">
        <f>Def_Comm!C133</f>
        <v>TRAPM25</v>
      </c>
      <c r="L16" t="str">
        <f t="shared" si="0"/>
        <v>PM25</v>
      </c>
      <c r="N16" t="s">
        <v>411</v>
      </c>
      <c r="O16" t="str">
        <f>Def_Comm!C133</f>
        <v>TRAPM25</v>
      </c>
      <c r="P16" t="s">
        <v>157</v>
      </c>
    </row>
    <row r="17" spans="2:16" x14ac:dyDescent="0.25">
      <c r="B17" t="s">
        <v>411</v>
      </c>
      <c r="C17" t="str">
        <f>Def_Comm!C19</f>
        <v>COMGSL</v>
      </c>
      <c r="D17" t="str">
        <f>'ENE TECH'!A17</f>
        <v>Commercial</v>
      </c>
      <c r="F17" t="s">
        <v>412</v>
      </c>
      <c r="G17" t="str">
        <f>Def_Comm!C18</f>
        <v>COMKER</v>
      </c>
      <c r="H17" t="str">
        <f>'ENE TECH'!B16</f>
        <v>Kerosene</v>
      </c>
      <c r="J17" t="s">
        <v>412</v>
      </c>
      <c r="K17" t="str">
        <f>Def_Comm!C134</f>
        <v>TRAPM10</v>
      </c>
      <c r="L17" t="str">
        <f t="shared" si="0"/>
        <v>PM10</v>
      </c>
      <c r="N17" t="s">
        <v>411</v>
      </c>
      <c r="O17" t="str">
        <f>Def_Comm!C134</f>
        <v>TRAPM10</v>
      </c>
      <c r="P17" t="s">
        <v>157</v>
      </c>
    </row>
    <row r="18" spans="2:16" x14ac:dyDescent="0.25">
      <c r="B18" t="s">
        <v>411</v>
      </c>
      <c r="C18" t="str">
        <f>Def_Comm!C20</f>
        <v>COMNGA</v>
      </c>
      <c r="D18" t="str">
        <f>'ENE TECH'!A18</f>
        <v>Commercial</v>
      </c>
      <c r="F18" t="s">
        <v>412</v>
      </c>
      <c r="G18" t="str">
        <f>Def_Comm!C19</f>
        <v>COMGSL</v>
      </c>
      <c r="H18" t="str">
        <f>'ENE TECH'!B17</f>
        <v>Gasoline</v>
      </c>
      <c r="J18" t="s">
        <v>412</v>
      </c>
      <c r="K18" t="str">
        <f>Def_Comm!C135</f>
        <v>RESCO2</v>
      </c>
      <c r="L18" t="str">
        <f t="shared" si="0"/>
        <v>Carbon dioxide</v>
      </c>
      <c r="N18" t="s">
        <v>411</v>
      </c>
      <c r="O18" t="str">
        <f>Def_Comm!C135</f>
        <v>RESCO2</v>
      </c>
      <c r="P18" t="s">
        <v>79</v>
      </c>
    </row>
    <row r="19" spans="2:16" x14ac:dyDescent="0.25">
      <c r="B19" t="s">
        <v>411</v>
      </c>
      <c r="C19" t="str">
        <f>Def_Comm!C21</f>
        <v>COMRNG</v>
      </c>
      <c r="D19" t="str">
        <f>'ENE TECH'!A19</f>
        <v>Commercial</v>
      </c>
      <c r="F19" t="s">
        <v>412</v>
      </c>
      <c r="G19" t="str">
        <f>Def_Comm!C20</f>
        <v>COMNGA</v>
      </c>
      <c r="H19" t="str">
        <f>'ENE TECH'!B18</f>
        <v>Natural gas</v>
      </c>
      <c r="J19" t="s">
        <v>412</v>
      </c>
      <c r="K19" t="str">
        <f>Def_Comm!C136</f>
        <v>RESCH4</v>
      </c>
      <c r="L19" t="str">
        <f t="shared" si="0"/>
        <v>Methane</v>
      </c>
      <c r="N19" t="s">
        <v>411</v>
      </c>
      <c r="O19" t="str">
        <f>Def_Comm!C136</f>
        <v>RESCH4</v>
      </c>
      <c r="P19" t="s">
        <v>79</v>
      </c>
    </row>
    <row r="20" spans="2:16" x14ac:dyDescent="0.25">
      <c r="B20" t="s">
        <v>411</v>
      </c>
      <c r="C20" t="str">
        <f>Def_Comm!C22</f>
        <v>COMELC</v>
      </c>
      <c r="D20" t="str">
        <f>'ENE TECH'!A20</f>
        <v>Commercial</v>
      </c>
      <c r="F20" t="s">
        <v>412</v>
      </c>
      <c r="G20" t="str">
        <f>Def_Comm!C21</f>
        <v>COMRNG</v>
      </c>
      <c r="H20" t="str">
        <f>'ENE TECH'!B19</f>
        <v>RNG</v>
      </c>
      <c r="J20" t="s">
        <v>412</v>
      </c>
      <c r="K20" t="str">
        <f>Def_Comm!C137</f>
        <v>RESN2O</v>
      </c>
      <c r="L20" t="str">
        <f t="shared" si="0"/>
        <v>Nitrous oxide</v>
      </c>
      <c r="N20" t="s">
        <v>411</v>
      </c>
      <c r="O20" t="str">
        <f>Def_Comm!C137</f>
        <v>RESN2O</v>
      </c>
      <c r="P20" t="s">
        <v>79</v>
      </c>
    </row>
    <row r="21" spans="2:16" x14ac:dyDescent="0.25">
      <c r="B21" t="s">
        <v>411</v>
      </c>
      <c r="C21" t="str">
        <f>Def_Comm!C23</f>
        <v>COMH2G</v>
      </c>
      <c r="D21" t="str">
        <f>'ENE TECH'!A21</f>
        <v>Commercial</v>
      </c>
      <c r="F21" t="s">
        <v>412</v>
      </c>
      <c r="G21" t="str">
        <f>Def_Comm!C22</f>
        <v>COMELC</v>
      </c>
      <c r="H21" t="str">
        <f>'ENE TECH'!B20</f>
        <v>Electricity</v>
      </c>
      <c r="J21" t="s">
        <v>412</v>
      </c>
      <c r="K21" t="str">
        <f>Def_Comm!C138</f>
        <v>RESNOX</v>
      </c>
      <c r="L21" t="str">
        <f t="shared" si="0"/>
        <v>NOX</v>
      </c>
      <c r="N21" t="s">
        <v>411</v>
      </c>
      <c r="O21" t="str">
        <f>Def_Comm!C138</f>
        <v>RESNOX</v>
      </c>
      <c r="P21" t="s">
        <v>79</v>
      </c>
    </row>
    <row r="22" spans="2:16" x14ac:dyDescent="0.25">
      <c r="B22" t="s">
        <v>411</v>
      </c>
      <c r="C22" t="str">
        <f>Def_Comm!C25</f>
        <v>COMSOL</v>
      </c>
      <c r="D22" t="str">
        <f>'ENE TECH'!A23</f>
        <v>Commercial</v>
      </c>
      <c r="F22" t="s">
        <v>412</v>
      </c>
      <c r="G22" t="str">
        <f>Def_Comm!C23</f>
        <v>COMH2G</v>
      </c>
      <c r="H22" t="str">
        <f>'ENE TECH'!B21</f>
        <v>Hydrogen</v>
      </c>
      <c r="J22" t="s">
        <v>412</v>
      </c>
      <c r="K22" t="str">
        <f>Def_Comm!C139</f>
        <v>RESSO2</v>
      </c>
      <c r="L22" t="str">
        <f t="shared" si="0"/>
        <v>SO2</v>
      </c>
      <c r="N22" t="s">
        <v>411</v>
      </c>
      <c r="O22" t="str">
        <f>Def_Comm!C139</f>
        <v>RESSO2</v>
      </c>
      <c r="P22" t="s">
        <v>79</v>
      </c>
    </row>
    <row r="23" spans="2:16" x14ac:dyDescent="0.25">
      <c r="B23" t="s">
        <v>411</v>
      </c>
      <c r="C23" t="str">
        <f>Def_Comm!C26</f>
        <v>COMWND</v>
      </c>
      <c r="D23" t="str">
        <f>'ENE TECH'!A24</f>
        <v>Commercial</v>
      </c>
      <c r="F23" t="s">
        <v>412</v>
      </c>
      <c r="G23" t="str">
        <f>Def_Comm!C24</f>
        <v>COMSTM</v>
      </c>
      <c r="H23" t="str">
        <f>'ENE TECH'!B22</f>
        <v>Steam</v>
      </c>
      <c r="J23" t="s">
        <v>412</v>
      </c>
      <c r="K23" t="str">
        <f>Def_Comm!C140</f>
        <v>RESPM25</v>
      </c>
      <c r="L23" t="str">
        <f t="shared" si="0"/>
        <v>PM25</v>
      </c>
      <c r="N23" t="s">
        <v>411</v>
      </c>
      <c r="O23" t="str">
        <f>Def_Comm!C140</f>
        <v>RESPM25</v>
      </c>
      <c r="P23" t="s">
        <v>79</v>
      </c>
    </row>
    <row r="24" spans="2:16" x14ac:dyDescent="0.25">
      <c r="B24" t="s">
        <v>411</v>
      </c>
      <c r="C24" t="str">
        <f>Def_Comm!C27</f>
        <v>INDLPG</v>
      </c>
      <c r="D24" t="str">
        <f>'ENE TECH'!A25</f>
        <v>Industrial</v>
      </c>
      <c r="F24" t="s">
        <v>412</v>
      </c>
      <c r="G24" t="str">
        <f>Def_Comm!C25</f>
        <v>COMSOL</v>
      </c>
      <c r="H24" t="str">
        <f>'ENE TECH'!B23</f>
        <v>Solar</v>
      </c>
      <c r="J24" t="s">
        <v>412</v>
      </c>
      <c r="K24" t="str">
        <f>Def_Comm!C141</f>
        <v>RESPM10</v>
      </c>
      <c r="L24" t="str">
        <f t="shared" si="0"/>
        <v>PM10</v>
      </c>
      <c r="N24" t="s">
        <v>411</v>
      </c>
      <c r="O24" t="str">
        <f>Def_Comm!C141</f>
        <v>RESPM10</v>
      </c>
      <c r="P24" t="s">
        <v>79</v>
      </c>
    </row>
    <row r="25" spans="2:16" x14ac:dyDescent="0.25">
      <c r="B25" t="s">
        <v>411</v>
      </c>
      <c r="C25" t="str">
        <f>Def_Comm!C28</f>
        <v>INDDSL</v>
      </c>
      <c r="D25" t="str">
        <f>'ENE TECH'!A26</f>
        <v>Industrial</v>
      </c>
      <c r="F25" t="s">
        <v>412</v>
      </c>
      <c r="G25" t="str">
        <f>Def_Comm!C26</f>
        <v>COMWND</v>
      </c>
      <c r="H25" t="str">
        <f>'ENE TECH'!B24</f>
        <v>Wind</v>
      </c>
      <c r="J25" t="s">
        <v>412</v>
      </c>
      <c r="K25" t="str">
        <f>Def_Comm!C142</f>
        <v>COMCO2</v>
      </c>
      <c r="L25" t="str">
        <f t="shared" si="0"/>
        <v>Carbon dioxide</v>
      </c>
      <c r="N25" t="s">
        <v>411</v>
      </c>
      <c r="O25" t="str">
        <f>Def_Comm!C142</f>
        <v>COMCO2</v>
      </c>
      <c r="P25" t="s">
        <v>108</v>
      </c>
    </row>
    <row r="26" spans="2:16" x14ac:dyDescent="0.25">
      <c r="B26" t="s">
        <v>411</v>
      </c>
      <c r="C26" t="str">
        <f>Def_Comm!C29</f>
        <v>INDFOI</v>
      </c>
      <c r="D26" t="str">
        <f>'ENE TECH'!A27</f>
        <v>Industrial</v>
      </c>
      <c r="F26" t="s">
        <v>412</v>
      </c>
      <c r="G26" t="str">
        <f>Def_Comm!C27</f>
        <v>INDLPG</v>
      </c>
      <c r="H26" t="str">
        <f>'ENE TECH'!B25</f>
        <v>LPG</v>
      </c>
      <c r="J26" t="s">
        <v>412</v>
      </c>
      <c r="K26" t="str">
        <f>Def_Comm!C143</f>
        <v>COMCH4</v>
      </c>
      <c r="L26" t="str">
        <f t="shared" si="0"/>
        <v>Methane</v>
      </c>
      <c r="N26" t="s">
        <v>411</v>
      </c>
      <c r="O26" t="str">
        <f>Def_Comm!C143</f>
        <v>COMCH4</v>
      </c>
      <c r="P26" t="s">
        <v>108</v>
      </c>
    </row>
    <row r="27" spans="2:16" x14ac:dyDescent="0.25">
      <c r="B27" t="s">
        <v>411</v>
      </c>
      <c r="C27" t="str">
        <f>Def_Comm!C30</f>
        <v>INDKER</v>
      </c>
      <c r="D27" t="str">
        <f>'ENE TECH'!A28</f>
        <v>Industrial</v>
      </c>
      <c r="F27" t="s">
        <v>412</v>
      </c>
      <c r="G27" t="str">
        <f>Def_Comm!C28</f>
        <v>INDDSL</v>
      </c>
      <c r="H27" t="str">
        <f>'ENE TECH'!B26</f>
        <v>Diesel</v>
      </c>
      <c r="J27" t="s">
        <v>412</v>
      </c>
      <c r="K27" t="str">
        <f>Def_Comm!C144</f>
        <v>COMN2O</v>
      </c>
      <c r="L27" t="str">
        <f t="shared" si="0"/>
        <v>Nitrous oxide</v>
      </c>
      <c r="N27" t="s">
        <v>411</v>
      </c>
      <c r="O27" t="str">
        <f>Def_Comm!C144</f>
        <v>COMN2O</v>
      </c>
      <c r="P27" t="s">
        <v>108</v>
      </c>
    </row>
    <row r="28" spans="2:16" x14ac:dyDescent="0.25">
      <c r="B28" t="s">
        <v>411</v>
      </c>
      <c r="C28" t="str">
        <f>Def_Comm!C31</f>
        <v>INDGSL</v>
      </c>
      <c r="D28" t="str">
        <f>'ENE TECH'!A29</f>
        <v>Industrial</v>
      </c>
      <c r="F28" t="s">
        <v>412</v>
      </c>
      <c r="G28" t="str">
        <f>Def_Comm!C29</f>
        <v>INDFOI</v>
      </c>
      <c r="H28" t="str">
        <f>'ENE TECH'!B27</f>
        <v>Fuel oil</v>
      </c>
      <c r="J28" t="s">
        <v>412</v>
      </c>
      <c r="K28" t="str">
        <f>Def_Comm!C145</f>
        <v>COMNOX</v>
      </c>
      <c r="L28" t="str">
        <f t="shared" si="0"/>
        <v>NOX</v>
      </c>
      <c r="N28" t="s">
        <v>411</v>
      </c>
      <c r="O28" t="str">
        <f>Def_Comm!C145</f>
        <v>COMNOX</v>
      </c>
      <c r="P28" t="s">
        <v>108</v>
      </c>
    </row>
    <row r="29" spans="2:16" x14ac:dyDescent="0.25">
      <c r="B29" t="s">
        <v>411</v>
      </c>
      <c r="C29" t="str">
        <f>Def_Comm!C32</f>
        <v>INDNGA</v>
      </c>
      <c r="D29" t="str">
        <f>'ENE TECH'!A30</f>
        <v>Industrial</v>
      </c>
      <c r="F29" t="s">
        <v>412</v>
      </c>
      <c r="G29" t="str">
        <f>Def_Comm!C30</f>
        <v>INDKER</v>
      </c>
      <c r="H29" t="str">
        <f>'ENE TECH'!B28</f>
        <v>Kerosene</v>
      </c>
      <c r="J29" t="s">
        <v>412</v>
      </c>
      <c r="K29" t="str">
        <f>Def_Comm!C146</f>
        <v>COMSO2</v>
      </c>
      <c r="L29" t="str">
        <f t="shared" si="0"/>
        <v>SO2</v>
      </c>
      <c r="N29" t="s">
        <v>411</v>
      </c>
      <c r="O29" t="str">
        <f>Def_Comm!C146</f>
        <v>COMSO2</v>
      </c>
      <c r="P29" t="s">
        <v>108</v>
      </c>
    </row>
    <row r="30" spans="2:16" x14ac:dyDescent="0.25">
      <c r="B30" t="s">
        <v>411</v>
      </c>
      <c r="C30" t="str">
        <f>Def_Comm!C33</f>
        <v>INDRNG</v>
      </c>
      <c r="D30" t="str">
        <f>'ENE TECH'!A31</f>
        <v>Industrial</v>
      </c>
      <c r="F30" t="s">
        <v>412</v>
      </c>
      <c r="G30" t="str">
        <f>Def_Comm!C31</f>
        <v>INDGSL</v>
      </c>
      <c r="H30" t="str">
        <f>'ENE TECH'!B29</f>
        <v>Gasoline</v>
      </c>
      <c r="J30" t="s">
        <v>412</v>
      </c>
      <c r="K30" t="str">
        <f>Def_Comm!C147</f>
        <v>COMPM25</v>
      </c>
      <c r="L30" t="str">
        <f t="shared" si="0"/>
        <v>PM25</v>
      </c>
      <c r="N30" t="s">
        <v>411</v>
      </c>
      <c r="O30" t="str">
        <f>Def_Comm!C147</f>
        <v>COMPM25</v>
      </c>
      <c r="P30" t="s">
        <v>108</v>
      </c>
    </row>
    <row r="31" spans="2:16" x14ac:dyDescent="0.25">
      <c r="B31" t="s">
        <v>411</v>
      </c>
      <c r="C31" t="str">
        <f>Def_Comm!C34</f>
        <v>INDPCK</v>
      </c>
      <c r="D31" t="str">
        <f>'ENE TECH'!A32</f>
        <v>Industrial</v>
      </c>
      <c r="F31" t="s">
        <v>412</v>
      </c>
      <c r="G31" t="str">
        <f>Def_Comm!C32</f>
        <v>INDNGA</v>
      </c>
      <c r="H31" t="str">
        <f>'ENE TECH'!B30</f>
        <v>Natural gas</v>
      </c>
      <c r="J31" t="s">
        <v>412</v>
      </c>
      <c r="K31" t="str">
        <f>Def_Comm!C148</f>
        <v>COMPM10</v>
      </c>
      <c r="L31" t="str">
        <f t="shared" si="0"/>
        <v>PM10</v>
      </c>
      <c r="N31" t="s">
        <v>411</v>
      </c>
      <c r="O31" t="str">
        <f>Def_Comm!C148</f>
        <v>COMPM10</v>
      </c>
      <c r="P31" t="s">
        <v>108</v>
      </c>
    </row>
    <row r="32" spans="2:16" x14ac:dyDescent="0.25">
      <c r="B32" t="s">
        <v>411</v>
      </c>
      <c r="C32" t="str">
        <f>Def_Comm!C35</f>
        <v>INDCOA</v>
      </c>
      <c r="D32" t="str">
        <f>'ENE TECH'!A33</f>
        <v>Industrial</v>
      </c>
      <c r="F32" t="s">
        <v>412</v>
      </c>
      <c r="G32" t="str">
        <f>Def_Comm!C33</f>
        <v>INDRNG</v>
      </c>
      <c r="H32" t="str">
        <f>'ENE TECH'!B31</f>
        <v>RNG</v>
      </c>
      <c r="J32" t="s">
        <v>412</v>
      </c>
      <c r="K32" t="str">
        <f>Def_Comm!C149</f>
        <v>INDCO2</v>
      </c>
      <c r="L32" t="str">
        <f t="shared" si="0"/>
        <v>Carbon dioxide</v>
      </c>
      <c r="N32" t="s">
        <v>411</v>
      </c>
      <c r="O32" t="str">
        <f>Def_Comm!C149</f>
        <v>INDCO2</v>
      </c>
      <c r="P32" t="s">
        <v>130</v>
      </c>
    </row>
    <row r="33" spans="2:16" x14ac:dyDescent="0.25">
      <c r="B33" t="s">
        <v>411</v>
      </c>
      <c r="C33" t="str">
        <f>Def_Comm!C36</f>
        <v>INDELC</v>
      </c>
      <c r="D33" t="str">
        <f>'ENE TECH'!A34</f>
        <v>Industrial</v>
      </c>
      <c r="F33" t="s">
        <v>412</v>
      </c>
      <c r="G33" t="str">
        <f>Def_Comm!C34</f>
        <v>INDPCK</v>
      </c>
      <c r="H33" t="str">
        <f>'ENE TECH'!B32</f>
        <v>Petcoke</v>
      </c>
      <c r="J33" t="s">
        <v>412</v>
      </c>
      <c r="K33" t="str">
        <f>Def_Comm!C150</f>
        <v>INDCH4</v>
      </c>
      <c r="L33" t="str">
        <f t="shared" si="0"/>
        <v>Methane</v>
      </c>
      <c r="N33" t="s">
        <v>411</v>
      </c>
      <c r="O33" t="str">
        <f>Def_Comm!C150</f>
        <v>INDCH4</v>
      </c>
      <c r="P33" t="s">
        <v>130</v>
      </c>
    </row>
    <row r="34" spans="2:16" x14ac:dyDescent="0.25">
      <c r="B34" t="s">
        <v>411</v>
      </c>
      <c r="C34" t="str">
        <f>Def_Comm!C37</f>
        <v>INDH2G</v>
      </c>
      <c r="D34" t="str">
        <f>'ENE TECH'!A35</f>
        <v>Industrial</v>
      </c>
      <c r="F34" t="s">
        <v>412</v>
      </c>
      <c r="G34" t="str">
        <f>Def_Comm!C35</f>
        <v>INDCOA</v>
      </c>
      <c r="H34" t="str">
        <f>'ENE TECH'!B33</f>
        <v>Coal</v>
      </c>
      <c r="J34" t="s">
        <v>412</v>
      </c>
      <c r="K34" t="str">
        <f>Def_Comm!C151</f>
        <v>INDN2O</v>
      </c>
      <c r="L34" t="str">
        <f t="shared" si="0"/>
        <v>Nitrous oxide</v>
      </c>
      <c r="N34" t="s">
        <v>411</v>
      </c>
      <c r="O34" t="str">
        <f>Def_Comm!C151</f>
        <v>INDN2O</v>
      </c>
      <c r="P34" t="s">
        <v>130</v>
      </c>
    </row>
    <row r="35" spans="2:16" x14ac:dyDescent="0.25">
      <c r="B35" t="s">
        <v>411</v>
      </c>
      <c r="C35" t="str">
        <f>Def_Comm!C39</f>
        <v>INDSOL</v>
      </c>
      <c r="D35" t="str">
        <f>'ENE TECH'!A37</f>
        <v>Industrial</v>
      </c>
      <c r="F35" t="s">
        <v>412</v>
      </c>
      <c r="G35" t="str">
        <f>Def_Comm!C36</f>
        <v>INDELC</v>
      </c>
      <c r="H35" t="str">
        <f>'ENE TECH'!B34</f>
        <v>Electricity</v>
      </c>
      <c r="J35" t="s">
        <v>412</v>
      </c>
      <c r="K35" t="str">
        <f>Def_Comm!C152</f>
        <v>INDNOX</v>
      </c>
      <c r="L35" t="str">
        <f t="shared" si="0"/>
        <v>NOX</v>
      </c>
      <c r="N35" t="s">
        <v>411</v>
      </c>
      <c r="O35" t="str">
        <f>Def_Comm!C152</f>
        <v>INDNOX</v>
      </c>
      <c r="P35" t="s">
        <v>130</v>
      </c>
    </row>
    <row r="36" spans="2:16" x14ac:dyDescent="0.25">
      <c r="B36" t="s">
        <v>411</v>
      </c>
      <c r="C36" t="str">
        <f>Def_Comm!C40</f>
        <v>INDWND</v>
      </c>
      <c r="D36" t="str">
        <f>'ENE TECH'!A38</f>
        <v>Industrial</v>
      </c>
      <c r="F36" t="s">
        <v>412</v>
      </c>
      <c r="G36" t="str">
        <f>Def_Comm!C37</f>
        <v>INDH2G</v>
      </c>
      <c r="H36" t="str">
        <f>'ENE TECH'!B35</f>
        <v>Hydrogen</v>
      </c>
      <c r="J36" t="s">
        <v>412</v>
      </c>
      <c r="K36" t="str">
        <f>Def_Comm!C153</f>
        <v>INDSO2</v>
      </c>
      <c r="L36" t="str">
        <f t="shared" si="0"/>
        <v>SO2</v>
      </c>
      <c r="N36" t="s">
        <v>411</v>
      </c>
      <c r="O36" t="str">
        <f>Def_Comm!C153</f>
        <v>INDSO2</v>
      </c>
      <c r="P36" t="s">
        <v>130</v>
      </c>
    </row>
    <row r="37" spans="2:16" x14ac:dyDescent="0.25">
      <c r="B37" t="s">
        <v>411</v>
      </c>
      <c r="C37" t="str">
        <f>Def_Comm!C41</f>
        <v>TRALPG</v>
      </c>
      <c r="D37" t="str">
        <f>'ENE TECH'!A39</f>
        <v>Transportation</v>
      </c>
      <c r="F37" t="s">
        <v>412</v>
      </c>
      <c r="G37" t="str">
        <f>Def_Comm!C39</f>
        <v>INDSOL</v>
      </c>
      <c r="H37" t="str">
        <f>'ENE TECH'!B37</f>
        <v>Solar</v>
      </c>
      <c r="J37" t="s">
        <v>412</v>
      </c>
      <c r="K37" t="str">
        <f>Def_Comm!C154</f>
        <v>INDPM25</v>
      </c>
      <c r="L37" t="str">
        <f t="shared" si="0"/>
        <v>PM25</v>
      </c>
      <c r="N37" t="s">
        <v>411</v>
      </c>
      <c r="O37" t="str">
        <f>Def_Comm!C154</f>
        <v>INDPM25</v>
      </c>
      <c r="P37" t="s">
        <v>130</v>
      </c>
    </row>
    <row r="38" spans="2:16" x14ac:dyDescent="0.25">
      <c r="B38" t="s">
        <v>411</v>
      </c>
      <c r="C38" t="str">
        <f>Def_Comm!C42</f>
        <v>TRAETH</v>
      </c>
      <c r="D38" t="str">
        <f>'ENE TECH'!A40</f>
        <v>Transportation</v>
      </c>
      <c r="F38" t="s">
        <v>412</v>
      </c>
      <c r="G38" t="str">
        <f>Def_Comm!C40</f>
        <v>INDWND</v>
      </c>
      <c r="H38" t="str">
        <f>'ENE TECH'!B38</f>
        <v>Wind</v>
      </c>
      <c r="J38" t="s">
        <v>412</v>
      </c>
      <c r="K38" t="str">
        <f>Def_Comm!C155</f>
        <v>INDPM10</v>
      </c>
      <c r="L38" t="str">
        <f t="shared" si="0"/>
        <v>PM10</v>
      </c>
      <c r="N38" t="s">
        <v>411</v>
      </c>
      <c r="O38" t="str">
        <f>Def_Comm!C155</f>
        <v>INDPM10</v>
      </c>
      <c r="P38" t="s">
        <v>130</v>
      </c>
    </row>
    <row r="39" spans="2:16" x14ac:dyDescent="0.25">
      <c r="B39" t="s">
        <v>411</v>
      </c>
      <c r="C39" t="str">
        <f>Def_Comm!C43</f>
        <v>TRAGSL</v>
      </c>
      <c r="D39" t="str">
        <f>'ENE TECH'!A41</f>
        <v>Transportation</v>
      </c>
      <c r="F39" t="s">
        <v>412</v>
      </c>
      <c r="G39" t="str">
        <f>Def_Comm!C41</f>
        <v>TRALPG</v>
      </c>
      <c r="H39" t="str">
        <f>'ENE TECH'!B39</f>
        <v>LPG</v>
      </c>
      <c r="J39" t="s">
        <v>412</v>
      </c>
      <c r="K39" t="str">
        <f>Def_Comm!C156</f>
        <v>WASCO2</v>
      </c>
      <c r="L39" t="str">
        <f t="shared" si="0"/>
        <v>Carbon dioxide</v>
      </c>
      <c r="N39" t="s">
        <v>411</v>
      </c>
      <c r="O39" t="str">
        <f>Def_Comm!C156</f>
        <v>WASCO2</v>
      </c>
      <c r="P39" t="s">
        <v>209</v>
      </c>
    </row>
    <row r="40" spans="2:16" x14ac:dyDescent="0.25">
      <c r="B40" t="s">
        <v>411</v>
      </c>
      <c r="C40" t="str">
        <f>Def_Comm!C44</f>
        <v>TRAAGA</v>
      </c>
      <c r="D40" t="str">
        <f>'ENE TECH'!A42</f>
        <v>Transportation</v>
      </c>
      <c r="F40" t="s">
        <v>412</v>
      </c>
      <c r="G40" t="str">
        <f>Def_Comm!C42</f>
        <v>TRAETH</v>
      </c>
      <c r="H40" t="str">
        <f>'ENE TECH'!B40</f>
        <v>Ethanol</v>
      </c>
      <c r="J40" t="s">
        <v>412</v>
      </c>
      <c r="K40" t="str">
        <f>Def_Comm!C157</f>
        <v>WASCH4</v>
      </c>
      <c r="L40" t="str">
        <f t="shared" si="0"/>
        <v>Methane</v>
      </c>
      <c r="N40" t="s">
        <v>411</v>
      </c>
      <c r="O40" t="str">
        <f>Def_Comm!C157</f>
        <v>WASCH4</v>
      </c>
      <c r="P40" t="s">
        <v>209</v>
      </c>
    </row>
    <row r="41" spans="2:16" x14ac:dyDescent="0.25">
      <c r="B41" t="s">
        <v>411</v>
      </c>
      <c r="C41" t="str">
        <f>Def_Comm!C45</f>
        <v>TRAATF</v>
      </c>
      <c r="D41" t="str">
        <f>'ENE TECH'!A43</f>
        <v>Transportation</v>
      </c>
      <c r="F41" t="s">
        <v>412</v>
      </c>
      <c r="G41" t="str">
        <f>Def_Comm!C43</f>
        <v>TRAGSL</v>
      </c>
      <c r="H41" t="str">
        <f>'ENE TECH'!B41</f>
        <v>Gasoline</v>
      </c>
      <c r="J41" t="s">
        <v>412</v>
      </c>
      <c r="K41" t="str">
        <f>Def_Comm!C158</f>
        <v>WASN2O</v>
      </c>
      <c r="L41" t="str">
        <f t="shared" si="0"/>
        <v>Nitrous oxide</v>
      </c>
      <c r="N41" t="s">
        <v>411</v>
      </c>
      <c r="O41" t="str">
        <f>Def_Comm!C158</f>
        <v>WASN2O</v>
      </c>
      <c r="P41" t="s">
        <v>209</v>
      </c>
    </row>
    <row r="42" spans="2:16" x14ac:dyDescent="0.25">
      <c r="B42" t="s">
        <v>411</v>
      </c>
      <c r="C42" t="str">
        <f>Def_Comm!C46</f>
        <v>TRASAF</v>
      </c>
      <c r="D42" t="str">
        <f>'ENE TECH'!A44</f>
        <v>Transportation</v>
      </c>
      <c r="F42" t="s">
        <v>412</v>
      </c>
      <c r="G42" t="str">
        <f>Def_Comm!C44</f>
        <v>TRAAGA</v>
      </c>
      <c r="H42" t="str">
        <f>'ENE TECH'!B42</f>
        <v>Aviation gasoline</v>
      </c>
      <c r="J42" t="s">
        <v>412</v>
      </c>
      <c r="K42" t="str">
        <f>Def_Comm!C159</f>
        <v>WASNOX</v>
      </c>
      <c r="L42" t="str">
        <f t="shared" si="0"/>
        <v>NOX</v>
      </c>
      <c r="N42" t="s">
        <v>411</v>
      </c>
      <c r="O42" t="str">
        <f>Def_Comm!C159</f>
        <v>WASNOX</v>
      </c>
      <c r="P42" t="s">
        <v>209</v>
      </c>
    </row>
    <row r="43" spans="2:16" x14ac:dyDescent="0.25">
      <c r="B43" t="s">
        <v>411</v>
      </c>
      <c r="C43" t="str">
        <f>Def_Comm!C47</f>
        <v>TRADSL</v>
      </c>
      <c r="D43" t="str">
        <f>'ENE TECH'!A45</f>
        <v>Transportation</v>
      </c>
      <c r="F43" t="s">
        <v>412</v>
      </c>
      <c r="G43" t="str">
        <f>Def_Comm!C45</f>
        <v>TRAATF</v>
      </c>
      <c r="H43" t="str">
        <f>'ENE TECH'!B43</f>
        <v>Aviation turbo-fuel</v>
      </c>
      <c r="J43" t="s">
        <v>412</v>
      </c>
      <c r="K43" t="str">
        <f>Def_Comm!C160</f>
        <v>WASSO2</v>
      </c>
      <c r="L43" t="str">
        <f t="shared" si="0"/>
        <v>SO2</v>
      </c>
      <c r="N43" t="s">
        <v>411</v>
      </c>
      <c r="O43" t="str">
        <f>Def_Comm!C160</f>
        <v>WASSO2</v>
      </c>
      <c r="P43" t="s">
        <v>209</v>
      </c>
    </row>
    <row r="44" spans="2:16" x14ac:dyDescent="0.25">
      <c r="B44" t="s">
        <v>411</v>
      </c>
      <c r="C44" t="str">
        <f>Def_Comm!C48</f>
        <v>TRARDS</v>
      </c>
      <c r="D44" t="str">
        <f>'ENE TECH'!A46</f>
        <v>Transportation</v>
      </c>
      <c r="F44" t="s">
        <v>412</v>
      </c>
      <c r="G44" t="str">
        <f>Def_Comm!C46</f>
        <v>TRASAF</v>
      </c>
      <c r="H44" t="str">
        <f>'ENE TECH'!B44</f>
        <v>Sustainable aviation fuel</v>
      </c>
      <c r="J44" t="s">
        <v>412</v>
      </c>
      <c r="K44" t="str">
        <f>Def_Comm!C161</f>
        <v>WASPM25</v>
      </c>
      <c r="L44" t="str">
        <f t="shared" si="0"/>
        <v>PM25</v>
      </c>
      <c r="N44" t="s">
        <v>411</v>
      </c>
      <c r="O44" t="str">
        <f>Def_Comm!C161</f>
        <v>WASPM25</v>
      </c>
      <c r="P44" t="s">
        <v>209</v>
      </c>
    </row>
    <row r="45" spans="2:16" x14ac:dyDescent="0.25">
      <c r="B45" t="s">
        <v>411</v>
      </c>
      <c r="C45" t="str">
        <f>Def_Comm!C49</f>
        <v>TRABDS</v>
      </c>
      <c r="D45" t="str">
        <f>'ENE TECH'!A47</f>
        <v>Transportation</v>
      </c>
      <c r="F45" t="s">
        <v>412</v>
      </c>
      <c r="G45" t="str">
        <f>Def_Comm!C47</f>
        <v>TRADSL</v>
      </c>
      <c r="H45" t="str">
        <f>'ENE TECH'!B45</f>
        <v>Diesel</v>
      </c>
      <c r="J45" t="s">
        <v>412</v>
      </c>
      <c r="K45" t="str">
        <f>Def_Comm!C162</f>
        <v>WASPM10</v>
      </c>
      <c r="L45" t="str">
        <f t="shared" si="0"/>
        <v>PM10</v>
      </c>
      <c r="N45" t="s">
        <v>411</v>
      </c>
      <c r="O45" t="str">
        <f>Def_Comm!C162</f>
        <v>WASPM10</v>
      </c>
      <c r="P45" t="s">
        <v>209</v>
      </c>
    </row>
    <row r="46" spans="2:16" x14ac:dyDescent="0.25">
      <c r="B46" t="s">
        <v>411</v>
      </c>
      <c r="C46" t="str">
        <f>Def_Comm!C51</f>
        <v>TRACNG</v>
      </c>
      <c r="D46" t="str">
        <f>'ENE TECH'!A49</f>
        <v>Transportation</v>
      </c>
      <c r="F46" t="s">
        <v>412</v>
      </c>
      <c r="G46" t="str">
        <f>Def_Comm!C48</f>
        <v>TRARDS</v>
      </c>
      <c r="H46" t="str">
        <f>'ENE TECH'!B46</f>
        <v>Renewable diesel</v>
      </c>
      <c r="J46" t="s">
        <v>412</v>
      </c>
      <c r="K46" t="str">
        <f>Def_Comm!C164</f>
        <v>ELCCO2e</v>
      </c>
      <c r="L46" t="s">
        <v>413</v>
      </c>
      <c r="N46" t="s">
        <v>411</v>
      </c>
      <c r="O46" t="str">
        <f>Def_Comm!C164</f>
        <v>ELCCO2e</v>
      </c>
      <c r="P46" t="s">
        <v>97</v>
      </c>
    </row>
    <row r="47" spans="2:16" x14ac:dyDescent="0.25">
      <c r="B47" t="s">
        <v>411</v>
      </c>
      <c r="C47" t="str">
        <f>Def_Comm!C52</f>
        <v>TRARNG</v>
      </c>
      <c r="D47" t="str">
        <f>'ENE TECH'!A50</f>
        <v>Transportation</v>
      </c>
      <c r="F47" t="s">
        <v>412</v>
      </c>
      <c r="G47" t="str">
        <f>Def_Comm!C49</f>
        <v>TRABDS</v>
      </c>
      <c r="H47" t="str">
        <f>'ENE TECH'!B47</f>
        <v>Bio diesel</v>
      </c>
      <c r="J47" t="s">
        <v>412</v>
      </c>
      <c r="K47" t="str">
        <f>Def_Comm!C165</f>
        <v>TRACO2e</v>
      </c>
      <c r="L47" t="s">
        <v>413</v>
      </c>
      <c r="N47" t="s">
        <v>411</v>
      </c>
      <c r="O47" t="str">
        <f>Def_Comm!C165</f>
        <v>TRACO2e</v>
      </c>
      <c r="P47" t="s">
        <v>157</v>
      </c>
    </row>
    <row r="48" spans="2:16" x14ac:dyDescent="0.25">
      <c r="B48" t="s">
        <v>411</v>
      </c>
      <c r="C48" t="str">
        <f>Def_Comm!C53</f>
        <v>TRAELC</v>
      </c>
      <c r="D48" t="str">
        <f>'ENE TECH'!A51</f>
        <v>Transportation</v>
      </c>
      <c r="F48" t="s">
        <v>412</v>
      </c>
      <c r="G48" t="str">
        <f>Def_Comm!C51</f>
        <v>TRACNG</v>
      </c>
      <c r="H48" t="str">
        <f>'ENE TECH'!B49</f>
        <v>Compressed Natural gas</v>
      </c>
      <c r="J48" t="s">
        <v>412</v>
      </c>
      <c r="K48" t="str">
        <f>Def_Comm!C166</f>
        <v>RESCO2e</v>
      </c>
      <c r="L48" t="s">
        <v>413</v>
      </c>
      <c r="N48" t="s">
        <v>411</v>
      </c>
      <c r="O48" t="str">
        <f>Def_Comm!C166</f>
        <v>RESCO2e</v>
      </c>
      <c r="P48" t="s">
        <v>79</v>
      </c>
    </row>
    <row r="49" spans="2:16" x14ac:dyDescent="0.25">
      <c r="B49" t="s">
        <v>411</v>
      </c>
      <c r="C49" t="str">
        <f>Def_Comm!C54</f>
        <v>TRAH2G</v>
      </c>
      <c r="D49" t="str">
        <f>'ENE TECH'!A52</f>
        <v>Transportation</v>
      </c>
      <c r="F49" t="s">
        <v>412</v>
      </c>
      <c r="G49" t="str">
        <f>Def_Comm!C52</f>
        <v>TRARNG</v>
      </c>
      <c r="H49" t="str">
        <f>'ENE TECH'!B50</f>
        <v>RNG</v>
      </c>
      <c r="J49" t="s">
        <v>412</v>
      </c>
      <c r="K49" t="str">
        <f>Def_Comm!C167</f>
        <v>COMCO2e</v>
      </c>
      <c r="L49" t="s">
        <v>413</v>
      </c>
      <c r="N49" t="s">
        <v>411</v>
      </c>
      <c r="O49" t="str">
        <f>Def_Comm!C167</f>
        <v>COMCO2e</v>
      </c>
      <c r="P49" t="s">
        <v>108</v>
      </c>
    </row>
    <row r="50" spans="2:16" x14ac:dyDescent="0.25">
      <c r="B50" t="s">
        <v>411</v>
      </c>
      <c r="C50" t="str">
        <f>Def_Comm!C55</f>
        <v>ELCDSL</v>
      </c>
      <c r="D50" t="str">
        <f>'ENE TECH'!A53</f>
        <v>Electricity</v>
      </c>
      <c r="F50" t="s">
        <v>412</v>
      </c>
      <c r="G50" t="str">
        <f>Def_Comm!C53</f>
        <v>TRAELC</v>
      </c>
      <c r="H50" t="str">
        <f>'ENE TECH'!B51</f>
        <v>Electricity</v>
      </c>
      <c r="J50" t="s">
        <v>412</v>
      </c>
      <c r="K50" t="str">
        <f>Def_Comm!C168</f>
        <v>INDCO2e</v>
      </c>
      <c r="L50" t="s">
        <v>413</v>
      </c>
      <c r="N50" t="s">
        <v>411</v>
      </c>
      <c r="O50" t="str">
        <f>Def_Comm!C168</f>
        <v>INDCO2e</v>
      </c>
      <c r="P50" t="s">
        <v>130</v>
      </c>
    </row>
    <row r="51" spans="2:16" x14ac:dyDescent="0.25">
      <c r="B51" t="s">
        <v>411</v>
      </c>
      <c r="C51" t="str">
        <f>Def_Comm!C56</f>
        <v>ELCFOI</v>
      </c>
      <c r="D51" t="str">
        <f>'ENE TECH'!A54</f>
        <v>Electricity</v>
      </c>
      <c r="F51" t="s">
        <v>412</v>
      </c>
      <c r="G51" t="str">
        <f>Def_Comm!C54</f>
        <v>TRAH2G</v>
      </c>
      <c r="H51" t="str">
        <f>'ENE TECH'!B52</f>
        <v>Hydrogen</v>
      </c>
      <c r="J51" t="s">
        <v>412</v>
      </c>
      <c r="K51" t="str">
        <f>Def_Comm!C169</f>
        <v>WASCO2e</v>
      </c>
      <c r="L51" t="s">
        <v>413</v>
      </c>
      <c r="N51" t="s">
        <v>411</v>
      </c>
      <c r="O51" t="str">
        <f>Def_Comm!C169</f>
        <v>WASCO2e</v>
      </c>
      <c r="P51" t="s">
        <v>209</v>
      </c>
    </row>
    <row r="52" spans="2:16" x14ac:dyDescent="0.25">
      <c r="B52" t="s">
        <v>411</v>
      </c>
      <c r="C52" t="str">
        <f>Def_Comm!C57</f>
        <v>ELCNGA</v>
      </c>
      <c r="D52" t="str">
        <f>'ENE TECH'!A55</f>
        <v>Electricity</v>
      </c>
      <c r="F52" t="s">
        <v>412</v>
      </c>
      <c r="G52" t="str">
        <f>Def_Comm!C55</f>
        <v>ELCDSL</v>
      </c>
      <c r="H52" t="str">
        <f>'ENE TECH'!B53</f>
        <v>Diesel</v>
      </c>
    </row>
    <row r="53" spans="2:16" x14ac:dyDescent="0.25">
      <c r="B53" t="s">
        <v>411</v>
      </c>
      <c r="C53" t="str">
        <f>Def_Comm!C58</f>
        <v>ELCRNG</v>
      </c>
      <c r="D53" t="str">
        <f>'ENE TECH'!A56</f>
        <v>Electricity</v>
      </c>
      <c r="F53" t="s">
        <v>412</v>
      </c>
      <c r="G53" t="str">
        <f>Def_Comm!C56</f>
        <v>ELCFOI</v>
      </c>
      <c r="H53" t="str">
        <f>'ENE TECH'!B54</f>
        <v>Fuel oil</v>
      </c>
    </row>
    <row r="54" spans="2:16" x14ac:dyDescent="0.25">
      <c r="B54" t="s">
        <v>411</v>
      </c>
      <c r="C54" t="str">
        <f>Def_Comm!C59</f>
        <v>ELCCOA</v>
      </c>
      <c r="D54" t="str">
        <f>'ENE TECH'!A57</f>
        <v>Electricity</v>
      </c>
      <c r="F54" t="s">
        <v>412</v>
      </c>
      <c r="G54" t="str">
        <f>Def_Comm!C57</f>
        <v>ELCNGA</v>
      </c>
      <c r="H54" t="str">
        <f>'ENE TECH'!B55</f>
        <v>Natural gas</v>
      </c>
    </row>
    <row r="55" spans="2:16" x14ac:dyDescent="0.25">
      <c r="B55" t="s">
        <v>411</v>
      </c>
      <c r="C55" t="str">
        <f>Def_Comm!C60</f>
        <v>ELCURN</v>
      </c>
      <c r="D55" t="str">
        <f>'ENE TECH'!A58</f>
        <v>Electricity</v>
      </c>
      <c r="F55" t="s">
        <v>412</v>
      </c>
      <c r="G55" t="str">
        <f>Def_Comm!C58</f>
        <v>ELCRNG</v>
      </c>
      <c r="H55" t="str">
        <f>'ENE TECH'!B56</f>
        <v>RNG</v>
      </c>
    </row>
    <row r="56" spans="2:16" x14ac:dyDescent="0.25">
      <c r="B56" t="s">
        <v>411</v>
      </c>
      <c r="C56" t="str">
        <f>Def_Comm!C61</f>
        <v>ELCBIO</v>
      </c>
      <c r="D56" t="str">
        <f>'ENE TECH'!A59</f>
        <v>Electricity</v>
      </c>
      <c r="F56" t="s">
        <v>412</v>
      </c>
      <c r="G56" t="str">
        <f>Def_Comm!C59</f>
        <v>ELCCOA</v>
      </c>
      <c r="H56" t="str">
        <f>'ENE TECH'!B57</f>
        <v>Coal</v>
      </c>
    </row>
    <row r="57" spans="2:16" x14ac:dyDescent="0.25">
      <c r="B57" t="s">
        <v>411</v>
      </c>
      <c r="C57" t="str">
        <f>Def_Comm!C62</f>
        <v>ELCOTB</v>
      </c>
      <c r="D57" t="str">
        <f>'ENE TECH'!A60</f>
        <v>Electricity</v>
      </c>
      <c r="F57" t="s">
        <v>412</v>
      </c>
      <c r="G57" t="str">
        <f>Def_Comm!C60</f>
        <v>ELCURN</v>
      </c>
      <c r="H57" t="str">
        <f>'ENE TECH'!B58</f>
        <v>Uranium</v>
      </c>
    </row>
    <row r="58" spans="2:16" x14ac:dyDescent="0.25">
      <c r="B58" t="s">
        <v>411</v>
      </c>
      <c r="C58" t="str">
        <f>Def_Comm!C63</f>
        <v>ELCWAS</v>
      </c>
      <c r="D58" t="str">
        <f>'ENE TECH'!A61</f>
        <v>Electricity</v>
      </c>
      <c r="F58" t="s">
        <v>412</v>
      </c>
      <c r="G58" t="str">
        <f>Def_Comm!C61</f>
        <v>ELCBIO</v>
      </c>
      <c r="H58" t="str">
        <f>'ENE TECH'!B59</f>
        <v>Biomass</v>
      </c>
    </row>
    <row r="59" spans="2:16" x14ac:dyDescent="0.25">
      <c r="B59" t="s">
        <v>411</v>
      </c>
      <c r="C59" t="str">
        <f>Def_Comm!C64</f>
        <v>ELCHET</v>
      </c>
      <c r="D59" t="str">
        <f>'ENE TECH'!A62</f>
        <v>Electricity</v>
      </c>
      <c r="F59" t="s">
        <v>412</v>
      </c>
      <c r="G59" t="str">
        <f>Def_Comm!C62</f>
        <v>ELCOTB</v>
      </c>
      <c r="H59" t="str">
        <f>'ENE TECH'!B60</f>
        <v>Other bioenergy</v>
      </c>
    </row>
    <row r="60" spans="2:16" x14ac:dyDescent="0.25">
      <c r="B60" t="s">
        <v>411</v>
      </c>
      <c r="C60" t="str">
        <f>Def_Comm!C65</f>
        <v>ELCSTM</v>
      </c>
      <c r="D60" t="str">
        <f>'ENE TECH'!A63</f>
        <v>Electricity</v>
      </c>
      <c r="F60" t="s">
        <v>412</v>
      </c>
      <c r="G60" t="str">
        <f>Def_Comm!C63</f>
        <v>ELCWAS</v>
      </c>
      <c r="H60" t="str">
        <f>'ENE TECH'!B61</f>
        <v>Waste</v>
      </c>
    </row>
    <row r="61" spans="2:16" x14ac:dyDescent="0.25">
      <c r="B61" t="s">
        <v>411</v>
      </c>
      <c r="C61" t="str">
        <f>Def_Comm!C66</f>
        <v>ELCGEO</v>
      </c>
      <c r="D61" t="str">
        <f>'ENE TECH'!A64</f>
        <v>Electricity</v>
      </c>
      <c r="F61" t="s">
        <v>412</v>
      </c>
      <c r="G61" t="str">
        <f>Def_Comm!C64</f>
        <v>ELCHET</v>
      </c>
      <c r="H61" t="str">
        <f>'ENE TECH'!B62</f>
        <v>Waste heat</v>
      </c>
    </row>
    <row r="62" spans="2:16" x14ac:dyDescent="0.25">
      <c r="B62" t="s">
        <v>411</v>
      </c>
      <c r="C62" t="str">
        <f>Def_Comm!C67</f>
        <v>ELCWND</v>
      </c>
      <c r="D62" t="str">
        <f>'ENE TECH'!A65</f>
        <v>Electricity</v>
      </c>
      <c r="F62" t="s">
        <v>412</v>
      </c>
      <c r="G62" t="str">
        <f>Def_Comm!C65</f>
        <v>ELCSTM</v>
      </c>
      <c r="H62" t="str">
        <f>'ENE TECH'!B63</f>
        <v>Steam</v>
      </c>
    </row>
    <row r="63" spans="2:16" x14ac:dyDescent="0.25">
      <c r="B63" t="s">
        <v>411</v>
      </c>
      <c r="C63" t="str">
        <f>Def_Comm!C68</f>
        <v>ELCHYD</v>
      </c>
      <c r="D63" t="str">
        <f>'ENE TECH'!A66</f>
        <v>Electricity</v>
      </c>
      <c r="F63" t="s">
        <v>412</v>
      </c>
      <c r="G63" t="str">
        <f>Def_Comm!C66</f>
        <v>ELCGEO</v>
      </c>
      <c r="H63" t="str">
        <f>'ENE TECH'!B64</f>
        <v>Geothermal</v>
      </c>
    </row>
    <row r="64" spans="2:16" x14ac:dyDescent="0.25">
      <c r="B64" t="s">
        <v>411</v>
      </c>
      <c r="C64" t="str">
        <f>Def_Comm!C69</f>
        <v>ELCSOL</v>
      </c>
      <c r="D64" t="str">
        <f>'ENE TECH'!A67</f>
        <v>Electricity</v>
      </c>
      <c r="F64" t="s">
        <v>412</v>
      </c>
      <c r="G64" t="str">
        <f>Def_Comm!C67</f>
        <v>ELCWND</v>
      </c>
      <c r="H64" t="str">
        <f>'ENE TECH'!B65</f>
        <v>Wind</v>
      </c>
    </row>
    <row r="65" spans="2:8" x14ac:dyDescent="0.25">
      <c r="B65" t="s">
        <v>411</v>
      </c>
      <c r="C65" t="str">
        <f>Def_Comm!C70</f>
        <v>WASLPG</v>
      </c>
      <c r="D65" t="str">
        <f>'ENE TECH'!A68</f>
        <v>Waste</v>
      </c>
      <c r="F65" t="s">
        <v>412</v>
      </c>
      <c r="G65" t="str">
        <f>Def_Comm!C68</f>
        <v>ELCHYD</v>
      </c>
      <c r="H65" t="str">
        <f>'ENE TECH'!B66</f>
        <v>Hydro</v>
      </c>
    </row>
    <row r="66" spans="2:8" x14ac:dyDescent="0.25">
      <c r="B66" t="s">
        <v>411</v>
      </c>
      <c r="C66" t="str">
        <f>Def_Comm!C71</f>
        <v>WASDSL</v>
      </c>
      <c r="D66" t="str">
        <f>'ENE TECH'!A69</f>
        <v>Waste</v>
      </c>
      <c r="F66" t="s">
        <v>412</v>
      </c>
      <c r="G66" t="str">
        <f>Def_Comm!C69</f>
        <v>ELCSOL</v>
      </c>
      <c r="H66" t="str">
        <f>'ENE TECH'!B67</f>
        <v>Solar</v>
      </c>
    </row>
    <row r="67" spans="2:8" x14ac:dyDescent="0.25">
      <c r="B67" t="s">
        <v>411</v>
      </c>
      <c r="C67" t="str">
        <f>Def_Comm!C72</f>
        <v>WASFOI</v>
      </c>
      <c r="D67" t="str">
        <f>'ENE TECH'!A70</f>
        <v>Waste</v>
      </c>
      <c r="F67" t="s">
        <v>412</v>
      </c>
      <c r="G67" t="str">
        <f>Def_Comm!C70</f>
        <v>WASLPG</v>
      </c>
      <c r="H67" t="str">
        <f>'ENE TECH'!B68</f>
        <v>LPG</v>
      </c>
    </row>
    <row r="68" spans="2:8" x14ac:dyDescent="0.25">
      <c r="B68" t="s">
        <v>411</v>
      </c>
      <c r="C68" t="str">
        <f>Def_Comm!C73</f>
        <v>WASKER</v>
      </c>
      <c r="D68" t="str">
        <f>'ENE TECH'!A71</f>
        <v>Waste</v>
      </c>
      <c r="F68" t="s">
        <v>412</v>
      </c>
      <c r="G68" t="str">
        <f>Def_Comm!C71</f>
        <v>WASDSL</v>
      </c>
      <c r="H68" t="str">
        <f>'ENE TECH'!B69</f>
        <v>Diesel</v>
      </c>
    </row>
    <row r="69" spans="2:8" x14ac:dyDescent="0.25">
      <c r="B69" t="s">
        <v>411</v>
      </c>
      <c r="C69" t="str">
        <f>Def_Comm!C74</f>
        <v>WASGSL</v>
      </c>
      <c r="D69" t="str">
        <f>'ENE TECH'!A72</f>
        <v>Waste</v>
      </c>
      <c r="F69" t="s">
        <v>412</v>
      </c>
      <c r="G69" t="str">
        <f>Def_Comm!C72</f>
        <v>WASFOI</v>
      </c>
      <c r="H69" t="str">
        <f>'ENE TECH'!B70</f>
        <v>Fuel oil</v>
      </c>
    </row>
    <row r="70" spans="2:8" x14ac:dyDescent="0.25">
      <c r="B70" t="s">
        <v>411</v>
      </c>
      <c r="C70" t="str">
        <f>Def_Comm!C75</f>
        <v>WASNGA</v>
      </c>
      <c r="D70" t="str">
        <f>'ENE TECH'!A73</f>
        <v>Waste</v>
      </c>
      <c r="F70" t="s">
        <v>412</v>
      </c>
      <c r="G70" t="str">
        <f>Def_Comm!C73</f>
        <v>WASKER</v>
      </c>
      <c r="H70" t="str">
        <f>'ENE TECH'!B71</f>
        <v>Kerosene</v>
      </c>
    </row>
    <row r="71" spans="2:8" x14ac:dyDescent="0.25">
      <c r="B71" t="s">
        <v>411</v>
      </c>
      <c r="C71" t="str">
        <f>Def_Comm!C76</f>
        <v>WASRNG</v>
      </c>
      <c r="D71" t="str">
        <f>'ENE TECH'!A74</f>
        <v>Waste</v>
      </c>
      <c r="F71" t="s">
        <v>412</v>
      </c>
      <c r="G71" t="str">
        <f>Def_Comm!C74</f>
        <v>WASGSL</v>
      </c>
      <c r="H71" t="str">
        <f>'ENE TECH'!B72</f>
        <v>Gasoline</v>
      </c>
    </row>
    <row r="72" spans="2:8" x14ac:dyDescent="0.25">
      <c r="B72" t="s">
        <v>411</v>
      </c>
      <c r="C72" t="str">
        <f>Def_Comm!C77</f>
        <v>WASPCK</v>
      </c>
      <c r="D72" t="str">
        <f>'ENE TECH'!A75</f>
        <v>Waste</v>
      </c>
      <c r="F72" t="s">
        <v>412</v>
      </c>
      <c r="G72" t="str">
        <f>Def_Comm!C75</f>
        <v>WASNGA</v>
      </c>
      <c r="H72" t="str">
        <f>'ENE TECH'!B73</f>
        <v>Natural gas</v>
      </c>
    </row>
    <row r="73" spans="2:8" x14ac:dyDescent="0.25">
      <c r="B73" t="s">
        <v>411</v>
      </c>
      <c r="C73" t="str">
        <f>Def_Comm!C78</f>
        <v>WASCOA</v>
      </c>
      <c r="D73" t="str">
        <f>'ENE TECH'!A76</f>
        <v>Waste</v>
      </c>
      <c r="F73" t="s">
        <v>412</v>
      </c>
      <c r="G73" t="str">
        <f>Def_Comm!C76</f>
        <v>WASRNG</v>
      </c>
      <c r="H73" t="str">
        <f>'ENE TECH'!B74</f>
        <v>RNG</v>
      </c>
    </row>
    <row r="74" spans="2:8" x14ac:dyDescent="0.25">
      <c r="B74" t="s">
        <v>411</v>
      </c>
      <c r="C74" t="str">
        <f>Def_Comm!C79</f>
        <v>WASELC</v>
      </c>
      <c r="D74" t="str">
        <f>'ENE TECH'!A77</f>
        <v>Waste</v>
      </c>
      <c r="F74" t="s">
        <v>412</v>
      </c>
      <c r="G74" t="str">
        <f>Def_Comm!C77</f>
        <v>WASPCK</v>
      </c>
      <c r="H74" t="str">
        <f>'ENE TECH'!B75</f>
        <v>Petcoke</v>
      </c>
    </row>
    <row r="75" spans="2:8" x14ac:dyDescent="0.25">
      <c r="B75" t="s">
        <v>411</v>
      </c>
      <c r="C75" t="str">
        <f>Def_Comm!C80</f>
        <v>WASH2G</v>
      </c>
      <c r="D75" t="str">
        <f>'ENE TECH'!A78</f>
        <v>Waste</v>
      </c>
      <c r="F75" t="s">
        <v>412</v>
      </c>
      <c r="G75" t="str">
        <f>Def_Comm!C78</f>
        <v>WASCOA</v>
      </c>
      <c r="H75" t="str">
        <f>'ENE TECH'!B76</f>
        <v>Coal</v>
      </c>
    </row>
    <row r="76" spans="2:8" x14ac:dyDescent="0.25">
      <c r="B76" t="s">
        <v>411</v>
      </c>
      <c r="C76" t="str">
        <f>Def_Comm!C81</f>
        <v>WASSOL</v>
      </c>
      <c r="D76" t="str">
        <f>'ENE TECH'!A79</f>
        <v>Waste</v>
      </c>
      <c r="F76" t="s">
        <v>412</v>
      </c>
      <c r="G76" t="str">
        <f>Def_Comm!C79</f>
        <v>WASELC</v>
      </c>
      <c r="H76" t="str">
        <f>'ENE TECH'!B77</f>
        <v>Electricity</v>
      </c>
    </row>
    <row r="77" spans="2:8" x14ac:dyDescent="0.25">
      <c r="B77" t="s">
        <v>411</v>
      </c>
      <c r="C77" t="str">
        <f>Def_Comm!C82</f>
        <v>WASWND</v>
      </c>
      <c r="D77" t="str">
        <f>'ENE TECH'!A80</f>
        <v>Waste</v>
      </c>
      <c r="F77" t="s">
        <v>412</v>
      </c>
      <c r="G77" t="str">
        <f>Def_Comm!C80</f>
        <v>WASH2G</v>
      </c>
      <c r="H77" t="str">
        <f>'ENE TECH'!B78</f>
        <v>Hydrogen</v>
      </c>
    </row>
    <row r="78" spans="2:8" x14ac:dyDescent="0.25">
      <c r="F78" t="s">
        <v>412</v>
      </c>
      <c r="G78" t="str">
        <f>Def_Comm!C81</f>
        <v>WASSOL</v>
      </c>
      <c r="H78" t="str">
        <f>'ENE TECH'!B79</f>
        <v>Solar</v>
      </c>
    </row>
    <row r="79" spans="2:8" x14ac:dyDescent="0.25">
      <c r="F79" t="s">
        <v>412</v>
      </c>
      <c r="G79" t="str">
        <f>Def_Comm!C82</f>
        <v>WASWND</v>
      </c>
      <c r="H79" t="str">
        <f>'ENE TECH'!B80</f>
        <v>Wind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tabColor theme="2" tint="-0.499984740745262"/>
  </sheetPr>
  <dimension ref="A1"/>
  <sheetViews>
    <sheetView workbookViewId="0">
      <selection activeCell="L21" sqref="L21"/>
    </sheetView>
  </sheetViews>
  <sheetFormatPr defaultRowHeight="15" x14ac:dyDescent="0.25"/>
  <sheetData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B1:C31"/>
  <sheetViews>
    <sheetView workbookViewId="0">
      <selection activeCell="C20" sqref="C20"/>
    </sheetView>
  </sheetViews>
  <sheetFormatPr defaultRowHeight="15" x14ac:dyDescent="0.25"/>
  <cols>
    <col min="3" max="3" width="23.28515625" bestFit="1" customWidth="1"/>
  </cols>
  <sheetData>
    <row r="1" spans="2:3" x14ac:dyDescent="0.25">
      <c r="B1" t="s">
        <v>412</v>
      </c>
      <c r="C1" t="s">
        <v>76</v>
      </c>
    </row>
    <row r="2" spans="2:3" x14ac:dyDescent="0.25">
      <c r="B2" t="s">
        <v>80</v>
      </c>
      <c r="C2" t="s">
        <v>80</v>
      </c>
    </row>
    <row r="3" spans="2:3" x14ac:dyDescent="0.25">
      <c r="B3" t="s">
        <v>414</v>
      </c>
      <c r="C3" t="s">
        <v>84</v>
      </c>
    </row>
    <row r="4" spans="2:3" x14ac:dyDescent="0.25">
      <c r="B4" t="s">
        <v>415</v>
      </c>
      <c r="C4" t="s">
        <v>88</v>
      </c>
    </row>
    <row r="5" spans="2:3" x14ac:dyDescent="0.25">
      <c r="B5" t="s">
        <v>416</v>
      </c>
      <c r="C5" t="s">
        <v>91</v>
      </c>
    </row>
    <row r="6" spans="2:3" x14ac:dyDescent="0.25">
      <c r="B6" t="s">
        <v>95</v>
      </c>
      <c r="C6" t="s">
        <v>95</v>
      </c>
    </row>
    <row r="7" spans="2:3" x14ac:dyDescent="0.25">
      <c r="B7" t="s">
        <v>277</v>
      </c>
      <c r="C7" t="s">
        <v>97</v>
      </c>
    </row>
    <row r="8" spans="2:3" x14ac:dyDescent="0.25">
      <c r="B8" t="s">
        <v>417</v>
      </c>
      <c r="C8" t="s">
        <v>100</v>
      </c>
    </row>
    <row r="9" spans="2:3" x14ac:dyDescent="0.25">
      <c r="B9" t="s">
        <v>418</v>
      </c>
      <c r="C9" t="s">
        <v>111</v>
      </c>
    </row>
    <row r="10" spans="2:3" x14ac:dyDescent="0.25">
      <c r="B10" t="s">
        <v>419</v>
      </c>
      <c r="C10" t="s">
        <v>118</v>
      </c>
    </row>
    <row r="11" spans="2:3" x14ac:dyDescent="0.25">
      <c r="B11" t="s">
        <v>420</v>
      </c>
      <c r="C11" t="s">
        <v>144</v>
      </c>
    </row>
    <row r="12" spans="2:3" x14ac:dyDescent="0.25">
      <c r="B12" t="s">
        <v>421</v>
      </c>
      <c r="C12" t="s">
        <v>148</v>
      </c>
    </row>
    <row r="13" spans="2:3" x14ac:dyDescent="0.25">
      <c r="B13" t="s">
        <v>422</v>
      </c>
      <c r="C13" t="s">
        <v>160</v>
      </c>
    </row>
    <row r="14" spans="2:3" x14ac:dyDescent="0.25">
      <c r="B14" t="s">
        <v>423</v>
      </c>
      <c r="C14" t="s">
        <v>166</v>
      </c>
    </row>
    <row r="15" spans="2:3" x14ac:dyDescent="0.25">
      <c r="B15" t="s">
        <v>424</v>
      </c>
      <c r="C15" t="s">
        <v>170</v>
      </c>
    </row>
    <row r="16" spans="2:3" x14ac:dyDescent="0.25">
      <c r="B16" t="s">
        <v>425</v>
      </c>
      <c r="C16" t="s">
        <v>173</v>
      </c>
    </row>
    <row r="17" spans="2:3" x14ac:dyDescent="0.25">
      <c r="B17" t="s">
        <v>426</v>
      </c>
      <c r="C17" t="s">
        <v>178</v>
      </c>
    </row>
    <row r="18" spans="2:3" x14ac:dyDescent="0.25">
      <c r="B18" t="s">
        <v>427</v>
      </c>
      <c r="C18" t="s">
        <v>180</v>
      </c>
    </row>
    <row r="19" spans="2:3" x14ac:dyDescent="0.25">
      <c r="B19" t="s">
        <v>428</v>
      </c>
      <c r="C19" t="s">
        <v>184</v>
      </c>
    </row>
    <row r="20" spans="2:3" x14ac:dyDescent="0.25">
      <c r="B20" t="s">
        <v>429</v>
      </c>
      <c r="C20" t="s">
        <v>202</v>
      </c>
    </row>
    <row r="21" spans="2:3" x14ac:dyDescent="0.25">
      <c r="B21" t="s">
        <v>430</v>
      </c>
      <c r="C21" t="s">
        <v>104</v>
      </c>
    </row>
    <row r="22" spans="2:3" x14ac:dyDescent="0.25">
      <c r="B22" t="s">
        <v>431</v>
      </c>
      <c r="C22" t="s">
        <v>106</v>
      </c>
    </row>
    <row r="23" spans="2:3" x14ac:dyDescent="0.25">
      <c r="B23" t="s">
        <v>432</v>
      </c>
      <c r="C23" t="s">
        <v>205</v>
      </c>
    </row>
    <row r="24" spans="2:3" x14ac:dyDescent="0.25">
      <c r="B24" t="s">
        <v>433</v>
      </c>
      <c r="C24" t="s">
        <v>207</v>
      </c>
    </row>
    <row r="25" spans="2:3" x14ac:dyDescent="0.25">
      <c r="B25" t="s">
        <v>434</v>
      </c>
      <c r="C25" t="s">
        <v>209</v>
      </c>
    </row>
    <row r="26" spans="2:3" x14ac:dyDescent="0.25">
      <c r="B26" t="s">
        <v>435</v>
      </c>
      <c r="C26" t="s">
        <v>211</v>
      </c>
    </row>
    <row r="27" spans="2:3" x14ac:dyDescent="0.25">
      <c r="B27" t="s">
        <v>436</v>
      </c>
      <c r="C27" t="s">
        <v>102</v>
      </c>
    </row>
    <row r="28" spans="2:3" x14ac:dyDescent="0.25">
      <c r="B28" t="s">
        <v>437</v>
      </c>
      <c r="C28" t="s">
        <v>214</v>
      </c>
    </row>
    <row r="29" spans="2:3" x14ac:dyDescent="0.25">
      <c r="B29" t="s">
        <v>438</v>
      </c>
      <c r="C29" t="s">
        <v>217</v>
      </c>
    </row>
    <row r="30" spans="2:3" x14ac:dyDescent="0.25">
      <c r="B30" t="s">
        <v>439</v>
      </c>
      <c r="C30" t="s">
        <v>440</v>
      </c>
    </row>
    <row r="31" spans="2:3" x14ac:dyDescent="0.25">
      <c r="B31" t="s">
        <v>441</v>
      </c>
      <c r="C31" t="s">
        <v>442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ReadMe</vt:lpstr>
      <vt:lpstr>&gt;&gt; City Data</vt:lpstr>
      <vt:lpstr>City characteristics</vt:lpstr>
      <vt:lpstr>&gt;&gt; GC_NewTech</vt:lpstr>
      <vt:lpstr>ENE TECH</vt:lpstr>
      <vt:lpstr>&gt;&gt; TIMES</vt:lpstr>
      <vt:lpstr>Def_Tech</vt:lpstr>
      <vt:lpstr>Def_Comm</vt:lpstr>
      <vt:lpstr>TechMin</vt:lpstr>
      <vt:lpstr>TechImp</vt:lpstr>
      <vt:lpstr>ComAgg</vt:lpstr>
      <vt:lpstr>Commodity_map</vt:lpstr>
      <vt:lpstr>&gt;&gt; Parameters</vt:lpstr>
      <vt:lpstr>List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esmia</dc:creator>
  <cp:lastModifiedBy>Carroll, Zane</cp:lastModifiedBy>
  <dcterms:created xsi:type="dcterms:W3CDTF">2015-06-05T18:17:20Z</dcterms:created>
  <dcterms:modified xsi:type="dcterms:W3CDTF">2025-04-08T18:31:06Z</dcterms:modified>
</cp:coreProperties>
</file>
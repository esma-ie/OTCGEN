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BF96997B-4586-4339-8322-F29220D9EE8C}" xr6:coauthVersionLast="47" xr6:coauthVersionMax="47" xr10:uidLastSave="{00000000-0000-0000-0000-000000000000}"/>
  <bookViews>
    <workbookView xWindow="-120" yWindow="-120" windowWidth="25440" windowHeight="15270" firstSheet="4" activeTab="6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TRA TECH" sheetId="5" r:id="rId5"/>
    <sheet name="&gt;&gt; TIMES" sheetId="6" r:id="rId6"/>
    <sheet name="Tech_availability" sheetId="7" r:id="rId7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7" i="7" l="1"/>
  <c r="H327" i="7" s="1"/>
  <c r="C326" i="7"/>
  <c r="H326" i="7" s="1"/>
  <c r="G325" i="7"/>
  <c r="C325" i="7"/>
  <c r="H325" i="7" s="1"/>
  <c r="G324" i="7"/>
  <c r="C324" i="7"/>
  <c r="H324" i="7" s="1"/>
  <c r="C323" i="7"/>
  <c r="C322" i="7"/>
  <c r="H322" i="7" s="1"/>
  <c r="G321" i="7"/>
  <c r="C321" i="7"/>
  <c r="H321" i="7" s="1"/>
  <c r="G320" i="7"/>
  <c r="C320" i="7"/>
  <c r="H320" i="7" s="1"/>
  <c r="C319" i="7"/>
  <c r="C318" i="7"/>
  <c r="H318" i="7" s="1"/>
  <c r="G317" i="7"/>
  <c r="C317" i="7"/>
  <c r="H317" i="7" s="1"/>
  <c r="G316" i="7"/>
  <c r="C316" i="7"/>
  <c r="H316" i="7" s="1"/>
  <c r="C315" i="7"/>
  <c r="C314" i="7"/>
  <c r="H314" i="7" s="1"/>
  <c r="G313" i="7"/>
  <c r="C313" i="7"/>
  <c r="H313" i="7" s="1"/>
  <c r="G312" i="7"/>
  <c r="C312" i="7"/>
  <c r="H312" i="7" s="1"/>
  <c r="C311" i="7"/>
  <c r="C310" i="7"/>
  <c r="H310" i="7" s="1"/>
  <c r="G309" i="7"/>
  <c r="C309" i="7"/>
  <c r="H309" i="7" s="1"/>
  <c r="G308" i="7"/>
  <c r="C308" i="7"/>
  <c r="H308" i="7" s="1"/>
  <c r="C307" i="7"/>
  <c r="C306" i="7"/>
  <c r="H306" i="7" s="1"/>
  <c r="G305" i="7"/>
  <c r="C305" i="7"/>
  <c r="H305" i="7" s="1"/>
  <c r="G304" i="7"/>
  <c r="C304" i="7"/>
  <c r="H304" i="7" s="1"/>
  <c r="C303" i="7"/>
  <c r="C302" i="7"/>
  <c r="H302" i="7" s="1"/>
  <c r="G301" i="7"/>
  <c r="C301" i="7"/>
  <c r="H301" i="7" s="1"/>
  <c r="G300" i="7"/>
  <c r="C300" i="7"/>
  <c r="H300" i="7" s="1"/>
  <c r="C299" i="7"/>
  <c r="C298" i="7"/>
  <c r="H298" i="7" s="1"/>
  <c r="G297" i="7"/>
  <c r="C297" i="7"/>
  <c r="H297" i="7" s="1"/>
  <c r="G296" i="7"/>
  <c r="C296" i="7"/>
  <c r="H296" i="7" s="1"/>
  <c r="C295" i="7"/>
  <c r="C294" i="7"/>
  <c r="H294" i="7" s="1"/>
  <c r="G293" i="7"/>
  <c r="C293" i="7"/>
  <c r="H293" i="7" s="1"/>
  <c r="G292" i="7"/>
  <c r="C292" i="7"/>
  <c r="H292" i="7" s="1"/>
  <c r="C291" i="7"/>
  <c r="C290" i="7"/>
  <c r="H290" i="7" s="1"/>
  <c r="G289" i="7"/>
  <c r="C289" i="7"/>
  <c r="H289" i="7" s="1"/>
  <c r="G288" i="7"/>
  <c r="C288" i="7"/>
  <c r="H288" i="7" s="1"/>
  <c r="C287" i="7"/>
  <c r="C286" i="7"/>
  <c r="H286" i="7" s="1"/>
  <c r="G285" i="7"/>
  <c r="C285" i="7"/>
  <c r="H285" i="7" s="1"/>
  <c r="G284" i="7"/>
  <c r="C284" i="7"/>
  <c r="H284" i="7" s="1"/>
  <c r="C283" i="7"/>
  <c r="C282" i="7"/>
  <c r="H282" i="7" s="1"/>
  <c r="G281" i="7"/>
  <c r="C281" i="7"/>
  <c r="H281" i="7" s="1"/>
  <c r="G280" i="7"/>
  <c r="C280" i="7"/>
  <c r="H280" i="7" s="1"/>
  <c r="C279" i="7"/>
  <c r="C278" i="7"/>
  <c r="H278" i="7" s="1"/>
  <c r="G277" i="7"/>
  <c r="C277" i="7"/>
  <c r="H277" i="7" s="1"/>
  <c r="G276" i="7"/>
  <c r="C276" i="7"/>
  <c r="H276" i="7" s="1"/>
  <c r="C275" i="7"/>
  <c r="C274" i="7"/>
  <c r="H274" i="7" s="1"/>
  <c r="G273" i="7"/>
  <c r="C273" i="7"/>
  <c r="H273" i="7" s="1"/>
  <c r="G272" i="7"/>
  <c r="C272" i="7"/>
  <c r="H272" i="7" s="1"/>
  <c r="C271" i="7"/>
  <c r="C270" i="7"/>
  <c r="H270" i="7" s="1"/>
  <c r="G269" i="7"/>
  <c r="C269" i="7"/>
  <c r="H269" i="7" s="1"/>
  <c r="G268" i="7"/>
  <c r="C268" i="7"/>
  <c r="H268" i="7" s="1"/>
  <c r="C267" i="7"/>
  <c r="C266" i="7"/>
  <c r="H266" i="7" s="1"/>
  <c r="G265" i="7"/>
  <c r="C265" i="7"/>
  <c r="H265" i="7" s="1"/>
  <c r="G264" i="7"/>
  <c r="C264" i="7"/>
  <c r="H264" i="7" s="1"/>
  <c r="C263" i="7"/>
  <c r="C262" i="7"/>
  <c r="H262" i="7" s="1"/>
  <c r="G261" i="7"/>
  <c r="C261" i="7"/>
  <c r="H261" i="7" s="1"/>
  <c r="G260" i="7"/>
  <c r="C260" i="7"/>
  <c r="H260" i="7" s="1"/>
  <c r="C259" i="7"/>
  <c r="C258" i="7"/>
  <c r="H258" i="7" s="1"/>
  <c r="G257" i="7"/>
  <c r="C257" i="7"/>
  <c r="H257" i="7" s="1"/>
  <c r="G256" i="7"/>
  <c r="C256" i="7"/>
  <c r="H256" i="7" s="1"/>
  <c r="C255" i="7"/>
  <c r="C254" i="7"/>
  <c r="H254" i="7" s="1"/>
  <c r="G253" i="7"/>
  <c r="C253" i="7"/>
  <c r="H253" i="7" s="1"/>
  <c r="G252" i="7"/>
  <c r="C252" i="7"/>
  <c r="H252" i="7" s="1"/>
  <c r="C251" i="7"/>
  <c r="C250" i="7"/>
  <c r="H250" i="7" s="1"/>
  <c r="G249" i="7"/>
  <c r="C249" i="7"/>
  <c r="H249" i="7" s="1"/>
  <c r="G248" i="7"/>
  <c r="C248" i="7"/>
  <c r="H248" i="7" s="1"/>
  <c r="C247" i="7"/>
  <c r="C246" i="7"/>
  <c r="H246" i="7" s="1"/>
  <c r="G245" i="7"/>
  <c r="C245" i="7"/>
  <c r="H245" i="7" s="1"/>
  <c r="G244" i="7"/>
  <c r="C244" i="7"/>
  <c r="H244" i="7" s="1"/>
  <c r="C243" i="7"/>
  <c r="C242" i="7"/>
  <c r="H242" i="7" s="1"/>
  <c r="G241" i="7"/>
  <c r="C241" i="7"/>
  <c r="H241" i="7" s="1"/>
  <c r="G240" i="7"/>
  <c r="C240" i="7"/>
  <c r="H240" i="7" s="1"/>
  <c r="C239" i="7"/>
  <c r="C238" i="7"/>
  <c r="H238" i="7" s="1"/>
  <c r="G237" i="7"/>
  <c r="C237" i="7"/>
  <c r="H237" i="7" s="1"/>
  <c r="G236" i="7"/>
  <c r="C236" i="7"/>
  <c r="H236" i="7" s="1"/>
  <c r="C235" i="7"/>
  <c r="C234" i="7"/>
  <c r="H234" i="7" s="1"/>
  <c r="G233" i="7"/>
  <c r="C233" i="7"/>
  <c r="H233" i="7" s="1"/>
  <c r="G232" i="7"/>
  <c r="C232" i="7"/>
  <c r="H232" i="7" s="1"/>
  <c r="C231" i="7"/>
  <c r="C230" i="7"/>
  <c r="H230" i="7" s="1"/>
  <c r="G229" i="7"/>
  <c r="C229" i="7"/>
  <c r="H229" i="7" s="1"/>
  <c r="G228" i="7"/>
  <c r="C228" i="7"/>
  <c r="H228" i="7" s="1"/>
  <c r="C227" i="7"/>
  <c r="C226" i="7"/>
  <c r="H226" i="7" s="1"/>
  <c r="G225" i="7"/>
  <c r="C225" i="7"/>
  <c r="H225" i="7" s="1"/>
  <c r="G224" i="7"/>
  <c r="C224" i="7"/>
  <c r="H224" i="7" s="1"/>
  <c r="C223" i="7"/>
  <c r="C222" i="7"/>
  <c r="H222" i="7" s="1"/>
  <c r="G221" i="7"/>
  <c r="C221" i="7"/>
  <c r="H221" i="7" s="1"/>
  <c r="G220" i="7"/>
  <c r="C220" i="7"/>
  <c r="H220" i="7" s="1"/>
  <c r="C219" i="7"/>
  <c r="C218" i="7"/>
  <c r="H218" i="7" s="1"/>
  <c r="G217" i="7"/>
  <c r="C217" i="7"/>
  <c r="H217" i="7" s="1"/>
  <c r="G216" i="7"/>
  <c r="C216" i="7"/>
  <c r="H216" i="7" s="1"/>
  <c r="C215" i="7"/>
  <c r="C214" i="7"/>
  <c r="H214" i="7" s="1"/>
  <c r="G213" i="7"/>
  <c r="C213" i="7"/>
  <c r="H213" i="7" s="1"/>
  <c r="G212" i="7"/>
  <c r="C212" i="7"/>
  <c r="H212" i="7" s="1"/>
  <c r="C211" i="7"/>
  <c r="C210" i="7"/>
  <c r="H210" i="7" s="1"/>
  <c r="G209" i="7"/>
  <c r="C209" i="7"/>
  <c r="H209" i="7" s="1"/>
  <c r="G208" i="7"/>
  <c r="C208" i="7"/>
  <c r="H208" i="7" s="1"/>
  <c r="C207" i="7"/>
  <c r="C206" i="7"/>
  <c r="H206" i="7" s="1"/>
  <c r="G205" i="7"/>
  <c r="C205" i="7"/>
  <c r="H205" i="7" s="1"/>
  <c r="G204" i="7"/>
  <c r="C204" i="7"/>
  <c r="H204" i="7" s="1"/>
  <c r="C203" i="7"/>
  <c r="C202" i="7"/>
  <c r="G201" i="7"/>
  <c r="C201" i="7"/>
  <c r="H201" i="7" s="1"/>
  <c r="G200" i="7"/>
  <c r="C200" i="7"/>
  <c r="H200" i="7" s="1"/>
  <c r="C199" i="7"/>
  <c r="C198" i="7"/>
  <c r="G197" i="7"/>
  <c r="C197" i="7"/>
  <c r="H197" i="7" s="1"/>
  <c r="G196" i="7"/>
  <c r="C196" i="7"/>
  <c r="H196" i="7" s="1"/>
  <c r="C195" i="7"/>
  <c r="C194" i="7"/>
  <c r="G193" i="7"/>
  <c r="C193" i="7"/>
  <c r="H193" i="7" s="1"/>
  <c r="G192" i="7"/>
  <c r="C192" i="7"/>
  <c r="H192" i="7" s="1"/>
  <c r="C191" i="7"/>
  <c r="C190" i="7"/>
  <c r="G189" i="7"/>
  <c r="C189" i="7"/>
  <c r="H189" i="7" s="1"/>
  <c r="G188" i="7"/>
  <c r="C188" i="7"/>
  <c r="H188" i="7" s="1"/>
  <c r="C187" i="7"/>
  <c r="C186" i="7"/>
  <c r="G185" i="7"/>
  <c r="C185" i="7"/>
  <c r="H185" i="7" s="1"/>
  <c r="G184" i="7"/>
  <c r="C184" i="7"/>
  <c r="H184" i="7" s="1"/>
  <c r="C183" i="7"/>
  <c r="C182" i="7"/>
  <c r="G181" i="7"/>
  <c r="C181" i="7"/>
  <c r="H181" i="7" s="1"/>
  <c r="G180" i="7"/>
  <c r="C180" i="7"/>
  <c r="H180" i="7" s="1"/>
  <c r="C179" i="7"/>
  <c r="C178" i="7"/>
  <c r="G177" i="7"/>
  <c r="C177" i="7"/>
  <c r="H177" i="7" s="1"/>
  <c r="C176" i="7"/>
  <c r="H176" i="7" s="1"/>
  <c r="C175" i="7"/>
  <c r="C174" i="7"/>
  <c r="G173" i="7"/>
  <c r="C173" i="7"/>
  <c r="H173" i="7" s="1"/>
  <c r="G172" i="7"/>
  <c r="C172" i="7"/>
  <c r="H172" i="7" s="1"/>
  <c r="C171" i="7"/>
  <c r="C170" i="7"/>
  <c r="G169" i="7"/>
  <c r="C169" i="7"/>
  <c r="H169" i="7" s="1"/>
  <c r="C168" i="7"/>
  <c r="H168" i="7" s="1"/>
  <c r="C167" i="7"/>
  <c r="C166" i="7"/>
  <c r="G165" i="7"/>
  <c r="C165" i="7"/>
  <c r="H165" i="7" s="1"/>
  <c r="G164" i="7"/>
  <c r="C164" i="7"/>
  <c r="H164" i="7" s="1"/>
  <c r="C163" i="7"/>
  <c r="C162" i="7"/>
  <c r="G161" i="7"/>
  <c r="C161" i="7"/>
  <c r="H161" i="7" s="1"/>
  <c r="C160" i="7"/>
  <c r="H160" i="7" s="1"/>
  <c r="C159" i="7"/>
  <c r="C158" i="7"/>
  <c r="G157" i="7"/>
  <c r="C157" i="7"/>
  <c r="H157" i="7" s="1"/>
  <c r="G156" i="7"/>
  <c r="C156" i="7"/>
  <c r="H156" i="7" s="1"/>
  <c r="C155" i="7"/>
  <c r="C154" i="7"/>
  <c r="G153" i="7"/>
  <c r="C153" i="7"/>
  <c r="H153" i="7" s="1"/>
  <c r="C152" i="7"/>
  <c r="H152" i="7" s="1"/>
  <c r="C151" i="7"/>
  <c r="C150" i="7"/>
  <c r="G149" i="7"/>
  <c r="C149" i="7"/>
  <c r="H149" i="7" s="1"/>
  <c r="G148" i="7"/>
  <c r="C148" i="7"/>
  <c r="H148" i="7" s="1"/>
  <c r="C147" i="7"/>
  <c r="C146" i="7"/>
  <c r="G145" i="7"/>
  <c r="C145" i="7"/>
  <c r="H145" i="7" s="1"/>
  <c r="C144" i="7"/>
  <c r="H144" i="7" s="1"/>
  <c r="C143" i="7"/>
  <c r="C142" i="7"/>
  <c r="G141" i="7"/>
  <c r="C141" i="7"/>
  <c r="H141" i="7" s="1"/>
  <c r="G140" i="7"/>
  <c r="C140" i="7"/>
  <c r="H140" i="7" s="1"/>
  <c r="C139" i="7"/>
  <c r="C138" i="7"/>
  <c r="G137" i="7"/>
  <c r="C137" i="7"/>
  <c r="H137" i="7" s="1"/>
  <c r="C136" i="7"/>
  <c r="H136" i="7" s="1"/>
  <c r="C135" i="7"/>
  <c r="C134" i="7"/>
  <c r="G133" i="7"/>
  <c r="C133" i="7"/>
  <c r="H133" i="7" s="1"/>
  <c r="G132" i="7"/>
  <c r="C132" i="7"/>
  <c r="H132" i="7" s="1"/>
  <c r="C131" i="7"/>
  <c r="C130" i="7"/>
  <c r="G129" i="7"/>
  <c r="C129" i="7"/>
  <c r="H129" i="7" s="1"/>
  <c r="C128" i="7"/>
  <c r="H128" i="7" s="1"/>
  <c r="C127" i="7"/>
  <c r="C126" i="7"/>
  <c r="G125" i="7"/>
  <c r="C125" i="7"/>
  <c r="H125" i="7" s="1"/>
  <c r="G124" i="7"/>
  <c r="C124" i="7"/>
  <c r="H124" i="7" s="1"/>
  <c r="C123" i="7"/>
  <c r="C122" i="7"/>
  <c r="G121" i="7"/>
  <c r="C121" i="7"/>
  <c r="H121" i="7" s="1"/>
  <c r="C120" i="7"/>
  <c r="H120" i="7" s="1"/>
  <c r="C119" i="7"/>
  <c r="G119" i="7" s="1"/>
  <c r="C118" i="7"/>
  <c r="G117" i="7"/>
  <c r="C117" i="7"/>
  <c r="H117" i="7" s="1"/>
  <c r="G116" i="7"/>
  <c r="C116" i="7"/>
  <c r="H116" i="7" s="1"/>
  <c r="C115" i="7"/>
  <c r="G115" i="7" s="1"/>
  <c r="C114" i="7"/>
  <c r="G113" i="7"/>
  <c r="C113" i="7"/>
  <c r="H113" i="7" s="1"/>
  <c r="C112" i="7"/>
  <c r="H112" i="7" s="1"/>
  <c r="H111" i="7"/>
  <c r="C111" i="7"/>
  <c r="G111" i="7" s="1"/>
  <c r="C110" i="7"/>
  <c r="G109" i="7"/>
  <c r="C109" i="7"/>
  <c r="H109" i="7" s="1"/>
  <c r="C108" i="7"/>
  <c r="H108" i="7" s="1"/>
  <c r="C107" i="7"/>
  <c r="G107" i="7" s="1"/>
  <c r="C106" i="7"/>
  <c r="G105" i="7"/>
  <c r="C105" i="7"/>
  <c r="H105" i="7" s="1"/>
  <c r="G104" i="7"/>
  <c r="C104" i="7"/>
  <c r="H104" i="7" s="1"/>
  <c r="H103" i="7"/>
  <c r="C103" i="7"/>
  <c r="G103" i="7" s="1"/>
  <c r="C102" i="7"/>
  <c r="G101" i="7"/>
  <c r="C101" i="7"/>
  <c r="H101" i="7" s="1"/>
  <c r="C100" i="7"/>
  <c r="H100" i="7" s="1"/>
  <c r="H99" i="7"/>
  <c r="C99" i="7"/>
  <c r="G99" i="7" s="1"/>
  <c r="C98" i="7"/>
  <c r="G97" i="7"/>
  <c r="C97" i="7"/>
  <c r="H97" i="7" s="1"/>
  <c r="G96" i="7"/>
  <c r="C96" i="7"/>
  <c r="H96" i="7" s="1"/>
  <c r="C95" i="7"/>
  <c r="G95" i="7" s="1"/>
  <c r="C94" i="7"/>
  <c r="G93" i="7"/>
  <c r="C93" i="7"/>
  <c r="H93" i="7" s="1"/>
  <c r="G92" i="7"/>
  <c r="C92" i="7"/>
  <c r="H92" i="7" s="1"/>
  <c r="C91" i="7"/>
  <c r="G91" i="7" s="1"/>
  <c r="C90" i="7"/>
  <c r="G89" i="7"/>
  <c r="C89" i="7"/>
  <c r="H89" i="7" s="1"/>
  <c r="C88" i="7"/>
  <c r="H88" i="7" s="1"/>
  <c r="H87" i="7"/>
  <c r="C87" i="7"/>
  <c r="G87" i="7" s="1"/>
  <c r="C86" i="7"/>
  <c r="G85" i="7"/>
  <c r="C85" i="7"/>
  <c r="H85" i="7" s="1"/>
  <c r="C84" i="7"/>
  <c r="H84" i="7" s="1"/>
  <c r="C83" i="7"/>
  <c r="G83" i="7" s="1"/>
  <c r="C82" i="7"/>
  <c r="C81" i="7"/>
  <c r="H81" i="7" s="1"/>
  <c r="G80" i="7"/>
  <c r="C80" i="7"/>
  <c r="H80" i="7" s="1"/>
  <c r="C79" i="7"/>
  <c r="G79" i="7" s="1"/>
  <c r="C78" i="7"/>
  <c r="H78" i="7" s="1"/>
  <c r="G77" i="7"/>
  <c r="C77" i="7"/>
  <c r="H77" i="7" s="1"/>
  <c r="G76" i="7"/>
  <c r="C76" i="7"/>
  <c r="H76" i="7" s="1"/>
  <c r="C75" i="7"/>
  <c r="G75" i="7" s="1"/>
  <c r="G74" i="7"/>
  <c r="C74" i="7"/>
  <c r="H74" i="7" s="1"/>
  <c r="C73" i="7"/>
  <c r="H73" i="7" s="1"/>
  <c r="C72" i="7"/>
  <c r="H72" i="7" s="1"/>
  <c r="H71" i="7"/>
  <c r="C71" i="7"/>
  <c r="G71" i="7" s="1"/>
  <c r="G70" i="7"/>
  <c r="C70" i="7"/>
  <c r="H70" i="7" s="1"/>
  <c r="C69" i="7"/>
  <c r="H69" i="7" s="1"/>
  <c r="G68" i="7"/>
  <c r="C68" i="7"/>
  <c r="H68" i="7" s="1"/>
  <c r="C67" i="7"/>
  <c r="G67" i="7" s="1"/>
  <c r="C66" i="7"/>
  <c r="H66" i="7" s="1"/>
  <c r="G65" i="7"/>
  <c r="C65" i="7"/>
  <c r="H65" i="7" s="1"/>
  <c r="G64" i="7"/>
  <c r="C64" i="7"/>
  <c r="H64" i="7" s="1"/>
  <c r="C63" i="7"/>
  <c r="G63" i="7" s="1"/>
  <c r="G62" i="7"/>
  <c r="C62" i="7"/>
  <c r="H62" i="7" s="1"/>
  <c r="C61" i="7"/>
  <c r="H61" i="7" s="1"/>
  <c r="C60" i="7"/>
  <c r="H60" i="7" s="1"/>
  <c r="H59" i="7"/>
  <c r="C59" i="7"/>
  <c r="G59" i="7" s="1"/>
  <c r="G58" i="7"/>
  <c r="C58" i="7"/>
  <c r="H58" i="7" s="1"/>
  <c r="C57" i="7"/>
  <c r="H57" i="7" s="1"/>
  <c r="G56" i="7"/>
  <c r="C56" i="7"/>
  <c r="H56" i="7" s="1"/>
  <c r="C55" i="7"/>
  <c r="G55" i="7" s="1"/>
  <c r="C54" i="7"/>
  <c r="H54" i="7" s="1"/>
  <c r="G53" i="7"/>
  <c r="C53" i="7"/>
  <c r="H53" i="7" s="1"/>
  <c r="G52" i="7"/>
  <c r="C52" i="7"/>
  <c r="H52" i="7" s="1"/>
  <c r="C51" i="7"/>
  <c r="G51" i="7" s="1"/>
  <c r="G50" i="7"/>
  <c r="C50" i="7"/>
  <c r="H50" i="7" s="1"/>
  <c r="C49" i="7"/>
  <c r="H49" i="7" s="1"/>
  <c r="C48" i="7"/>
  <c r="H48" i="7" s="1"/>
  <c r="H47" i="7"/>
  <c r="C47" i="7"/>
  <c r="G47" i="7" s="1"/>
  <c r="G46" i="7"/>
  <c r="C46" i="7"/>
  <c r="H46" i="7" s="1"/>
  <c r="C45" i="7"/>
  <c r="H45" i="7" s="1"/>
  <c r="G44" i="7"/>
  <c r="C44" i="7"/>
  <c r="H44" i="7" s="1"/>
  <c r="C43" i="7"/>
  <c r="G43" i="7" s="1"/>
  <c r="C42" i="7"/>
  <c r="H42" i="7" s="1"/>
  <c r="G41" i="7"/>
  <c r="C41" i="7"/>
  <c r="H41" i="7" s="1"/>
  <c r="G40" i="7"/>
  <c r="C40" i="7"/>
  <c r="H40" i="7" s="1"/>
  <c r="C39" i="7"/>
  <c r="G39" i="7" s="1"/>
  <c r="G38" i="7"/>
  <c r="C38" i="7"/>
  <c r="H38" i="7" s="1"/>
  <c r="C37" i="7"/>
  <c r="H37" i="7" s="1"/>
  <c r="C36" i="7"/>
  <c r="H36" i="7" s="1"/>
  <c r="H35" i="7"/>
  <c r="C35" i="7"/>
  <c r="G35" i="7" s="1"/>
  <c r="G34" i="7"/>
  <c r="C34" i="7"/>
  <c r="H34" i="7" s="1"/>
  <c r="C33" i="7"/>
  <c r="H33" i="7" s="1"/>
  <c r="G32" i="7"/>
  <c r="C32" i="7"/>
  <c r="H32" i="7" s="1"/>
  <c r="C31" i="7"/>
  <c r="G31" i="7" s="1"/>
  <c r="C30" i="7"/>
  <c r="H30" i="7" s="1"/>
  <c r="G29" i="7"/>
  <c r="C29" i="7"/>
  <c r="H29" i="7" s="1"/>
  <c r="G28" i="7"/>
  <c r="C28" i="7"/>
  <c r="H28" i="7" s="1"/>
  <c r="C27" i="7"/>
  <c r="G27" i="7" s="1"/>
  <c r="G26" i="7"/>
  <c r="C26" i="7"/>
  <c r="H26" i="7" s="1"/>
  <c r="C25" i="7"/>
  <c r="H25" i="7" s="1"/>
  <c r="C24" i="7"/>
  <c r="H24" i="7" s="1"/>
  <c r="H23" i="7"/>
  <c r="C23" i="7"/>
  <c r="G23" i="7" s="1"/>
  <c r="G22" i="7"/>
  <c r="C22" i="7"/>
  <c r="H22" i="7" s="1"/>
  <c r="C21" i="7"/>
  <c r="H21" i="7" s="1"/>
  <c r="G20" i="7"/>
  <c r="C20" i="7"/>
  <c r="H20" i="7" s="1"/>
  <c r="C19" i="7"/>
  <c r="G19" i="7" s="1"/>
  <c r="C18" i="7"/>
  <c r="H18" i="7" s="1"/>
  <c r="G17" i="7"/>
  <c r="C17" i="7"/>
  <c r="H17" i="7" s="1"/>
  <c r="G16" i="7"/>
  <c r="C16" i="7"/>
  <c r="H16" i="7" s="1"/>
  <c r="C15" i="7"/>
  <c r="G15" i="7" s="1"/>
  <c r="G14" i="7"/>
  <c r="C14" i="7"/>
  <c r="H14" i="7" s="1"/>
  <c r="C13" i="7"/>
  <c r="H13" i="7" s="1"/>
  <c r="C12" i="7"/>
  <c r="H12" i="7" s="1"/>
  <c r="H11" i="7"/>
  <c r="C11" i="7"/>
  <c r="G11" i="7" s="1"/>
  <c r="G10" i="7"/>
  <c r="C10" i="7"/>
  <c r="H10" i="7" s="1"/>
  <c r="C9" i="7"/>
  <c r="H9" i="7" s="1"/>
  <c r="G8" i="7"/>
  <c r="C8" i="7"/>
  <c r="H8" i="7" s="1"/>
  <c r="C7" i="7"/>
  <c r="G7" i="7" s="1"/>
  <c r="C6" i="7"/>
  <c r="H6" i="7" s="1"/>
  <c r="G5" i="7"/>
  <c r="C5" i="7"/>
  <c r="H5" i="7" s="1"/>
  <c r="H106" i="7" l="1"/>
  <c r="G106" i="7"/>
  <c r="H43" i="7"/>
  <c r="G168" i="7"/>
  <c r="H7" i="7"/>
  <c r="G13" i="7"/>
  <c r="H19" i="7"/>
  <c r="G25" i="7"/>
  <c r="H31" i="7"/>
  <c r="G37" i="7"/>
  <c r="G49" i="7"/>
  <c r="H55" i="7"/>
  <c r="G61" i="7"/>
  <c r="H67" i="7"/>
  <c r="G73" i="7"/>
  <c r="H79" i="7"/>
  <c r="H86" i="7"/>
  <c r="G86" i="7"/>
  <c r="G120" i="7"/>
  <c r="G128" i="7"/>
  <c r="G136" i="7"/>
  <c r="G144" i="7"/>
  <c r="G152" i="7"/>
  <c r="G160" i="7"/>
  <c r="G176" i="7"/>
  <c r="G100" i="7"/>
  <c r="H107" i="7"/>
  <c r="H114" i="7"/>
  <c r="G114" i="7"/>
  <c r="H94" i="7"/>
  <c r="G94" i="7"/>
  <c r="G108" i="7"/>
  <c r="H115" i="7"/>
  <c r="H122" i="7"/>
  <c r="G122" i="7"/>
  <c r="H130" i="7"/>
  <c r="G130" i="7"/>
  <c r="H138" i="7"/>
  <c r="G138" i="7"/>
  <c r="H146" i="7"/>
  <c r="G146" i="7"/>
  <c r="H154" i="7"/>
  <c r="G154" i="7"/>
  <c r="H162" i="7"/>
  <c r="G162" i="7"/>
  <c r="H170" i="7"/>
  <c r="G170" i="7"/>
  <c r="H178" i="7"/>
  <c r="G178" i="7"/>
  <c r="H186" i="7"/>
  <c r="G186" i="7"/>
  <c r="H194" i="7"/>
  <c r="G194" i="7"/>
  <c r="H202" i="7"/>
  <c r="G202" i="7"/>
  <c r="G9" i="7"/>
  <c r="H15" i="7"/>
  <c r="G21" i="7"/>
  <c r="H27" i="7"/>
  <c r="G33" i="7"/>
  <c r="H39" i="7"/>
  <c r="G45" i="7"/>
  <c r="H51" i="7"/>
  <c r="G57" i="7"/>
  <c r="H63" i="7"/>
  <c r="G69" i="7"/>
  <c r="H75" i="7"/>
  <c r="G81" i="7"/>
  <c r="G88" i="7"/>
  <c r="H95" i="7"/>
  <c r="H102" i="7"/>
  <c r="G102" i="7"/>
  <c r="H123" i="7"/>
  <c r="G123" i="7"/>
  <c r="H131" i="7"/>
  <c r="G131" i="7"/>
  <c r="H139" i="7"/>
  <c r="G139" i="7"/>
  <c r="H147" i="7"/>
  <c r="G147" i="7"/>
  <c r="H155" i="7"/>
  <c r="G155" i="7"/>
  <c r="H163" i="7"/>
  <c r="G163" i="7"/>
  <c r="H171" i="7"/>
  <c r="G171" i="7"/>
  <c r="H179" i="7"/>
  <c r="G179" i="7"/>
  <c r="H187" i="7"/>
  <c r="G187" i="7"/>
  <c r="H195" i="7"/>
  <c r="G195" i="7"/>
  <c r="H203" i="7"/>
  <c r="G203" i="7"/>
  <c r="H211" i="7"/>
  <c r="G211" i="7"/>
  <c r="H219" i="7"/>
  <c r="G219" i="7"/>
  <c r="H227" i="7"/>
  <c r="G227" i="7"/>
  <c r="H235" i="7"/>
  <c r="G235" i="7"/>
  <c r="H243" i="7"/>
  <c r="G243" i="7"/>
  <c r="H251" i="7"/>
  <c r="G251" i="7"/>
  <c r="H259" i="7"/>
  <c r="G259" i="7"/>
  <c r="H267" i="7"/>
  <c r="G267" i="7"/>
  <c r="H275" i="7"/>
  <c r="G275" i="7"/>
  <c r="H283" i="7"/>
  <c r="G283" i="7"/>
  <c r="H291" i="7"/>
  <c r="G291" i="7"/>
  <c r="H299" i="7"/>
  <c r="G299" i="7"/>
  <c r="H307" i="7"/>
  <c r="G307" i="7"/>
  <c r="H315" i="7"/>
  <c r="G315" i="7"/>
  <c r="H323" i="7"/>
  <c r="G323" i="7"/>
  <c r="H82" i="7"/>
  <c r="G82" i="7"/>
  <c r="H110" i="7"/>
  <c r="G110" i="7"/>
  <c r="H83" i="7"/>
  <c r="H90" i="7"/>
  <c r="G90" i="7"/>
  <c r="H118" i="7"/>
  <c r="G118" i="7"/>
  <c r="H126" i="7"/>
  <c r="G126" i="7"/>
  <c r="H134" i="7"/>
  <c r="G134" i="7"/>
  <c r="H142" i="7"/>
  <c r="G142" i="7"/>
  <c r="H150" i="7"/>
  <c r="G150" i="7"/>
  <c r="H158" i="7"/>
  <c r="G158" i="7"/>
  <c r="H166" i="7"/>
  <c r="G166" i="7"/>
  <c r="H174" i="7"/>
  <c r="G174" i="7"/>
  <c r="H182" i="7"/>
  <c r="G182" i="7"/>
  <c r="H190" i="7"/>
  <c r="G190" i="7"/>
  <c r="H198" i="7"/>
  <c r="G198" i="7"/>
  <c r="G84" i="7"/>
  <c r="H91" i="7"/>
  <c r="H98" i="7"/>
  <c r="G98" i="7"/>
  <c r="G6" i="7"/>
  <c r="G12" i="7"/>
  <c r="G18" i="7"/>
  <c r="G24" i="7"/>
  <c r="G30" i="7"/>
  <c r="G36" i="7"/>
  <c r="G42" i="7"/>
  <c r="G48" i="7"/>
  <c r="G54" i="7"/>
  <c r="G60" i="7"/>
  <c r="G66" i="7"/>
  <c r="G72" i="7"/>
  <c r="G78" i="7"/>
  <c r="G112" i="7"/>
  <c r="H119" i="7"/>
  <c r="H127" i="7"/>
  <c r="G127" i="7"/>
  <c r="H135" i="7"/>
  <c r="G135" i="7"/>
  <c r="H143" i="7"/>
  <c r="G143" i="7"/>
  <c r="H151" i="7"/>
  <c r="G151" i="7"/>
  <c r="H159" i="7"/>
  <c r="G159" i="7"/>
  <c r="H167" i="7"/>
  <c r="G167" i="7"/>
  <c r="H175" i="7"/>
  <c r="G175" i="7"/>
  <c r="H183" i="7"/>
  <c r="G183" i="7"/>
  <c r="H191" i="7"/>
  <c r="G191" i="7"/>
  <c r="H199" i="7"/>
  <c r="G199" i="7"/>
  <c r="H207" i="7"/>
  <c r="G207" i="7"/>
  <c r="H215" i="7"/>
  <c r="G215" i="7"/>
  <c r="H223" i="7"/>
  <c r="G223" i="7"/>
  <c r="H231" i="7"/>
  <c r="G231" i="7"/>
  <c r="H239" i="7"/>
  <c r="G239" i="7"/>
  <c r="H247" i="7"/>
  <c r="G247" i="7"/>
  <c r="H255" i="7"/>
  <c r="G255" i="7"/>
  <c r="H263" i="7"/>
  <c r="G263" i="7"/>
  <c r="H271" i="7"/>
  <c r="G271" i="7"/>
  <c r="H279" i="7"/>
  <c r="G279" i="7"/>
  <c r="H287" i="7"/>
  <c r="G287" i="7"/>
  <c r="H295" i="7"/>
  <c r="G295" i="7"/>
  <c r="H303" i="7"/>
  <c r="G303" i="7"/>
  <c r="H311" i="7"/>
  <c r="G311" i="7"/>
  <c r="H319" i="7"/>
  <c r="G319" i="7"/>
  <c r="G206" i="7"/>
  <c r="G210" i="7"/>
  <c r="G214" i="7"/>
  <c r="G218" i="7"/>
  <c r="G222" i="7"/>
  <c r="G226" i="7"/>
  <c r="G230" i="7"/>
  <c r="G234" i="7"/>
  <c r="G238" i="7"/>
  <c r="G242" i="7"/>
  <c r="G246" i="7"/>
  <c r="G250" i="7"/>
  <c r="G254" i="7"/>
  <c r="G258" i="7"/>
  <c r="G262" i="7"/>
  <c r="G266" i="7"/>
  <c r="G270" i="7"/>
  <c r="G274" i="7"/>
  <c r="G278" i="7"/>
  <c r="G282" i="7"/>
  <c r="G286" i="7"/>
  <c r="G290" i="7"/>
  <c r="G294" i="7"/>
  <c r="G298" i="7"/>
  <c r="G302" i="7"/>
  <c r="G306" i="7"/>
  <c r="G310" i="7"/>
  <c r="G314" i="7"/>
  <c r="G318" i="7"/>
  <c r="G322" i="7"/>
  <c r="G326" i="7"/>
  <c r="G327" i="7"/>
</calcChain>
</file>

<file path=xl/sharedStrings.xml><?xml version="1.0" encoding="utf-8"?>
<sst xmlns="http://schemas.openxmlformats.org/spreadsheetml/2006/main" count="3029" uniqueCount="383">
  <si>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</si>
  <si>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</si>
  <si>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</si>
  <si>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</si>
  <si>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</si>
  <si>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</si>
  <si>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</si>
  <si>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</si>
  <si>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</si>
  <si>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</si>
  <si>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</si>
  <si>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</si>
  <si>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</si>
  <si>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</si>
  <si>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</si>
  <si>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</si>
  <si>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</si>
  <si>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</si>
  <si>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</si>
  <si>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</si>
  <si>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</si>
  <si>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</si>
  <si>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</si>
  <si>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</si>
  <si>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</si>
  <si>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</si>
  <si>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</si>
  <si>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</si>
  <si>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</si>
  <si>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</si>
  <si>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</si>
  <si>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</si>
  <si>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</si>
  <si>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</si>
  <si>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</si>
  <si>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</si>
  <si>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</si>
  <si>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</si>
  <si>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</si>
  <si>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</si>
  <si>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</si>
  <si>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</si>
  <si>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</si>
  <si>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</si>
  <si>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</si>
  <si>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</si>
  <si>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</si>
  <si>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</si>
  <si>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</si>
  <si>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</si>
  <si>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</si>
  <si>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</si>
  <si>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</si>
  <si>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</si>
  <si>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</si>
  <si>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</si>
  <si>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</si>
  <si>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</si>
  <si>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</si>
  <si>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</si>
  <si>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</si>
  <si>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</si>
  <si>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</si>
  <si>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</si>
  <si>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</si>
  <si>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</si>
  <si>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</si>
  <si>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</si>
  <si>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</si>
  <si>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</si>
  <si>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</si>
  <si>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</si>
  <si>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</si>
  <si>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</si>
  <si>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</si>
  <si>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</si>
  <si>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</si>
  <si>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</si>
  <si>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Input Label</t>
  </si>
  <si>
    <t>Output Label</t>
  </si>
  <si>
    <t>Technology Label</t>
  </si>
  <si>
    <t>Capacity Unit</t>
  </si>
  <si>
    <t>Main fuel</t>
  </si>
  <si>
    <t>To include</t>
  </si>
  <si>
    <t>First year of availability</t>
  </si>
  <si>
    <t>Lifetime (yr)</t>
  </si>
  <si>
    <t>MAX FUEL SHARE (%)</t>
  </si>
  <si>
    <t>EFF (Vkm/MJ)</t>
  </si>
  <si>
    <t>CAPEX (Thousands US$ 2023 / Mvkm)</t>
  </si>
  <si>
    <t>Fixed OPEX (Thousands US$ 2023 / Mvkm)</t>
  </si>
  <si>
    <t>Transportation</t>
  </si>
  <si>
    <t>Passenger</t>
  </si>
  <si>
    <t>Passenger Car</t>
  </si>
  <si>
    <t>Gasoline ICE Vehicle (spark ignition)</t>
  </si>
  <si>
    <t>Gasoline</t>
  </si>
  <si>
    <t>TRAGSL</t>
  </si>
  <si>
    <t>TRAPASCARDMD</t>
  </si>
  <si>
    <t>TRAPASCARICEVGSL20</t>
  </si>
  <si>
    <t>Mvkm</t>
  </si>
  <si>
    <t>Ethanol</t>
  </si>
  <si>
    <t>TRAETH</t>
  </si>
  <si>
    <t>Gasoline ICE Vehicle (spark ignition with turbo)</t>
  </si>
  <si>
    <t>TRAPASCARICEVTGSL20</t>
  </si>
  <si>
    <t>Gasoline Micro Hybrid Electric Vehicle (spark ignition)</t>
  </si>
  <si>
    <t>TRAPASCARHEVGSL20</t>
  </si>
  <si>
    <t>Gasoline Micro Hybrid Electric Vehicle (spark ignition with turbo)</t>
  </si>
  <si>
    <t>TRAPASCARHEVTGSL20</t>
  </si>
  <si>
    <t>Gasoline Mild Hybrid Electric Vehicle (belt-driven integrated starter generator with spark ignition)</t>
  </si>
  <si>
    <t>TRAPASCARHEVIGSL20</t>
  </si>
  <si>
    <t>Gasoline Mild Hybrid Electric Vehicle (belt-driven integrated starter generator with spark ignition and turbo)</t>
  </si>
  <si>
    <t>Gasoline Power Split Hybrid Electric Vehicle</t>
  </si>
  <si>
    <t>TRAPASCARHEVPGSL20</t>
  </si>
  <si>
    <t>Gasoline Power Split Plug-in Hybrid Electric Vehicle (20-mile electric range)</t>
  </si>
  <si>
    <t>TRAPASCARPHEVPGSL20</t>
  </si>
  <si>
    <t>Battery</t>
  </si>
  <si>
    <t>TRABAT</t>
  </si>
  <si>
    <t>Gasoline Extended Range Plug-in Hybrid Electric Vehicle (50-mile electric range)</t>
  </si>
  <si>
    <t>TRAPASCARPHEVEGSL20</t>
  </si>
  <si>
    <t>Diesel Conventional Compression Ignition Vehicle</t>
  </si>
  <si>
    <t>Diesel</t>
  </si>
  <si>
    <t>TRADSL</t>
  </si>
  <si>
    <t>TRAPASCARICEVDSL20</t>
  </si>
  <si>
    <t>Renewable diesel</t>
  </si>
  <si>
    <t>TRARDS</t>
  </si>
  <si>
    <t>Bio diesel</t>
  </si>
  <si>
    <t>TRABDS</t>
  </si>
  <si>
    <t>Compressed Natural Gas Conventional Vehicle</t>
  </si>
  <si>
    <t>Compressed natural gas</t>
  </si>
  <si>
    <t>TRACNG</t>
  </si>
  <si>
    <t>TRAPASCARICEVCNG20</t>
  </si>
  <si>
    <t>RNG</t>
  </si>
  <si>
    <t>TRARNG</t>
  </si>
  <si>
    <t>Hydrogen Fuel Cell Electric Vehicle (300-mile range)</t>
  </si>
  <si>
    <t>Hydrogen</t>
  </si>
  <si>
    <t>TRAH2G</t>
  </si>
  <si>
    <t>TRAPASCAR300FCEV20</t>
  </si>
  <si>
    <t>Hydrogen Fuel Cell Electric Vehicle (400-mile range)</t>
  </si>
  <si>
    <t>TRAPASCAR400FCEV20</t>
  </si>
  <si>
    <t>Battery Electric Vehicle (200-mile range)</t>
  </si>
  <si>
    <t>TRAPASCAR200BEV20</t>
  </si>
  <si>
    <t>Battery Electric Vehicle (300-mile range)</t>
  </si>
  <si>
    <t>TRAPASCAR300BEV20</t>
  </si>
  <si>
    <t>Battery Electric Vehicle (400-mile range)</t>
  </si>
  <si>
    <t>TRAPASCAR400BEV20</t>
  </si>
  <si>
    <t>Battery Electric Vehicle (500-mile range)</t>
  </si>
  <si>
    <t>TRAPASCAR500BEV20</t>
  </si>
  <si>
    <t>Passenger Truck</t>
  </si>
  <si>
    <t>TRAPASLDTDMD</t>
  </si>
  <si>
    <t>TRAPASLDTICEVGSL20</t>
  </si>
  <si>
    <t>TRAPASLDTICEVTGSL20</t>
  </si>
  <si>
    <t>TRAPASLDTHEVGSL20</t>
  </si>
  <si>
    <t>TRAPASLDTHEVTGSL20</t>
  </si>
  <si>
    <t>TRAPASLDTHEVIGSL20</t>
  </si>
  <si>
    <t>TRAPASLDTHEVPGSL20</t>
  </si>
  <si>
    <t>TRAPASLDTPHEVPGSL20</t>
  </si>
  <si>
    <t>TRAPASLDTPHEVEGSL20</t>
  </si>
  <si>
    <t>TRAPASLDTICEVDSL20</t>
  </si>
  <si>
    <t>TRAPASLDTICEVCNG20</t>
  </si>
  <si>
    <t>TRAPASLDT300FCEV20</t>
  </si>
  <si>
    <t>TRAPASLDT400FCEV20</t>
  </si>
  <si>
    <t>TRAPASLDT200BEV20</t>
  </si>
  <si>
    <t>TRAPASLDT300BEV20</t>
  </si>
  <si>
    <t>TRAPASLDT400BEV20</t>
  </si>
  <si>
    <t>TRAPASLDT500BEV20</t>
  </si>
  <si>
    <t>Motorcycle</t>
  </si>
  <si>
    <t>TRAPASMOTDMD</t>
  </si>
  <si>
    <t>TRAPASMOTICEVGSL20</t>
  </si>
  <si>
    <t>TRAPASMOTICEVTGSL20</t>
  </si>
  <si>
    <t>TRAPASMOTHEVGSL20</t>
  </si>
  <si>
    <t>TRAPASMOTHEVTGSL20</t>
  </si>
  <si>
    <t>TRAPASMOTHEVIGSL20</t>
  </si>
  <si>
    <t>TRAPASMOTHEVPGSL20</t>
  </si>
  <si>
    <t>TRAPASMOTPHEVPGSL20</t>
  </si>
  <si>
    <t>TRAPASMOTPHEVEGSL20</t>
  </si>
  <si>
    <t>TRAPASMOTICEVDSL20</t>
  </si>
  <si>
    <t>TRAPASMOTICEVCNG20</t>
  </si>
  <si>
    <t>TRAPASMOT300FCEV20</t>
  </si>
  <si>
    <t>TRAPASMOT400FCEV20</t>
  </si>
  <si>
    <t>TRAPASMOT200BEV20</t>
  </si>
  <si>
    <t>TRAPASMOT300BEV20</t>
  </si>
  <si>
    <t>TRAPASMOT400BEV20</t>
  </si>
  <si>
    <t>TRAPASMOT500BEV20</t>
  </si>
  <si>
    <t>Freight</t>
  </si>
  <si>
    <t>Light Commercial Truck</t>
  </si>
  <si>
    <t>TRAFRECLTDMD</t>
  </si>
  <si>
    <t>TRAFRECLTICEVGSL20</t>
  </si>
  <si>
    <t>TRAFRECLTICEVTGSL20</t>
  </si>
  <si>
    <t>TRAFRECLTHEVGSL20</t>
  </si>
  <si>
    <t>TRAFRECLTHEVTGSL20</t>
  </si>
  <si>
    <t>TRAFRECLTHEVIGSL20</t>
  </si>
  <si>
    <t>TRAFRECLTHEVPGSL20</t>
  </si>
  <si>
    <t>TRAFRECLTPHEVPGSL20</t>
  </si>
  <si>
    <t>TRAFRECLTPHEVEGSL20</t>
  </si>
  <si>
    <t>TRAFRECLTICEVDSL20</t>
  </si>
  <si>
    <t>TRAFRECLTICEVCNG20</t>
  </si>
  <si>
    <t>TRAFRECLT300FCEV20</t>
  </si>
  <si>
    <t>TRAFRECLT400FCEV20</t>
  </si>
  <si>
    <t>TRAFRECLT200BEV20</t>
  </si>
  <si>
    <t>TRAFRECLT300BEV20</t>
  </si>
  <si>
    <t>TRAFRECLT400BEV20</t>
  </si>
  <si>
    <t>TRAFRECLT500BEV20</t>
  </si>
  <si>
    <t>Refuse Truck</t>
  </si>
  <si>
    <t>Diesel ICE Vehicle</t>
  </si>
  <si>
    <t>TRAFRERFTDMD</t>
  </si>
  <si>
    <t>TRAFRERFTICEVDSL20</t>
  </si>
  <si>
    <t>Diesel ICE Vehicle with Integrated Starter Generator</t>
  </si>
  <si>
    <t>TRAFRERFTICEIDSL20</t>
  </si>
  <si>
    <t>Diesel Parallel Hybrid Electric Vehicle</t>
  </si>
  <si>
    <t>TRAFRERFTHEVPDSL20</t>
  </si>
  <si>
    <t>Diesel Series Plug-in Hybrid Electric Vehicle</t>
  </si>
  <si>
    <t>TRAFRERFTPHEVDSL20</t>
  </si>
  <si>
    <t>Battery Freight</t>
  </si>
  <si>
    <t>TRABAF</t>
  </si>
  <si>
    <t>Hydrogen Fuel Cell Electric Vehicle</t>
  </si>
  <si>
    <t>TRAFRERFTFCEV20</t>
  </si>
  <si>
    <t>Hydrogen Fuel Cell Hybrid Electric Vehicle</t>
  </si>
  <si>
    <t>TRAFRERFTFCHEV20</t>
  </si>
  <si>
    <t>Battery Electric Vehicle</t>
  </si>
  <si>
    <t>TRAFRERFTBEV20</t>
  </si>
  <si>
    <t>Single Unit Long-haul Truck</t>
  </si>
  <si>
    <t>TRAFRESLHDMD</t>
  </si>
  <si>
    <t>TRAFRESLHICEVDSL20</t>
  </si>
  <si>
    <t>TRAFRESLHICEIDSL20</t>
  </si>
  <si>
    <t>TRAFRESLHHEVPDSL20</t>
  </si>
  <si>
    <t>TRAFRESLHPHEVDSL20</t>
  </si>
  <si>
    <t>TRAFRESLHFCEV20</t>
  </si>
  <si>
    <t>TRAFRESLHFCHEV20</t>
  </si>
  <si>
    <t>TRAFRESLHBEV20</t>
  </si>
  <si>
    <t>Single Unit Short-haul Truck</t>
  </si>
  <si>
    <t>TRAFRESSHDMD</t>
  </si>
  <si>
    <t>TRAFRESSHICEVDSL20</t>
  </si>
  <si>
    <t>TRAFRESSHICEIDSL20</t>
  </si>
  <si>
    <t>TRAFRESSHHEVPDSL20</t>
  </si>
  <si>
    <t>TRAFRESSHPHEVDSL20</t>
  </si>
  <si>
    <t>TRAFRESSHFCEV20</t>
  </si>
  <si>
    <t>TRAFRESSHFCHEV20</t>
  </si>
  <si>
    <t>TRAFRESSHBEV20</t>
  </si>
  <si>
    <t>Combination Long-haul Truck</t>
  </si>
  <si>
    <t>TRAFRECLHDMD</t>
  </si>
  <si>
    <t>TRAFRECLHICEVDSL20</t>
  </si>
  <si>
    <t>TRAFRECLHICEIDSL20</t>
  </si>
  <si>
    <t>TRAFRECLHHEVPDSL20</t>
  </si>
  <si>
    <t>TRAFRECLHPHEVDSL20</t>
  </si>
  <si>
    <t>TRAFRECLHFCEV20</t>
  </si>
  <si>
    <t>TRAFRECLHFCHEV20</t>
  </si>
  <si>
    <t>TRAFRECLHBEV20</t>
  </si>
  <si>
    <t>Combination Short-haul Truck</t>
  </si>
  <si>
    <t>TRAFRECSHDMD</t>
  </si>
  <si>
    <t>TRAFRECSHICEVDSL20</t>
  </si>
  <si>
    <t>TRAFRECSHICEIDSL20</t>
  </si>
  <si>
    <t>TRAFRECSHHEVPDSL20</t>
  </si>
  <si>
    <t>TRAFRECSHPHEVDSL20</t>
  </si>
  <si>
    <t>TRAFRECSHFCEV20</t>
  </si>
  <si>
    <t>TRAFRECSHFCHEV20</t>
  </si>
  <si>
    <t>TRAFRECSHBEV20</t>
  </si>
  <si>
    <t>Transit Bus</t>
  </si>
  <si>
    <t>TRAPASTBUDMD</t>
  </si>
  <si>
    <t>TRAPASTBUICEVDSL20</t>
  </si>
  <si>
    <t>TRAPASTBUICEIDSL20</t>
  </si>
  <si>
    <t>TRAPASTBUHEVPDSL20</t>
  </si>
  <si>
    <t>TRAPASTBUPHEVDSL20</t>
  </si>
  <si>
    <t>TRAPASTBUFCEV20</t>
  </si>
  <si>
    <t>TRAPASTBUFCHEV20</t>
  </si>
  <si>
    <t>TRAPASTBUBEV20</t>
  </si>
  <si>
    <t>School Bus</t>
  </si>
  <si>
    <t>TRAPASSBUDMD</t>
  </si>
  <si>
    <t>TRAPASSBUICEVDSL20</t>
  </si>
  <si>
    <t>TRAPASSBUICEIDSL20</t>
  </si>
  <si>
    <t>TRAPASSBUHEVPDSL20</t>
  </si>
  <si>
    <t>TRAPASSBUPHEVDSL20</t>
  </si>
  <si>
    <t>TRAPASSBUFCEV20</t>
  </si>
  <si>
    <t>TRAPASSBUFCHEV20</t>
  </si>
  <si>
    <t>TRAPASSBUBEV20</t>
  </si>
  <si>
    <t>Other Buses</t>
  </si>
  <si>
    <t>TRAPASOBUDMD</t>
  </si>
  <si>
    <t>TRAPASOBUICEVDSL20</t>
  </si>
  <si>
    <t>TRAPASOBUICEIDSL20</t>
  </si>
  <si>
    <t>TRAPASOBUHEVPDSL20</t>
  </si>
  <si>
    <t>TRAPASOBUPHEVDSL20</t>
  </si>
  <si>
    <t>TRAPASOBUFCEV20</t>
  </si>
  <si>
    <t>TRAPASOBUFCHEV20</t>
  </si>
  <si>
    <t>TRAPASOBUBEV20</t>
  </si>
  <si>
    <t>Other</t>
  </si>
  <si>
    <t>Off-Road</t>
  </si>
  <si>
    <t>TRAOTHOFRDMD</t>
  </si>
  <si>
    <t>TRAOTHOFRICEVDSL20</t>
  </si>
  <si>
    <t>TRAOTHOFRICEIDSL20</t>
  </si>
  <si>
    <t>TRAOTHOFRHEVPDSL20</t>
  </si>
  <si>
    <t>TRAOTHOFRPHEVDSL20</t>
  </si>
  <si>
    <t>TRAOTHOFRFCEV20</t>
  </si>
  <si>
    <t>TRAOTHOFRFCHEV20</t>
  </si>
  <si>
    <t>TRAOTHOFRBEV20</t>
  </si>
  <si>
    <t>Bicycle</t>
  </si>
  <si>
    <t>N/a</t>
  </si>
  <si>
    <t>TRA</t>
  </si>
  <si>
    <t>TRAPASBICDMD</t>
  </si>
  <si>
    <t>TRAPASBIC20</t>
  </si>
  <si>
    <t>Walk</t>
  </si>
  <si>
    <t>TRAPASWALDMD</t>
  </si>
  <si>
    <t>TRAPASWAL20</t>
  </si>
  <si>
    <t>Rail</t>
  </si>
  <si>
    <t>TRAPASRAIDMD</t>
  </si>
  <si>
    <t>TRAPASRAIICEVDSL20</t>
  </si>
  <si>
    <t>Electric Propulsion Vehicle</t>
  </si>
  <si>
    <t>Electricity</t>
  </si>
  <si>
    <t>TRAELC</t>
  </si>
  <si>
    <t>TRAPASRAIPROELC20</t>
  </si>
  <si>
    <t>TRAPASRAIFCEV20</t>
  </si>
  <si>
    <t>Tram</t>
  </si>
  <si>
    <t>TRAPASTRMDMD</t>
  </si>
  <si>
    <t>TRAPASTRMPROELC20</t>
  </si>
  <si>
    <t>Subway</t>
  </si>
  <si>
    <t>TRAPASSUBDMD</t>
  </si>
  <si>
    <t>TRAPASSUBPROELC20</t>
  </si>
  <si>
    <t>Waterborne</t>
  </si>
  <si>
    <t>TRAOTHWATDMD</t>
  </si>
  <si>
    <t>TRAOTHWATICEVDSL20</t>
  </si>
  <si>
    <t>Diesel ICE Vehicle Direct Injection</t>
  </si>
  <si>
    <t>Diesel HYB Vehicle</t>
  </si>
  <si>
    <t>TRAOTHWATHYBDSL20</t>
  </si>
  <si>
    <t>Fuel oil ICE Vehicle</t>
  </si>
  <si>
    <t>Fuel oil</t>
  </si>
  <si>
    <t>TRAFOI</t>
  </si>
  <si>
    <t>TRAOTHWATICEFOI20</t>
  </si>
  <si>
    <t>Fuel oil ICE Vehicle Direct Injection</t>
  </si>
  <si>
    <t>TRAOTHWATICEDFOI20</t>
  </si>
  <si>
    <t>Fuel oil HYB Vehicle</t>
  </si>
  <si>
    <t>TRAOTHWATHYBFOI20</t>
  </si>
  <si>
    <t>Aviation</t>
  </si>
  <si>
    <t>Turbo-reactor</t>
  </si>
  <si>
    <t>Aviation turbo-fuel</t>
  </si>
  <si>
    <t>TRAATF</t>
  </si>
  <si>
    <t>TRAOTHAIRDMD</t>
  </si>
  <si>
    <t>TRAOTHAIRTURREA20</t>
  </si>
  <si>
    <t>Sustainable aviation fuel</t>
  </si>
  <si>
    <t>TRASAF</t>
  </si>
  <si>
    <t>Turbo-reactor Wing Tip Device</t>
  </si>
  <si>
    <t>TRAOTHAIRTURWTD20</t>
  </si>
  <si>
    <t>Turbo-reactor Hydrogen</t>
  </si>
  <si>
    <t>TRAOTHAIRTURHH220</t>
  </si>
  <si>
    <t>Turbo-reactor Fuel-cell Auxiliary Power Unit (APU)</t>
  </si>
  <si>
    <t>TRAOTHAIRTURFCE20</t>
  </si>
  <si>
    <t>Turbo-reactor Blended Wing Design</t>
  </si>
  <si>
    <t>TRAOTHAIRTURBWD20</t>
  </si>
  <si>
    <t>Turbo-reactor Subtle Aerodynamic Improvements</t>
  </si>
  <si>
    <t>TRAOTHAIRTURSAI20</t>
  </si>
  <si>
    <t>Turbo-reactor High Bypass Ratio Engine</t>
  </si>
  <si>
    <t>TRAOTHAIRTURHBR20</t>
  </si>
  <si>
    <t>Turbo-reactor Geared Jet Engine</t>
  </si>
  <si>
    <t>TRAOTHAIRTURGJE20</t>
  </si>
  <si>
    <t>Turbo-reactor Open Rotor Engine (Propfan)</t>
  </si>
  <si>
    <t>TRAOTHAIRTURORE20</t>
  </si>
  <si>
    <t>Aviation Gasoline ICE Vehicle</t>
  </si>
  <si>
    <t>Aviation gasoline</t>
  </si>
  <si>
    <t>TRAAGA</t>
  </si>
  <si>
    <t>TRAOTHAIRICEVAGA20</t>
  </si>
  <si>
    <t>Aviation Gasoline ICE Vehicle Improved</t>
  </si>
  <si>
    <t>TRAOTHAIRICEIAGA20</t>
  </si>
  <si>
    <t>*</t>
  </si>
  <si>
    <t>https://theicct.org/sites/default/files/publications/ICCT_EV_HDVs_Infrastructure_20190809.pdf</t>
  </si>
  <si>
    <t>Light-duty</t>
  </si>
  <si>
    <t>Residential Charging Station</t>
  </si>
  <si>
    <t>TRALDTRESCHA19</t>
  </si>
  <si>
    <t>MW</t>
  </si>
  <si>
    <t>Commercial 120V  Charging Station</t>
  </si>
  <si>
    <t>TRALDTCOM1CHA19</t>
  </si>
  <si>
    <t>Commercial 240V  Charging Station</t>
  </si>
  <si>
    <t>TRALDTCOM2CHA19</t>
  </si>
  <si>
    <t>Public  Charging Station</t>
  </si>
  <si>
    <t>TRALDTPUBCHA19</t>
  </si>
  <si>
    <t>Heavy-duty</t>
  </si>
  <si>
    <t>Slow Charging Station</t>
  </si>
  <si>
    <t>TRAHDTSLWCHA19</t>
  </si>
  <si>
    <t>Fast Charging Station</t>
  </si>
  <si>
    <t>TRAHDTFASCHA19</t>
  </si>
  <si>
    <t>~TFM_AVA</t>
  </si>
  <si>
    <t>PSET_SET</t>
  </si>
  <si>
    <t>PSET_PN</t>
  </si>
  <si>
    <t>PSET_PD</t>
  </si>
  <si>
    <t>PSET_CO</t>
  </si>
  <si>
    <t>PSET_CI</t>
  </si>
  <si>
    <t>CITY</t>
  </si>
  <si>
    <t>EGRID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</si>
</sst>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/>
    <xf numFmtId="0" fontId="4" fillId="0" borderId="0"/>
  </cellStyleXfs>
  <cellXfs count="13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" fontId="0" fillId="0" borderId="0" xfId="0" applyNumberFormat="1"/>
    <xf numFmtId="0" fontId="5" fillId="0" borderId="0" xfId="2" applyFont="1"/>
    <xf numFmtId="0" fontId="6" fillId="7" borderId="1" xfId="0" applyFont="1" applyFill="1" applyBorder="1"/>
    <xf numFmtId="0" fontId="4" fillId="8" borderId="2" xfId="2" applyFill="1" applyBorder="1" applyAlignment="1">
      <alignment horizontal="left" wrapText="1"/>
    </xf>
    <xf numFmtId="43" fontId="0" fillId="0" borderId="0" xfId="1" applyFont="1"/>
  </cellXfs>
  <cellStyles count="3">
    <cellStyle name="Comma" xfId="1" builtinId="3"/>
    <cellStyle name="Normal" xfId="0" builtinId="0"/>
    <cellStyle name="Normal 10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M31" sqref="M31"/>
    </sheetView>
  </sheetViews>
  <sheetFormatPr defaultColWidth="8.85546875" defaultRowHeight="15" x14ac:dyDescent="0.25"/>
  <cols>
    <col min="1" max="26" width="8.85546875" style="2" customWidth="1"/>
    <col min="27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G21" sqref="G21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39" width="8.85546875" style="2" customWidth="1"/>
    <col min="40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26"/>
  <sheetViews>
    <sheetView workbookViewId="0">
      <selection activeCell="L1" sqref="L1:L1048576"/>
    </sheetView>
  </sheetViews>
  <sheetFormatPr defaultRowHeight="15" x14ac:dyDescent="0.25"/>
  <cols>
    <col min="6" max="6" width="33.85546875" bestFit="1" customWidth="1"/>
    <col min="9" max="9" width="21" bestFit="1" customWidth="1"/>
    <col min="10" max="10" width="17.28515625" bestFit="1" customWidth="1"/>
    <col min="11" max="12" width="28.5703125" customWidth="1"/>
    <col min="13" max="13" width="25" customWidth="1"/>
    <col min="14" max="14" width="20.28515625" bestFit="1" customWidth="1"/>
    <col min="15" max="15" width="10.7109375" style="8" customWidth="1"/>
    <col min="16" max="16" width="9.7109375" customWidth="1"/>
    <col min="17" max="24" width="8.28515625" customWidth="1"/>
    <col min="25" max="25" width="9.7109375" customWidth="1"/>
    <col min="26" max="32" width="6.7109375" customWidth="1"/>
    <col min="33" max="40" width="7.85546875" customWidth="1"/>
    <col min="41" max="41" width="10.28515625" customWidth="1"/>
    <col min="42" max="48" width="7.140625" customWidth="1"/>
    <col min="49" max="56" width="9.85546875" customWidth="1"/>
  </cols>
  <sheetData>
    <row r="1" spans="1:37" x14ac:dyDescent="0.25"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  <c r="X1">
        <v>2020</v>
      </c>
      <c r="Y1">
        <v>2025</v>
      </c>
      <c r="Z1">
        <v>2030</v>
      </c>
      <c r="AA1">
        <v>2035</v>
      </c>
      <c r="AB1">
        <v>2040</v>
      </c>
      <c r="AC1">
        <v>2045</v>
      </c>
      <c r="AD1">
        <v>2050</v>
      </c>
      <c r="AE1">
        <v>2020</v>
      </c>
      <c r="AF1">
        <v>2025</v>
      </c>
      <c r="AG1">
        <v>2030</v>
      </c>
      <c r="AH1">
        <v>2035</v>
      </c>
      <c r="AI1">
        <v>2040</v>
      </c>
      <c r="AJ1">
        <v>2045</v>
      </c>
      <c r="AK1">
        <v>2050</v>
      </c>
    </row>
    <row r="2" spans="1:37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X2" t="s">
        <v>88</v>
      </c>
      <c r="AE2" t="s">
        <v>89</v>
      </c>
    </row>
    <row r="3" spans="1:37" x14ac:dyDescent="0.25">
      <c r="A3" t="s">
        <v>90</v>
      </c>
      <c r="B3" t="s">
        <v>91</v>
      </c>
      <c r="C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>
        <v>1</v>
      </c>
      <c r="M3">
        <v>1</v>
      </c>
      <c r="N3">
        <v>2020</v>
      </c>
      <c r="O3">
        <v>16.861273869240819</v>
      </c>
      <c r="P3">
        <v>1</v>
      </c>
      <c r="Q3">
        <v>0.37474421364985161</v>
      </c>
      <c r="R3">
        <v>0.36943810089020762</v>
      </c>
      <c r="S3">
        <v>0.4297951335311575</v>
      </c>
      <c r="T3">
        <v>0.46959097922848653</v>
      </c>
      <c r="U3">
        <v>0.49413175074183979</v>
      </c>
      <c r="V3">
        <v>0.51800925816023746</v>
      </c>
      <c r="W3">
        <v>0.54255002967359056</v>
      </c>
      <c r="X3">
        <v>149.3715329654614</v>
      </c>
      <c r="Y3">
        <v>151.8610585148858</v>
      </c>
      <c r="Z3">
        <v>152.21670502194641</v>
      </c>
      <c r="AA3">
        <v>163.9530397549469</v>
      </c>
      <c r="AB3">
        <v>162.17480721964381</v>
      </c>
      <c r="AC3">
        <v>160.04092817728011</v>
      </c>
      <c r="AD3">
        <v>157.90704913491629</v>
      </c>
      <c r="AE3">
        <v>5.2309412939394706</v>
      </c>
      <c r="AF3">
        <v>5.2309412939394706</v>
      </c>
      <c r="AG3">
        <v>5.2309412939394706</v>
      </c>
      <c r="AH3">
        <v>5.2309412939394706</v>
      </c>
      <c r="AI3">
        <v>5.2309412939394706</v>
      </c>
      <c r="AJ3">
        <v>5.2309412939394706</v>
      </c>
      <c r="AK3">
        <v>5.2309412939394706</v>
      </c>
    </row>
    <row r="4" spans="1:37" x14ac:dyDescent="0.25">
      <c r="A4" t="s">
        <v>90</v>
      </c>
      <c r="B4" t="s">
        <v>91</v>
      </c>
      <c r="C4" t="s">
        <v>92</v>
      </c>
      <c r="F4" t="s">
        <v>93</v>
      </c>
      <c r="G4" t="s">
        <v>99</v>
      </c>
      <c r="H4" t="s">
        <v>100</v>
      </c>
      <c r="I4" t="s">
        <v>96</v>
      </c>
      <c r="J4" t="s">
        <v>97</v>
      </c>
      <c r="K4" t="s">
        <v>98</v>
      </c>
      <c r="L4">
        <v>0</v>
      </c>
      <c r="M4">
        <v>1</v>
      </c>
      <c r="N4">
        <v>2020</v>
      </c>
      <c r="O4">
        <v>16.861273869240819</v>
      </c>
      <c r="P4">
        <v>0.1</v>
      </c>
      <c r="Q4">
        <v>0.37474421364985161</v>
      </c>
      <c r="R4">
        <v>0.36943810089020762</v>
      </c>
      <c r="S4">
        <v>0.4297951335311575</v>
      </c>
      <c r="T4">
        <v>0.46959097922848653</v>
      </c>
      <c r="U4">
        <v>0.49413175074183979</v>
      </c>
      <c r="V4">
        <v>0.51800925816023746</v>
      </c>
      <c r="W4">
        <v>0.54255002967359056</v>
      </c>
      <c r="X4">
        <v>149.3715329654614</v>
      </c>
      <c r="Y4">
        <v>151.8610585148858</v>
      </c>
      <c r="Z4">
        <v>152.21670502194641</v>
      </c>
      <c r="AA4">
        <v>163.9530397549469</v>
      </c>
      <c r="AB4">
        <v>162.17480721964381</v>
      </c>
      <c r="AC4">
        <v>160.04092817728011</v>
      </c>
      <c r="AD4">
        <v>157.90704913491629</v>
      </c>
      <c r="AE4">
        <v>5.2309412939394706</v>
      </c>
      <c r="AF4">
        <v>5.2309412939394706</v>
      </c>
      <c r="AG4">
        <v>5.2309412939394706</v>
      </c>
      <c r="AH4">
        <v>5.2309412939394706</v>
      </c>
      <c r="AI4">
        <v>5.2309412939394706</v>
      </c>
      <c r="AJ4">
        <v>5.2309412939394706</v>
      </c>
      <c r="AK4">
        <v>5.2309412939394706</v>
      </c>
    </row>
    <row r="5" spans="1:37" x14ac:dyDescent="0.25">
      <c r="A5" t="s">
        <v>90</v>
      </c>
      <c r="B5" t="s">
        <v>91</v>
      </c>
      <c r="C5" t="s">
        <v>92</v>
      </c>
      <c r="F5" t="s">
        <v>101</v>
      </c>
      <c r="G5" t="s">
        <v>94</v>
      </c>
      <c r="H5" t="s">
        <v>95</v>
      </c>
      <c r="I5" t="s">
        <v>96</v>
      </c>
      <c r="J5" t="s">
        <v>102</v>
      </c>
      <c r="K5" t="s">
        <v>98</v>
      </c>
      <c r="L5">
        <v>1</v>
      </c>
      <c r="M5">
        <v>1</v>
      </c>
      <c r="N5">
        <v>2020</v>
      </c>
      <c r="O5">
        <v>16.861273869240819</v>
      </c>
      <c r="P5">
        <v>1</v>
      </c>
      <c r="Q5">
        <v>0.41785637982195839</v>
      </c>
      <c r="R5">
        <v>0.41586658753709183</v>
      </c>
      <c r="S5">
        <v>0.4662746587537091</v>
      </c>
      <c r="T5">
        <v>0.5054072403560832</v>
      </c>
      <c r="U5">
        <v>0.53326433234421389</v>
      </c>
      <c r="V5">
        <v>0.56112142433234447</v>
      </c>
      <c r="W5">
        <v>0.59030504451038568</v>
      </c>
      <c r="X5">
        <v>157.19575612079501</v>
      </c>
      <c r="Y5">
        <v>156.1288165996132</v>
      </c>
      <c r="Z5">
        <v>159.32963516315871</v>
      </c>
      <c r="AA5">
        <v>165.73127229024999</v>
      </c>
      <c r="AB5">
        <v>165.37562578318929</v>
      </c>
      <c r="AC5">
        <v>165.01997927612871</v>
      </c>
      <c r="AD5">
        <v>164.66433276906821</v>
      </c>
      <c r="AE5">
        <v>5.2309412939394706</v>
      </c>
      <c r="AF5">
        <v>5.2309412939394706</v>
      </c>
      <c r="AG5">
        <v>5.2309412939394706</v>
      </c>
      <c r="AH5">
        <v>5.2309412939394706</v>
      </c>
      <c r="AI5">
        <v>5.2309412939394706</v>
      </c>
      <c r="AJ5">
        <v>5.2309412939394706</v>
      </c>
      <c r="AK5">
        <v>5.2309412939394706</v>
      </c>
    </row>
    <row r="6" spans="1:37" x14ac:dyDescent="0.25">
      <c r="A6" t="s">
        <v>90</v>
      </c>
      <c r="B6" t="s">
        <v>91</v>
      </c>
      <c r="C6" t="s">
        <v>92</v>
      </c>
      <c r="F6" t="s">
        <v>101</v>
      </c>
      <c r="G6" t="s">
        <v>99</v>
      </c>
      <c r="H6" t="s">
        <v>100</v>
      </c>
      <c r="I6" t="s">
        <v>96</v>
      </c>
      <c r="J6" t="s">
        <v>102</v>
      </c>
      <c r="K6" t="s">
        <v>98</v>
      </c>
      <c r="L6">
        <v>0</v>
      </c>
      <c r="M6">
        <v>1</v>
      </c>
      <c r="N6">
        <v>2020</v>
      </c>
      <c r="O6">
        <v>16.861273869240819</v>
      </c>
      <c r="P6">
        <v>0.1</v>
      </c>
      <c r="Q6">
        <v>0.41785637982195839</v>
      </c>
      <c r="R6">
        <v>0.41586658753709183</v>
      </c>
      <c r="S6">
        <v>0.4662746587537091</v>
      </c>
      <c r="T6">
        <v>0.5054072403560832</v>
      </c>
      <c r="U6">
        <v>0.53326433234421389</v>
      </c>
      <c r="V6">
        <v>0.56112142433234447</v>
      </c>
      <c r="W6">
        <v>0.59030504451038568</v>
      </c>
      <c r="X6">
        <v>157.19575612079501</v>
      </c>
      <c r="Y6">
        <v>156.1288165996132</v>
      </c>
      <c r="Z6">
        <v>159.32963516315871</v>
      </c>
      <c r="AA6">
        <v>165.73127229024999</v>
      </c>
      <c r="AB6">
        <v>165.37562578318929</v>
      </c>
      <c r="AC6">
        <v>165.01997927612871</v>
      </c>
      <c r="AD6">
        <v>164.66433276906821</v>
      </c>
      <c r="AE6">
        <v>5.2309412939394706</v>
      </c>
      <c r="AF6">
        <v>5.2309412939394706</v>
      </c>
      <c r="AG6">
        <v>5.2309412939394706</v>
      </c>
      <c r="AH6">
        <v>5.2309412939394706</v>
      </c>
      <c r="AI6">
        <v>5.2309412939394706</v>
      </c>
      <c r="AJ6">
        <v>5.2309412939394706</v>
      </c>
      <c r="AK6">
        <v>5.2309412939394706</v>
      </c>
    </row>
    <row r="7" spans="1:37" x14ac:dyDescent="0.25">
      <c r="A7" t="s">
        <v>90</v>
      </c>
      <c r="B7" t="s">
        <v>91</v>
      </c>
      <c r="C7" t="s">
        <v>92</v>
      </c>
      <c r="F7" t="s">
        <v>103</v>
      </c>
      <c r="G7" t="s">
        <v>94</v>
      </c>
      <c r="H7" t="s">
        <v>95</v>
      </c>
      <c r="I7" t="s">
        <v>96</v>
      </c>
      <c r="J7" t="s">
        <v>104</v>
      </c>
      <c r="K7" t="s">
        <v>98</v>
      </c>
      <c r="L7">
        <v>1</v>
      </c>
      <c r="M7">
        <v>1</v>
      </c>
      <c r="N7">
        <v>2020</v>
      </c>
      <c r="O7">
        <v>16.861273869240819</v>
      </c>
      <c r="P7">
        <v>1</v>
      </c>
      <c r="Q7">
        <v>0.38469317507418399</v>
      </c>
      <c r="R7">
        <v>0.37938706231454028</v>
      </c>
      <c r="S7">
        <v>0.44173388724035628</v>
      </c>
      <c r="T7">
        <v>0.48351952522255193</v>
      </c>
      <c r="U7">
        <v>0.50806029673590525</v>
      </c>
      <c r="V7">
        <v>0.53326433234421344</v>
      </c>
      <c r="W7">
        <v>0.55846836795252219</v>
      </c>
      <c r="X7">
        <v>150.7941189937039</v>
      </c>
      <c r="Y7">
        <v>153.28364454312819</v>
      </c>
      <c r="Z7">
        <v>153.6392910501888</v>
      </c>
      <c r="AA7">
        <v>165.01997927612891</v>
      </c>
      <c r="AB7">
        <v>162.88610023376501</v>
      </c>
      <c r="AC7">
        <v>161.10786769846189</v>
      </c>
      <c r="AD7">
        <v>158.97398865609819</v>
      </c>
      <c r="AE7">
        <v>4.9356462208944993</v>
      </c>
      <c r="AF7">
        <v>4.9356462208944993</v>
      </c>
      <c r="AG7">
        <v>4.9356462208944993</v>
      </c>
      <c r="AH7">
        <v>4.9356462208944993</v>
      </c>
      <c r="AI7">
        <v>4.9356462208944993</v>
      </c>
      <c r="AJ7">
        <v>4.9356462208944993</v>
      </c>
      <c r="AK7">
        <v>4.9356462208944993</v>
      </c>
    </row>
    <row r="8" spans="1:37" x14ac:dyDescent="0.25">
      <c r="A8" t="s">
        <v>90</v>
      </c>
      <c r="B8" t="s">
        <v>91</v>
      </c>
      <c r="C8" t="s">
        <v>92</v>
      </c>
      <c r="F8" t="s">
        <v>103</v>
      </c>
      <c r="G8" t="s">
        <v>99</v>
      </c>
      <c r="H8" t="s">
        <v>100</v>
      </c>
      <c r="I8" t="s">
        <v>96</v>
      </c>
      <c r="J8" t="s">
        <v>104</v>
      </c>
      <c r="K8" t="s">
        <v>98</v>
      </c>
      <c r="L8">
        <v>0</v>
      </c>
      <c r="M8">
        <v>1</v>
      </c>
      <c r="N8">
        <v>2020</v>
      </c>
      <c r="O8">
        <v>16.861273869240819</v>
      </c>
      <c r="P8">
        <v>0.1</v>
      </c>
      <c r="Q8">
        <v>0.38469317507418399</v>
      </c>
      <c r="R8">
        <v>0.37938706231454028</v>
      </c>
      <c r="S8">
        <v>0.44173388724035628</v>
      </c>
      <c r="T8">
        <v>0.48351952522255193</v>
      </c>
      <c r="U8">
        <v>0.50806029673590525</v>
      </c>
      <c r="V8">
        <v>0.53326433234421344</v>
      </c>
      <c r="W8">
        <v>0.55846836795252219</v>
      </c>
      <c r="X8">
        <v>150.7941189937039</v>
      </c>
      <c r="Y8">
        <v>153.28364454312819</v>
      </c>
      <c r="Z8">
        <v>153.6392910501888</v>
      </c>
      <c r="AA8">
        <v>165.01997927612891</v>
      </c>
      <c r="AB8">
        <v>162.88610023376501</v>
      </c>
      <c r="AC8">
        <v>161.10786769846189</v>
      </c>
      <c r="AD8">
        <v>158.97398865609819</v>
      </c>
      <c r="AE8">
        <v>4.9356462208944993</v>
      </c>
      <c r="AF8">
        <v>4.9356462208944993</v>
      </c>
      <c r="AG8">
        <v>4.9356462208944993</v>
      </c>
      <c r="AH8">
        <v>4.9356462208944993</v>
      </c>
      <c r="AI8">
        <v>4.9356462208944993</v>
      </c>
      <c r="AJ8">
        <v>4.9356462208944993</v>
      </c>
      <c r="AK8">
        <v>4.9356462208944993</v>
      </c>
    </row>
    <row r="9" spans="1:37" x14ac:dyDescent="0.25">
      <c r="A9" t="s">
        <v>90</v>
      </c>
      <c r="B9" t="s">
        <v>91</v>
      </c>
      <c r="C9" t="s">
        <v>92</v>
      </c>
      <c r="F9" t="s">
        <v>105</v>
      </c>
      <c r="G9" t="s">
        <v>94</v>
      </c>
      <c r="H9" t="s">
        <v>95</v>
      </c>
      <c r="I9" t="s">
        <v>96</v>
      </c>
      <c r="J9" t="s">
        <v>106</v>
      </c>
      <c r="K9" t="s">
        <v>98</v>
      </c>
      <c r="L9">
        <v>1</v>
      </c>
      <c r="M9">
        <v>1</v>
      </c>
      <c r="N9">
        <v>2020</v>
      </c>
      <c r="O9">
        <v>16.861273869240819</v>
      </c>
      <c r="P9">
        <v>1</v>
      </c>
      <c r="Q9">
        <v>0.42515228486646889</v>
      </c>
      <c r="R9">
        <v>0.42249922848664673</v>
      </c>
      <c r="S9">
        <v>0.47489709198813063</v>
      </c>
      <c r="T9">
        <v>0.51601946587537084</v>
      </c>
      <c r="U9">
        <v>0.54453982195845696</v>
      </c>
      <c r="V9">
        <v>0.57306017804154274</v>
      </c>
      <c r="W9">
        <v>0.60224379821958474</v>
      </c>
      <c r="X9">
        <v>158.97398865609819</v>
      </c>
      <c r="Y9">
        <v>157.55140262785571</v>
      </c>
      <c r="Z9">
        <v>160.39657468434069</v>
      </c>
      <c r="AA9">
        <v>166.7982118114318</v>
      </c>
      <c r="AB9">
        <v>166.4425653043713</v>
      </c>
      <c r="AC9">
        <v>166.08691879731069</v>
      </c>
      <c r="AD9">
        <v>165.73127229024999</v>
      </c>
      <c r="AE9">
        <v>4.9356462208944993</v>
      </c>
      <c r="AF9">
        <v>4.9356462208944993</v>
      </c>
      <c r="AG9">
        <v>4.9356462208944993</v>
      </c>
      <c r="AH9">
        <v>4.9356462208944993</v>
      </c>
      <c r="AI9">
        <v>4.9356462208944993</v>
      </c>
      <c r="AJ9">
        <v>4.9356462208944993</v>
      </c>
      <c r="AK9">
        <v>4.9356462208944993</v>
      </c>
    </row>
    <row r="10" spans="1:37" x14ac:dyDescent="0.25">
      <c r="A10" t="s">
        <v>90</v>
      </c>
      <c r="B10" t="s">
        <v>91</v>
      </c>
      <c r="C10" t="s">
        <v>92</v>
      </c>
      <c r="F10" t="s">
        <v>105</v>
      </c>
      <c r="G10" t="s">
        <v>99</v>
      </c>
      <c r="H10" t="s">
        <v>100</v>
      </c>
      <c r="I10" t="s">
        <v>96</v>
      </c>
      <c r="J10" t="s">
        <v>106</v>
      </c>
      <c r="K10" t="s">
        <v>98</v>
      </c>
      <c r="L10">
        <v>0</v>
      </c>
      <c r="M10">
        <v>1</v>
      </c>
      <c r="N10">
        <v>2020</v>
      </c>
      <c r="O10">
        <v>16.861273869240819</v>
      </c>
      <c r="P10">
        <v>0.1</v>
      </c>
      <c r="Q10">
        <v>0.42515228486646889</v>
      </c>
      <c r="R10">
        <v>0.42249922848664673</v>
      </c>
      <c r="S10">
        <v>0.47489709198813063</v>
      </c>
      <c r="T10">
        <v>0.51601946587537084</v>
      </c>
      <c r="U10">
        <v>0.54453982195845696</v>
      </c>
      <c r="V10">
        <v>0.57306017804154274</v>
      </c>
      <c r="W10">
        <v>0.60224379821958474</v>
      </c>
      <c r="X10">
        <v>158.97398865609819</v>
      </c>
      <c r="Y10">
        <v>157.55140262785571</v>
      </c>
      <c r="Z10">
        <v>160.39657468434069</v>
      </c>
      <c r="AA10">
        <v>166.7982118114318</v>
      </c>
      <c r="AB10">
        <v>166.4425653043713</v>
      </c>
      <c r="AC10">
        <v>166.08691879731069</v>
      </c>
      <c r="AD10">
        <v>165.73127229024999</v>
      </c>
      <c r="AE10">
        <v>4.9356462208944993</v>
      </c>
      <c r="AF10">
        <v>4.9356462208944993</v>
      </c>
      <c r="AG10">
        <v>4.9356462208944993</v>
      </c>
      <c r="AH10">
        <v>4.9356462208944993</v>
      </c>
      <c r="AI10">
        <v>4.9356462208944993</v>
      </c>
      <c r="AJ10">
        <v>4.9356462208944993</v>
      </c>
      <c r="AK10">
        <v>4.9356462208944993</v>
      </c>
    </row>
    <row r="11" spans="1:37" x14ac:dyDescent="0.25">
      <c r="A11" t="s">
        <v>90</v>
      </c>
      <c r="B11" t="s">
        <v>91</v>
      </c>
      <c r="C11" t="s">
        <v>92</v>
      </c>
      <c r="F11" t="s">
        <v>107</v>
      </c>
      <c r="G11" t="s">
        <v>94</v>
      </c>
      <c r="H11" t="s">
        <v>95</v>
      </c>
      <c r="I11" t="s">
        <v>96</v>
      </c>
      <c r="J11" t="s">
        <v>108</v>
      </c>
      <c r="K11" t="s">
        <v>98</v>
      </c>
      <c r="L11">
        <v>1</v>
      </c>
      <c r="M11">
        <v>1</v>
      </c>
      <c r="N11">
        <v>2020</v>
      </c>
      <c r="O11">
        <v>16.861273869240819</v>
      </c>
      <c r="P11">
        <v>1</v>
      </c>
      <c r="Q11">
        <v>0.39530540059347191</v>
      </c>
      <c r="R11">
        <v>0.38933602373887222</v>
      </c>
      <c r="S11">
        <v>0.45433590504451032</v>
      </c>
      <c r="T11">
        <v>0.49612154302670608</v>
      </c>
      <c r="U11">
        <v>0.52397863501483688</v>
      </c>
      <c r="V11">
        <v>0.55117246290801158</v>
      </c>
      <c r="W11">
        <v>0.57969281899109804</v>
      </c>
      <c r="X11">
        <v>155.06187707843131</v>
      </c>
      <c r="Y11">
        <v>156.8401096137344</v>
      </c>
      <c r="Z11">
        <v>156.4844631066739</v>
      </c>
      <c r="AA11">
        <v>167.50950482555311</v>
      </c>
      <c r="AB11">
        <v>165.01997927612871</v>
      </c>
      <c r="AC11">
        <v>163.24174674082559</v>
      </c>
      <c r="AD11">
        <v>160.7522211914013</v>
      </c>
      <c r="AE11">
        <v>4.9356462208944993</v>
      </c>
      <c r="AF11">
        <v>4.9356462208944993</v>
      </c>
      <c r="AG11">
        <v>4.9356462208944993</v>
      </c>
      <c r="AH11">
        <v>4.9356462208944993</v>
      </c>
      <c r="AI11">
        <v>4.9356462208944993</v>
      </c>
      <c r="AJ11">
        <v>4.9356462208944993</v>
      </c>
      <c r="AK11">
        <v>4.9356462208944993</v>
      </c>
    </row>
    <row r="12" spans="1:37" x14ac:dyDescent="0.25">
      <c r="A12" t="s">
        <v>90</v>
      </c>
      <c r="B12" t="s">
        <v>91</v>
      </c>
      <c r="C12" t="s">
        <v>92</v>
      </c>
      <c r="F12" t="s">
        <v>107</v>
      </c>
      <c r="G12" t="s">
        <v>99</v>
      </c>
      <c r="H12" t="s">
        <v>100</v>
      </c>
      <c r="I12" t="s">
        <v>96</v>
      </c>
      <c r="J12" t="s">
        <v>108</v>
      </c>
      <c r="K12" t="s">
        <v>98</v>
      </c>
      <c r="L12">
        <v>0</v>
      </c>
      <c r="M12">
        <v>1</v>
      </c>
      <c r="N12">
        <v>2020</v>
      </c>
      <c r="O12">
        <v>16.861273869240819</v>
      </c>
      <c r="P12">
        <v>0.1</v>
      </c>
      <c r="Q12">
        <v>0.39530540059347191</v>
      </c>
      <c r="R12">
        <v>0.38933602373887222</v>
      </c>
      <c r="S12">
        <v>0.45433590504451032</v>
      </c>
      <c r="T12">
        <v>0.49612154302670608</v>
      </c>
      <c r="U12">
        <v>0.52397863501483688</v>
      </c>
      <c r="V12">
        <v>0.55117246290801158</v>
      </c>
      <c r="W12">
        <v>0.57969281899109804</v>
      </c>
      <c r="X12">
        <v>155.06187707843131</v>
      </c>
      <c r="Y12">
        <v>156.8401096137344</v>
      </c>
      <c r="Z12">
        <v>156.4844631066739</v>
      </c>
      <c r="AA12">
        <v>167.50950482555311</v>
      </c>
      <c r="AB12">
        <v>165.01997927612871</v>
      </c>
      <c r="AC12">
        <v>163.24174674082559</v>
      </c>
      <c r="AD12">
        <v>160.7522211914013</v>
      </c>
      <c r="AE12">
        <v>4.9356462208944993</v>
      </c>
      <c r="AF12">
        <v>4.9356462208944993</v>
      </c>
      <c r="AG12">
        <v>4.9356462208944993</v>
      </c>
      <c r="AH12">
        <v>4.9356462208944993</v>
      </c>
      <c r="AI12">
        <v>4.9356462208944993</v>
      </c>
      <c r="AJ12">
        <v>4.9356462208944993</v>
      </c>
      <c r="AK12">
        <v>4.9356462208944993</v>
      </c>
    </row>
    <row r="13" spans="1:37" x14ac:dyDescent="0.25">
      <c r="A13" t="s">
        <v>90</v>
      </c>
      <c r="B13" t="s">
        <v>91</v>
      </c>
      <c r="C13" t="s">
        <v>92</v>
      </c>
      <c r="F13" t="s">
        <v>109</v>
      </c>
      <c r="G13" t="s">
        <v>94</v>
      </c>
      <c r="H13" t="s">
        <v>95</v>
      </c>
      <c r="I13" t="s">
        <v>96</v>
      </c>
      <c r="J13" t="s">
        <v>108</v>
      </c>
      <c r="K13" t="s">
        <v>98</v>
      </c>
      <c r="L13">
        <v>0</v>
      </c>
      <c r="M13">
        <v>1</v>
      </c>
      <c r="N13">
        <v>2020</v>
      </c>
      <c r="O13">
        <v>16.861273869240819</v>
      </c>
      <c r="P13">
        <v>1</v>
      </c>
      <c r="Q13">
        <v>0.44505020771513348</v>
      </c>
      <c r="R13">
        <v>0.44040735905044531</v>
      </c>
      <c r="S13">
        <v>0.49744807121661722</v>
      </c>
      <c r="T13">
        <v>0.53989697329376896</v>
      </c>
      <c r="U13">
        <v>0.57173364985163211</v>
      </c>
      <c r="V13">
        <v>0.60423359050445069</v>
      </c>
      <c r="W13">
        <v>0.63607026706231429</v>
      </c>
      <c r="X13">
        <v>162.88610023376509</v>
      </c>
      <c r="Y13">
        <v>160.7522211914013</v>
      </c>
      <c r="Z13">
        <v>163.24174674082559</v>
      </c>
      <c r="AA13">
        <v>169.28773736085631</v>
      </c>
      <c r="AB13">
        <v>168.57644434673489</v>
      </c>
      <c r="AC13">
        <v>167.86515133261381</v>
      </c>
      <c r="AD13">
        <v>167.1538583184925</v>
      </c>
      <c r="AE13">
        <v>4.9356462208944993</v>
      </c>
      <c r="AF13">
        <v>4.9356462208944993</v>
      </c>
      <c r="AG13">
        <v>4.9356462208944993</v>
      </c>
      <c r="AH13">
        <v>4.9356462208944993</v>
      </c>
      <c r="AI13">
        <v>4.9356462208944993</v>
      </c>
      <c r="AJ13">
        <v>4.9356462208944993</v>
      </c>
      <c r="AK13">
        <v>4.9356462208944993</v>
      </c>
    </row>
    <row r="14" spans="1:37" x14ac:dyDescent="0.25">
      <c r="A14" t="s">
        <v>90</v>
      </c>
      <c r="B14" t="s">
        <v>91</v>
      </c>
      <c r="C14" t="s">
        <v>92</v>
      </c>
      <c r="F14" t="s">
        <v>109</v>
      </c>
      <c r="G14" t="s">
        <v>99</v>
      </c>
      <c r="H14" t="s">
        <v>100</v>
      </c>
      <c r="I14" t="s">
        <v>96</v>
      </c>
      <c r="J14" t="s">
        <v>108</v>
      </c>
      <c r="K14" t="s">
        <v>98</v>
      </c>
      <c r="L14">
        <v>0</v>
      </c>
      <c r="M14">
        <v>1</v>
      </c>
      <c r="N14">
        <v>2020</v>
      </c>
      <c r="O14">
        <v>16.861273869240819</v>
      </c>
      <c r="P14">
        <v>0.1</v>
      </c>
      <c r="Q14">
        <v>0.44505020771513348</v>
      </c>
      <c r="R14">
        <v>0.44040735905044531</v>
      </c>
      <c r="S14">
        <v>0.49744807121661722</v>
      </c>
      <c r="T14">
        <v>0.53989697329376896</v>
      </c>
      <c r="U14">
        <v>0.57173364985163211</v>
      </c>
      <c r="V14">
        <v>0.60423359050445069</v>
      </c>
      <c r="W14">
        <v>0.63607026706231429</v>
      </c>
      <c r="X14">
        <v>162.88610023376509</v>
      </c>
      <c r="Y14">
        <v>160.7522211914013</v>
      </c>
      <c r="Z14">
        <v>163.24174674082559</v>
      </c>
      <c r="AA14">
        <v>169.28773736085631</v>
      </c>
      <c r="AB14">
        <v>168.57644434673489</v>
      </c>
      <c r="AC14">
        <v>167.86515133261381</v>
      </c>
      <c r="AD14">
        <v>167.1538583184925</v>
      </c>
      <c r="AE14">
        <v>4.9356462208944993</v>
      </c>
      <c r="AF14">
        <v>4.9356462208944993</v>
      </c>
      <c r="AG14">
        <v>4.9356462208944993</v>
      </c>
      <c r="AH14">
        <v>4.9356462208944993</v>
      </c>
      <c r="AI14">
        <v>4.9356462208944993</v>
      </c>
      <c r="AJ14">
        <v>4.9356462208944993</v>
      </c>
      <c r="AK14">
        <v>4.9356462208944993</v>
      </c>
    </row>
    <row r="15" spans="1:37" x14ac:dyDescent="0.25">
      <c r="A15" t="s">
        <v>90</v>
      </c>
      <c r="B15" t="s">
        <v>91</v>
      </c>
      <c r="C15" t="s">
        <v>92</v>
      </c>
      <c r="F15" t="s">
        <v>110</v>
      </c>
      <c r="G15" t="s">
        <v>94</v>
      </c>
      <c r="H15" t="s">
        <v>95</v>
      </c>
      <c r="I15" t="s">
        <v>96</v>
      </c>
      <c r="J15" t="s">
        <v>111</v>
      </c>
      <c r="K15" t="s">
        <v>98</v>
      </c>
      <c r="L15">
        <v>1</v>
      </c>
      <c r="M15">
        <v>1</v>
      </c>
      <c r="N15">
        <v>2020</v>
      </c>
      <c r="O15">
        <v>16.861273869240819</v>
      </c>
      <c r="P15">
        <v>1</v>
      </c>
      <c r="Q15">
        <v>0.63474373887240354</v>
      </c>
      <c r="R15">
        <v>0.6526518694362019</v>
      </c>
      <c r="S15">
        <v>0.66923347181008863</v>
      </c>
      <c r="T15">
        <v>0.71300890207715129</v>
      </c>
      <c r="U15">
        <v>0.74219252225519305</v>
      </c>
      <c r="V15">
        <v>0.77203940652819025</v>
      </c>
      <c r="W15">
        <v>0.80188629080118656</v>
      </c>
      <c r="X15">
        <v>171.77726291028051</v>
      </c>
      <c r="Y15">
        <v>165.37562578318941</v>
      </c>
      <c r="Z15">
        <v>160.39657468434081</v>
      </c>
      <c r="AA15">
        <v>157.55140262785571</v>
      </c>
      <c r="AB15">
        <v>155.41752358549189</v>
      </c>
      <c r="AC15">
        <v>153.28364454312819</v>
      </c>
      <c r="AD15">
        <v>151.14976550076449</v>
      </c>
      <c r="AE15">
        <v>4.9356462208944993</v>
      </c>
      <c r="AF15">
        <v>4.9356462208944993</v>
      </c>
      <c r="AG15">
        <v>4.9356462208944993</v>
      </c>
      <c r="AH15">
        <v>4.9356462208944993</v>
      </c>
      <c r="AI15">
        <v>4.9356462208944993</v>
      </c>
      <c r="AJ15">
        <v>4.9356462208944993</v>
      </c>
      <c r="AK15">
        <v>4.9356462208944993</v>
      </c>
    </row>
    <row r="16" spans="1:37" x14ac:dyDescent="0.25">
      <c r="A16" t="s">
        <v>90</v>
      </c>
      <c r="B16" t="s">
        <v>91</v>
      </c>
      <c r="C16" t="s">
        <v>92</v>
      </c>
      <c r="F16" t="s">
        <v>110</v>
      </c>
      <c r="G16" t="s">
        <v>99</v>
      </c>
      <c r="H16" t="s">
        <v>100</v>
      </c>
      <c r="I16" t="s">
        <v>96</v>
      </c>
      <c r="J16" t="s">
        <v>111</v>
      </c>
      <c r="K16" t="s">
        <v>98</v>
      </c>
      <c r="L16">
        <v>0</v>
      </c>
      <c r="M16">
        <v>1</v>
      </c>
      <c r="N16">
        <v>2020</v>
      </c>
      <c r="O16">
        <v>16.861273869240819</v>
      </c>
      <c r="P16">
        <v>0.1</v>
      </c>
      <c r="Q16">
        <v>0.63474373887240354</v>
      </c>
      <c r="R16">
        <v>0.6526518694362019</v>
      </c>
      <c r="S16">
        <v>0.66923347181008863</v>
      </c>
      <c r="T16">
        <v>0.71300890207715129</v>
      </c>
      <c r="U16">
        <v>0.74219252225519305</v>
      </c>
      <c r="V16">
        <v>0.77203940652819025</v>
      </c>
      <c r="W16">
        <v>0.80188629080118656</v>
      </c>
      <c r="X16">
        <v>171.77726291028051</v>
      </c>
      <c r="Y16">
        <v>165.37562578318941</v>
      </c>
      <c r="Z16">
        <v>160.39657468434081</v>
      </c>
      <c r="AA16">
        <v>157.55140262785571</v>
      </c>
      <c r="AB16">
        <v>155.41752358549189</v>
      </c>
      <c r="AC16">
        <v>153.28364454312819</v>
      </c>
      <c r="AD16">
        <v>151.14976550076449</v>
      </c>
      <c r="AE16">
        <v>4.9356462208944993</v>
      </c>
      <c r="AF16">
        <v>4.9356462208944993</v>
      </c>
      <c r="AG16">
        <v>4.9356462208944993</v>
      </c>
      <c r="AH16">
        <v>4.9356462208944993</v>
      </c>
      <c r="AI16">
        <v>4.9356462208944993</v>
      </c>
      <c r="AJ16">
        <v>4.9356462208944993</v>
      </c>
      <c r="AK16">
        <v>4.9356462208944993</v>
      </c>
    </row>
    <row r="17" spans="1:37" x14ac:dyDescent="0.25">
      <c r="A17" t="s">
        <v>90</v>
      </c>
      <c r="B17" t="s">
        <v>91</v>
      </c>
      <c r="C17" t="s">
        <v>92</v>
      </c>
      <c r="F17" t="s">
        <v>112</v>
      </c>
      <c r="G17" t="s">
        <v>94</v>
      </c>
      <c r="H17" t="s">
        <v>95</v>
      </c>
      <c r="I17" t="s">
        <v>96</v>
      </c>
      <c r="J17" t="s">
        <v>113</v>
      </c>
      <c r="K17" t="s">
        <v>98</v>
      </c>
      <c r="L17">
        <v>1</v>
      </c>
      <c r="M17">
        <v>1</v>
      </c>
      <c r="N17">
        <v>2020</v>
      </c>
      <c r="O17">
        <v>16.861273869240819</v>
      </c>
      <c r="P17">
        <v>0.79399884593191039</v>
      </c>
      <c r="Q17">
        <v>0.87152902077151284</v>
      </c>
      <c r="R17">
        <v>0.90734528189910768</v>
      </c>
      <c r="S17">
        <v>0.92856973293768452</v>
      </c>
      <c r="T17">
        <v>0.99887572700296956</v>
      </c>
      <c r="U17">
        <v>1.037345044510386</v>
      </c>
      <c r="V17">
        <v>1.0771408902077151</v>
      </c>
      <c r="W17">
        <v>1.1169367359050411</v>
      </c>
      <c r="X17">
        <v>185.64747668564439</v>
      </c>
      <c r="Y17">
        <v>176.0450209950088</v>
      </c>
      <c r="Z17">
        <v>170.71032338909831</v>
      </c>
      <c r="AA17">
        <v>166.79821181143211</v>
      </c>
      <c r="AB17">
        <v>164.6643327690683</v>
      </c>
      <c r="AC17">
        <v>162.53045372670459</v>
      </c>
      <c r="AD17">
        <v>160.04092817728051</v>
      </c>
      <c r="AE17">
        <v>5.1465712730694726</v>
      </c>
      <c r="AF17">
        <v>5.1465712730694726</v>
      </c>
      <c r="AG17">
        <v>5.1465712730694726</v>
      </c>
      <c r="AH17">
        <v>5.1465712730694726</v>
      </c>
      <c r="AI17">
        <v>5.1465712730694726</v>
      </c>
      <c r="AJ17">
        <v>5.1465712730694726</v>
      </c>
      <c r="AK17">
        <v>5.1465712730694726</v>
      </c>
    </row>
    <row r="18" spans="1:37" x14ac:dyDescent="0.25">
      <c r="A18" t="s">
        <v>90</v>
      </c>
      <c r="B18" t="s">
        <v>91</v>
      </c>
      <c r="C18" t="s">
        <v>92</v>
      </c>
      <c r="F18" t="s">
        <v>112</v>
      </c>
      <c r="G18" t="s">
        <v>99</v>
      </c>
      <c r="H18" t="s">
        <v>100</v>
      </c>
      <c r="I18" t="s">
        <v>96</v>
      </c>
      <c r="J18" t="s">
        <v>113</v>
      </c>
      <c r="K18" t="s">
        <v>98</v>
      </c>
      <c r="L18">
        <v>0</v>
      </c>
      <c r="M18">
        <v>1</v>
      </c>
      <c r="N18">
        <v>2020</v>
      </c>
      <c r="O18">
        <v>16.861273869240819</v>
      </c>
      <c r="P18">
        <v>0.1</v>
      </c>
      <c r="Q18">
        <v>0.87152902077151284</v>
      </c>
      <c r="R18">
        <v>0.90734528189910768</v>
      </c>
      <c r="S18">
        <v>0.92856973293768452</v>
      </c>
      <c r="T18">
        <v>0.99887572700296956</v>
      </c>
      <c r="U18">
        <v>1.037345044510386</v>
      </c>
      <c r="V18">
        <v>1.0771408902077151</v>
      </c>
      <c r="W18">
        <v>1.1169367359050411</v>
      </c>
      <c r="X18">
        <v>185.64747668564439</v>
      </c>
      <c r="Y18">
        <v>176.0450209950088</v>
      </c>
      <c r="Z18">
        <v>170.71032338909831</v>
      </c>
      <c r="AA18">
        <v>166.79821181143211</v>
      </c>
      <c r="AB18">
        <v>164.6643327690683</v>
      </c>
      <c r="AC18">
        <v>162.53045372670459</v>
      </c>
      <c r="AD18">
        <v>160.04092817728051</v>
      </c>
      <c r="AE18">
        <v>5.1465712730694726</v>
      </c>
      <c r="AF18">
        <v>5.1465712730694726</v>
      </c>
      <c r="AG18">
        <v>5.1465712730694726</v>
      </c>
      <c r="AH18">
        <v>5.1465712730694726</v>
      </c>
      <c r="AI18">
        <v>5.1465712730694726</v>
      </c>
      <c r="AJ18">
        <v>5.1465712730694726</v>
      </c>
      <c r="AK18">
        <v>5.1465712730694726</v>
      </c>
    </row>
    <row r="19" spans="1:37" x14ac:dyDescent="0.25">
      <c r="A19" t="s">
        <v>90</v>
      </c>
      <c r="B19" t="s">
        <v>91</v>
      </c>
      <c r="C19" t="s">
        <v>92</v>
      </c>
      <c r="F19" t="s">
        <v>112</v>
      </c>
      <c r="G19" t="s">
        <v>114</v>
      </c>
      <c r="H19" t="s">
        <v>115</v>
      </c>
      <c r="I19" t="s">
        <v>96</v>
      </c>
      <c r="J19" t="s">
        <v>113</v>
      </c>
      <c r="K19" t="s">
        <v>98</v>
      </c>
      <c r="L19">
        <v>0</v>
      </c>
      <c r="M19">
        <v>1</v>
      </c>
      <c r="N19">
        <v>2020</v>
      </c>
      <c r="O19">
        <v>16.861273869240819</v>
      </c>
      <c r="P19">
        <v>0.20600115406808961</v>
      </c>
      <c r="Q19">
        <v>0.87152902077151284</v>
      </c>
      <c r="R19">
        <v>0.90734528189910768</v>
      </c>
      <c r="S19">
        <v>0.92856973293768452</v>
      </c>
      <c r="T19">
        <v>0.99887572700296956</v>
      </c>
      <c r="U19">
        <v>1.037345044510386</v>
      </c>
      <c r="V19">
        <v>1.0771408902077151</v>
      </c>
      <c r="W19">
        <v>1.1169367359050411</v>
      </c>
      <c r="X19">
        <v>185.64747668564439</v>
      </c>
      <c r="Y19">
        <v>176.0450209950088</v>
      </c>
      <c r="Z19">
        <v>170.71032338909831</v>
      </c>
      <c r="AA19">
        <v>166.79821181143211</v>
      </c>
      <c r="AB19">
        <v>164.6643327690683</v>
      </c>
      <c r="AC19">
        <v>162.53045372670459</v>
      </c>
      <c r="AD19">
        <v>160.04092817728051</v>
      </c>
      <c r="AE19">
        <v>5.1465712730694726</v>
      </c>
      <c r="AF19">
        <v>5.1465712730694726</v>
      </c>
      <c r="AG19">
        <v>5.1465712730694726</v>
      </c>
      <c r="AH19">
        <v>5.1465712730694726</v>
      </c>
      <c r="AI19">
        <v>5.1465712730694726</v>
      </c>
      <c r="AJ19">
        <v>5.1465712730694726</v>
      </c>
      <c r="AK19">
        <v>5.1465712730694726</v>
      </c>
    </row>
    <row r="20" spans="1:37" x14ac:dyDescent="0.25">
      <c r="A20" t="s">
        <v>90</v>
      </c>
      <c r="B20" t="s">
        <v>91</v>
      </c>
      <c r="C20" t="s">
        <v>92</v>
      </c>
      <c r="F20" t="s">
        <v>116</v>
      </c>
      <c r="G20" t="s">
        <v>94</v>
      </c>
      <c r="H20" t="s">
        <v>95</v>
      </c>
      <c r="I20" t="s">
        <v>96</v>
      </c>
      <c r="J20" t="s">
        <v>117</v>
      </c>
      <c r="K20" t="s">
        <v>98</v>
      </c>
      <c r="L20">
        <v>1</v>
      </c>
      <c r="M20">
        <v>1</v>
      </c>
      <c r="N20">
        <v>2020</v>
      </c>
      <c r="O20">
        <v>16.861273869240819</v>
      </c>
      <c r="P20">
        <v>0.59838430467397363</v>
      </c>
      <c r="Q20">
        <v>1.0963755489614271</v>
      </c>
      <c r="R20">
        <v>1.1534162611275931</v>
      </c>
      <c r="S20">
        <v>1.1733141839762571</v>
      </c>
      <c r="T20">
        <v>1.264181364985161</v>
      </c>
      <c r="U20">
        <v>1.3145894362017829</v>
      </c>
      <c r="V20">
        <v>1.3656607715133551</v>
      </c>
      <c r="W20">
        <v>1.4193851632047481</v>
      </c>
      <c r="X20">
        <v>205.5636810810403</v>
      </c>
      <c r="Y20">
        <v>189.20394175625171</v>
      </c>
      <c r="Z20">
        <v>175.68937448794739</v>
      </c>
      <c r="AA20">
        <v>168.9320908537959</v>
      </c>
      <c r="AB20">
        <v>165.7312722902501</v>
      </c>
      <c r="AC20">
        <v>162.88610023376469</v>
      </c>
      <c r="AD20">
        <v>159.6852816702193</v>
      </c>
      <c r="AE20">
        <v>5.1465712730694726</v>
      </c>
      <c r="AF20">
        <v>5.1465712730694726</v>
      </c>
      <c r="AG20">
        <v>5.1465712730694726</v>
      </c>
      <c r="AH20">
        <v>5.1465712730694726</v>
      </c>
      <c r="AI20">
        <v>5.1465712730694726</v>
      </c>
      <c r="AJ20">
        <v>5.1465712730694726</v>
      </c>
      <c r="AK20">
        <v>5.1465712730694726</v>
      </c>
    </row>
    <row r="21" spans="1:37" x14ac:dyDescent="0.25">
      <c r="A21" t="s">
        <v>90</v>
      </c>
      <c r="B21" t="s">
        <v>91</v>
      </c>
      <c r="C21" t="s">
        <v>92</v>
      </c>
      <c r="F21" t="s">
        <v>116</v>
      </c>
      <c r="G21" t="s">
        <v>99</v>
      </c>
      <c r="H21" t="s">
        <v>100</v>
      </c>
      <c r="I21" t="s">
        <v>96</v>
      </c>
      <c r="J21" t="s">
        <v>117</v>
      </c>
      <c r="K21" t="s">
        <v>98</v>
      </c>
      <c r="L21">
        <v>0</v>
      </c>
      <c r="M21">
        <v>1</v>
      </c>
      <c r="N21">
        <v>2020</v>
      </c>
      <c r="O21">
        <v>16.861273869240819</v>
      </c>
      <c r="P21">
        <v>0.1</v>
      </c>
      <c r="Q21">
        <v>1.0963755489614271</v>
      </c>
      <c r="R21">
        <v>1.1534162611275931</v>
      </c>
      <c r="S21">
        <v>1.1733141839762571</v>
      </c>
      <c r="T21">
        <v>1.264181364985161</v>
      </c>
      <c r="U21">
        <v>1.3145894362017829</v>
      </c>
      <c r="V21">
        <v>1.3656607715133551</v>
      </c>
      <c r="W21">
        <v>1.4193851632047481</v>
      </c>
      <c r="X21">
        <v>205.5636810810403</v>
      </c>
      <c r="Y21">
        <v>189.20394175625171</v>
      </c>
      <c r="Z21">
        <v>175.68937448794739</v>
      </c>
      <c r="AA21">
        <v>168.9320908537959</v>
      </c>
      <c r="AB21">
        <v>165.7312722902501</v>
      </c>
      <c r="AC21">
        <v>162.88610023376469</v>
      </c>
      <c r="AD21">
        <v>159.6852816702193</v>
      </c>
      <c r="AE21">
        <v>5.1465712730694726</v>
      </c>
      <c r="AF21">
        <v>5.1465712730694726</v>
      </c>
      <c r="AG21">
        <v>5.1465712730694726</v>
      </c>
      <c r="AH21">
        <v>5.1465712730694726</v>
      </c>
      <c r="AI21">
        <v>5.1465712730694726</v>
      </c>
      <c r="AJ21">
        <v>5.1465712730694726</v>
      </c>
      <c r="AK21">
        <v>5.1465712730694726</v>
      </c>
    </row>
    <row r="22" spans="1:37" x14ac:dyDescent="0.25">
      <c r="A22" t="s">
        <v>90</v>
      </c>
      <c r="B22" t="s">
        <v>91</v>
      </c>
      <c r="C22" t="s">
        <v>92</v>
      </c>
      <c r="F22" t="s">
        <v>116</v>
      </c>
      <c r="G22" t="s">
        <v>114</v>
      </c>
      <c r="H22" t="s">
        <v>115</v>
      </c>
      <c r="I22" t="s">
        <v>96</v>
      </c>
      <c r="J22" t="s">
        <v>117</v>
      </c>
      <c r="K22" t="s">
        <v>98</v>
      </c>
      <c r="L22">
        <v>0</v>
      </c>
      <c r="M22">
        <v>1</v>
      </c>
      <c r="N22">
        <v>2020</v>
      </c>
      <c r="O22">
        <v>16.861273869240819</v>
      </c>
      <c r="P22">
        <v>0.40161569532602631</v>
      </c>
      <c r="Q22">
        <v>1.0963755489614271</v>
      </c>
      <c r="R22">
        <v>1.1534162611275931</v>
      </c>
      <c r="S22">
        <v>1.1733141839762571</v>
      </c>
      <c r="T22">
        <v>1.264181364985161</v>
      </c>
      <c r="U22">
        <v>1.3145894362017829</v>
      </c>
      <c r="V22">
        <v>1.3656607715133551</v>
      </c>
      <c r="W22">
        <v>1.4193851632047481</v>
      </c>
      <c r="X22">
        <v>205.5636810810403</v>
      </c>
      <c r="Y22">
        <v>189.20394175625171</v>
      </c>
      <c r="Z22">
        <v>175.68937448794739</v>
      </c>
      <c r="AA22">
        <v>168.9320908537959</v>
      </c>
      <c r="AB22">
        <v>165.7312722902501</v>
      </c>
      <c r="AC22">
        <v>162.88610023376469</v>
      </c>
      <c r="AD22">
        <v>159.6852816702193</v>
      </c>
      <c r="AE22">
        <v>5.1465712730694726</v>
      </c>
      <c r="AF22">
        <v>5.1465712730694726</v>
      </c>
      <c r="AG22">
        <v>5.1465712730694726</v>
      </c>
      <c r="AH22">
        <v>5.1465712730694726</v>
      </c>
      <c r="AI22">
        <v>5.1465712730694726</v>
      </c>
      <c r="AJ22">
        <v>5.1465712730694726</v>
      </c>
      <c r="AK22">
        <v>5.1465712730694726</v>
      </c>
    </row>
    <row r="23" spans="1:37" x14ac:dyDescent="0.25">
      <c r="A23" t="s">
        <v>90</v>
      </c>
      <c r="B23" t="s">
        <v>91</v>
      </c>
      <c r="C23" t="s">
        <v>92</v>
      </c>
      <c r="F23" t="s">
        <v>118</v>
      </c>
      <c r="G23" t="s">
        <v>119</v>
      </c>
      <c r="H23" t="s">
        <v>120</v>
      </c>
      <c r="I23" t="s">
        <v>96</v>
      </c>
      <c r="J23" t="s">
        <v>121</v>
      </c>
      <c r="K23" t="s">
        <v>98</v>
      </c>
      <c r="L23">
        <v>1</v>
      </c>
      <c r="M23">
        <v>1</v>
      </c>
      <c r="N23">
        <v>2020</v>
      </c>
      <c r="O23">
        <v>16.861273869240819</v>
      </c>
      <c r="P23">
        <v>1</v>
      </c>
      <c r="Q23">
        <v>0.46428486646884271</v>
      </c>
      <c r="R23">
        <v>0.44969305637982188</v>
      </c>
      <c r="S23">
        <v>0.51867252225519278</v>
      </c>
      <c r="T23">
        <v>0.5432132937685461</v>
      </c>
      <c r="U23">
        <v>0.57306017804154308</v>
      </c>
      <c r="V23">
        <v>0.60290706231454005</v>
      </c>
      <c r="W23">
        <v>0.63275394658753703</v>
      </c>
      <c r="X23">
        <v>183.86924415034181</v>
      </c>
      <c r="Y23">
        <v>180.66842558679619</v>
      </c>
      <c r="Z23">
        <v>179.95713257267491</v>
      </c>
      <c r="AA23">
        <v>179.60148606561421</v>
      </c>
      <c r="AB23">
        <v>179.24583955855371</v>
      </c>
      <c r="AC23">
        <v>178.8901930514931</v>
      </c>
      <c r="AD23">
        <v>178.5345465444324</v>
      </c>
      <c r="AE23">
        <v>5.2309412939394688</v>
      </c>
      <c r="AF23">
        <v>5.2309412939394688</v>
      </c>
      <c r="AG23">
        <v>5.2309412939394688</v>
      </c>
      <c r="AH23">
        <v>5.2309412939394688</v>
      </c>
      <c r="AI23">
        <v>5.2309412939394688</v>
      </c>
      <c r="AJ23">
        <v>5.2309412939394688</v>
      </c>
      <c r="AK23">
        <v>5.2309412939394688</v>
      </c>
    </row>
    <row r="24" spans="1:37" x14ac:dyDescent="0.25">
      <c r="A24" t="s">
        <v>90</v>
      </c>
      <c r="B24" t="s">
        <v>91</v>
      </c>
      <c r="C24" t="s">
        <v>92</v>
      </c>
      <c r="F24" t="s">
        <v>118</v>
      </c>
      <c r="G24" t="s">
        <v>122</v>
      </c>
      <c r="H24" t="s">
        <v>123</v>
      </c>
      <c r="I24" t="s">
        <v>96</v>
      </c>
      <c r="J24" t="s">
        <v>121</v>
      </c>
      <c r="K24" t="s">
        <v>98</v>
      </c>
      <c r="L24">
        <v>0</v>
      </c>
      <c r="M24">
        <v>1</v>
      </c>
      <c r="N24">
        <v>2020</v>
      </c>
      <c r="O24">
        <v>16.861273869240819</v>
      </c>
      <c r="P24">
        <v>1</v>
      </c>
      <c r="Q24">
        <v>0.46428486646884271</v>
      </c>
      <c r="R24">
        <v>0.44969305637982188</v>
      </c>
      <c r="S24">
        <v>0.51867252225519278</v>
      </c>
      <c r="T24">
        <v>0.5432132937685461</v>
      </c>
      <c r="U24">
        <v>0.57306017804154308</v>
      </c>
      <c r="V24">
        <v>0.60290706231454005</v>
      </c>
      <c r="W24">
        <v>0.63275394658753703</v>
      </c>
      <c r="X24">
        <v>183.86924415034181</v>
      </c>
      <c r="Y24">
        <v>180.66842558679619</v>
      </c>
      <c r="Z24">
        <v>179.95713257267491</v>
      </c>
      <c r="AA24">
        <v>179.60148606561421</v>
      </c>
      <c r="AB24">
        <v>179.24583955855371</v>
      </c>
      <c r="AC24">
        <v>178.8901930514931</v>
      </c>
      <c r="AD24">
        <v>178.5345465444324</v>
      </c>
      <c r="AE24">
        <v>5.2309412939394688</v>
      </c>
      <c r="AF24">
        <v>5.2309412939394688</v>
      </c>
      <c r="AG24">
        <v>5.2309412939394688</v>
      </c>
      <c r="AH24">
        <v>5.2309412939394688</v>
      </c>
      <c r="AI24">
        <v>5.2309412939394688</v>
      </c>
      <c r="AJ24">
        <v>5.2309412939394688</v>
      </c>
      <c r="AK24">
        <v>5.2309412939394688</v>
      </c>
    </row>
    <row r="25" spans="1:37" x14ac:dyDescent="0.25">
      <c r="A25" t="s">
        <v>90</v>
      </c>
      <c r="B25" t="s">
        <v>91</v>
      </c>
      <c r="C25" t="s">
        <v>92</v>
      </c>
      <c r="F25" t="s">
        <v>118</v>
      </c>
      <c r="G25" t="s">
        <v>124</v>
      </c>
      <c r="H25" t="s">
        <v>125</v>
      </c>
      <c r="I25" t="s">
        <v>96</v>
      </c>
      <c r="J25" t="s">
        <v>121</v>
      </c>
      <c r="K25" t="s">
        <v>98</v>
      </c>
      <c r="L25">
        <v>0</v>
      </c>
      <c r="M25">
        <v>1</v>
      </c>
      <c r="N25">
        <v>2020</v>
      </c>
      <c r="O25">
        <v>16.861273869240819</v>
      </c>
      <c r="P25">
        <v>0.1</v>
      </c>
      <c r="Q25">
        <v>0.46428486646884271</v>
      </c>
      <c r="R25">
        <v>0.44969305637982188</v>
      </c>
      <c r="S25">
        <v>0.51867252225519278</v>
      </c>
      <c r="T25">
        <v>0.5432132937685461</v>
      </c>
      <c r="U25">
        <v>0.57306017804154308</v>
      </c>
      <c r="V25">
        <v>0.60290706231454005</v>
      </c>
      <c r="W25">
        <v>0.63275394658753703</v>
      </c>
      <c r="X25">
        <v>183.86924415034181</v>
      </c>
      <c r="Y25">
        <v>180.66842558679619</v>
      </c>
      <c r="Z25">
        <v>179.95713257267491</v>
      </c>
      <c r="AA25">
        <v>179.60148606561421</v>
      </c>
      <c r="AB25">
        <v>179.24583955855371</v>
      </c>
      <c r="AC25">
        <v>178.8901930514931</v>
      </c>
      <c r="AD25">
        <v>178.5345465444324</v>
      </c>
      <c r="AE25">
        <v>5.2309412939394688</v>
      </c>
      <c r="AF25">
        <v>5.2309412939394688</v>
      </c>
      <c r="AG25">
        <v>5.2309412939394688</v>
      </c>
      <c r="AH25">
        <v>5.2309412939394688</v>
      </c>
      <c r="AI25">
        <v>5.2309412939394688</v>
      </c>
      <c r="AJ25">
        <v>5.2309412939394688</v>
      </c>
      <c r="AK25">
        <v>5.2309412939394688</v>
      </c>
    </row>
    <row r="26" spans="1:37" x14ac:dyDescent="0.25">
      <c r="A26" t="s">
        <v>90</v>
      </c>
      <c r="B26" t="s">
        <v>91</v>
      </c>
      <c r="C26" t="s">
        <v>92</v>
      </c>
      <c r="F26" t="s">
        <v>126</v>
      </c>
      <c r="G26" t="s">
        <v>127</v>
      </c>
      <c r="H26" t="s">
        <v>128</v>
      </c>
      <c r="I26" t="s">
        <v>96</v>
      </c>
      <c r="J26" t="s">
        <v>129</v>
      </c>
      <c r="K26" t="s">
        <v>98</v>
      </c>
      <c r="L26">
        <v>1</v>
      </c>
      <c r="M26">
        <v>1</v>
      </c>
      <c r="N26">
        <v>2020</v>
      </c>
      <c r="O26">
        <v>16.861273869240819</v>
      </c>
      <c r="P26">
        <v>1</v>
      </c>
      <c r="Q26">
        <v>0.37673400593471812</v>
      </c>
      <c r="R26">
        <v>0.40193804154302659</v>
      </c>
      <c r="S26">
        <v>0.45433590504451038</v>
      </c>
      <c r="T26">
        <v>0.48683584569732952</v>
      </c>
      <c r="U26">
        <v>0.51336640949554901</v>
      </c>
      <c r="V26">
        <v>0.53923370919881319</v>
      </c>
      <c r="W26">
        <v>0.56510100890207715</v>
      </c>
      <c r="X26">
        <v>197.73945792570601</v>
      </c>
      <c r="Y26">
        <v>195.24993237628161</v>
      </c>
      <c r="Z26">
        <v>194.89428586922099</v>
      </c>
      <c r="AA26">
        <v>194.1829928550998</v>
      </c>
      <c r="AB26">
        <v>194.1829928550998</v>
      </c>
      <c r="AC26">
        <v>193.47169984097849</v>
      </c>
      <c r="AD26">
        <v>193.47169984097849</v>
      </c>
      <c r="AE26">
        <v>5.2309412939394688</v>
      </c>
      <c r="AF26">
        <v>5.2309412939394688</v>
      </c>
      <c r="AG26">
        <v>5.2309412939394688</v>
      </c>
      <c r="AH26">
        <v>5.2309412939394688</v>
      </c>
      <c r="AI26">
        <v>5.2309412939394688</v>
      </c>
      <c r="AJ26">
        <v>5.2309412939394688</v>
      </c>
      <c r="AK26">
        <v>5.2309412939394688</v>
      </c>
    </row>
    <row r="27" spans="1:37" x14ac:dyDescent="0.25">
      <c r="A27" t="s">
        <v>90</v>
      </c>
      <c r="B27" t="s">
        <v>91</v>
      </c>
      <c r="C27" t="s">
        <v>92</v>
      </c>
      <c r="F27" t="s">
        <v>126</v>
      </c>
      <c r="G27" t="s">
        <v>130</v>
      </c>
      <c r="H27" t="s">
        <v>131</v>
      </c>
      <c r="I27" t="s">
        <v>96</v>
      </c>
      <c r="J27" t="s">
        <v>129</v>
      </c>
      <c r="K27" t="s">
        <v>98</v>
      </c>
      <c r="L27">
        <v>0</v>
      </c>
      <c r="M27">
        <v>1</v>
      </c>
      <c r="N27">
        <v>2020</v>
      </c>
      <c r="O27">
        <v>16.861273869240819</v>
      </c>
      <c r="P27">
        <v>1</v>
      </c>
      <c r="Q27">
        <v>0.37673400593471812</v>
      </c>
      <c r="R27">
        <v>0.40193804154302659</v>
      </c>
      <c r="S27">
        <v>0.45433590504451038</v>
      </c>
      <c r="T27">
        <v>0.48683584569732952</v>
      </c>
      <c r="U27">
        <v>0.51336640949554901</v>
      </c>
      <c r="V27">
        <v>0.53923370919881319</v>
      </c>
      <c r="W27">
        <v>0.56510100890207715</v>
      </c>
      <c r="X27">
        <v>197.73945792570601</v>
      </c>
      <c r="Y27">
        <v>195.24993237628161</v>
      </c>
      <c r="Z27">
        <v>194.89428586922099</v>
      </c>
      <c r="AA27">
        <v>194.1829928550998</v>
      </c>
      <c r="AB27">
        <v>194.1829928550998</v>
      </c>
      <c r="AC27">
        <v>193.47169984097849</v>
      </c>
      <c r="AD27">
        <v>193.47169984097849</v>
      </c>
      <c r="AE27">
        <v>5.2309412939394688</v>
      </c>
      <c r="AF27">
        <v>5.2309412939394688</v>
      </c>
      <c r="AG27">
        <v>5.2309412939394688</v>
      </c>
      <c r="AH27">
        <v>5.2309412939394688</v>
      </c>
      <c r="AI27">
        <v>5.2309412939394688</v>
      </c>
      <c r="AJ27">
        <v>5.2309412939394688</v>
      </c>
      <c r="AK27">
        <v>5.2309412939394688</v>
      </c>
    </row>
    <row r="28" spans="1:37" x14ac:dyDescent="0.25">
      <c r="A28" t="s">
        <v>90</v>
      </c>
      <c r="B28" t="s">
        <v>91</v>
      </c>
      <c r="C28" t="s">
        <v>92</v>
      </c>
      <c r="F28" t="s">
        <v>132</v>
      </c>
      <c r="G28" t="s">
        <v>133</v>
      </c>
      <c r="H28" t="s">
        <v>134</v>
      </c>
      <c r="I28" t="s">
        <v>96</v>
      </c>
      <c r="J28" t="s">
        <v>135</v>
      </c>
      <c r="K28" t="s">
        <v>98</v>
      </c>
      <c r="L28">
        <v>1</v>
      </c>
      <c r="M28">
        <v>1</v>
      </c>
      <c r="N28">
        <v>2020</v>
      </c>
      <c r="O28">
        <v>16.861273869240819</v>
      </c>
      <c r="P28">
        <v>1</v>
      </c>
      <c r="Q28">
        <v>0.95775335311572685</v>
      </c>
      <c r="R28">
        <v>0.99290635014836748</v>
      </c>
      <c r="S28">
        <v>1.0134675370919879</v>
      </c>
      <c r="T28">
        <v>1.082447002967359</v>
      </c>
      <c r="U28">
        <v>1.1096408308605341</v>
      </c>
      <c r="V28">
        <v>1.137497922848665</v>
      </c>
      <c r="W28">
        <v>1.164028486646884</v>
      </c>
      <c r="X28">
        <v>219.78954136346459</v>
      </c>
      <c r="Y28">
        <v>202.71850902455481</v>
      </c>
      <c r="Z28">
        <v>188.13700223506919</v>
      </c>
      <c r="AA28">
        <v>170.35467688203809</v>
      </c>
      <c r="AB28">
        <v>165.73127229024999</v>
      </c>
      <c r="AC28">
        <v>161.10786769846189</v>
      </c>
      <c r="AD28">
        <v>156.48446310667379</v>
      </c>
      <c r="AE28">
        <v>3.7966509391496128</v>
      </c>
      <c r="AF28">
        <v>3.7966509391496128</v>
      </c>
      <c r="AG28">
        <v>3.7966509391496128</v>
      </c>
      <c r="AH28">
        <v>3.7966509391496128</v>
      </c>
      <c r="AI28">
        <v>3.7966509391496128</v>
      </c>
      <c r="AJ28">
        <v>3.7966509391496128</v>
      </c>
      <c r="AK28">
        <v>3.7966509391496128</v>
      </c>
    </row>
    <row r="29" spans="1:37" x14ac:dyDescent="0.25">
      <c r="A29" t="s">
        <v>90</v>
      </c>
      <c r="B29" t="s">
        <v>91</v>
      </c>
      <c r="C29" t="s">
        <v>92</v>
      </c>
      <c r="F29" t="s">
        <v>136</v>
      </c>
      <c r="G29" t="s">
        <v>133</v>
      </c>
      <c r="H29" t="s">
        <v>134</v>
      </c>
      <c r="I29" t="s">
        <v>96</v>
      </c>
      <c r="J29" t="s">
        <v>137</v>
      </c>
      <c r="K29" t="s">
        <v>98</v>
      </c>
      <c r="L29">
        <v>1</v>
      </c>
      <c r="M29">
        <v>1</v>
      </c>
      <c r="N29">
        <v>2020</v>
      </c>
      <c r="O29">
        <v>16.861273869240819</v>
      </c>
      <c r="P29">
        <v>1</v>
      </c>
      <c r="Q29">
        <v>0.94647786350148322</v>
      </c>
      <c r="R29">
        <v>0.98030433234421377</v>
      </c>
      <c r="S29">
        <v>1.000865519287834</v>
      </c>
      <c r="T29">
        <v>1.069844985163205</v>
      </c>
      <c r="U29">
        <v>1.096375548961424</v>
      </c>
      <c r="V29">
        <v>1.1235693768546</v>
      </c>
      <c r="W29">
        <v>1.150099940652819</v>
      </c>
      <c r="X29">
        <v>226.54682499761631</v>
      </c>
      <c r="Y29">
        <v>208.76449964458519</v>
      </c>
      <c r="Z29">
        <v>193.82734634803921</v>
      </c>
      <c r="AA29">
        <v>174.97808147382619</v>
      </c>
      <c r="AB29">
        <v>170.35467688203809</v>
      </c>
      <c r="AC29">
        <v>165.73127229024999</v>
      </c>
      <c r="AD29">
        <v>161.10786769846189</v>
      </c>
      <c r="AE29">
        <v>3.7966509391496128</v>
      </c>
      <c r="AF29">
        <v>3.7966509391496128</v>
      </c>
      <c r="AG29">
        <v>3.7966509391496128</v>
      </c>
      <c r="AH29">
        <v>3.7966509391496128</v>
      </c>
      <c r="AI29">
        <v>3.7966509391496128</v>
      </c>
      <c r="AJ29">
        <v>3.7966509391496128</v>
      </c>
      <c r="AK29">
        <v>3.7966509391496128</v>
      </c>
    </row>
    <row r="30" spans="1:37" x14ac:dyDescent="0.25">
      <c r="A30" t="s">
        <v>90</v>
      </c>
      <c r="B30" t="s">
        <v>91</v>
      </c>
      <c r="C30" t="s">
        <v>92</v>
      </c>
      <c r="F30" t="s">
        <v>138</v>
      </c>
      <c r="G30" t="s">
        <v>114</v>
      </c>
      <c r="H30" t="s">
        <v>115</v>
      </c>
      <c r="I30" t="s">
        <v>96</v>
      </c>
      <c r="J30" t="s">
        <v>139</v>
      </c>
      <c r="K30" t="s">
        <v>98</v>
      </c>
      <c r="L30">
        <v>1</v>
      </c>
      <c r="M30">
        <v>1</v>
      </c>
      <c r="N30">
        <v>2020</v>
      </c>
      <c r="O30">
        <v>16.861273869240819</v>
      </c>
      <c r="P30">
        <v>1</v>
      </c>
      <c r="Q30">
        <v>2.0892818991097921</v>
      </c>
      <c r="R30">
        <v>2.1821388724035611</v>
      </c>
      <c r="S30">
        <v>2.2285673590504449</v>
      </c>
      <c r="T30">
        <v>2.4275465875370918</v>
      </c>
      <c r="U30">
        <v>2.5071382789317509</v>
      </c>
      <c r="V30">
        <v>2.593362611275964</v>
      </c>
      <c r="W30">
        <v>2.686219584569733</v>
      </c>
      <c r="X30">
        <v>174.62243496676561</v>
      </c>
      <c r="Y30">
        <v>163.59739324788629</v>
      </c>
      <c r="Z30">
        <v>147.94894693721889</v>
      </c>
      <c r="AA30">
        <v>138.70213775364269</v>
      </c>
      <c r="AB30">
        <v>134.07873316185459</v>
      </c>
      <c r="AC30">
        <v>129.45532857006651</v>
      </c>
      <c r="AD30">
        <v>125.18757048533909</v>
      </c>
      <c r="AE30">
        <v>3.5351038744526408</v>
      </c>
      <c r="AF30">
        <v>3.5351038744526408</v>
      </c>
      <c r="AG30">
        <v>3.5351038744526408</v>
      </c>
      <c r="AH30">
        <v>3.5351038744526408</v>
      </c>
      <c r="AI30">
        <v>3.5351038744526408</v>
      </c>
      <c r="AJ30">
        <v>3.5351038744526408</v>
      </c>
      <c r="AK30">
        <v>3.5351038744526408</v>
      </c>
    </row>
    <row r="31" spans="1:37" x14ac:dyDescent="0.25">
      <c r="A31" t="s">
        <v>90</v>
      </c>
      <c r="B31" t="s">
        <v>91</v>
      </c>
      <c r="C31" t="s">
        <v>92</v>
      </c>
      <c r="F31" t="s">
        <v>140</v>
      </c>
      <c r="G31" t="s">
        <v>114</v>
      </c>
      <c r="H31" t="s">
        <v>115</v>
      </c>
      <c r="I31" t="s">
        <v>96</v>
      </c>
      <c r="J31" t="s">
        <v>141</v>
      </c>
      <c r="K31" t="s">
        <v>98</v>
      </c>
      <c r="L31">
        <v>1</v>
      </c>
      <c r="M31">
        <v>1</v>
      </c>
      <c r="N31">
        <v>2020</v>
      </c>
      <c r="O31">
        <v>16.861273869240819</v>
      </c>
      <c r="P31">
        <v>1</v>
      </c>
      <c r="Q31">
        <v>1.9897922848664691</v>
      </c>
      <c r="R31">
        <v>2.0826492581602372</v>
      </c>
      <c r="S31">
        <v>2.1489756676557858</v>
      </c>
      <c r="T31">
        <v>2.3479548961424328</v>
      </c>
      <c r="U31">
        <v>2.4275465875370918</v>
      </c>
      <c r="V31">
        <v>2.5071382789317509</v>
      </c>
      <c r="W31">
        <v>2.599995252225519</v>
      </c>
      <c r="X31">
        <v>207.69756012340341</v>
      </c>
      <c r="Y31">
        <v>192.0491138127361</v>
      </c>
      <c r="Z31">
        <v>169.28773736085631</v>
      </c>
      <c r="AA31">
        <v>155.77317009255259</v>
      </c>
      <c r="AB31">
        <v>149.3715329654614</v>
      </c>
      <c r="AC31">
        <v>142.61424933130951</v>
      </c>
      <c r="AD31">
        <v>136.21261220421829</v>
      </c>
      <c r="AE31">
        <v>3.5351038744526408</v>
      </c>
      <c r="AF31">
        <v>3.5351038744526408</v>
      </c>
      <c r="AG31">
        <v>3.5351038744526408</v>
      </c>
      <c r="AH31">
        <v>3.5351038744526408</v>
      </c>
      <c r="AI31">
        <v>3.5351038744526408</v>
      </c>
      <c r="AJ31">
        <v>3.5351038744526408</v>
      </c>
      <c r="AK31">
        <v>3.5351038744526408</v>
      </c>
    </row>
    <row r="32" spans="1:37" x14ac:dyDescent="0.25">
      <c r="A32" t="s">
        <v>90</v>
      </c>
      <c r="B32" t="s">
        <v>91</v>
      </c>
      <c r="C32" t="s">
        <v>92</v>
      </c>
      <c r="F32" t="s">
        <v>142</v>
      </c>
      <c r="G32" t="s">
        <v>114</v>
      </c>
      <c r="H32" t="s">
        <v>115</v>
      </c>
      <c r="I32" t="s">
        <v>96</v>
      </c>
      <c r="J32" t="s">
        <v>143</v>
      </c>
      <c r="K32" t="s">
        <v>98</v>
      </c>
      <c r="L32">
        <v>1</v>
      </c>
      <c r="M32">
        <v>1</v>
      </c>
      <c r="N32">
        <v>2020</v>
      </c>
      <c r="O32">
        <v>16.861273869240819</v>
      </c>
      <c r="P32">
        <v>1</v>
      </c>
      <c r="Q32">
        <v>1.784180415430267</v>
      </c>
      <c r="R32">
        <v>1.870404747774481</v>
      </c>
      <c r="S32">
        <v>1.9566290801186941</v>
      </c>
      <c r="T32">
        <v>2.1357103857566768</v>
      </c>
      <c r="U32">
        <v>2.215302077151335</v>
      </c>
      <c r="V32">
        <v>2.301526409495549</v>
      </c>
      <c r="W32">
        <v>2.3943833827893179</v>
      </c>
      <c r="X32">
        <v>253.5759595342237</v>
      </c>
      <c r="Y32">
        <v>231.8815226035257</v>
      </c>
      <c r="Z32">
        <v>197.73945792570601</v>
      </c>
      <c r="AA32">
        <v>178.5345465444324</v>
      </c>
      <c r="AB32">
        <v>169.6433838679169</v>
      </c>
      <c r="AC32">
        <v>160.39657468434069</v>
      </c>
      <c r="AD32">
        <v>151.5054120078251</v>
      </c>
      <c r="AE32">
        <v>3.5351038744526408</v>
      </c>
      <c r="AF32">
        <v>3.5351038744526408</v>
      </c>
      <c r="AG32">
        <v>3.5351038744526408</v>
      </c>
      <c r="AH32">
        <v>3.5351038744526408</v>
      </c>
      <c r="AI32">
        <v>3.5351038744526408</v>
      </c>
      <c r="AJ32">
        <v>3.5351038744526408</v>
      </c>
      <c r="AK32">
        <v>3.5351038744526408</v>
      </c>
    </row>
    <row r="33" spans="1:37" x14ac:dyDescent="0.25">
      <c r="A33" t="s">
        <v>90</v>
      </c>
      <c r="B33" t="s">
        <v>91</v>
      </c>
      <c r="C33" t="s">
        <v>92</v>
      </c>
      <c r="F33" t="s">
        <v>144</v>
      </c>
      <c r="G33" t="s">
        <v>114</v>
      </c>
      <c r="H33" t="s">
        <v>115</v>
      </c>
      <c r="I33" t="s">
        <v>96</v>
      </c>
      <c r="J33" t="s">
        <v>145</v>
      </c>
      <c r="K33" t="s">
        <v>98</v>
      </c>
      <c r="L33">
        <v>1</v>
      </c>
      <c r="M33">
        <v>1</v>
      </c>
      <c r="N33">
        <v>2020</v>
      </c>
      <c r="O33">
        <v>16.861273869240819</v>
      </c>
      <c r="P33">
        <v>1</v>
      </c>
      <c r="Q33">
        <v>1.6050991097922851</v>
      </c>
      <c r="R33">
        <v>1.678058160237389</v>
      </c>
      <c r="S33">
        <v>1.7974456973293771</v>
      </c>
      <c r="T33">
        <v>1.963261721068249</v>
      </c>
      <c r="U33">
        <v>2.0295881305637979</v>
      </c>
      <c r="V33">
        <v>2.109179821958457</v>
      </c>
      <c r="W33">
        <v>2.202036795252226</v>
      </c>
      <c r="X33">
        <v>308.70116812862022</v>
      </c>
      <c r="Y33">
        <v>279.89380105670978</v>
      </c>
      <c r="Z33">
        <v>230.4589365752833</v>
      </c>
      <c r="AA33">
        <v>204.85238806691851</v>
      </c>
      <c r="AB33">
        <v>193.1160533339179</v>
      </c>
      <c r="AC33">
        <v>181.37971860091741</v>
      </c>
      <c r="AD33">
        <v>169.6433838679169</v>
      </c>
      <c r="AE33">
        <v>3.5351038744526408</v>
      </c>
      <c r="AF33">
        <v>3.5351038744526408</v>
      </c>
      <c r="AG33">
        <v>3.5351038744526408</v>
      </c>
      <c r="AH33">
        <v>3.5351038744526408</v>
      </c>
      <c r="AI33">
        <v>3.5351038744526408</v>
      </c>
      <c r="AJ33">
        <v>3.5351038744526408</v>
      </c>
      <c r="AK33">
        <v>3.5351038744526408</v>
      </c>
    </row>
    <row r="34" spans="1:37" x14ac:dyDescent="0.25">
      <c r="A34" t="s">
        <v>90</v>
      </c>
      <c r="B34" t="s">
        <v>91</v>
      </c>
      <c r="C34" t="s">
        <v>146</v>
      </c>
      <c r="F34" t="s">
        <v>93</v>
      </c>
      <c r="G34" t="s">
        <v>94</v>
      </c>
      <c r="H34" t="s">
        <v>95</v>
      </c>
      <c r="I34" t="s">
        <v>147</v>
      </c>
      <c r="J34" t="s">
        <v>148</v>
      </c>
      <c r="K34" t="s">
        <v>98</v>
      </c>
      <c r="L34">
        <v>1</v>
      </c>
      <c r="M34">
        <v>1</v>
      </c>
      <c r="N34">
        <v>2020</v>
      </c>
      <c r="O34">
        <v>18.828422487318921</v>
      </c>
      <c r="P34">
        <v>1</v>
      </c>
      <c r="Q34">
        <v>0.29714231454005929</v>
      </c>
      <c r="R34">
        <v>0.29316272997032627</v>
      </c>
      <c r="S34">
        <v>0.33826468842729968</v>
      </c>
      <c r="T34">
        <v>0.36965918892185962</v>
      </c>
      <c r="U34">
        <v>0.38911493570722061</v>
      </c>
      <c r="V34">
        <v>0.40724415430267058</v>
      </c>
      <c r="W34">
        <v>0.42625772502472792</v>
      </c>
      <c r="X34">
        <v>175.45227681657369</v>
      </c>
      <c r="Y34">
        <v>175.2151791451999</v>
      </c>
      <c r="Z34">
        <v>179.00874188717989</v>
      </c>
      <c r="AA34">
        <v>187.54425805663479</v>
      </c>
      <c r="AB34">
        <v>186.35876969976599</v>
      </c>
      <c r="AC34">
        <v>184.93618367152359</v>
      </c>
      <c r="AD34">
        <v>183.75069531465491</v>
      </c>
      <c r="AE34">
        <v>4.6970175797771363</v>
      </c>
      <c r="AF34">
        <v>4.6970175797771363</v>
      </c>
      <c r="AG34">
        <v>4.6970175797771363</v>
      </c>
      <c r="AH34">
        <v>4.6970175797771363</v>
      </c>
      <c r="AI34">
        <v>4.6970175797771363</v>
      </c>
      <c r="AJ34">
        <v>4.6970175797771363</v>
      </c>
      <c r="AK34">
        <v>4.6970175797771363</v>
      </c>
    </row>
    <row r="35" spans="1:37" x14ac:dyDescent="0.25">
      <c r="A35" t="s">
        <v>90</v>
      </c>
      <c r="B35" t="s">
        <v>91</v>
      </c>
      <c r="C35" t="s">
        <v>146</v>
      </c>
      <c r="F35" t="s">
        <v>93</v>
      </c>
      <c r="G35" t="s">
        <v>99</v>
      </c>
      <c r="H35" t="s">
        <v>100</v>
      </c>
      <c r="I35" t="s">
        <v>147</v>
      </c>
      <c r="J35" t="s">
        <v>148</v>
      </c>
      <c r="K35" t="s">
        <v>98</v>
      </c>
      <c r="L35">
        <v>0</v>
      </c>
      <c r="M35">
        <v>1</v>
      </c>
      <c r="N35">
        <v>2020</v>
      </c>
      <c r="O35">
        <v>18.828422487318921</v>
      </c>
      <c r="P35">
        <v>0.1</v>
      </c>
      <c r="Q35">
        <v>0.29714231454005929</v>
      </c>
      <c r="R35">
        <v>0.29316272997032627</v>
      </c>
      <c r="S35">
        <v>0.33826468842729968</v>
      </c>
      <c r="T35">
        <v>0.36965918892185962</v>
      </c>
      <c r="U35">
        <v>0.38911493570722061</v>
      </c>
      <c r="V35">
        <v>0.40724415430267058</v>
      </c>
      <c r="W35">
        <v>0.42625772502472792</v>
      </c>
      <c r="X35">
        <v>175.45227681657369</v>
      </c>
      <c r="Y35">
        <v>175.2151791451999</v>
      </c>
      <c r="Z35">
        <v>179.00874188717989</v>
      </c>
      <c r="AA35">
        <v>187.54425805663479</v>
      </c>
      <c r="AB35">
        <v>186.35876969976599</v>
      </c>
      <c r="AC35">
        <v>184.93618367152359</v>
      </c>
      <c r="AD35">
        <v>183.75069531465491</v>
      </c>
      <c r="AE35">
        <v>4.6970175797771363</v>
      </c>
      <c r="AF35">
        <v>4.6970175797771363</v>
      </c>
      <c r="AG35">
        <v>4.6970175797771363</v>
      </c>
      <c r="AH35">
        <v>4.6970175797771363</v>
      </c>
      <c r="AI35">
        <v>4.6970175797771363</v>
      </c>
      <c r="AJ35">
        <v>4.6970175797771363</v>
      </c>
      <c r="AK35">
        <v>4.6970175797771363</v>
      </c>
    </row>
    <row r="36" spans="1:37" x14ac:dyDescent="0.25">
      <c r="A36" t="s">
        <v>90</v>
      </c>
      <c r="B36" t="s">
        <v>91</v>
      </c>
      <c r="C36" t="s">
        <v>146</v>
      </c>
      <c r="F36" t="s">
        <v>101</v>
      </c>
      <c r="G36" t="s">
        <v>94</v>
      </c>
      <c r="H36" t="s">
        <v>95</v>
      </c>
      <c r="I36" t="s">
        <v>147</v>
      </c>
      <c r="J36" t="s">
        <v>149</v>
      </c>
      <c r="K36" t="s">
        <v>98</v>
      </c>
      <c r="L36">
        <v>1</v>
      </c>
      <c r="M36">
        <v>1</v>
      </c>
      <c r="N36">
        <v>2020</v>
      </c>
      <c r="O36">
        <v>18.828422487318921</v>
      </c>
      <c r="P36">
        <v>1</v>
      </c>
      <c r="Q36">
        <v>0.3241150544015825</v>
      </c>
      <c r="R36">
        <v>0.32455723046488621</v>
      </c>
      <c r="S36">
        <v>0.36081566765578638</v>
      </c>
      <c r="T36">
        <v>0.39309452027695352</v>
      </c>
      <c r="U36">
        <v>0.41431897131552908</v>
      </c>
      <c r="V36">
        <v>0.43510124629080132</v>
      </c>
      <c r="W36">
        <v>0.45632569732937678</v>
      </c>
      <c r="X36">
        <v>179.00874188717989</v>
      </c>
      <c r="Y36">
        <v>178.06035120168499</v>
      </c>
      <c r="Z36">
        <v>180.90552325816981</v>
      </c>
      <c r="AA36">
        <v>187.78135572800849</v>
      </c>
      <c r="AB36">
        <v>187.30716038526111</v>
      </c>
      <c r="AC36">
        <v>187.07006271388741</v>
      </c>
      <c r="AD36">
        <v>186.59586737113989</v>
      </c>
      <c r="AE36">
        <v>4.6970175797771363</v>
      </c>
      <c r="AF36">
        <v>4.6970175797771363</v>
      </c>
      <c r="AG36">
        <v>4.6970175797771363</v>
      </c>
      <c r="AH36">
        <v>4.6970175797771363</v>
      </c>
      <c r="AI36">
        <v>4.6970175797771363</v>
      </c>
      <c r="AJ36">
        <v>4.6970175797771363</v>
      </c>
      <c r="AK36">
        <v>4.6970175797771363</v>
      </c>
    </row>
    <row r="37" spans="1:37" x14ac:dyDescent="0.25">
      <c r="A37" t="s">
        <v>90</v>
      </c>
      <c r="B37" t="s">
        <v>91</v>
      </c>
      <c r="C37" t="s">
        <v>146</v>
      </c>
      <c r="F37" t="s">
        <v>101</v>
      </c>
      <c r="G37" t="s">
        <v>99</v>
      </c>
      <c r="H37" t="s">
        <v>100</v>
      </c>
      <c r="I37" t="s">
        <v>147</v>
      </c>
      <c r="J37" t="s">
        <v>149</v>
      </c>
      <c r="K37" t="s">
        <v>98</v>
      </c>
      <c r="L37">
        <v>0</v>
      </c>
      <c r="M37">
        <v>1</v>
      </c>
      <c r="N37">
        <v>2020</v>
      </c>
      <c r="O37">
        <v>18.828422487318921</v>
      </c>
      <c r="P37">
        <v>0.1</v>
      </c>
      <c r="Q37">
        <v>0.3241150544015825</v>
      </c>
      <c r="R37">
        <v>0.32455723046488621</v>
      </c>
      <c r="S37">
        <v>0.36081566765578638</v>
      </c>
      <c r="T37">
        <v>0.39309452027695352</v>
      </c>
      <c r="U37">
        <v>0.41431897131552908</v>
      </c>
      <c r="V37">
        <v>0.43510124629080132</v>
      </c>
      <c r="W37">
        <v>0.45632569732937678</v>
      </c>
      <c r="X37">
        <v>179.00874188717989</v>
      </c>
      <c r="Y37">
        <v>178.06035120168499</v>
      </c>
      <c r="Z37">
        <v>180.90552325816981</v>
      </c>
      <c r="AA37">
        <v>187.78135572800849</v>
      </c>
      <c r="AB37">
        <v>187.30716038526111</v>
      </c>
      <c r="AC37">
        <v>187.07006271388741</v>
      </c>
      <c r="AD37">
        <v>186.59586737113989</v>
      </c>
      <c r="AE37">
        <v>4.6970175797771363</v>
      </c>
      <c r="AF37">
        <v>4.6970175797771363</v>
      </c>
      <c r="AG37">
        <v>4.6970175797771363</v>
      </c>
      <c r="AH37">
        <v>4.6970175797771363</v>
      </c>
      <c r="AI37">
        <v>4.6970175797771363</v>
      </c>
      <c r="AJ37">
        <v>4.6970175797771363</v>
      </c>
      <c r="AK37">
        <v>4.6970175797771363</v>
      </c>
    </row>
    <row r="38" spans="1:37" x14ac:dyDescent="0.25">
      <c r="A38" t="s">
        <v>90</v>
      </c>
      <c r="B38" t="s">
        <v>91</v>
      </c>
      <c r="C38" t="s">
        <v>146</v>
      </c>
      <c r="F38" t="s">
        <v>103</v>
      </c>
      <c r="G38" t="s">
        <v>94</v>
      </c>
      <c r="H38" t="s">
        <v>95</v>
      </c>
      <c r="I38" t="s">
        <v>147</v>
      </c>
      <c r="J38" t="s">
        <v>150</v>
      </c>
      <c r="K38" t="s">
        <v>98</v>
      </c>
      <c r="L38">
        <v>1</v>
      </c>
      <c r="M38">
        <v>1</v>
      </c>
      <c r="N38">
        <v>2020</v>
      </c>
      <c r="O38">
        <v>18.828422487318921</v>
      </c>
      <c r="P38">
        <v>1</v>
      </c>
      <c r="Q38">
        <v>0.30465930761622162</v>
      </c>
      <c r="R38">
        <v>0.30112189910979242</v>
      </c>
      <c r="S38">
        <v>0.34843473788328377</v>
      </c>
      <c r="T38">
        <v>0.38071359050445108</v>
      </c>
      <c r="U38">
        <v>0.40016933728981208</v>
      </c>
      <c r="V38">
        <v>0.42006726013847667</v>
      </c>
      <c r="W38">
        <v>0.43952300692383778</v>
      </c>
      <c r="X38">
        <v>176.87486284481611</v>
      </c>
      <c r="Y38">
        <v>176.16356983069491</v>
      </c>
      <c r="Z38">
        <v>180.19423024404861</v>
      </c>
      <c r="AA38">
        <v>188.72974641350359</v>
      </c>
      <c r="AB38">
        <v>187.30716038526111</v>
      </c>
      <c r="AC38">
        <v>185.88457435701869</v>
      </c>
      <c r="AD38">
        <v>184.4619883287761</v>
      </c>
      <c r="AE38">
        <v>4.4829443924950638</v>
      </c>
      <c r="AF38">
        <v>4.4829443924950638</v>
      </c>
      <c r="AG38">
        <v>4.4829443924950638</v>
      </c>
      <c r="AH38">
        <v>4.4829443924950638</v>
      </c>
      <c r="AI38">
        <v>4.4829443924950638</v>
      </c>
      <c r="AJ38">
        <v>4.4829443924950638</v>
      </c>
      <c r="AK38">
        <v>4.4829443924950638</v>
      </c>
    </row>
    <row r="39" spans="1:37" x14ac:dyDescent="0.25">
      <c r="A39" t="s">
        <v>90</v>
      </c>
      <c r="B39" t="s">
        <v>91</v>
      </c>
      <c r="C39" t="s">
        <v>146</v>
      </c>
      <c r="F39" t="s">
        <v>103</v>
      </c>
      <c r="G39" t="s">
        <v>99</v>
      </c>
      <c r="H39" t="s">
        <v>100</v>
      </c>
      <c r="I39" t="s">
        <v>147</v>
      </c>
      <c r="J39" t="s">
        <v>150</v>
      </c>
      <c r="K39" t="s">
        <v>98</v>
      </c>
      <c r="L39">
        <v>0</v>
      </c>
      <c r="M39">
        <v>1</v>
      </c>
      <c r="N39">
        <v>2020</v>
      </c>
      <c r="O39">
        <v>18.828422487318921</v>
      </c>
      <c r="P39">
        <v>0.1</v>
      </c>
      <c r="Q39">
        <v>0.30465930761622162</v>
      </c>
      <c r="R39">
        <v>0.30112189910979242</v>
      </c>
      <c r="S39">
        <v>0.34843473788328377</v>
      </c>
      <c r="T39">
        <v>0.38071359050445108</v>
      </c>
      <c r="U39">
        <v>0.40016933728981208</v>
      </c>
      <c r="V39">
        <v>0.42006726013847667</v>
      </c>
      <c r="W39">
        <v>0.43952300692383778</v>
      </c>
      <c r="X39">
        <v>176.87486284481611</v>
      </c>
      <c r="Y39">
        <v>176.16356983069491</v>
      </c>
      <c r="Z39">
        <v>180.19423024404861</v>
      </c>
      <c r="AA39">
        <v>188.72974641350359</v>
      </c>
      <c r="AB39">
        <v>187.30716038526111</v>
      </c>
      <c r="AC39">
        <v>185.88457435701869</v>
      </c>
      <c r="AD39">
        <v>184.4619883287761</v>
      </c>
      <c r="AE39">
        <v>4.4829443924950638</v>
      </c>
      <c r="AF39">
        <v>4.4829443924950638</v>
      </c>
      <c r="AG39">
        <v>4.4829443924950638</v>
      </c>
      <c r="AH39">
        <v>4.4829443924950638</v>
      </c>
      <c r="AI39">
        <v>4.4829443924950638</v>
      </c>
      <c r="AJ39">
        <v>4.4829443924950638</v>
      </c>
      <c r="AK39">
        <v>4.4829443924950638</v>
      </c>
    </row>
    <row r="40" spans="1:37" x14ac:dyDescent="0.25">
      <c r="A40" t="s">
        <v>90</v>
      </c>
      <c r="B40" t="s">
        <v>91</v>
      </c>
      <c r="C40" t="s">
        <v>146</v>
      </c>
      <c r="F40" t="s">
        <v>105</v>
      </c>
      <c r="G40" t="s">
        <v>94</v>
      </c>
      <c r="H40" t="s">
        <v>95</v>
      </c>
      <c r="I40" t="s">
        <v>147</v>
      </c>
      <c r="J40" t="s">
        <v>151</v>
      </c>
      <c r="K40" t="s">
        <v>98</v>
      </c>
      <c r="L40">
        <v>1</v>
      </c>
      <c r="M40">
        <v>1</v>
      </c>
      <c r="N40">
        <v>2020</v>
      </c>
      <c r="O40">
        <v>18.828422487318921</v>
      </c>
      <c r="P40">
        <v>1</v>
      </c>
      <c r="Q40">
        <v>0.32986334322453009</v>
      </c>
      <c r="R40">
        <v>0.33074769535113741</v>
      </c>
      <c r="S40">
        <v>0.36744830860534128</v>
      </c>
      <c r="T40">
        <v>0.40105368941641939</v>
      </c>
      <c r="U40">
        <v>0.42360466864490609</v>
      </c>
      <c r="V40">
        <v>0.44482911968348149</v>
      </c>
      <c r="W40">
        <v>0.46693792284866492</v>
      </c>
      <c r="X40">
        <v>180.43132791542229</v>
      </c>
      <c r="Y40">
        <v>179.00874188717989</v>
      </c>
      <c r="Z40">
        <v>181.85391394366491</v>
      </c>
      <c r="AA40">
        <v>188.4926487421298</v>
      </c>
      <c r="AB40">
        <v>188.01845339938239</v>
      </c>
      <c r="AC40">
        <v>187.78135572800849</v>
      </c>
      <c r="AD40">
        <v>187.54425805663479</v>
      </c>
      <c r="AE40">
        <v>4.4829443924950638</v>
      </c>
      <c r="AF40">
        <v>4.4829443924950638</v>
      </c>
      <c r="AG40">
        <v>4.4829443924950638</v>
      </c>
      <c r="AH40">
        <v>4.4829443924950638</v>
      </c>
      <c r="AI40">
        <v>4.4829443924950638</v>
      </c>
      <c r="AJ40">
        <v>4.4829443924950638</v>
      </c>
      <c r="AK40">
        <v>4.4829443924950638</v>
      </c>
    </row>
    <row r="41" spans="1:37" x14ac:dyDescent="0.25">
      <c r="A41" t="s">
        <v>90</v>
      </c>
      <c r="B41" t="s">
        <v>91</v>
      </c>
      <c r="C41" t="s">
        <v>146</v>
      </c>
      <c r="F41" t="s">
        <v>105</v>
      </c>
      <c r="G41" t="s">
        <v>99</v>
      </c>
      <c r="H41" t="s">
        <v>100</v>
      </c>
      <c r="I41" t="s">
        <v>147</v>
      </c>
      <c r="J41" t="s">
        <v>151</v>
      </c>
      <c r="K41" t="s">
        <v>98</v>
      </c>
      <c r="L41">
        <v>0</v>
      </c>
      <c r="M41">
        <v>1</v>
      </c>
      <c r="N41">
        <v>2020</v>
      </c>
      <c r="O41">
        <v>18.828422487318921</v>
      </c>
      <c r="P41">
        <v>0.1</v>
      </c>
      <c r="Q41">
        <v>0.32986334322453009</v>
      </c>
      <c r="R41">
        <v>0.33074769535113741</v>
      </c>
      <c r="S41">
        <v>0.36744830860534128</v>
      </c>
      <c r="T41">
        <v>0.40105368941641939</v>
      </c>
      <c r="U41">
        <v>0.42360466864490609</v>
      </c>
      <c r="V41">
        <v>0.44482911968348149</v>
      </c>
      <c r="W41">
        <v>0.46693792284866492</v>
      </c>
      <c r="X41">
        <v>180.43132791542229</v>
      </c>
      <c r="Y41">
        <v>179.00874188717989</v>
      </c>
      <c r="Z41">
        <v>181.85391394366491</v>
      </c>
      <c r="AA41">
        <v>188.4926487421298</v>
      </c>
      <c r="AB41">
        <v>188.01845339938239</v>
      </c>
      <c r="AC41">
        <v>187.78135572800849</v>
      </c>
      <c r="AD41">
        <v>187.54425805663479</v>
      </c>
      <c r="AE41">
        <v>4.4829443924950638</v>
      </c>
      <c r="AF41">
        <v>4.4829443924950638</v>
      </c>
      <c r="AG41">
        <v>4.4829443924950638</v>
      </c>
      <c r="AH41">
        <v>4.4829443924950638</v>
      </c>
      <c r="AI41">
        <v>4.4829443924950638</v>
      </c>
      <c r="AJ41">
        <v>4.4829443924950638</v>
      </c>
      <c r="AK41">
        <v>4.4829443924950638</v>
      </c>
    </row>
    <row r="42" spans="1:37" x14ac:dyDescent="0.25">
      <c r="A42" t="s">
        <v>90</v>
      </c>
      <c r="B42" t="s">
        <v>91</v>
      </c>
      <c r="C42" t="s">
        <v>146</v>
      </c>
      <c r="F42" t="s">
        <v>107</v>
      </c>
      <c r="G42" t="s">
        <v>94</v>
      </c>
      <c r="H42" t="s">
        <v>95</v>
      </c>
      <c r="I42" t="s">
        <v>147</v>
      </c>
      <c r="J42" t="s">
        <v>152</v>
      </c>
      <c r="K42" t="s">
        <v>98</v>
      </c>
      <c r="L42">
        <v>1</v>
      </c>
      <c r="M42">
        <v>1</v>
      </c>
      <c r="N42">
        <v>2020</v>
      </c>
      <c r="O42">
        <v>18.828422487318921</v>
      </c>
      <c r="P42">
        <v>1</v>
      </c>
      <c r="Q42">
        <v>0.31306065281899109</v>
      </c>
      <c r="R42">
        <v>0.30908106824925807</v>
      </c>
      <c r="S42">
        <v>0.35772043521266078</v>
      </c>
      <c r="T42">
        <v>0.39044146389713141</v>
      </c>
      <c r="U42">
        <v>0.41166591493570709</v>
      </c>
      <c r="V42">
        <v>0.43289036597428282</v>
      </c>
      <c r="W42">
        <v>0.45367264094955478</v>
      </c>
      <c r="X42">
        <v>180.19423024404861</v>
      </c>
      <c r="Y42">
        <v>179.00874188717989</v>
      </c>
      <c r="Z42">
        <v>182.5652069577861</v>
      </c>
      <c r="AA42">
        <v>190.86362545586729</v>
      </c>
      <c r="AB42">
        <v>189.20394175625111</v>
      </c>
      <c r="AC42">
        <v>187.78135572800849</v>
      </c>
      <c r="AD42">
        <v>186.1216720283924</v>
      </c>
      <c r="AE42">
        <v>4.4829443924950638</v>
      </c>
      <c r="AF42">
        <v>4.4829443924950638</v>
      </c>
      <c r="AG42">
        <v>4.4829443924950638</v>
      </c>
      <c r="AH42">
        <v>4.4829443924950638</v>
      </c>
      <c r="AI42">
        <v>4.4829443924950638</v>
      </c>
      <c r="AJ42">
        <v>4.4829443924950638</v>
      </c>
      <c r="AK42">
        <v>4.4829443924950638</v>
      </c>
    </row>
    <row r="43" spans="1:37" x14ac:dyDescent="0.25">
      <c r="A43" t="s">
        <v>90</v>
      </c>
      <c r="B43" t="s">
        <v>91</v>
      </c>
      <c r="C43" t="s">
        <v>146</v>
      </c>
      <c r="F43" t="s">
        <v>107</v>
      </c>
      <c r="G43" t="s">
        <v>99</v>
      </c>
      <c r="H43" t="s">
        <v>100</v>
      </c>
      <c r="I43" t="s">
        <v>147</v>
      </c>
      <c r="J43" t="s">
        <v>152</v>
      </c>
      <c r="K43" t="s">
        <v>98</v>
      </c>
      <c r="L43">
        <v>0</v>
      </c>
      <c r="M43">
        <v>1</v>
      </c>
      <c r="N43">
        <v>2020</v>
      </c>
      <c r="O43">
        <v>18.828422487318921</v>
      </c>
      <c r="P43">
        <v>0.1</v>
      </c>
      <c r="Q43">
        <v>0.31306065281899109</v>
      </c>
      <c r="R43">
        <v>0.30908106824925807</v>
      </c>
      <c r="S43">
        <v>0.35772043521266078</v>
      </c>
      <c r="T43">
        <v>0.39044146389713141</v>
      </c>
      <c r="U43">
        <v>0.41166591493570709</v>
      </c>
      <c r="V43">
        <v>0.43289036597428282</v>
      </c>
      <c r="W43">
        <v>0.45367264094955478</v>
      </c>
      <c r="X43">
        <v>180.19423024404861</v>
      </c>
      <c r="Y43">
        <v>179.00874188717989</v>
      </c>
      <c r="Z43">
        <v>182.5652069577861</v>
      </c>
      <c r="AA43">
        <v>190.86362545586729</v>
      </c>
      <c r="AB43">
        <v>189.20394175625111</v>
      </c>
      <c r="AC43">
        <v>187.78135572800849</v>
      </c>
      <c r="AD43">
        <v>186.1216720283924</v>
      </c>
      <c r="AE43">
        <v>4.4829443924950638</v>
      </c>
      <c r="AF43">
        <v>4.4829443924950638</v>
      </c>
      <c r="AG43">
        <v>4.4829443924950638</v>
      </c>
      <c r="AH43">
        <v>4.4829443924950638</v>
      </c>
      <c r="AI43">
        <v>4.4829443924950638</v>
      </c>
      <c r="AJ43">
        <v>4.4829443924950638</v>
      </c>
      <c r="AK43">
        <v>4.4829443924950638</v>
      </c>
    </row>
    <row r="44" spans="1:37" x14ac:dyDescent="0.25">
      <c r="A44" t="s">
        <v>90</v>
      </c>
      <c r="B44" t="s">
        <v>91</v>
      </c>
      <c r="C44" t="s">
        <v>146</v>
      </c>
      <c r="F44" t="s">
        <v>109</v>
      </c>
      <c r="G44" t="s">
        <v>94</v>
      </c>
      <c r="H44" t="s">
        <v>95</v>
      </c>
      <c r="I44" t="s">
        <v>147</v>
      </c>
      <c r="J44" t="s">
        <v>152</v>
      </c>
      <c r="K44" t="s">
        <v>98</v>
      </c>
      <c r="L44">
        <v>0</v>
      </c>
      <c r="M44">
        <v>1</v>
      </c>
      <c r="N44">
        <v>2020</v>
      </c>
      <c r="O44">
        <v>18.828422487318921</v>
      </c>
      <c r="P44">
        <v>1</v>
      </c>
      <c r="Q44">
        <v>0.34312862512364001</v>
      </c>
      <c r="R44">
        <v>0.3431286251236399</v>
      </c>
      <c r="S44">
        <v>0.38204011869436189</v>
      </c>
      <c r="T44">
        <v>0.41652985163204748</v>
      </c>
      <c r="U44">
        <v>0.44040735905044498</v>
      </c>
      <c r="V44">
        <v>0.46428486646884248</v>
      </c>
      <c r="W44">
        <v>0.48816237388724021</v>
      </c>
      <c r="X44">
        <v>183.75069531465491</v>
      </c>
      <c r="Y44">
        <v>182.0910116150385</v>
      </c>
      <c r="Z44">
        <v>184.69908600014989</v>
      </c>
      <c r="AA44">
        <v>190.62652778449359</v>
      </c>
      <c r="AB44">
        <v>190.1523324417461</v>
      </c>
      <c r="AC44">
        <v>189.44103942762479</v>
      </c>
      <c r="AD44">
        <v>188.96684408487729</v>
      </c>
      <c r="AE44">
        <v>4.4829443924950638</v>
      </c>
      <c r="AF44">
        <v>4.4829443924950638</v>
      </c>
      <c r="AG44">
        <v>4.4829443924950638</v>
      </c>
      <c r="AH44">
        <v>4.4829443924950638</v>
      </c>
      <c r="AI44">
        <v>4.4829443924950638</v>
      </c>
      <c r="AJ44">
        <v>4.4829443924950638</v>
      </c>
      <c r="AK44">
        <v>4.4829443924950638</v>
      </c>
    </row>
    <row r="45" spans="1:37" x14ac:dyDescent="0.25">
      <c r="A45" t="s">
        <v>90</v>
      </c>
      <c r="B45" t="s">
        <v>91</v>
      </c>
      <c r="C45" t="s">
        <v>146</v>
      </c>
      <c r="F45" t="s">
        <v>109</v>
      </c>
      <c r="G45" t="s">
        <v>99</v>
      </c>
      <c r="H45" t="s">
        <v>100</v>
      </c>
      <c r="I45" t="s">
        <v>147</v>
      </c>
      <c r="J45" t="s">
        <v>152</v>
      </c>
      <c r="K45" t="s">
        <v>98</v>
      </c>
      <c r="L45">
        <v>0</v>
      </c>
      <c r="M45">
        <v>1</v>
      </c>
      <c r="N45">
        <v>2020</v>
      </c>
      <c r="O45">
        <v>18.828422487318921</v>
      </c>
      <c r="P45">
        <v>0.1</v>
      </c>
      <c r="Q45">
        <v>0.34312862512364001</v>
      </c>
      <c r="R45">
        <v>0.3431286251236399</v>
      </c>
      <c r="S45">
        <v>0.38204011869436189</v>
      </c>
      <c r="T45">
        <v>0.41652985163204748</v>
      </c>
      <c r="U45">
        <v>0.44040735905044498</v>
      </c>
      <c r="V45">
        <v>0.46428486646884248</v>
      </c>
      <c r="W45">
        <v>0.48816237388724021</v>
      </c>
      <c r="X45">
        <v>183.75069531465491</v>
      </c>
      <c r="Y45">
        <v>182.0910116150385</v>
      </c>
      <c r="Z45">
        <v>184.69908600014989</v>
      </c>
      <c r="AA45">
        <v>190.62652778449359</v>
      </c>
      <c r="AB45">
        <v>190.1523324417461</v>
      </c>
      <c r="AC45">
        <v>189.44103942762479</v>
      </c>
      <c r="AD45">
        <v>188.96684408487729</v>
      </c>
      <c r="AE45">
        <v>4.4829443924950638</v>
      </c>
      <c r="AF45">
        <v>4.4829443924950638</v>
      </c>
      <c r="AG45">
        <v>4.4829443924950638</v>
      </c>
      <c r="AH45">
        <v>4.4829443924950638</v>
      </c>
      <c r="AI45">
        <v>4.4829443924950638</v>
      </c>
      <c r="AJ45">
        <v>4.4829443924950638</v>
      </c>
      <c r="AK45">
        <v>4.4829443924950638</v>
      </c>
    </row>
    <row r="46" spans="1:37" x14ac:dyDescent="0.25">
      <c r="A46" t="s">
        <v>90</v>
      </c>
      <c r="B46" t="s">
        <v>91</v>
      </c>
      <c r="C46" t="s">
        <v>146</v>
      </c>
      <c r="F46" t="s">
        <v>110</v>
      </c>
      <c r="G46" t="s">
        <v>94</v>
      </c>
      <c r="H46" t="s">
        <v>95</v>
      </c>
      <c r="I46" t="s">
        <v>147</v>
      </c>
      <c r="J46" t="s">
        <v>153</v>
      </c>
      <c r="K46" t="s">
        <v>98</v>
      </c>
      <c r="L46">
        <v>1</v>
      </c>
      <c r="M46">
        <v>1</v>
      </c>
      <c r="N46">
        <v>2020</v>
      </c>
      <c r="O46">
        <v>18.828422487318921</v>
      </c>
      <c r="P46">
        <v>1</v>
      </c>
      <c r="Q46">
        <v>0.48108755687438159</v>
      </c>
      <c r="R46">
        <v>0.49656371909000979</v>
      </c>
      <c r="S46">
        <v>0.50894464886251245</v>
      </c>
      <c r="T46">
        <v>0.54078132542037594</v>
      </c>
      <c r="U46">
        <v>0.56598536102868435</v>
      </c>
      <c r="V46">
        <v>0.59074722057368922</v>
      </c>
      <c r="W46">
        <v>0.61550908011869443</v>
      </c>
      <c r="X46">
        <v>204.61529039554469</v>
      </c>
      <c r="Y46">
        <v>196.5539695688372</v>
      </c>
      <c r="Z46">
        <v>190.3894301131198</v>
      </c>
      <c r="AA46">
        <v>186.83296504251359</v>
      </c>
      <c r="AB46">
        <v>184.2248906574022</v>
      </c>
      <c r="AC46">
        <v>181.85391394366479</v>
      </c>
      <c r="AD46">
        <v>179.48293722992739</v>
      </c>
      <c r="AE46">
        <v>4.4829443924950638</v>
      </c>
      <c r="AF46">
        <v>4.4829443924950638</v>
      </c>
      <c r="AG46">
        <v>4.4829443924950638</v>
      </c>
      <c r="AH46">
        <v>4.4829443924950638</v>
      </c>
      <c r="AI46">
        <v>4.4829443924950638</v>
      </c>
      <c r="AJ46">
        <v>4.4829443924950638</v>
      </c>
      <c r="AK46">
        <v>4.4829443924950638</v>
      </c>
    </row>
    <row r="47" spans="1:37" x14ac:dyDescent="0.25">
      <c r="A47" t="s">
        <v>90</v>
      </c>
      <c r="B47" t="s">
        <v>91</v>
      </c>
      <c r="C47" t="s">
        <v>146</v>
      </c>
      <c r="F47" t="s">
        <v>110</v>
      </c>
      <c r="G47" t="s">
        <v>99</v>
      </c>
      <c r="H47" t="s">
        <v>100</v>
      </c>
      <c r="I47" t="s">
        <v>147</v>
      </c>
      <c r="J47" t="s">
        <v>153</v>
      </c>
      <c r="K47" t="s">
        <v>98</v>
      </c>
      <c r="L47">
        <v>0</v>
      </c>
      <c r="M47">
        <v>1</v>
      </c>
      <c r="N47">
        <v>2020</v>
      </c>
      <c r="O47">
        <v>18.828422487318921</v>
      </c>
      <c r="P47">
        <v>0.1</v>
      </c>
      <c r="Q47">
        <v>0.48108755687438159</v>
      </c>
      <c r="R47">
        <v>0.49656371909000979</v>
      </c>
      <c r="S47">
        <v>0.50894464886251245</v>
      </c>
      <c r="T47">
        <v>0.54078132542037594</v>
      </c>
      <c r="U47">
        <v>0.56598536102868435</v>
      </c>
      <c r="V47">
        <v>0.59074722057368922</v>
      </c>
      <c r="W47">
        <v>0.61550908011869443</v>
      </c>
      <c r="X47">
        <v>204.61529039554469</v>
      </c>
      <c r="Y47">
        <v>196.5539695688372</v>
      </c>
      <c r="Z47">
        <v>190.3894301131198</v>
      </c>
      <c r="AA47">
        <v>186.83296504251359</v>
      </c>
      <c r="AB47">
        <v>184.2248906574022</v>
      </c>
      <c r="AC47">
        <v>181.85391394366479</v>
      </c>
      <c r="AD47">
        <v>179.48293722992739</v>
      </c>
      <c r="AE47">
        <v>4.4829443924950638</v>
      </c>
      <c r="AF47">
        <v>4.4829443924950638</v>
      </c>
      <c r="AG47">
        <v>4.4829443924950638</v>
      </c>
      <c r="AH47">
        <v>4.4829443924950638</v>
      </c>
      <c r="AI47">
        <v>4.4829443924950638</v>
      </c>
      <c r="AJ47">
        <v>4.4829443924950638</v>
      </c>
      <c r="AK47">
        <v>4.4829443924950638</v>
      </c>
    </row>
    <row r="48" spans="1:37" x14ac:dyDescent="0.25">
      <c r="A48" t="s">
        <v>90</v>
      </c>
      <c r="B48" t="s">
        <v>91</v>
      </c>
      <c r="C48" t="s">
        <v>146</v>
      </c>
      <c r="F48" t="s">
        <v>112</v>
      </c>
      <c r="G48" t="s">
        <v>94</v>
      </c>
      <c r="H48" t="s">
        <v>95</v>
      </c>
      <c r="I48" t="s">
        <v>147</v>
      </c>
      <c r="J48" t="s">
        <v>154</v>
      </c>
      <c r="K48" t="s">
        <v>98</v>
      </c>
      <c r="L48">
        <v>1</v>
      </c>
      <c r="M48">
        <v>1</v>
      </c>
      <c r="N48">
        <v>2020</v>
      </c>
      <c r="O48">
        <v>18.828422487318921</v>
      </c>
      <c r="P48">
        <v>0.79385474860335326</v>
      </c>
      <c r="Q48">
        <v>0.6442505242334311</v>
      </c>
      <c r="R48">
        <v>0.67254979228486733</v>
      </c>
      <c r="S48">
        <v>0.68802595450049164</v>
      </c>
      <c r="T48">
        <v>0.74108708209693452</v>
      </c>
      <c r="U48">
        <v>0.77203940652819092</v>
      </c>
      <c r="V48">
        <v>0.80254955489614233</v>
      </c>
      <c r="W48">
        <v>0.83394405539070349</v>
      </c>
      <c r="X48">
        <v>219.07824834934419</v>
      </c>
      <c r="Y48">
        <v>205.08948573829241</v>
      </c>
      <c r="Z48">
        <v>196.3168718974633</v>
      </c>
      <c r="AA48">
        <v>192.04911381273621</v>
      </c>
      <c r="AB48">
        <v>189.4410394276249</v>
      </c>
      <c r="AC48">
        <v>187.07006271388761</v>
      </c>
      <c r="AD48">
        <v>184.69908600014949</v>
      </c>
      <c r="AE48">
        <v>4.2185010434995602</v>
      </c>
      <c r="AF48">
        <v>4.2185010434995602</v>
      </c>
      <c r="AG48">
        <v>4.2185010434995602</v>
      </c>
      <c r="AH48">
        <v>4.2185010434995602</v>
      </c>
      <c r="AI48">
        <v>4.2185010434995602</v>
      </c>
      <c r="AJ48">
        <v>4.2185010434995602</v>
      </c>
      <c r="AK48">
        <v>4.2185010434995602</v>
      </c>
    </row>
    <row r="49" spans="1:37" x14ac:dyDescent="0.25">
      <c r="A49" t="s">
        <v>90</v>
      </c>
      <c r="B49" t="s">
        <v>91</v>
      </c>
      <c r="C49" t="s">
        <v>146</v>
      </c>
      <c r="F49" t="s">
        <v>112</v>
      </c>
      <c r="G49" t="s">
        <v>99</v>
      </c>
      <c r="H49" t="s">
        <v>100</v>
      </c>
      <c r="I49" t="s">
        <v>147</v>
      </c>
      <c r="J49" t="s">
        <v>154</v>
      </c>
      <c r="K49" t="s">
        <v>98</v>
      </c>
      <c r="L49">
        <v>0</v>
      </c>
      <c r="M49">
        <v>1</v>
      </c>
      <c r="N49">
        <v>2020</v>
      </c>
      <c r="O49">
        <v>18.828422487318921</v>
      </c>
      <c r="P49">
        <v>0.1</v>
      </c>
      <c r="Q49">
        <v>0.6442505242334311</v>
      </c>
      <c r="R49">
        <v>0.67254979228486733</v>
      </c>
      <c r="S49">
        <v>0.68802595450049164</v>
      </c>
      <c r="T49">
        <v>0.74108708209693452</v>
      </c>
      <c r="U49">
        <v>0.77203940652819092</v>
      </c>
      <c r="V49">
        <v>0.80254955489614233</v>
      </c>
      <c r="W49">
        <v>0.83394405539070349</v>
      </c>
      <c r="X49">
        <v>219.07824834934419</v>
      </c>
      <c r="Y49">
        <v>205.08948573829241</v>
      </c>
      <c r="Z49">
        <v>196.3168718974633</v>
      </c>
      <c r="AA49">
        <v>192.04911381273621</v>
      </c>
      <c r="AB49">
        <v>189.4410394276249</v>
      </c>
      <c r="AC49">
        <v>187.07006271388761</v>
      </c>
      <c r="AD49">
        <v>184.69908600014949</v>
      </c>
      <c r="AE49">
        <v>4.2185010434995602</v>
      </c>
      <c r="AF49">
        <v>4.2185010434995602</v>
      </c>
      <c r="AG49">
        <v>4.2185010434995602</v>
      </c>
      <c r="AH49">
        <v>4.2185010434995602</v>
      </c>
      <c r="AI49">
        <v>4.2185010434995602</v>
      </c>
      <c r="AJ49">
        <v>4.2185010434995602</v>
      </c>
      <c r="AK49">
        <v>4.2185010434995602</v>
      </c>
    </row>
    <row r="50" spans="1:37" x14ac:dyDescent="0.25">
      <c r="A50" t="s">
        <v>90</v>
      </c>
      <c r="B50" t="s">
        <v>91</v>
      </c>
      <c r="C50" t="s">
        <v>146</v>
      </c>
      <c r="F50" t="s">
        <v>112</v>
      </c>
      <c r="G50" t="s">
        <v>114</v>
      </c>
      <c r="H50" t="s">
        <v>115</v>
      </c>
      <c r="I50" t="s">
        <v>147</v>
      </c>
      <c r="J50" t="s">
        <v>154</v>
      </c>
      <c r="K50" t="s">
        <v>98</v>
      </c>
      <c r="L50">
        <v>0</v>
      </c>
      <c r="M50">
        <v>1</v>
      </c>
      <c r="N50">
        <v>2020</v>
      </c>
      <c r="O50">
        <v>18.828422487318921</v>
      </c>
      <c r="P50">
        <v>0.2061452513966468</v>
      </c>
      <c r="Q50">
        <v>0.6442505242334311</v>
      </c>
      <c r="R50">
        <v>0.67254979228486733</v>
      </c>
      <c r="S50">
        <v>0.68802595450049164</v>
      </c>
      <c r="T50">
        <v>0.74108708209693452</v>
      </c>
      <c r="U50">
        <v>0.77203940652819092</v>
      </c>
      <c r="V50">
        <v>0.80254955489614233</v>
      </c>
      <c r="W50">
        <v>0.83394405539070349</v>
      </c>
      <c r="X50">
        <v>219.07824834934419</v>
      </c>
      <c r="Y50">
        <v>205.08948573829241</v>
      </c>
      <c r="Z50">
        <v>196.3168718974633</v>
      </c>
      <c r="AA50">
        <v>192.04911381273621</v>
      </c>
      <c r="AB50">
        <v>189.4410394276249</v>
      </c>
      <c r="AC50">
        <v>187.07006271388761</v>
      </c>
      <c r="AD50">
        <v>184.69908600014949</v>
      </c>
      <c r="AE50">
        <v>4.2185010434995602</v>
      </c>
      <c r="AF50">
        <v>4.2185010434995602</v>
      </c>
      <c r="AG50">
        <v>4.2185010434995602</v>
      </c>
      <c r="AH50">
        <v>4.2185010434995602</v>
      </c>
      <c r="AI50">
        <v>4.2185010434995602</v>
      </c>
      <c r="AJ50">
        <v>4.2185010434995602</v>
      </c>
      <c r="AK50">
        <v>4.2185010434995602</v>
      </c>
    </row>
    <row r="51" spans="1:37" x14ac:dyDescent="0.25">
      <c r="A51" t="s">
        <v>90</v>
      </c>
      <c r="B51" t="s">
        <v>91</v>
      </c>
      <c r="C51" t="s">
        <v>146</v>
      </c>
      <c r="F51" t="s">
        <v>116</v>
      </c>
      <c r="G51" t="s">
        <v>94</v>
      </c>
      <c r="H51" t="s">
        <v>95</v>
      </c>
      <c r="I51" t="s">
        <v>147</v>
      </c>
      <c r="J51" t="s">
        <v>155</v>
      </c>
      <c r="K51" t="s">
        <v>98</v>
      </c>
      <c r="L51">
        <v>1</v>
      </c>
      <c r="M51">
        <v>1</v>
      </c>
      <c r="N51">
        <v>2020</v>
      </c>
      <c r="O51">
        <v>18.828422487318921</v>
      </c>
      <c r="P51">
        <v>0.59329608938547262</v>
      </c>
      <c r="Q51">
        <v>0.80299173095944776</v>
      </c>
      <c r="R51">
        <v>0.8463249851632042</v>
      </c>
      <c r="S51">
        <v>0.86268549950544016</v>
      </c>
      <c r="T51">
        <v>0.93564454995054436</v>
      </c>
      <c r="U51">
        <v>0.97367169139465837</v>
      </c>
      <c r="V51">
        <v>1.0116988328387719</v>
      </c>
      <c r="W51">
        <v>1.0514946785361039</v>
      </c>
      <c r="X51">
        <v>242.07672247259629</v>
      </c>
      <c r="Y51">
        <v>221.92342040582801</v>
      </c>
      <c r="Z51">
        <v>205.80077875241361</v>
      </c>
      <c r="AA51">
        <v>197.5023602543325</v>
      </c>
      <c r="AB51">
        <v>193.70879751235239</v>
      </c>
      <c r="AC51">
        <v>190.15233244174621</v>
      </c>
      <c r="AD51">
        <v>186.5958673711398</v>
      </c>
      <c r="AE51">
        <v>4.2185010434995602</v>
      </c>
      <c r="AF51">
        <v>4.2185010434995602</v>
      </c>
      <c r="AG51">
        <v>4.2185010434995602</v>
      </c>
      <c r="AH51">
        <v>4.2185010434995602</v>
      </c>
      <c r="AI51">
        <v>4.2185010434995602</v>
      </c>
      <c r="AJ51">
        <v>4.2185010434995602</v>
      </c>
      <c r="AK51">
        <v>4.2185010434995602</v>
      </c>
    </row>
    <row r="52" spans="1:37" x14ac:dyDescent="0.25">
      <c r="A52" t="s">
        <v>90</v>
      </c>
      <c r="B52" t="s">
        <v>91</v>
      </c>
      <c r="C52" t="s">
        <v>146</v>
      </c>
      <c r="F52" t="s">
        <v>116</v>
      </c>
      <c r="G52" t="s">
        <v>99</v>
      </c>
      <c r="H52" t="s">
        <v>100</v>
      </c>
      <c r="I52" t="s">
        <v>147</v>
      </c>
      <c r="J52" t="s">
        <v>155</v>
      </c>
      <c r="K52" t="s">
        <v>98</v>
      </c>
      <c r="L52">
        <v>0</v>
      </c>
      <c r="M52">
        <v>1</v>
      </c>
      <c r="N52">
        <v>2020</v>
      </c>
      <c r="O52">
        <v>18.828422487318921</v>
      </c>
      <c r="P52">
        <v>0.1</v>
      </c>
      <c r="Q52">
        <v>0.80299173095944776</v>
      </c>
      <c r="R52">
        <v>0.8463249851632042</v>
      </c>
      <c r="S52">
        <v>0.86268549950544016</v>
      </c>
      <c r="T52">
        <v>0.93564454995054436</v>
      </c>
      <c r="U52">
        <v>0.97367169139465837</v>
      </c>
      <c r="V52">
        <v>1.0116988328387719</v>
      </c>
      <c r="W52">
        <v>1.0514946785361039</v>
      </c>
      <c r="X52">
        <v>242.07672247259629</v>
      </c>
      <c r="Y52">
        <v>221.92342040582801</v>
      </c>
      <c r="Z52">
        <v>205.80077875241361</v>
      </c>
      <c r="AA52">
        <v>197.5023602543325</v>
      </c>
      <c r="AB52">
        <v>193.70879751235239</v>
      </c>
      <c r="AC52">
        <v>190.15233244174621</v>
      </c>
      <c r="AD52">
        <v>186.5958673711398</v>
      </c>
      <c r="AE52">
        <v>4.2185010434995602</v>
      </c>
      <c r="AF52">
        <v>4.2185010434995602</v>
      </c>
      <c r="AG52">
        <v>4.2185010434995602</v>
      </c>
      <c r="AH52">
        <v>4.2185010434995602</v>
      </c>
      <c r="AI52">
        <v>4.2185010434995602</v>
      </c>
      <c r="AJ52">
        <v>4.2185010434995602</v>
      </c>
      <c r="AK52">
        <v>4.2185010434995602</v>
      </c>
    </row>
    <row r="53" spans="1:37" x14ac:dyDescent="0.25">
      <c r="A53" t="s">
        <v>90</v>
      </c>
      <c r="B53" t="s">
        <v>91</v>
      </c>
      <c r="C53" t="s">
        <v>146</v>
      </c>
      <c r="F53" t="s">
        <v>116</v>
      </c>
      <c r="G53" t="s">
        <v>114</v>
      </c>
      <c r="H53" t="s">
        <v>115</v>
      </c>
      <c r="I53" t="s">
        <v>147</v>
      </c>
      <c r="J53" t="s">
        <v>155</v>
      </c>
      <c r="K53" t="s">
        <v>98</v>
      </c>
      <c r="L53">
        <v>0</v>
      </c>
      <c r="M53">
        <v>1</v>
      </c>
      <c r="N53">
        <v>2020</v>
      </c>
      <c r="O53">
        <v>18.828422487318921</v>
      </c>
      <c r="P53">
        <v>0.40670391061452732</v>
      </c>
      <c r="Q53">
        <v>0.80299173095944776</v>
      </c>
      <c r="R53">
        <v>0.8463249851632042</v>
      </c>
      <c r="S53">
        <v>0.86268549950544016</v>
      </c>
      <c r="T53">
        <v>0.93564454995054436</v>
      </c>
      <c r="U53">
        <v>0.97367169139465837</v>
      </c>
      <c r="V53">
        <v>1.0116988328387719</v>
      </c>
      <c r="W53">
        <v>1.0514946785361039</v>
      </c>
      <c r="X53">
        <v>242.07672247259629</v>
      </c>
      <c r="Y53">
        <v>221.92342040582801</v>
      </c>
      <c r="Z53">
        <v>205.80077875241361</v>
      </c>
      <c r="AA53">
        <v>197.5023602543325</v>
      </c>
      <c r="AB53">
        <v>193.70879751235239</v>
      </c>
      <c r="AC53">
        <v>190.15233244174621</v>
      </c>
      <c r="AD53">
        <v>186.5958673711398</v>
      </c>
      <c r="AE53">
        <v>4.2185010434995602</v>
      </c>
      <c r="AF53">
        <v>4.2185010434995602</v>
      </c>
      <c r="AG53">
        <v>4.2185010434995602</v>
      </c>
      <c r="AH53">
        <v>4.2185010434995602</v>
      </c>
      <c r="AI53">
        <v>4.2185010434995602</v>
      </c>
      <c r="AJ53">
        <v>4.2185010434995602</v>
      </c>
      <c r="AK53">
        <v>4.2185010434995602</v>
      </c>
    </row>
    <row r="54" spans="1:37" x14ac:dyDescent="0.25">
      <c r="A54" t="s">
        <v>90</v>
      </c>
      <c r="B54" t="s">
        <v>91</v>
      </c>
      <c r="C54" t="s">
        <v>146</v>
      </c>
      <c r="F54" t="s">
        <v>118</v>
      </c>
      <c r="G54" t="s">
        <v>119</v>
      </c>
      <c r="H54" t="s">
        <v>120</v>
      </c>
      <c r="I54" t="s">
        <v>147</v>
      </c>
      <c r="J54" t="s">
        <v>156</v>
      </c>
      <c r="K54" t="s">
        <v>98</v>
      </c>
      <c r="L54">
        <v>1</v>
      </c>
      <c r="M54">
        <v>1</v>
      </c>
      <c r="N54">
        <v>2020</v>
      </c>
      <c r="O54">
        <v>18.828422487318921</v>
      </c>
      <c r="P54">
        <v>1</v>
      </c>
      <c r="Q54">
        <v>0.36391090009891192</v>
      </c>
      <c r="R54">
        <v>0.35683608308605341</v>
      </c>
      <c r="S54">
        <v>0.40680197823936692</v>
      </c>
      <c r="T54">
        <v>0.44438694362017811</v>
      </c>
      <c r="U54">
        <v>0.4669379228486647</v>
      </c>
      <c r="V54">
        <v>0.49081543026706231</v>
      </c>
      <c r="W54">
        <v>0.51336640949554879</v>
      </c>
      <c r="X54">
        <v>204.37819272417099</v>
      </c>
      <c r="Y54">
        <v>201.77011833905971</v>
      </c>
      <c r="Z54">
        <v>200.82172765356469</v>
      </c>
      <c r="AA54">
        <v>200.58462998219099</v>
      </c>
      <c r="AB54">
        <v>200.1104346394435</v>
      </c>
      <c r="AC54">
        <v>199.87333696806979</v>
      </c>
      <c r="AD54">
        <v>199.39914162532219</v>
      </c>
      <c r="AE54">
        <v>4.6970175797771354</v>
      </c>
      <c r="AF54">
        <v>4.6970175797771354</v>
      </c>
      <c r="AG54">
        <v>4.6970175797771354</v>
      </c>
      <c r="AH54">
        <v>4.6970175797771354</v>
      </c>
      <c r="AI54">
        <v>4.6970175797771354</v>
      </c>
      <c r="AJ54">
        <v>4.6970175797771354</v>
      </c>
      <c r="AK54">
        <v>4.6970175797771354</v>
      </c>
    </row>
    <row r="55" spans="1:37" x14ac:dyDescent="0.25">
      <c r="A55" t="s">
        <v>90</v>
      </c>
      <c r="B55" t="s">
        <v>91</v>
      </c>
      <c r="C55" t="s">
        <v>146</v>
      </c>
      <c r="F55" t="s">
        <v>118</v>
      </c>
      <c r="G55" t="s">
        <v>122</v>
      </c>
      <c r="H55" t="s">
        <v>123</v>
      </c>
      <c r="I55" t="s">
        <v>147</v>
      </c>
      <c r="J55" t="s">
        <v>156</v>
      </c>
      <c r="K55" t="s">
        <v>98</v>
      </c>
      <c r="L55">
        <v>0</v>
      </c>
      <c r="M55">
        <v>1</v>
      </c>
      <c r="N55">
        <v>2020</v>
      </c>
      <c r="O55">
        <v>18.828422487318921</v>
      </c>
      <c r="P55">
        <v>1</v>
      </c>
      <c r="Q55">
        <v>0.36391090009891192</v>
      </c>
      <c r="R55">
        <v>0.35683608308605341</v>
      </c>
      <c r="S55">
        <v>0.40680197823936692</v>
      </c>
      <c r="T55">
        <v>0.44438694362017811</v>
      </c>
      <c r="U55">
        <v>0.4669379228486647</v>
      </c>
      <c r="V55">
        <v>0.49081543026706231</v>
      </c>
      <c r="W55">
        <v>0.51336640949554879</v>
      </c>
      <c r="X55">
        <v>204.37819272417099</v>
      </c>
      <c r="Y55">
        <v>201.77011833905971</v>
      </c>
      <c r="Z55">
        <v>200.82172765356469</v>
      </c>
      <c r="AA55">
        <v>200.58462998219099</v>
      </c>
      <c r="AB55">
        <v>200.1104346394435</v>
      </c>
      <c r="AC55">
        <v>199.87333696806979</v>
      </c>
      <c r="AD55">
        <v>199.39914162532219</v>
      </c>
      <c r="AE55">
        <v>4.6970175797771354</v>
      </c>
      <c r="AF55">
        <v>4.6970175797771354</v>
      </c>
      <c r="AG55">
        <v>4.6970175797771354</v>
      </c>
      <c r="AH55">
        <v>4.6970175797771354</v>
      </c>
      <c r="AI55">
        <v>4.6970175797771354</v>
      </c>
      <c r="AJ55">
        <v>4.6970175797771354</v>
      </c>
      <c r="AK55">
        <v>4.6970175797771354</v>
      </c>
    </row>
    <row r="56" spans="1:37" x14ac:dyDescent="0.25">
      <c r="A56" t="s">
        <v>90</v>
      </c>
      <c r="B56" t="s">
        <v>91</v>
      </c>
      <c r="C56" t="s">
        <v>146</v>
      </c>
      <c r="F56" t="s">
        <v>118</v>
      </c>
      <c r="G56" t="s">
        <v>124</v>
      </c>
      <c r="H56" t="s">
        <v>125</v>
      </c>
      <c r="I56" t="s">
        <v>147</v>
      </c>
      <c r="J56" t="s">
        <v>156</v>
      </c>
      <c r="K56" t="s">
        <v>98</v>
      </c>
      <c r="L56">
        <v>0</v>
      </c>
      <c r="M56">
        <v>1</v>
      </c>
      <c r="N56">
        <v>2020</v>
      </c>
      <c r="O56">
        <v>18.828422487318921</v>
      </c>
      <c r="P56">
        <v>0.1</v>
      </c>
      <c r="Q56">
        <v>0.36391090009891192</v>
      </c>
      <c r="R56">
        <v>0.35683608308605341</v>
      </c>
      <c r="S56">
        <v>0.40680197823936692</v>
      </c>
      <c r="T56">
        <v>0.44438694362017811</v>
      </c>
      <c r="U56">
        <v>0.4669379228486647</v>
      </c>
      <c r="V56">
        <v>0.49081543026706231</v>
      </c>
      <c r="W56">
        <v>0.51336640949554879</v>
      </c>
      <c r="X56">
        <v>204.37819272417099</v>
      </c>
      <c r="Y56">
        <v>201.77011833905971</v>
      </c>
      <c r="Z56">
        <v>200.82172765356469</v>
      </c>
      <c r="AA56">
        <v>200.58462998219099</v>
      </c>
      <c r="AB56">
        <v>200.1104346394435</v>
      </c>
      <c r="AC56">
        <v>199.87333696806979</v>
      </c>
      <c r="AD56">
        <v>199.39914162532219</v>
      </c>
      <c r="AE56">
        <v>4.6970175797771354</v>
      </c>
      <c r="AF56">
        <v>4.6970175797771354</v>
      </c>
      <c r="AG56">
        <v>4.6970175797771354</v>
      </c>
      <c r="AH56">
        <v>4.6970175797771354</v>
      </c>
      <c r="AI56">
        <v>4.6970175797771354</v>
      </c>
      <c r="AJ56">
        <v>4.6970175797771354</v>
      </c>
      <c r="AK56">
        <v>4.6970175797771354</v>
      </c>
    </row>
    <row r="57" spans="1:37" x14ac:dyDescent="0.25">
      <c r="A57" t="s">
        <v>90</v>
      </c>
      <c r="B57" t="s">
        <v>91</v>
      </c>
      <c r="C57" t="s">
        <v>146</v>
      </c>
      <c r="F57" t="s">
        <v>126</v>
      </c>
      <c r="G57" t="s">
        <v>127</v>
      </c>
      <c r="H57" t="s">
        <v>128</v>
      </c>
      <c r="I57" t="s">
        <v>147</v>
      </c>
      <c r="J57" t="s">
        <v>157</v>
      </c>
      <c r="K57" t="s">
        <v>98</v>
      </c>
      <c r="L57">
        <v>1</v>
      </c>
      <c r="M57">
        <v>1</v>
      </c>
      <c r="N57">
        <v>2020</v>
      </c>
      <c r="O57">
        <v>18.828422487318921</v>
      </c>
      <c r="P57">
        <v>1</v>
      </c>
      <c r="Q57">
        <v>0.29670013847675569</v>
      </c>
      <c r="R57">
        <v>0.31969329376854588</v>
      </c>
      <c r="S57">
        <v>0.35639390702274981</v>
      </c>
      <c r="T57">
        <v>0.38292447082096942</v>
      </c>
      <c r="U57">
        <v>0.40193804154302659</v>
      </c>
      <c r="V57">
        <v>0.4213937883283877</v>
      </c>
      <c r="W57">
        <v>0.4412917111770524</v>
      </c>
      <c r="X57">
        <v>216.70727163560579</v>
      </c>
      <c r="Y57">
        <v>216.47017396423209</v>
      </c>
      <c r="Z57">
        <v>212.43951355087839</v>
      </c>
      <c r="AA57">
        <v>213.62500190774711</v>
      </c>
      <c r="AB57">
        <v>212.91370889362591</v>
      </c>
      <c r="AC57">
        <v>211.9653182081309</v>
      </c>
      <c r="AD57">
        <v>211.01692752263591</v>
      </c>
      <c r="AE57">
        <v>4.6970175797771354</v>
      </c>
      <c r="AF57">
        <v>4.6970175797771354</v>
      </c>
      <c r="AG57">
        <v>4.6970175797771354</v>
      </c>
      <c r="AH57">
        <v>4.6970175797771354</v>
      </c>
      <c r="AI57">
        <v>4.6970175797771354</v>
      </c>
      <c r="AJ57">
        <v>4.6970175797771354</v>
      </c>
      <c r="AK57">
        <v>4.6970175797771354</v>
      </c>
    </row>
    <row r="58" spans="1:37" x14ac:dyDescent="0.25">
      <c r="A58" t="s">
        <v>90</v>
      </c>
      <c r="B58" t="s">
        <v>91</v>
      </c>
      <c r="C58" t="s">
        <v>146</v>
      </c>
      <c r="F58" t="s">
        <v>126</v>
      </c>
      <c r="G58" t="s">
        <v>130</v>
      </c>
      <c r="H58" t="s">
        <v>131</v>
      </c>
      <c r="I58" t="s">
        <v>147</v>
      </c>
      <c r="J58" t="s">
        <v>157</v>
      </c>
      <c r="K58" t="s">
        <v>98</v>
      </c>
      <c r="L58">
        <v>0</v>
      </c>
      <c r="M58">
        <v>1</v>
      </c>
      <c r="N58">
        <v>2020</v>
      </c>
      <c r="O58">
        <v>18.828422487318921</v>
      </c>
      <c r="P58">
        <v>1</v>
      </c>
      <c r="Q58">
        <v>0.29670013847675569</v>
      </c>
      <c r="R58">
        <v>0.31969329376854588</v>
      </c>
      <c r="S58">
        <v>0.35639390702274981</v>
      </c>
      <c r="T58">
        <v>0.38292447082096942</v>
      </c>
      <c r="U58">
        <v>0.40193804154302659</v>
      </c>
      <c r="V58">
        <v>0.4213937883283877</v>
      </c>
      <c r="W58">
        <v>0.4412917111770524</v>
      </c>
      <c r="X58">
        <v>216.70727163560579</v>
      </c>
      <c r="Y58">
        <v>216.47017396423209</v>
      </c>
      <c r="Z58">
        <v>212.43951355087839</v>
      </c>
      <c r="AA58">
        <v>213.62500190774711</v>
      </c>
      <c r="AB58">
        <v>212.91370889362591</v>
      </c>
      <c r="AC58">
        <v>211.9653182081309</v>
      </c>
      <c r="AD58">
        <v>211.01692752263591</v>
      </c>
      <c r="AE58">
        <v>4.6970175797771354</v>
      </c>
      <c r="AF58">
        <v>4.6970175797771354</v>
      </c>
      <c r="AG58">
        <v>4.6970175797771354</v>
      </c>
      <c r="AH58">
        <v>4.6970175797771354</v>
      </c>
      <c r="AI58">
        <v>4.6970175797771354</v>
      </c>
      <c r="AJ58">
        <v>4.6970175797771354</v>
      </c>
      <c r="AK58">
        <v>4.6970175797771354</v>
      </c>
    </row>
    <row r="59" spans="1:37" x14ac:dyDescent="0.25">
      <c r="A59" t="s">
        <v>90</v>
      </c>
      <c r="B59" t="s">
        <v>91</v>
      </c>
      <c r="C59" t="s">
        <v>146</v>
      </c>
      <c r="F59" t="s">
        <v>132</v>
      </c>
      <c r="G59" t="s">
        <v>133</v>
      </c>
      <c r="H59" t="s">
        <v>134</v>
      </c>
      <c r="I59" t="s">
        <v>147</v>
      </c>
      <c r="J59" t="s">
        <v>158</v>
      </c>
      <c r="K59" t="s">
        <v>98</v>
      </c>
      <c r="L59">
        <v>1</v>
      </c>
      <c r="M59">
        <v>1</v>
      </c>
      <c r="N59">
        <v>2020</v>
      </c>
      <c r="O59">
        <v>18.828422487318921</v>
      </c>
      <c r="P59">
        <v>1</v>
      </c>
      <c r="Q59">
        <v>0.6734341444114742</v>
      </c>
      <c r="R59">
        <v>0.6968694757665681</v>
      </c>
      <c r="S59">
        <v>0.70925040553907026</v>
      </c>
      <c r="T59">
        <v>0.76054282888229485</v>
      </c>
      <c r="U59">
        <v>0.77955639960435208</v>
      </c>
      <c r="V59">
        <v>0.79901214638971307</v>
      </c>
      <c r="W59">
        <v>0.81758354104846653</v>
      </c>
      <c r="X59">
        <v>285.46559633399289</v>
      </c>
      <c r="Y59">
        <v>262.46712221073932</v>
      </c>
      <c r="Z59">
        <v>243.2622108294656</v>
      </c>
      <c r="AA59">
        <v>219.3153460207171</v>
      </c>
      <c r="AB59">
        <v>213.15080656499961</v>
      </c>
      <c r="AC59">
        <v>206.98626710928221</v>
      </c>
      <c r="AD59">
        <v>200.82172765356469</v>
      </c>
      <c r="AE59">
        <v>3.4264302505559221</v>
      </c>
      <c r="AF59">
        <v>3.4264302505559221</v>
      </c>
      <c r="AG59">
        <v>3.4264302505559221</v>
      </c>
      <c r="AH59">
        <v>3.4264302505559221</v>
      </c>
      <c r="AI59">
        <v>3.4264302505559221</v>
      </c>
      <c r="AJ59">
        <v>3.4264302505559221</v>
      </c>
      <c r="AK59">
        <v>3.4264302505559221</v>
      </c>
    </row>
    <row r="60" spans="1:37" x14ac:dyDescent="0.25">
      <c r="A60" t="s">
        <v>90</v>
      </c>
      <c r="B60" t="s">
        <v>91</v>
      </c>
      <c r="C60" t="s">
        <v>146</v>
      </c>
      <c r="F60" t="s">
        <v>136</v>
      </c>
      <c r="G60" t="s">
        <v>133</v>
      </c>
      <c r="H60" t="s">
        <v>134</v>
      </c>
      <c r="I60" t="s">
        <v>147</v>
      </c>
      <c r="J60" t="s">
        <v>159</v>
      </c>
      <c r="K60" t="s">
        <v>98</v>
      </c>
      <c r="L60">
        <v>1</v>
      </c>
      <c r="M60">
        <v>1</v>
      </c>
      <c r="N60">
        <v>2020</v>
      </c>
      <c r="O60">
        <v>18.828422487318921</v>
      </c>
      <c r="P60">
        <v>1</v>
      </c>
      <c r="Q60">
        <v>0.66370627101879298</v>
      </c>
      <c r="R60">
        <v>0.68714160237388744</v>
      </c>
      <c r="S60">
        <v>0.69908035608308594</v>
      </c>
      <c r="T60">
        <v>0.75037277942631053</v>
      </c>
      <c r="U60">
        <v>0.76938635014836798</v>
      </c>
      <c r="V60">
        <v>0.78795774480712133</v>
      </c>
      <c r="W60">
        <v>0.80652913946587568</v>
      </c>
      <c r="X60">
        <v>295.1866008603165</v>
      </c>
      <c r="Y60">
        <v>271.00263838019418</v>
      </c>
      <c r="Z60">
        <v>251.56062932754691</v>
      </c>
      <c r="AA60">
        <v>226.19117849055581</v>
      </c>
      <c r="AB60">
        <v>219.78954136346451</v>
      </c>
      <c r="AC60">
        <v>213.15080656499961</v>
      </c>
      <c r="AD60">
        <v>206.74916943790839</v>
      </c>
      <c r="AE60">
        <v>3.4264302505559221</v>
      </c>
      <c r="AF60">
        <v>3.4264302505559221</v>
      </c>
      <c r="AG60">
        <v>3.4264302505559221</v>
      </c>
      <c r="AH60">
        <v>3.4264302505559221</v>
      </c>
      <c r="AI60">
        <v>3.4264302505559221</v>
      </c>
      <c r="AJ60">
        <v>3.4264302505559221</v>
      </c>
      <c r="AK60">
        <v>3.4264302505559221</v>
      </c>
    </row>
    <row r="61" spans="1:37" x14ac:dyDescent="0.25">
      <c r="A61" t="s">
        <v>90</v>
      </c>
      <c r="B61" t="s">
        <v>91</v>
      </c>
      <c r="C61" t="s">
        <v>146</v>
      </c>
      <c r="F61" t="s">
        <v>138</v>
      </c>
      <c r="G61" t="s">
        <v>114</v>
      </c>
      <c r="H61" t="s">
        <v>115</v>
      </c>
      <c r="I61" t="s">
        <v>147</v>
      </c>
      <c r="J61" t="s">
        <v>160</v>
      </c>
      <c r="K61" t="s">
        <v>98</v>
      </c>
      <c r="L61">
        <v>1</v>
      </c>
      <c r="M61">
        <v>1</v>
      </c>
      <c r="N61">
        <v>2020</v>
      </c>
      <c r="O61">
        <v>18.828422487318921</v>
      </c>
      <c r="P61">
        <v>1</v>
      </c>
      <c r="Q61">
        <v>1.482174164193867</v>
      </c>
      <c r="R61">
        <v>1.550269277942631</v>
      </c>
      <c r="S61">
        <v>1.578568545994065</v>
      </c>
      <c r="T61">
        <v>1.7289084075173089</v>
      </c>
      <c r="U61">
        <v>1.7908130563798219</v>
      </c>
      <c r="V61">
        <v>1.852717705242334</v>
      </c>
      <c r="W61">
        <v>1.92346587537092</v>
      </c>
      <c r="X61">
        <v>218.84115067796961</v>
      </c>
      <c r="Y61">
        <v>204.85238806691851</v>
      </c>
      <c r="Z61">
        <v>185.41037901427109</v>
      </c>
      <c r="AA61">
        <v>173.31839777421001</v>
      </c>
      <c r="AB61">
        <v>167.86515133261369</v>
      </c>
      <c r="AC61">
        <v>162.17480721964381</v>
      </c>
      <c r="AD61">
        <v>156.24736543530011</v>
      </c>
      <c r="AE61">
        <v>3.3332454513860799</v>
      </c>
      <c r="AF61">
        <v>3.3332454513860799</v>
      </c>
      <c r="AG61">
        <v>3.3332454513860799</v>
      </c>
      <c r="AH61">
        <v>3.3332454513860799</v>
      </c>
      <c r="AI61">
        <v>3.3332454513860799</v>
      </c>
      <c r="AJ61">
        <v>3.3332454513860799</v>
      </c>
      <c r="AK61">
        <v>3.3332454513860799</v>
      </c>
    </row>
    <row r="62" spans="1:37" x14ac:dyDescent="0.25">
      <c r="A62" t="s">
        <v>90</v>
      </c>
      <c r="B62" t="s">
        <v>91</v>
      </c>
      <c r="C62" t="s">
        <v>146</v>
      </c>
      <c r="F62" t="s">
        <v>140</v>
      </c>
      <c r="G62" t="s">
        <v>114</v>
      </c>
      <c r="H62" t="s">
        <v>115</v>
      </c>
      <c r="I62" t="s">
        <v>147</v>
      </c>
      <c r="J62" t="s">
        <v>161</v>
      </c>
      <c r="K62" t="s">
        <v>98</v>
      </c>
      <c r="L62">
        <v>1</v>
      </c>
      <c r="M62">
        <v>1</v>
      </c>
      <c r="N62">
        <v>2020</v>
      </c>
      <c r="O62">
        <v>18.828422487318921</v>
      </c>
      <c r="P62">
        <v>1</v>
      </c>
      <c r="Q62">
        <v>1.4158477546983179</v>
      </c>
      <c r="R62">
        <v>1.4835006923837779</v>
      </c>
      <c r="S62">
        <v>1.527718298714144</v>
      </c>
      <c r="T62">
        <v>1.6758472799208699</v>
      </c>
      <c r="U62">
        <v>1.7377519287833829</v>
      </c>
      <c r="V62">
        <v>1.795234817012858</v>
      </c>
      <c r="W62">
        <v>1.870404747774481</v>
      </c>
      <c r="X62">
        <v>260.80743851112311</v>
      </c>
      <c r="Y62">
        <v>241.36542945847569</v>
      </c>
      <c r="Z62">
        <v>212.20241587950471</v>
      </c>
      <c r="AA62">
        <v>194.89428586922099</v>
      </c>
      <c r="AB62">
        <v>186.83296504251359</v>
      </c>
      <c r="AC62">
        <v>178.77164421580611</v>
      </c>
      <c r="AD62">
        <v>170.7103233890987</v>
      </c>
      <c r="AE62">
        <v>3.3332454513860799</v>
      </c>
      <c r="AF62">
        <v>3.3332454513860799</v>
      </c>
      <c r="AG62">
        <v>3.3332454513860799</v>
      </c>
      <c r="AH62">
        <v>3.3332454513860799</v>
      </c>
      <c r="AI62">
        <v>3.3332454513860799</v>
      </c>
      <c r="AJ62">
        <v>3.3332454513860799</v>
      </c>
      <c r="AK62">
        <v>3.3332454513860799</v>
      </c>
    </row>
    <row r="63" spans="1:37" x14ac:dyDescent="0.25">
      <c r="A63" t="s">
        <v>90</v>
      </c>
      <c r="B63" t="s">
        <v>91</v>
      </c>
      <c r="C63" t="s">
        <v>146</v>
      </c>
      <c r="F63" t="s">
        <v>142</v>
      </c>
      <c r="G63" t="s">
        <v>114</v>
      </c>
      <c r="H63" t="s">
        <v>115</v>
      </c>
      <c r="I63" t="s">
        <v>147</v>
      </c>
      <c r="J63" t="s">
        <v>162</v>
      </c>
      <c r="K63" t="s">
        <v>98</v>
      </c>
      <c r="L63">
        <v>1</v>
      </c>
      <c r="M63">
        <v>1</v>
      </c>
      <c r="N63">
        <v>2020</v>
      </c>
      <c r="O63">
        <v>18.828422487318921</v>
      </c>
      <c r="P63">
        <v>1</v>
      </c>
      <c r="Q63">
        <v>1.272582710187933</v>
      </c>
      <c r="R63">
        <v>1.3309499505440161</v>
      </c>
      <c r="S63">
        <v>1.393296775469832</v>
      </c>
      <c r="T63">
        <v>1.5334665875370921</v>
      </c>
      <c r="U63">
        <v>1.5874120672601379</v>
      </c>
      <c r="V63">
        <v>1.6537384767556871</v>
      </c>
      <c r="W63">
        <v>1.7156431256182001</v>
      </c>
      <c r="X63">
        <v>319.37056334043882</v>
      </c>
      <c r="Y63">
        <v>292.34142880383149</v>
      </c>
      <c r="Z63">
        <v>248.71545727106189</v>
      </c>
      <c r="AA63">
        <v>224.05729944819211</v>
      </c>
      <c r="AB63">
        <v>212.91370889362591</v>
      </c>
      <c r="AC63">
        <v>201.533020667686</v>
      </c>
      <c r="AD63">
        <v>190.1523324417461</v>
      </c>
      <c r="AE63">
        <v>3.3332454513860799</v>
      </c>
      <c r="AF63">
        <v>3.3332454513860799</v>
      </c>
      <c r="AG63">
        <v>3.3332454513860799</v>
      </c>
      <c r="AH63">
        <v>3.3332454513860799</v>
      </c>
      <c r="AI63">
        <v>3.3332454513860799</v>
      </c>
      <c r="AJ63">
        <v>3.3332454513860799</v>
      </c>
      <c r="AK63">
        <v>3.3332454513860799</v>
      </c>
    </row>
    <row r="64" spans="1:37" x14ac:dyDescent="0.25">
      <c r="A64" t="s">
        <v>90</v>
      </c>
      <c r="B64" t="s">
        <v>91</v>
      </c>
      <c r="C64" t="s">
        <v>146</v>
      </c>
      <c r="F64" t="s">
        <v>144</v>
      </c>
      <c r="G64" t="s">
        <v>114</v>
      </c>
      <c r="H64" t="s">
        <v>115</v>
      </c>
      <c r="I64" t="s">
        <v>147</v>
      </c>
      <c r="J64" t="s">
        <v>163</v>
      </c>
      <c r="K64" t="s">
        <v>98</v>
      </c>
      <c r="L64">
        <v>1</v>
      </c>
      <c r="M64">
        <v>1</v>
      </c>
      <c r="N64">
        <v>2020</v>
      </c>
      <c r="O64">
        <v>18.828422487318921</v>
      </c>
      <c r="P64">
        <v>1</v>
      </c>
      <c r="Q64">
        <v>1.1483312363996041</v>
      </c>
      <c r="R64">
        <v>1.2031610682492579</v>
      </c>
      <c r="S64">
        <v>1.2880588724035611</v>
      </c>
      <c r="T64">
        <v>1.411425994065282</v>
      </c>
      <c r="U64">
        <v>1.466698001978239</v>
      </c>
      <c r="V64">
        <v>1.523738714144411</v>
      </c>
      <c r="W64">
        <v>1.5874120672601379</v>
      </c>
      <c r="X64">
        <v>389.31437639569458</v>
      </c>
      <c r="Y64">
        <v>352.80133500413729</v>
      </c>
      <c r="Z64">
        <v>289.7333544187203</v>
      </c>
      <c r="AA64">
        <v>257.013875769143</v>
      </c>
      <c r="AB64">
        <v>241.83962480122321</v>
      </c>
      <c r="AC64">
        <v>227.1395691760508</v>
      </c>
      <c r="AD64">
        <v>212.2024158795046</v>
      </c>
      <c r="AE64">
        <v>3.3332454513860799</v>
      </c>
      <c r="AF64">
        <v>3.3332454513860799</v>
      </c>
      <c r="AG64">
        <v>3.3332454513860799</v>
      </c>
      <c r="AH64">
        <v>3.3332454513860799</v>
      </c>
      <c r="AI64">
        <v>3.3332454513860799</v>
      </c>
      <c r="AJ64">
        <v>3.3332454513860799</v>
      </c>
      <c r="AK64">
        <v>3.3332454513860799</v>
      </c>
    </row>
    <row r="65" spans="1:37" x14ac:dyDescent="0.25">
      <c r="A65" t="s">
        <v>90</v>
      </c>
      <c r="B65" t="s">
        <v>91</v>
      </c>
      <c r="C65" t="s">
        <v>164</v>
      </c>
      <c r="F65" t="s">
        <v>93</v>
      </c>
      <c r="G65" t="s">
        <v>94</v>
      </c>
      <c r="H65" t="s">
        <v>95</v>
      </c>
      <c r="I65" t="s">
        <v>165</v>
      </c>
      <c r="J65" t="s">
        <v>166</v>
      </c>
      <c r="K65" t="s">
        <v>98</v>
      </c>
      <c r="L65">
        <v>1</v>
      </c>
      <c r="M65">
        <v>1</v>
      </c>
      <c r="N65">
        <v>2020</v>
      </c>
      <c r="O65">
        <v>85.500534378339864</v>
      </c>
      <c r="P65">
        <v>1</v>
      </c>
      <c r="Q65">
        <v>0.3966319287833826</v>
      </c>
      <c r="R65">
        <v>0.38999928783382759</v>
      </c>
      <c r="S65">
        <v>0.45367264094955512</v>
      </c>
      <c r="T65">
        <v>0.49744807121661722</v>
      </c>
      <c r="U65">
        <v>0.52265210682492591</v>
      </c>
      <c r="V65">
        <v>0.5465296142433238</v>
      </c>
      <c r="W65">
        <v>0.57173364985163189</v>
      </c>
      <c r="X65">
        <v>137.27955172540021</v>
      </c>
      <c r="Y65">
        <v>136.56825871127899</v>
      </c>
      <c r="Z65">
        <v>140.12472378188519</v>
      </c>
      <c r="AA65">
        <v>146.5263609089765</v>
      </c>
      <c r="AB65">
        <v>146.5263609089765</v>
      </c>
      <c r="AC65">
        <v>145.81506789485519</v>
      </c>
      <c r="AD65">
        <v>145.81506789485519</v>
      </c>
      <c r="AE65">
        <v>1.0315764034964729</v>
      </c>
      <c r="AF65">
        <v>1.0315764034964729</v>
      </c>
      <c r="AG65">
        <v>1.0315764034964729</v>
      </c>
      <c r="AH65">
        <v>1.0315764034964729</v>
      </c>
      <c r="AI65">
        <v>1.0315764034964729</v>
      </c>
      <c r="AJ65">
        <v>1.0315764034964729</v>
      </c>
      <c r="AK65">
        <v>1.0315764034964729</v>
      </c>
    </row>
    <row r="66" spans="1:37" x14ac:dyDescent="0.25">
      <c r="A66" t="s">
        <v>90</v>
      </c>
      <c r="B66" t="s">
        <v>91</v>
      </c>
      <c r="C66" t="s">
        <v>164</v>
      </c>
      <c r="F66" t="s">
        <v>93</v>
      </c>
      <c r="G66" t="s">
        <v>99</v>
      </c>
      <c r="H66" t="s">
        <v>100</v>
      </c>
      <c r="I66" t="s">
        <v>165</v>
      </c>
      <c r="J66" t="s">
        <v>166</v>
      </c>
      <c r="K66" t="s">
        <v>98</v>
      </c>
      <c r="L66">
        <v>0</v>
      </c>
      <c r="M66">
        <v>1</v>
      </c>
      <c r="N66">
        <v>2020</v>
      </c>
      <c r="O66">
        <v>85.500534378339864</v>
      </c>
      <c r="P66">
        <v>0.1</v>
      </c>
      <c r="Q66">
        <v>0.3966319287833826</v>
      </c>
      <c r="R66">
        <v>0.38999928783382759</v>
      </c>
      <c r="S66">
        <v>0.45367264094955512</v>
      </c>
      <c r="T66">
        <v>0.49744807121661722</v>
      </c>
      <c r="U66">
        <v>0.52265210682492591</v>
      </c>
      <c r="V66">
        <v>0.5465296142433238</v>
      </c>
      <c r="W66">
        <v>0.57173364985163189</v>
      </c>
      <c r="X66">
        <v>137.27955172540021</v>
      </c>
      <c r="Y66">
        <v>136.56825871127899</v>
      </c>
      <c r="Z66">
        <v>140.12472378188519</v>
      </c>
      <c r="AA66">
        <v>146.5263609089765</v>
      </c>
      <c r="AB66">
        <v>146.5263609089765</v>
      </c>
      <c r="AC66">
        <v>145.81506789485519</v>
      </c>
      <c r="AD66">
        <v>145.81506789485519</v>
      </c>
      <c r="AE66">
        <v>1.0315764034964729</v>
      </c>
      <c r="AF66">
        <v>1.0315764034964729</v>
      </c>
      <c r="AG66">
        <v>1.0315764034964729</v>
      </c>
      <c r="AH66">
        <v>1.0315764034964729</v>
      </c>
      <c r="AI66">
        <v>1.0315764034964729</v>
      </c>
      <c r="AJ66">
        <v>1.0315764034964729</v>
      </c>
      <c r="AK66">
        <v>1.0315764034964729</v>
      </c>
    </row>
    <row r="67" spans="1:37" x14ac:dyDescent="0.25">
      <c r="A67" t="s">
        <v>90</v>
      </c>
      <c r="B67" t="s">
        <v>91</v>
      </c>
      <c r="C67" t="s">
        <v>164</v>
      </c>
      <c r="F67" t="s">
        <v>101</v>
      </c>
      <c r="G67" t="s">
        <v>94</v>
      </c>
      <c r="H67" t="s">
        <v>95</v>
      </c>
      <c r="I67" t="s">
        <v>165</v>
      </c>
      <c r="J67" t="s">
        <v>167</v>
      </c>
      <c r="K67" t="s">
        <v>98</v>
      </c>
      <c r="L67">
        <v>1</v>
      </c>
      <c r="M67">
        <v>1</v>
      </c>
      <c r="N67">
        <v>2020</v>
      </c>
      <c r="O67">
        <v>85.500534378339864</v>
      </c>
      <c r="P67">
        <v>1</v>
      </c>
      <c r="Q67">
        <v>0.43908083086053429</v>
      </c>
      <c r="R67">
        <v>0.43510124629080099</v>
      </c>
      <c r="S67">
        <v>0.48816237388723999</v>
      </c>
      <c r="T67">
        <v>0.53061127596439173</v>
      </c>
      <c r="U67">
        <v>0.5597948961424335</v>
      </c>
      <c r="V67">
        <v>0.58897851632047493</v>
      </c>
      <c r="W67">
        <v>0.61948866468842767</v>
      </c>
      <c r="X67">
        <v>145.10377488073391</v>
      </c>
      <c r="Y67">
        <v>143.6811888524914</v>
      </c>
      <c r="Z67">
        <v>147.23765392309761</v>
      </c>
      <c r="AA67">
        <v>153.63929105018889</v>
      </c>
      <c r="AB67">
        <v>152.92799803606749</v>
      </c>
      <c r="AC67">
        <v>152.92799803606749</v>
      </c>
      <c r="AD67">
        <v>152.2167050219465</v>
      </c>
      <c r="AE67">
        <v>1.0315764034964729</v>
      </c>
      <c r="AF67">
        <v>1.0315764034964729</v>
      </c>
      <c r="AG67">
        <v>1.0315764034964729</v>
      </c>
      <c r="AH67">
        <v>1.0315764034964729</v>
      </c>
      <c r="AI67">
        <v>1.0315764034964729</v>
      </c>
      <c r="AJ67">
        <v>1.0315764034964729</v>
      </c>
      <c r="AK67">
        <v>1.0315764034964729</v>
      </c>
    </row>
    <row r="68" spans="1:37" x14ac:dyDescent="0.25">
      <c r="A68" t="s">
        <v>90</v>
      </c>
      <c r="B68" t="s">
        <v>91</v>
      </c>
      <c r="C68" t="s">
        <v>164</v>
      </c>
      <c r="F68" t="s">
        <v>101</v>
      </c>
      <c r="G68" t="s">
        <v>99</v>
      </c>
      <c r="H68" t="s">
        <v>100</v>
      </c>
      <c r="I68" t="s">
        <v>165</v>
      </c>
      <c r="J68" t="s">
        <v>167</v>
      </c>
      <c r="K68" t="s">
        <v>98</v>
      </c>
      <c r="L68">
        <v>0</v>
      </c>
      <c r="M68">
        <v>1</v>
      </c>
      <c r="N68">
        <v>2020</v>
      </c>
      <c r="O68">
        <v>85.500534378339864</v>
      </c>
      <c r="P68">
        <v>0.1</v>
      </c>
      <c r="Q68">
        <v>0.43908083086053429</v>
      </c>
      <c r="R68">
        <v>0.43510124629080099</v>
      </c>
      <c r="S68">
        <v>0.48816237388723999</v>
      </c>
      <c r="T68">
        <v>0.53061127596439173</v>
      </c>
      <c r="U68">
        <v>0.5597948961424335</v>
      </c>
      <c r="V68">
        <v>0.58897851632047493</v>
      </c>
      <c r="W68">
        <v>0.61948866468842767</v>
      </c>
      <c r="X68">
        <v>145.10377488073391</v>
      </c>
      <c r="Y68">
        <v>143.6811888524914</v>
      </c>
      <c r="Z68">
        <v>147.23765392309761</v>
      </c>
      <c r="AA68">
        <v>153.63929105018889</v>
      </c>
      <c r="AB68">
        <v>152.92799803606749</v>
      </c>
      <c r="AC68">
        <v>152.92799803606749</v>
      </c>
      <c r="AD68">
        <v>152.2167050219465</v>
      </c>
      <c r="AE68">
        <v>1.0315764034964729</v>
      </c>
      <c r="AF68">
        <v>1.0315764034964729</v>
      </c>
      <c r="AG68">
        <v>1.0315764034964729</v>
      </c>
      <c r="AH68">
        <v>1.0315764034964729</v>
      </c>
      <c r="AI68">
        <v>1.0315764034964729</v>
      </c>
      <c r="AJ68">
        <v>1.0315764034964729</v>
      </c>
      <c r="AK68">
        <v>1.0315764034964729</v>
      </c>
    </row>
    <row r="69" spans="1:37" x14ac:dyDescent="0.25">
      <c r="A69" t="s">
        <v>90</v>
      </c>
      <c r="B69" t="s">
        <v>91</v>
      </c>
      <c r="C69" t="s">
        <v>164</v>
      </c>
      <c r="F69" t="s">
        <v>103</v>
      </c>
      <c r="G69" t="s">
        <v>94</v>
      </c>
      <c r="H69" t="s">
        <v>95</v>
      </c>
      <c r="I69" t="s">
        <v>165</v>
      </c>
      <c r="J69" t="s">
        <v>168</v>
      </c>
      <c r="K69" t="s">
        <v>98</v>
      </c>
      <c r="L69">
        <v>1</v>
      </c>
      <c r="M69">
        <v>1</v>
      </c>
      <c r="N69">
        <v>2020</v>
      </c>
      <c r="O69">
        <v>85.500534378339864</v>
      </c>
      <c r="P69">
        <v>1</v>
      </c>
      <c r="Q69">
        <v>0.40724415430267091</v>
      </c>
      <c r="R69">
        <v>0.39928498516320488</v>
      </c>
      <c r="S69">
        <v>0.46428486646884271</v>
      </c>
      <c r="T69">
        <v>0.51071335311572696</v>
      </c>
      <c r="U69">
        <v>0.53591738872403571</v>
      </c>
      <c r="V69">
        <v>0.56112142433234391</v>
      </c>
      <c r="W69">
        <v>0.58765198813056352</v>
      </c>
      <c r="X69">
        <v>138.7021377536428</v>
      </c>
      <c r="Y69">
        <v>137.99084473952149</v>
      </c>
      <c r="Z69">
        <v>141.54730981012759</v>
      </c>
      <c r="AA69">
        <v>147.94894693721901</v>
      </c>
      <c r="AB69">
        <v>147.23765392309761</v>
      </c>
      <c r="AC69">
        <v>147.23765392309761</v>
      </c>
      <c r="AD69">
        <v>146.5263609089765</v>
      </c>
      <c r="AE69">
        <v>0.97334225168618782</v>
      </c>
      <c r="AF69">
        <v>0.97334225168618782</v>
      </c>
      <c r="AG69">
        <v>0.97334225168618782</v>
      </c>
      <c r="AH69">
        <v>0.97334225168618782</v>
      </c>
      <c r="AI69">
        <v>0.97334225168618782</v>
      </c>
      <c r="AJ69">
        <v>0.97334225168618782</v>
      </c>
      <c r="AK69">
        <v>0.97334225168618782</v>
      </c>
    </row>
    <row r="70" spans="1:37" x14ac:dyDescent="0.25">
      <c r="A70" t="s">
        <v>90</v>
      </c>
      <c r="B70" t="s">
        <v>91</v>
      </c>
      <c r="C70" t="s">
        <v>164</v>
      </c>
      <c r="F70" t="s">
        <v>103</v>
      </c>
      <c r="G70" t="s">
        <v>99</v>
      </c>
      <c r="H70" t="s">
        <v>100</v>
      </c>
      <c r="I70" t="s">
        <v>165</v>
      </c>
      <c r="J70" t="s">
        <v>168</v>
      </c>
      <c r="K70" t="s">
        <v>98</v>
      </c>
      <c r="L70">
        <v>0</v>
      </c>
      <c r="M70">
        <v>1</v>
      </c>
      <c r="N70">
        <v>2020</v>
      </c>
      <c r="O70">
        <v>85.500534378339864</v>
      </c>
      <c r="P70">
        <v>0.1</v>
      </c>
      <c r="Q70">
        <v>0.40724415430267091</v>
      </c>
      <c r="R70">
        <v>0.39928498516320488</v>
      </c>
      <c r="S70">
        <v>0.46428486646884271</v>
      </c>
      <c r="T70">
        <v>0.51071335311572696</v>
      </c>
      <c r="U70">
        <v>0.53591738872403571</v>
      </c>
      <c r="V70">
        <v>0.56112142433234391</v>
      </c>
      <c r="W70">
        <v>0.58765198813056352</v>
      </c>
      <c r="X70">
        <v>138.7021377536428</v>
      </c>
      <c r="Y70">
        <v>137.99084473952149</v>
      </c>
      <c r="Z70">
        <v>141.54730981012759</v>
      </c>
      <c r="AA70">
        <v>147.94894693721901</v>
      </c>
      <c r="AB70">
        <v>147.23765392309761</v>
      </c>
      <c r="AC70">
        <v>147.23765392309761</v>
      </c>
      <c r="AD70">
        <v>146.5263609089765</v>
      </c>
      <c r="AE70">
        <v>0.97334225168618782</v>
      </c>
      <c r="AF70">
        <v>0.97334225168618782</v>
      </c>
      <c r="AG70">
        <v>0.97334225168618782</v>
      </c>
      <c r="AH70">
        <v>0.97334225168618782</v>
      </c>
      <c r="AI70">
        <v>0.97334225168618782</v>
      </c>
      <c r="AJ70">
        <v>0.97334225168618782</v>
      </c>
      <c r="AK70">
        <v>0.97334225168618782</v>
      </c>
    </row>
    <row r="71" spans="1:37" x14ac:dyDescent="0.25">
      <c r="A71" t="s">
        <v>90</v>
      </c>
      <c r="B71" t="s">
        <v>91</v>
      </c>
      <c r="C71" t="s">
        <v>164</v>
      </c>
      <c r="F71" t="s">
        <v>105</v>
      </c>
      <c r="G71" t="s">
        <v>94</v>
      </c>
      <c r="H71" t="s">
        <v>95</v>
      </c>
      <c r="I71" t="s">
        <v>165</v>
      </c>
      <c r="J71" t="s">
        <v>169</v>
      </c>
      <c r="K71" t="s">
        <v>98</v>
      </c>
      <c r="L71">
        <v>1</v>
      </c>
      <c r="M71">
        <v>1</v>
      </c>
      <c r="N71">
        <v>2020</v>
      </c>
      <c r="O71">
        <v>85.500534378339864</v>
      </c>
      <c r="P71">
        <v>1</v>
      </c>
      <c r="Q71">
        <v>0.44571347181008908</v>
      </c>
      <c r="R71">
        <v>0.44173388724035578</v>
      </c>
      <c r="S71">
        <v>0.49744807121661722</v>
      </c>
      <c r="T71">
        <v>0.54122350148367915</v>
      </c>
      <c r="U71">
        <v>0.57040712166172114</v>
      </c>
      <c r="V71">
        <v>0.60091727002967321</v>
      </c>
      <c r="W71">
        <v>0.63142741839762584</v>
      </c>
      <c r="X71">
        <v>146.5263609089765</v>
      </c>
      <c r="Y71">
        <v>145.10377488073391</v>
      </c>
      <c r="Z71">
        <v>147.94894693721901</v>
      </c>
      <c r="AA71">
        <v>154.35058406431</v>
      </c>
      <c r="AB71">
        <v>154.35058406431</v>
      </c>
      <c r="AC71">
        <v>153.63929105018889</v>
      </c>
      <c r="AD71">
        <v>153.63929105018889</v>
      </c>
      <c r="AE71">
        <v>0.97334225168618782</v>
      </c>
      <c r="AF71">
        <v>0.97334225168618782</v>
      </c>
      <c r="AG71">
        <v>0.97334225168618782</v>
      </c>
      <c r="AH71">
        <v>0.97334225168618782</v>
      </c>
      <c r="AI71">
        <v>0.97334225168618782</v>
      </c>
      <c r="AJ71">
        <v>0.97334225168618782</v>
      </c>
      <c r="AK71">
        <v>0.97334225168618782</v>
      </c>
    </row>
    <row r="72" spans="1:37" x14ac:dyDescent="0.25">
      <c r="A72" t="s">
        <v>90</v>
      </c>
      <c r="B72" t="s">
        <v>91</v>
      </c>
      <c r="C72" t="s">
        <v>164</v>
      </c>
      <c r="F72" t="s">
        <v>105</v>
      </c>
      <c r="G72" t="s">
        <v>99</v>
      </c>
      <c r="H72" t="s">
        <v>100</v>
      </c>
      <c r="I72" t="s">
        <v>165</v>
      </c>
      <c r="J72" t="s">
        <v>169</v>
      </c>
      <c r="K72" t="s">
        <v>98</v>
      </c>
      <c r="L72">
        <v>0</v>
      </c>
      <c r="M72">
        <v>1</v>
      </c>
      <c r="N72">
        <v>2020</v>
      </c>
      <c r="O72">
        <v>85.500534378339864</v>
      </c>
      <c r="P72">
        <v>0.1</v>
      </c>
      <c r="Q72">
        <v>0.44571347181008908</v>
      </c>
      <c r="R72">
        <v>0.44173388724035578</v>
      </c>
      <c r="S72">
        <v>0.49744807121661722</v>
      </c>
      <c r="T72">
        <v>0.54122350148367915</v>
      </c>
      <c r="U72">
        <v>0.57040712166172114</v>
      </c>
      <c r="V72">
        <v>0.60091727002967321</v>
      </c>
      <c r="W72">
        <v>0.63142741839762584</v>
      </c>
      <c r="X72">
        <v>146.5263609089765</v>
      </c>
      <c r="Y72">
        <v>145.10377488073391</v>
      </c>
      <c r="Z72">
        <v>147.94894693721901</v>
      </c>
      <c r="AA72">
        <v>154.35058406431</v>
      </c>
      <c r="AB72">
        <v>154.35058406431</v>
      </c>
      <c r="AC72">
        <v>153.63929105018889</v>
      </c>
      <c r="AD72">
        <v>153.63929105018889</v>
      </c>
      <c r="AE72">
        <v>0.97334225168618782</v>
      </c>
      <c r="AF72">
        <v>0.97334225168618782</v>
      </c>
      <c r="AG72">
        <v>0.97334225168618782</v>
      </c>
      <c r="AH72">
        <v>0.97334225168618782</v>
      </c>
      <c r="AI72">
        <v>0.97334225168618782</v>
      </c>
      <c r="AJ72">
        <v>0.97334225168618782</v>
      </c>
      <c r="AK72">
        <v>0.97334225168618782</v>
      </c>
    </row>
    <row r="73" spans="1:37" x14ac:dyDescent="0.25">
      <c r="A73" t="s">
        <v>90</v>
      </c>
      <c r="B73" t="s">
        <v>91</v>
      </c>
      <c r="C73" t="s">
        <v>164</v>
      </c>
      <c r="F73" t="s">
        <v>107</v>
      </c>
      <c r="G73" t="s">
        <v>94</v>
      </c>
      <c r="H73" t="s">
        <v>95</v>
      </c>
      <c r="I73" t="s">
        <v>165</v>
      </c>
      <c r="J73" t="s">
        <v>170</v>
      </c>
      <c r="K73" t="s">
        <v>98</v>
      </c>
      <c r="L73">
        <v>1</v>
      </c>
      <c r="M73">
        <v>1</v>
      </c>
      <c r="N73">
        <v>2020</v>
      </c>
      <c r="O73">
        <v>85.500534378339864</v>
      </c>
      <c r="P73">
        <v>1</v>
      </c>
      <c r="Q73">
        <v>0.4178563798219585</v>
      </c>
      <c r="R73">
        <v>0.40989721068249241</v>
      </c>
      <c r="S73">
        <v>0.47887667655786348</v>
      </c>
      <c r="T73">
        <v>0.52397863501483688</v>
      </c>
      <c r="U73">
        <v>0.55316225519287865</v>
      </c>
      <c r="V73">
        <v>0.58101934718100867</v>
      </c>
      <c r="W73">
        <v>0.61020296735905044</v>
      </c>
      <c r="X73">
        <v>142.96989583837009</v>
      </c>
      <c r="Y73">
        <v>141.54730981012759</v>
      </c>
      <c r="Z73">
        <v>144.39248186661271</v>
      </c>
      <c r="AA73">
        <v>150.08282597958271</v>
      </c>
      <c r="AB73">
        <v>149.3715329654614</v>
      </c>
      <c r="AC73">
        <v>149.3715329654614</v>
      </c>
      <c r="AD73">
        <v>148.66023995134009</v>
      </c>
      <c r="AE73">
        <v>0.97334225168618782</v>
      </c>
      <c r="AF73">
        <v>0.97334225168618782</v>
      </c>
      <c r="AG73">
        <v>0.97334225168618782</v>
      </c>
      <c r="AH73">
        <v>0.97334225168618782</v>
      </c>
      <c r="AI73">
        <v>0.97334225168618782</v>
      </c>
      <c r="AJ73">
        <v>0.97334225168618782</v>
      </c>
      <c r="AK73">
        <v>0.97334225168618782</v>
      </c>
    </row>
    <row r="74" spans="1:37" x14ac:dyDescent="0.25">
      <c r="A74" t="s">
        <v>90</v>
      </c>
      <c r="B74" t="s">
        <v>91</v>
      </c>
      <c r="C74" t="s">
        <v>164</v>
      </c>
      <c r="F74" t="s">
        <v>107</v>
      </c>
      <c r="G74" t="s">
        <v>99</v>
      </c>
      <c r="H74" t="s">
        <v>100</v>
      </c>
      <c r="I74" t="s">
        <v>165</v>
      </c>
      <c r="J74" t="s">
        <v>170</v>
      </c>
      <c r="K74" t="s">
        <v>98</v>
      </c>
      <c r="L74">
        <v>0</v>
      </c>
      <c r="M74">
        <v>1</v>
      </c>
      <c r="N74">
        <v>2020</v>
      </c>
      <c r="O74">
        <v>85.500534378339864</v>
      </c>
      <c r="P74">
        <v>0.1</v>
      </c>
      <c r="Q74">
        <v>0.4178563798219585</v>
      </c>
      <c r="R74">
        <v>0.40989721068249241</v>
      </c>
      <c r="S74">
        <v>0.47887667655786348</v>
      </c>
      <c r="T74">
        <v>0.52397863501483688</v>
      </c>
      <c r="U74">
        <v>0.55316225519287865</v>
      </c>
      <c r="V74">
        <v>0.58101934718100867</v>
      </c>
      <c r="W74">
        <v>0.61020296735905044</v>
      </c>
      <c r="X74">
        <v>142.96989583837009</v>
      </c>
      <c r="Y74">
        <v>141.54730981012759</v>
      </c>
      <c r="Z74">
        <v>144.39248186661271</v>
      </c>
      <c r="AA74">
        <v>150.08282597958271</v>
      </c>
      <c r="AB74">
        <v>149.3715329654614</v>
      </c>
      <c r="AC74">
        <v>149.3715329654614</v>
      </c>
      <c r="AD74">
        <v>148.66023995134009</v>
      </c>
      <c r="AE74">
        <v>0.97334225168618782</v>
      </c>
      <c r="AF74">
        <v>0.97334225168618782</v>
      </c>
      <c r="AG74">
        <v>0.97334225168618782</v>
      </c>
      <c r="AH74">
        <v>0.97334225168618782</v>
      </c>
      <c r="AI74">
        <v>0.97334225168618782</v>
      </c>
      <c r="AJ74">
        <v>0.97334225168618782</v>
      </c>
      <c r="AK74">
        <v>0.97334225168618782</v>
      </c>
    </row>
    <row r="75" spans="1:37" x14ac:dyDescent="0.25">
      <c r="A75" t="s">
        <v>90</v>
      </c>
      <c r="B75" t="s">
        <v>91</v>
      </c>
      <c r="C75" t="s">
        <v>164</v>
      </c>
      <c r="F75" t="s">
        <v>109</v>
      </c>
      <c r="G75" t="s">
        <v>94</v>
      </c>
      <c r="H75" t="s">
        <v>95</v>
      </c>
      <c r="I75" t="s">
        <v>165</v>
      </c>
      <c r="J75" t="s">
        <v>170</v>
      </c>
      <c r="K75" t="s">
        <v>98</v>
      </c>
      <c r="L75">
        <v>0</v>
      </c>
      <c r="M75">
        <v>1</v>
      </c>
      <c r="N75">
        <v>2020</v>
      </c>
      <c r="O75">
        <v>85.500534378339864</v>
      </c>
      <c r="P75">
        <v>1</v>
      </c>
      <c r="Q75">
        <v>0.46693792284866492</v>
      </c>
      <c r="R75">
        <v>0.46030528189911002</v>
      </c>
      <c r="S75">
        <v>0.5213255786350145</v>
      </c>
      <c r="T75">
        <v>0.56642753709198845</v>
      </c>
      <c r="U75">
        <v>0.59959074183976291</v>
      </c>
      <c r="V75">
        <v>0.63408047477744778</v>
      </c>
      <c r="W75">
        <v>0.66724367952522223</v>
      </c>
      <c r="X75">
        <v>150.79411899370379</v>
      </c>
      <c r="Y75">
        <v>148.66023995134009</v>
      </c>
      <c r="Z75">
        <v>150.79411899370379</v>
      </c>
      <c r="AA75">
        <v>157.1957561207951</v>
      </c>
      <c r="AB75">
        <v>156.48446310667379</v>
      </c>
      <c r="AC75">
        <v>155.77317009255259</v>
      </c>
      <c r="AD75">
        <v>155.06187707843131</v>
      </c>
      <c r="AE75">
        <v>0.97334225168618782</v>
      </c>
      <c r="AF75">
        <v>0.97334225168618782</v>
      </c>
      <c r="AG75">
        <v>0.97334225168618782</v>
      </c>
      <c r="AH75">
        <v>0.97334225168618782</v>
      </c>
      <c r="AI75">
        <v>0.97334225168618782</v>
      </c>
      <c r="AJ75">
        <v>0.97334225168618782</v>
      </c>
      <c r="AK75">
        <v>0.97334225168618782</v>
      </c>
    </row>
    <row r="76" spans="1:37" x14ac:dyDescent="0.25">
      <c r="A76" t="s">
        <v>90</v>
      </c>
      <c r="B76" t="s">
        <v>91</v>
      </c>
      <c r="C76" t="s">
        <v>164</v>
      </c>
      <c r="F76" t="s">
        <v>109</v>
      </c>
      <c r="G76" t="s">
        <v>99</v>
      </c>
      <c r="H76" t="s">
        <v>100</v>
      </c>
      <c r="I76" t="s">
        <v>165</v>
      </c>
      <c r="J76" t="s">
        <v>170</v>
      </c>
      <c r="K76" t="s">
        <v>98</v>
      </c>
      <c r="L76">
        <v>0</v>
      </c>
      <c r="M76">
        <v>1</v>
      </c>
      <c r="N76">
        <v>2020</v>
      </c>
      <c r="O76">
        <v>85.500534378339864</v>
      </c>
      <c r="P76">
        <v>0.1</v>
      </c>
      <c r="Q76">
        <v>0.46693792284866492</v>
      </c>
      <c r="R76">
        <v>0.46030528189911002</v>
      </c>
      <c r="S76">
        <v>0.5213255786350145</v>
      </c>
      <c r="T76">
        <v>0.56642753709198845</v>
      </c>
      <c r="U76">
        <v>0.59959074183976291</v>
      </c>
      <c r="V76">
        <v>0.63408047477744778</v>
      </c>
      <c r="W76">
        <v>0.66724367952522223</v>
      </c>
      <c r="X76">
        <v>150.79411899370379</v>
      </c>
      <c r="Y76">
        <v>148.66023995134009</v>
      </c>
      <c r="Z76">
        <v>150.79411899370379</v>
      </c>
      <c r="AA76">
        <v>157.1957561207951</v>
      </c>
      <c r="AB76">
        <v>156.48446310667379</v>
      </c>
      <c r="AC76">
        <v>155.77317009255259</v>
      </c>
      <c r="AD76">
        <v>155.06187707843131</v>
      </c>
      <c r="AE76">
        <v>0.97334225168618782</v>
      </c>
      <c r="AF76">
        <v>0.97334225168618782</v>
      </c>
      <c r="AG76">
        <v>0.97334225168618782</v>
      </c>
      <c r="AH76">
        <v>0.97334225168618782</v>
      </c>
      <c r="AI76">
        <v>0.97334225168618782</v>
      </c>
      <c r="AJ76">
        <v>0.97334225168618782</v>
      </c>
      <c r="AK76">
        <v>0.97334225168618782</v>
      </c>
    </row>
    <row r="77" spans="1:37" x14ac:dyDescent="0.25">
      <c r="A77" t="s">
        <v>90</v>
      </c>
      <c r="B77" t="s">
        <v>91</v>
      </c>
      <c r="C77" t="s">
        <v>164</v>
      </c>
      <c r="F77" t="s">
        <v>110</v>
      </c>
      <c r="G77" t="s">
        <v>94</v>
      </c>
      <c r="H77" t="s">
        <v>95</v>
      </c>
      <c r="I77" t="s">
        <v>165</v>
      </c>
      <c r="J77" t="s">
        <v>171</v>
      </c>
      <c r="K77" t="s">
        <v>98</v>
      </c>
      <c r="L77">
        <v>1</v>
      </c>
      <c r="M77">
        <v>1</v>
      </c>
      <c r="N77">
        <v>2020</v>
      </c>
      <c r="O77">
        <v>85.500534378339864</v>
      </c>
      <c r="P77">
        <v>1</v>
      </c>
      <c r="Q77">
        <v>0.65530492581602395</v>
      </c>
      <c r="R77">
        <v>0.67520284866468872</v>
      </c>
      <c r="S77">
        <v>0.6911211869436199</v>
      </c>
      <c r="T77">
        <v>0.73754967359050416</v>
      </c>
      <c r="U77">
        <v>0.76805982195845746</v>
      </c>
      <c r="V77">
        <v>0.79856997032640986</v>
      </c>
      <c r="W77">
        <v>0.83040664688427257</v>
      </c>
      <c r="X77">
        <v>156.48446310667379</v>
      </c>
      <c r="Y77">
        <v>150.79411899370379</v>
      </c>
      <c r="Z77">
        <v>145.81506789485519</v>
      </c>
      <c r="AA77">
        <v>143.6811888524914</v>
      </c>
      <c r="AB77">
        <v>141.54730981012759</v>
      </c>
      <c r="AC77">
        <v>139.41343076776391</v>
      </c>
      <c r="AD77">
        <v>137.99084473952149</v>
      </c>
      <c r="AE77">
        <v>0.97334225168618782</v>
      </c>
      <c r="AF77">
        <v>0.97334225168618782</v>
      </c>
      <c r="AG77">
        <v>0.97334225168618782</v>
      </c>
      <c r="AH77">
        <v>0.97334225168618782</v>
      </c>
      <c r="AI77">
        <v>0.97334225168618782</v>
      </c>
      <c r="AJ77">
        <v>0.97334225168618782</v>
      </c>
      <c r="AK77">
        <v>0.97334225168618782</v>
      </c>
    </row>
    <row r="78" spans="1:37" x14ac:dyDescent="0.25">
      <c r="A78" t="s">
        <v>90</v>
      </c>
      <c r="B78" t="s">
        <v>91</v>
      </c>
      <c r="C78" t="s">
        <v>164</v>
      </c>
      <c r="F78" t="s">
        <v>110</v>
      </c>
      <c r="G78" t="s">
        <v>99</v>
      </c>
      <c r="H78" t="s">
        <v>100</v>
      </c>
      <c r="I78" t="s">
        <v>165</v>
      </c>
      <c r="J78" t="s">
        <v>171</v>
      </c>
      <c r="K78" t="s">
        <v>98</v>
      </c>
      <c r="L78">
        <v>0</v>
      </c>
      <c r="M78">
        <v>1</v>
      </c>
      <c r="N78">
        <v>2020</v>
      </c>
      <c r="O78">
        <v>85.500534378339864</v>
      </c>
      <c r="P78">
        <v>0.1</v>
      </c>
      <c r="Q78">
        <v>0.65530492581602395</v>
      </c>
      <c r="R78">
        <v>0.67520284866468872</v>
      </c>
      <c r="S78">
        <v>0.6911211869436199</v>
      </c>
      <c r="T78">
        <v>0.73754967359050416</v>
      </c>
      <c r="U78">
        <v>0.76805982195845746</v>
      </c>
      <c r="V78">
        <v>0.79856997032640986</v>
      </c>
      <c r="W78">
        <v>0.83040664688427257</v>
      </c>
      <c r="X78">
        <v>156.48446310667379</v>
      </c>
      <c r="Y78">
        <v>150.79411899370379</v>
      </c>
      <c r="Z78">
        <v>145.81506789485519</v>
      </c>
      <c r="AA78">
        <v>143.6811888524914</v>
      </c>
      <c r="AB78">
        <v>141.54730981012759</v>
      </c>
      <c r="AC78">
        <v>139.41343076776391</v>
      </c>
      <c r="AD78">
        <v>137.99084473952149</v>
      </c>
      <c r="AE78">
        <v>0.97334225168618782</v>
      </c>
      <c r="AF78">
        <v>0.97334225168618782</v>
      </c>
      <c r="AG78">
        <v>0.97334225168618782</v>
      </c>
      <c r="AH78">
        <v>0.97334225168618782</v>
      </c>
      <c r="AI78">
        <v>0.97334225168618782</v>
      </c>
      <c r="AJ78">
        <v>0.97334225168618782</v>
      </c>
      <c r="AK78">
        <v>0.97334225168618782</v>
      </c>
    </row>
    <row r="79" spans="1:37" x14ac:dyDescent="0.25">
      <c r="A79" t="s">
        <v>90</v>
      </c>
      <c r="B79" t="s">
        <v>91</v>
      </c>
      <c r="C79" t="s">
        <v>164</v>
      </c>
      <c r="F79" t="s">
        <v>112</v>
      </c>
      <c r="G79" t="s">
        <v>94</v>
      </c>
      <c r="H79" t="s">
        <v>95</v>
      </c>
      <c r="I79" t="s">
        <v>165</v>
      </c>
      <c r="J79" t="s">
        <v>172</v>
      </c>
      <c r="K79" t="s">
        <v>98</v>
      </c>
      <c r="L79">
        <v>1</v>
      </c>
      <c r="M79">
        <v>1</v>
      </c>
      <c r="N79">
        <v>2020</v>
      </c>
      <c r="O79">
        <v>85.500534378339864</v>
      </c>
      <c r="P79">
        <v>0.7889390519187337</v>
      </c>
      <c r="Q79">
        <v>0.90336569732937955</v>
      </c>
      <c r="R79">
        <v>0.93918195845696884</v>
      </c>
      <c r="S79">
        <v>0.96305946587537217</v>
      </c>
      <c r="T79">
        <v>1.033365459940653</v>
      </c>
      <c r="U79">
        <v>1.073161305637983</v>
      </c>
      <c r="V79">
        <v>1.114283679525222</v>
      </c>
      <c r="W79">
        <v>1.1554060534124611</v>
      </c>
      <c r="X79">
        <v>170.7103233890991</v>
      </c>
      <c r="Y79">
        <v>162.17480721964449</v>
      </c>
      <c r="Z79">
        <v>157.1957561207941</v>
      </c>
      <c r="AA79">
        <v>153.63929105018931</v>
      </c>
      <c r="AB79">
        <v>151.5054120078255</v>
      </c>
      <c r="AC79">
        <v>149.37153296546191</v>
      </c>
      <c r="AD79">
        <v>147.23765392309809</v>
      </c>
      <c r="AE79">
        <v>1.0149380744078189</v>
      </c>
      <c r="AF79">
        <v>1.0149380744078189</v>
      </c>
      <c r="AG79">
        <v>1.0149380744078189</v>
      </c>
      <c r="AH79">
        <v>1.0149380744078189</v>
      </c>
      <c r="AI79">
        <v>1.0149380744078189</v>
      </c>
      <c r="AJ79">
        <v>1.0149380744078189</v>
      </c>
      <c r="AK79">
        <v>1.0149380744078189</v>
      </c>
    </row>
    <row r="80" spans="1:37" x14ac:dyDescent="0.25">
      <c r="A80" t="s">
        <v>90</v>
      </c>
      <c r="B80" t="s">
        <v>91</v>
      </c>
      <c r="C80" t="s">
        <v>164</v>
      </c>
      <c r="F80" t="s">
        <v>112</v>
      </c>
      <c r="G80" t="s">
        <v>99</v>
      </c>
      <c r="H80" t="s">
        <v>100</v>
      </c>
      <c r="I80" t="s">
        <v>165</v>
      </c>
      <c r="J80" t="s">
        <v>172</v>
      </c>
      <c r="K80" t="s">
        <v>98</v>
      </c>
      <c r="L80">
        <v>0</v>
      </c>
      <c r="M80">
        <v>1</v>
      </c>
      <c r="N80">
        <v>2020</v>
      </c>
      <c r="O80">
        <v>85.500534378339864</v>
      </c>
      <c r="P80">
        <v>0.1</v>
      </c>
      <c r="Q80">
        <v>0.90336569732937955</v>
      </c>
      <c r="R80">
        <v>0.93918195845696884</v>
      </c>
      <c r="S80">
        <v>0.96305946587537217</v>
      </c>
      <c r="T80">
        <v>1.033365459940653</v>
      </c>
      <c r="U80">
        <v>1.073161305637983</v>
      </c>
      <c r="V80">
        <v>1.114283679525222</v>
      </c>
      <c r="W80">
        <v>1.1554060534124611</v>
      </c>
      <c r="X80">
        <v>170.7103233890991</v>
      </c>
      <c r="Y80">
        <v>162.17480721964449</v>
      </c>
      <c r="Z80">
        <v>157.1957561207941</v>
      </c>
      <c r="AA80">
        <v>153.63929105018931</v>
      </c>
      <c r="AB80">
        <v>151.5054120078255</v>
      </c>
      <c r="AC80">
        <v>149.37153296546191</v>
      </c>
      <c r="AD80">
        <v>147.23765392309809</v>
      </c>
      <c r="AE80">
        <v>1.0149380744078189</v>
      </c>
      <c r="AF80">
        <v>1.0149380744078189</v>
      </c>
      <c r="AG80">
        <v>1.0149380744078189</v>
      </c>
      <c r="AH80">
        <v>1.0149380744078189</v>
      </c>
      <c r="AI80">
        <v>1.0149380744078189</v>
      </c>
      <c r="AJ80">
        <v>1.0149380744078189</v>
      </c>
      <c r="AK80">
        <v>1.0149380744078189</v>
      </c>
    </row>
    <row r="81" spans="1:37" x14ac:dyDescent="0.25">
      <c r="A81" t="s">
        <v>90</v>
      </c>
      <c r="B81" t="s">
        <v>91</v>
      </c>
      <c r="C81" t="s">
        <v>164</v>
      </c>
      <c r="F81" t="s">
        <v>112</v>
      </c>
      <c r="G81" t="s">
        <v>114</v>
      </c>
      <c r="H81" t="s">
        <v>115</v>
      </c>
      <c r="I81" t="s">
        <v>165</v>
      </c>
      <c r="J81" t="s">
        <v>172</v>
      </c>
      <c r="K81" t="s">
        <v>98</v>
      </c>
      <c r="L81">
        <v>0</v>
      </c>
      <c r="M81">
        <v>1</v>
      </c>
      <c r="N81">
        <v>2020</v>
      </c>
      <c r="O81">
        <v>85.500534378339864</v>
      </c>
      <c r="P81">
        <v>0.2110609480812663</v>
      </c>
      <c r="Q81">
        <v>0.90336569732937955</v>
      </c>
      <c r="R81">
        <v>0.93918195845696884</v>
      </c>
      <c r="S81">
        <v>0.96305946587537217</v>
      </c>
      <c r="T81">
        <v>1.033365459940653</v>
      </c>
      <c r="U81">
        <v>1.073161305637983</v>
      </c>
      <c r="V81">
        <v>1.114283679525222</v>
      </c>
      <c r="W81">
        <v>1.1554060534124611</v>
      </c>
      <c r="X81">
        <v>170.7103233890991</v>
      </c>
      <c r="Y81">
        <v>162.17480721964449</v>
      </c>
      <c r="Z81">
        <v>157.1957561207941</v>
      </c>
      <c r="AA81">
        <v>153.63929105018931</v>
      </c>
      <c r="AB81">
        <v>151.5054120078255</v>
      </c>
      <c r="AC81">
        <v>149.37153296546191</v>
      </c>
      <c r="AD81">
        <v>147.23765392309809</v>
      </c>
      <c r="AE81">
        <v>1.0149380744078189</v>
      </c>
      <c r="AF81">
        <v>1.0149380744078189</v>
      </c>
      <c r="AG81">
        <v>1.0149380744078189</v>
      </c>
      <c r="AH81">
        <v>1.0149380744078189</v>
      </c>
      <c r="AI81">
        <v>1.0149380744078189</v>
      </c>
      <c r="AJ81">
        <v>1.0149380744078189</v>
      </c>
      <c r="AK81">
        <v>1.0149380744078189</v>
      </c>
    </row>
    <row r="82" spans="1:37" x14ac:dyDescent="0.25">
      <c r="A82" t="s">
        <v>90</v>
      </c>
      <c r="B82" t="s">
        <v>91</v>
      </c>
      <c r="C82" t="s">
        <v>164</v>
      </c>
      <c r="F82" t="s">
        <v>116</v>
      </c>
      <c r="G82" t="s">
        <v>94</v>
      </c>
      <c r="H82" t="s">
        <v>95</v>
      </c>
      <c r="I82" t="s">
        <v>165</v>
      </c>
      <c r="J82" t="s">
        <v>173</v>
      </c>
      <c r="K82" t="s">
        <v>98</v>
      </c>
      <c r="L82">
        <v>1</v>
      </c>
      <c r="M82">
        <v>1</v>
      </c>
      <c r="N82">
        <v>2020</v>
      </c>
      <c r="O82">
        <v>85.500534378339864</v>
      </c>
      <c r="P82">
        <v>0.59593679458238857</v>
      </c>
      <c r="Q82">
        <v>1.130202017804159</v>
      </c>
      <c r="R82">
        <v>1.188569258160235</v>
      </c>
      <c r="S82">
        <v>1.2084671810088989</v>
      </c>
      <c r="T82">
        <v>1.301324154302667</v>
      </c>
      <c r="U82">
        <v>1.3530587537091989</v>
      </c>
      <c r="V82">
        <v>1.4061198813056379</v>
      </c>
      <c r="W82">
        <v>1.4591810089020769</v>
      </c>
      <c r="X82">
        <v>190.62652778449399</v>
      </c>
      <c r="Y82">
        <v>174.97808147382671</v>
      </c>
      <c r="Z82">
        <v>162.17480721964449</v>
      </c>
      <c r="AA82">
        <v>155.7731700925531</v>
      </c>
      <c r="AB82">
        <v>152.92799803606849</v>
      </c>
      <c r="AC82">
        <v>150.08282597958191</v>
      </c>
      <c r="AD82">
        <v>147.23765392309809</v>
      </c>
      <c r="AE82">
        <v>1.0149380744078189</v>
      </c>
      <c r="AF82">
        <v>1.0149380744078189</v>
      </c>
      <c r="AG82">
        <v>1.0149380744078189</v>
      </c>
      <c r="AH82">
        <v>1.0149380744078189</v>
      </c>
      <c r="AI82">
        <v>1.0149380744078189</v>
      </c>
      <c r="AJ82">
        <v>1.0149380744078189</v>
      </c>
      <c r="AK82">
        <v>1.0149380744078189</v>
      </c>
    </row>
    <row r="83" spans="1:37" x14ac:dyDescent="0.25">
      <c r="A83" t="s">
        <v>90</v>
      </c>
      <c r="B83" t="s">
        <v>91</v>
      </c>
      <c r="C83" t="s">
        <v>164</v>
      </c>
      <c r="F83" t="s">
        <v>116</v>
      </c>
      <c r="G83" t="s">
        <v>99</v>
      </c>
      <c r="H83" t="s">
        <v>100</v>
      </c>
      <c r="I83" t="s">
        <v>165</v>
      </c>
      <c r="J83" t="s">
        <v>173</v>
      </c>
      <c r="K83" t="s">
        <v>98</v>
      </c>
      <c r="L83">
        <v>0</v>
      </c>
      <c r="M83">
        <v>1</v>
      </c>
      <c r="N83">
        <v>2020</v>
      </c>
      <c r="O83">
        <v>85.500534378339864</v>
      </c>
      <c r="P83">
        <v>0.1</v>
      </c>
      <c r="Q83">
        <v>1.130202017804159</v>
      </c>
      <c r="R83">
        <v>1.188569258160235</v>
      </c>
      <c r="S83">
        <v>1.2084671810088989</v>
      </c>
      <c r="T83">
        <v>1.301324154302667</v>
      </c>
      <c r="U83">
        <v>1.3530587537091989</v>
      </c>
      <c r="V83">
        <v>1.4061198813056379</v>
      </c>
      <c r="W83">
        <v>1.4591810089020769</v>
      </c>
      <c r="X83">
        <v>190.62652778449399</v>
      </c>
      <c r="Y83">
        <v>174.97808147382671</v>
      </c>
      <c r="Z83">
        <v>162.17480721964449</v>
      </c>
      <c r="AA83">
        <v>155.7731700925531</v>
      </c>
      <c r="AB83">
        <v>152.92799803606849</v>
      </c>
      <c r="AC83">
        <v>150.08282597958191</v>
      </c>
      <c r="AD83">
        <v>147.23765392309809</v>
      </c>
      <c r="AE83">
        <v>1.0149380744078189</v>
      </c>
      <c r="AF83">
        <v>1.0149380744078189</v>
      </c>
      <c r="AG83">
        <v>1.0149380744078189</v>
      </c>
      <c r="AH83">
        <v>1.0149380744078189</v>
      </c>
      <c r="AI83">
        <v>1.0149380744078189</v>
      </c>
      <c r="AJ83">
        <v>1.0149380744078189</v>
      </c>
      <c r="AK83">
        <v>1.0149380744078189</v>
      </c>
    </row>
    <row r="84" spans="1:37" x14ac:dyDescent="0.25">
      <c r="A84" t="s">
        <v>90</v>
      </c>
      <c r="B84" t="s">
        <v>91</v>
      </c>
      <c r="C84" t="s">
        <v>164</v>
      </c>
      <c r="F84" t="s">
        <v>116</v>
      </c>
      <c r="G84" t="s">
        <v>114</v>
      </c>
      <c r="H84" t="s">
        <v>115</v>
      </c>
      <c r="I84" t="s">
        <v>165</v>
      </c>
      <c r="J84" t="s">
        <v>173</v>
      </c>
      <c r="K84" t="s">
        <v>98</v>
      </c>
      <c r="L84">
        <v>0</v>
      </c>
      <c r="M84">
        <v>1</v>
      </c>
      <c r="N84">
        <v>2020</v>
      </c>
      <c r="O84">
        <v>85.500534378339864</v>
      </c>
      <c r="P84">
        <v>0.40406320541761148</v>
      </c>
      <c r="Q84">
        <v>1.130202017804159</v>
      </c>
      <c r="R84">
        <v>1.188569258160235</v>
      </c>
      <c r="S84">
        <v>1.2084671810088989</v>
      </c>
      <c r="T84">
        <v>1.301324154302667</v>
      </c>
      <c r="U84">
        <v>1.3530587537091989</v>
      </c>
      <c r="V84">
        <v>1.4061198813056379</v>
      </c>
      <c r="W84">
        <v>1.4591810089020769</v>
      </c>
      <c r="X84">
        <v>190.62652778449399</v>
      </c>
      <c r="Y84">
        <v>174.97808147382671</v>
      </c>
      <c r="Z84">
        <v>162.17480721964449</v>
      </c>
      <c r="AA84">
        <v>155.7731700925531</v>
      </c>
      <c r="AB84">
        <v>152.92799803606849</v>
      </c>
      <c r="AC84">
        <v>150.08282597958191</v>
      </c>
      <c r="AD84">
        <v>147.23765392309809</v>
      </c>
      <c r="AE84">
        <v>1.0149380744078189</v>
      </c>
      <c r="AF84">
        <v>1.0149380744078189</v>
      </c>
      <c r="AG84">
        <v>1.0149380744078189</v>
      </c>
      <c r="AH84">
        <v>1.0149380744078189</v>
      </c>
      <c r="AI84">
        <v>1.0149380744078189</v>
      </c>
      <c r="AJ84">
        <v>1.0149380744078189</v>
      </c>
      <c r="AK84">
        <v>1.0149380744078189</v>
      </c>
    </row>
    <row r="85" spans="1:37" x14ac:dyDescent="0.25">
      <c r="A85" t="s">
        <v>90</v>
      </c>
      <c r="B85" t="s">
        <v>91</v>
      </c>
      <c r="C85" t="s">
        <v>164</v>
      </c>
      <c r="F85" t="s">
        <v>118</v>
      </c>
      <c r="G85" t="s">
        <v>119</v>
      </c>
      <c r="H85" t="s">
        <v>120</v>
      </c>
      <c r="I85" t="s">
        <v>165</v>
      </c>
      <c r="J85" t="s">
        <v>174</v>
      </c>
      <c r="K85" t="s">
        <v>98</v>
      </c>
      <c r="L85">
        <v>1</v>
      </c>
      <c r="M85">
        <v>1</v>
      </c>
      <c r="N85">
        <v>2020</v>
      </c>
      <c r="O85">
        <v>85.500534378339864</v>
      </c>
      <c r="P85">
        <v>1</v>
      </c>
      <c r="Q85">
        <v>0.48816237388724038</v>
      </c>
      <c r="R85">
        <v>0.47224403560830858</v>
      </c>
      <c r="S85">
        <v>0.54387655786350142</v>
      </c>
      <c r="T85">
        <v>0.57173364985163211</v>
      </c>
      <c r="U85">
        <v>0.60357032640949559</v>
      </c>
      <c r="V85">
        <v>0.63408047477744811</v>
      </c>
      <c r="W85">
        <v>0.66591715133531149</v>
      </c>
      <c r="X85">
        <v>171.42161640322001</v>
      </c>
      <c r="Y85">
        <v>168.576444346735</v>
      </c>
      <c r="Z85">
        <v>167.86515133261369</v>
      </c>
      <c r="AA85">
        <v>167.1538583184925</v>
      </c>
      <c r="AB85">
        <v>167.1538583184925</v>
      </c>
      <c r="AC85">
        <v>166.4425653043713</v>
      </c>
      <c r="AD85">
        <v>166.4425653043713</v>
      </c>
      <c r="AE85">
        <v>1.0315764034964729</v>
      </c>
      <c r="AF85">
        <v>1.0315764034964729</v>
      </c>
      <c r="AG85">
        <v>1.0315764034964729</v>
      </c>
      <c r="AH85">
        <v>1.0315764034964729</v>
      </c>
      <c r="AI85">
        <v>1.0315764034964729</v>
      </c>
      <c r="AJ85">
        <v>1.0315764034964729</v>
      </c>
      <c r="AK85">
        <v>1.0315764034964729</v>
      </c>
    </row>
    <row r="86" spans="1:37" x14ac:dyDescent="0.25">
      <c r="A86" t="s">
        <v>90</v>
      </c>
      <c r="B86" t="s">
        <v>91</v>
      </c>
      <c r="C86" t="s">
        <v>164</v>
      </c>
      <c r="F86" t="s">
        <v>118</v>
      </c>
      <c r="G86" t="s">
        <v>122</v>
      </c>
      <c r="H86" t="s">
        <v>123</v>
      </c>
      <c r="I86" t="s">
        <v>165</v>
      </c>
      <c r="J86" t="s">
        <v>174</v>
      </c>
      <c r="K86" t="s">
        <v>98</v>
      </c>
      <c r="L86">
        <v>0</v>
      </c>
      <c r="M86">
        <v>1</v>
      </c>
      <c r="N86">
        <v>2020</v>
      </c>
      <c r="O86">
        <v>85.500534378339864</v>
      </c>
      <c r="P86">
        <v>1</v>
      </c>
      <c r="Q86">
        <v>0.48816237388724038</v>
      </c>
      <c r="R86">
        <v>0.47224403560830858</v>
      </c>
      <c r="S86">
        <v>0.54387655786350142</v>
      </c>
      <c r="T86">
        <v>0.57173364985163211</v>
      </c>
      <c r="U86">
        <v>0.60357032640949559</v>
      </c>
      <c r="V86">
        <v>0.63408047477744811</v>
      </c>
      <c r="W86">
        <v>0.66591715133531149</v>
      </c>
      <c r="X86">
        <v>171.42161640322001</v>
      </c>
      <c r="Y86">
        <v>168.576444346735</v>
      </c>
      <c r="Z86">
        <v>167.86515133261369</v>
      </c>
      <c r="AA86">
        <v>167.1538583184925</v>
      </c>
      <c r="AB86">
        <v>167.1538583184925</v>
      </c>
      <c r="AC86">
        <v>166.4425653043713</v>
      </c>
      <c r="AD86">
        <v>166.4425653043713</v>
      </c>
      <c r="AE86">
        <v>1.0315764034964729</v>
      </c>
      <c r="AF86">
        <v>1.0315764034964729</v>
      </c>
      <c r="AG86">
        <v>1.0315764034964729</v>
      </c>
      <c r="AH86">
        <v>1.0315764034964729</v>
      </c>
      <c r="AI86">
        <v>1.0315764034964729</v>
      </c>
      <c r="AJ86">
        <v>1.0315764034964729</v>
      </c>
      <c r="AK86">
        <v>1.0315764034964729</v>
      </c>
    </row>
    <row r="87" spans="1:37" x14ac:dyDescent="0.25">
      <c r="A87" t="s">
        <v>90</v>
      </c>
      <c r="B87" t="s">
        <v>91</v>
      </c>
      <c r="C87" t="s">
        <v>164</v>
      </c>
      <c r="F87" t="s">
        <v>118</v>
      </c>
      <c r="G87" t="s">
        <v>124</v>
      </c>
      <c r="H87" t="s">
        <v>125</v>
      </c>
      <c r="I87" t="s">
        <v>165</v>
      </c>
      <c r="J87" t="s">
        <v>174</v>
      </c>
      <c r="K87" t="s">
        <v>98</v>
      </c>
      <c r="L87">
        <v>0</v>
      </c>
      <c r="M87">
        <v>1</v>
      </c>
      <c r="N87">
        <v>2020</v>
      </c>
      <c r="O87">
        <v>85.500534378339864</v>
      </c>
      <c r="P87">
        <v>0.1</v>
      </c>
      <c r="Q87">
        <v>0.48816237388724038</v>
      </c>
      <c r="R87">
        <v>0.47224403560830858</v>
      </c>
      <c r="S87">
        <v>0.54387655786350142</v>
      </c>
      <c r="T87">
        <v>0.57173364985163211</v>
      </c>
      <c r="U87">
        <v>0.60357032640949559</v>
      </c>
      <c r="V87">
        <v>0.63408047477744811</v>
      </c>
      <c r="W87">
        <v>0.66591715133531149</v>
      </c>
      <c r="X87">
        <v>171.42161640322001</v>
      </c>
      <c r="Y87">
        <v>168.576444346735</v>
      </c>
      <c r="Z87">
        <v>167.86515133261369</v>
      </c>
      <c r="AA87">
        <v>167.1538583184925</v>
      </c>
      <c r="AB87">
        <v>167.1538583184925</v>
      </c>
      <c r="AC87">
        <v>166.4425653043713</v>
      </c>
      <c r="AD87">
        <v>166.4425653043713</v>
      </c>
      <c r="AE87">
        <v>1.0315764034964729</v>
      </c>
      <c r="AF87">
        <v>1.0315764034964729</v>
      </c>
      <c r="AG87">
        <v>1.0315764034964729</v>
      </c>
      <c r="AH87">
        <v>1.0315764034964729</v>
      </c>
      <c r="AI87">
        <v>1.0315764034964729</v>
      </c>
      <c r="AJ87">
        <v>1.0315764034964729</v>
      </c>
      <c r="AK87">
        <v>1.0315764034964729</v>
      </c>
    </row>
    <row r="88" spans="1:37" x14ac:dyDescent="0.25">
      <c r="A88" t="s">
        <v>90</v>
      </c>
      <c r="B88" t="s">
        <v>91</v>
      </c>
      <c r="C88" t="s">
        <v>164</v>
      </c>
      <c r="F88" t="s">
        <v>126</v>
      </c>
      <c r="G88" t="s">
        <v>127</v>
      </c>
      <c r="H88" t="s">
        <v>128</v>
      </c>
      <c r="I88" t="s">
        <v>165</v>
      </c>
      <c r="J88" t="s">
        <v>175</v>
      </c>
      <c r="K88" t="s">
        <v>98</v>
      </c>
      <c r="L88">
        <v>1</v>
      </c>
      <c r="M88">
        <v>1</v>
      </c>
      <c r="N88">
        <v>2020</v>
      </c>
      <c r="O88">
        <v>85.500534378339864</v>
      </c>
      <c r="P88">
        <v>1</v>
      </c>
      <c r="Q88">
        <v>0.39397887240356078</v>
      </c>
      <c r="R88">
        <v>0.42050943620178038</v>
      </c>
      <c r="S88">
        <v>0.47489709198813052</v>
      </c>
      <c r="T88">
        <v>0.509386824925816</v>
      </c>
      <c r="U88">
        <v>0.53724391691394657</v>
      </c>
      <c r="V88">
        <v>0.56510100890207715</v>
      </c>
      <c r="W88">
        <v>0.59163157270029676</v>
      </c>
      <c r="X88">
        <v>185.64747668564479</v>
      </c>
      <c r="Y88">
        <v>182.80230462915989</v>
      </c>
      <c r="Z88">
        <v>182.80230462915989</v>
      </c>
      <c r="AA88">
        <v>182.09101161503861</v>
      </c>
      <c r="AB88">
        <v>182.09101161503861</v>
      </c>
      <c r="AC88">
        <v>181.37971860091741</v>
      </c>
      <c r="AD88">
        <v>181.37971860091741</v>
      </c>
      <c r="AE88">
        <v>1.0315764034964729</v>
      </c>
      <c r="AF88">
        <v>1.0315764034964729</v>
      </c>
      <c r="AG88">
        <v>1.0315764034964729</v>
      </c>
      <c r="AH88">
        <v>1.0315764034964729</v>
      </c>
      <c r="AI88">
        <v>1.0315764034964729</v>
      </c>
      <c r="AJ88">
        <v>1.0315764034964729</v>
      </c>
      <c r="AK88">
        <v>1.0315764034964729</v>
      </c>
    </row>
    <row r="89" spans="1:37" x14ac:dyDescent="0.25">
      <c r="A89" t="s">
        <v>90</v>
      </c>
      <c r="B89" t="s">
        <v>91</v>
      </c>
      <c r="C89" t="s">
        <v>164</v>
      </c>
      <c r="F89" t="s">
        <v>126</v>
      </c>
      <c r="G89" t="s">
        <v>130</v>
      </c>
      <c r="H89" t="s">
        <v>131</v>
      </c>
      <c r="I89" t="s">
        <v>165</v>
      </c>
      <c r="J89" t="s">
        <v>175</v>
      </c>
      <c r="K89" t="s">
        <v>98</v>
      </c>
      <c r="L89">
        <v>0</v>
      </c>
      <c r="M89">
        <v>1</v>
      </c>
      <c r="N89">
        <v>2020</v>
      </c>
      <c r="O89">
        <v>85.500534378339864</v>
      </c>
      <c r="P89">
        <v>1</v>
      </c>
      <c r="Q89">
        <v>0.39397887240356078</v>
      </c>
      <c r="R89">
        <v>0.42050943620178038</v>
      </c>
      <c r="S89">
        <v>0.47489709198813052</v>
      </c>
      <c r="T89">
        <v>0.509386824925816</v>
      </c>
      <c r="U89">
        <v>0.53724391691394657</v>
      </c>
      <c r="V89">
        <v>0.56510100890207715</v>
      </c>
      <c r="W89">
        <v>0.59163157270029676</v>
      </c>
      <c r="X89">
        <v>185.64747668564479</v>
      </c>
      <c r="Y89">
        <v>182.80230462915989</v>
      </c>
      <c r="Z89">
        <v>182.80230462915989</v>
      </c>
      <c r="AA89">
        <v>182.09101161503861</v>
      </c>
      <c r="AB89">
        <v>182.09101161503861</v>
      </c>
      <c r="AC89">
        <v>181.37971860091741</v>
      </c>
      <c r="AD89">
        <v>181.37971860091741</v>
      </c>
      <c r="AE89">
        <v>1.0315764034964729</v>
      </c>
      <c r="AF89">
        <v>1.0315764034964729</v>
      </c>
      <c r="AG89">
        <v>1.0315764034964729</v>
      </c>
      <c r="AH89">
        <v>1.0315764034964729</v>
      </c>
      <c r="AI89">
        <v>1.0315764034964729</v>
      </c>
      <c r="AJ89">
        <v>1.0315764034964729</v>
      </c>
      <c r="AK89">
        <v>1.0315764034964729</v>
      </c>
    </row>
    <row r="90" spans="1:37" x14ac:dyDescent="0.25">
      <c r="A90" t="s">
        <v>90</v>
      </c>
      <c r="B90" t="s">
        <v>91</v>
      </c>
      <c r="C90" t="s">
        <v>164</v>
      </c>
      <c r="F90" t="s">
        <v>132</v>
      </c>
      <c r="G90" t="s">
        <v>133</v>
      </c>
      <c r="H90" t="s">
        <v>134</v>
      </c>
      <c r="I90" t="s">
        <v>165</v>
      </c>
      <c r="J90" t="s">
        <v>176</v>
      </c>
      <c r="K90" t="s">
        <v>98</v>
      </c>
      <c r="L90">
        <v>1</v>
      </c>
      <c r="M90">
        <v>1</v>
      </c>
      <c r="N90">
        <v>2020</v>
      </c>
      <c r="O90">
        <v>85.500534378339864</v>
      </c>
      <c r="P90">
        <v>1</v>
      </c>
      <c r="Q90">
        <v>0.99887572700296734</v>
      </c>
      <c r="R90">
        <v>1.036018516320474</v>
      </c>
      <c r="S90">
        <v>1.058569495548962</v>
      </c>
      <c r="T90">
        <v>1.1328550741839769</v>
      </c>
      <c r="U90">
        <v>1.163365222551928</v>
      </c>
      <c r="V90">
        <v>1.1938753709198811</v>
      </c>
      <c r="W90">
        <v>1.2230589910979219</v>
      </c>
      <c r="X90">
        <v>197.7394579257062</v>
      </c>
      <c r="Y90">
        <v>182.09101161503881</v>
      </c>
      <c r="Z90">
        <v>168.57644434673509</v>
      </c>
      <c r="AA90">
        <v>152.2167050219465</v>
      </c>
      <c r="AB90">
        <v>147.94894693721901</v>
      </c>
      <c r="AC90">
        <v>143.6811888524914</v>
      </c>
      <c r="AD90">
        <v>139.41343076776391</v>
      </c>
      <c r="AE90">
        <v>0.74872480898937499</v>
      </c>
      <c r="AF90">
        <v>0.74872480898937499</v>
      </c>
      <c r="AG90">
        <v>0.74872480898937499</v>
      </c>
      <c r="AH90">
        <v>0.74872480898937499</v>
      </c>
      <c r="AI90">
        <v>0.74872480898937499</v>
      </c>
      <c r="AJ90">
        <v>0.74872480898937499</v>
      </c>
      <c r="AK90">
        <v>0.74872480898937499</v>
      </c>
    </row>
    <row r="91" spans="1:37" x14ac:dyDescent="0.25">
      <c r="A91" t="s">
        <v>90</v>
      </c>
      <c r="B91" t="s">
        <v>91</v>
      </c>
      <c r="C91" t="s">
        <v>164</v>
      </c>
      <c r="F91" t="s">
        <v>136</v>
      </c>
      <c r="G91" t="s">
        <v>133</v>
      </c>
      <c r="H91" t="s">
        <v>134</v>
      </c>
      <c r="I91" t="s">
        <v>165</v>
      </c>
      <c r="J91" t="s">
        <v>177</v>
      </c>
      <c r="K91" t="s">
        <v>98</v>
      </c>
      <c r="L91">
        <v>1</v>
      </c>
      <c r="M91">
        <v>1</v>
      </c>
      <c r="N91">
        <v>2020</v>
      </c>
      <c r="O91">
        <v>85.500534378339864</v>
      </c>
      <c r="P91">
        <v>1</v>
      </c>
      <c r="Q91">
        <v>0.98959002967358989</v>
      </c>
      <c r="R91">
        <v>1.0254062908011869</v>
      </c>
      <c r="S91">
        <v>1.045304213649852</v>
      </c>
      <c r="T91">
        <v>1.1209163204747781</v>
      </c>
      <c r="U91">
        <v>1.150099940652819</v>
      </c>
      <c r="V91">
        <v>1.1792835608308609</v>
      </c>
      <c r="W91">
        <v>1.2084671810089009</v>
      </c>
      <c r="X91">
        <v>203.4298020386758</v>
      </c>
      <c r="Y91">
        <v>187.0700627138873</v>
      </c>
      <c r="Z91">
        <v>174.266788459705</v>
      </c>
      <c r="AA91">
        <v>156.48446310667379</v>
      </c>
      <c r="AB91">
        <v>152.2167050219465</v>
      </c>
      <c r="AC91">
        <v>147.94894693721901</v>
      </c>
      <c r="AD91">
        <v>143.6811888524914</v>
      </c>
      <c r="AE91">
        <v>0.74872480898937499</v>
      </c>
      <c r="AF91">
        <v>0.74872480898937499</v>
      </c>
      <c r="AG91">
        <v>0.74872480898937499</v>
      </c>
      <c r="AH91">
        <v>0.74872480898937499</v>
      </c>
      <c r="AI91">
        <v>0.74872480898937499</v>
      </c>
      <c r="AJ91">
        <v>0.74872480898937499</v>
      </c>
      <c r="AK91">
        <v>0.74872480898937499</v>
      </c>
    </row>
    <row r="92" spans="1:37" x14ac:dyDescent="0.25">
      <c r="A92" t="s">
        <v>90</v>
      </c>
      <c r="B92" t="s">
        <v>91</v>
      </c>
      <c r="C92" t="s">
        <v>164</v>
      </c>
      <c r="F92" t="s">
        <v>138</v>
      </c>
      <c r="G92" t="s">
        <v>114</v>
      </c>
      <c r="H92" t="s">
        <v>115</v>
      </c>
      <c r="I92" t="s">
        <v>165</v>
      </c>
      <c r="J92" t="s">
        <v>178</v>
      </c>
      <c r="K92" t="s">
        <v>98</v>
      </c>
      <c r="L92">
        <v>1</v>
      </c>
      <c r="M92">
        <v>1</v>
      </c>
      <c r="N92">
        <v>2020</v>
      </c>
      <c r="O92">
        <v>85.500534378339864</v>
      </c>
      <c r="P92">
        <v>1</v>
      </c>
      <c r="Q92">
        <v>2.1357103857566768</v>
      </c>
      <c r="R92">
        <v>2.2285673590504449</v>
      </c>
      <c r="S92">
        <v>2.281628486646885</v>
      </c>
      <c r="T92">
        <v>2.4806077151335311</v>
      </c>
      <c r="U92">
        <v>2.5601994065281901</v>
      </c>
      <c r="V92">
        <v>2.6530563798219591</v>
      </c>
      <c r="W92">
        <v>2.7459133531157272</v>
      </c>
      <c r="X92">
        <v>160.04092817728011</v>
      </c>
      <c r="Y92">
        <v>149.3715329654614</v>
      </c>
      <c r="Z92">
        <v>134.43437966891531</v>
      </c>
      <c r="AA92">
        <v>125.18757048533899</v>
      </c>
      <c r="AB92">
        <v>120.9198124006116</v>
      </c>
      <c r="AC92">
        <v>116.6520543158841</v>
      </c>
      <c r="AD92">
        <v>112.3842962311567</v>
      </c>
      <c r="AE92">
        <v>0.69714598881455148</v>
      </c>
      <c r="AF92">
        <v>0.69714598881455148</v>
      </c>
      <c r="AG92">
        <v>0.69714598881455148</v>
      </c>
      <c r="AH92">
        <v>0.69714598881455148</v>
      </c>
      <c r="AI92">
        <v>0.69714598881455148</v>
      </c>
      <c r="AJ92">
        <v>0.69714598881455148</v>
      </c>
      <c r="AK92">
        <v>0.69714598881455148</v>
      </c>
    </row>
    <row r="93" spans="1:37" x14ac:dyDescent="0.25">
      <c r="A93" t="s">
        <v>90</v>
      </c>
      <c r="B93" t="s">
        <v>91</v>
      </c>
      <c r="C93" t="s">
        <v>164</v>
      </c>
      <c r="F93" t="s">
        <v>140</v>
      </c>
      <c r="G93" t="s">
        <v>114</v>
      </c>
      <c r="H93" t="s">
        <v>115</v>
      </c>
      <c r="I93" t="s">
        <v>165</v>
      </c>
      <c r="J93" t="s">
        <v>179</v>
      </c>
      <c r="K93" t="s">
        <v>98</v>
      </c>
      <c r="L93">
        <v>1</v>
      </c>
      <c r="M93">
        <v>1</v>
      </c>
      <c r="N93">
        <v>2020</v>
      </c>
      <c r="O93">
        <v>85.500534378339864</v>
      </c>
      <c r="P93">
        <v>1</v>
      </c>
      <c r="Q93">
        <v>2.0295881305637979</v>
      </c>
      <c r="R93">
        <v>2.1224451038575669</v>
      </c>
      <c r="S93">
        <v>2.202036795252226</v>
      </c>
      <c r="T93">
        <v>2.401016023738872</v>
      </c>
      <c r="U93">
        <v>2.4806077151335311</v>
      </c>
      <c r="V93">
        <v>2.5601994065281901</v>
      </c>
      <c r="W93">
        <v>2.6530563798219591</v>
      </c>
      <c r="X93">
        <v>192.76040682685729</v>
      </c>
      <c r="Y93">
        <v>177.11196051619001</v>
      </c>
      <c r="Z93">
        <v>155.06187707843131</v>
      </c>
      <c r="AA93">
        <v>142.2586028242489</v>
      </c>
      <c r="AB93">
        <v>135.85696569715779</v>
      </c>
      <c r="AC93">
        <v>129.45532857006651</v>
      </c>
      <c r="AD93">
        <v>123.05369144297531</v>
      </c>
      <c r="AE93">
        <v>0.69714598881455148</v>
      </c>
      <c r="AF93">
        <v>0.69714598881455148</v>
      </c>
      <c r="AG93">
        <v>0.69714598881455148</v>
      </c>
      <c r="AH93">
        <v>0.69714598881455148</v>
      </c>
      <c r="AI93">
        <v>0.69714598881455148</v>
      </c>
      <c r="AJ93">
        <v>0.69714598881455148</v>
      </c>
      <c r="AK93">
        <v>0.69714598881455148</v>
      </c>
    </row>
    <row r="94" spans="1:37" x14ac:dyDescent="0.25">
      <c r="A94" t="s">
        <v>90</v>
      </c>
      <c r="B94" t="s">
        <v>91</v>
      </c>
      <c r="C94" t="s">
        <v>164</v>
      </c>
      <c r="F94" t="s">
        <v>142</v>
      </c>
      <c r="G94" t="s">
        <v>114</v>
      </c>
      <c r="H94" t="s">
        <v>115</v>
      </c>
      <c r="I94" t="s">
        <v>165</v>
      </c>
      <c r="J94" t="s">
        <v>180</v>
      </c>
      <c r="K94" t="s">
        <v>98</v>
      </c>
      <c r="L94">
        <v>1</v>
      </c>
      <c r="M94">
        <v>1</v>
      </c>
      <c r="N94">
        <v>2020</v>
      </c>
      <c r="O94">
        <v>85.500534378339864</v>
      </c>
      <c r="P94">
        <v>1</v>
      </c>
      <c r="Q94">
        <v>1.830608902077151</v>
      </c>
      <c r="R94">
        <v>1.91020059347181</v>
      </c>
      <c r="S94">
        <v>2.003057566765579</v>
      </c>
      <c r="T94">
        <v>2.188771513353116</v>
      </c>
      <c r="U94">
        <v>2.2683632047477751</v>
      </c>
      <c r="V94">
        <v>2.3612201780415432</v>
      </c>
      <c r="W94">
        <v>2.4540771513353121</v>
      </c>
      <c r="X94">
        <v>236.8605737023745</v>
      </c>
      <c r="Y94">
        <v>216.23307629285841</v>
      </c>
      <c r="Z94">
        <v>182.80230462915989</v>
      </c>
      <c r="AA94">
        <v>164.30868626200751</v>
      </c>
      <c r="AB94">
        <v>155.77317009255259</v>
      </c>
      <c r="AC94">
        <v>146.52636090897639</v>
      </c>
      <c r="AD94">
        <v>137.99084473952149</v>
      </c>
      <c r="AE94">
        <v>0.69714598881455148</v>
      </c>
      <c r="AF94">
        <v>0.69714598881455148</v>
      </c>
      <c r="AG94">
        <v>0.69714598881455148</v>
      </c>
      <c r="AH94">
        <v>0.69714598881455148</v>
      </c>
      <c r="AI94">
        <v>0.69714598881455148</v>
      </c>
      <c r="AJ94">
        <v>0.69714598881455148</v>
      </c>
      <c r="AK94">
        <v>0.69714598881455148</v>
      </c>
    </row>
    <row r="95" spans="1:37" x14ac:dyDescent="0.25">
      <c r="A95" t="s">
        <v>90</v>
      </c>
      <c r="B95" t="s">
        <v>91</v>
      </c>
      <c r="C95" t="s">
        <v>164</v>
      </c>
      <c r="F95" t="s">
        <v>144</v>
      </c>
      <c r="G95" t="s">
        <v>114</v>
      </c>
      <c r="H95" t="s">
        <v>115</v>
      </c>
      <c r="I95" t="s">
        <v>165</v>
      </c>
      <c r="J95" t="s">
        <v>181</v>
      </c>
      <c r="K95" t="s">
        <v>98</v>
      </c>
      <c r="L95">
        <v>1</v>
      </c>
      <c r="M95">
        <v>1</v>
      </c>
      <c r="N95">
        <v>2020</v>
      </c>
      <c r="O95">
        <v>85.500534378339864</v>
      </c>
      <c r="P95">
        <v>1</v>
      </c>
      <c r="Q95">
        <v>1.644894955489614</v>
      </c>
      <c r="R95">
        <v>1.724486646884273</v>
      </c>
      <c r="S95">
        <v>1.8438741839762609</v>
      </c>
      <c r="T95">
        <v>2.016322848664688</v>
      </c>
      <c r="U95">
        <v>2.0826492581602372</v>
      </c>
      <c r="V95">
        <v>2.1622409495548962</v>
      </c>
      <c r="W95">
        <v>2.2550979228486652</v>
      </c>
      <c r="X95">
        <v>290.20754976146782</v>
      </c>
      <c r="Y95">
        <v>262.46712221073932</v>
      </c>
      <c r="Z95">
        <v>214.81049026461591</v>
      </c>
      <c r="AA95">
        <v>189.91523477037231</v>
      </c>
      <c r="AB95">
        <v>178.5345465444324</v>
      </c>
      <c r="AC95">
        <v>167.1538583184925</v>
      </c>
      <c r="AD95">
        <v>155.77317009255259</v>
      </c>
      <c r="AE95">
        <v>0.69714598881455148</v>
      </c>
      <c r="AF95">
        <v>0.69714598881455148</v>
      </c>
      <c r="AG95">
        <v>0.69714598881455148</v>
      </c>
      <c r="AH95">
        <v>0.69714598881455148</v>
      </c>
      <c r="AI95">
        <v>0.69714598881455148</v>
      </c>
      <c r="AJ95">
        <v>0.69714598881455148</v>
      </c>
      <c r="AK95">
        <v>0.69714598881455148</v>
      </c>
    </row>
    <row r="96" spans="1:37" x14ac:dyDescent="0.25">
      <c r="A96" t="s">
        <v>90</v>
      </c>
      <c r="B96" t="s">
        <v>182</v>
      </c>
      <c r="C96" t="s">
        <v>183</v>
      </c>
      <c r="F96" t="s">
        <v>93</v>
      </c>
      <c r="G96" t="s">
        <v>94</v>
      </c>
      <c r="H96" t="s">
        <v>95</v>
      </c>
      <c r="I96" t="s">
        <v>184</v>
      </c>
      <c r="J96" t="s">
        <v>185</v>
      </c>
      <c r="K96" t="s">
        <v>98</v>
      </c>
      <c r="L96">
        <v>1</v>
      </c>
      <c r="M96">
        <v>1</v>
      </c>
      <c r="N96">
        <v>2020</v>
      </c>
      <c r="O96">
        <v>15.579764908323551</v>
      </c>
      <c r="P96">
        <v>1</v>
      </c>
      <c r="Q96">
        <v>0.2480607715133531</v>
      </c>
      <c r="R96">
        <v>0.24540771513353121</v>
      </c>
      <c r="S96">
        <v>0.28255050445103852</v>
      </c>
      <c r="T96">
        <v>0.30908106824925802</v>
      </c>
      <c r="U96">
        <v>0.32499940652818993</v>
      </c>
      <c r="V96">
        <v>0.33959121661721092</v>
      </c>
      <c r="W96">
        <v>0.35418302670623159</v>
      </c>
      <c r="X96">
        <v>184.22489065740251</v>
      </c>
      <c r="Y96">
        <v>184.22489065740251</v>
      </c>
      <c r="Z96">
        <v>187.78135572800869</v>
      </c>
      <c r="AA96">
        <v>196.31687189746339</v>
      </c>
      <c r="AB96">
        <v>196.31687189746339</v>
      </c>
      <c r="AC96">
        <v>195.60557888334239</v>
      </c>
      <c r="AD96">
        <v>195.60557888334239</v>
      </c>
      <c r="AE96">
        <v>5.6155558990605714</v>
      </c>
      <c r="AF96">
        <v>5.6155558990605714</v>
      </c>
      <c r="AG96">
        <v>5.6155558990605714</v>
      </c>
      <c r="AH96">
        <v>5.6155558990605714</v>
      </c>
      <c r="AI96">
        <v>5.6155558990605714</v>
      </c>
      <c r="AJ96">
        <v>5.6155558990605714</v>
      </c>
      <c r="AK96">
        <v>5.6155558990605714</v>
      </c>
    </row>
    <row r="97" spans="1:37" x14ac:dyDescent="0.25">
      <c r="A97" t="s">
        <v>90</v>
      </c>
      <c r="B97" t="s">
        <v>182</v>
      </c>
      <c r="C97" t="s">
        <v>183</v>
      </c>
      <c r="F97" t="s">
        <v>93</v>
      </c>
      <c r="G97" t="s">
        <v>99</v>
      </c>
      <c r="H97" t="s">
        <v>100</v>
      </c>
      <c r="I97" t="s">
        <v>184</v>
      </c>
      <c r="J97" t="s">
        <v>185</v>
      </c>
      <c r="K97" t="s">
        <v>98</v>
      </c>
      <c r="L97">
        <v>0</v>
      </c>
      <c r="M97">
        <v>1</v>
      </c>
      <c r="N97">
        <v>2020</v>
      </c>
      <c r="O97">
        <v>15.579764908323551</v>
      </c>
      <c r="P97">
        <v>0.1</v>
      </c>
      <c r="Q97">
        <v>0.2480607715133531</v>
      </c>
      <c r="R97">
        <v>0.24540771513353121</v>
      </c>
      <c r="S97">
        <v>0.28255050445103852</v>
      </c>
      <c r="T97">
        <v>0.30908106824925802</v>
      </c>
      <c r="U97">
        <v>0.32499940652818993</v>
      </c>
      <c r="V97">
        <v>0.33959121661721092</v>
      </c>
      <c r="W97">
        <v>0.35418302670623159</v>
      </c>
      <c r="X97">
        <v>184.22489065740251</v>
      </c>
      <c r="Y97">
        <v>184.22489065740251</v>
      </c>
      <c r="Z97">
        <v>187.78135572800869</v>
      </c>
      <c r="AA97">
        <v>196.31687189746339</v>
      </c>
      <c r="AB97">
        <v>196.31687189746339</v>
      </c>
      <c r="AC97">
        <v>195.60557888334239</v>
      </c>
      <c r="AD97">
        <v>195.60557888334239</v>
      </c>
      <c r="AE97">
        <v>5.6155558990605714</v>
      </c>
      <c r="AF97">
        <v>5.6155558990605714</v>
      </c>
      <c r="AG97">
        <v>5.6155558990605714</v>
      </c>
      <c r="AH97">
        <v>5.6155558990605714</v>
      </c>
      <c r="AI97">
        <v>5.6155558990605714</v>
      </c>
      <c r="AJ97">
        <v>5.6155558990605714</v>
      </c>
      <c r="AK97">
        <v>5.6155558990605714</v>
      </c>
    </row>
    <row r="98" spans="1:37" x14ac:dyDescent="0.25">
      <c r="A98" t="s">
        <v>90</v>
      </c>
      <c r="B98" t="s">
        <v>182</v>
      </c>
      <c r="C98" t="s">
        <v>183</v>
      </c>
      <c r="F98" t="s">
        <v>101</v>
      </c>
      <c r="G98" t="s">
        <v>94</v>
      </c>
      <c r="H98" t="s">
        <v>95</v>
      </c>
      <c r="I98" t="s">
        <v>184</v>
      </c>
      <c r="J98" t="s">
        <v>186</v>
      </c>
      <c r="K98" t="s">
        <v>98</v>
      </c>
      <c r="L98">
        <v>1</v>
      </c>
      <c r="M98">
        <v>1</v>
      </c>
      <c r="N98">
        <v>2020</v>
      </c>
      <c r="O98">
        <v>15.579764908323551</v>
      </c>
      <c r="P98">
        <v>1</v>
      </c>
      <c r="Q98">
        <v>0.2732648071216619</v>
      </c>
      <c r="R98">
        <v>0.27459133531157282</v>
      </c>
      <c r="S98">
        <v>0.30377495548961408</v>
      </c>
      <c r="T98">
        <v>0.33163204747774477</v>
      </c>
      <c r="U98">
        <v>0.34887691394658737</v>
      </c>
      <c r="V98">
        <v>0.36612178041543048</v>
      </c>
      <c r="W98">
        <v>0.3833666468842728</v>
      </c>
      <c r="X98">
        <v>191.3378207986149</v>
      </c>
      <c r="Y98">
        <v>190.6265277844935</v>
      </c>
      <c r="Z98">
        <v>194.18299285509971</v>
      </c>
      <c r="AA98">
        <v>202.71850902455481</v>
      </c>
      <c r="AB98">
        <v>202.0072160104335</v>
      </c>
      <c r="AC98">
        <v>202.0072160104335</v>
      </c>
      <c r="AD98">
        <v>201.2959229963123</v>
      </c>
      <c r="AE98">
        <v>5.6155558990605714</v>
      </c>
      <c r="AF98">
        <v>5.6155558990605714</v>
      </c>
      <c r="AG98">
        <v>5.6155558990605714</v>
      </c>
      <c r="AH98">
        <v>5.6155558990605714</v>
      </c>
      <c r="AI98">
        <v>5.6155558990605714</v>
      </c>
      <c r="AJ98">
        <v>5.6155558990605714</v>
      </c>
      <c r="AK98">
        <v>5.6155558990605714</v>
      </c>
    </row>
    <row r="99" spans="1:37" x14ac:dyDescent="0.25">
      <c r="A99" t="s">
        <v>90</v>
      </c>
      <c r="B99" t="s">
        <v>182</v>
      </c>
      <c r="C99" t="s">
        <v>183</v>
      </c>
      <c r="F99" t="s">
        <v>101</v>
      </c>
      <c r="G99" t="s">
        <v>99</v>
      </c>
      <c r="H99" t="s">
        <v>100</v>
      </c>
      <c r="I99" t="s">
        <v>184</v>
      </c>
      <c r="J99" t="s">
        <v>186</v>
      </c>
      <c r="K99" t="s">
        <v>98</v>
      </c>
      <c r="L99">
        <v>0</v>
      </c>
      <c r="M99">
        <v>1</v>
      </c>
      <c r="N99">
        <v>2020</v>
      </c>
      <c r="O99">
        <v>15.579764908323551</v>
      </c>
      <c r="P99">
        <v>0.1</v>
      </c>
      <c r="Q99">
        <v>0.2732648071216619</v>
      </c>
      <c r="R99">
        <v>0.27459133531157282</v>
      </c>
      <c r="S99">
        <v>0.30377495548961408</v>
      </c>
      <c r="T99">
        <v>0.33163204747774477</v>
      </c>
      <c r="U99">
        <v>0.34887691394658737</v>
      </c>
      <c r="V99">
        <v>0.36612178041543048</v>
      </c>
      <c r="W99">
        <v>0.3833666468842728</v>
      </c>
      <c r="X99">
        <v>191.3378207986149</v>
      </c>
      <c r="Y99">
        <v>190.6265277844935</v>
      </c>
      <c r="Z99">
        <v>194.18299285509971</v>
      </c>
      <c r="AA99">
        <v>202.71850902455481</v>
      </c>
      <c r="AB99">
        <v>202.0072160104335</v>
      </c>
      <c r="AC99">
        <v>202.0072160104335</v>
      </c>
      <c r="AD99">
        <v>201.2959229963123</v>
      </c>
      <c r="AE99">
        <v>5.6155558990605714</v>
      </c>
      <c r="AF99">
        <v>5.6155558990605714</v>
      </c>
      <c r="AG99">
        <v>5.6155558990605714</v>
      </c>
      <c r="AH99">
        <v>5.6155558990605714</v>
      </c>
      <c r="AI99">
        <v>5.6155558990605714</v>
      </c>
      <c r="AJ99">
        <v>5.6155558990605714</v>
      </c>
      <c r="AK99">
        <v>5.6155558990605714</v>
      </c>
    </row>
    <row r="100" spans="1:37" x14ac:dyDescent="0.25">
      <c r="A100" t="s">
        <v>90</v>
      </c>
      <c r="B100" t="s">
        <v>182</v>
      </c>
      <c r="C100" t="s">
        <v>183</v>
      </c>
      <c r="F100" t="s">
        <v>103</v>
      </c>
      <c r="G100" t="s">
        <v>94</v>
      </c>
      <c r="H100" t="s">
        <v>95</v>
      </c>
      <c r="I100" t="s">
        <v>184</v>
      </c>
      <c r="J100" t="s">
        <v>187</v>
      </c>
      <c r="K100" t="s">
        <v>98</v>
      </c>
      <c r="L100">
        <v>1</v>
      </c>
      <c r="M100">
        <v>1</v>
      </c>
      <c r="N100">
        <v>2020</v>
      </c>
      <c r="O100">
        <v>15.579764908323551</v>
      </c>
      <c r="P100">
        <v>1</v>
      </c>
      <c r="Q100">
        <v>0.25469341246290811</v>
      </c>
      <c r="R100">
        <v>0.25336688427299719</v>
      </c>
      <c r="S100">
        <v>0.29183620178041542</v>
      </c>
      <c r="T100">
        <v>0.31969329376854611</v>
      </c>
      <c r="U100">
        <v>0.33561163204747763</v>
      </c>
      <c r="V100">
        <v>0.35152997032640948</v>
      </c>
      <c r="W100">
        <v>0.36612178041543048</v>
      </c>
      <c r="X100">
        <v>185.6474766856449</v>
      </c>
      <c r="Y100">
        <v>184.93618367152351</v>
      </c>
      <c r="Z100">
        <v>189.20394175625111</v>
      </c>
      <c r="AA100">
        <v>197.7394579257062</v>
      </c>
      <c r="AB100">
        <v>197.02816491158481</v>
      </c>
      <c r="AC100">
        <v>197.02816491158481</v>
      </c>
      <c r="AD100">
        <v>196.31687189746339</v>
      </c>
      <c r="AE100">
        <v>5.3872812690174499</v>
      </c>
      <c r="AF100">
        <v>5.3872812690174499</v>
      </c>
      <c r="AG100">
        <v>5.3872812690174499</v>
      </c>
      <c r="AH100">
        <v>5.3872812690174499</v>
      </c>
      <c r="AI100">
        <v>5.3872812690174499</v>
      </c>
      <c r="AJ100">
        <v>5.3872812690174499</v>
      </c>
      <c r="AK100">
        <v>5.3872812690174499</v>
      </c>
    </row>
    <row r="101" spans="1:37" x14ac:dyDescent="0.25">
      <c r="A101" t="s">
        <v>90</v>
      </c>
      <c r="B101" t="s">
        <v>182</v>
      </c>
      <c r="C101" t="s">
        <v>183</v>
      </c>
      <c r="F101" t="s">
        <v>103</v>
      </c>
      <c r="G101" t="s">
        <v>99</v>
      </c>
      <c r="H101" t="s">
        <v>100</v>
      </c>
      <c r="I101" t="s">
        <v>184</v>
      </c>
      <c r="J101" t="s">
        <v>187</v>
      </c>
      <c r="K101" t="s">
        <v>98</v>
      </c>
      <c r="L101">
        <v>0</v>
      </c>
      <c r="M101">
        <v>1</v>
      </c>
      <c r="N101">
        <v>2020</v>
      </c>
      <c r="O101">
        <v>15.579764908323551</v>
      </c>
      <c r="P101">
        <v>0.1</v>
      </c>
      <c r="Q101">
        <v>0.25469341246290811</v>
      </c>
      <c r="R101">
        <v>0.25336688427299719</v>
      </c>
      <c r="S101">
        <v>0.29183620178041542</v>
      </c>
      <c r="T101">
        <v>0.31969329376854611</v>
      </c>
      <c r="U101">
        <v>0.33561163204747763</v>
      </c>
      <c r="V101">
        <v>0.35152997032640948</v>
      </c>
      <c r="W101">
        <v>0.36612178041543048</v>
      </c>
      <c r="X101">
        <v>185.6474766856449</v>
      </c>
      <c r="Y101">
        <v>184.93618367152351</v>
      </c>
      <c r="Z101">
        <v>189.20394175625111</v>
      </c>
      <c r="AA101">
        <v>197.7394579257062</v>
      </c>
      <c r="AB101">
        <v>197.02816491158481</v>
      </c>
      <c r="AC101">
        <v>197.02816491158481</v>
      </c>
      <c r="AD101">
        <v>196.31687189746339</v>
      </c>
      <c r="AE101">
        <v>5.3872812690174499</v>
      </c>
      <c r="AF101">
        <v>5.3872812690174499</v>
      </c>
      <c r="AG101">
        <v>5.3872812690174499</v>
      </c>
      <c r="AH101">
        <v>5.3872812690174499</v>
      </c>
      <c r="AI101">
        <v>5.3872812690174499</v>
      </c>
      <c r="AJ101">
        <v>5.3872812690174499</v>
      </c>
      <c r="AK101">
        <v>5.3872812690174499</v>
      </c>
    </row>
    <row r="102" spans="1:37" x14ac:dyDescent="0.25">
      <c r="A102" t="s">
        <v>90</v>
      </c>
      <c r="B102" t="s">
        <v>182</v>
      </c>
      <c r="C102" t="s">
        <v>183</v>
      </c>
      <c r="F102" t="s">
        <v>105</v>
      </c>
      <c r="G102" t="s">
        <v>94</v>
      </c>
      <c r="H102" t="s">
        <v>95</v>
      </c>
      <c r="I102" t="s">
        <v>184</v>
      </c>
      <c r="J102" t="s">
        <v>188</v>
      </c>
      <c r="K102" t="s">
        <v>98</v>
      </c>
      <c r="L102">
        <v>1</v>
      </c>
      <c r="M102">
        <v>1</v>
      </c>
      <c r="N102">
        <v>2020</v>
      </c>
      <c r="O102">
        <v>15.579764908323551</v>
      </c>
      <c r="P102">
        <v>1</v>
      </c>
      <c r="Q102">
        <v>0.27857091988130561</v>
      </c>
      <c r="R102">
        <v>0.28122397626112772</v>
      </c>
      <c r="S102">
        <v>0.31040759643916899</v>
      </c>
      <c r="T102">
        <v>0.33959121661721092</v>
      </c>
      <c r="U102">
        <v>0.35816261127596438</v>
      </c>
      <c r="V102">
        <v>0.37540747774480687</v>
      </c>
      <c r="W102">
        <v>0.39397887240356111</v>
      </c>
      <c r="X102">
        <v>192.76040682685729</v>
      </c>
      <c r="Y102">
        <v>191.3378207986149</v>
      </c>
      <c r="Z102">
        <v>194.89428586922099</v>
      </c>
      <c r="AA102">
        <v>203.4298020386758</v>
      </c>
      <c r="AB102">
        <v>202.71850902455481</v>
      </c>
      <c r="AC102">
        <v>202.71850902455481</v>
      </c>
      <c r="AD102">
        <v>202.0072160104335</v>
      </c>
      <c r="AE102">
        <v>5.3872812690174499</v>
      </c>
      <c r="AF102">
        <v>5.3872812690174499</v>
      </c>
      <c r="AG102">
        <v>5.3872812690174499</v>
      </c>
      <c r="AH102">
        <v>5.3872812690174499</v>
      </c>
      <c r="AI102">
        <v>5.3872812690174499</v>
      </c>
      <c r="AJ102">
        <v>5.3872812690174499</v>
      </c>
      <c r="AK102">
        <v>5.3872812690174499</v>
      </c>
    </row>
    <row r="103" spans="1:37" x14ac:dyDescent="0.25">
      <c r="A103" t="s">
        <v>90</v>
      </c>
      <c r="B103" t="s">
        <v>182</v>
      </c>
      <c r="C103" t="s">
        <v>183</v>
      </c>
      <c r="F103" t="s">
        <v>105</v>
      </c>
      <c r="G103" t="s">
        <v>99</v>
      </c>
      <c r="H103" t="s">
        <v>100</v>
      </c>
      <c r="I103" t="s">
        <v>184</v>
      </c>
      <c r="J103" t="s">
        <v>188</v>
      </c>
      <c r="K103" t="s">
        <v>98</v>
      </c>
      <c r="L103">
        <v>0</v>
      </c>
      <c r="M103">
        <v>1</v>
      </c>
      <c r="N103">
        <v>2020</v>
      </c>
      <c r="O103">
        <v>15.579764908323551</v>
      </c>
      <c r="P103">
        <v>0.1</v>
      </c>
      <c r="Q103">
        <v>0.27857091988130561</v>
      </c>
      <c r="R103">
        <v>0.28122397626112772</v>
      </c>
      <c r="S103">
        <v>0.31040759643916899</v>
      </c>
      <c r="T103">
        <v>0.33959121661721092</v>
      </c>
      <c r="U103">
        <v>0.35816261127596438</v>
      </c>
      <c r="V103">
        <v>0.37540747774480687</v>
      </c>
      <c r="W103">
        <v>0.39397887240356111</v>
      </c>
      <c r="X103">
        <v>192.76040682685729</v>
      </c>
      <c r="Y103">
        <v>191.3378207986149</v>
      </c>
      <c r="Z103">
        <v>194.89428586922099</v>
      </c>
      <c r="AA103">
        <v>203.4298020386758</v>
      </c>
      <c r="AB103">
        <v>202.71850902455481</v>
      </c>
      <c r="AC103">
        <v>202.71850902455481</v>
      </c>
      <c r="AD103">
        <v>202.0072160104335</v>
      </c>
      <c r="AE103">
        <v>5.3872812690174499</v>
      </c>
      <c r="AF103">
        <v>5.3872812690174499</v>
      </c>
      <c r="AG103">
        <v>5.3872812690174499</v>
      </c>
      <c r="AH103">
        <v>5.3872812690174499</v>
      </c>
      <c r="AI103">
        <v>5.3872812690174499</v>
      </c>
      <c r="AJ103">
        <v>5.3872812690174499</v>
      </c>
      <c r="AK103">
        <v>5.3872812690174499</v>
      </c>
    </row>
    <row r="104" spans="1:37" x14ac:dyDescent="0.25">
      <c r="A104" t="s">
        <v>90</v>
      </c>
      <c r="B104" t="s">
        <v>182</v>
      </c>
      <c r="C104" t="s">
        <v>183</v>
      </c>
      <c r="F104" t="s">
        <v>107</v>
      </c>
      <c r="G104" t="s">
        <v>94</v>
      </c>
      <c r="H104" t="s">
        <v>95</v>
      </c>
      <c r="I104" t="s">
        <v>184</v>
      </c>
      <c r="J104" t="s">
        <v>189</v>
      </c>
      <c r="K104" t="s">
        <v>98</v>
      </c>
      <c r="L104">
        <v>1</v>
      </c>
      <c r="M104">
        <v>1</v>
      </c>
      <c r="N104">
        <v>2020</v>
      </c>
      <c r="O104">
        <v>15.579764908323551</v>
      </c>
      <c r="P104">
        <v>1</v>
      </c>
      <c r="Q104">
        <v>0.26132605341246301</v>
      </c>
      <c r="R104">
        <v>0.25867299703264102</v>
      </c>
      <c r="S104">
        <v>0.29846884272997032</v>
      </c>
      <c r="T104">
        <v>0.32632593471810112</v>
      </c>
      <c r="U104">
        <v>0.34357080118694339</v>
      </c>
      <c r="V104">
        <v>0.36081566765578649</v>
      </c>
      <c r="W104">
        <v>0.3767340059347179</v>
      </c>
      <c r="X104">
        <v>189.20394175625111</v>
      </c>
      <c r="Y104">
        <v>187.78135572800869</v>
      </c>
      <c r="Z104">
        <v>191.3378207986149</v>
      </c>
      <c r="AA104">
        <v>199.87333696806979</v>
      </c>
      <c r="AB104">
        <v>199.16204395394851</v>
      </c>
      <c r="AC104">
        <v>198.4507509398272</v>
      </c>
      <c r="AD104">
        <v>197.7394579257062</v>
      </c>
      <c r="AE104">
        <v>5.3872812690174499</v>
      </c>
      <c r="AF104">
        <v>5.3872812690174499</v>
      </c>
      <c r="AG104">
        <v>5.3872812690174499</v>
      </c>
      <c r="AH104">
        <v>5.3872812690174499</v>
      </c>
      <c r="AI104">
        <v>5.3872812690174499</v>
      </c>
      <c r="AJ104">
        <v>5.3872812690174499</v>
      </c>
      <c r="AK104">
        <v>5.3872812690174499</v>
      </c>
    </row>
    <row r="105" spans="1:37" x14ac:dyDescent="0.25">
      <c r="A105" t="s">
        <v>90</v>
      </c>
      <c r="B105" t="s">
        <v>182</v>
      </c>
      <c r="C105" t="s">
        <v>183</v>
      </c>
      <c r="F105" t="s">
        <v>107</v>
      </c>
      <c r="G105" t="s">
        <v>99</v>
      </c>
      <c r="H105" t="s">
        <v>100</v>
      </c>
      <c r="I105" t="s">
        <v>184</v>
      </c>
      <c r="J105" t="s">
        <v>189</v>
      </c>
      <c r="K105" t="s">
        <v>98</v>
      </c>
      <c r="L105">
        <v>0</v>
      </c>
      <c r="M105">
        <v>1</v>
      </c>
      <c r="N105">
        <v>2020</v>
      </c>
      <c r="O105">
        <v>15.579764908323551</v>
      </c>
      <c r="P105">
        <v>0.1</v>
      </c>
      <c r="Q105">
        <v>0.26132605341246301</v>
      </c>
      <c r="R105">
        <v>0.25867299703264102</v>
      </c>
      <c r="S105">
        <v>0.29846884272997032</v>
      </c>
      <c r="T105">
        <v>0.32632593471810112</v>
      </c>
      <c r="U105">
        <v>0.34357080118694339</v>
      </c>
      <c r="V105">
        <v>0.36081566765578649</v>
      </c>
      <c r="W105">
        <v>0.3767340059347179</v>
      </c>
      <c r="X105">
        <v>189.20394175625111</v>
      </c>
      <c r="Y105">
        <v>187.78135572800869</v>
      </c>
      <c r="Z105">
        <v>191.3378207986149</v>
      </c>
      <c r="AA105">
        <v>199.87333696806979</v>
      </c>
      <c r="AB105">
        <v>199.16204395394851</v>
      </c>
      <c r="AC105">
        <v>198.4507509398272</v>
      </c>
      <c r="AD105">
        <v>197.7394579257062</v>
      </c>
      <c r="AE105">
        <v>5.3872812690174499</v>
      </c>
      <c r="AF105">
        <v>5.3872812690174499</v>
      </c>
      <c r="AG105">
        <v>5.3872812690174499</v>
      </c>
      <c r="AH105">
        <v>5.3872812690174499</v>
      </c>
      <c r="AI105">
        <v>5.3872812690174499</v>
      </c>
      <c r="AJ105">
        <v>5.3872812690174499</v>
      </c>
      <c r="AK105">
        <v>5.3872812690174499</v>
      </c>
    </row>
    <row r="106" spans="1:37" x14ac:dyDescent="0.25">
      <c r="A106" t="s">
        <v>90</v>
      </c>
      <c r="B106" t="s">
        <v>182</v>
      </c>
      <c r="C106" t="s">
        <v>183</v>
      </c>
      <c r="F106" t="s">
        <v>109</v>
      </c>
      <c r="G106" t="s">
        <v>94</v>
      </c>
      <c r="H106" t="s">
        <v>95</v>
      </c>
      <c r="I106" t="s">
        <v>184</v>
      </c>
      <c r="J106" t="s">
        <v>189</v>
      </c>
      <c r="K106" t="s">
        <v>98</v>
      </c>
      <c r="L106">
        <v>0</v>
      </c>
      <c r="M106">
        <v>1</v>
      </c>
      <c r="N106">
        <v>2020</v>
      </c>
      <c r="O106">
        <v>15.579764908323551</v>
      </c>
      <c r="P106">
        <v>1</v>
      </c>
      <c r="Q106">
        <v>0.28785661721068262</v>
      </c>
      <c r="R106">
        <v>0.28918314540059342</v>
      </c>
      <c r="S106">
        <v>0.32101982195845707</v>
      </c>
      <c r="T106">
        <v>0.35152997032640948</v>
      </c>
      <c r="U106">
        <v>0.37010136498516299</v>
      </c>
      <c r="V106">
        <v>0.38999928783382759</v>
      </c>
      <c r="W106">
        <v>0.40857068249258138</v>
      </c>
      <c r="X106">
        <v>196.31687189746339</v>
      </c>
      <c r="Y106">
        <v>194.18299285509971</v>
      </c>
      <c r="Z106">
        <v>197.7394579257062</v>
      </c>
      <c r="AA106">
        <v>205.56368108103959</v>
      </c>
      <c r="AB106">
        <v>204.85238806691851</v>
      </c>
      <c r="AC106">
        <v>204.14109505279731</v>
      </c>
      <c r="AD106">
        <v>203.4298020386758</v>
      </c>
      <c r="AE106">
        <v>5.3872812690174499</v>
      </c>
      <c r="AF106">
        <v>5.3872812690174499</v>
      </c>
      <c r="AG106">
        <v>5.3872812690174499</v>
      </c>
      <c r="AH106">
        <v>5.3872812690174499</v>
      </c>
      <c r="AI106">
        <v>5.3872812690174499</v>
      </c>
      <c r="AJ106">
        <v>5.3872812690174499</v>
      </c>
      <c r="AK106">
        <v>5.3872812690174499</v>
      </c>
    </row>
    <row r="107" spans="1:37" x14ac:dyDescent="0.25">
      <c r="A107" t="s">
        <v>90</v>
      </c>
      <c r="B107" t="s">
        <v>182</v>
      </c>
      <c r="C107" t="s">
        <v>183</v>
      </c>
      <c r="F107" t="s">
        <v>109</v>
      </c>
      <c r="G107" t="s">
        <v>99</v>
      </c>
      <c r="H107" t="s">
        <v>100</v>
      </c>
      <c r="I107" t="s">
        <v>184</v>
      </c>
      <c r="J107" t="s">
        <v>189</v>
      </c>
      <c r="K107" t="s">
        <v>98</v>
      </c>
      <c r="L107">
        <v>0</v>
      </c>
      <c r="M107">
        <v>1</v>
      </c>
      <c r="N107">
        <v>2020</v>
      </c>
      <c r="O107">
        <v>15.579764908323551</v>
      </c>
      <c r="P107">
        <v>0.1</v>
      </c>
      <c r="Q107">
        <v>0.28785661721068262</v>
      </c>
      <c r="R107">
        <v>0.28918314540059342</v>
      </c>
      <c r="S107">
        <v>0.32101982195845707</v>
      </c>
      <c r="T107">
        <v>0.35152997032640948</v>
      </c>
      <c r="U107">
        <v>0.37010136498516299</v>
      </c>
      <c r="V107">
        <v>0.38999928783382759</v>
      </c>
      <c r="W107">
        <v>0.40857068249258138</v>
      </c>
      <c r="X107">
        <v>196.31687189746339</v>
      </c>
      <c r="Y107">
        <v>194.18299285509971</v>
      </c>
      <c r="Z107">
        <v>197.7394579257062</v>
      </c>
      <c r="AA107">
        <v>205.56368108103959</v>
      </c>
      <c r="AB107">
        <v>204.85238806691851</v>
      </c>
      <c r="AC107">
        <v>204.14109505279731</v>
      </c>
      <c r="AD107">
        <v>203.4298020386758</v>
      </c>
      <c r="AE107">
        <v>5.3872812690174499</v>
      </c>
      <c r="AF107">
        <v>5.3872812690174499</v>
      </c>
      <c r="AG107">
        <v>5.3872812690174499</v>
      </c>
      <c r="AH107">
        <v>5.3872812690174499</v>
      </c>
      <c r="AI107">
        <v>5.3872812690174499</v>
      </c>
      <c r="AJ107">
        <v>5.3872812690174499</v>
      </c>
      <c r="AK107">
        <v>5.3872812690174499</v>
      </c>
    </row>
    <row r="108" spans="1:37" x14ac:dyDescent="0.25">
      <c r="A108" t="s">
        <v>90</v>
      </c>
      <c r="B108" t="s">
        <v>182</v>
      </c>
      <c r="C108" t="s">
        <v>183</v>
      </c>
      <c r="F108" t="s">
        <v>110</v>
      </c>
      <c r="G108" t="s">
        <v>94</v>
      </c>
      <c r="H108" t="s">
        <v>95</v>
      </c>
      <c r="I108" t="s">
        <v>184</v>
      </c>
      <c r="J108" t="s">
        <v>190</v>
      </c>
      <c r="K108" t="s">
        <v>98</v>
      </c>
      <c r="L108">
        <v>1</v>
      </c>
      <c r="M108">
        <v>1</v>
      </c>
      <c r="N108">
        <v>2020</v>
      </c>
      <c r="O108">
        <v>15.579764908323551</v>
      </c>
      <c r="P108">
        <v>1</v>
      </c>
      <c r="Q108">
        <v>0.40989721068249241</v>
      </c>
      <c r="R108">
        <v>0.42183596439169119</v>
      </c>
      <c r="S108">
        <v>0.43377471810089052</v>
      </c>
      <c r="T108">
        <v>0.46030528189911002</v>
      </c>
      <c r="U108">
        <v>0.48285626112759639</v>
      </c>
      <c r="V108">
        <v>0.50408071216617212</v>
      </c>
      <c r="W108">
        <v>0.52663169139465904</v>
      </c>
      <c r="X108">
        <v>229.03635054704071</v>
      </c>
      <c r="Y108">
        <v>219.07824834934331</v>
      </c>
      <c r="Z108">
        <v>211.2540251940097</v>
      </c>
      <c r="AA108">
        <v>206.98626710928241</v>
      </c>
      <c r="AB108">
        <v>203.4298020386758</v>
      </c>
      <c r="AC108">
        <v>200.58462998219099</v>
      </c>
      <c r="AD108">
        <v>197.7394579257062</v>
      </c>
      <c r="AE108">
        <v>5.3872812690174499</v>
      </c>
      <c r="AF108">
        <v>5.3872812690174499</v>
      </c>
      <c r="AG108">
        <v>5.3872812690174499</v>
      </c>
      <c r="AH108">
        <v>5.3872812690174499</v>
      </c>
      <c r="AI108">
        <v>5.3872812690174499</v>
      </c>
      <c r="AJ108">
        <v>5.3872812690174499</v>
      </c>
      <c r="AK108">
        <v>5.3872812690174499</v>
      </c>
    </row>
    <row r="109" spans="1:37" x14ac:dyDescent="0.25">
      <c r="A109" t="s">
        <v>90</v>
      </c>
      <c r="B109" t="s">
        <v>182</v>
      </c>
      <c r="C109" t="s">
        <v>183</v>
      </c>
      <c r="F109" t="s">
        <v>110</v>
      </c>
      <c r="G109" t="s">
        <v>99</v>
      </c>
      <c r="H109" t="s">
        <v>100</v>
      </c>
      <c r="I109" t="s">
        <v>184</v>
      </c>
      <c r="J109" t="s">
        <v>190</v>
      </c>
      <c r="K109" t="s">
        <v>98</v>
      </c>
      <c r="L109">
        <v>0</v>
      </c>
      <c r="M109">
        <v>1</v>
      </c>
      <c r="N109">
        <v>2020</v>
      </c>
      <c r="O109">
        <v>15.579764908323551</v>
      </c>
      <c r="P109">
        <v>0.1</v>
      </c>
      <c r="Q109">
        <v>0.40989721068249241</v>
      </c>
      <c r="R109">
        <v>0.42183596439169119</v>
      </c>
      <c r="S109">
        <v>0.43377471810089052</v>
      </c>
      <c r="T109">
        <v>0.46030528189911002</v>
      </c>
      <c r="U109">
        <v>0.48285626112759639</v>
      </c>
      <c r="V109">
        <v>0.50408071216617212</v>
      </c>
      <c r="W109">
        <v>0.52663169139465904</v>
      </c>
      <c r="X109">
        <v>229.03635054704071</v>
      </c>
      <c r="Y109">
        <v>219.07824834934331</v>
      </c>
      <c r="Z109">
        <v>211.2540251940097</v>
      </c>
      <c r="AA109">
        <v>206.98626710928241</v>
      </c>
      <c r="AB109">
        <v>203.4298020386758</v>
      </c>
      <c r="AC109">
        <v>200.58462998219099</v>
      </c>
      <c r="AD109">
        <v>197.7394579257062</v>
      </c>
      <c r="AE109">
        <v>5.3872812690174499</v>
      </c>
      <c r="AF109">
        <v>5.3872812690174499</v>
      </c>
      <c r="AG109">
        <v>5.3872812690174499</v>
      </c>
      <c r="AH109">
        <v>5.3872812690174499</v>
      </c>
      <c r="AI109">
        <v>5.3872812690174499</v>
      </c>
      <c r="AJ109">
        <v>5.3872812690174499</v>
      </c>
      <c r="AK109">
        <v>5.3872812690174499</v>
      </c>
    </row>
    <row r="110" spans="1:37" x14ac:dyDescent="0.25">
      <c r="A110" t="s">
        <v>90</v>
      </c>
      <c r="B110" t="s">
        <v>182</v>
      </c>
      <c r="C110" t="s">
        <v>183</v>
      </c>
      <c r="F110" t="s">
        <v>112</v>
      </c>
      <c r="G110" t="s">
        <v>94</v>
      </c>
      <c r="H110" t="s">
        <v>95</v>
      </c>
      <c r="I110" t="s">
        <v>184</v>
      </c>
      <c r="J110" t="s">
        <v>191</v>
      </c>
      <c r="K110" t="s">
        <v>98</v>
      </c>
      <c r="L110">
        <v>1</v>
      </c>
      <c r="M110">
        <v>1</v>
      </c>
      <c r="N110">
        <v>2020</v>
      </c>
      <c r="O110">
        <v>15.579764908323551</v>
      </c>
      <c r="P110">
        <v>0.80278884462151479</v>
      </c>
      <c r="Q110">
        <v>0.54122350148367893</v>
      </c>
      <c r="R110">
        <v>0.5651010089020797</v>
      </c>
      <c r="S110">
        <v>0.57571323442136235</v>
      </c>
      <c r="T110">
        <v>0.62479477744807399</v>
      </c>
      <c r="U110">
        <v>0.65132534124629371</v>
      </c>
      <c r="V110">
        <v>0.67785590504451332</v>
      </c>
      <c r="W110">
        <v>0.70438646884273293</v>
      </c>
      <c r="X110">
        <v>243.97350384358839</v>
      </c>
      <c r="Y110">
        <v>226.902471504678</v>
      </c>
      <c r="Z110">
        <v>214.81049026461639</v>
      </c>
      <c r="AA110">
        <v>209.1201461516448</v>
      </c>
      <c r="AB110">
        <v>206.27497409516101</v>
      </c>
      <c r="AC110">
        <v>203.42980203867671</v>
      </c>
      <c r="AD110">
        <v>200.5846299821896</v>
      </c>
      <c r="AE110">
        <v>5.0676967869571161</v>
      </c>
      <c r="AF110">
        <v>5.0676967869571161</v>
      </c>
      <c r="AG110">
        <v>5.0676967869571161</v>
      </c>
      <c r="AH110">
        <v>5.0676967869571161</v>
      </c>
      <c r="AI110">
        <v>5.0676967869571161</v>
      </c>
      <c r="AJ110">
        <v>5.0676967869571161</v>
      </c>
      <c r="AK110">
        <v>5.0676967869571161</v>
      </c>
    </row>
    <row r="111" spans="1:37" x14ac:dyDescent="0.25">
      <c r="A111" t="s">
        <v>90</v>
      </c>
      <c r="B111" t="s">
        <v>182</v>
      </c>
      <c r="C111" t="s">
        <v>183</v>
      </c>
      <c r="F111" t="s">
        <v>112</v>
      </c>
      <c r="G111" t="s">
        <v>99</v>
      </c>
      <c r="H111" t="s">
        <v>100</v>
      </c>
      <c r="I111" t="s">
        <v>184</v>
      </c>
      <c r="J111" t="s">
        <v>191</v>
      </c>
      <c r="K111" t="s">
        <v>98</v>
      </c>
      <c r="L111">
        <v>0</v>
      </c>
      <c r="M111">
        <v>1</v>
      </c>
      <c r="N111">
        <v>2020</v>
      </c>
      <c r="O111">
        <v>15.579764908323551</v>
      </c>
      <c r="P111">
        <v>0.1</v>
      </c>
      <c r="Q111">
        <v>0.54122350148367893</v>
      </c>
      <c r="R111">
        <v>0.5651010089020797</v>
      </c>
      <c r="S111">
        <v>0.57571323442136235</v>
      </c>
      <c r="T111">
        <v>0.62479477744807399</v>
      </c>
      <c r="U111">
        <v>0.65132534124629371</v>
      </c>
      <c r="V111">
        <v>0.67785590504451332</v>
      </c>
      <c r="W111">
        <v>0.70438646884273293</v>
      </c>
      <c r="X111">
        <v>243.97350384358839</v>
      </c>
      <c r="Y111">
        <v>226.902471504678</v>
      </c>
      <c r="Z111">
        <v>214.81049026461639</v>
      </c>
      <c r="AA111">
        <v>209.1201461516448</v>
      </c>
      <c r="AB111">
        <v>206.27497409516101</v>
      </c>
      <c r="AC111">
        <v>203.42980203867671</v>
      </c>
      <c r="AD111">
        <v>200.5846299821896</v>
      </c>
      <c r="AE111">
        <v>5.0676967869571161</v>
      </c>
      <c r="AF111">
        <v>5.0676967869571161</v>
      </c>
      <c r="AG111">
        <v>5.0676967869571161</v>
      </c>
      <c r="AH111">
        <v>5.0676967869571161</v>
      </c>
      <c r="AI111">
        <v>5.0676967869571161</v>
      </c>
      <c r="AJ111">
        <v>5.0676967869571161</v>
      </c>
      <c r="AK111">
        <v>5.0676967869571161</v>
      </c>
    </row>
    <row r="112" spans="1:37" x14ac:dyDescent="0.25">
      <c r="A112" t="s">
        <v>90</v>
      </c>
      <c r="B112" t="s">
        <v>182</v>
      </c>
      <c r="C112" t="s">
        <v>183</v>
      </c>
      <c r="F112" t="s">
        <v>112</v>
      </c>
      <c r="G112" t="s">
        <v>114</v>
      </c>
      <c r="H112" t="s">
        <v>115</v>
      </c>
      <c r="I112" t="s">
        <v>184</v>
      </c>
      <c r="J112" t="s">
        <v>191</v>
      </c>
      <c r="K112" t="s">
        <v>98</v>
      </c>
      <c r="L112">
        <v>0</v>
      </c>
      <c r="M112">
        <v>1</v>
      </c>
      <c r="N112">
        <v>2020</v>
      </c>
      <c r="O112">
        <v>15.579764908323551</v>
      </c>
      <c r="P112">
        <v>0.1972111553784853</v>
      </c>
      <c r="Q112">
        <v>0.54122350148367893</v>
      </c>
      <c r="R112">
        <v>0.5651010089020797</v>
      </c>
      <c r="S112">
        <v>0.57571323442136235</v>
      </c>
      <c r="T112">
        <v>0.62479477744807399</v>
      </c>
      <c r="U112">
        <v>0.65132534124629371</v>
      </c>
      <c r="V112">
        <v>0.67785590504451332</v>
      </c>
      <c r="W112">
        <v>0.70438646884273293</v>
      </c>
      <c r="X112">
        <v>243.97350384358839</v>
      </c>
      <c r="Y112">
        <v>226.902471504678</v>
      </c>
      <c r="Z112">
        <v>214.81049026461639</v>
      </c>
      <c r="AA112">
        <v>209.1201461516448</v>
      </c>
      <c r="AB112">
        <v>206.27497409516101</v>
      </c>
      <c r="AC112">
        <v>203.42980203867671</v>
      </c>
      <c r="AD112">
        <v>200.5846299821896</v>
      </c>
      <c r="AE112">
        <v>5.0676967869571161</v>
      </c>
      <c r="AF112">
        <v>5.0676967869571161</v>
      </c>
      <c r="AG112">
        <v>5.0676967869571161</v>
      </c>
      <c r="AH112">
        <v>5.0676967869571161</v>
      </c>
      <c r="AI112">
        <v>5.0676967869571161</v>
      </c>
      <c r="AJ112">
        <v>5.0676967869571161</v>
      </c>
      <c r="AK112">
        <v>5.0676967869571161</v>
      </c>
    </row>
    <row r="113" spans="1:37" x14ac:dyDescent="0.25">
      <c r="A113" t="s">
        <v>90</v>
      </c>
      <c r="B113" t="s">
        <v>182</v>
      </c>
      <c r="C113" t="s">
        <v>183</v>
      </c>
      <c r="F113" t="s">
        <v>116</v>
      </c>
      <c r="G113" t="s">
        <v>94</v>
      </c>
      <c r="H113" t="s">
        <v>95</v>
      </c>
      <c r="I113" t="s">
        <v>184</v>
      </c>
      <c r="J113" t="s">
        <v>192</v>
      </c>
      <c r="K113" t="s">
        <v>98</v>
      </c>
      <c r="L113">
        <v>1</v>
      </c>
      <c r="M113">
        <v>1</v>
      </c>
      <c r="N113">
        <v>2020</v>
      </c>
      <c r="O113">
        <v>15.579764908323551</v>
      </c>
      <c r="P113">
        <v>0.6035856573705215</v>
      </c>
      <c r="Q113">
        <v>0.67387632047477508</v>
      </c>
      <c r="R113">
        <v>0.711019109792288</v>
      </c>
      <c r="S113">
        <v>0.72561091988130844</v>
      </c>
      <c r="T113">
        <v>0.78795774480711844</v>
      </c>
      <c r="U113">
        <v>0.82244747774480709</v>
      </c>
      <c r="V113">
        <v>0.85561068249258154</v>
      </c>
      <c r="W113">
        <v>0.89142694362018204</v>
      </c>
      <c r="X113">
        <v>270.29134536607239</v>
      </c>
      <c r="Y113">
        <v>246.10738288595039</v>
      </c>
      <c r="Z113">
        <v>226.902471504678</v>
      </c>
      <c r="AA113">
        <v>216.94436930698029</v>
      </c>
      <c r="AB113">
        <v>212.67661122225249</v>
      </c>
      <c r="AC113">
        <v>208.40885313752489</v>
      </c>
      <c r="AD113">
        <v>204.14109505279731</v>
      </c>
      <c r="AE113">
        <v>5.0676967869571161</v>
      </c>
      <c r="AF113">
        <v>5.0676967869571161</v>
      </c>
      <c r="AG113">
        <v>5.0676967869571161</v>
      </c>
      <c r="AH113">
        <v>5.0676967869571161</v>
      </c>
      <c r="AI113">
        <v>5.0676967869571161</v>
      </c>
      <c r="AJ113">
        <v>5.0676967869571161</v>
      </c>
      <c r="AK113">
        <v>5.0676967869571161</v>
      </c>
    </row>
    <row r="114" spans="1:37" x14ac:dyDescent="0.25">
      <c r="A114" t="s">
        <v>90</v>
      </c>
      <c r="B114" t="s">
        <v>182</v>
      </c>
      <c r="C114" t="s">
        <v>183</v>
      </c>
      <c r="F114" t="s">
        <v>116</v>
      </c>
      <c r="G114" t="s">
        <v>99</v>
      </c>
      <c r="H114" t="s">
        <v>100</v>
      </c>
      <c r="I114" t="s">
        <v>184</v>
      </c>
      <c r="J114" t="s">
        <v>192</v>
      </c>
      <c r="K114" t="s">
        <v>98</v>
      </c>
      <c r="L114">
        <v>0</v>
      </c>
      <c r="M114">
        <v>1</v>
      </c>
      <c r="N114">
        <v>2020</v>
      </c>
      <c r="O114">
        <v>15.579764908323551</v>
      </c>
      <c r="P114">
        <v>0.1</v>
      </c>
      <c r="Q114">
        <v>0.67387632047477508</v>
      </c>
      <c r="R114">
        <v>0.711019109792288</v>
      </c>
      <c r="S114">
        <v>0.72561091988130844</v>
      </c>
      <c r="T114">
        <v>0.78795774480711844</v>
      </c>
      <c r="U114">
        <v>0.82244747774480709</v>
      </c>
      <c r="V114">
        <v>0.85561068249258154</v>
      </c>
      <c r="W114">
        <v>0.89142694362018204</v>
      </c>
      <c r="X114">
        <v>270.29134536607239</v>
      </c>
      <c r="Y114">
        <v>246.10738288595039</v>
      </c>
      <c r="Z114">
        <v>226.902471504678</v>
      </c>
      <c r="AA114">
        <v>216.94436930698029</v>
      </c>
      <c r="AB114">
        <v>212.67661122225249</v>
      </c>
      <c r="AC114">
        <v>208.40885313752489</v>
      </c>
      <c r="AD114">
        <v>204.14109505279731</v>
      </c>
      <c r="AE114">
        <v>5.0676967869571161</v>
      </c>
      <c r="AF114">
        <v>5.0676967869571161</v>
      </c>
      <c r="AG114">
        <v>5.0676967869571161</v>
      </c>
      <c r="AH114">
        <v>5.0676967869571161</v>
      </c>
      <c r="AI114">
        <v>5.0676967869571161</v>
      </c>
      <c r="AJ114">
        <v>5.0676967869571161</v>
      </c>
      <c r="AK114">
        <v>5.0676967869571161</v>
      </c>
    </row>
    <row r="115" spans="1:37" x14ac:dyDescent="0.25">
      <c r="A115" t="s">
        <v>90</v>
      </c>
      <c r="B115" t="s">
        <v>182</v>
      </c>
      <c r="C115" t="s">
        <v>183</v>
      </c>
      <c r="F115" t="s">
        <v>116</v>
      </c>
      <c r="G115" t="s">
        <v>114</v>
      </c>
      <c r="H115" t="s">
        <v>115</v>
      </c>
      <c r="I115" t="s">
        <v>184</v>
      </c>
      <c r="J115" t="s">
        <v>192</v>
      </c>
      <c r="K115" t="s">
        <v>98</v>
      </c>
      <c r="L115">
        <v>0</v>
      </c>
      <c r="M115">
        <v>1</v>
      </c>
      <c r="N115">
        <v>2020</v>
      </c>
      <c r="O115">
        <v>15.579764908323551</v>
      </c>
      <c r="P115">
        <v>0.3964143426294785</v>
      </c>
      <c r="Q115">
        <v>0.67387632047477508</v>
      </c>
      <c r="R115">
        <v>0.711019109792288</v>
      </c>
      <c r="S115">
        <v>0.72561091988130844</v>
      </c>
      <c r="T115">
        <v>0.78795774480711844</v>
      </c>
      <c r="U115">
        <v>0.82244747774480709</v>
      </c>
      <c r="V115">
        <v>0.85561068249258154</v>
      </c>
      <c r="W115">
        <v>0.89142694362018204</v>
      </c>
      <c r="X115">
        <v>270.29134536607239</v>
      </c>
      <c r="Y115">
        <v>246.10738288595039</v>
      </c>
      <c r="Z115">
        <v>226.902471504678</v>
      </c>
      <c r="AA115">
        <v>216.94436930698029</v>
      </c>
      <c r="AB115">
        <v>212.67661122225249</v>
      </c>
      <c r="AC115">
        <v>208.40885313752489</v>
      </c>
      <c r="AD115">
        <v>204.14109505279731</v>
      </c>
      <c r="AE115">
        <v>5.0676967869571161</v>
      </c>
      <c r="AF115">
        <v>5.0676967869571161</v>
      </c>
      <c r="AG115">
        <v>5.0676967869571161</v>
      </c>
      <c r="AH115">
        <v>5.0676967869571161</v>
      </c>
      <c r="AI115">
        <v>5.0676967869571161</v>
      </c>
      <c r="AJ115">
        <v>5.0676967869571161</v>
      </c>
      <c r="AK115">
        <v>5.0676967869571161</v>
      </c>
    </row>
    <row r="116" spans="1:37" x14ac:dyDescent="0.25">
      <c r="A116" t="s">
        <v>90</v>
      </c>
      <c r="B116" t="s">
        <v>182</v>
      </c>
      <c r="C116" t="s">
        <v>183</v>
      </c>
      <c r="F116" t="s">
        <v>118</v>
      </c>
      <c r="G116" t="s">
        <v>119</v>
      </c>
      <c r="H116" t="s">
        <v>120</v>
      </c>
      <c r="I116" t="s">
        <v>184</v>
      </c>
      <c r="J116" t="s">
        <v>193</v>
      </c>
      <c r="K116" t="s">
        <v>98</v>
      </c>
      <c r="L116">
        <v>1</v>
      </c>
      <c r="M116">
        <v>1</v>
      </c>
      <c r="N116">
        <v>2020</v>
      </c>
      <c r="O116">
        <v>15.579764908323551</v>
      </c>
      <c r="P116">
        <v>1</v>
      </c>
      <c r="Q116">
        <v>0.30510148367952522</v>
      </c>
      <c r="R116">
        <v>0.30112189910979231</v>
      </c>
      <c r="S116">
        <v>0.34489732937685458</v>
      </c>
      <c r="T116">
        <v>0.37673400593471812</v>
      </c>
      <c r="U116">
        <v>0.39530540059347191</v>
      </c>
      <c r="V116">
        <v>0.41520332344213662</v>
      </c>
      <c r="W116">
        <v>0.43377471810089008</v>
      </c>
      <c r="X116">
        <v>220.50083437758579</v>
      </c>
      <c r="Y116">
        <v>217.65566232110089</v>
      </c>
      <c r="Z116">
        <v>216.23307629285841</v>
      </c>
      <c r="AA116">
        <v>216.23307629285841</v>
      </c>
      <c r="AB116">
        <v>215.5217832787371</v>
      </c>
      <c r="AC116">
        <v>215.5217832787371</v>
      </c>
      <c r="AD116">
        <v>214.81049026461591</v>
      </c>
      <c r="AE116">
        <v>5.6155558990605661</v>
      </c>
      <c r="AF116">
        <v>5.6155558990605661</v>
      </c>
      <c r="AG116">
        <v>5.6155558990605661</v>
      </c>
      <c r="AH116">
        <v>5.6155558990605661</v>
      </c>
      <c r="AI116">
        <v>5.6155558990605661</v>
      </c>
      <c r="AJ116">
        <v>5.6155558990605661</v>
      </c>
      <c r="AK116">
        <v>5.6155558990605661</v>
      </c>
    </row>
    <row r="117" spans="1:37" x14ac:dyDescent="0.25">
      <c r="A117" t="s">
        <v>90</v>
      </c>
      <c r="B117" t="s">
        <v>182</v>
      </c>
      <c r="C117" t="s">
        <v>183</v>
      </c>
      <c r="F117" t="s">
        <v>118</v>
      </c>
      <c r="G117" t="s">
        <v>122</v>
      </c>
      <c r="H117" t="s">
        <v>123</v>
      </c>
      <c r="I117" t="s">
        <v>184</v>
      </c>
      <c r="J117" t="s">
        <v>193</v>
      </c>
      <c r="K117" t="s">
        <v>98</v>
      </c>
      <c r="L117">
        <v>0</v>
      </c>
      <c r="M117">
        <v>1</v>
      </c>
      <c r="N117">
        <v>2020</v>
      </c>
      <c r="O117">
        <v>15.579764908323551</v>
      </c>
      <c r="P117">
        <v>1</v>
      </c>
      <c r="Q117">
        <v>0.30510148367952522</v>
      </c>
      <c r="R117">
        <v>0.30112189910979231</v>
      </c>
      <c r="S117">
        <v>0.34489732937685458</v>
      </c>
      <c r="T117">
        <v>0.37673400593471812</v>
      </c>
      <c r="U117">
        <v>0.39530540059347191</v>
      </c>
      <c r="V117">
        <v>0.41520332344213662</v>
      </c>
      <c r="W117">
        <v>0.43377471810089008</v>
      </c>
      <c r="X117">
        <v>220.50083437758579</v>
      </c>
      <c r="Y117">
        <v>217.65566232110089</v>
      </c>
      <c r="Z117">
        <v>216.23307629285841</v>
      </c>
      <c r="AA117">
        <v>216.23307629285841</v>
      </c>
      <c r="AB117">
        <v>215.5217832787371</v>
      </c>
      <c r="AC117">
        <v>215.5217832787371</v>
      </c>
      <c r="AD117">
        <v>214.81049026461591</v>
      </c>
      <c r="AE117">
        <v>5.6155558990605661</v>
      </c>
      <c r="AF117">
        <v>5.6155558990605661</v>
      </c>
      <c r="AG117">
        <v>5.6155558990605661</v>
      </c>
      <c r="AH117">
        <v>5.6155558990605661</v>
      </c>
      <c r="AI117">
        <v>5.6155558990605661</v>
      </c>
      <c r="AJ117">
        <v>5.6155558990605661</v>
      </c>
      <c r="AK117">
        <v>5.6155558990605661</v>
      </c>
    </row>
    <row r="118" spans="1:37" x14ac:dyDescent="0.25">
      <c r="A118" t="s">
        <v>90</v>
      </c>
      <c r="B118" t="s">
        <v>182</v>
      </c>
      <c r="C118" t="s">
        <v>183</v>
      </c>
      <c r="F118" t="s">
        <v>118</v>
      </c>
      <c r="G118" t="s">
        <v>124</v>
      </c>
      <c r="H118" t="s">
        <v>125</v>
      </c>
      <c r="I118" t="s">
        <v>184</v>
      </c>
      <c r="J118" t="s">
        <v>193</v>
      </c>
      <c r="K118" t="s">
        <v>98</v>
      </c>
      <c r="L118">
        <v>0</v>
      </c>
      <c r="M118">
        <v>1</v>
      </c>
      <c r="N118">
        <v>2020</v>
      </c>
      <c r="O118">
        <v>15.579764908323551</v>
      </c>
      <c r="P118">
        <v>0.1</v>
      </c>
      <c r="Q118">
        <v>0.30510148367952522</v>
      </c>
      <c r="R118">
        <v>0.30112189910979231</v>
      </c>
      <c r="S118">
        <v>0.34489732937685458</v>
      </c>
      <c r="T118">
        <v>0.37673400593471812</v>
      </c>
      <c r="U118">
        <v>0.39530540059347191</v>
      </c>
      <c r="V118">
        <v>0.41520332344213662</v>
      </c>
      <c r="W118">
        <v>0.43377471810089008</v>
      </c>
      <c r="X118">
        <v>220.50083437758579</v>
      </c>
      <c r="Y118">
        <v>217.65566232110089</v>
      </c>
      <c r="Z118">
        <v>216.23307629285841</v>
      </c>
      <c r="AA118">
        <v>216.23307629285841</v>
      </c>
      <c r="AB118">
        <v>215.5217832787371</v>
      </c>
      <c r="AC118">
        <v>215.5217832787371</v>
      </c>
      <c r="AD118">
        <v>214.81049026461591</v>
      </c>
      <c r="AE118">
        <v>5.6155558990605661</v>
      </c>
      <c r="AF118">
        <v>5.6155558990605661</v>
      </c>
      <c r="AG118">
        <v>5.6155558990605661</v>
      </c>
      <c r="AH118">
        <v>5.6155558990605661</v>
      </c>
      <c r="AI118">
        <v>5.6155558990605661</v>
      </c>
      <c r="AJ118">
        <v>5.6155558990605661</v>
      </c>
      <c r="AK118">
        <v>5.6155558990605661</v>
      </c>
    </row>
    <row r="119" spans="1:37" x14ac:dyDescent="0.25">
      <c r="A119" t="s">
        <v>90</v>
      </c>
      <c r="B119" t="s">
        <v>182</v>
      </c>
      <c r="C119" t="s">
        <v>183</v>
      </c>
      <c r="F119" t="s">
        <v>126</v>
      </c>
      <c r="G119" t="s">
        <v>127</v>
      </c>
      <c r="H119" t="s">
        <v>128</v>
      </c>
      <c r="I119" t="s">
        <v>184</v>
      </c>
      <c r="J119" t="s">
        <v>194</v>
      </c>
      <c r="K119" t="s">
        <v>98</v>
      </c>
      <c r="L119">
        <v>1</v>
      </c>
      <c r="M119">
        <v>1</v>
      </c>
      <c r="N119">
        <v>2020</v>
      </c>
      <c r="O119">
        <v>15.579764908323551</v>
      </c>
      <c r="P119">
        <v>1</v>
      </c>
      <c r="Q119">
        <v>0.25071382789317498</v>
      </c>
      <c r="R119">
        <v>0.27193827893175071</v>
      </c>
      <c r="S119">
        <v>0.30244842729970328</v>
      </c>
      <c r="T119">
        <v>0.32499940652818993</v>
      </c>
      <c r="U119">
        <v>0.34091774480712173</v>
      </c>
      <c r="V119">
        <v>0.35683608308605341</v>
      </c>
      <c r="W119">
        <v>0.37275442136498521</v>
      </c>
      <c r="X119">
        <v>227.61376451879829</v>
      </c>
      <c r="Y119">
        <v>225.47988547643459</v>
      </c>
      <c r="Z119">
        <v>224.76859246231331</v>
      </c>
      <c r="AA119">
        <v>224.05729944819211</v>
      </c>
      <c r="AB119">
        <v>224.05729944819211</v>
      </c>
      <c r="AC119">
        <v>224.05729944819211</v>
      </c>
      <c r="AD119">
        <v>223.3460064340708</v>
      </c>
      <c r="AE119">
        <v>5.6155558990605661</v>
      </c>
      <c r="AF119">
        <v>5.6155558990605661</v>
      </c>
      <c r="AG119">
        <v>5.6155558990605661</v>
      </c>
      <c r="AH119">
        <v>5.6155558990605661</v>
      </c>
      <c r="AI119">
        <v>5.6155558990605661</v>
      </c>
      <c r="AJ119">
        <v>5.6155558990605661</v>
      </c>
      <c r="AK119">
        <v>5.6155558990605661</v>
      </c>
    </row>
    <row r="120" spans="1:37" x14ac:dyDescent="0.25">
      <c r="A120" t="s">
        <v>90</v>
      </c>
      <c r="B120" t="s">
        <v>182</v>
      </c>
      <c r="C120" t="s">
        <v>183</v>
      </c>
      <c r="F120" t="s">
        <v>126</v>
      </c>
      <c r="G120" t="s">
        <v>130</v>
      </c>
      <c r="H120" t="s">
        <v>131</v>
      </c>
      <c r="I120" t="s">
        <v>184</v>
      </c>
      <c r="J120" t="s">
        <v>194</v>
      </c>
      <c r="K120" t="s">
        <v>98</v>
      </c>
      <c r="L120">
        <v>0</v>
      </c>
      <c r="M120">
        <v>1</v>
      </c>
      <c r="N120">
        <v>2020</v>
      </c>
      <c r="O120">
        <v>15.579764908323551</v>
      </c>
      <c r="P120">
        <v>1</v>
      </c>
      <c r="Q120">
        <v>0.25071382789317498</v>
      </c>
      <c r="R120">
        <v>0.27193827893175071</v>
      </c>
      <c r="S120">
        <v>0.30244842729970328</v>
      </c>
      <c r="T120">
        <v>0.32499940652818993</v>
      </c>
      <c r="U120">
        <v>0.34091774480712173</v>
      </c>
      <c r="V120">
        <v>0.35683608308605341</v>
      </c>
      <c r="W120">
        <v>0.37275442136498521</v>
      </c>
      <c r="X120">
        <v>227.61376451879829</v>
      </c>
      <c r="Y120">
        <v>225.47988547643459</v>
      </c>
      <c r="Z120">
        <v>224.76859246231331</v>
      </c>
      <c r="AA120">
        <v>224.05729944819211</v>
      </c>
      <c r="AB120">
        <v>224.05729944819211</v>
      </c>
      <c r="AC120">
        <v>224.05729944819211</v>
      </c>
      <c r="AD120">
        <v>223.3460064340708</v>
      </c>
      <c r="AE120">
        <v>5.6155558990605661</v>
      </c>
      <c r="AF120">
        <v>5.6155558990605661</v>
      </c>
      <c r="AG120">
        <v>5.6155558990605661</v>
      </c>
      <c r="AH120">
        <v>5.6155558990605661</v>
      </c>
      <c r="AI120">
        <v>5.6155558990605661</v>
      </c>
      <c r="AJ120">
        <v>5.6155558990605661</v>
      </c>
      <c r="AK120">
        <v>5.6155558990605661</v>
      </c>
    </row>
    <row r="121" spans="1:37" x14ac:dyDescent="0.25">
      <c r="A121" t="s">
        <v>90</v>
      </c>
      <c r="B121" t="s">
        <v>182</v>
      </c>
      <c r="C121" t="s">
        <v>183</v>
      </c>
      <c r="F121" t="s">
        <v>132</v>
      </c>
      <c r="G121" t="s">
        <v>133</v>
      </c>
      <c r="H121" t="s">
        <v>134</v>
      </c>
      <c r="I121" t="s">
        <v>184</v>
      </c>
      <c r="J121" t="s">
        <v>195</v>
      </c>
      <c r="K121" t="s">
        <v>98</v>
      </c>
      <c r="L121">
        <v>1</v>
      </c>
      <c r="M121">
        <v>1</v>
      </c>
      <c r="N121">
        <v>2020</v>
      </c>
      <c r="O121">
        <v>15.579764908323551</v>
      </c>
      <c r="P121">
        <v>1</v>
      </c>
      <c r="Q121">
        <v>0.54918267062314552</v>
      </c>
      <c r="R121">
        <v>0.56642753709198845</v>
      </c>
      <c r="S121">
        <v>0.57571323442136513</v>
      </c>
      <c r="T121">
        <v>0.61152949554896119</v>
      </c>
      <c r="U121">
        <v>0.62612130563798252</v>
      </c>
      <c r="V121">
        <v>0.64071311572700262</v>
      </c>
      <c r="W121">
        <v>0.65397839762611243</v>
      </c>
      <c r="X121">
        <v>344.26581883468242</v>
      </c>
      <c r="Y121">
        <v>313.68021922746908</v>
      </c>
      <c r="Z121">
        <v>288.07367071910397</v>
      </c>
      <c r="AA121">
        <v>257.48807111189058</v>
      </c>
      <c r="AB121">
        <v>248.95255494243551</v>
      </c>
      <c r="AC121">
        <v>241.1283317871021</v>
      </c>
      <c r="AD121">
        <v>232.59281561764701</v>
      </c>
      <c r="AE121">
        <v>4.2322116409993011</v>
      </c>
      <c r="AF121">
        <v>4.2322116409993011</v>
      </c>
      <c r="AG121">
        <v>4.2322116409993011</v>
      </c>
      <c r="AH121">
        <v>4.2322116409993011</v>
      </c>
      <c r="AI121">
        <v>4.2322116409993011</v>
      </c>
      <c r="AJ121">
        <v>4.2322116409993011</v>
      </c>
      <c r="AK121">
        <v>4.2322116409993011</v>
      </c>
    </row>
    <row r="122" spans="1:37" x14ac:dyDescent="0.25">
      <c r="A122" t="s">
        <v>90</v>
      </c>
      <c r="B122" t="s">
        <v>182</v>
      </c>
      <c r="C122" t="s">
        <v>183</v>
      </c>
      <c r="F122" t="s">
        <v>136</v>
      </c>
      <c r="G122" t="s">
        <v>133</v>
      </c>
      <c r="H122" t="s">
        <v>134</v>
      </c>
      <c r="I122" t="s">
        <v>184</v>
      </c>
      <c r="J122" t="s">
        <v>196</v>
      </c>
      <c r="K122" t="s">
        <v>98</v>
      </c>
      <c r="L122">
        <v>1</v>
      </c>
      <c r="M122">
        <v>1</v>
      </c>
      <c r="N122">
        <v>2020</v>
      </c>
      <c r="O122">
        <v>15.579764908323551</v>
      </c>
      <c r="P122">
        <v>1</v>
      </c>
      <c r="Q122">
        <v>0.54122350148367915</v>
      </c>
      <c r="R122">
        <v>0.5597948961424335</v>
      </c>
      <c r="S122">
        <v>0.56775406528189876</v>
      </c>
      <c r="T122">
        <v>0.60357032640949559</v>
      </c>
      <c r="U122">
        <v>0.61816213649851603</v>
      </c>
      <c r="V122">
        <v>0.63142741839762584</v>
      </c>
      <c r="W122">
        <v>0.64601922848664728</v>
      </c>
      <c r="X122">
        <v>356.35780007474341</v>
      </c>
      <c r="Y122">
        <v>324.34961443928739</v>
      </c>
      <c r="Z122">
        <v>298.74306593092268</v>
      </c>
      <c r="AA122">
        <v>266.73488029546672</v>
      </c>
      <c r="AB122">
        <v>258.19936412601157</v>
      </c>
      <c r="AC122">
        <v>248.95255494243551</v>
      </c>
      <c r="AD122">
        <v>240.4170387729805</v>
      </c>
      <c r="AE122">
        <v>4.2322116409993011</v>
      </c>
      <c r="AF122">
        <v>4.2322116409993011</v>
      </c>
      <c r="AG122">
        <v>4.2322116409993011</v>
      </c>
      <c r="AH122">
        <v>4.2322116409993011</v>
      </c>
      <c r="AI122">
        <v>4.2322116409993011</v>
      </c>
      <c r="AJ122">
        <v>4.2322116409993011</v>
      </c>
      <c r="AK122">
        <v>4.2322116409993011</v>
      </c>
    </row>
    <row r="123" spans="1:37" x14ac:dyDescent="0.25">
      <c r="A123" t="s">
        <v>90</v>
      </c>
      <c r="B123" t="s">
        <v>182</v>
      </c>
      <c r="C123" t="s">
        <v>183</v>
      </c>
      <c r="F123" t="s">
        <v>138</v>
      </c>
      <c r="G123" t="s">
        <v>114</v>
      </c>
      <c r="H123" t="s">
        <v>115</v>
      </c>
      <c r="I123" t="s">
        <v>184</v>
      </c>
      <c r="J123" t="s">
        <v>197</v>
      </c>
      <c r="K123" t="s">
        <v>98</v>
      </c>
      <c r="L123">
        <v>1</v>
      </c>
      <c r="M123">
        <v>1</v>
      </c>
      <c r="N123">
        <v>2020</v>
      </c>
      <c r="O123">
        <v>15.579764908323551</v>
      </c>
      <c r="P123">
        <v>1</v>
      </c>
      <c r="Q123">
        <v>1.2495895548961431</v>
      </c>
      <c r="R123">
        <v>1.307956795252226</v>
      </c>
      <c r="S123">
        <v>1.339793471810089</v>
      </c>
      <c r="T123">
        <v>1.4591810089020769</v>
      </c>
      <c r="U123">
        <v>1.5122421364985159</v>
      </c>
      <c r="V123">
        <v>1.565303264094956</v>
      </c>
      <c r="W123">
        <v>1.631629673590504</v>
      </c>
      <c r="X123">
        <v>243.97350384358691</v>
      </c>
      <c r="Y123">
        <v>226.90247150467701</v>
      </c>
      <c r="Z123">
        <v>204.1410950527972</v>
      </c>
      <c r="AA123">
        <v>189.91523477037231</v>
      </c>
      <c r="AB123">
        <v>183.51359764328109</v>
      </c>
      <c r="AC123">
        <v>177.11196051619001</v>
      </c>
      <c r="AD123">
        <v>169.99903037497739</v>
      </c>
      <c r="AE123">
        <v>4.0952468629734371</v>
      </c>
      <c r="AF123">
        <v>4.0952468629734371</v>
      </c>
      <c r="AG123">
        <v>4.0952468629734371</v>
      </c>
      <c r="AH123">
        <v>4.0952468629734371</v>
      </c>
      <c r="AI123">
        <v>4.0952468629734371</v>
      </c>
      <c r="AJ123">
        <v>4.0952468629734371</v>
      </c>
      <c r="AK123">
        <v>4.0952468629734371</v>
      </c>
    </row>
    <row r="124" spans="1:37" x14ac:dyDescent="0.25">
      <c r="A124" t="s">
        <v>90</v>
      </c>
      <c r="B124" t="s">
        <v>182</v>
      </c>
      <c r="C124" t="s">
        <v>183</v>
      </c>
      <c r="F124" t="s">
        <v>140</v>
      </c>
      <c r="G124" t="s">
        <v>114</v>
      </c>
      <c r="H124" t="s">
        <v>115</v>
      </c>
      <c r="I124" t="s">
        <v>184</v>
      </c>
      <c r="J124" t="s">
        <v>198</v>
      </c>
      <c r="K124" t="s">
        <v>98</v>
      </c>
      <c r="L124">
        <v>1</v>
      </c>
      <c r="M124">
        <v>1</v>
      </c>
      <c r="N124">
        <v>2020</v>
      </c>
      <c r="O124">
        <v>15.579764908323551</v>
      </c>
      <c r="P124">
        <v>1</v>
      </c>
      <c r="Q124">
        <v>1.196528427299703</v>
      </c>
      <c r="R124">
        <v>1.253569139465875</v>
      </c>
      <c r="S124">
        <v>1.293364985163205</v>
      </c>
      <c r="T124">
        <v>1.4193851632047481</v>
      </c>
      <c r="U124">
        <v>1.4724462908011871</v>
      </c>
      <c r="V124">
        <v>1.525507418397626</v>
      </c>
      <c r="W124">
        <v>1.591833827893175</v>
      </c>
      <c r="X124">
        <v>293.05272181795277</v>
      </c>
      <c r="Y124">
        <v>269.58005235195168</v>
      </c>
      <c r="Z124">
        <v>235.43798767413199</v>
      </c>
      <c r="AA124">
        <v>214.81049026461591</v>
      </c>
      <c r="AB124">
        <v>205.5636810810397</v>
      </c>
      <c r="AC124">
        <v>196.3168718974635</v>
      </c>
      <c r="AD124">
        <v>186.3587696997661</v>
      </c>
      <c r="AE124">
        <v>4.0952468629734371</v>
      </c>
      <c r="AF124">
        <v>4.0952468629734371</v>
      </c>
      <c r="AG124">
        <v>4.0952468629734371</v>
      </c>
      <c r="AH124">
        <v>4.0952468629734371</v>
      </c>
      <c r="AI124">
        <v>4.0952468629734371</v>
      </c>
      <c r="AJ124">
        <v>4.0952468629734371</v>
      </c>
      <c r="AK124">
        <v>4.0952468629734371</v>
      </c>
    </row>
    <row r="125" spans="1:37" x14ac:dyDescent="0.25">
      <c r="A125" t="s">
        <v>90</v>
      </c>
      <c r="B125" t="s">
        <v>182</v>
      </c>
      <c r="C125" t="s">
        <v>183</v>
      </c>
      <c r="F125" t="s">
        <v>142</v>
      </c>
      <c r="G125" t="s">
        <v>114</v>
      </c>
      <c r="H125" t="s">
        <v>115</v>
      </c>
      <c r="I125" t="s">
        <v>184</v>
      </c>
      <c r="J125" t="s">
        <v>199</v>
      </c>
      <c r="K125" t="s">
        <v>98</v>
      </c>
      <c r="L125">
        <v>1</v>
      </c>
      <c r="M125">
        <v>1</v>
      </c>
      <c r="N125">
        <v>2020</v>
      </c>
      <c r="O125">
        <v>15.579764908323551</v>
      </c>
      <c r="P125">
        <v>1</v>
      </c>
      <c r="Q125">
        <v>1.075814362017804</v>
      </c>
      <c r="R125">
        <v>1.1275489614243319</v>
      </c>
      <c r="S125">
        <v>1.1819366172106831</v>
      </c>
      <c r="T125">
        <v>1.297344569732938</v>
      </c>
      <c r="U125">
        <v>1.3530587537091989</v>
      </c>
      <c r="V125">
        <v>1.4061198813056379</v>
      </c>
      <c r="W125">
        <v>1.4591810089020769</v>
      </c>
      <c r="X125">
        <v>361.33685117359232</v>
      </c>
      <c r="Y125">
        <v>329.32866553813631</v>
      </c>
      <c r="Z125">
        <v>278.11556852140671</v>
      </c>
      <c r="AA125">
        <v>248.95255494243571</v>
      </c>
      <c r="AB125">
        <v>236.14928068825321</v>
      </c>
      <c r="AC125">
        <v>222.63471341994961</v>
      </c>
      <c r="AD125">
        <v>209.12014615164591</v>
      </c>
      <c r="AE125">
        <v>4.0952468629734371</v>
      </c>
      <c r="AF125">
        <v>4.0952468629734371</v>
      </c>
      <c r="AG125">
        <v>4.0952468629734371</v>
      </c>
      <c r="AH125">
        <v>4.0952468629734371</v>
      </c>
      <c r="AI125">
        <v>4.0952468629734371</v>
      </c>
      <c r="AJ125">
        <v>4.0952468629734371</v>
      </c>
      <c r="AK125">
        <v>4.0952468629734371</v>
      </c>
    </row>
    <row r="126" spans="1:37" x14ac:dyDescent="0.25">
      <c r="A126" t="s">
        <v>90</v>
      </c>
      <c r="B126" t="s">
        <v>182</v>
      </c>
      <c r="C126" t="s">
        <v>183</v>
      </c>
      <c r="F126" t="s">
        <v>144</v>
      </c>
      <c r="G126" t="s">
        <v>114</v>
      </c>
      <c r="H126" t="s">
        <v>115</v>
      </c>
      <c r="I126" t="s">
        <v>184</v>
      </c>
      <c r="J126" t="s">
        <v>200</v>
      </c>
      <c r="K126" t="s">
        <v>98</v>
      </c>
      <c r="L126">
        <v>1</v>
      </c>
      <c r="M126">
        <v>1</v>
      </c>
      <c r="N126">
        <v>2020</v>
      </c>
      <c r="O126">
        <v>15.579764908323551</v>
      </c>
      <c r="P126">
        <v>1</v>
      </c>
      <c r="Q126">
        <v>0.97101863501483687</v>
      </c>
      <c r="R126">
        <v>1.0174471216617209</v>
      </c>
      <c r="S126">
        <v>1.0917327002967361</v>
      </c>
      <c r="T126">
        <v>1.196528427299703</v>
      </c>
      <c r="U126">
        <v>1.2429569139465879</v>
      </c>
      <c r="V126">
        <v>1.2946915133531161</v>
      </c>
      <c r="W126">
        <v>1.3530587537091989</v>
      </c>
      <c r="X126">
        <v>443.13554779753542</v>
      </c>
      <c r="Y126">
        <v>399.74667393613959</v>
      </c>
      <c r="Z126">
        <v>325.77220046753013</v>
      </c>
      <c r="AA126">
        <v>287.3623777049828</v>
      </c>
      <c r="AB126">
        <v>269.58005235195168</v>
      </c>
      <c r="AC126">
        <v>252.50902001304189</v>
      </c>
      <c r="AD126">
        <v>234.72669466001071</v>
      </c>
      <c r="AE126">
        <v>4.0952468629734371</v>
      </c>
      <c r="AF126">
        <v>4.0952468629734371</v>
      </c>
      <c r="AG126">
        <v>4.0952468629734371</v>
      </c>
      <c r="AH126">
        <v>4.0952468629734371</v>
      </c>
      <c r="AI126">
        <v>4.0952468629734371</v>
      </c>
      <c r="AJ126">
        <v>4.0952468629734371</v>
      </c>
      <c r="AK126">
        <v>4.0952468629734371</v>
      </c>
    </row>
    <row r="127" spans="1:37" x14ac:dyDescent="0.25">
      <c r="A127" t="s">
        <v>90</v>
      </c>
      <c r="B127" t="s">
        <v>182</v>
      </c>
      <c r="C127" t="s">
        <v>201</v>
      </c>
      <c r="F127" t="s">
        <v>202</v>
      </c>
      <c r="G127" t="s">
        <v>119</v>
      </c>
      <c r="H127" t="s">
        <v>120</v>
      </c>
      <c r="I127" t="s">
        <v>203</v>
      </c>
      <c r="J127" t="s">
        <v>204</v>
      </c>
      <c r="K127" t="s">
        <v>98</v>
      </c>
      <c r="L127">
        <v>1</v>
      </c>
      <c r="M127">
        <v>1</v>
      </c>
      <c r="N127">
        <v>2020</v>
      </c>
      <c r="O127">
        <v>8</v>
      </c>
      <c r="P127">
        <v>1</v>
      </c>
      <c r="Q127">
        <v>0.14459157270029679</v>
      </c>
      <c r="R127">
        <v>0.14459157270029679</v>
      </c>
      <c r="S127">
        <v>0.1578568545994066</v>
      </c>
      <c r="T127">
        <v>0.1711221364985164</v>
      </c>
      <c r="U127">
        <v>0.1804078338278931</v>
      </c>
      <c r="V127">
        <v>0.18836700296735909</v>
      </c>
      <c r="W127">
        <v>0.1963261721068249</v>
      </c>
      <c r="X127">
        <v>421.08546435977678</v>
      </c>
      <c r="Y127">
        <v>421.08546435977678</v>
      </c>
      <c r="Z127">
        <v>423.93063641626179</v>
      </c>
      <c r="AA127">
        <v>423.21934340214051</v>
      </c>
      <c r="AB127">
        <v>423.93063641626179</v>
      </c>
      <c r="AC127">
        <v>424.64192943038302</v>
      </c>
      <c r="AD127">
        <v>426.06451545862558</v>
      </c>
      <c r="AE127">
        <v>10.491571958288359</v>
      </c>
      <c r="AF127">
        <v>10.491571958288359</v>
      </c>
      <c r="AG127">
        <v>10.491571958288359</v>
      </c>
      <c r="AH127">
        <v>10.491571958288359</v>
      </c>
      <c r="AI127">
        <v>10.491571958288359</v>
      </c>
      <c r="AJ127">
        <v>10.491571958288359</v>
      </c>
      <c r="AK127">
        <v>10.491571958288359</v>
      </c>
    </row>
    <row r="128" spans="1:37" x14ac:dyDescent="0.25">
      <c r="A128" t="s">
        <v>90</v>
      </c>
      <c r="B128" t="s">
        <v>182</v>
      </c>
      <c r="C128" t="s">
        <v>201</v>
      </c>
      <c r="F128" t="s">
        <v>202</v>
      </c>
      <c r="G128" t="s">
        <v>122</v>
      </c>
      <c r="H128" t="s">
        <v>123</v>
      </c>
      <c r="I128" t="s">
        <v>203</v>
      </c>
      <c r="J128" t="s">
        <v>204</v>
      </c>
      <c r="K128" t="s">
        <v>98</v>
      </c>
      <c r="L128">
        <v>0</v>
      </c>
      <c r="M128">
        <v>1</v>
      </c>
      <c r="N128">
        <v>2020</v>
      </c>
      <c r="O128">
        <v>8</v>
      </c>
      <c r="P128">
        <v>1</v>
      </c>
      <c r="Q128">
        <v>0.14459157270029679</v>
      </c>
      <c r="R128">
        <v>0.14459157270029679</v>
      </c>
      <c r="S128">
        <v>0.1578568545994066</v>
      </c>
      <c r="T128">
        <v>0.1711221364985164</v>
      </c>
      <c r="U128">
        <v>0.1804078338278931</v>
      </c>
      <c r="V128">
        <v>0.18836700296735909</v>
      </c>
      <c r="W128">
        <v>0.1963261721068249</v>
      </c>
      <c r="X128">
        <v>421.08546435977678</v>
      </c>
      <c r="Y128">
        <v>421.08546435977678</v>
      </c>
      <c r="Z128">
        <v>423.93063641626179</v>
      </c>
      <c r="AA128">
        <v>423.21934340214051</v>
      </c>
      <c r="AB128">
        <v>423.93063641626179</v>
      </c>
      <c r="AC128">
        <v>424.64192943038302</v>
      </c>
      <c r="AD128">
        <v>426.06451545862558</v>
      </c>
      <c r="AE128">
        <v>10.491571958288359</v>
      </c>
      <c r="AF128">
        <v>10.491571958288359</v>
      </c>
      <c r="AG128">
        <v>10.491571958288359</v>
      </c>
      <c r="AH128">
        <v>10.491571958288359</v>
      </c>
      <c r="AI128">
        <v>10.491571958288359</v>
      </c>
      <c r="AJ128">
        <v>10.491571958288359</v>
      </c>
      <c r="AK128">
        <v>10.491571958288359</v>
      </c>
    </row>
    <row r="129" spans="1:37" x14ac:dyDescent="0.25">
      <c r="A129" t="s">
        <v>90</v>
      </c>
      <c r="B129" t="s">
        <v>182</v>
      </c>
      <c r="C129" t="s">
        <v>201</v>
      </c>
      <c r="F129" t="s">
        <v>202</v>
      </c>
      <c r="G129" t="s">
        <v>124</v>
      </c>
      <c r="H129" t="s">
        <v>125</v>
      </c>
      <c r="I129" t="s">
        <v>203</v>
      </c>
      <c r="J129" t="s">
        <v>204</v>
      </c>
      <c r="K129" t="s">
        <v>98</v>
      </c>
      <c r="L129">
        <v>0</v>
      </c>
      <c r="M129">
        <v>1</v>
      </c>
      <c r="N129">
        <v>2020</v>
      </c>
      <c r="O129">
        <v>8</v>
      </c>
      <c r="P129">
        <v>0.1</v>
      </c>
      <c r="Q129">
        <v>0.14459157270029679</v>
      </c>
      <c r="R129">
        <v>0.14459157270029679</v>
      </c>
      <c r="S129">
        <v>0.1578568545994066</v>
      </c>
      <c r="T129">
        <v>0.1711221364985164</v>
      </c>
      <c r="U129">
        <v>0.1804078338278931</v>
      </c>
      <c r="V129">
        <v>0.18836700296735909</v>
      </c>
      <c r="W129">
        <v>0.1963261721068249</v>
      </c>
      <c r="X129">
        <v>421.08546435977678</v>
      </c>
      <c r="Y129">
        <v>421.08546435977678</v>
      </c>
      <c r="Z129">
        <v>423.93063641626179</v>
      </c>
      <c r="AA129">
        <v>423.21934340214051</v>
      </c>
      <c r="AB129">
        <v>423.93063641626179</v>
      </c>
      <c r="AC129">
        <v>424.64192943038302</v>
      </c>
      <c r="AD129">
        <v>426.06451545862558</v>
      </c>
      <c r="AE129">
        <v>10.491571958288359</v>
      </c>
      <c r="AF129">
        <v>10.491571958288359</v>
      </c>
      <c r="AG129">
        <v>10.491571958288359</v>
      </c>
      <c r="AH129">
        <v>10.491571958288359</v>
      </c>
      <c r="AI129">
        <v>10.491571958288359</v>
      </c>
      <c r="AJ129">
        <v>10.491571958288359</v>
      </c>
      <c r="AK129">
        <v>10.491571958288359</v>
      </c>
    </row>
    <row r="130" spans="1:37" x14ac:dyDescent="0.25">
      <c r="A130" t="s">
        <v>90</v>
      </c>
      <c r="B130" t="s">
        <v>182</v>
      </c>
      <c r="C130" t="s">
        <v>201</v>
      </c>
      <c r="F130" t="s">
        <v>205</v>
      </c>
      <c r="G130" t="s">
        <v>119</v>
      </c>
      <c r="H130" t="s">
        <v>120</v>
      </c>
      <c r="I130" t="s">
        <v>203</v>
      </c>
      <c r="J130" t="s">
        <v>206</v>
      </c>
      <c r="K130" t="s">
        <v>98</v>
      </c>
      <c r="L130">
        <v>1</v>
      </c>
      <c r="M130">
        <v>1</v>
      </c>
      <c r="N130">
        <v>2020</v>
      </c>
      <c r="O130">
        <v>8</v>
      </c>
      <c r="P130">
        <v>1</v>
      </c>
      <c r="Q130">
        <v>0.14459157270029679</v>
      </c>
      <c r="R130">
        <v>0.14459157270029679</v>
      </c>
      <c r="S130">
        <v>0.1578568545994066</v>
      </c>
      <c r="T130">
        <v>0.17244866468842729</v>
      </c>
      <c r="U130">
        <v>0.1804078338278931</v>
      </c>
      <c r="V130">
        <v>0.18836700296735909</v>
      </c>
      <c r="W130">
        <v>0.19765270029673601</v>
      </c>
      <c r="X130">
        <v>461.62916616468777</v>
      </c>
      <c r="Y130">
        <v>461.62916616468777</v>
      </c>
      <c r="Z130">
        <v>465.18563123529401</v>
      </c>
      <c r="AA130">
        <v>463.7630452070515</v>
      </c>
      <c r="AB130">
        <v>463.7630452070515</v>
      </c>
      <c r="AC130">
        <v>464.47433822117279</v>
      </c>
      <c r="AD130">
        <v>465.18563123529401</v>
      </c>
      <c r="AE130">
        <v>10.491571958288359</v>
      </c>
      <c r="AF130">
        <v>10.491571958288359</v>
      </c>
      <c r="AG130">
        <v>10.491571958288359</v>
      </c>
      <c r="AH130">
        <v>10.491571958288359</v>
      </c>
      <c r="AI130">
        <v>10.491571958288359</v>
      </c>
      <c r="AJ130">
        <v>10.491571958288359</v>
      </c>
      <c r="AK130">
        <v>10.491571958288359</v>
      </c>
    </row>
    <row r="131" spans="1:37" x14ac:dyDescent="0.25">
      <c r="A131" t="s">
        <v>90</v>
      </c>
      <c r="B131" t="s">
        <v>182</v>
      </c>
      <c r="C131" t="s">
        <v>201</v>
      </c>
      <c r="F131" t="s">
        <v>205</v>
      </c>
      <c r="G131" t="s">
        <v>122</v>
      </c>
      <c r="H131" t="s">
        <v>123</v>
      </c>
      <c r="I131" t="s">
        <v>203</v>
      </c>
      <c r="J131" t="s">
        <v>206</v>
      </c>
      <c r="K131" t="s">
        <v>98</v>
      </c>
      <c r="L131">
        <v>0</v>
      </c>
      <c r="M131">
        <v>1</v>
      </c>
      <c r="N131">
        <v>2020</v>
      </c>
      <c r="O131">
        <v>8</v>
      </c>
      <c r="P131">
        <v>1</v>
      </c>
      <c r="Q131">
        <v>0.14459157270029679</v>
      </c>
      <c r="R131">
        <v>0.14459157270029679</v>
      </c>
      <c r="S131">
        <v>0.1578568545994066</v>
      </c>
      <c r="T131">
        <v>0.17244866468842729</v>
      </c>
      <c r="U131">
        <v>0.1804078338278931</v>
      </c>
      <c r="V131">
        <v>0.18836700296735909</v>
      </c>
      <c r="W131">
        <v>0.19765270029673601</v>
      </c>
      <c r="X131">
        <v>461.62916616468777</v>
      </c>
      <c r="Y131">
        <v>461.62916616468777</v>
      </c>
      <c r="Z131">
        <v>465.18563123529401</v>
      </c>
      <c r="AA131">
        <v>463.7630452070515</v>
      </c>
      <c r="AB131">
        <v>463.7630452070515</v>
      </c>
      <c r="AC131">
        <v>464.47433822117279</v>
      </c>
      <c r="AD131">
        <v>465.18563123529401</v>
      </c>
      <c r="AE131">
        <v>10.491571958288359</v>
      </c>
      <c r="AF131">
        <v>10.491571958288359</v>
      </c>
      <c r="AG131">
        <v>10.491571958288359</v>
      </c>
      <c r="AH131">
        <v>10.491571958288359</v>
      </c>
      <c r="AI131">
        <v>10.491571958288359</v>
      </c>
      <c r="AJ131">
        <v>10.491571958288359</v>
      </c>
      <c r="AK131">
        <v>10.491571958288359</v>
      </c>
    </row>
    <row r="132" spans="1:37" x14ac:dyDescent="0.25">
      <c r="A132" t="s">
        <v>90</v>
      </c>
      <c r="B132" t="s">
        <v>182</v>
      </c>
      <c r="C132" t="s">
        <v>201</v>
      </c>
      <c r="F132" t="s">
        <v>205</v>
      </c>
      <c r="G132" t="s">
        <v>124</v>
      </c>
      <c r="H132" t="s">
        <v>125</v>
      </c>
      <c r="I132" t="s">
        <v>203</v>
      </c>
      <c r="J132" t="s">
        <v>206</v>
      </c>
      <c r="K132" t="s">
        <v>98</v>
      </c>
      <c r="L132">
        <v>0</v>
      </c>
      <c r="M132">
        <v>1</v>
      </c>
      <c r="N132">
        <v>2020</v>
      </c>
      <c r="O132">
        <v>8</v>
      </c>
      <c r="P132">
        <v>0.1</v>
      </c>
      <c r="Q132">
        <v>0.14459157270029679</v>
      </c>
      <c r="R132">
        <v>0.14459157270029679</v>
      </c>
      <c r="S132">
        <v>0.1578568545994066</v>
      </c>
      <c r="T132">
        <v>0.17244866468842729</v>
      </c>
      <c r="U132">
        <v>0.1804078338278931</v>
      </c>
      <c r="V132">
        <v>0.18836700296735909</v>
      </c>
      <c r="W132">
        <v>0.19765270029673601</v>
      </c>
      <c r="X132">
        <v>461.62916616468777</v>
      </c>
      <c r="Y132">
        <v>461.62916616468777</v>
      </c>
      <c r="Z132">
        <v>465.18563123529401</v>
      </c>
      <c r="AA132">
        <v>463.7630452070515</v>
      </c>
      <c r="AB132">
        <v>463.7630452070515</v>
      </c>
      <c r="AC132">
        <v>464.47433822117279</v>
      </c>
      <c r="AD132">
        <v>465.18563123529401</v>
      </c>
      <c r="AE132">
        <v>10.491571958288359</v>
      </c>
      <c r="AF132">
        <v>10.491571958288359</v>
      </c>
      <c r="AG132">
        <v>10.491571958288359</v>
      </c>
      <c r="AH132">
        <v>10.491571958288359</v>
      </c>
      <c r="AI132">
        <v>10.491571958288359</v>
      </c>
      <c r="AJ132">
        <v>10.491571958288359</v>
      </c>
      <c r="AK132">
        <v>10.491571958288359</v>
      </c>
    </row>
    <row r="133" spans="1:37" x14ac:dyDescent="0.25">
      <c r="A133" t="s">
        <v>90</v>
      </c>
      <c r="B133" t="s">
        <v>182</v>
      </c>
      <c r="C133" t="s">
        <v>201</v>
      </c>
      <c r="F133" t="s">
        <v>207</v>
      </c>
      <c r="G133" t="s">
        <v>119</v>
      </c>
      <c r="H133" t="s">
        <v>120</v>
      </c>
      <c r="I133" t="s">
        <v>203</v>
      </c>
      <c r="J133" t="s">
        <v>208</v>
      </c>
      <c r="K133" t="s">
        <v>98</v>
      </c>
      <c r="L133">
        <v>1</v>
      </c>
      <c r="M133">
        <v>1</v>
      </c>
      <c r="N133">
        <v>2020</v>
      </c>
      <c r="O133">
        <v>8</v>
      </c>
      <c r="P133">
        <v>1</v>
      </c>
      <c r="Q133">
        <v>0.14591810089020771</v>
      </c>
      <c r="R133">
        <v>0.14591810089020771</v>
      </c>
      <c r="S133">
        <v>0.16183643916913951</v>
      </c>
      <c r="T133">
        <v>0.1764282492581602</v>
      </c>
      <c r="U133">
        <v>0.18704047477744801</v>
      </c>
      <c r="V133">
        <v>0.1963261721068249</v>
      </c>
      <c r="W133">
        <v>0.2056118694362018</v>
      </c>
      <c r="X133">
        <v>465.89692424941529</v>
      </c>
      <c r="Y133">
        <v>465.89692424941529</v>
      </c>
      <c r="Z133">
        <v>464.47433822117279</v>
      </c>
      <c r="AA133">
        <v>460.91787315056649</v>
      </c>
      <c r="AB133">
        <v>459.49528712232399</v>
      </c>
      <c r="AC133">
        <v>458.78399410820282</v>
      </c>
      <c r="AD133">
        <v>458.07270109408159</v>
      </c>
      <c r="AE133">
        <v>10.491571958288359</v>
      </c>
      <c r="AF133">
        <v>10.491571958288359</v>
      </c>
      <c r="AG133">
        <v>10.491571958288359</v>
      </c>
      <c r="AH133">
        <v>10.491571958288359</v>
      </c>
      <c r="AI133">
        <v>10.491571958288359</v>
      </c>
      <c r="AJ133">
        <v>10.491571958288359</v>
      </c>
      <c r="AK133">
        <v>10.491571958288359</v>
      </c>
    </row>
    <row r="134" spans="1:37" x14ac:dyDescent="0.25">
      <c r="A134" t="s">
        <v>90</v>
      </c>
      <c r="B134" t="s">
        <v>182</v>
      </c>
      <c r="C134" t="s">
        <v>201</v>
      </c>
      <c r="F134" t="s">
        <v>207</v>
      </c>
      <c r="G134" t="s">
        <v>122</v>
      </c>
      <c r="H134" t="s">
        <v>123</v>
      </c>
      <c r="I134" t="s">
        <v>203</v>
      </c>
      <c r="J134" t="s">
        <v>208</v>
      </c>
      <c r="K134" t="s">
        <v>98</v>
      </c>
      <c r="L134">
        <v>0</v>
      </c>
      <c r="M134">
        <v>1</v>
      </c>
      <c r="N134">
        <v>2020</v>
      </c>
      <c r="O134">
        <v>8</v>
      </c>
      <c r="P134">
        <v>1</v>
      </c>
      <c r="Q134">
        <v>0.14591810089020771</v>
      </c>
      <c r="R134">
        <v>0.14591810089020771</v>
      </c>
      <c r="S134">
        <v>0.16183643916913951</v>
      </c>
      <c r="T134">
        <v>0.1764282492581602</v>
      </c>
      <c r="U134">
        <v>0.18704047477744801</v>
      </c>
      <c r="V134">
        <v>0.1963261721068249</v>
      </c>
      <c r="W134">
        <v>0.2056118694362018</v>
      </c>
      <c r="X134">
        <v>465.89692424941529</v>
      </c>
      <c r="Y134">
        <v>465.89692424941529</v>
      </c>
      <c r="Z134">
        <v>464.47433822117279</v>
      </c>
      <c r="AA134">
        <v>460.91787315056649</v>
      </c>
      <c r="AB134">
        <v>459.49528712232399</v>
      </c>
      <c r="AC134">
        <v>458.78399410820282</v>
      </c>
      <c r="AD134">
        <v>458.07270109408159</v>
      </c>
      <c r="AE134">
        <v>10.491571958288359</v>
      </c>
      <c r="AF134">
        <v>10.491571958288359</v>
      </c>
      <c r="AG134">
        <v>10.491571958288359</v>
      </c>
      <c r="AH134">
        <v>10.491571958288359</v>
      </c>
      <c r="AI134">
        <v>10.491571958288359</v>
      </c>
      <c r="AJ134">
        <v>10.491571958288359</v>
      </c>
      <c r="AK134">
        <v>10.491571958288359</v>
      </c>
    </row>
    <row r="135" spans="1:37" x14ac:dyDescent="0.25">
      <c r="A135" t="s">
        <v>90</v>
      </c>
      <c r="B135" t="s">
        <v>182</v>
      </c>
      <c r="C135" t="s">
        <v>201</v>
      </c>
      <c r="F135" t="s">
        <v>207</v>
      </c>
      <c r="G135" t="s">
        <v>124</v>
      </c>
      <c r="H135" t="s">
        <v>125</v>
      </c>
      <c r="I135" t="s">
        <v>203</v>
      </c>
      <c r="J135" t="s">
        <v>208</v>
      </c>
      <c r="K135" t="s">
        <v>98</v>
      </c>
      <c r="L135">
        <v>0</v>
      </c>
      <c r="M135">
        <v>1</v>
      </c>
      <c r="N135">
        <v>2020</v>
      </c>
      <c r="O135">
        <v>8</v>
      </c>
      <c r="P135">
        <v>0.1</v>
      </c>
      <c r="Q135">
        <v>0.14591810089020771</v>
      </c>
      <c r="R135">
        <v>0.14591810089020771</v>
      </c>
      <c r="S135">
        <v>0.16183643916913951</v>
      </c>
      <c r="T135">
        <v>0.1764282492581602</v>
      </c>
      <c r="U135">
        <v>0.18704047477744801</v>
      </c>
      <c r="V135">
        <v>0.1963261721068249</v>
      </c>
      <c r="W135">
        <v>0.2056118694362018</v>
      </c>
      <c r="X135">
        <v>465.89692424941529</v>
      </c>
      <c r="Y135">
        <v>465.89692424941529</v>
      </c>
      <c r="Z135">
        <v>464.47433822117279</v>
      </c>
      <c r="AA135">
        <v>460.91787315056649</v>
      </c>
      <c r="AB135">
        <v>459.49528712232399</v>
      </c>
      <c r="AC135">
        <v>458.78399410820282</v>
      </c>
      <c r="AD135">
        <v>458.07270109408159</v>
      </c>
      <c r="AE135">
        <v>10.491571958288359</v>
      </c>
      <c r="AF135">
        <v>10.491571958288359</v>
      </c>
      <c r="AG135">
        <v>10.491571958288359</v>
      </c>
      <c r="AH135">
        <v>10.491571958288359</v>
      </c>
      <c r="AI135">
        <v>10.491571958288359</v>
      </c>
      <c r="AJ135">
        <v>10.491571958288359</v>
      </c>
      <c r="AK135">
        <v>10.491571958288359</v>
      </c>
    </row>
    <row r="136" spans="1:37" x14ac:dyDescent="0.25">
      <c r="A136" t="s">
        <v>90</v>
      </c>
      <c r="B136" t="s">
        <v>182</v>
      </c>
      <c r="C136" t="s">
        <v>201</v>
      </c>
      <c r="F136" t="s">
        <v>209</v>
      </c>
      <c r="G136" t="s">
        <v>119</v>
      </c>
      <c r="H136" t="s">
        <v>120</v>
      </c>
      <c r="I136" t="s">
        <v>203</v>
      </c>
      <c r="J136" t="s">
        <v>210</v>
      </c>
      <c r="K136" t="s">
        <v>98</v>
      </c>
      <c r="L136">
        <v>1</v>
      </c>
      <c r="M136">
        <v>1</v>
      </c>
      <c r="N136">
        <v>2020</v>
      </c>
      <c r="O136">
        <v>8</v>
      </c>
      <c r="P136">
        <v>0.30952380952381148</v>
      </c>
      <c r="Q136">
        <v>0.29979537091988079</v>
      </c>
      <c r="R136">
        <v>0.29979537091988079</v>
      </c>
      <c r="S136">
        <v>0.33030551928783392</v>
      </c>
      <c r="T136">
        <v>0.35816261127596438</v>
      </c>
      <c r="U136">
        <v>0.37408094955489479</v>
      </c>
      <c r="V136">
        <v>0.3899992878338272</v>
      </c>
      <c r="W136">
        <v>0.4059176261127605</v>
      </c>
      <c r="X136">
        <v>515.68743523790056</v>
      </c>
      <c r="Y136">
        <v>515.68743523790056</v>
      </c>
      <c r="Z136">
        <v>484.39054261656662</v>
      </c>
      <c r="AA136">
        <v>464.47433822117449</v>
      </c>
      <c r="AB136">
        <v>456.65011506583812</v>
      </c>
      <c r="AC136">
        <v>449.53718492462809</v>
      </c>
      <c r="AD136">
        <v>441.71296176929172</v>
      </c>
      <c r="AE136">
        <v>10.491571958288329</v>
      </c>
      <c r="AF136">
        <v>10.491571958288329</v>
      </c>
      <c r="AG136">
        <v>10.491571958288329</v>
      </c>
      <c r="AH136">
        <v>10.491571958288329</v>
      </c>
      <c r="AI136">
        <v>10.491571958288329</v>
      </c>
      <c r="AJ136">
        <v>10.491571958288329</v>
      </c>
      <c r="AK136">
        <v>10.491571958288329</v>
      </c>
    </row>
    <row r="137" spans="1:37" x14ac:dyDescent="0.25">
      <c r="A137" t="s">
        <v>90</v>
      </c>
      <c r="B137" t="s">
        <v>182</v>
      </c>
      <c r="C137" t="s">
        <v>201</v>
      </c>
      <c r="F137" t="s">
        <v>209</v>
      </c>
      <c r="G137" t="s">
        <v>122</v>
      </c>
      <c r="H137" t="s">
        <v>123</v>
      </c>
      <c r="I137" t="s">
        <v>203</v>
      </c>
      <c r="J137" t="s">
        <v>210</v>
      </c>
      <c r="K137" t="s">
        <v>98</v>
      </c>
      <c r="L137">
        <v>0</v>
      </c>
      <c r="M137">
        <v>1</v>
      </c>
      <c r="N137">
        <v>2020</v>
      </c>
      <c r="O137">
        <v>8</v>
      </c>
      <c r="P137">
        <v>0.30952380952381148</v>
      </c>
      <c r="Q137">
        <v>0.29979537091988079</v>
      </c>
      <c r="R137">
        <v>0.29979537091988079</v>
      </c>
      <c r="S137">
        <v>0.33030551928783392</v>
      </c>
      <c r="T137">
        <v>0.35816261127596438</v>
      </c>
      <c r="U137">
        <v>0.37408094955489479</v>
      </c>
      <c r="V137">
        <v>0.3899992878338272</v>
      </c>
      <c r="W137">
        <v>0.4059176261127605</v>
      </c>
      <c r="X137">
        <v>515.68743523790056</v>
      </c>
      <c r="Y137">
        <v>515.68743523790056</v>
      </c>
      <c r="Z137">
        <v>484.39054261656662</v>
      </c>
      <c r="AA137">
        <v>464.47433822117449</v>
      </c>
      <c r="AB137">
        <v>456.65011506583812</v>
      </c>
      <c r="AC137">
        <v>449.53718492462809</v>
      </c>
      <c r="AD137">
        <v>441.71296176929172</v>
      </c>
      <c r="AE137">
        <v>10.491571958288329</v>
      </c>
      <c r="AF137">
        <v>10.491571958288329</v>
      </c>
      <c r="AG137">
        <v>10.491571958288329</v>
      </c>
      <c r="AH137">
        <v>10.491571958288329</v>
      </c>
      <c r="AI137">
        <v>10.491571958288329</v>
      </c>
      <c r="AJ137">
        <v>10.491571958288329</v>
      </c>
      <c r="AK137">
        <v>10.491571958288329</v>
      </c>
    </row>
    <row r="138" spans="1:37" x14ac:dyDescent="0.25">
      <c r="A138" t="s">
        <v>90</v>
      </c>
      <c r="B138" t="s">
        <v>182</v>
      </c>
      <c r="C138" t="s">
        <v>201</v>
      </c>
      <c r="F138" t="s">
        <v>209</v>
      </c>
      <c r="G138" t="s">
        <v>124</v>
      </c>
      <c r="H138" t="s">
        <v>125</v>
      </c>
      <c r="I138" t="s">
        <v>203</v>
      </c>
      <c r="J138" t="s">
        <v>210</v>
      </c>
      <c r="K138" t="s">
        <v>98</v>
      </c>
      <c r="L138">
        <v>0</v>
      </c>
      <c r="M138">
        <v>1</v>
      </c>
      <c r="N138">
        <v>2020</v>
      </c>
      <c r="O138">
        <v>8</v>
      </c>
      <c r="P138">
        <v>0.1</v>
      </c>
      <c r="Q138">
        <v>0.29979537091988079</v>
      </c>
      <c r="R138">
        <v>0.29979537091988079</v>
      </c>
      <c r="S138">
        <v>0.33030551928783392</v>
      </c>
      <c r="T138">
        <v>0.35816261127596438</v>
      </c>
      <c r="U138">
        <v>0.37408094955489479</v>
      </c>
      <c r="V138">
        <v>0.3899992878338272</v>
      </c>
      <c r="W138">
        <v>0.4059176261127605</v>
      </c>
      <c r="X138">
        <v>515.68743523790056</v>
      </c>
      <c r="Y138">
        <v>515.68743523790056</v>
      </c>
      <c r="Z138">
        <v>484.39054261656662</v>
      </c>
      <c r="AA138">
        <v>464.47433822117449</v>
      </c>
      <c r="AB138">
        <v>456.65011506583812</v>
      </c>
      <c r="AC138">
        <v>449.53718492462809</v>
      </c>
      <c r="AD138">
        <v>441.71296176929172</v>
      </c>
      <c r="AE138">
        <v>10.491571958288329</v>
      </c>
      <c r="AF138">
        <v>10.491571958288329</v>
      </c>
      <c r="AG138">
        <v>10.491571958288329</v>
      </c>
      <c r="AH138">
        <v>10.491571958288329</v>
      </c>
      <c r="AI138">
        <v>10.491571958288329</v>
      </c>
      <c r="AJ138">
        <v>10.491571958288329</v>
      </c>
      <c r="AK138">
        <v>10.491571958288329</v>
      </c>
    </row>
    <row r="139" spans="1:37" x14ac:dyDescent="0.25">
      <c r="A139" t="s">
        <v>90</v>
      </c>
      <c r="B139" t="s">
        <v>182</v>
      </c>
      <c r="C139" t="s">
        <v>201</v>
      </c>
      <c r="F139" t="s">
        <v>209</v>
      </c>
      <c r="G139" t="s">
        <v>211</v>
      </c>
      <c r="H139" t="s">
        <v>212</v>
      </c>
      <c r="I139" t="s">
        <v>203</v>
      </c>
      <c r="J139" t="s">
        <v>210</v>
      </c>
      <c r="K139" t="s">
        <v>98</v>
      </c>
      <c r="L139">
        <v>0</v>
      </c>
      <c r="M139">
        <v>1</v>
      </c>
      <c r="N139">
        <v>2020</v>
      </c>
      <c r="O139">
        <v>8</v>
      </c>
      <c r="P139">
        <v>0.69047619047618847</v>
      </c>
      <c r="Q139">
        <v>0.29979537091988079</v>
      </c>
      <c r="R139">
        <v>0.29979537091988079</v>
      </c>
      <c r="S139">
        <v>0.33030551928783392</v>
      </c>
      <c r="T139">
        <v>0.35816261127596438</v>
      </c>
      <c r="U139">
        <v>0.37408094955489479</v>
      </c>
      <c r="V139">
        <v>0.3899992878338272</v>
      </c>
      <c r="W139">
        <v>0.4059176261127605</v>
      </c>
      <c r="X139">
        <v>515.68743523790056</v>
      </c>
      <c r="Y139">
        <v>515.68743523790056</v>
      </c>
      <c r="Z139">
        <v>484.39054261656662</v>
      </c>
      <c r="AA139">
        <v>464.47433822117449</v>
      </c>
      <c r="AB139">
        <v>456.65011506583812</v>
      </c>
      <c r="AC139">
        <v>449.53718492462809</v>
      </c>
      <c r="AD139">
        <v>441.71296176929172</v>
      </c>
      <c r="AE139">
        <v>10.491571958288329</v>
      </c>
      <c r="AF139">
        <v>10.491571958288329</v>
      </c>
      <c r="AG139">
        <v>10.491571958288329</v>
      </c>
      <c r="AH139">
        <v>10.491571958288329</v>
      </c>
      <c r="AI139">
        <v>10.491571958288329</v>
      </c>
      <c r="AJ139">
        <v>10.491571958288329</v>
      </c>
      <c r="AK139">
        <v>10.491571958288329</v>
      </c>
    </row>
    <row r="140" spans="1:37" x14ac:dyDescent="0.25">
      <c r="A140" t="s">
        <v>90</v>
      </c>
      <c r="B140" t="s">
        <v>182</v>
      </c>
      <c r="C140" t="s">
        <v>201</v>
      </c>
      <c r="F140" t="s">
        <v>213</v>
      </c>
      <c r="G140" t="s">
        <v>133</v>
      </c>
      <c r="H140" t="s">
        <v>134</v>
      </c>
      <c r="I140" t="s">
        <v>203</v>
      </c>
      <c r="J140" t="s">
        <v>214</v>
      </c>
      <c r="K140" t="s">
        <v>98</v>
      </c>
      <c r="L140">
        <v>1</v>
      </c>
      <c r="M140">
        <v>1</v>
      </c>
      <c r="N140">
        <v>2020</v>
      </c>
      <c r="O140">
        <v>8</v>
      </c>
      <c r="P140">
        <v>1</v>
      </c>
      <c r="Q140">
        <v>0.20030575667655801</v>
      </c>
      <c r="R140">
        <v>0.20030575667655801</v>
      </c>
      <c r="S140">
        <v>0.22020367952522271</v>
      </c>
      <c r="T140">
        <v>0.24142813056379819</v>
      </c>
      <c r="U140">
        <v>0.25071382789317492</v>
      </c>
      <c r="V140">
        <v>0.26132605341246301</v>
      </c>
      <c r="W140">
        <v>0.27061175074183957</v>
      </c>
      <c r="X140">
        <v>635.89595462439217</v>
      </c>
      <c r="Y140">
        <v>635.89595462439217</v>
      </c>
      <c r="Z140">
        <v>598.19742487596693</v>
      </c>
      <c r="AA140">
        <v>566.18923924051046</v>
      </c>
      <c r="AB140">
        <v>553.38596498632808</v>
      </c>
      <c r="AC140">
        <v>540.58269073214626</v>
      </c>
      <c r="AD140">
        <v>527.77941647796388</v>
      </c>
      <c r="AE140">
        <v>10.49157195828835</v>
      </c>
      <c r="AF140">
        <v>10.49157195828835</v>
      </c>
      <c r="AG140">
        <v>10.49157195828835</v>
      </c>
      <c r="AH140">
        <v>10.49157195828835</v>
      </c>
      <c r="AI140">
        <v>10.49157195828835</v>
      </c>
      <c r="AJ140">
        <v>10.49157195828835</v>
      </c>
      <c r="AK140">
        <v>10.49157195828835</v>
      </c>
    </row>
    <row r="141" spans="1:37" x14ac:dyDescent="0.25">
      <c r="A141" t="s">
        <v>90</v>
      </c>
      <c r="B141" t="s">
        <v>182</v>
      </c>
      <c r="C141" t="s">
        <v>201</v>
      </c>
      <c r="F141" t="s">
        <v>215</v>
      </c>
      <c r="G141" t="s">
        <v>133</v>
      </c>
      <c r="H141" t="s">
        <v>134</v>
      </c>
      <c r="I141" t="s">
        <v>203</v>
      </c>
      <c r="J141" t="s">
        <v>216</v>
      </c>
      <c r="K141" t="s">
        <v>98</v>
      </c>
      <c r="L141">
        <v>1</v>
      </c>
      <c r="M141">
        <v>1</v>
      </c>
      <c r="N141">
        <v>2020</v>
      </c>
      <c r="O141">
        <v>8</v>
      </c>
      <c r="P141">
        <v>0.89763779527559173</v>
      </c>
      <c r="Q141">
        <v>0.2175506231454005</v>
      </c>
      <c r="R141">
        <v>0.2175506231454005</v>
      </c>
      <c r="S141">
        <v>0.24010160237388731</v>
      </c>
      <c r="T141">
        <v>0.25867299703264102</v>
      </c>
      <c r="U141">
        <v>0.26663216617210689</v>
      </c>
      <c r="V141">
        <v>0.27591786350148362</v>
      </c>
      <c r="W141">
        <v>0.28387703264094938</v>
      </c>
      <c r="X141">
        <v>537.02622566153968</v>
      </c>
      <c r="Y141">
        <v>537.02622566153968</v>
      </c>
      <c r="Z141">
        <v>500.03898892723481</v>
      </c>
      <c r="AA141">
        <v>476.56631946123417</v>
      </c>
      <c r="AB141">
        <v>466.60821726353652</v>
      </c>
      <c r="AC141">
        <v>456.65011506583892</v>
      </c>
      <c r="AD141">
        <v>446.69201286814172</v>
      </c>
      <c r="AE141">
        <v>10.49157195828835</v>
      </c>
      <c r="AF141">
        <v>10.49157195828835</v>
      </c>
      <c r="AG141">
        <v>10.49157195828835</v>
      </c>
      <c r="AH141">
        <v>10.49157195828835</v>
      </c>
      <c r="AI141">
        <v>10.49157195828835</v>
      </c>
      <c r="AJ141">
        <v>10.49157195828835</v>
      </c>
      <c r="AK141">
        <v>10.49157195828835</v>
      </c>
    </row>
    <row r="142" spans="1:37" x14ac:dyDescent="0.25">
      <c r="A142" t="s">
        <v>90</v>
      </c>
      <c r="B142" t="s">
        <v>182</v>
      </c>
      <c r="C142" t="s">
        <v>201</v>
      </c>
      <c r="F142" t="s">
        <v>215</v>
      </c>
      <c r="G142" t="s">
        <v>211</v>
      </c>
      <c r="H142" t="s">
        <v>212</v>
      </c>
      <c r="I142" t="s">
        <v>203</v>
      </c>
      <c r="J142" t="s">
        <v>216</v>
      </c>
      <c r="K142" t="s">
        <v>98</v>
      </c>
      <c r="L142">
        <v>0</v>
      </c>
      <c r="M142">
        <v>1</v>
      </c>
      <c r="N142">
        <v>2020</v>
      </c>
      <c r="O142">
        <v>8</v>
      </c>
      <c r="P142">
        <v>0.1023622047244083</v>
      </c>
      <c r="Q142">
        <v>0.2175506231454005</v>
      </c>
      <c r="R142">
        <v>0.2175506231454005</v>
      </c>
      <c r="S142">
        <v>0.24010160237388731</v>
      </c>
      <c r="T142">
        <v>0.25867299703264102</v>
      </c>
      <c r="U142">
        <v>0.26663216617210689</v>
      </c>
      <c r="V142">
        <v>0.27591786350148362</v>
      </c>
      <c r="W142">
        <v>0.28387703264094938</v>
      </c>
      <c r="X142">
        <v>537.02622566153968</v>
      </c>
      <c r="Y142">
        <v>537.02622566153968</v>
      </c>
      <c r="Z142">
        <v>500.03898892723481</v>
      </c>
      <c r="AA142">
        <v>476.56631946123417</v>
      </c>
      <c r="AB142">
        <v>466.60821726353652</v>
      </c>
      <c r="AC142">
        <v>456.65011506583892</v>
      </c>
      <c r="AD142">
        <v>446.69201286814172</v>
      </c>
      <c r="AE142">
        <v>10.49157195828835</v>
      </c>
      <c r="AF142">
        <v>10.49157195828835</v>
      </c>
      <c r="AG142">
        <v>10.49157195828835</v>
      </c>
      <c r="AH142">
        <v>10.49157195828835</v>
      </c>
      <c r="AI142">
        <v>10.49157195828835</v>
      </c>
      <c r="AJ142">
        <v>10.49157195828835</v>
      </c>
      <c r="AK142">
        <v>10.49157195828835</v>
      </c>
    </row>
    <row r="143" spans="1:37" x14ac:dyDescent="0.25">
      <c r="A143" t="s">
        <v>90</v>
      </c>
      <c r="B143" t="s">
        <v>182</v>
      </c>
      <c r="C143" t="s">
        <v>201</v>
      </c>
      <c r="F143" t="s">
        <v>217</v>
      </c>
      <c r="G143" t="s">
        <v>211</v>
      </c>
      <c r="H143" t="s">
        <v>212</v>
      </c>
      <c r="I143" t="s">
        <v>203</v>
      </c>
      <c r="J143" t="s">
        <v>218</v>
      </c>
      <c r="K143" t="s">
        <v>98</v>
      </c>
      <c r="L143">
        <v>1</v>
      </c>
      <c r="M143">
        <v>1</v>
      </c>
      <c r="N143">
        <v>2020</v>
      </c>
      <c r="O143">
        <v>8</v>
      </c>
      <c r="P143">
        <v>1</v>
      </c>
      <c r="Q143">
        <v>0.36877483679525219</v>
      </c>
      <c r="R143">
        <v>0.36877483679525219</v>
      </c>
      <c r="S143">
        <v>0.40061151335311579</v>
      </c>
      <c r="T143">
        <v>0.43510124629080099</v>
      </c>
      <c r="U143">
        <v>0.44969305637982182</v>
      </c>
      <c r="V143">
        <v>0.46428486646884271</v>
      </c>
      <c r="W143">
        <v>0.48152973293768542</v>
      </c>
      <c r="X143">
        <v>508.57450509669002</v>
      </c>
      <c r="Y143">
        <v>508.57450509669002</v>
      </c>
      <c r="Z143">
        <v>462.34045917880923</v>
      </c>
      <c r="AA143">
        <v>437.44520368456551</v>
      </c>
      <c r="AB143">
        <v>426.06451545862558</v>
      </c>
      <c r="AC143">
        <v>414.6838272326857</v>
      </c>
      <c r="AD143">
        <v>403.30313900674582</v>
      </c>
      <c r="AE143">
        <v>6.7572836341518263</v>
      </c>
      <c r="AF143">
        <v>6.7572836341518263</v>
      </c>
      <c r="AG143">
        <v>6.7572836341518263</v>
      </c>
      <c r="AH143">
        <v>6.7572836341518263</v>
      </c>
      <c r="AI143">
        <v>6.7572836341518263</v>
      </c>
      <c r="AJ143">
        <v>6.7572836341518263</v>
      </c>
      <c r="AK143">
        <v>6.7572836341518263</v>
      </c>
    </row>
    <row r="144" spans="1:37" x14ac:dyDescent="0.25">
      <c r="A144" t="s">
        <v>90</v>
      </c>
      <c r="B144" t="s">
        <v>182</v>
      </c>
      <c r="C144" t="s">
        <v>219</v>
      </c>
      <c r="F144" t="s">
        <v>202</v>
      </c>
      <c r="G144" t="s">
        <v>119</v>
      </c>
      <c r="H144" t="s">
        <v>120</v>
      </c>
      <c r="I144" t="s">
        <v>220</v>
      </c>
      <c r="J144" t="s">
        <v>221</v>
      </c>
      <c r="K144" t="s">
        <v>98</v>
      </c>
      <c r="L144">
        <v>1</v>
      </c>
      <c r="M144">
        <v>1</v>
      </c>
      <c r="N144">
        <v>2020</v>
      </c>
      <c r="O144">
        <v>10.89196958520898</v>
      </c>
      <c r="P144">
        <v>1</v>
      </c>
      <c r="Q144">
        <v>0.1014794065281899</v>
      </c>
      <c r="R144">
        <v>0.1014794065281899</v>
      </c>
      <c r="S144">
        <v>0.1114283679525223</v>
      </c>
      <c r="T144">
        <v>0.120581412462908</v>
      </c>
      <c r="U144">
        <v>0.12548956676557871</v>
      </c>
      <c r="V144">
        <v>0.13039772106824929</v>
      </c>
      <c r="W144">
        <v>0.1353058753709199</v>
      </c>
      <c r="X144">
        <v>241.12833178710201</v>
      </c>
      <c r="Y144">
        <v>241.12833178710201</v>
      </c>
      <c r="Z144">
        <v>243.26221082946569</v>
      </c>
      <c r="AA144">
        <v>243.97350384358691</v>
      </c>
      <c r="AB144">
        <v>246.1073828859507</v>
      </c>
      <c r="AC144">
        <v>247.52996891419309</v>
      </c>
      <c r="AD144">
        <v>249.66384795655691</v>
      </c>
      <c r="AE144">
        <v>9.9262614810501049</v>
      </c>
      <c r="AF144">
        <v>9.9262614810501049</v>
      </c>
      <c r="AG144">
        <v>9.9262614810501049</v>
      </c>
      <c r="AH144">
        <v>9.9262614810501049</v>
      </c>
      <c r="AI144">
        <v>9.9262614810501049</v>
      </c>
      <c r="AJ144">
        <v>9.9262614810501049</v>
      </c>
      <c r="AK144">
        <v>9.9262614810501049</v>
      </c>
    </row>
    <row r="145" spans="1:37" x14ac:dyDescent="0.25">
      <c r="A145" t="s">
        <v>90</v>
      </c>
      <c r="B145" t="s">
        <v>182</v>
      </c>
      <c r="C145" t="s">
        <v>219</v>
      </c>
      <c r="F145" t="s">
        <v>202</v>
      </c>
      <c r="G145" t="s">
        <v>122</v>
      </c>
      <c r="H145" t="s">
        <v>123</v>
      </c>
      <c r="I145" t="s">
        <v>220</v>
      </c>
      <c r="J145" t="s">
        <v>221</v>
      </c>
      <c r="K145" t="s">
        <v>98</v>
      </c>
      <c r="L145">
        <v>0</v>
      </c>
      <c r="M145">
        <v>1</v>
      </c>
      <c r="N145">
        <v>2020</v>
      </c>
      <c r="O145">
        <v>10.89196958520898</v>
      </c>
      <c r="P145">
        <v>1</v>
      </c>
      <c r="Q145">
        <v>0.1014794065281899</v>
      </c>
      <c r="R145">
        <v>0.1014794065281899</v>
      </c>
      <c r="S145">
        <v>0.1114283679525223</v>
      </c>
      <c r="T145">
        <v>0.120581412462908</v>
      </c>
      <c r="U145">
        <v>0.12548956676557871</v>
      </c>
      <c r="V145">
        <v>0.13039772106824929</v>
      </c>
      <c r="W145">
        <v>0.1353058753709199</v>
      </c>
      <c r="X145">
        <v>241.12833178710201</v>
      </c>
      <c r="Y145">
        <v>241.12833178710201</v>
      </c>
      <c r="Z145">
        <v>243.26221082946569</v>
      </c>
      <c r="AA145">
        <v>243.97350384358691</v>
      </c>
      <c r="AB145">
        <v>246.1073828859507</v>
      </c>
      <c r="AC145">
        <v>247.52996891419309</v>
      </c>
      <c r="AD145">
        <v>249.66384795655691</v>
      </c>
      <c r="AE145">
        <v>9.9262614810501049</v>
      </c>
      <c r="AF145">
        <v>9.9262614810501049</v>
      </c>
      <c r="AG145">
        <v>9.9262614810501049</v>
      </c>
      <c r="AH145">
        <v>9.9262614810501049</v>
      </c>
      <c r="AI145">
        <v>9.9262614810501049</v>
      </c>
      <c r="AJ145">
        <v>9.9262614810501049</v>
      </c>
      <c r="AK145">
        <v>9.9262614810501049</v>
      </c>
    </row>
    <row r="146" spans="1:37" x14ac:dyDescent="0.25">
      <c r="A146" t="s">
        <v>90</v>
      </c>
      <c r="B146" t="s">
        <v>182</v>
      </c>
      <c r="C146" t="s">
        <v>219</v>
      </c>
      <c r="F146" t="s">
        <v>202</v>
      </c>
      <c r="G146" t="s">
        <v>124</v>
      </c>
      <c r="H146" t="s">
        <v>125</v>
      </c>
      <c r="I146" t="s">
        <v>220</v>
      </c>
      <c r="J146" t="s">
        <v>221</v>
      </c>
      <c r="K146" t="s">
        <v>98</v>
      </c>
      <c r="L146">
        <v>0</v>
      </c>
      <c r="M146">
        <v>1</v>
      </c>
      <c r="N146">
        <v>2020</v>
      </c>
      <c r="O146">
        <v>10.89196958520898</v>
      </c>
      <c r="P146">
        <v>0.1</v>
      </c>
      <c r="Q146">
        <v>0.1014794065281899</v>
      </c>
      <c r="R146">
        <v>0.1014794065281899</v>
      </c>
      <c r="S146">
        <v>0.1114283679525223</v>
      </c>
      <c r="T146">
        <v>0.120581412462908</v>
      </c>
      <c r="U146">
        <v>0.12548956676557871</v>
      </c>
      <c r="V146">
        <v>0.13039772106824929</v>
      </c>
      <c r="W146">
        <v>0.1353058753709199</v>
      </c>
      <c r="X146">
        <v>241.12833178710201</v>
      </c>
      <c r="Y146">
        <v>241.12833178710201</v>
      </c>
      <c r="Z146">
        <v>243.26221082946569</v>
      </c>
      <c r="AA146">
        <v>243.97350384358691</v>
      </c>
      <c r="AB146">
        <v>246.1073828859507</v>
      </c>
      <c r="AC146">
        <v>247.52996891419309</v>
      </c>
      <c r="AD146">
        <v>249.66384795655691</v>
      </c>
      <c r="AE146">
        <v>9.9262614810501049</v>
      </c>
      <c r="AF146">
        <v>9.9262614810501049</v>
      </c>
      <c r="AG146">
        <v>9.9262614810501049</v>
      </c>
      <c r="AH146">
        <v>9.9262614810501049</v>
      </c>
      <c r="AI146">
        <v>9.9262614810501049</v>
      </c>
      <c r="AJ146">
        <v>9.9262614810501049</v>
      </c>
      <c r="AK146">
        <v>9.9262614810501049</v>
      </c>
    </row>
    <row r="147" spans="1:37" x14ac:dyDescent="0.25">
      <c r="A147" t="s">
        <v>90</v>
      </c>
      <c r="B147" t="s">
        <v>182</v>
      </c>
      <c r="C147" t="s">
        <v>219</v>
      </c>
      <c r="F147" t="s">
        <v>205</v>
      </c>
      <c r="G147" t="s">
        <v>119</v>
      </c>
      <c r="H147" t="s">
        <v>120</v>
      </c>
      <c r="I147" t="s">
        <v>220</v>
      </c>
      <c r="J147" t="s">
        <v>222</v>
      </c>
      <c r="K147" t="s">
        <v>98</v>
      </c>
      <c r="L147">
        <v>1</v>
      </c>
      <c r="M147">
        <v>1</v>
      </c>
      <c r="N147">
        <v>2020</v>
      </c>
      <c r="O147">
        <v>10.89196958520898</v>
      </c>
      <c r="P147">
        <v>1</v>
      </c>
      <c r="Q147">
        <v>0.1028059347181009</v>
      </c>
      <c r="R147">
        <v>0.1028059347181009</v>
      </c>
      <c r="S147">
        <v>0.1111630623145401</v>
      </c>
      <c r="T147">
        <v>0.12177528783382791</v>
      </c>
      <c r="U147">
        <v>0.12668344213649849</v>
      </c>
      <c r="V147">
        <v>0.1315915964391691</v>
      </c>
      <c r="W147">
        <v>0.1366324035608309</v>
      </c>
      <c r="X147">
        <v>253.22031302716309</v>
      </c>
      <c r="Y147">
        <v>253.22031302716309</v>
      </c>
      <c r="Z147">
        <v>255.35419206952679</v>
      </c>
      <c r="AA147">
        <v>256.06548508364801</v>
      </c>
      <c r="AB147">
        <v>257.48807111189058</v>
      </c>
      <c r="AC147">
        <v>259.62195015425431</v>
      </c>
      <c r="AD147">
        <v>261.75582919661798</v>
      </c>
      <c r="AE147">
        <v>9.9262614810501049</v>
      </c>
      <c r="AF147">
        <v>9.9262614810501049</v>
      </c>
      <c r="AG147">
        <v>9.9262614810501049</v>
      </c>
      <c r="AH147">
        <v>9.9262614810501049</v>
      </c>
      <c r="AI147">
        <v>9.9262614810501049</v>
      </c>
      <c r="AJ147">
        <v>9.9262614810501049</v>
      </c>
      <c r="AK147">
        <v>9.9262614810501049</v>
      </c>
    </row>
    <row r="148" spans="1:37" x14ac:dyDescent="0.25">
      <c r="A148" t="s">
        <v>90</v>
      </c>
      <c r="B148" t="s">
        <v>182</v>
      </c>
      <c r="C148" t="s">
        <v>219</v>
      </c>
      <c r="F148" t="s">
        <v>205</v>
      </c>
      <c r="G148" t="s">
        <v>122</v>
      </c>
      <c r="H148" t="s">
        <v>123</v>
      </c>
      <c r="I148" t="s">
        <v>220</v>
      </c>
      <c r="J148" t="s">
        <v>222</v>
      </c>
      <c r="K148" t="s">
        <v>98</v>
      </c>
      <c r="L148">
        <v>0</v>
      </c>
      <c r="M148">
        <v>1</v>
      </c>
      <c r="N148">
        <v>2020</v>
      </c>
      <c r="O148">
        <v>10.89196958520898</v>
      </c>
      <c r="P148">
        <v>1</v>
      </c>
      <c r="Q148">
        <v>0.1028059347181009</v>
      </c>
      <c r="R148">
        <v>0.1028059347181009</v>
      </c>
      <c r="S148">
        <v>0.1111630623145401</v>
      </c>
      <c r="T148">
        <v>0.12177528783382791</v>
      </c>
      <c r="U148">
        <v>0.12668344213649849</v>
      </c>
      <c r="V148">
        <v>0.1315915964391691</v>
      </c>
      <c r="W148">
        <v>0.1366324035608309</v>
      </c>
      <c r="X148">
        <v>253.22031302716309</v>
      </c>
      <c r="Y148">
        <v>253.22031302716309</v>
      </c>
      <c r="Z148">
        <v>255.35419206952679</v>
      </c>
      <c r="AA148">
        <v>256.06548508364801</v>
      </c>
      <c r="AB148">
        <v>257.48807111189058</v>
      </c>
      <c r="AC148">
        <v>259.62195015425431</v>
      </c>
      <c r="AD148">
        <v>261.75582919661798</v>
      </c>
      <c r="AE148">
        <v>9.9262614810501049</v>
      </c>
      <c r="AF148">
        <v>9.9262614810501049</v>
      </c>
      <c r="AG148">
        <v>9.9262614810501049</v>
      </c>
      <c r="AH148">
        <v>9.9262614810501049</v>
      </c>
      <c r="AI148">
        <v>9.9262614810501049</v>
      </c>
      <c r="AJ148">
        <v>9.9262614810501049</v>
      </c>
      <c r="AK148">
        <v>9.9262614810501049</v>
      </c>
    </row>
    <row r="149" spans="1:37" x14ac:dyDescent="0.25">
      <c r="A149" t="s">
        <v>90</v>
      </c>
      <c r="B149" t="s">
        <v>182</v>
      </c>
      <c r="C149" t="s">
        <v>219</v>
      </c>
      <c r="F149" t="s">
        <v>205</v>
      </c>
      <c r="G149" t="s">
        <v>124</v>
      </c>
      <c r="H149" t="s">
        <v>125</v>
      </c>
      <c r="I149" t="s">
        <v>220</v>
      </c>
      <c r="J149" t="s">
        <v>222</v>
      </c>
      <c r="K149" t="s">
        <v>98</v>
      </c>
      <c r="L149">
        <v>0</v>
      </c>
      <c r="M149">
        <v>1</v>
      </c>
      <c r="N149">
        <v>2020</v>
      </c>
      <c r="O149">
        <v>10.89196958520898</v>
      </c>
      <c r="P149">
        <v>0.1</v>
      </c>
      <c r="Q149">
        <v>0.1028059347181009</v>
      </c>
      <c r="R149">
        <v>0.1028059347181009</v>
      </c>
      <c r="S149">
        <v>0.1111630623145401</v>
      </c>
      <c r="T149">
        <v>0.12177528783382791</v>
      </c>
      <c r="U149">
        <v>0.12668344213649849</v>
      </c>
      <c r="V149">
        <v>0.1315915964391691</v>
      </c>
      <c r="W149">
        <v>0.1366324035608309</v>
      </c>
      <c r="X149">
        <v>253.22031302716309</v>
      </c>
      <c r="Y149">
        <v>253.22031302716309</v>
      </c>
      <c r="Z149">
        <v>255.35419206952679</v>
      </c>
      <c r="AA149">
        <v>256.06548508364801</v>
      </c>
      <c r="AB149">
        <v>257.48807111189058</v>
      </c>
      <c r="AC149">
        <v>259.62195015425431</v>
      </c>
      <c r="AD149">
        <v>261.75582919661798</v>
      </c>
      <c r="AE149">
        <v>9.9262614810501049</v>
      </c>
      <c r="AF149">
        <v>9.9262614810501049</v>
      </c>
      <c r="AG149">
        <v>9.9262614810501049</v>
      </c>
      <c r="AH149">
        <v>9.9262614810501049</v>
      </c>
      <c r="AI149">
        <v>9.9262614810501049</v>
      </c>
      <c r="AJ149">
        <v>9.9262614810501049</v>
      </c>
      <c r="AK149">
        <v>9.9262614810501049</v>
      </c>
    </row>
    <row r="150" spans="1:37" x14ac:dyDescent="0.25">
      <c r="A150" t="s">
        <v>90</v>
      </c>
      <c r="B150" t="s">
        <v>182</v>
      </c>
      <c r="C150" t="s">
        <v>219</v>
      </c>
      <c r="F150" t="s">
        <v>207</v>
      </c>
      <c r="G150" t="s">
        <v>119</v>
      </c>
      <c r="H150" t="s">
        <v>120</v>
      </c>
      <c r="I150" t="s">
        <v>220</v>
      </c>
      <c r="J150" t="s">
        <v>223</v>
      </c>
      <c r="K150" t="s">
        <v>98</v>
      </c>
      <c r="L150">
        <v>1</v>
      </c>
      <c r="M150">
        <v>1</v>
      </c>
      <c r="N150">
        <v>2020</v>
      </c>
      <c r="O150">
        <v>10.89196958520898</v>
      </c>
      <c r="P150">
        <v>1</v>
      </c>
      <c r="Q150">
        <v>0.10293858753709199</v>
      </c>
      <c r="R150">
        <v>0.10293858753709199</v>
      </c>
      <c r="S150">
        <v>0.1142140771513353</v>
      </c>
      <c r="T150">
        <v>0.1241630385756677</v>
      </c>
      <c r="U150">
        <v>0.12986710979228491</v>
      </c>
      <c r="V150">
        <v>0.1353058753709199</v>
      </c>
      <c r="W150">
        <v>0.1406119881305638</v>
      </c>
      <c r="X150">
        <v>259.62195015425431</v>
      </c>
      <c r="Y150">
        <v>259.62195015425431</v>
      </c>
      <c r="Z150">
        <v>260.33324316837559</v>
      </c>
      <c r="AA150">
        <v>260.33324316837559</v>
      </c>
      <c r="AB150">
        <v>261.75582919661798</v>
      </c>
      <c r="AC150">
        <v>263.88970823898183</v>
      </c>
      <c r="AD150">
        <v>266.02358728134561</v>
      </c>
      <c r="AE150">
        <v>9.9262614810501049</v>
      </c>
      <c r="AF150">
        <v>9.9262614810501049</v>
      </c>
      <c r="AG150">
        <v>9.9262614810501049</v>
      </c>
      <c r="AH150">
        <v>9.9262614810501049</v>
      </c>
      <c r="AI150">
        <v>9.9262614810501049</v>
      </c>
      <c r="AJ150">
        <v>9.9262614810501049</v>
      </c>
      <c r="AK150">
        <v>9.9262614810501049</v>
      </c>
    </row>
    <row r="151" spans="1:37" x14ac:dyDescent="0.25">
      <c r="A151" t="s">
        <v>90</v>
      </c>
      <c r="B151" t="s">
        <v>182</v>
      </c>
      <c r="C151" t="s">
        <v>219</v>
      </c>
      <c r="F151" t="s">
        <v>207</v>
      </c>
      <c r="G151" t="s">
        <v>122</v>
      </c>
      <c r="H151" t="s">
        <v>123</v>
      </c>
      <c r="I151" t="s">
        <v>220</v>
      </c>
      <c r="J151" t="s">
        <v>223</v>
      </c>
      <c r="K151" t="s">
        <v>98</v>
      </c>
      <c r="L151">
        <v>0</v>
      </c>
      <c r="M151">
        <v>1</v>
      </c>
      <c r="N151">
        <v>2020</v>
      </c>
      <c r="O151">
        <v>10.89196958520898</v>
      </c>
      <c r="P151">
        <v>1</v>
      </c>
      <c r="Q151">
        <v>0.10293858753709199</v>
      </c>
      <c r="R151">
        <v>0.10293858753709199</v>
      </c>
      <c r="S151">
        <v>0.1142140771513353</v>
      </c>
      <c r="T151">
        <v>0.1241630385756677</v>
      </c>
      <c r="U151">
        <v>0.12986710979228491</v>
      </c>
      <c r="V151">
        <v>0.1353058753709199</v>
      </c>
      <c r="W151">
        <v>0.1406119881305638</v>
      </c>
      <c r="X151">
        <v>259.62195015425431</v>
      </c>
      <c r="Y151">
        <v>259.62195015425431</v>
      </c>
      <c r="Z151">
        <v>260.33324316837559</v>
      </c>
      <c r="AA151">
        <v>260.33324316837559</v>
      </c>
      <c r="AB151">
        <v>261.75582919661798</v>
      </c>
      <c r="AC151">
        <v>263.88970823898183</v>
      </c>
      <c r="AD151">
        <v>266.02358728134561</v>
      </c>
      <c r="AE151">
        <v>9.9262614810501049</v>
      </c>
      <c r="AF151">
        <v>9.9262614810501049</v>
      </c>
      <c r="AG151">
        <v>9.9262614810501049</v>
      </c>
      <c r="AH151">
        <v>9.9262614810501049</v>
      </c>
      <c r="AI151">
        <v>9.9262614810501049</v>
      </c>
      <c r="AJ151">
        <v>9.9262614810501049</v>
      </c>
      <c r="AK151">
        <v>9.9262614810501049</v>
      </c>
    </row>
    <row r="152" spans="1:37" x14ac:dyDescent="0.25">
      <c r="A152" t="s">
        <v>90</v>
      </c>
      <c r="B152" t="s">
        <v>182</v>
      </c>
      <c r="C152" t="s">
        <v>219</v>
      </c>
      <c r="F152" t="s">
        <v>207</v>
      </c>
      <c r="G152" t="s">
        <v>124</v>
      </c>
      <c r="H152" t="s">
        <v>125</v>
      </c>
      <c r="I152" t="s">
        <v>220</v>
      </c>
      <c r="J152" t="s">
        <v>223</v>
      </c>
      <c r="K152" t="s">
        <v>98</v>
      </c>
      <c r="L152">
        <v>0</v>
      </c>
      <c r="M152">
        <v>1</v>
      </c>
      <c r="N152">
        <v>2020</v>
      </c>
      <c r="O152">
        <v>10.89196958520898</v>
      </c>
      <c r="P152">
        <v>0.1</v>
      </c>
      <c r="Q152">
        <v>0.10293858753709199</v>
      </c>
      <c r="R152">
        <v>0.10293858753709199</v>
      </c>
      <c r="S152">
        <v>0.1142140771513353</v>
      </c>
      <c r="T152">
        <v>0.1241630385756677</v>
      </c>
      <c r="U152">
        <v>0.12986710979228491</v>
      </c>
      <c r="V152">
        <v>0.1353058753709199</v>
      </c>
      <c r="W152">
        <v>0.1406119881305638</v>
      </c>
      <c r="X152">
        <v>259.62195015425431</v>
      </c>
      <c r="Y152">
        <v>259.62195015425431</v>
      </c>
      <c r="Z152">
        <v>260.33324316837559</v>
      </c>
      <c r="AA152">
        <v>260.33324316837559</v>
      </c>
      <c r="AB152">
        <v>261.75582919661798</v>
      </c>
      <c r="AC152">
        <v>263.88970823898183</v>
      </c>
      <c r="AD152">
        <v>266.02358728134561</v>
      </c>
      <c r="AE152">
        <v>9.9262614810501049</v>
      </c>
      <c r="AF152">
        <v>9.9262614810501049</v>
      </c>
      <c r="AG152">
        <v>9.9262614810501049</v>
      </c>
      <c r="AH152">
        <v>9.9262614810501049</v>
      </c>
      <c r="AI152">
        <v>9.9262614810501049</v>
      </c>
      <c r="AJ152">
        <v>9.9262614810501049</v>
      </c>
      <c r="AK152">
        <v>9.9262614810501049</v>
      </c>
    </row>
    <row r="153" spans="1:37" x14ac:dyDescent="0.25">
      <c r="A153" t="s">
        <v>90</v>
      </c>
      <c r="B153" t="s">
        <v>182</v>
      </c>
      <c r="C153" t="s">
        <v>219</v>
      </c>
      <c r="F153" t="s">
        <v>209</v>
      </c>
      <c r="G153" t="s">
        <v>119</v>
      </c>
      <c r="H153" t="s">
        <v>120</v>
      </c>
      <c r="I153" t="s">
        <v>220</v>
      </c>
      <c r="J153" t="s">
        <v>224</v>
      </c>
      <c r="K153" t="s">
        <v>98</v>
      </c>
      <c r="L153">
        <v>1</v>
      </c>
      <c r="M153">
        <v>1</v>
      </c>
      <c r="N153">
        <v>2020</v>
      </c>
      <c r="O153">
        <v>10.89196958520898</v>
      </c>
      <c r="P153">
        <v>0.34675615212528432</v>
      </c>
      <c r="Q153">
        <v>0.18040783382789249</v>
      </c>
      <c r="R153">
        <v>0.18040783382789249</v>
      </c>
      <c r="S153">
        <v>0.20163228486646839</v>
      </c>
      <c r="T153">
        <v>0.22285673590504509</v>
      </c>
      <c r="U153">
        <v>0.23214243323442141</v>
      </c>
      <c r="V153">
        <v>0.2414281305637975</v>
      </c>
      <c r="W153">
        <v>0.25204035608308611</v>
      </c>
      <c r="X153">
        <v>374.14012542777448</v>
      </c>
      <c r="Y153">
        <v>374.14012542777448</v>
      </c>
      <c r="Z153">
        <v>325.06090745340788</v>
      </c>
      <c r="AA153">
        <v>300.16565195916411</v>
      </c>
      <c r="AB153">
        <v>290.91884277558938</v>
      </c>
      <c r="AC153">
        <v>280.96074057789201</v>
      </c>
      <c r="AD153">
        <v>271.71393139431541</v>
      </c>
      <c r="AE153">
        <v>9.9262614810501226</v>
      </c>
      <c r="AF153">
        <v>9.9262614810501226</v>
      </c>
      <c r="AG153">
        <v>9.9262614810501226</v>
      </c>
      <c r="AH153">
        <v>9.9262614810501226</v>
      </c>
      <c r="AI153">
        <v>9.9262614810501226</v>
      </c>
      <c r="AJ153">
        <v>9.9262614810501226</v>
      </c>
      <c r="AK153">
        <v>9.9262614810501226</v>
      </c>
    </row>
    <row r="154" spans="1:37" x14ac:dyDescent="0.25">
      <c r="A154" t="s">
        <v>90</v>
      </c>
      <c r="B154" t="s">
        <v>182</v>
      </c>
      <c r="C154" t="s">
        <v>219</v>
      </c>
      <c r="F154" t="s">
        <v>209</v>
      </c>
      <c r="G154" t="s">
        <v>122</v>
      </c>
      <c r="H154" t="s">
        <v>123</v>
      </c>
      <c r="I154" t="s">
        <v>220</v>
      </c>
      <c r="J154" t="s">
        <v>224</v>
      </c>
      <c r="K154" t="s">
        <v>98</v>
      </c>
      <c r="L154">
        <v>0</v>
      </c>
      <c r="M154">
        <v>1</v>
      </c>
      <c r="N154">
        <v>2020</v>
      </c>
      <c r="O154">
        <v>10.89196958520898</v>
      </c>
      <c r="P154">
        <v>0.34675615212528432</v>
      </c>
      <c r="Q154">
        <v>0.18040783382789249</v>
      </c>
      <c r="R154">
        <v>0.18040783382789249</v>
      </c>
      <c r="S154">
        <v>0.20163228486646839</v>
      </c>
      <c r="T154">
        <v>0.22285673590504509</v>
      </c>
      <c r="U154">
        <v>0.23214243323442141</v>
      </c>
      <c r="V154">
        <v>0.2414281305637975</v>
      </c>
      <c r="W154">
        <v>0.25204035608308611</v>
      </c>
      <c r="X154">
        <v>374.14012542777448</v>
      </c>
      <c r="Y154">
        <v>374.14012542777448</v>
      </c>
      <c r="Z154">
        <v>325.06090745340788</v>
      </c>
      <c r="AA154">
        <v>300.16565195916411</v>
      </c>
      <c r="AB154">
        <v>290.91884277558938</v>
      </c>
      <c r="AC154">
        <v>280.96074057789201</v>
      </c>
      <c r="AD154">
        <v>271.71393139431541</v>
      </c>
      <c r="AE154">
        <v>9.9262614810501226</v>
      </c>
      <c r="AF154">
        <v>9.9262614810501226</v>
      </c>
      <c r="AG154">
        <v>9.9262614810501226</v>
      </c>
      <c r="AH154">
        <v>9.9262614810501226</v>
      </c>
      <c r="AI154">
        <v>9.9262614810501226</v>
      </c>
      <c r="AJ154">
        <v>9.9262614810501226</v>
      </c>
      <c r="AK154">
        <v>9.9262614810501226</v>
      </c>
    </row>
    <row r="155" spans="1:37" x14ac:dyDescent="0.25">
      <c r="A155" t="s">
        <v>90</v>
      </c>
      <c r="B155" t="s">
        <v>182</v>
      </c>
      <c r="C155" t="s">
        <v>219</v>
      </c>
      <c r="F155" t="s">
        <v>209</v>
      </c>
      <c r="G155" t="s">
        <v>124</v>
      </c>
      <c r="H155" t="s">
        <v>125</v>
      </c>
      <c r="I155" t="s">
        <v>220</v>
      </c>
      <c r="J155" t="s">
        <v>224</v>
      </c>
      <c r="K155" t="s">
        <v>98</v>
      </c>
      <c r="L155">
        <v>0</v>
      </c>
      <c r="M155">
        <v>1</v>
      </c>
      <c r="N155">
        <v>2020</v>
      </c>
      <c r="O155">
        <v>10.89196958520898</v>
      </c>
      <c r="P155">
        <v>0.1</v>
      </c>
      <c r="Q155">
        <v>0.18040783382789249</v>
      </c>
      <c r="R155">
        <v>0.18040783382789249</v>
      </c>
      <c r="S155">
        <v>0.20163228486646839</v>
      </c>
      <c r="T155">
        <v>0.22285673590504509</v>
      </c>
      <c r="U155">
        <v>0.23214243323442141</v>
      </c>
      <c r="V155">
        <v>0.2414281305637975</v>
      </c>
      <c r="W155">
        <v>0.25204035608308611</v>
      </c>
      <c r="X155">
        <v>374.14012542777448</v>
      </c>
      <c r="Y155">
        <v>374.14012542777448</v>
      </c>
      <c r="Z155">
        <v>325.06090745340788</v>
      </c>
      <c r="AA155">
        <v>300.16565195916411</v>
      </c>
      <c r="AB155">
        <v>290.91884277558938</v>
      </c>
      <c r="AC155">
        <v>280.96074057789201</v>
      </c>
      <c r="AD155">
        <v>271.71393139431541</v>
      </c>
      <c r="AE155">
        <v>9.9262614810501226</v>
      </c>
      <c r="AF155">
        <v>9.9262614810501226</v>
      </c>
      <c r="AG155">
        <v>9.9262614810501226</v>
      </c>
      <c r="AH155">
        <v>9.9262614810501226</v>
      </c>
      <c r="AI155">
        <v>9.9262614810501226</v>
      </c>
      <c r="AJ155">
        <v>9.9262614810501226</v>
      </c>
      <c r="AK155">
        <v>9.9262614810501226</v>
      </c>
    </row>
    <row r="156" spans="1:37" x14ac:dyDescent="0.25">
      <c r="A156" t="s">
        <v>90</v>
      </c>
      <c r="B156" t="s">
        <v>182</v>
      </c>
      <c r="C156" t="s">
        <v>219</v>
      </c>
      <c r="F156" t="s">
        <v>209</v>
      </c>
      <c r="G156" t="s">
        <v>211</v>
      </c>
      <c r="H156" t="s">
        <v>212</v>
      </c>
      <c r="I156" t="s">
        <v>220</v>
      </c>
      <c r="J156" t="s">
        <v>224</v>
      </c>
      <c r="K156" t="s">
        <v>98</v>
      </c>
      <c r="L156">
        <v>0</v>
      </c>
      <c r="M156">
        <v>1</v>
      </c>
      <c r="N156">
        <v>2020</v>
      </c>
      <c r="O156">
        <v>10.89196958520898</v>
      </c>
      <c r="P156">
        <v>0.65324384787471568</v>
      </c>
      <c r="Q156">
        <v>0.18040783382789249</v>
      </c>
      <c r="R156">
        <v>0.18040783382789249</v>
      </c>
      <c r="S156">
        <v>0.20163228486646839</v>
      </c>
      <c r="T156">
        <v>0.22285673590504509</v>
      </c>
      <c r="U156">
        <v>0.23214243323442141</v>
      </c>
      <c r="V156">
        <v>0.2414281305637975</v>
      </c>
      <c r="W156">
        <v>0.25204035608308611</v>
      </c>
      <c r="X156">
        <v>374.14012542777448</v>
      </c>
      <c r="Y156">
        <v>374.14012542777448</v>
      </c>
      <c r="Z156">
        <v>325.06090745340788</v>
      </c>
      <c r="AA156">
        <v>300.16565195916411</v>
      </c>
      <c r="AB156">
        <v>290.91884277558938</v>
      </c>
      <c r="AC156">
        <v>280.96074057789201</v>
      </c>
      <c r="AD156">
        <v>271.71393139431541</v>
      </c>
      <c r="AE156">
        <v>9.9262614810501226</v>
      </c>
      <c r="AF156">
        <v>9.9262614810501226</v>
      </c>
      <c r="AG156">
        <v>9.9262614810501226</v>
      </c>
      <c r="AH156">
        <v>9.9262614810501226</v>
      </c>
      <c r="AI156">
        <v>9.9262614810501226</v>
      </c>
      <c r="AJ156">
        <v>9.9262614810501226</v>
      </c>
      <c r="AK156">
        <v>9.9262614810501226</v>
      </c>
    </row>
    <row r="157" spans="1:37" x14ac:dyDescent="0.25">
      <c r="A157" t="s">
        <v>90</v>
      </c>
      <c r="B157" t="s">
        <v>182</v>
      </c>
      <c r="C157" t="s">
        <v>219</v>
      </c>
      <c r="F157" t="s">
        <v>213</v>
      </c>
      <c r="G157" t="s">
        <v>133</v>
      </c>
      <c r="H157" t="s">
        <v>134</v>
      </c>
      <c r="I157" t="s">
        <v>220</v>
      </c>
      <c r="J157" t="s">
        <v>225</v>
      </c>
      <c r="K157" t="s">
        <v>98</v>
      </c>
      <c r="L157">
        <v>1</v>
      </c>
      <c r="M157">
        <v>1</v>
      </c>
      <c r="N157">
        <v>2020</v>
      </c>
      <c r="O157">
        <v>10.89196958520898</v>
      </c>
      <c r="P157">
        <v>1</v>
      </c>
      <c r="Q157">
        <v>0.1150099940652819</v>
      </c>
      <c r="R157">
        <v>0.1150099940652819</v>
      </c>
      <c r="S157">
        <v>0.12933649851632051</v>
      </c>
      <c r="T157">
        <v>0.14326504451038591</v>
      </c>
      <c r="U157">
        <v>0.15122421364985161</v>
      </c>
      <c r="V157">
        <v>0.15918338278931751</v>
      </c>
      <c r="W157">
        <v>0.16714255192878349</v>
      </c>
      <c r="X157">
        <v>409.70477613383707</v>
      </c>
      <c r="Y157">
        <v>409.70477613383707</v>
      </c>
      <c r="Z157">
        <v>364.89331624419862</v>
      </c>
      <c r="AA157">
        <v>340.70935376407601</v>
      </c>
      <c r="AB157">
        <v>331.46254458049981</v>
      </c>
      <c r="AC157">
        <v>322.21573539692372</v>
      </c>
      <c r="AD157">
        <v>313.68021922746908</v>
      </c>
      <c r="AE157">
        <v>9.9915658328991128</v>
      </c>
      <c r="AF157">
        <v>9.9915658328991128</v>
      </c>
      <c r="AG157">
        <v>9.9915658328991128</v>
      </c>
      <c r="AH157">
        <v>9.9915658328991128</v>
      </c>
      <c r="AI157">
        <v>9.9915658328991128</v>
      </c>
      <c r="AJ157">
        <v>9.9915658328991128</v>
      </c>
      <c r="AK157">
        <v>9.9915658328991128</v>
      </c>
    </row>
    <row r="158" spans="1:37" x14ac:dyDescent="0.25">
      <c r="A158" t="s">
        <v>90</v>
      </c>
      <c r="B158" t="s">
        <v>182</v>
      </c>
      <c r="C158" t="s">
        <v>219</v>
      </c>
      <c r="F158" t="s">
        <v>215</v>
      </c>
      <c r="G158" t="s">
        <v>133</v>
      </c>
      <c r="H158" t="s">
        <v>134</v>
      </c>
      <c r="I158" t="s">
        <v>220</v>
      </c>
      <c r="J158" t="s">
        <v>226</v>
      </c>
      <c r="K158" t="s">
        <v>98</v>
      </c>
      <c r="L158">
        <v>1</v>
      </c>
      <c r="M158">
        <v>1</v>
      </c>
      <c r="N158">
        <v>2020</v>
      </c>
      <c r="O158">
        <v>10.89196958520898</v>
      </c>
      <c r="P158">
        <v>0.92029887920298814</v>
      </c>
      <c r="Q158">
        <v>0.1234997744807122</v>
      </c>
      <c r="R158">
        <v>0.1234997744807122</v>
      </c>
      <c r="S158">
        <v>0.13928545994065281</v>
      </c>
      <c r="T158">
        <v>0.15918338278931751</v>
      </c>
      <c r="U158">
        <v>0.16979560830860541</v>
      </c>
      <c r="V158">
        <v>0.17908130563798219</v>
      </c>
      <c r="W158">
        <v>0.18969353115727011</v>
      </c>
      <c r="X158">
        <v>322.92702841104523</v>
      </c>
      <c r="Y158">
        <v>322.92702841104523</v>
      </c>
      <c r="Z158">
        <v>289.49625674734659</v>
      </c>
      <c r="AA158">
        <v>270.29134536607307</v>
      </c>
      <c r="AB158">
        <v>262.46712221073909</v>
      </c>
      <c r="AC158">
        <v>255.35419206952679</v>
      </c>
      <c r="AD158">
        <v>248.24126192831449</v>
      </c>
      <c r="AE158">
        <v>9.9915658328991128</v>
      </c>
      <c r="AF158">
        <v>9.9915658328991128</v>
      </c>
      <c r="AG158">
        <v>9.9915658328991128</v>
      </c>
      <c r="AH158">
        <v>9.9915658328991128</v>
      </c>
      <c r="AI158">
        <v>9.9915658328991128</v>
      </c>
      <c r="AJ158">
        <v>9.9915658328991128</v>
      </c>
      <c r="AK158">
        <v>9.9915658328991128</v>
      </c>
    </row>
    <row r="159" spans="1:37" x14ac:dyDescent="0.25">
      <c r="A159" t="s">
        <v>90</v>
      </c>
      <c r="B159" t="s">
        <v>182</v>
      </c>
      <c r="C159" t="s">
        <v>219</v>
      </c>
      <c r="F159" t="s">
        <v>215</v>
      </c>
      <c r="G159" t="s">
        <v>211</v>
      </c>
      <c r="H159" t="s">
        <v>212</v>
      </c>
      <c r="I159" t="s">
        <v>220</v>
      </c>
      <c r="J159" t="s">
        <v>226</v>
      </c>
      <c r="K159" t="s">
        <v>98</v>
      </c>
      <c r="L159">
        <v>0</v>
      </c>
      <c r="M159">
        <v>1</v>
      </c>
      <c r="N159">
        <v>2020</v>
      </c>
      <c r="O159">
        <v>10.89196958520898</v>
      </c>
      <c r="P159">
        <v>7.9701120797011846E-2</v>
      </c>
      <c r="Q159">
        <v>0.1234997744807122</v>
      </c>
      <c r="R159">
        <v>0.1234997744807122</v>
      </c>
      <c r="S159">
        <v>0.13928545994065281</v>
      </c>
      <c r="T159">
        <v>0.15918338278931751</v>
      </c>
      <c r="U159">
        <v>0.16979560830860541</v>
      </c>
      <c r="V159">
        <v>0.17908130563798219</v>
      </c>
      <c r="W159">
        <v>0.18969353115727011</v>
      </c>
      <c r="X159">
        <v>322.92702841104523</v>
      </c>
      <c r="Y159">
        <v>322.92702841104523</v>
      </c>
      <c r="Z159">
        <v>289.49625674734659</v>
      </c>
      <c r="AA159">
        <v>270.29134536607307</v>
      </c>
      <c r="AB159">
        <v>262.46712221073909</v>
      </c>
      <c r="AC159">
        <v>255.35419206952679</v>
      </c>
      <c r="AD159">
        <v>248.24126192831449</v>
      </c>
      <c r="AE159">
        <v>9.9915658328991128</v>
      </c>
      <c r="AF159">
        <v>9.9915658328991128</v>
      </c>
      <c r="AG159">
        <v>9.9915658328991128</v>
      </c>
      <c r="AH159">
        <v>9.9915658328991128</v>
      </c>
      <c r="AI159">
        <v>9.9915658328991128</v>
      </c>
      <c r="AJ159">
        <v>9.9915658328991128</v>
      </c>
      <c r="AK159">
        <v>9.9915658328991128</v>
      </c>
    </row>
    <row r="160" spans="1:37" x14ac:dyDescent="0.25">
      <c r="A160" t="s">
        <v>90</v>
      </c>
      <c r="B160" t="s">
        <v>182</v>
      </c>
      <c r="C160" t="s">
        <v>219</v>
      </c>
      <c r="F160" t="s">
        <v>217</v>
      </c>
      <c r="G160" t="s">
        <v>211</v>
      </c>
      <c r="H160" t="s">
        <v>212</v>
      </c>
      <c r="I160" t="s">
        <v>220</v>
      </c>
      <c r="J160" t="s">
        <v>227</v>
      </c>
      <c r="K160" t="s">
        <v>98</v>
      </c>
      <c r="L160">
        <v>1</v>
      </c>
      <c r="M160">
        <v>1</v>
      </c>
      <c r="N160">
        <v>2020</v>
      </c>
      <c r="O160">
        <v>10.89196958520898</v>
      </c>
      <c r="P160">
        <v>1</v>
      </c>
      <c r="Q160">
        <v>0.2215302077151334</v>
      </c>
      <c r="R160">
        <v>0.2215302077151334</v>
      </c>
      <c r="S160">
        <v>0.24673424332344221</v>
      </c>
      <c r="T160">
        <v>0.27193827893175071</v>
      </c>
      <c r="U160">
        <v>0.2812239762611275</v>
      </c>
      <c r="V160">
        <v>0.29316272997032661</v>
      </c>
      <c r="W160">
        <v>0.30510148367952522</v>
      </c>
      <c r="X160">
        <v>477.277612475355</v>
      </c>
      <c r="Y160">
        <v>477.277612475355</v>
      </c>
      <c r="Z160">
        <v>392.63374379492677</v>
      </c>
      <c r="AA160">
        <v>348.53357691941</v>
      </c>
      <c r="AB160">
        <v>330.0399585522577</v>
      </c>
      <c r="AC160">
        <v>310.83504717098378</v>
      </c>
      <c r="AD160">
        <v>292.34142880383138</v>
      </c>
      <c r="AE160">
        <v>6.3998264812033572</v>
      </c>
      <c r="AF160">
        <v>6.3998264812033572</v>
      </c>
      <c r="AG160">
        <v>6.3998264812033572</v>
      </c>
      <c r="AH160">
        <v>6.3998264812033572</v>
      </c>
      <c r="AI160">
        <v>6.3998264812033572</v>
      </c>
      <c r="AJ160">
        <v>6.3998264812033572</v>
      </c>
      <c r="AK160">
        <v>6.3998264812033572</v>
      </c>
    </row>
    <row r="161" spans="1:37" x14ac:dyDescent="0.25">
      <c r="A161" t="s">
        <v>90</v>
      </c>
      <c r="B161" t="s">
        <v>182</v>
      </c>
      <c r="C161" t="s">
        <v>228</v>
      </c>
      <c r="F161" t="s">
        <v>202</v>
      </c>
      <c r="G161" t="s">
        <v>119</v>
      </c>
      <c r="H161" t="s">
        <v>120</v>
      </c>
      <c r="I161" t="s">
        <v>229</v>
      </c>
      <c r="J161" t="s">
        <v>230</v>
      </c>
      <c r="K161" t="s">
        <v>98</v>
      </c>
      <c r="L161">
        <v>1</v>
      </c>
      <c r="M161">
        <v>1</v>
      </c>
      <c r="N161">
        <v>2020</v>
      </c>
      <c r="O161">
        <v>8.7089799004097141</v>
      </c>
      <c r="P161">
        <v>1</v>
      </c>
      <c r="Q161">
        <v>0.15255074183976261</v>
      </c>
      <c r="R161">
        <v>0.15255074183976261</v>
      </c>
      <c r="S161">
        <v>0.16846908011869441</v>
      </c>
      <c r="T161">
        <v>0.18372415430267069</v>
      </c>
      <c r="U161">
        <v>0.19367311572700291</v>
      </c>
      <c r="V161">
        <v>0.20295881305637981</v>
      </c>
      <c r="W161">
        <v>0.21158124629080119</v>
      </c>
      <c r="X161">
        <v>301.23259148034708</v>
      </c>
      <c r="Y161">
        <v>301.23259148034708</v>
      </c>
      <c r="Z161">
        <v>302.29953100152898</v>
      </c>
      <c r="AA161">
        <v>301.94388449446831</v>
      </c>
      <c r="AB161">
        <v>302.65517750858959</v>
      </c>
      <c r="AC161">
        <v>303.0108240156502</v>
      </c>
      <c r="AD161">
        <v>304.07776353683221</v>
      </c>
      <c r="AE161">
        <v>9.637474954139952</v>
      </c>
      <c r="AF161">
        <v>9.637474954139952</v>
      </c>
      <c r="AG161">
        <v>9.637474954139952</v>
      </c>
      <c r="AH161">
        <v>9.637474954139952</v>
      </c>
      <c r="AI161">
        <v>9.637474954139952</v>
      </c>
      <c r="AJ161">
        <v>9.637474954139952</v>
      </c>
      <c r="AK161">
        <v>9.637474954139952</v>
      </c>
    </row>
    <row r="162" spans="1:37" x14ac:dyDescent="0.25">
      <c r="A162" t="s">
        <v>90</v>
      </c>
      <c r="B162" t="s">
        <v>182</v>
      </c>
      <c r="C162" t="s">
        <v>228</v>
      </c>
      <c r="F162" t="s">
        <v>202</v>
      </c>
      <c r="G162" t="s">
        <v>122</v>
      </c>
      <c r="H162" t="s">
        <v>123</v>
      </c>
      <c r="I162" t="s">
        <v>229</v>
      </c>
      <c r="J162" t="s">
        <v>230</v>
      </c>
      <c r="K162" t="s">
        <v>98</v>
      </c>
      <c r="L162">
        <v>0</v>
      </c>
      <c r="M162">
        <v>1</v>
      </c>
      <c r="N162">
        <v>2020</v>
      </c>
      <c r="O162">
        <v>8.7089799004097141</v>
      </c>
      <c r="P162">
        <v>1</v>
      </c>
      <c r="Q162">
        <v>0.15255074183976261</v>
      </c>
      <c r="R162">
        <v>0.15255074183976261</v>
      </c>
      <c r="S162">
        <v>0.16846908011869441</v>
      </c>
      <c r="T162">
        <v>0.18372415430267069</v>
      </c>
      <c r="U162">
        <v>0.19367311572700291</v>
      </c>
      <c r="V162">
        <v>0.20295881305637981</v>
      </c>
      <c r="W162">
        <v>0.21158124629080119</v>
      </c>
      <c r="X162">
        <v>301.23259148034708</v>
      </c>
      <c r="Y162">
        <v>301.23259148034708</v>
      </c>
      <c r="Z162">
        <v>302.29953100152898</v>
      </c>
      <c r="AA162">
        <v>301.94388449446831</v>
      </c>
      <c r="AB162">
        <v>302.65517750858959</v>
      </c>
      <c r="AC162">
        <v>303.0108240156502</v>
      </c>
      <c r="AD162">
        <v>304.07776353683221</v>
      </c>
      <c r="AE162">
        <v>9.637474954139952</v>
      </c>
      <c r="AF162">
        <v>9.637474954139952</v>
      </c>
      <c r="AG162">
        <v>9.637474954139952</v>
      </c>
      <c r="AH162">
        <v>9.637474954139952</v>
      </c>
      <c r="AI162">
        <v>9.637474954139952</v>
      </c>
      <c r="AJ162">
        <v>9.637474954139952</v>
      </c>
      <c r="AK162">
        <v>9.637474954139952</v>
      </c>
    </row>
    <row r="163" spans="1:37" x14ac:dyDescent="0.25">
      <c r="A163" t="s">
        <v>90</v>
      </c>
      <c r="B163" t="s">
        <v>182</v>
      </c>
      <c r="C163" t="s">
        <v>228</v>
      </c>
      <c r="F163" t="s">
        <v>202</v>
      </c>
      <c r="G163" t="s">
        <v>124</v>
      </c>
      <c r="H163" t="s">
        <v>125</v>
      </c>
      <c r="I163" t="s">
        <v>229</v>
      </c>
      <c r="J163" t="s">
        <v>230</v>
      </c>
      <c r="K163" t="s">
        <v>98</v>
      </c>
      <c r="L163">
        <v>0</v>
      </c>
      <c r="M163">
        <v>1</v>
      </c>
      <c r="N163">
        <v>2020</v>
      </c>
      <c r="O163">
        <v>8.7089799004097141</v>
      </c>
      <c r="P163">
        <v>0.1</v>
      </c>
      <c r="Q163">
        <v>0.15255074183976261</v>
      </c>
      <c r="R163">
        <v>0.15255074183976261</v>
      </c>
      <c r="S163">
        <v>0.16846908011869441</v>
      </c>
      <c r="T163">
        <v>0.18372415430267069</v>
      </c>
      <c r="U163">
        <v>0.19367311572700291</v>
      </c>
      <c r="V163">
        <v>0.20295881305637981</v>
      </c>
      <c r="W163">
        <v>0.21158124629080119</v>
      </c>
      <c r="X163">
        <v>301.23259148034708</v>
      </c>
      <c r="Y163">
        <v>301.23259148034708</v>
      </c>
      <c r="Z163">
        <v>302.29953100152898</v>
      </c>
      <c r="AA163">
        <v>301.94388449446831</v>
      </c>
      <c r="AB163">
        <v>302.65517750858959</v>
      </c>
      <c r="AC163">
        <v>303.0108240156502</v>
      </c>
      <c r="AD163">
        <v>304.07776353683221</v>
      </c>
      <c r="AE163">
        <v>9.637474954139952</v>
      </c>
      <c r="AF163">
        <v>9.637474954139952</v>
      </c>
      <c r="AG163">
        <v>9.637474954139952</v>
      </c>
      <c r="AH163">
        <v>9.637474954139952</v>
      </c>
      <c r="AI163">
        <v>9.637474954139952</v>
      </c>
      <c r="AJ163">
        <v>9.637474954139952</v>
      </c>
      <c r="AK163">
        <v>9.637474954139952</v>
      </c>
    </row>
    <row r="164" spans="1:37" x14ac:dyDescent="0.25">
      <c r="A164" t="s">
        <v>90</v>
      </c>
      <c r="B164" t="s">
        <v>182</v>
      </c>
      <c r="C164" t="s">
        <v>228</v>
      </c>
      <c r="F164" t="s">
        <v>205</v>
      </c>
      <c r="G164" t="s">
        <v>119</v>
      </c>
      <c r="H164" t="s">
        <v>120</v>
      </c>
      <c r="I164" t="s">
        <v>229</v>
      </c>
      <c r="J164" t="s">
        <v>231</v>
      </c>
      <c r="K164" t="s">
        <v>98</v>
      </c>
      <c r="L164">
        <v>1</v>
      </c>
      <c r="M164">
        <v>1</v>
      </c>
      <c r="N164">
        <v>2020</v>
      </c>
      <c r="O164">
        <v>8.7089799004097141</v>
      </c>
      <c r="P164">
        <v>1</v>
      </c>
      <c r="Q164">
        <v>0.15387727002967361</v>
      </c>
      <c r="R164">
        <v>0.15387727002967361</v>
      </c>
      <c r="S164">
        <v>0.16913234421364989</v>
      </c>
      <c r="T164">
        <v>0.18505068249258161</v>
      </c>
      <c r="U164">
        <v>0.19433637982195839</v>
      </c>
      <c r="V164">
        <v>0.20362207715133529</v>
      </c>
      <c r="W164">
        <v>0.21290777448071219</v>
      </c>
      <c r="X164">
        <v>333.2407771158031</v>
      </c>
      <c r="Y164">
        <v>333.2407771158031</v>
      </c>
      <c r="Z164">
        <v>335.01900965110627</v>
      </c>
      <c r="AA164">
        <v>333.95207012992438</v>
      </c>
      <c r="AB164">
        <v>333.95207012992438</v>
      </c>
      <c r="AC164">
        <v>334.66336314404572</v>
      </c>
      <c r="AD164">
        <v>335.01900965110627</v>
      </c>
      <c r="AE164">
        <v>9.637474954139952</v>
      </c>
      <c r="AF164">
        <v>9.637474954139952</v>
      </c>
      <c r="AG164">
        <v>9.637474954139952</v>
      </c>
      <c r="AH164">
        <v>9.637474954139952</v>
      </c>
      <c r="AI164">
        <v>9.637474954139952</v>
      </c>
      <c r="AJ164">
        <v>9.637474954139952</v>
      </c>
      <c r="AK164">
        <v>9.637474954139952</v>
      </c>
    </row>
    <row r="165" spans="1:37" x14ac:dyDescent="0.25">
      <c r="A165" t="s">
        <v>90</v>
      </c>
      <c r="B165" t="s">
        <v>182</v>
      </c>
      <c r="C165" t="s">
        <v>228</v>
      </c>
      <c r="F165" t="s">
        <v>205</v>
      </c>
      <c r="G165" t="s">
        <v>122</v>
      </c>
      <c r="H165" t="s">
        <v>123</v>
      </c>
      <c r="I165" t="s">
        <v>229</v>
      </c>
      <c r="J165" t="s">
        <v>231</v>
      </c>
      <c r="K165" t="s">
        <v>98</v>
      </c>
      <c r="L165">
        <v>0</v>
      </c>
      <c r="M165">
        <v>1</v>
      </c>
      <c r="N165">
        <v>2020</v>
      </c>
      <c r="O165">
        <v>8.7089799004097141</v>
      </c>
      <c r="P165">
        <v>1</v>
      </c>
      <c r="Q165">
        <v>0.15387727002967361</v>
      </c>
      <c r="R165">
        <v>0.15387727002967361</v>
      </c>
      <c r="S165">
        <v>0.16913234421364989</v>
      </c>
      <c r="T165">
        <v>0.18505068249258161</v>
      </c>
      <c r="U165">
        <v>0.19433637982195839</v>
      </c>
      <c r="V165">
        <v>0.20362207715133529</v>
      </c>
      <c r="W165">
        <v>0.21290777448071219</v>
      </c>
      <c r="X165">
        <v>333.2407771158031</v>
      </c>
      <c r="Y165">
        <v>333.2407771158031</v>
      </c>
      <c r="Z165">
        <v>335.01900965110627</v>
      </c>
      <c r="AA165">
        <v>333.95207012992438</v>
      </c>
      <c r="AB165">
        <v>333.95207012992438</v>
      </c>
      <c r="AC165">
        <v>334.66336314404572</v>
      </c>
      <c r="AD165">
        <v>335.01900965110627</v>
      </c>
      <c r="AE165">
        <v>9.637474954139952</v>
      </c>
      <c r="AF165">
        <v>9.637474954139952</v>
      </c>
      <c r="AG165">
        <v>9.637474954139952</v>
      </c>
      <c r="AH165">
        <v>9.637474954139952</v>
      </c>
      <c r="AI165">
        <v>9.637474954139952</v>
      </c>
      <c r="AJ165">
        <v>9.637474954139952</v>
      </c>
      <c r="AK165">
        <v>9.637474954139952</v>
      </c>
    </row>
    <row r="166" spans="1:37" x14ac:dyDescent="0.25">
      <c r="A166" t="s">
        <v>90</v>
      </c>
      <c r="B166" t="s">
        <v>182</v>
      </c>
      <c r="C166" t="s">
        <v>228</v>
      </c>
      <c r="F166" t="s">
        <v>205</v>
      </c>
      <c r="G166" t="s">
        <v>124</v>
      </c>
      <c r="H166" t="s">
        <v>125</v>
      </c>
      <c r="I166" t="s">
        <v>229</v>
      </c>
      <c r="J166" t="s">
        <v>231</v>
      </c>
      <c r="K166" t="s">
        <v>98</v>
      </c>
      <c r="L166">
        <v>0</v>
      </c>
      <c r="M166">
        <v>1</v>
      </c>
      <c r="N166">
        <v>2020</v>
      </c>
      <c r="O166">
        <v>8.7089799004097141</v>
      </c>
      <c r="P166">
        <v>0.1</v>
      </c>
      <c r="Q166">
        <v>0.15387727002967361</v>
      </c>
      <c r="R166">
        <v>0.15387727002967361</v>
      </c>
      <c r="S166">
        <v>0.16913234421364989</v>
      </c>
      <c r="T166">
        <v>0.18505068249258161</v>
      </c>
      <c r="U166">
        <v>0.19433637982195839</v>
      </c>
      <c r="V166">
        <v>0.20362207715133529</v>
      </c>
      <c r="W166">
        <v>0.21290777448071219</v>
      </c>
      <c r="X166">
        <v>333.2407771158031</v>
      </c>
      <c r="Y166">
        <v>333.2407771158031</v>
      </c>
      <c r="Z166">
        <v>335.01900965110627</v>
      </c>
      <c r="AA166">
        <v>333.95207012992438</v>
      </c>
      <c r="AB166">
        <v>333.95207012992438</v>
      </c>
      <c r="AC166">
        <v>334.66336314404572</v>
      </c>
      <c r="AD166">
        <v>335.01900965110627</v>
      </c>
      <c r="AE166">
        <v>9.637474954139952</v>
      </c>
      <c r="AF166">
        <v>9.637474954139952</v>
      </c>
      <c r="AG166">
        <v>9.637474954139952</v>
      </c>
      <c r="AH166">
        <v>9.637474954139952</v>
      </c>
      <c r="AI166">
        <v>9.637474954139952</v>
      </c>
      <c r="AJ166">
        <v>9.637474954139952</v>
      </c>
      <c r="AK166">
        <v>9.637474954139952</v>
      </c>
    </row>
    <row r="167" spans="1:37" x14ac:dyDescent="0.25">
      <c r="A167" t="s">
        <v>90</v>
      </c>
      <c r="B167" t="s">
        <v>182</v>
      </c>
      <c r="C167" t="s">
        <v>228</v>
      </c>
      <c r="F167" t="s">
        <v>207</v>
      </c>
      <c r="G167" t="s">
        <v>119</v>
      </c>
      <c r="H167" t="s">
        <v>120</v>
      </c>
      <c r="I167" t="s">
        <v>229</v>
      </c>
      <c r="J167" t="s">
        <v>232</v>
      </c>
      <c r="K167" t="s">
        <v>98</v>
      </c>
      <c r="L167">
        <v>1</v>
      </c>
      <c r="M167">
        <v>1</v>
      </c>
      <c r="N167">
        <v>2020</v>
      </c>
      <c r="O167">
        <v>8.7089799004097141</v>
      </c>
      <c r="P167">
        <v>1</v>
      </c>
      <c r="Q167">
        <v>0.15586706231454009</v>
      </c>
      <c r="R167">
        <v>0.15586706231454009</v>
      </c>
      <c r="S167">
        <v>0.17377519287833831</v>
      </c>
      <c r="T167">
        <v>0.191020059347181</v>
      </c>
      <c r="U167">
        <v>0.20163228486646881</v>
      </c>
      <c r="V167">
        <v>0.21158124629080119</v>
      </c>
      <c r="W167">
        <v>0.2215302077151336</v>
      </c>
      <c r="X167">
        <v>333.59642362286382</v>
      </c>
      <c r="Y167">
        <v>333.59642362286382</v>
      </c>
      <c r="Z167">
        <v>332.88513060874249</v>
      </c>
      <c r="AA167">
        <v>330.39560505931809</v>
      </c>
      <c r="AB167">
        <v>329.68431204519692</v>
      </c>
      <c r="AC167">
        <v>329.32866553813631</v>
      </c>
      <c r="AD167">
        <v>328.97301903107558</v>
      </c>
      <c r="AE167">
        <v>9.637474954139952</v>
      </c>
      <c r="AF167">
        <v>9.637474954139952</v>
      </c>
      <c r="AG167">
        <v>9.637474954139952</v>
      </c>
      <c r="AH167">
        <v>9.637474954139952</v>
      </c>
      <c r="AI167">
        <v>9.637474954139952</v>
      </c>
      <c r="AJ167">
        <v>9.637474954139952</v>
      </c>
      <c r="AK167">
        <v>9.637474954139952</v>
      </c>
    </row>
    <row r="168" spans="1:37" x14ac:dyDescent="0.25">
      <c r="A168" t="s">
        <v>90</v>
      </c>
      <c r="B168" t="s">
        <v>182</v>
      </c>
      <c r="C168" t="s">
        <v>228</v>
      </c>
      <c r="F168" t="s">
        <v>207</v>
      </c>
      <c r="G168" t="s">
        <v>122</v>
      </c>
      <c r="H168" t="s">
        <v>123</v>
      </c>
      <c r="I168" t="s">
        <v>229</v>
      </c>
      <c r="J168" t="s">
        <v>232</v>
      </c>
      <c r="K168" t="s">
        <v>98</v>
      </c>
      <c r="L168">
        <v>0</v>
      </c>
      <c r="M168">
        <v>1</v>
      </c>
      <c r="N168">
        <v>2020</v>
      </c>
      <c r="O168">
        <v>8.7089799004097141</v>
      </c>
      <c r="P168">
        <v>1</v>
      </c>
      <c r="Q168">
        <v>0.15586706231454009</v>
      </c>
      <c r="R168">
        <v>0.15586706231454009</v>
      </c>
      <c r="S168">
        <v>0.17377519287833831</v>
      </c>
      <c r="T168">
        <v>0.191020059347181</v>
      </c>
      <c r="U168">
        <v>0.20163228486646881</v>
      </c>
      <c r="V168">
        <v>0.21158124629080119</v>
      </c>
      <c r="W168">
        <v>0.2215302077151336</v>
      </c>
      <c r="X168">
        <v>333.59642362286382</v>
      </c>
      <c r="Y168">
        <v>333.59642362286382</v>
      </c>
      <c r="Z168">
        <v>332.88513060874249</v>
      </c>
      <c r="AA168">
        <v>330.39560505931809</v>
      </c>
      <c r="AB168">
        <v>329.68431204519692</v>
      </c>
      <c r="AC168">
        <v>329.32866553813631</v>
      </c>
      <c r="AD168">
        <v>328.97301903107558</v>
      </c>
      <c r="AE168">
        <v>9.637474954139952</v>
      </c>
      <c r="AF168">
        <v>9.637474954139952</v>
      </c>
      <c r="AG168">
        <v>9.637474954139952</v>
      </c>
      <c r="AH168">
        <v>9.637474954139952</v>
      </c>
      <c r="AI168">
        <v>9.637474954139952</v>
      </c>
      <c r="AJ168">
        <v>9.637474954139952</v>
      </c>
      <c r="AK168">
        <v>9.637474954139952</v>
      </c>
    </row>
    <row r="169" spans="1:37" x14ac:dyDescent="0.25">
      <c r="A169" t="s">
        <v>90</v>
      </c>
      <c r="B169" t="s">
        <v>182</v>
      </c>
      <c r="C169" t="s">
        <v>228</v>
      </c>
      <c r="F169" t="s">
        <v>207</v>
      </c>
      <c r="G169" t="s">
        <v>124</v>
      </c>
      <c r="H169" t="s">
        <v>125</v>
      </c>
      <c r="I169" t="s">
        <v>229</v>
      </c>
      <c r="J169" t="s">
        <v>232</v>
      </c>
      <c r="K169" t="s">
        <v>98</v>
      </c>
      <c r="L169">
        <v>0</v>
      </c>
      <c r="M169">
        <v>1</v>
      </c>
      <c r="N169">
        <v>2020</v>
      </c>
      <c r="O169">
        <v>8.7089799004097141</v>
      </c>
      <c r="P169">
        <v>0.1</v>
      </c>
      <c r="Q169">
        <v>0.15586706231454009</v>
      </c>
      <c r="R169">
        <v>0.15586706231454009</v>
      </c>
      <c r="S169">
        <v>0.17377519287833831</v>
      </c>
      <c r="T169">
        <v>0.191020059347181</v>
      </c>
      <c r="U169">
        <v>0.20163228486646881</v>
      </c>
      <c r="V169">
        <v>0.21158124629080119</v>
      </c>
      <c r="W169">
        <v>0.2215302077151336</v>
      </c>
      <c r="X169">
        <v>333.59642362286382</v>
      </c>
      <c r="Y169">
        <v>333.59642362286382</v>
      </c>
      <c r="Z169">
        <v>332.88513060874249</v>
      </c>
      <c r="AA169">
        <v>330.39560505931809</v>
      </c>
      <c r="AB169">
        <v>329.68431204519692</v>
      </c>
      <c r="AC169">
        <v>329.32866553813631</v>
      </c>
      <c r="AD169">
        <v>328.97301903107558</v>
      </c>
      <c r="AE169">
        <v>9.637474954139952</v>
      </c>
      <c r="AF169">
        <v>9.637474954139952</v>
      </c>
      <c r="AG169">
        <v>9.637474954139952</v>
      </c>
      <c r="AH169">
        <v>9.637474954139952</v>
      </c>
      <c r="AI169">
        <v>9.637474954139952</v>
      </c>
      <c r="AJ169">
        <v>9.637474954139952</v>
      </c>
      <c r="AK169">
        <v>9.637474954139952</v>
      </c>
    </row>
    <row r="170" spans="1:37" x14ac:dyDescent="0.25">
      <c r="A170" t="s">
        <v>90</v>
      </c>
      <c r="B170" t="s">
        <v>182</v>
      </c>
      <c r="C170" t="s">
        <v>228</v>
      </c>
      <c r="F170" t="s">
        <v>209</v>
      </c>
      <c r="G170" t="s">
        <v>119</v>
      </c>
      <c r="H170" t="s">
        <v>120</v>
      </c>
      <c r="I170" t="s">
        <v>229</v>
      </c>
      <c r="J170" t="s">
        <v>233</v>
      </c>
      <c r="K170" t="s">
        <v>98</v>
      </c>
      <c r="L170">
        <v>1</v>
      </c>
      <c r="M170">
        <v>1</v>
      </c>
      <c r="N170">
        <v>2020</v>
      </c>
      <c r="O170">
        <v>8.7089799004097141</v>
      </c>
      <c r="P170">
        <v>0.53273809523809801</v>
      </c>
      <c r="Q170">
        <v>0.25999952522255132</v>
      </c>
      <c r="R170">
        <v>0.25999952522255132</v>
      </c>
      <c r="S170">
        <v>0.28653008902077193</v>
      </c>
      <c r="T170">
        <v>0.31438718100890251</v>
      </c>
      <c r="U170">
        <v>0.33030551928783269</v>
      </c>
      <c r="V170">
        <v>0.34556059347180917</v>
      </c>
      <c r="W170">
        <v>0.36147893175074242</v>
      </c>
      <c r="X170">
        <v>378.40788351250092</v>
      </c>
      <c r="Y170">
        <v>378.40788351250092</v>
      </c>
      <c r="Z170">
        <v>354.57956753944029</v>
      </c>
      <c r="AA170">
        <v>338.93112122877358</v>
      </c>
      <c r="AB170">
        <v>332.88513060874158</v>
      </c>
      <c r="AC170">
        <v>327.19478649577292</v>
      </c>
      <c r="AD170">
        <v>321.14879587574069</v>
      </c>
      <c r="AE170">
        <v>9.6374749541399289</v>
      </c>
      <c r="AF170">
        <v>9.6374749541399289</v>
      </c>
      <c r="AG170">
        <v>9.6374749541399289</v>
      </c>
      <c r="AH170">
        <v>9.6374749541399289</v>
      </c>
      <c r="AI170">
        <v>9.6374749541399289</v>
      </c>
      <c r="AJ170">
        <v>9.6374749541399289</v>
      </c>
      <c r="AK170">
        <v>9.6374749541399289</v>
      </c>
    </row>
    <row r="171" spans="1:37" x14ac:dyDescent="0.25">
      <c r="A171" t="s">
        <v>90</v>
      </c>
      <c r="B171" t="s">
        <v>182</v>
      </c>
      <c r="C171" t="s">
        <v>228</v>
      </c>
      <c r="F171" t="s">
        <v>209</v>
      </c>
      <c r="G171" t="s">
        <v>122</v>
      </c>
      <c r="H171" t="s">
        <v>123</v>
      </c>
      <c r="I171" t="s">
        <v>229</v>
      </c>
      <c r="J171" t="s">
        <v>233</v>
      </c>
      <c r="K171" t="s">
        <v>98</v>
      </c>
      <c r="L171">
        <v>0</v>
      </c>
      <c r="M171">
        <v>1</v>
      </c>
      <c r="N171">
        <v>2020</v>
      </c>
      <c r="O171">
        <v>8.7089799004097141</v>
      </c>
      <c r="P171">
        <v>0.53273809523809801</v>
      </c>
      <c r="Q171">
        <v>0.25999952522255132</v>
      </c>
      <c r="R171">
        <v>0.25999952522255132</v>
      </c>
      <c r="S171">
        <v>0.28653008902077193</v>
      </c>
      <c r="T171">
        <v>0.31438718100890251</v>
      </c>
      <c r="U171">
        <v>0.33030551928783269</v>
      </c>
      <c r="V171">
        <v>0.34556059347180917</v>
      </c>
      <c r="W171">
        <v>0.36147893175074242</v>
      </c>
      <c r="X171">
        <v>378.40788351250092</v>
      </c>
      <c r="Y171">
        <v>378.40788351250092</v>
      </c>
      <c r="Z171">
        <v>354.57956753944029</v>
      </c>
      <c r="AA171">
        <v>338.93112122877358</v>
      </c>
      <c r="AB171">
        <v>332.88513060874158</v>
      </c>
      <c r="AC171">
        <v>327.19478649577292</v>
      </c>
      <c r="AD171">
        <v>321.14879587574069</v>
      </c>
      <c r="AE171">
        <v>9.6374749541399289</v>
      </c>
      <c r="AF171">
        <v>9.6374749541399289</v>
      </c>
      <c r="AG171">
        <v>9.6374749541399289</v>
      </c>
      <c r="AH171">
        <v>9.6374749541399289</v>
      </c>
      <c r="AI171">
        <v>9.6374749541399289</v>
      </c>
      <c r="AJ171">
        <v>9.6374749541399289</v>
      </c>
      <c r="AK171">
        <v>9.6374749541399289</v>
      </c>
    </row>
    <row r="172" spans="1:37" x14ac:dyDescent="0.25">
      <c r="A172" t="s">
        <v>90</v>
      </c>
      <c r="B172" t="s">
        <v>182</v>
      </c>
      <c r="C172" t="s">
        <v>228</v>
      </c>
      <c r="F172" t="s">
        <v>209</v>
      </c>
      <c r="G172" t="s">
        <v>124</v>
      </c>
      <c r="H172" t="s">
        <v>125</v>
      </c>
      <c r="I172" t="s">
        <v>229</v>
      </c>
      <c r="J172" t="s">
        <v>233</v>
      </c>
      <c r="K172" t="s">
        <v>98</v>
      </c>
      <c r="L172">
        <v>0</v>
      </c>
      <c r="M172">
        <v>1</v>
      </c>
      <c r="N172">
        <v>2020</v>
      </c>
      <c r="O172">
        <v>8.7089799004097141</v>
      </c>
      <c r="P172">
        <v>0.1</v>
      </c>
      <c r="Q172">
        <v>0.25999952522255132</v>
      </c>
      <c r="R172">
        <v>0.25999952522255132</v>
      </c>
      <c r="S172">
        <v>0.28653008902077193</v>
      </c>
      <c r="T172">
        <v>0.31438718100890251</v>
      </c>
      <c r="U172">
        <v>0.33030551928783269</v>
      </c>
      <c r="V172">
        <v>0.34556059347180917</v>
      </c>
      <c r="W172">
        <v>0.36147893175074242</v>
      </c>
      <c r="X172">
        <v>378.40788351250092</v>
      </c>
      <c r="Y172">
        <v>378.40788351250092</v>
      </c>
      <c r="Z172">
        <v>354.57956753944029</v>
      </c>
      <c r="AA172">
        <v>338.93112122877358</v>
      </c>
      <c r="AB172">
        <v>332.88513060874158</v>
      </c>
      <c r="AC172">
        <v>327.19478649577292</v>
      </c>
      <c r="AD172">
        <v>321.14879587574069</v>
      </c>
      <c r="AE172">
        <v>9.6374749541399289</v>
      </c>
      <c r="AF172">
        <v>9.6374749541399289</v>
      </c>
      <c r="AG172">
        <v>9.6374749541399289</v>
      </c>
      <c r="AH172">
        <v>9.6374749541399289</v>
      </c>
      <c r="AI172">
        <v>9.6374749541399289</v>
      </c>
      <c r="AJ172">
        <v>9.6374749541399289</v>
      </c>
      <c r="AK172">
        <v>9.6374749541399289</v>
      </c>
    </row>
    <row r="173" spans="1:37" x14ac:dyDescent="0.25">
      <c r="A173" t="s">
        <v>90</v>
      </c>
      <c r="B173" t="s">
        <v>182</v>
      </c>
      <c r="C173" t="s">
        <v>228</v>
      </c>
      <c r="F173" t="s">
        <v>209</v>
      </c>
      <c r="G173" t="s">
        <v>211</v>
      </c>
      <c r="H173" t="s">
        <v>212</v>
      </c>
      <c r="I173" t="s">
        <v>229</v>
      </c>
      <c r="J173" t="s">
        <v>233</v>
      </c>
      <c r="K173" t="s">
        <v>98</v>
      </c>
      <c r="L173">
        <v>0</v>
      </c>
      <c r="M173">
        <v>1</v>
      </c>
      <c r="N173">
        <v>2020</v>
      </c>
      <c r="O173">
        <v>8.7089799004097141</v>
      </c>
      <c r="P173">
        <v>0.46726190476190199</v>
      </c>
      <c r="Q173">
        <v>0.25999952522255132</v>
      </c>
      <c r="R173">
        <v>0.25999952522255132</v>
      </c>
      <c r="S173">
        <v>0.28653008902077193</v>
      </c>
      <c r="T173">
        <v>0.31438718100890251</v>
      </c>
      <c r="U173">
        <v>0.33030551928783269</v>
      </c>
      <c r="V173">
        <v>0.34556059347180917</v>
      </c>
      <c r="W173">
        <v>0.36147893175074242</v>
      </c>
      <c r="X173">
        <v>378.40788351250092</v>
      </c>
      <c r="Y173">
        <v>378.40788351250092</v>
      </c>
      <c r="Z173">
        <v>354.57956753944029</v>
      </c>
      <c r="AA173">
        <v>338.93112122877358</v>
      </c>
      <c r="AB173">
        <v>332.88513060874158</v>
      </c>
      <c r="AC173">
        <v>327.19478649577292</v>
      </c>
      <c r="AD173">
        <v>321.14879587574069</v>
      </c>
      <c r="AE173">
        <v>9.6374749541399289</v>
      </c>
      <c r="AF173">
        <v>9.6374749541399289</v>
      </c>
      <c r="AG173">
        <v>9.6374749541399289</v>
      </c>
      <c r="AH173">
        <v>9.6374749541399289</v>
      </c>
      <c r="AI173">
        <v>9.6374749541399289</v>
      </c>
      <c r="AJ173">
        <v>9.6374749541399289</v>
      </c>
      <c r="AK173">
        <v>9.6374749541399289</v>
      </c>
    </row>
    <row r="174" spans="1:37" x14ac:dyDescent="0.25">
      <c r="A174" t="s">
        <v>90</v>
      </c>
      <c r="B174" t="s">
        <v>182</v>
      </c>
      <c r="C174" t="s">
        <v>228</v>
      </c>
      <c r="F174" t="s">
        <v>213</v>
      </c>
      <c r="G174" t="s">
        <v>133</v>
      </c>
      <c r="H174" t="s">
        <v>134</v>
      </c>
      <c r="I174" t="s">
        <v>229</v>
      </c>
      <c r="J174" t="s">
        <v>234</v>
      </c>
      <c r="K174" t="s">
        <v>98</v>
      </c>
      <c r="L174">
        <v>1</v>
      </c>
      <c r="M174">
        <v>1</v>
      </c>
      <c r="N174">
        <v>2020</v>
      </c>
      <c r="O174">
        <v>8.7089799004097141</v>
      </c>
      <c r="P174">
        <v>1</v>
      </c>
      <c r="Q174">
        <v>0.2042853412462908</v>
      </c>
      <c r="R174">
        <v>0.2042853412462908</v>
      </c>
      <c r="S174">
        <v>0.22484652818991099</v>
      </c>
      <c r="T174">
        <v>0.24673424332344221</v>
      </c>
      <c r="U174">
        <v>0.2566832047477744</v>
      </c>
      <c r="V174">
        <v>0.26729543026706237</v>
      </c>
      <c r="W174">
        <v>0.27724439169139448</v>
      </c>
      <c r="X174">
        <v>456.29446855877808</v>
      </c>
      <c r="Y174">
        <v>456.29446855877808</v>
      </c>
      <c r="Z174">
        <v>426.06451545862558</v>
      </c>
      <c r="AA174">
        <v>401.88055297850298</v>
      </c>
      <c r="AB174">
        <v>392.63374379492689</v>
      </c>
      <c r="AC174">
        <v>383.38693461135102</v>
      </c>
      <c r="AD174">
        <v>374.14012542777488</v>
      </c>
      <c r="AE174">
        <v>9.6374749541399449</v>
      </c>
      <c r="AF174">
        <v>9.6374749541399449</v>
      </c>
      <c r="AG174">
        <v>9.6374749541399449</v>
      </c>
      <c r="AH174">
        <v>9.6374749541399449</v>
      </c>
      <c r="AI174">
        <v>9.6374749541399449</v>
      </c>
      <c r="AJ174">
        <v>9.6374749541399449</v>
      </c>
      <c r="AK174">
        <v>9.6374749541399449</v>
      </c>
    </row>
    <row r="175" spans="1:37" x14ac:dyDescent="0.25">
      <c r="A175" t="s">
        <v>90</v>
      </c>
      <c r="B175" t="s">
        <v>182</v>
      </c>
      <c r="C175" t="s">
        <v>228</v>
      </c>
      <c r="F175" t="s">
        <v>215</v>
      </c>
      <c r="G175" t="s">
        <v>133</v>
      </c>
      <c r="H175" t="s">
        <v>134</v>
      </c>
      <c r="I175" t="s">
        <v>229</v>
      </c>
      <c r="J175" t="s">
        <v>235</v>
      </c>
      <c r="K175" t="s">
        <v>98</v>
      </c>
      <c r="L175">
        <v>1</v>
      </c>
      <c r="M175">
        <v>1</v>
      </c>
      <c r="N175">
        <v>2020</v>
      </c>
      <c r="O175">
        <v>8.7089799004097141</v>
      </c>
      <c r="P175">
        <v>0.88973384030418268</v>
      </c>
      <c r="Q175">
        <v>0.22352</v>
      </c>
      <c r="R175">
        <v>0.22352</v>
      </c>
      <c r="S175">
        <v>0.24739750741839769</v>
      </c>
      <c r="T175">
        <v>0.26795869436201769</v>
      </c>
      <c r="U175">
        <v>0.27658112759643932</v>
      </c>
      <c r="V175">
        <v>0.28653008902077137</v>
      </c>
      <c r="W175">
        <v>0.29581578635014832</v>
      </c>
      <c r="X175">
        <v>386.58775317489648</v>
      </c>
      <c r="Y175">
        <v>386.58775317489648</v>
      </c>
      <c r="Z175">
        <v>358.84732562416781</v>
      </c>
      <c r="AA175">
        <v>340.70935376407652</v>
      </c>
      <c r="AB175">
        <v>333.59642362286371</v>
      </c>
      <c r="AC175">
        <v>326.12784697459062</v>
      </c>
      <c r="AD175">
        <v>318.6592703263176</v>
      </c>
      <c r="AE175">
        <v>9.6374749541399449</v>
      </c>
      <c r="AF175">
        <v>9.6374749541399449</v>
      </c>
      <c r="AG175">
        <v>9.6374749541399449</v>
      </c>
      <c r="AH175">
        <v>9.6374749541399449</v>
      </c>
      <c r="AI175">
        <v>9.6374749541399449</v>
      </c>
      <c r="AJ175">
        <v>9.6374749541399449</v>
      </c>
      <c r="AK175">
        <v>9.6374749541399449</v>
      </c>
    </row>
    <row r="176" spans="1:37" x14ac:dyDescent="0.25">
      <c r="A176" t="s">
        <v>90</v>
      </c>
      <c r="B176" t="s">
        <v>182</v>
      </c>
      <c r="C176" t="s">
        <v>228</v>
      </c>
      <c r="F176" t="s">
        <v>215</v>
      </c>
      <c r="G176" t="s">
        <v>211</v>
      </c>
      <c r="H176" t="s">
        <v>212</v>
      </c>
      <c r="I176" t="s">
        <v>229</v>
      </c>
      <c r="J176" t="s">
        <v>235</v>
      </c>
      <c r="K176" t="s">
        <v>98</v>
      </c>
      <c r="L176">
        <v>0</v>
      </c>
      <c r="M176">
        <v>1</v>
      </c>
      <c r="N176">
        <v>2020</v>
      </c>
      <c r="O176">
        <v>8.7089799004097141</v>
      </c>
      <c r="P176">
        <v>0.1102661596958173</v>
      </c>
      <c r="Q176">
        <v>0.22352</v>
      </c>
      <c r="R176">
        <v>0.22352</v>
      </c>
      <c r="S176">
        <v>0.24739750741839769</v>
      </c>
      <c r="T176">
        <v>0.26795869436201769</v>
      </c>
      <c r="U176">
        <v>0.27658112759643932</v>
      </c>
      <c r="V176">
        <v>0.28653008902077137</v>
      </c>
      <c r="W176">
        <v>0.29581578635014832</v>
      </c>
      <c r="X176">
        <v>386.58775317489648</v>
      </c>
      <c r="Y176">
        <v>386.58775317489648</v>
      </c>
      <c r="Z176">
        <v>358.84732562416781</v>
      </c>
      <c r="AA176">
        <v>340.70935376407652</v>
      </c>
      <c r="AB176">
        <v>333.59642362286371</v>
      </c>
      <c r="AC176">
        <v>326.12784697459062</v>
      </c>
      <c r="AD176">
        <v>318.6592703263176</v>
      </c>
      <c r="AE176">
        <v>9.6374749541399449</v>
      </c>
      <c r="AF176">
        <v>9.6374749541399449</v>
      </c>
      <c r="AG176">
        <v>9.6374749541399449</v>
      </c>
      <c r="AH176">
        <v>9.6374749541399449</v>
      </c>
      <c r="AI176">
        <v>9.6374749541399449</v>
      </c>
      <c r="AJ176">
        <v>9.6374749541399449</v>
      </c>
      <c r="AK176">
        <v>9.6374749541399449</v>
      </c>
    </row>
    <row r="177" spans="1:37" x14ac:dyDescent="0.25">
      <c r="A177" t="s">
        <v>90</v>
      </c>
      <c r="B177" t="s">
        <v>182</v>
      </c>
      <c r="C177" t="s">
        <v>228</v>
      </c>
      <c r="F177" t="s">
        <v>217</v>
      </c>
      <c r="G177" t="s">
        <v>211</v>
      </c>
      <c r="H177" t="s">
        <v>212</v>
      </c>
      <c r="I177" t="s">
        <v>229</v>
      </c>
      <c r="J177" t="s">
        <v>236</v>
      </c>
      <c r="K177" t="s">
        <v>98</v>
      </c>
      <c r="L177">
        <v>1</v>
      </c>
      <c r="M177">
        <v>1</v>
      </c>
      <c r="N177">
        <v>2020</v>
      </c>
      <c r="O177">
        <v>8.7089799004097141</v>
      </c>
      <c r="P177">
        <v>1</v>
      </c>
      <c r="Q177">
        <v>0.37872379821958457</v>
      </c>
      <c r="R177">
        <v>0.37872379821958457</v>
      </c>
      <c r="S177">
        <v>0.41188700296735897</v>
      </c>
      <c r="T177">
        <v>0.44902979228486628</v>
      </c>
      <c r="U177">
        <v>0.46428486646884271</v>
      </c>
      <c r="V177">
        <v>0.47953994065281891</v>
      </c>
      <c r="W177">
        <v>0.49612154302670608</v>
      </c>
      <c r="X177">
        <v>369.51672083598658</v>
      </c>
      <c r="Y177">
        <v>369.51672083598658</v>
      </c>
      <c r="Z177">
        <v>333.95207012992438</v>
      </c>
      <c r="AA177">
        <v>315.10280525571142</v>
      </c>
      <c r="AB177">
        <v>306.21164257919588</v>
      </c>
      <c r="AC177">
        <v>297.32047990268029</v>
      </c>
      <c r="AD177">
        <v>288.78496373322542</v>
      </c>
      <c r="AE177">
        <v>6.2071872585986148</v>
      </c>
      <c r="AF177">
        <v>6.2071872585986148</v>
      </c>
      <c r="AG177">
        <v>6.2071872585986148</v>
      </c>
      <c r="AH177">
        <v>6.2071872585986148</v>
      </c>
      <c r="AI177">
        <v>6.2071872585986148</v>
      </c>
      <c r="AJ177">
        <v>6.2071872585986148</v>
      </c>
      <c r="AK177">
        <v>6.2071872585986148</v>
      </c>
    </row>
    <row r="178" spans="1:37" x14ac:dyDescent="0.25">
      <c r="A178" t="s">
        <v>90</v>
      </c>
      <c r="B178" t="s">
        <v>182</v>
      </c>
      <c r="C178" t="s">
        <v>237</v>
      </c>
      <c r="F178" t="s">
        <v>202</v>
      </c>
      <c r="G178" t="s">
        <v>119</v>
      </c>
      <c r="H178" t="s">
        <v>120</v>
      </c>
      <c r="I178" t="s">
        <v>238</v>
      </c>
      <c r="J178" t="s">
        <v>239</v>
      </c>
      <c r="K178" t="s">
        <v>98</v>
      </c>
      <c r="L178">
        <v>1</v>
      </c>
      <c r="M178">
        <v>1</v>
      </c>
      <c r="N178">
        <v>2020</v>
      </c>
      <c r="O178">
        <v>10.89196958520898</v>
      </c>
      <c r="P178">
        <v>1</v>
      </c>
      <c r="Q178">
        <v>0.1014794065281899</v>
      </c>
      <c r="R178">
        <v>0.1014794065281899</v>
      </c>
      <c r="S178">
        <v>0.1114283679525223</v>
      </c>
      <c r="T178">
        <v>0.120581412462908</v>
      </c>
      <c r="U178">
        <v>0.12548956676557871</v>
      </c>
      <c r="V178">
        <v>0.13039772106824929</v>
      </c>
      <c r="W178">
        <v>0.1353058753709199</v>
      </c>
      <c r="X178">
        <v>241.12833178710201</v>
      </c>
      <c r="Y178">
        <v>241.12833178710201</v>
      </c>
      <c r="Z178">
        <v>243.26221082946569</v>
      </c>
      <c r="AA178">
        <v>243.97350384358691</v>
      </c>
      <c r="AB178">
        <v>246.1073828859507</v>
      </c>
      <c r="AC178">
        <v>247.52996891419309</v>
      </c>
      <c r="AD178">
        <v>249.66384795655691</v>
      </c>
      <c r="AE178">
        <v>9.9262614810501049</v>
      </c>
      <c r="AF178">
        <v>9.9262614810501049</v>
      </c>
      <c r="AG178">
        <v>9.9262614810501049</v>
      </c>
      <c r="AH178">
        <v>9.9262614810501049</v>
      </c>
      <c r="AI178">
        <v>9.9262614810501049</v>
      </c>
      <c r="AJ178">
        <v>9.9262614810501049</v>
      </c>
      <c r="AK178">
        <v>9.9262614810501049</v>
      </c>
    </row>
    <row r="179" spans="1:37" x14ac:dyDescent="0.25">
      <c r="A179" t="s">
        <v>90</v>
      </c>
      <c r="B179" t="s">
        <v>182</v>
      </c>
      <c r="C179" t="s">
        <v>237</v>
      </c>
      <c r="F179" t="s">
        <v>202</v>
      </c>
      <c r="G179" t="s">
        <v>122</v>
      </c>
      <c r="H179" t="s">
        <v>123</v>
      </c>
      <c r="I179" t="s">
        <v>238</v>
      </c>
      <c r="J179" t="s">
        <v>239</v>
      </c>
      <c r="K179" t="s">
        <v>98</v>
      </c>
      <c r="L179">
        <v>0</v>
      </c>
      <c r="M179">
        <v>1</v>
      </c>
      <c r="N179">
        <v>2020</v>
      </c>
      <c r="O179">
        <v>10.89196958520898</v>
      </c>
      <c r="P179">
        <v>1</v>
      </c>
      <c r="Q179">
        <v>0.1014794065281899</v>
      </c>
      <c r="R179">
        <v>0.1014794065281899</v>
      </c>
      <c r="S179">
        <v>0.1114283679525223</v>
      </c>
      <c r="T179">
        <v>0.120581412462908</v>
      </c>
      <c r="U179">
        <v>0.12548956676557871</v>
      </c>
      <c r="V179">
        <v>0.13039772106824929</v>
      </c>
      <c r="W179">
        <v>0.1353058753709199</v>
      </c>
      <c r="X179">
        <v>241.12833178710201</v>
      </c>
      <c r="Y179">
        <v>241.12833178710201</v>
      </c>
      <c r="Z179">
        <v>243.26221082946569</v>
      </c>
      <c r="AA179">
        <v>243.97350384358691</v>
      </c>
      <c r="AB179">
        <v>246.1073828859507</v>
      </c>
      <c r="AC179">
        <v>247.52996891419309</v>
      </c>
      <c r="AD179">
        <v>249.66384795655691</v>
      </c>
      <c r="AE179">
        <v>9.9262614810501049</v>
      </c>
      <c r="AF179">
        <v>9.9262614810501049</v>
      </c>
      <c r="AG179">
        <v>9.9262614810501049</v>
      </c>
      <c r="AH179">
        <v>9.9262614810501049</v>
      </c>
      <c r="AI179">
        <v>9.9262614810501049</v>
      </c>
      <c r="AJ179">
        <v>9.9262614810501049</v>
      </c>
      <c r="AK179">
        <v>9.9262614810501049</v>
      </c>
    </row>
    <row r="180" spans="1:37" x14ac:dyDescent="0.25">
      <c r="A180" t="s">
        <v>90</v>
      </c>
      <c r="B180" t="s">
        <v>182</v>
      </c>
      <c r="C180" t="s">
        <v>237</v>
      </c>
      <c r="F180" t="s">
        <v>202</v>
      </c>
      <c r="G180" t="s">
        <v>124</v>
      </c>
      <c r="H180" t="s">
        <v>125</v>
      </c>
      <c r="I180" t="s">
        <v>238</v>
      </c>
      <c r="J180" t="s">
        <v>239</v>
      </c>
      <c r="K180" t="s">
        <v>98</v>
      </c>
      <c r="L180">
        <v>0</v>
      </c>
      <c r="M180">
        <v>1</v>
      </c>
      <c r="N180">
        <v>2020</v>
      </c>
      <c r="O180">
        <v>10.89196958520898</v>
      </c>
      <c r="P180">
        <v>0.1</v>
      </c>
      <c r="Q180">
        <v>0.1014794065281899</v>
      </c>
      <c r="R180">
        <v>0.1014794065281899</v>
      </c>
      <c r="S180">
        <v>0.1114283679525223</v>
      </c>
      <c r="T180">
        <v>0.120581412462908</v>
      </c>
      <c r="U180">
        <v>0.12548956676557871</v>
      </c>
      <c r="V180">
        <v>0.13039772106824929</v>
      </c>
      <c r="W180">
        <v>0.1353058753709199</v>
      </c>
      <c r="X180">
        <v>241.12833178710201</v>
      </c>
      <c r="Y180">
        <v>241.12833178710201</v>
      </c>
      <c r="Z180">
        <v>243.26221082946569</v>
      </c>
      <c r="AA180">
        <v>243.97350384358691</v>
      </c>
      <c r="AB180">
        <v>246.1073828859507</v>
      </c>
      <c r="AC180">
        <v>247.52996891419309</v>
      </c>
      <c r="AD180">
        <v>249.66384795655691</v>
      </c>
      <c r="AE180">
        <v>9.9262614810501049</v>
      </c>
      <c r="AF180">
        <v>9.9262614810501049</v>
      </c>
      <c r="AG180">
        <v>9.9262614810501049</v>
      </c>
      <c r="AH180">
        <v>9.9262614810501049</v>
      </c>
      <c r="AI180">
        <v>9.9262614810501049</v>
      </c>
      <c r="AJ180">
        <v>9.9262614810501049</v>
      </c>
      <c r="AK180">
        <v>9.9262614810501049</v>
      </c>
    </row>
    <row r="181" spans="1:37" x14ac:dyDescent="0.25">
      <c r="A181" t="s">
        <v>90</v>
      </c>
      <c r="B181" t="s">
        <v>182</v>
      </c>
      <c r="C181" t="s">
        <v>237</v>
      </c>
      <c r="F181" t="s">
        <v>205</v>
      </c>
      <c r="G181" t="s">
        <v>119</v>
      </c>
      <c r="H181" t="s">
        <v>120</v>
      </c>
      <c r="I181" t="s">
        <v>238</v>
      </c>
      <c r="J181" t="s">
        <v>240</v>
      </c>
      <c r="K181" t="s">
        <v>98</v>
      </c>
      <c r="L181">
        <v>1</v>
      </c>
      <c r="M181">
        <v>1</v>
      </c>
      <c r="N181">
        <v>2020</v>
      </c>
      <c r="O181">
        <v>10.89196958520898</v>
      </c>
      <c r="P181">
        <v>1</v>
      </c>
      <c r="Q181">
        <v>0.1028059347181009</v>
      </c>
      <c r="R181">
        <v>0.1028059347181009</v>
      </c>
      <c r="S181">
        <v>0.1111630623145401</v>
      </c>
      <c r="T181">
        <v>0.12177528783382791</v>
      </c>
      <c r="U181">
        <v>0.12668344213649849</v>
      </c>
      <c r="V181">
        <v>0.1315915964391691</v>
      </c>
      <c r="W181">
        <v>0.1366324035608309</v>
      </c>
      <c r="X181">
        <v>253.22031302716309</v>
      </c>
      <c r="Y181">
        <v>253.22031302716309</v>
      </c>
      <c r="Z181">
        <v>255.35419206952679</v>
      </c>
      <c r="AA181">
        <v>256.06548508364801</v>
      </c>
      <c r="AB181">
        <v>257.48807111189058</v>
      </c>
      <c r="AC181">
        <v>259.62195015425431</v>
      </c>
      <c r="AD181">
        <v>261.75582919661798</v>
      </c>
      <c r="AE181">
        <v>9.9262614810501049</v>
      </c>
      <c r="AF181">
        <v>9.9262614810501049</v>
      </c>
      <c r="AG181">
        <v>9.9262614810501049</v>
      </c>
      <c r="AH181">
        <v>9.9262614810501049</v>
      </c>
      <c r="AI181">
        <v>9.9262614810501049</v>
      </c>
      <c r="AJ181">
        <v>9.9262614810501049</v>
      </c>
      <c r="AK181">
        <v>9.9262614810501049</v>
      </c>
    </row>
    <row r="182" spans="1:37" x14ac:dyDescent="0.25">
      <c r="A182" t="s">
        <v>90</v>
      </c>
      <c r="B182" t="s">
        <v>182</v>
      </c>
      <c r="C182" t="s">
        <v>237</v>
      </c>
      <c r="F182" t="s">
        <v>205</v>
      </c>
      <c r="G182" t="s">
        <v>122</v>
      </c>
      <c r="H182" t="s">
        <v>123</v>
      </c>
      <c r="I182" t="s">
        <v>238</v>
      </c>
      <c r="J182" t="s">
        <v>240</v>
      </c>
      <c r="K182" t="s">
        <v>98</v>
      </c>
      <c r="L182">
        <v>0</v>
      </c>
      <c r="M182">
        <v>1</v>
      </c>
      <c r="N182">
        <v>2020</v>
      </c>
      <c r="O182">
        <v>10.89196958520898</v>
      </c>
      <c r="P182">
        <v>1</v>
      </c>
      <c r="Q182">
        <v>0.1028059347181009</v>
      </c>
      <c r="R182">
        <v>0.1028059347181009</v>
      </c>
      <c r="S182">
        <v>0.1111630623145401</v>
      </c>
      <c r="T182">
        <v>0.12177528783382791</v>
      </c>
      <c r="U182">
        <v>0.12668344213649849</v>
      </c>
      <c r="V182">
        <v>0.1315915964391691</v>
      </c>
      <c r="W182">
        <v>0.1366324035608309</v>
      </c>
      <c r="X182">
        <v>253.22031302716309</v>
      </c>
      <c r="Y182">
        <v>253.22031302716309</v>
      </c>
      <c r="Z182">
        <v>255.35419206952679</v>
      </c>
      <c r="AA182">
        <v>256.06548508364801</v>
      </c>
      <c r="AB182">
        <v>257.48807111189058</v>
      </c>
      <c r="AC182">
        <v>259.62195015425431</v>
      </c>
      <c r="AD182">
        <v>261.75582919661798</v>
      </c>
      <c r="AE182">
        <v>9.9262614810501049</v>
      </c>
      <c r="AF182">
        <v>9.9262614810501049</v>
      </c>
      <c r="AG182">
        <v>9.9262614810501049</v>
      </c>
      <c r="AH182">
        <v>9.9262614810501049</v>
      </c>
      <c r="AI182">
        <v>9.9262614810501049</v>
      </c>
      <c r="AJ182">
        <v>9.9262614810501049</v>
      </c>
      <c r="AK182">
        <v>9.9262614810501049</v>
      </c>
    </row>
    <row r="183" spans="1:37" x14ac:dyDescent="0.25">
      <c r="A183" t="s">
        <v>90</v>
      </c>
      <c r="B183" t="s">
        <v>182</v>
      </c>
      <c r="C183" t="s">
        <v>237</v>
      </c>
      <c r="F183" t="s">
        <v>205</v>
      </c>
      <c r="G183" t="s">
        <v>124</v>
      </c>
      <c r="H183" t="s">
        <v>125</v>
      </c>
      <c r="I183" t="s">
        <v>238</v>
      </c>
      <c r="J183" t="s">
        <v>240</v>
      </c>
      <c r="K183" t="s">
        <v>98</v>
      </c>
      <c r="L183">
        <v>0</v>
      </c>
      <c r="M183">
        <v>1</v>
      </c>
      <c r="N183">
        <v>2020</v>
      </c>
      <c r="O183">
        <v>10.89196958520898</v>
      </c>
      <c r="P183">
        <v>0.1</v>
      </c>
      <c r="Q183">
        <v>0.1028059347181009</v>
      </c>
      <c r="R183">
        <v>0.1028059347181009</v>
      </c>
      <c r="S183">
        <v>0.1111630623145401</v>
      </c>
      <c r="T183">
        <v>0.12177528783382791</v>
      </c>
      <c r="U183">
        <v>0.12668344213649849</v>
      </c>
      <c r="V183">
        <v>0.1315915964391691</v>
      </c>
      <c r="W183">
        <v>0.1366324035608309</v>
      </c>
      <c r="X183">
        <v>253.22031302716309</v>
      </c>
      <c r="Y183">
        <v>253.22031302716309</v>
      </c>
      <c r="Z183">
        <v>255.35419206952679</v>
      </c>
      <c r="AA183">
        <v>256.06548508364801</v>
      </c>
      <c r="AB183">
        <v>257.48807111189058</v>
      </c>
      <c r="AC183">
        <v>259.62195015425431</v>
      </c>
      <c r="AD183">
        <v>261.75582919661798</v>
      </c>
      <c r="AE183">
        <v>9.9262614810501049</v>
      </c>
      <c r="AF183">
        <v>9.9262614810501049</v>
      </c>
      <c r="AG183">
        <v>9.9262614810501049</v>
      </c>
      <c r="AH183">
        <v>9.9262614810501049</v>
      </c>
      <c r="AI183">
        <v>9.9262614810501049</v>
      </c>
      <c r="AJ183">
        <v>9.9262614810501049</v>
      </c>
      <c r="AK183">
        <v>9.9262614810501049</v>
      </c>
    </row>
    <row r="184" spans="1:37" x14ac:dyDescent="0.25">
      <c r="A184" t="s">
        <v>90</v>
      </c>
      <c r="B184" t="s">
        <v>182</v>
      </c>
      <c r="C184" t="s">
        <v>237</v>
      </c>
      <c r="F184" t="s">
        <v>207</v>
      </c>
      <c r="G184" t="s">
        <v>119</v>
      </c>
      <c r="H184" t="s">
        <v>120</v>
      </c>
      <c r="I184" t="s">
        <v>238</v>
      </c>
      <c r="J184" t="s">
        <v>241</v>
      </c>
      <c r="K184" t="s">
        <v>98</v>
      </c>
      <c r="L184">
        <v>1</v>
      </c>
      <c r="M184">
        <v>1</v>
      </c>
      <c r="N184">
        <v>2020</v>
      </c>
      <c r="O184">
        <v>10.89196958520898</v>
      </c>
      <c r="P184">
        <v>1</v>
      </c>
      <c r="Q184">
        <v>0.10293858753709199</v>
      </c>
      <c r="R184">
        <v>0.10293858753709199</v>
      </c>
      <c r="S184">
        <v>0.1142140771513353</v>
      </c>
      <c r="T184">
        <v>0.1241630385756677</v>
      </c>
      <c r="U184">
        <v>0.12986710979228491</v>
      </c>
      <c r="V184">
        <v>0.1353058753709199</v>
      </c>
      <c r="W184">
        <v>0.1406119881305638</v>
      </c>
      <c r="X184">
        <v>259.62195015425431</v>
      </c>
      <c r="Y184">
        <v>259.62195015425431</v>
      </c>
      <c r="Z184">
        <v>260.33324316837559</v>
      </c>
      <c r="AA184">
        <v>260.33324316837559</v>
      </c>
      <c r="AB184">
        <v>261.75582919661798</v>
      </c>
      <c r="AC184">
        <v>263.88970823898183</v>
      </c>
      <c r="AD184">
        <v>266.02358728134561</v>
      </c>
      <c r="AE184">
        <v>9.9262614810501049</v>
      </c>
      <c r="AF184">
        <v>9.9262614810501049</v>
      </c>
      <c r="AG184">
        <v>9.9262614810501049</v>
      </c>
      <c r="AH184">
        <v>9.9262614810501049</v>
      </c>
      <c r="AI184">
        <v>9.9262614810501049</v>
      </c>
      <c r="AJ184">
        <v>9.9262614810501049</v>
      </c>
      <c r="AK184">
        <v>9.9262614810501049</v>
      </c>
    </row>
    <row r="185" spans="1:37" x14ac:dyDescent="0.25">
      <c r="A185" t="s">
        <v>90</v>
      </c>
      <c r="B185" t="s">
        <v>182</v>
      </c>
      <c r="C185" t="s">
        <v>237</v>
      </c>
      <c r="F185" t="s">
        <v>207</v>
      </c>
      <c r="G185" t="s">
        <v>122</v>
      </c>
      <c r="H185" t="s">
        <v>123</v>
      </c>
      <c r="I185" t="s">
        <v>238</v>
      </c>
      <c r="J185" t="s">
        <v>241</v>
      </c>
      <c r="K185" t="s">
        <v>98</v>
      </c>
      <c r="L185">
        <v>0</v>
      </c>
      <c r="M185">
        <v>1</v>
      </c>
      <c r="N185">
        <v>2020</v>
      </c>
      <c r="O185">
        <v>10.89196958520898</v>
      </c>
      <c r="P185">
        <v>1</v>
      </c>
      <c r="Q185">
        <v>0.10293858753709199</v>
      </c>
      <c r="R185">
        <v>0.10293858753709199</v>
      </c>
      <c r="S185">
        <v>0.1142140771513353</v>
      </c>
      <c r="T185">
        <v>0.1241630385756677</v>
      </c>
      <c r="U185">
        <v>0.12986710979228491</v>
      </c>
      <c r="V185">
        <v>0.1353058753709199</v>
      </c>
      <c r="W185">
        <v>0.1406119881305638</v>
      </c>
      <c r="X185">
        <v>259.62195015425431</v>
      </c>
      <c r="Y185">
        <v>259.62195015425431</v>
      </c>
      <c r="Z185">
        <v>260.33324316837559</v>
      </c>
      <c r="AA185">
        <v>260.33324316837559</v>
      </c>
      <c r="AB185">
        <v>261.75582919661798</v>
      </c>
      <c r="AC185">
        <v>263.88970823898183</v>
      </c>
      <c r="AD185">
        <v>266.02358728134561</v>
      </c>
      <c r="AE185">
        <v>9.9262614810501049</v>
      </c>
      <c r="AF185">
        <v>9.9262614810501049</v>
      </c>
      <c r="AG185">
        <v>9.9262614810501049</v>
      </c>
      <c r="AH185">
        <v>9.9262614810501049</v>
      </c>
      <c r="AI185">
        <v>9.9262614810501049</v>
      </c>
      <c r="AJ185">
        <v>9.9262614810501049</v>
      </c>
      <c r="AK185">
        <v>9.9262614810501049</v>
      </c>
    </row>
    <row r="186" spans="1:37" x14ac:dyDescent="0.25">
      <c r="A186" t="s">
        <v>90</v>
      </c>
      <c r="B186" t="s">
        <v>182</v>
      </c>
      <c r="C186" t="s">
        <v>237</v>
      </c>
      <c r="F186" t="s">
        <v>207</v>
      </c>
      <c r="G186" t="s">
        <v>124</v>
      </c>
      <c r="H186" t="s">
        <v>125</v>
      </c>
      <c r="I186" t="s">
        <v>238</v>
      </c>
      <c r="J186" t="s">
        <v>241</v>
      </c>
      <c r="K186" t="s">
        <v>98</v>
      </c>
      <c r="L186">
        <v>0</v>
      </c>
      <c r="M186">
        <v>1</v>
      </c>
      <c r="N186">
        <v>2020</v>
      </c>
      <c r="O186">
        <v>10.89196958520898</v>
      </c>
      <c r="P186">
        <v>0.1</v>
      </c>
      <c r="Q186">
        <v>0.10293858753709199</v>
      </c>
      <c r="R186">
        <v>0.10293858753709199</v>
      </c>
      <c r="S186">
        <v>0.1142140771513353</v>
      </c>
      <c r="T186">
        <v>0.1241630385756677</v>
      </c>
      <c r="U186">
        <v>0.12986710979228491</v>
      </c>
      <c r="V186">
        <v>0.1353058753709199</v>
      </c>
      <c r="W186">
        <v>0.1406119881305638</v>
      </c>
      <c r="X186">
        <v>259.62195015425431</v>
      </c>
      <c r="Y186">
        <v>259.62195015425431</v>
      </c>
      <c r="Z186">
        <v>260.33324316837559</v>
      </c>
      <c r="AA186">
        <v>260.33324316837559</v>
      </c>
      <c r="AB186">
        <v>261.75582919661798</v>
      </c>
      <c r="AC186">
        <v>263.88970823898183</v>
      </c>
      <c r="AD186">
        <v>266.02358728134561</v>
      </c>
      <c r="AE186">
        <v>9.9262614810501049</v>
      </c>
      <c r="AF186">
        <v>9.9262614810501049</v>
      </c>
      <c r="AG186">
        <v>9.9262614810501049</v>
      </c>
      <c r="AH186">
        <v>9.9262614810501049</v>
      </c>
      <c r="AI186">
        <v>9.9262614810501049</v>
      </c>
      <c r="AJ186">
        <v>9.9262614810501049</v>
      </c>
      <c r="AK186">
        <v>9.9262614810501049</v>
      </c>
    </row>
    <row r="187" spans="1:37" x14ac:dyDescent="0.25">
      <c r="A187" t="s">
        <v>90</v>
      </c>
      <c r="B187" t="s">
        <v>182</v>
      </c>
      <c r="C187" t="s">
        <v>237</v>
      </c>
      <c r="F187" t="s">
        <v>209</v>
      </c>
      <c r="G187" t="s">
        <v>119</v>
      </c>
      <c r="H187" t="s">
        <v>120</v>
      </c>
      <c r="I187" t="s">
        <v>238</v>
      </c>
      <c r="J187" t="s">
        <v>242</v>
      </c>
      <c r="K187" t="s">
        <v>98</v>
      </c>
      <c r="L187">
        <v>1</v>
      </c>
      <c r="M187">
        <v>1</v>
      </c>
      <c r="N187">
        <v>2020</v>
      </c>
      <c r="O187">
        <v>10.89196958520898</v>
      </c>
      <c r="P187">
        <v>0.34675615212528432</v>
      </c>
      <c r="Q187">
        <v>0.18040783382789249</v>
      </c>
      <c r="R187">
        <v>0.18040783382789249</v>
      </c>
      <c r="S187">
        <v>0.20163228486646839</v>
      </c>
      <c r="T187">
        <v>0.22285673590504509</v>
      </c>
      <c r="U187">
        <v>0.23214243323442141</v>
      </c>
      <c r="V187">
        <v>0.2414281305637975</v>
      </c>
      <c r="W187">
        <v>0.25204035608308611</v>
      </c>
      <c r="X187">
        <v>374.14012542777448</v>
      </c>
      <c r="Y187">
        <v>374.14012542777448</v>
      </c>
      <c r="Z187">
        <v>325.06090745340788</v>
      </c>
      <c r="AA187">
        <v>300.16565195916411</v>
      </c>
      <c r="AB187">
        <v>290.91884277558938</v>
      </c>
      <c r="AC187">
        <v>280.96074057789201</v>
      </c>
      <c r="AD187">
        <v>271.71393139431541</v>
      </c>
      <c r="AE187">
        <v>9.9262614810501226</v>
      </c>
      <c r="AF187">
        <v>9.9262614810501226</v>
      </c>
      <c r="AG187">
        <v>9.9262614810501226</v>
      </c>
      <c r="AH187">
        <v>9.9262614810501226</v>
      </c>
      <c r="AI187">
        <v>9.9262614810501226</v>
      </c>
      <c r="AJ187">
        <v>9.9262614810501226</v>
      </c>
      <c r="AK187">
        <v>9.9262614810501226</v>
      </c>
    </row>
    <row r="188" spans="1:37" x14ac:dyDescent="0.25">
      <c r="A188" t="s">
        <v>90</v>
      </c>
      <c r="B188" t="s">
        <v>182</v>
      </c>
      <c r="C188" t="s">
        <v>237</v>
      </c>
      <c r="F188" t="s">
        <v>209</v>
      </c>
      <c r="G188" t="s">
        <v>122</v>
      </c>
      <c r="H188" t="s">
        <v>123</v>
      </c>
      <c r="I188" t="s">
        <v>238</v>
      </c>
      <c r="J188" t="s">
        <v>242</v>
      </c>
      <c r="K188" t="s">
        <v>98</v>
      </c>
      <c r="L188">
        <v>0</v>
      </c>
      <c r="M188">
        <v>1</v>
      </c>
      <c r="N188">
        <v>2020</v>
      </c>
      <c r="O188">
        <v>10.89196958520898</v>
      </c>
      <c r="P188">
        <v>0.34675615212528432</v>
      </c>
      <c r="Q188">
        <v>0.18040783382789249</v>
      </c>
      <c r="R188">
        <v>0.18040783382789249</v>
      </c>
      <c r="S188">
        <v>0.20163228486646839</v>
      </c>
      <c r="T188">
        <v>0.22285673590504509</v>
      </c>
      <c r="U188">
        <v>0.23214243323442141</v>
      </c>
      <c r="V188">
        <v>0.2414281305637975</v>
      </c>
      <c r="W188">
        <v>0.25204035608308611</v>
      </c>
      <c r="X188">
        <v>374.14012542777448</v>
      </c>
      <c r="Y188">
        <v>374.14012542777448</v>
      </c>
      <c r="Z188">
        <v>325.06090745340788</v>
      </c>
      <c r="AA188">
        <v>300.16565195916411</v>
      </c>
      <c r="AB188">
        <v>290.91884277558938</v>
      </c>
      <c r="AC188">
        <v>280.96074057789201</v>
      </c>
      <c r="AD188">
        <v>271.71393139431541</v>
      </c>
      <c r="AE188">
        <v>9.9262614810501226</v>
      </c>
      <c r="AF188">
        <v>9.9262614810501226</v>
      </c>
      <c r="AG188">
        <v>9.9262614810501226</v>
      </c>
      <c r="AH188">
        <v>9.9262614810501226</v>
      </c>
      <c r="AI188">
        <v>9.9262614810501226</v>
      </c>
      <c r="AJ188">
        <v>9.9262614810501226</v>
      </c>
      <c r="AK188">
        <v>9.9262614810501226</v>
      </c>
    </row>
    <row r="189" spans="1:37" x14ac:dyDescent="0.25">
      <c r="A189" t="s">
        <v>90</v>
      </c>
      <c r="B189" t="s">
        <v>182</v>
      </c>
      <c r="C189" t="s">
        <v>237</v>
      </c>
      <c r="F189" t="s">
        <v>209</v>
      </c>
      <c r="G189" t="s">
        <v>124</v>
      </c>
      <c r="H189" t="s">
        <v>125</v>
      </c>
      <c r="I189" t="s">
        <v>238</v>
      </c>
      <c r="J189" t="s">
        <v>242</v>
      </c>
      <c r="K189" t="s">
        <v>98</v>
      </c>
      <c r="L189">
        <v>0</v>
      </c>
      <c r="M189">
        <v>1</v>
      </c>
      <c r="N189">
        <v>2020</v>
      </c>
      <c r="O189">
        <v>10.89196958520898</v>
      </c>
      <c r="P189">
        <v>0.1</v>
      </c>
      <c r="Q189">
        <v>0.18040783382789249</v>
      </c>
      <c r="R189">
        <v>0.18040783382789249</v>
      </c>
      <c r="S189">
        <v>0.20163228486646839</v>
      </c>
      <c r="T189">
        <v>0.22285673590504509</v>
      </c>
      <c r="U189">
        <v>0.23214243323442141</v>
      </c>
      <c r="V189">
        <v>0.2414281305637975</v>
      </c>
      <c r="W189">
        <v>0.25204035608308611</v>
      </c>
      <c r="X189">
        <v>374.14012542777448</v>
      </c>
      <c r="Y189">
        <v>374.14012542777448</v>
      </c>
      <c r="Z189">
        <v>325.06090745340788</v>
      </c>
      <c r="AA189">
        <v>300.16565195916411</v>
      </c>
      <c r="AB189">
        <v>290.91884277558938</v>
      </c>
      <c r="AC189">
        <v>280.96074057789201</v>
      </c>
      <c r="AD189">
        <v>271.71393139431541</v>
      </c>
      <c r="AE189">
        <v>9.9262614810501226</v>
      </c>
      <c r="AF189">
        <v>9.9262614810501226</v>
      </c>
      <c r="AG189">
        <v>9.9262614810501226</v>
      </c>
      <c r="AH189">
        <v>9.9262614810501226</v>
      </c>
      <c r="AI189">
        <v>9.9262614810501226</v>
      </c>
      <c r="AJ189">
        <v>9.9262614810501226</v>
      </c>
      <c r="AK189">
        <v>9.9262614810501226</v>
      </c>
    </row>
    <row r="190" spans="1:37" x14ac:dyDescent="0.25">
      <c r="A190" t="s">
        <v>90</v>
      </c>
      <c r="B190" t="s">
        <v>182</v>
      </c>
      <c r="C190" t="s">
        <v>237</v>
      </c>
      <c r="F190" t="s">
        <v>209</v>
      </c>
      <c r="G190" t="s">
        <v>211</v>
      </c>
      <c r="H190" t="s">
        <v>212</v>
      </c>
      <c r="I190" t="s">
        <v>238</v>
      </c>
      <c r="J190" t="s">
        <v>242</v>
      </c>
      <c r="K190" t="s">
        <v>98</v>
      </c>
      <c r="L190">
        <v>0</v>
      </c>
      <c r="M190">
        <v>1</v>
      </c>
      <c r="N190">
        <v>2020</v>
      </c>
      <c r="O190">
        <v>10.89196958520898</v>
      </c>
      <c r="P190">
        <v>0.65324384787471568</v>
      </c>
      <c r="Q190">
        <v>0.18040783382789249</v>
      </c>
      <c r="R190">
        <v>0.18040783382789249</v>
      </c>
      <c r="S190">
        <v>0.20163228486646839</v>
      </c>
      <c r="T190">
        <v>0.22285673590504509</v>
      </c>
      <c r="U190">
        <v>0.23214243323442141</v>
      </c>
      <c r="V190">
        <v>0.2414281305637975</v>
      </c>
      <c r="W190">
        <v>0.25204035608308611</v>
      </c>
      <c r="X190">
        <v>374.14012542777448</v>
      </c>
      <c r="Y190">
        <v>374.14012542777448</v>
      </c>
      <c r="Z190">
        <v>325.06090745340788</v>
      </c>
      <c r="AA190">
        <v>300.16565195916411</v>
      </c>
      <c r="AB190">
        <v>290.91884277558938</v>
      </c>
      <c r="AC190">
        <v>280.96074057789201</v>
      </c>
      <c r="AD190">
        <v>271.71393139431541</v>
      </c>
      <c r="AE190">
        <v>9.9262614810501226</v>
      </c>
      <c r="AF190">
        <v>9.9262614810501226</v>
      </c>
      <c r="AG190">
        <v>9.9262614810501226</v>
      </c>
      <c r="AH190">
        <v>9.9262614810501226</v>
      </c>
      <c r="AI190">
        <v>9.9262614810501226</v>
      </c>
      <c r="AJ190">
        <v>9.9262614810501226</v>
      </c>
      <c r="AK190">
        <v>9.9262614810501226</v>
      </c>
    </row>
    <row r="191" spans="1:37" x14ac:dyDescent="0.25">
      <c r="A191" t="s">
        <v>90</v>
      </c>
      <c r="B191" t="s">
        <v>182</v>
      </c>
      <c r="C191" t="s">
        <v>237</v>
      </c>
      <c r="F191" t="s">
        <v>213</v>
      </c>
      <c r="G191" t="s">
        <v>133</v>
      </c>
      <c r="H191" t="s">
        <v>134</v>
      </c>
      <c r="I191" t="s">
        <v>238</v>
      </c>
      <c r="J191" t="s">
        <v>243</v>
      </c>
      <c r="K191" t="s">
        <v>98</v>
      </c>
      <c r="L191">
        <v>1</v>
      </c>
      <c r="M191">
        <v>1</v>
      </c>
      <c r="N191">
        <v>2020</v>
      </c>
      <c r="O191">
        <v>10.89196958520898</v>
      </c>
      <c r="P191">
        <v>1</v>
      </c>
      <c r="Q191">
        <v>0.1150099940652819</v>
      </c>
      <c r="R191">
        <v>0.1150099940652819</v>
      </c>
      <c r="S191">
        <v>0.12933649851632051</v>
      </c>
      <c r="T191">
        <v>0.14326504451038591</v>
      </c>
      <c r="U191">
        <v>0.15122421364985161</v>
      </c>
      <c r="V191">
        <v>0.15918338278931751</v>
      </c>
      <c r="W191">
        <v>0.16714255192878349</v>
      </c>
      <c r="X191">
        <v>409.70477613383707</v>
      </c>
      <c r="Y191">
        <v>409.70477613383707</v>
      </c>
      <c r="Z191">
        <v>364.89331624419862</v>
      </c>
      <c r="AA191">
        <v>340.70935376407601</v>
      </c>
      <c r="AB191">
        <v>331.46254458049981</v>
      </c>
      <c r="AC191">
        <v>322.21573539692372</v>
      </c>
      <c r="AD191">
        <v>313.68021922746908</v>
      </c>
      <c r="AE191">
        <v>9.9915658328991128</v>
      </c>
      <c r="AF191">
        <v>9.9915658328991128</v>
      </c>
      <c r="AG191">
        <v>9.9915658328991128</v>
      </c>
      <c r="AH191">
        <v>9.9915658328991128</v>
      </c>
      <c r="AI191">
        <v>9.9915658328991128</v>
      </c>
      <c r="AJ191">
        <v>9.9915658328991128</v>
      </c>
      <c r="AK191">
        <v>9.9915658328991128</v>
      </c>
    </row>
    <row r="192" spans="1:37" x14ac:dyDescent="0.25">
      <c r="A192" t="s">
        <v>90</v>
      </c>
      <c r="B192" t="s">
        <v>182</v>
      </c>
      <c r="C192" t="s">
        <v>237</v>
      </c>
      <c r="F192" t="s">
        <v>215</v>
      </c>
      <c r="G192" t="s">
        <v>133</v>
      </c>
      <c r="H192" t="s">
        <v>134</v>
      </c>
      <c r="I192" t="s">
        <v>238</v>
      </c>
      <c r="J192" t="s">
        <v>244</v>
      </c>
      <c r="K192" t="s">
        <v>98</v>
      </c>
      <c r="L192">
        <v>1</v>
      </c>
      <c r="M192">
        <v>1</v>
      </c>
      <c r="N192">
        <v>2020</v>
      </c>
      <c r="O192">
        <v>10.89196958520898</v>
      </c>
      <c r="P192">
        <v>0.92029887920298814</v>
      </c>
      <c r="Q192">
        <v>0.1234997744807122</v>
      </c>
      <c r="R192">
        <v>0.1234997744807122</v>
      </c>
      <c r="S192">
        <v>0.13928545994065281</v>
      </c>
      <c r="T192">
        <v>0.15918338278931751</v>
      </c>
      <c r="U192">
        <v>0.16979560830860541</v>
      </c>
      <c r="V192">
        <v>0.17908130563798219</v>
      </c>
      <c r="W192">
        <v>0.18969353115727011</v>
      </c>
      <c r="X192">
        <v>322.92702841104523</v>
      </c>
      <c r="Y192">
        <v>322.92702841104523</v>
      </c>
      <c r="Z192">
        <v>289.49625674734659</v>
      </c>
      <c r="AA192">
        <v>270.29134536607307</v>
      </c>
      <c r="AB192">
        <v>262.46712221073909</v>
      </c>
      <c r="AC192">
        <v>255.35419206952679</v>
      </c>
      <c r="AD192">
        <v>248.24126192831449</v>
      </c>
      <c r="AE192">
        <v>9.9915658328991128</v>
      </c>
      <c r="AF192">
        <v>9.9915658328991128</v>
      </c>
      <c r="AG192">
        <v>9.9915658328991128</v>
      </c>
      <c r="AH192">
        <v>9.9915658328991128</v>
      </c>
      <c r="AI192">
        <v>9.9915658328991128</v>
      </c>
      <c r="AJ192">
        <v>9.9915658328991128</v>
      </c>
      <c r="AK192">
        <v>9.9915658328991128</v>
      </c>
    </row>
    <row r="193" spans="1:37" x14ac:dyDescent="0.25">
      <c r="A193" t="s">
        <v>90</v>
      </c>
      <c r="B193" t="s">
        <v>182</v>
      </c>
      <c r="C193" t="s">
        <v>237</v>
      </c>
      <c r="F193" t="s">
        <v>215</v>
      </c>
      <c r="G193" t="s">
        <v>211</v>
      </c>
      <c r="H193" t="s">
        <v>212</v>
      </c>
      <c r="I193" t="s">
        <v>238</v>
      </c>
      <c r="J193" t="s">
        <v>244</v>
      </c>
      <c r="K193" t="s">
        <v>98</v>
      </c>
      <c r="L193">
        <v>0</v>
      </c>
      <c r="M193">
        <v>1</v>
      </c>
      <c r="N193">
        <v>2020</v>
      </c>
      <c r="O193">
        <v>10.89196958520898</v>
      </c>
      <c r="P193">
        <v>7.9701120797011846E-2</v>
      </c>
      <c r="Q193">
        <v>0.1234997744807122</v>
      </c>
      <c r="R193">
        <v>0.1234997744807122</v>
      </c>
      <c r="S193">
        <v>0.13928545994065281</v>
      </c>
      <c r="T193">
        <v>0.15918338278931751</v>
      </c>
      <c r="U193">
        <v>0.16979560830860541</v>
      </c>
      <c r="V193">
        <v>0.17908130563798219</v>
      </c>
      <c r="W193">
        <v>0.18969353115727011</v>
      </c>
      <c r="X193">
        <v>322.92702841104523</v>
      </c>
      <c r="Y193">
        <v>322.92702841104523</v>
      </c>
      <c r="Z193">
        <v>289.49625674734659</v>
      </c>
      <c r="AA193">
        <v>270.29134536607307</v>
      </c>
      <c r="AB193">
        <v>262.46712221073909</v>
      </c>
      <c r="AC193">
        <v>255.35419206952679</v>
      </c>
      <c r="AD193">
        <v>248.24126192831449</v>
      </c>
      <c r="AE193">
        <v>9.9915658328991128</v>
      </c>
      <c r="AF193">
        <v>9.9915658328991128</v>
      </c>
      <c r="AG193">
        <v>9.9915658328991128</v>
      </c>
      <c r="AH193">
        <v>9.9915658328991128</v>
      </c>
      <c r="AI193">
        <v>9.9915658328991128</v>
      </c>
      <c r="AJ193">
        <v>9.9915658328991128</v>
      </c>
      <c r="AK193">
        <v>9.9915658328991128</v>
      </c>
    </row>
    <row r="194" spans="1:37" x14ac:dyDescent="0.25">
      <c r="A194" t="s">
        <v>90</v>
      </c>
      <c r="B194" t="s">
        <v>182</v>
      </c>
      <c r="C194" t="s">
        <v>237</v>
      </c>
      <c r="F194" t="s">
        <v>217</v>
      </c>
      <c r="G194" t="s">
        <v>211</v>
      </c>
      <c r="H194" t="s">
        <v>212</v>
      </c>
      <c r="I194" t="s">
        <v>238</v>
      </c>
      <c r="J194" t="s">
        <v>245</v>
      </c>
      <c r="K194" t="s">
        <v>98</v>
      </c>
      <c r="L194">
        <v>1</v>
      </c>
      <c r="M194">
        <v>1</v>
      </c>
      <c r="N194">
        <v>2020</v>
      </c>
      <c r="O194">
        <v>10.89196958520898</v>
      </c>
      <c r="P194">
        <v>1</v>
      </c>
      <c r="Q194">
        <v>0.2215302077151334</v>
      </c>
      <c r="R194">
        <v>0.2215302077151334</v>
      </c>
      <c r="S194">
        <v>0.24673424332344221</v>
      </c>
      <c r="T194">
        <v>0.27193827893175071</v>
      </c>
      <c r="U194">
        <v>0.2812239762611275</v>
      </c>
      <c r="V194">
        <v>0.29316272997032661</v>
      </c>
      <c r="W194">
        <v>0.30510148367952522</v>
      </c>
      <c r="X194">
        <v>477.277612475355</v>
      </c>
      <c r="Y194">
        <v>477.277612475355</v>
      </c>
      <c r="Z194">
        <v>392.63374379492677</v>
      </c>
      <c r="AA194">
        <v>348.53357691941</v>
      </c>
      <c r="AB194">
        <v>330.0399585522577</v>
      </c>
      <c r="AC194">
        <v>310.83504717098378</v>
      </c>
      <c r="AD194">
        <v>292.34142880383138</v>
      </c>
      <c r="AE194">
        <v>6.3998264812033572</v>
      </c>
      <c r="AF194">
        <v>6.3998264812033572</v>
      </c>
      <c r="AG194">
        <v>6.3998264812033572</v>
      </c>
      <c r="AH194">
        <v>6.3998264812033572</v>
      </c>
      <c r="AI194">
        <v>6.3998264812033572</v>
      </c>
      <c r="AJ194">
        <v>6.3998264812033572</v>
      </c>
      <c r="AK194">
        <v>6.3998264812033572</v>
      </c>
    </row>
    <row r="195" spans="1:37" x14ac:dyDescent="0.25">
      <c r="A195" t="s">
        <v>90</v>
      </c>
      <c r="B195" t="s">
        <v>182</v>
      </c>
      <c r="C195" t="s">
        <v>246</v>
      </c>
      <c r="F195" t="s">
        <v>202</v>
      </c>
      <c r="G195" t="s">
        <v>119</v>
      </c>
      <c r="H195" t="s">
        <v>120</v>
      </c>
      <c r="I195" t="s">
        <v>247</v>
      </c>
      <c r="J195" t="s">
        <v>248</v>
      </c>
      <c r="K195" t="s">
        <v>98</v>
      </c>
      <c r="L195">
        <v>1</v>
      </c>
      <c r="M195">
        <v>1</v>
      </c>
      <c r="N195">
        <v>2020</v>
      </c>
      <c r="O195">
        <v>21.783939170417959</v>
      </c>
      <c r="P195">
        <v>1</v>
      </c>
      <c r="Q195">
        <v>0.1014794065281899</v>
      </c>
      <c r="R195">
        <v>0.1014794065281899</v>
      </c>
      <c r="S195">
        <v>0.1114283679525223</v>
      </c>
      <c r="T195">
        <v>0.120581412462908</v>
      </c>
      <c r="U195">
        <v>0.12548956676557871</v>
      </c>
      <c r="V195">
        <v>0.13039772106824929</v>
      </c>
      <c r="W195">
        <v>0.1353058753709199</v>
      </c>
      <c r="X195">
        <v>241.12833178710201</v>
      </c>
      <c r="Y195">
        <v>241.12833178710201</v>
      </c>
      <c r="Z195">
        <v>243.26221082946569</v>
      </c>
      <c r="AA195">
        <v>243.97350384358691</v>
      </c>
      <c r="AB195">
        <v>246.1073828859507</v>
      </c>
      <c r="AC195">
        <v>247.52996891419309</v>
      </c>
      <c r="AD195">
        <v>249.66384795655691</v>
      </c>
      <c r="AE195">
        <v>4.9631307405250524</v>
      </c>
      <c r="AF195">
        <v>4.9631307405250524</v>
      </c>
      <c r="AG195">
        <v>4.9631307405250524</v>
      </c>
      <c r="AH195">
        <v>4.9631307405250524</v>
      </c>
      <c r="AI195">
        <v>4.9631307405250524</v>
      </c>
      <c r="AJ195">
        <v>4.9631307405250524</v>
      </c>
      <c r="AK195">
        <v>4.9631307405250524</v>
      </c>
    </row>
    <row r="196" spans="1:37" x14ac:dyDescent="0.25">
      <c r="A196" t="s">
        <v>90</v>
      </c>
      <c r="B196" t="s">
        <v>182</v>
      </c>
      <c r="C196" t="s">
        <v>246</v>
      </c>
      <c r="F196" t="s">
        <v>202</v>
      </c>
      <c r="G196" t="s">
        <v>122</v>
      </c>
      <c r="H196" t="s">
        <v>123</v>
      </c>
      <c r="I196" t="s">
        <v>247</v>
      </c>
      <c r="J196" t="s">
        <v>248</v>
      </c>
      <c r="K196" t="s">
        <v>98</v>
      </c>
      <c r="L196">
        <v>0</v>
      </c>
      <c r="M196">
        <v>1</v>
      </c>
      <c r="N196">
        <v>2020</v>
      </c>
      <c r="O196">
        <v>21.783939170417959</v>
      </c>
      <c r="P196">
        <v>1</v>
      </c>
      <c r="Q196">
        <v>0.1014794065281899</v>
      </c>
      <c r="R196">
        <v>0.1014794065281899</v>
      </c>
      <c r="S196">
        <v>0.1114283679525223</v>
      </c>
      <c r="T196">
        <v>0.120581412462908</v>
      </c>
      <c r="U196">
        <v>0.12548956676557871</v>
      </c>
      <c r="V196">
        <v>0.13039772106824929</v>
      </c>
      <c r="W196">
        <v>0.1353058753709199</v>
      </c>
      <c r="X196">
        <v>241.12833178710201</v>
      </c>
      <c r="Y196">
        <v>241.12833178710201</v>
      </c>
      <c r="Z196">
        <v>243.26221082946569</v>
      </c>
      <c r="AA196">
        <v>243.97350384358691</v>
      </c>
      <c r="AB196">
        <v>246.1073828859507</v>
      </c>
      <c r="AC196">
        <v>247.52996891419309</v>
      </c>
      <c r="AD196">
        <v>249.66384795655691</v>
      </c>
      <c r="AE196">
        <v>4.9631307405250524</v>
      </c>
      <c r="AF196">
        <v>4.9631307405250524</v>
      </c>
      <c r="AG196">
        <v>4.9631307405250524</v>
      </c>
      <c r="AH196">
        <v>4.9631307405250524</v>
      </c>
      <c r="AI196">
        <v>4.9631307405250524</v>
      </c>
      <c r="AJ196">
        <v>4.9631307405250524</v>
      </c>
      <c r="AK196">
        <v>4.9631307405250524</v>
      </c>
    </row>
    <row r="197" spans="1:37" x14ac:dyDescent="0.25">
      <c r="A197" t="s">
        <v>90</v>
      </c>
      <c r="B197" t="s">
        <v>182</v>
      </c>
      <c r="C197" t="s">
        <v>246</v>
      </c>
      <c r="F197" t="s">
        <v>202</v>
      </c>
      <c r="G197" t="s">
        <v>124</v>
      </c>
      <c r="H197" t="s">
        <v>125</v>
      </c>
      <c r="I197" t="s">
        <v>247</v>
      </c>
      <c r="J197" t="s">
        <v>248</v>
      </c>
      <c r="K197" t="s">
        <v>98</v>
      </c>
      <c r="L197">
        <v>0</v>
      </c>
      <c r="M197">
        <v>1</v>
      </c>
      <c r="N197">
        <v>2020</v>
      </c>
      <c r="O197">
        <v>21.783939170417959</v>
      </c>
      <c r="P197">
        <v>0.1</v>
      </c>
      <c r="Q197">
        <v>0.1014794065281899</v>
      </c>
      <c r="R197">
        <v>0.1014794065281899</v>
      </c>
      <c r="S197">
        <v>0.1114283679525223</v>
      </c>
      <c r="T197">
        <v>0.120581412462908</v>
      </c>
      <c r="U197">
        <v>0.12548956676557871</v>
      </c>
      <c r="V197">
        <v>0.13039772106824929</v>
      </c>
      <c r="W197">
        <v>0.1353058753709199</v>
      </c>
      <c r="X197">
        <v>241.12833178710201</v>
      </c>
      <c r="Y197">
        <v>241.12833178710201</v>
      </c>
      <c r="Z197">
        <v>243.26221082946569</v>
      </c>
      <c r="AA197">
        <v>243.97350384358691</v>
      </c>
      <c r="AB197">
        <v>246.1073828859507</v>
      </c>
      <c r="AC197">
        <v>247.52996891419309</v>
      </c>
      <c r="AD197">
        <v>249.66384795655691</v>
      </c>
      <c r="AE197">
        <v>4.9631307405250524</v>
      </c>
      <c r="AF197">
        <v>4.9631307405250524</v>
      </c>
      <c r="AG197">
        <v>4.9631307405250524</v>
      </c>
      <c r="AH197">
        <v>4.9631307405250524</v>
      </c>
      <c r="AI197">
        <v>4.9631307405250524</v>
      </c>
      <c r="AJ197">
        <v>4.9631307405250524</v>
      </c>
      <c r="AK197">
        <v>4.9631307405250524</v>
      </c>
    </row>
    <row r="198" spans="1:37" x14ac:dyDescent="0.25">
      <c r="A198" t="s">
        <v>90</v>
      </c>
      <c r="B198" t="s">
        <v>182</v>
      </c>
      <c r="C198" t="s">
        <v>246</v>
      </c>
      <c r="F198" t="s">
        <v>205</v>
      </c>
      <c r="G198" t="s">
        <v>119</v>
      </c>
      <c r="H198" t="s">
        <v>120</v>
      </c>
      <c r="I198" t="s">
        <v>247</v>
      </c>
      <c r="J198" t="s">
        <v>249</v>
      </c>
      <c r="K198" t="s">
        <v>98</v>
      </c>
      <c r="L198">
        <v>1</v>
      </c>
      <c r="M198">
        <v>1</v>
      </c>
      <c r="N198">
        <v>2020</v>
      </c>
      <c r="O198">
        <v>21.783939170417959</v>
      </c>
      <c r="P198">
        <v>1</v>
      </c>
      <c r="Q198">
        <v>0.1028059347181009</v>
      </c>
      <c r="R198">
        <v>0.1028059347181009</v>
      </c>
      <c r="S198">
        <v>0.1111630623145401</v>
      </c>
      <c r="T198">
        <v>0.12177528783382791</v>
      </c>
      <c r="U198">
        <v>0.12668344213649849</v>
      </c>
      <c r="V198">
        <v>0.1315915964391691</v>
      </c>
      <c r="W198">
        <v>0.1366324035608309</v>
      </c>
      <c r="X198">
        <v>253.22031302716309</v>
      </c>
      <c r="Y198">
        <v>253.22031302716309</v>
      </c>
      <c r="Z198">
        <v>255.35419206952679</v>
      </c>
      <c r="AA198">
        <v>256.06548508364801</v>
      </c>
      <c r="AB198">
        <v>257.48807111189058</v>
      </c>
      <c r="AC198">
        <v>259.62195015425431</v>
      </c>
      <c r="AD198">
        <v>261.75582919661798</v>
      </c>
      <c r="AE198">
        <v>4.9631307405250524</v>
      </c>
      <c r="AF198">
        <v>4.9631307405250524</v>
      </c>
      <c r="AG198">
        <v>4.9631307405250524</v>
      </c>
      <c r="AH198">
        <v>4.9631307405250524</v>
      </c>
      <c r="AI198">
        <v>4.9631307405250524</v>
      </c>
      <c r="AJ198">
        <v>4.9631307405250524</v>
      </c>
      <c r="AK198">
        <v>4.9631307405250524</v>
      </c>
    </row>
    <row r="199" spans="1:37" x14ac:dyDescent="0.25">
      <c r="A199" t="s">
        <v>90</v>
      </c>
      <c r="B199" t="s">
        <v>182</v>
      </c>
      <c r="C199" t="s">
        <v>246</v>
      </c>
      <c r="F199" t="s">
        <v>205</v>
      </c>
      <c r="G199" t="s">
        <v>122</v>
      </c>
      <c r="H199" t="s">
        <v>123</v>
      </c>
      <c r="I199" t="s">
        <v>247</v>
      </c>
      <c r="J199" t="s">
        <v>249</v>
      </c>
      <c r="K199" t="s">
        <v>98</v>
      </c>
      <c r="L199">
        <v>0</v>
      </c>
      <c r="M199">
        <v>1</v>
      </c>
      <c r="N199">
        <v>2020</v>
      </c>
      <c r="O199">
        <v>21.783939170417959</v>
      </c>
      <c r="P199">
        <v>1</v>
      </c>
      <c r="Q199">
        <v>0.1028059347181009</v>
      </c>
      <c r="R199">
        <v>0.1028059347181009</v>
      </c>
      <c r="S199">
        <v>0.1111630623145401</v>
      </c>
      <c r="T199">
        <v>0.12177528783382791</v>
      </c>
      <c r="U199">
        <v>0.12668344213649849</v>
      </c>
      <c r="V199">
        <v>0.1315915964391691</v>
      </c>
      <c r="W199">
        <v>0.1366324035608309</v>
      </c>
      <c r="X199">
        <v>253.22031302716309</v>
      </c>
      <c r="Y199">
        <v>253.22031302716309</v>
      </c>
      <c r="Z199">
        <v>255.35419206952679</v>
      </c>
      <c r="AA199">
        <v>256.06548508364801</v>
      </c>
      <c r="AB199">
        <v>257.48807111189058</v>
      </c>
      <c r="AC199">
        <v>259.62195015425431</v>
      </c>
      <c r="AD199">
        <v>261.75582919661798</v>
      </c>
      <c r="AE199">
        <v>4.9631307405250524</v>
      </c>
      <c r="AF199">
        <v>4.9631307405250524</v>
      </c>
      <c r="AG199">
        <v>4.9631307405250524</v>
      </c>
      <c r="AH199">
        <v>4.9631307405250524</v>
      </c>
      <c r="AI199">
        <v>4.9631307405250524</v>
      </c>
      <c r="AJ199">
        <v>4.9631307405250524</v>
      </c>
      <c r="AK199">
        <v>4.9631307405250524</v>
      </c>
    </row>
    <row r="200" spans="1:37" x14ac:dyDescent="0.25">
      <c r="A200" t="s">
        <v>90</v>
      </c>
      <c r="B200" t="s">
        <v>182</v>
      </c>
      <c r="C200" t="s">
        <v>246</v>
      </c>
      <c r="F200" t="s">
        <v>205</v>
      </c>
      <c r="G200" t="s">
        <v>124</v>
      </c>
      <c r="H200" t="s">
        <v>125</v>
      </c>
      <c r="I200" t="s">
        <v>247</v>
      </c>
      <c r="J200" t="s">
        <v>249</v>
      </c>
      <c r="K200" t="s">
        <v>98</v>
      </c>
      <c r="L200">
        <v>0</v>
      </c>
      <c r="M200">
        <v>1</v>
      </c>
      <c r="N200">
        <v>2020</v>
      </c>
      <c r="O200">
        <v>21.783939170417959</v>
      </c>
      <c r="P200">
        <v>0.1</v>
      </c>
      <c r="Q200">
        <v>0.1028059347181009</v>
      </c>
      <c r="R200">
        <v>0.1028059347181009</v>
      </c>
      <c r="S200">
        <v>0.1111630623145401</v>
      </c>
      <c r="T200">
        <v>0.12177528783382791</v>
      </c>
      <c r="U200">
        <v>0.12668344213649849</v>
      </c>
      <c r="V200">
        <v>0.1315915964391691</v>
      </c>
      <c r="W200">
        <v>0.1366324035608309</v>
      </c>
      <c r="X200">
        <v>253.22031302716309</v>
      </c>
      <c r="Y200">
        <v>253.22031302716309</v>
      </c>
      <c r="Z200">
        <v>255.35419206952679</v>
      </c>
      <c r="AA200">
        <v>256.06548508364801</v>
      </c>
      <c r="AB200">
        <v>257.48807111189058</v>
      </c>
      <c r="AC200">
        <v>259.62195015425431</v>
      </c>
      <c r="AD200">
        <v>261.75582919661798</v>
      </c>
      <c r="AE200">
        <v>4.9631307405250524</v>
      </c>
      <c r="AF200">
        <v>4.9631307405250524</v>
      </c>
      <c r="AG200">
        <v>4.9631307405250524</v>
      </c>
      <c r="AH200">
        <v>4.9631307405250524</v>
      </c>
      <c r="AI200">
        <v>4.9631307405250524</v>
      </c>
      <c r="AJ200">
        <v>4.9631307405250524</v>
      </c>
      <c r="AK200">
        <v>4.9631307405250524</v>
      </c>
    </row>
    <row r="201" spans="1:37" x14ac:dyDescent="0.25">
      <c r="A201" t="s">
        <v>90</v>
      </c>
      <c r="B201" t="s">
        <v>182</v>
      </c>
      <c r="C201" t="s">
        <v>246</v>
      </c>
      <c r="F201" t="s">
        <v>207</v>
      </c>
      <c r="G201" t="s">
        <v>119</v>
      </c>
      <c r="H201" t="s">
        <v>120</v>
      </c>
      <c r="I201" t="s">
        <v>247</v>
      </c>
      <c r="J201" t="s">
        <v>250</v>
      </c>
      <c r="K201" t="s">
        <v>98</v>
      </c>
      <c r="L201">
        <v>1</v>
      </c>
      <c r="M201">
        <v>1</v>
      </c>
      <c r="N201">
        <v>2020</v>
      </c>
      <c r="O201">
        <v>21.783939170417959</v>
      </c>
      <c r="P201">
        <v>1</v>
      </c>
      <c r="Q201">
        <v>0.10293858753709199</v>
      </c>
      <c r="R201">
        <v>0.10293858753709199</v>
      </c>
      <c r="S201">
        <v>0.1142140771513353</v>
      </c>
      <c r="T201">
        <v>0.1241630385756677</v>
      </c>
      <c r="U201">
        <v>0.12986710979228491</v>
      </c>
      <c r="V201">
        <v>0.1353058753709199</v>
      </c>
      <c r="W201">
        <v>0.1406119881305638</v>
      </c>
      <c r="X201">
        <v>259.62195015425431</v>
      </c>
      <c r="Y201">
        <v>259.62195015425431</v>
      </c>
      <c r="Z201">
        <v>260.33324316837559</v>
      </c>
      <c r="AA201">
        <v>260.33324316837559</v>
      </c>
      <c r="AB201">
        <v>261.75582919661798</v>
      </c>
      <c r="AC201">
        <v>263.88970823898183</v>
      </c>
      <c r="AD201">
        <v>266.02358728134561</v>
      </c>
      <c r="AE201">
        <v>4.9631307405250524</v>
      </c>
      <c r="AF201">
        <v>4.9631307405250524</v>
      </c>
      <c r="AG201">
        <v>4.9631307405250524</v>
      </c>
      <c r="AH201">
        <v>4.9631307405250524</v>
      </c>
      <c r="AI201">
        <v>4.9631307405250524</v>
      </c>
      <c r="AJ201">
        <v>4.9631307405250524</v>
      </c>
      <c r="AK201">
        <v>4.9631307405250524</v>
      </c>
    </row>
    <row r="202" spans="1:37" x14ac:dyDescent="0.25">
      <c r="A202" t="s">
        <v>90</v>
      </c>
      <c r="B202" t="s">
        <v>182</v>
      </c>
      <c r="C202" t="s">
        <v>246</v>
      </c>
      <c r="F202" t="s">
        <v>207</v>
      </c>
      <c r="G202" t="s">
        <v>122</v>
      </c>
      <c r="H202" t="s">
        <v>123</v>
      </c>
      <c r="I202" t="s">
        <v>247</v>
      </c>
      <c r="J202" t="s">
        <v>250</v>
      </c>
      <c r="K202" t="s">
        <v>98</v>
      </c>
      <c r="L202">
        <v>0</v>
      </c>
      <c r="M202">
        <v>1</v>
      </c>
      <c r="N202">
        <v>2020</v>
      </c>
      <c r="O202">
        <v>21.783939170417959</v>
      </c>
      <c r="P202">
        <v>1</v>
      </c>
      <c r="Q202">
        <v>0.10293858753709199</v>
      </c>
      <c r="R202">
        <v>0.10293858753709199</v>
      </c>
      <c r="S202">
        <v>0.1142140771513353</v>
      </c>
      <c r="T202">
        <v>0.1241630385756677</v>
      </c>
      <c r="U202">
        <v>0.12986710979228491</v>
      </c>
      <c r="V202">
        <v>0.1353058753709199</v>
      </c>
      <c r="W202">
        <v>0.1406119881305638</v>
      </c>
      <c r="X202">
        <v>259.62195015425431</v>
      </c>
      <c r="Y202">
        <v>259.62195015425431</v>
      </c>
      <c r="Z202">
        <v>260.33324316837559</v>
      </c>
      <c r="AA202">
        <v>260.33324316837559</v>
      </c>
      <c r="AB202">
        <v>261.75582919661798</v>
      </c>
      <c r="AC202">
        <v>263.88970823898183</v>
      </c>
      <c r="AD202">
        <v>266.02358728134561</v>
      </c>
      <c r="AE202">
        <v>4.9631307405250524</v>
      </c>
      <c r="AF202">
        <v>4.9631307405250524</v>
      </c>
      <c r="AG202">
        <v>4.9631307405250524</v>
      </c>
      <c r="AH202">
        <v>4.9631307405250524</v>
      </c>
      <c r="AI202">
        <v>4.9631307405250524</v>
      </c>
      <c r="AJ202">
        <v>4.9631307405250524</v>
      </c>
      <c r="AK202">
        <v>4.9631307405250524</v>
      </c>
    </row>
    <row r="203" spans="1:37" x14ac:dyDescent="0.25">
      <c r="A203" t="s">
        <v>90</v>
      </c>
      <c r="B203" t="s">
        <v>182</v>
      </c>
      <c r="C203" t="s">
        <v>246</v>
      </c>
      <c r="F203" t="s">
        <v>207</v>
      </c>
      <c r="G203" t="s">
        <v>124</v>
      </c>
      <c r="H203" t="s">
        <v>125</v>
      </c>
      <c r="I203" t="s">
        <v>247</v>
      </c>
      <c r="J203" t="s">
        <v>250</v>
      </c>
      <c r="K203" t="s">
        <v>98</v>
      </c>
      <c r="L203">
        <v>0</v>
      </c>
      <c r="M203">
        <v>1</v>
      </c>
      <c r="N203">
        <v>2020</v>
      </c>
      <c r="O203">
        <v>21.783939170417959</v>
      </c>
      <c r="P203">
        <v>0.1</v>
      </c>
      <c r="Q203">
        <v>0.10293858753709199</v>
      </c>
      <c r="R203">
        <v>0.10293858753709199</v>
      </c>
      <c r="S203">
        <v>0.1142140771513353</v>
      </c>
      <c r="T203">
        <v>0.1241630385756677</v>
      </c>
      <c r="U203">
        <v>0.12986710979228491</v>
      </c>
      <c r="V203">
        <v>0.1353058753709199</v>
      </c>
      <c r="W203">
        <v>0.1406119881305638</v>
      </c>
      <c r="X203">
        <v>259.62195015425431</v>
      </c>
      <c r="Y203">
        <v>259.62195015425431</v>
      </c>
      <c r="Z203">
        <v>260.33324316837559</v>
      </c>
      <c r="AA203">
        <v>260.33324316837559</v>
      </c>
      <c r="AB203">
        <v>261.75582919661798</v>
      </c>
      <c r="AC203">
        <v>263.88970823898183</v>
      </c>
      <c r="AD203">
        <v>266.02358728134561</v>
      </c>
      <c r="AE203">
        <v>4.9631307405250524</v>
      </c>
      <c r="AF203">
        <v>4.9631307405250524</v>
      </c>
      <c r="AG203">
        <v>4.9631307405250524</v>
      </c>
      <c r="AH203">
        <v>4.9631307405250524</v>
      </c>
      <c r="AI203">
        <v>4.9631307405250524</v>
      </c>
      <c r="AJ203">
        <v>4.9631307405250524</v>
      </c>
      <c r="AK203">
        <v>4.9631307405250524</v>
      </c>
    </row>
    <row r="204" spans="1:37" x14ac:dyDescent="0.25">
      <c r="A204" t="s">
        <v>90</v>
      </c>
      <c r="B204" t="s">
        <v>182</v>
      </c>
      <c r="C204" t="s">
        <v>246</v>
      </c>
      <c r="F204" t="s">
        <v>209</v>
      </c>
      <c r="G204" t="s">
        <v>119</v>
      </c>
      <c r="H204" t="s">
        <v>120</v>
      </c>
      <c r="I204" t="s">
        <v>247</v>
      </c>
      <c r="J204" t="s">
        <v>251</v>
      </c>
      <c r="K204" t="s">
        <v>98</v>
      </c>
      <c r="L204">
        <v>1</v>
      </c>
      <c r="M204">
        <v>1</v>
      </c>
      <c r="N204">
        <v>2020</v>
      </c>
      <c r="O204">
        <v>21.783939170417959</v>
      </c>
      <c r="P204">
        <v>0.34675615212528432</v>
      </c>
      <c r="Q204">
        <v>0.18040783382789249</v>
      </c>
      <c r="R204">
        <v>0.18040783382789249</v>
      </c>
      <c r="S204">
        <v>0.20163228486646839</v>
      </c>
      <c r="T204">
        <v>0.22285673590504509</v>
      </c>
      <c r="U204">
        <v>0.23214243323442141</v>
      </c>
      <c r="V204">
        <v>0.2414281305637975</v>
      </c>
      <c r="W204">
        <v>0.25204035608308611</v>
      </c>
      <c r="X204">
        <v>374.14012542777448</v>
      </c>
      <c r="Y204">
        <v>374.14012542777448</v>
      </c>
      <c r="Z204">
        <v>325.06090745340788</v>
      </c>
      <c r="AA204">
        <v>300.16565195916411</v>
      </c>
      <c r="AB204">
        <v>290.91884277558938</v>
      </c>
      <c r="AC204">
        <v>280.96074057789201</v>
      </c>
      <c r="AD204">
        <v>271.71393139431541</v>
      </c>
      <c r="AE204">
        <v>4.9631307405250613</v>
      </c>
      <c r="AF204">
        <v>4.9631307405250613</v>
      </c>
      <c r="AG204">
        <v>4.9631307405250613</v>
      </c>
      <c r="AH204">
        <v>4.9631307405250613</v>
      </c>
      <c r="AI204">
        <v>4.9631307405250613</v>
      </c>
      <c r="AJ204">
        <v>4.9631307405250613</v>
      </c>
      <c r="AK204">
        <v>4.9631307405250613</v>
      </c>
    </row>
    <row r="205" spans="1:37" x14ac:dyDescent="0.25">
      <c r="A205" t="s">
        <v>90</v>
      </c>
      <c r="B205" t="s">
        <v>182</v>
      </c>
      <c r="C205" t="s">
        <v>246</v>
      </c>
      <c r="F205" t="s">
        <v>209</v>
      </c>
      <c r="G205" t="s">
        <v>122</v>
      </c>
      <c r="H205" t="s">
        <v>123</v>
      </c>
      <c r="I205" t="s">
        <v>247</v>
      </c>
      <c r="J205" t="s">
        <v>251</v>
      </c>
      <c r="K205" t="s">
        <v>98</v>
      </c>
      <c r="L205">
        <v>0</v>
      </c>
      <c r="M205">
        <v>1</v>
      </c>
      <c r="N205">
        <v>2020</v>
      </c>
      <c r="O205">
        <v>21.783939170417959</v>
      </c>
      <c r="P205">
        <v>0.34675615212528432</v>
      </c>
      <c r="Q205">
        <v>0.18040783382789249</v>
      </c>
      <c r="R205">
        <v>0.18040783382789249</v>
      </c>
      <c r="S205">
        <v>0.20163228486646839</v>
      </c>
      <c r="T205">
        <v>0.22285673590504509</v>
      </c>
      <c r="U205">
        <v>0.23214243323442141</v>
      </c>
      <c r="V205">
        <v>0.2414281305637975</v>
      </c>
      <c r="W205">
        <v>0.25204035608308611</v>
      </c>
      <c r="X205">
        <v>374.14012542777448</v>
      </c>
      <c r="Y205">
        <v>374.14012542777448</v>
      </c>
      <c r="Z205">
        <v>325.06090745340788</v>
      </c>
      <c r="AA205">
        <v>300.16565195916411</v>
      </c>
      <c r="AB205">
        <v>290.91884277558938</v>
      </c>
      <c r="AC205">
        <v>280.96074057789201</v>
      </c>
      <c r="AD205">
        <v>271.71393139431541</v>
      </c>
      <c r="AE205">
        <v>4.9631307405250613</v>
      </c>
      <c r="AF205">
        <v>4.9631307405250613</v>
      </c>
      <c r="AG205">
        <v>4.9631307405250613</v>
      </c>
      <c r="AH205">
        <v>4.9631307405250613</v>
      </c>
      <c r="AI205">
        <v>4.9631307405250613</v>
      </c>
      <c r="AJ205">
        <v>4.9631307405250613</v>
      </c>
      <c r="AK205">
        <v>4.9631307405250613</v>
      </c>
    </row>
    <row r="206" spans="1:37" x14ac:dyDescent="0.25">
      <c r="A206" t="s">
        <v>90</v>
      </c>
      <c r="B206" t="s">
        <v>182</v>
      </c>
      <c r="C206" t="s">
        <v>246</v>
      </c>
      <c r="F206" t="s">
        <v>209</v>
      </c>
      <c r="G206" t="s">
        <v>124</v>
      </c>
      <c r="H206" t="s">
        <v>125</v>
      </c>
      <c r="I206" t="s">
        <v>247</v>
      </c>
      <c r="J206" t="s">
        <v>251</v>
      </c>
      <c r="K206" t="s">
        <v>98</v>
      </c>
      <c r="L206">
        <v>0</v>
      </c>
      <c r="M206">
        <v>1</v>
      </c>
      <c r="N206">
        <v>2020</v>
      </c>
      <c r="O206">
        <v>21.783939170417959</v>
      </c>
      <c r="P206">
        <v>0.1</v>
      </c>
      <c r="Q206">
        <v>0.18040783382789249</v>
      </c>
      <c r="R206">
        <v>0.18040783382789249</v>
      </c>
      <c r="S206">
        <v>0.20163228486646839</v>
      </c>
      <c r="T206">
        <v>0.22285673590504509</v>
      </c>
      <c r="U206">
        <v>0.23214243323442141</v>
      </c>
      <c r="V206">
        <v>0.2414281305637975</v>
      </c>
      <c r="W206">
        <v>0.25204035608308611</v>
      </c>
      <c r="X206">
        <v>374.14012542777448</v>
      </c>
      <c r="Y206">
        <v>374.14012542777448</v>
      </c>
      <c r="Z206">
        <v>325.06090745340788</v>
      </c>
      <c r="AA206">
        <v>300.16565195916411</v>
      </c>
      <c r="AB206">
        <v>290.91884277558938</v>
      </c>
      <c r="AC206">
        <v>280.96074057789201</v>
      </c>
      <c r="AD206">
        <v>271.71393139431541</v>
      </c>
      <c r="AE206">
        <v>4.9631307405250613</v>
      </c>
      <c r="AF206">
        <v>4.9631307405250613</v>
      </c>
      <c r="AG206">
        <v>4.9631307405250613</v>
      </c>
      <c r="AH206">
        <v>4.9631307405250613</v>
      </c>
      <c r="AI206">
        <v>4.9631307405250613</v>
      </c>
      <c r="AJ206">
        <v>4.9631307405250613</v>
      </c>
      <c r="AK206">
        <v>4.9631307405250613</v>
      </c>
    </row>
    <row r="207" spans="1:37" x14ac:dyDescent="0.25">
      <c r="A207" t="s">
        <v>90</v>
      </c>
      <c r="B207" t="s">
        <v>182</v>
      </c>
      <c r="C207" t="s">
        <v>246</v>
      </c>
      <c r="F207" t="s">
        <v>209</v>
      </c>
      <c r="G207" t="s">
        <v>211</v>
      </c>
      <c r="H207" t="s">
        <v>212</v>
      </c>
      <c r="I207" t="s">
        <v>247</v>
      </c>
      <c r="J207" t="s">
        <v>251</v>
      </c>
      <c r="K207" t="s">
        <v>98</v>
      </c>
      <c r="L207">
        <v>0</v>
      </c>
      <c r="M207">
        <v>1</v>
      </c>
      <c r="N207">
        <v>2020</v>
      </c>
      <c r="O207">
        <v>21.783939170417959</v>
      </c>
      <c r="P207">
        <v>0.65324384787471568</v>
      </c>
      <c r="Q207">
        <v>0.18040783382789249</v>
      </c>
      <c r="R207">
        <v>0.18040783382789249</v>
      </c>
      <c r="S207">
        <v>0.20163228486646839</v>
      </c>
      <c r="T207">
        <v>0.22285673590504509</v>
      </c>
      <c r="U207">
        <v>0.23214243323442141</v>
      </c>
      <c r="V207">
        <v>0.2414281305637975</v>
      </c>
      <c r="W207">
        <v>0.25204035608308611</v>
      </c>
      <c r="X207">
        <v>374.14012542777448</v>
      </c>
      <c r="Y207">
        <v>374.14012542777448</v>
      </c>
      <c r="Z207">
        <v>325.06090745340788</v>
      </c>
      <c r="AA207">
        <v>300.16565195916411</v>
      </c>
      <c r="AB207">
        <v>290.91884277558938</v>
      </c>
      <c r="AC207">
        <v>280.96074057789201</v>
      </c>
      <c r="AD207">
        <v>271.71393139431541</v>
      </c>
      <c r="AE207">
        <v>4.9631307405250613</v>
      </c>
      <c r="AF207">
        <v>4.9631307405250613</v>
      </c>
      <c r="AG207">
        <v>4.9631307405250613</v>
      </c>
      <c r="AH207">
        <v>4.9631307405250613</v>
      </c>
      <c r="AI207">
        <v>4.9631307405250613</v>
      </c>
      <c r="AJ207">
        <v>4.9631307405250613</v>
      </c>
      <c r="AK207">
        <v>4.9631307405250613</v>
      </c>
    </row>
    <row r="208" spans="1:37" x14ac:dyDescent="0.25">
      <c r="A208" t="s">
        <v>90</v>
      </c>
      <c r="B208" t="s">
        <v>182</v>
      </c>
      <c r="C208" t="s">
        <v>246</v>
      </c>
      <c r="F208" t="s">
        <v>213</v>
      </c>
      <c r="G208" t="s">
        <v>133</v>
      </c>
      <c r="H208" t="s">
        <v>134</v>
      </c>
      <c r="I208" t="s">
        <v>247</v>
      </c>
      <c r="J208" t="s">
        <v>252</v>
      </c>
      <c r="K208" t="s">
        <v>98</v>
      </c>
      <c r="L208">
        <v>1</v>
      </c>
      <c r="M208">
        <v>1</v>
      </c>
      <c r="N208">
        <v>2020</v>
      </c>
      <c r="O208">
        <v>21.783939170417959</v>
      </c>
      <c r="P208">
        <v>1</v>
      </c>
      <c r="Q208">
        <v>0.1150099940652819</v>
      </c>
      <c r="R208">
        <v>0.1150099940652819</v>
      </c>
      <c r="S208">
        <v>0.12933649851632051</v>
      </c>
      <c r="T208">
        <v>0.14326504451038591</v>
      </c>
      <c r="U208">
        <v>0.15122421364985161</v>
      </c>
      <c r="V208">
        <v>0.15918338278931751</v>
      </c>
      <c r="W208">
        <v>0.16714255192878349</v>
      </c>
      <c r="X208">
        <v>409.70477613383707</v>
      </c>
      <c r="Y208">
        <v>409.70477613383707</v>
      </c>
      <c r="Z208">
        <v>364.89331624419862</v>
      </c>
      <c r="AA208">
        <v>340.70935376407601</v>
      </c>
      <c r="AB208">
        <v>331.46254458049981</v>
      </c>
      <c r="AC208">
        <v>322.21573539692372</v>
      </c>
      <c r="AD208">
        <v>313.68021922746908</v>
      </c>
      <c r="AE208">
        <v>4.9957829164495564</v>
      </c>
      <c r="AF208">
        <v>4.9957829164495564</v>
      </c>
      <c r="AG208">
        <v>4.9957829164495564</v>
      </c>
      <c r="AH208">
        <v>4.9957829164495564</v>
      </c>
      <c r="AI208">
        <v>4.9957829164495564</v>
      </c>
      <c r="AJ208">
        <v>4.9957829164495564</v>
      </c>
      <c r="AK208">
        <v>4.9957829164495564</v>
      </c>
    </row>
    <row r="209" spans="1:37" x14ac:dyDescent="0.25">
      <c r="A209" t="s">
        <v>90</v>
      </c>
      <c r="B209" t="s">
        <v>182</v>
      </c>
      <c r="C209" t="s">
        <v>246</v>
      </c>
      <c r="F209" t="s">
        <v>215</v>
      </c>
      <c r="G209" t="s">
        <v>133</v>
      </c>
      <c r="H209" t="s">
        <v>134</v>
      </c>
      <c r="I209" t="s">
        <v>247</v>
      </c>
      <c r="J209" t="s">
        <v>253</v>
      </c>
      <c r="K209" t="s">
        <v>98</v>
      </c>
      <c r="L209">
        <v>1</v>
      </c>
      <c r="M209">
        <v>1</v>
      </c>
      <c r="N209">
        <v>2020</v>
      </c>
      <c r="O209">
        <v>21.783939170417959</v>
      </c>
      <c r="P209">
        <v>0.92029887920298814</v>
      </c>
      <c r="Q209">
        <v>0.1234997744807122</v>
      </c>
      <c r="R209">
        <v>0.1234997744807122</v>
      </c>
      <c r="S209">
        <v>0.13928545994065281</v>
      </c>
      <c r="T209">
        <v>0.15918338278931751</v>
      </c>
      <c r="U209">
        <v>0.16979560830860541</v>
      </c>
      <c r="V209">
        <v>0.17908130563798219</v>
      </c>
      <c r="W209">
        <v>0.18969353115727011</v>
      </c>
      <c r="X209">
        <v>322.92702841104523</v>
      </c>
      <c r="Y209">
        <v>322.92702841104523</v>
      </c>
      <c r="Z209">
        <v>289.49625674734659</v>
      </c>
      <c r="AA209">
        <v>270.29134536607307</v>
      </c>
      <c r="AB209">
        <v>262.46712221073909</v>
      </c>
      <c r="AC209">
        <v>255.35419206952679</v>
      </c>
      <c r="AD209">
        <v>248.24126192831449</v>
      </c>
      <c r="AE209">
        <v>4.9957829164495564</v>
      </c>
      <c r="AF209">
        <v>4.9957829164495564</v>
      </c>
      <c r="AG209">
        <v>4.9957829164495564</v>
      </c>
      <c r="AH209">
        <v>4.9957829164495564</v>
      </c>
      <c r="AI209">
        <v>4.9957829164495564</v>
      </c>
      <c r="AJ209">
        <v>4.9957829164495564</v>
      </c>
      <c r="AK209">
        <v>4.9957829164495564</v>
      </c>
    </row>
    <row r="210" spans="1:37" x14ac:dyDescent="0.25">
      <c r="A210" t="s">
        <v>90</v>
      </c>
      <c r="B210" t="s">
        <v>182</v>
      </c>
      <c r="C210" t="s">
        <v>246</v>
      </c>
      <c r="F210" t="s">
        <v>215</v>
      </c>
      <c r="G210" t="s">
        <v>211</v>
      </c>
      <c r="H210" t="s">
        <v>212</v>
      </c>
      <c r="I210" t="s">
        <v>247</v>
      </c>
      <c r="J210" t="s">
        <v>253</v>
      </c>
      <c r="K210" t="s">
        <v>98</v>
      </c>
      <c r="L210">
        <v>0</v>
      </c>
      <c r="M210">
        <v>1</v>
      </c>
      <c r="N210">
        <v>2020</v>
      </c>
      <c r="O210">
        <v>21.783939170417959</v>
      </c>
      <c r="P210">
        <v>7.9701120797011846E-2</v>
      </c>
      <c r="Q210">
        <v>0.1234997744807122</v>
      </c>
      <c r="R210">
        <v>0.1234997744807122</v>
      </c>
      <c r="S210">
        <v>0.13928545994065281</v>
      </c>
      <c r="T210">
        <v>0.15918338278931751</v>
      </c>
      <c r="U210">
        <v>0.16979560830860541</v>
      </c>
      <c r="V210">
        <v>0.17908130563798219</v>
      </c>
      <c r="W210">
        <v>0.18969353115727011</v>
      </c>
      <c r="X210">
        <v>322.92702841104523</v>
      </c>
      <c r="Y210">
        <v>322.92702841104523</v>
      </c>
      <c r="Z210">
        <v>289.49625674734659</v>
      </c>
      <c r="AA210">
        <v>270.29134536607307</v>
      </c>
      <c r="AB210">
        <v>262.46712221073909</v>
      </c>
      <c r="AC210">
        <v>255.35419206952679</v>
      </c>
      <c r="AD210">
        <v>248.24126192831449</v>
      </c>
      <c r="AE210">
        <v>4.9957829164495564</v>
      </c>
      <c r="AF210">
        <v>4.9957829164495564</v>
      </c>
      <c r="AG210">
        <v>4.9957829164495564</v>
      </c>
      <c r="AH210">
        <v>4.9957829164495564</v>
      </c>
      <c r="AI210">
        <v>4.9957829164495564</v>
      </c>
      <c r="AJ210">
        <v>4.9957829164495564</v>
      </c>
      <c r="AK210">
        <v>4.9957829164495564</v>
      </c>
    </row>
    <row r="211" spans="1:37" x14ac:dyDescent="0.25">
      <c r="A211" t="s">
        <v>90</v>
      </c>
      <c r="B211" t="s">
        <v>182</v>
      </c>
      <c r="C211" t="s">
        <v>246</v>
      </c>
      <c r="F211" t="s">
        <v>217</v>
      </c>
      <c r="G211" t="s">
        <v>211</v>
      </c>
      <c r="H211" t="s">
        <v>212</v>
      </c>
      <c r="I211" t="s">
        <v>247</v>
      </c>
      <c r="J211" t="s">
        <v>254</v>
      </c>
      <c r="K211" t="s">
        <v>98</v>
      </c>
      <c r="L211">
        <v>1</v>
      </c>
      <c r="M211">
        <v>1</v>
      </c>
      <c r="N211">
        <v>2020</v>
      </c>
      <c r="O211">
        <v>21.783939170417959</v>
      </c>
      <c r="P211">
        <v>1</v>
      </c>
      <c r="Q211">
        <v>0.2215302077151334</v>
      </c>
      <c r="R211">
        <v>0.2215302077151334</v>
      </c>
      <c r="S211">
        <v>0.24673424332344221</v>
      </c>
      <c r="T211">
        <v>0.27193827893175071</v>
      </c>
      <c r="U211">
        <v>0.2812239762611275</v>
      </c>
      <c r="V211">
        <v>0.29316272997032661</v>
      </c>
      <c r="W211">
        <v>0.30510148367952522</v>
      </c>
      <c r="X211">
        <v>477.277612475355</v>
      </c>
      <c r="Y211">
        <v>477.277612475355</v>
      </c>
      <c r="Z211">
        <v>392.63374379492677</v>
      </c>
      <c r="AA211">
        <v>348.53357691941</v>
      </c>
      <c r="AB211">
        <v>330.0399585522577</v>
      </c>
      <c r="AC211">
        <v>310.83504717098378</v>
      </c>
      <c r="AD211">
        <v>292.34142880383138</v>
      </c>
      <c r="AE211">
        <v>3.199913240601679</v>
      </c>
      <c r="AF211">
        <v>3.199913240601679</v>
      </c>
      <c r="AG211">
        <v>3.199913240601679</v>
      </c>
      <c r="AH211">
        <v>3.199913240601679</v>
      </c>
      <c r="AI211">
        <v>3.199913240601679</v>
      </c>
      <c r="AJ211">
        <v>3.199913240601679</v>
      </c>
      <c r="AK211">
        <v>3.199913240601679</v>
      </c>
    </row>
    <row r="212" spans="1:37" x14ac:dyDescent="0.25">
      <c r="A212" t="s">
        <v>90</v>
      </c>
      <c r="B212" t="s">
        <v>91</v>
      </c>
      <c r="C212" t="s">
        <v>255</v>
      </c>
      <c r="F212" t="s">
        <v>202</v>
      </c>
      <c r="G212" t="s">
        <v>119</v>
      </c>
      <c r="H212" t="s">
        <v>120</v>
      </c>
      <c r="I212" t="s">
        <v>256</v>
      </c>
      <c r="J212" t="s">
        <v>257</v>
      </c>
      <c r="K212" t="s">
        <v>98</v>
      </c>
      <c r="L212">
        <v>1</v>
      </c>
      <c r="M212">
        <v>1</v>
      </c>
      <c r="N212">
        <v>2020</v>
      </c>
      <c r="O212">
        <v>4.6576618537494188</v>
      </c>
      <c r="P212">
        <v>1</v>
      </c>
      <c r="Q212">
        <v>0.14459157270029679</v>
      </c>
      <c r="R212">
        <v>0.14459157270029679</v>
      </c>
      <c r="S212">
        <v>0.1578568545994066</v>
      </c>
      <c r="T212">
        <v>0.1711221364985164</v>
      </c>
      <c r="U212">
        <v>0.1804078338278931</v>
      </c>
      <c r="V212">
        <v>0.18836700296735909</v>
      </c>
      <c r="W212">
        <v>0.1963261721068249</v>
      </c>
      <c r="X212">
        <v>421.08546435977678</v>
      </c>
      <c r="Y212">
        <v>421.08546435977678</v>
      </c>
      <c r="Z212">
        <v>423.93063641626179</v>
      </c>
      <c r="AA212">
        <v>423.21934340214051</v>
      </c>
      <c r="AB212">
        <v>423.93063641626179</v>
      </c>
      <c r="AC212">
        <v>424.64192943038302</v>
      </c>
      <c r="AD212">
        <v>426.06451545862558</v>
      </c>
      <c r="AE212">
        <v>18.02032399555608</v>
      </c>
      <c r="AF212">
        <v>18.02032399555608</v>
      </c>
      <c r="AG212">
        <v>18.02032399555608</v>
      </c>
      <c r="AH212">
        <v>18.02032399555608</v>
      </c>
      <c r="AI212">
        <v>18.02032399555608</v>
      </c>
      <c r="AJ212">
        <v>18.02032399555608</v>
      </c>
      <c r="AK212">
        <v>18.02032399555608</v>
      </c>
    </row>
    <row r="213" spans="1:37" x14ac:dyDescent="0.25">
      <c r="A213" t="s">
        <v>90</v>
      </c>
      <c r="B213" t="s">
        <v>91</v>
      </c>
      <c r="C213" t="s">
        <v>255</v>
      </c>
      <c r="F213" t="s">
        <v>202</v>
      </c>
      <c r="G213" t="s">
        <v>122</v>
      </c>
      <c r="H213" t="s">
        <v>123</v>
      </c>
      <c r="I213" t="s">
        <v>256</v>
      </c>
      <c r="J213" t="s">
        <v>257</v>
      </c>
      <c r="K213" t="s">
        <v>98</v>
      </c>
      <c r="L213">
        <v>0</v>
      </c>
      <c r="M213">
        <v>1</v>
      </c>
      <c r="N213">
        <v>2020</v>
      </c>
      <c r="O213">
        <v>4.6576618537494188</v>
      </c>
      <c r="P213">
        <v>1</v>
      </c>
      <c r="Q213">
        <v>0.14459157270029679</v>
      </c>
      <c r="R213">
        <v>0.14459157270029679</v>
      </c>
      <c r="S213">
        <v>0.1578568545994066</v>
      </c>
      <c r="T213">
        <v>0.1711221364985164</v>
      </c>
      <c r="U213">
        <v>0.1804078338278931</v>
      </c>
      <c r="V213">
        <v>0.18836700296735909</v>
      </c>
      <c r="W213">
        <v>0.1963261721068249</v>
      </c>
      <c r="X213">
        <v>421.08546435977678</v>
      </c>
      <c r="Y213">
        <v>421.08546435977678</v>
      </c>
      <c r="Z213">
        <v>423.93063641626179</v>
      </c>
      <c r="AA213">
        <v>423.21934340214051</v>
      </c>
      <c r="AB213">
        <v>423.93063641626179</v>
      </c>
      <c r="AC213">
        <v>424.64192943038302</v>
      </c>
      <c r="AD213">
        <v>426.06451545862558</v>
      </c>
      <c r="AE213">
        <v>18.02032399555608</v>
      </c>
      <c r="AF213">
        <v>18.02032399555608</v>
      </c>
      <c r="AG213">
        <v>18.02032399555608</v>
      </c>
      <c r="AH213">
        <v>18.02032399555608</v>
      </c>
      <c r="AI213">
        <v>18.02032399555608</v>
      </c>
      <c r="AJ213">
        <v>18.02032399555608</v>
      </c>
      <c r="AK213">
        <v>18.02032399555608</v>
      </c>
    </row>
    <row r="214" spans="1:37" x14ac:dyDescent="0.25">
      <c r="A214" t="s">
        <v>90</v>
      </c>
      <c r="B214" t="s">
        <v>91</v>
      </c>
      <c r="C214" t="s">
        <v>255</v>
      </c>
      <c r="F214" t="s">
        <v>202</v>
      </c>
      <c r="G214" t="s">
        <v>124</v>
      </c>
      <c r="H214" t="s">
        <v>125</v>
      </c>
      <c r="I214" t="s">
        <v>256</v>
      </c>
      <c r="J214" t="s">
        <v>257</v>
      </c>
      <c r="K214" t="s">
        <v>98</v>
      </c>
      <c r="L214">
        <v>0</v>
      </c>
      <c r="M214">
        <v>1</v>
      </c>
      <c r="N214">
        <v>2020</v>
      </c>
      <c r="O214">
        <v>4.6576618537494188</v>
      </c>
      <c r="P214">
        <v>0.1</v>
      </c>
      <c r="Q214">
        <v>0.14459157270029679</v>
      </c>
      <c r="R214">
        <v>0.14459157270029679</v>
      </c>
      <c r="S214">
        <v>0.1578568545994066</v>
      </c>
      <c r="T214">
        <v>0.1711221364985164</v>
      </c>
      <c r="U214">
        <v>0.1804078338278931</v>
      </c>
      <c r="V214">
        <v>0.18836700296735909</v>
      </c>
      <c r="W214">
        <v>0.1963261721068249</v>
      </c>
      <c r="X214">
        <v>421.08546435977678</v>
      </c>
      <c r="Y214">
        <v>421.08546435977678</v>
      </c>
      <c r="Z214">
        <v>423.93063641626179</v>
      </c>
      <c r="AA214">
        <v>423.21934340214051</v>
      </c>
      <c r="AB214">
        <v>423.93063641626179</v>
      </c>
      <c r="AC214">
        <v>424.64192943038302</v>
      </c>
      <c r="AD214">
        <v>426.06451545862558</v>
      </c>
      <c r="AE214">
        <v>18.02032399555608</v>
      </c>
      <c r="AF214">
        <v>18.02032399555608</v>
      </c>
      <c r="AG214">
        <v>18.02032399555608</v>
      </c>
      <c r="AH214">
        <v>18.02032399555608</v>
      </c>
      <c r="AI214">
        <v>18.02032399555608</v>
      </c>
      <c r="AJ214">
        <v>18.02032399555608</v>
      </c>
      <c r="AK214">
        <v>18.02032399555608</v>
      </c>
    </row>
    <row r="215" spans="1:37" x14ac:dyDescent="0.25">
      <c r="A215" t="s">
        <v>90</v>
      </c>
      <c r="B215" t="s">
        <v>91</v>
      </c>
      <c r="C215" t="s">
        <v>255</v>
      </c>
      <c r="F215" t="s">
        <v>205</v>
      </c>
      <c r="G215" t="s">
        <v>119</v>
      </c>
      <c r="H215" t="s">
        <v>120</v>
      </c>
      <c r="I215" t="s">
        <v>256</v>
      </c>
      <c r="J215" t="s">
        <v>258</v>
      </c>
      <c r="K215" t="s">
        <v>98</v>
      </c>
      <c r="L215">
        <v>1</v>
      </c>
      <c r="M215">
        <v>1</v>
      </c>
      <c r="N215">
        <v>2020</v>
      </c>
      <c r="O215">
        <v>4.6576618537494188</v>
      </c>
      <c r="P215">
        <v>1</v>
      </c>
      <c r="Q215">
        <v>0.14459157270029679</v>
      </c>
      <c r="R215">
        <v>0.14459157270029679</v>
      </c>
      <c r="S215">
        <v>0.1578568545994066</v>
      </c>
      <c r="T215">
        <v>0.17244866468842729</v>
      </c>
      <c r="U215">
        <v>0.1804078338278931</v>
      </c>
      <c r="V215">
        <v>0.18836700296735909</v>
      </c>
      <c r="W215">
        <v>0.19765270029673601</v>
      </c>
      <c r="X215">
        <v>461.62916616468777</v>
      </c>
      <c r="Y215">
        <v>461.62916616468777</v>
      </c>
      <c r="Z215">
        <v>465.18563123529401</v>
      </c>
      <c r="AA215">
        <v>463.7630452070515</v>
      </c>
      <c r="AB215">
        <v>463.7630452070515</v>
      </c>
      <c r="AC215">
        <v>464.47433822117279</v>
      </c>
      <c r="AD215">
        <v>465.18563123529401</v>
      </c>
      <c r="AE215">
        <v>18.02032399555608</v>
      </c>
      <c r="AF215">
        <v>18.02032399555608</v>
      </c>
      <c r="AG215">
        <v>18.02032399555608</v>
      </c>
      <c r="AH215">
        <v>18.02032399555608</v>
      </c>
      <c r="AI215">
        <v>18.02032399555608</v>
      </c>
      <c r="AJ215">
        <v>18.02032399555608</v>
      </c>
      <c r="AK215">
        <v>18.02032399555608</v>
      </c>
    </row>
    <row r="216" spans="1:37" x14ac:dyDescent="0.25">
      <c r="A216" t="s">
        <v>90</v>
      </c>
      <c r="B216" t="s">
        <v>91</v>
      </c>
      <c r="C216" t="s">
        <v>255</v>
      </c>
      <c r="F216" t="s">
        <v>205</v>
      </c>
      <c r="G216" t="s">
        <v>122</v>
      </c>
      <c r="H216" t="s">
        <v>123</v>
      </c>
      <c r="I216" t="s">
        <v>256</v>
      </c>
      <c r="J216" t="s">
        <v>258</v>
      </c>
      <c r="K216" t="s">
        <v>98</v>
      </c>
      <c r="L216">
        <v>0</v>
      </c>
      <c r="M216">
        <v>1</v>
      </c>
      <c r="N216">
        <v>2020</v>
      </c>
      <c r="O216">
        <v>4.6576618537494188</v>
      </c>
      <c r="P216">
        <v>1</v>
      </c>
      <c r="Q216">
        <v>0.14459157270029679</v>
      </c>
      <c r="R216">
        <v>0.14459157270029679</v>
      </c>
      <c r="S216">
        <v>0.1578568545994066</v>
      </c>
      <c r="T216">
        <v>0.17244866468842729</v>
      </c>
      <c r="U216">
        <v>0.1804078338278931</v>
      </c>
      <c r="V216">
        <v>0.18836700296735909</v>
      </c>
      <c r="W216">
        <v>0.19765270029673601</v>
      </c>
      <c r="X216">
        <v>461.62916616468777</v>
      </c>
      <c r="Y216">
        <v>461.62916616468777</v>
      </c>
      <c r="Z216">
        <v>465.18563123529401</v>
      </c>
      <c r="AA216">
        <v>463.7630452070515</v>
      </c>
      <c r="AB216">
        <v>463.7630452070515</v>
      </c>
      <c r="AC216">
        <v>464.47433822117279</v>
      </c>
      <c r="AD216">
        <v>465.18563123529401</v>
      </c>
      <c r="AE216">
        <v>18.02032399555608</v>
      </c>
      <c r="AF216">
        <v>18.02032399555608</v>
      </c>
      <c r="AG216">
        <v>18.02032399555608</v>
      </c>
      <c r="AH216">
        <v>18.02032399555608</v>
      </c>
      <c r="AI216">
        <v>18.02032399555608</v>
      </c>
      <c r="AJ216">
        <v>18.02032399555608</v>
      </c>
      <c r="AK216">
        <v>18.02032399555608</v>
      </c>
    </row>
    <row r="217" spans="1:37" x14ac:dyDescent="0.25">
      <c r="A217" t="s">
        <v>90</v>
      </c>
      <c r="B217" t="s">
        <v>91</v>
      </c>
      <c r="C217" t="s">
        <v>255</v>
      </c>
      <c r="F217" t="s">
        <v>205</v>
      </c>
      <c r="G217" t="s">
        <v>124</v>
      </c>
      <c r="H217" t="s">
        <v>125</v>
      </c>
      <c r="I217" t="s">
        <v>256</v>
      </c>
      <c r="J217" t="s">
        <v>258</v>
      </c>
      <c r="K217" t="s">
        <v>98</v>
      </c>
      <c r="L217">
        <v>0</v>
      </c>
      <c r="M217">
        <v>1</v>
      </c>
      <c r="N217">
        <v>2020</v>
      </c>
      <c r="O217">
        <v>4.6576618537494188</v>
      </c>
      <c r="P217">
        <v>0.1</v>
      </c>
      <c r="Q217">
        <v>0.14459157270029679</v>
      </c>
      <c r="R217">
        <v>0.14459157270029679</v>
      </c>
      <c r="S217">
        <v>0.1578568545994066</v>
      </c>
      <c r="T217">
        <v>0.17244866468842729</v>
      </c>
      <c r="U217">
        <v>0.1804078338278931</v>
      </c>
      <c r="V217">
        <v>0.18836700296735909</v>
      </c>
      <c r="W217">
        <v>0.19765270029673601</v>
      </c>
      <c r="X217">
        <v>461.62916616468777</v>
      </c>
      <c r="Y217">
        <v>461.62916616468777</v>
      </c>
      <c r="Z217">
        <v>465.18563123529401</v>
      </c>
      <c r="AA217">
        <v>463.7630452070515</v>
      </c>
      <c r="AB217">
        <v>463.7630452070515</v>
      </c>
      <c r="AC217">
        <v>464.47433822117279</v>
      </c>
      <c r="AD217">
        <v>465.18563123529401</v>
      </c>
      <c r="AE217">
        <v>18.02032399555608</v>
      </c>
      <c r="AF217">
        <v>18.02032399555608</v>
      </c>
      <c r="AG217">
        <v>18.02032399555608</v>
      </c>
      <c r="AH217">
        <v>18.02032399555608</v>
      </c>
      <c r="AI217">
        <v>18.02032399555608</v>
      </c>
      <c r="AJ217">
        <v>18.02032399555608</v>
      </c>
      <c r="AK217">
        <v>18.02032399555608</v>
      </c>
    </row>
    <row r="218" spans="1:37" x14ac:dyDescent="0.25">
      <c r="A218" t="s">
        <v>90</v>
      </c>
      <c r="B218" t="s">
        <v>91</v>
      </c>
      <c r="C218" t="s">
        <v>255</v>
      </c>
      <c r="F218" t="s">
        <v>207</v>
      </c>
      <c r="G218" t="s">
        <v>119</v>
      </c>
      <c r="H218" t="s">
        <v>120</v>
      </c>
      <c r="I218" t="s">
        <v>256</v>
      </c>
      <c r="J218" t="s">
        <v>259</v>
      </c>
      <c r="K218" t="s">
        <v>98</v>
      </c>
      <c r="L218">
        <v>1</v>
      </c>
      <c r="M218">
        <v>1</v>
      </c>
      <c r="N218">
        <v>2020</v>
      </c>
      <c r="O218">
        <v>4.6576618537494188</v>
      </c>
      <c r="P218">
        <v>1</v>
      </c>
      <c r="Q218">
        <v>0.14591810089020771</v>
      </c>
      <c r="R218">
        <v>0.14591810089020771</v>
      </c>
      <c r="S218">
        <v>0.16183643916913951</v>
      </c>
      <c r="T218">
        <v>0.1764282492581602</v>
      </c>
      <c r="U218">
        <v>0.18704047477744801</v>
      </c>
      <c r="V218">
        <v>0.1963261721068249</v>
      </c>
      <c r="W218">
        <v>0.2056118694362018</v>
      </c>
      <c r="X218">
        <v>465.89692424941529</v>
      </c>
      <c r="Y218">
        <v>465.89692424941529</v>
      </c>
      <c r="Z218">
        <v>464.47433822117279</v>
      </c>
      <c r="AA218">
        <v>460.91787315056649</v>
      </c>
      <c r="AB218">
        <v>459.49528712232399</v>
      </c>
      <c r="AC218">
        <v>458.78399410820282</v>
      </c>
      <c r="AD218">
        <v>458.07270109408159</v>
      </c>
      <c r="AE218">
        <v>18.02032399555608</v>
      </c>
      <c r="AF218">
        <v>18.02032399555608</v>
      </c>
      <c r="AG218">
        <v>18.02032399555608</v>
      </c>
      <c r="AH218">
        <v>18.02032399555608</v>
      </c>
      <c r="AI218">
        <v>18.02032399555608</v>
      </c>
      <c r="AJ218">
        <v>18.02032399555608</v>
      </c>
      <c r="AK218">
        <v>18.02032399555608</v>
      </c>
    </row>
    <row r="219" spans="1:37" x14ac:dyDescent="0.25">
      <c r="A219" t="s">
        <v>90</v>
      </c>
      <c r="B219" t="s">
        <v>91</v>
      </c>
      <c r="C219" t="s">
        <v>255</v>
      </c>
      <c r="F219" t="s">
        <v>207</v>
      </c>
      <c r="G219" t="s">
        <v>122</v>
      </c>
      <c r="H219" t="s">
        <v>123</v>
      </c>
      <c r="I219" t="s">
        <v>256</v>
      </c>
      <c r="J219" t="s">
        <v>259</v>
      </c>
      <c r="K219" t="s">
        <v>98</v>
      </c>
      <c r="L219">
        <v>0</v>
      </c>
      <c r="M219">
        <v>1</v>
      </c>
      <c r="N219">
        <v>2020</v>
      </c>
      <c r="O219">
        <v>4.6576618537494188</v>
      </c>
      <c r="P219">
        <v>1</v>
      </c>
      <c r="Q219">
        <v>0.14591810089020771</v>
      </c>
      <c r="R219">
        <v>0.14591810089020771</v>
      </c>
      <c r="S219">
        <v>0.16183643916913951</v>
      </c>
      <c r="T219">
        <v>0.1764282492581602</v>
      </c>
      <c r="U219">
        <v>0.18704047477744801</v>
      </c>
      <c r="V219">
        <v>0.1963261721068249</v>
      </c>
      <c r="W219">
        <v>0.2056118694362018</v>
      </c>
      <c r="X219">
        <v>465.89692424941529</v>
      </c>
      <c r="Y219">
        <v>465.89692424941529</v>
      </c>
      <c r="Z219">
        <v>464.47433822117279</v>
      </c>
      <c r="AA219">
        <v>460.91787315056649</v>
      </c>
      <c r="AB219">
        <v>459.49528712232399</v>
      </c>
      <c r="AC219">
        <v>458.78399410820282</v>
      </c>
      <c r="AD219">
        <v>458.07270109408159</v>
      </c>
      <c r="AE219">
        <v>18.02032399555608</v>
      </c>
      <c r="AF219">
        <v>18.02032399555608</v>
      </c>
      <c r="AG219">
        <v>18.02032399555608</v>
      </c>
      <c r="AH219">
        <v>18.02032399555608</v>
      </c>
      <c r="AI219">
        <v>18.02032399555608</v>
      </c>
      <c r="AJ219">
        <v>18.02032399555608</v>
      </c>
      <c r="AK219">
        <v>18.02032399555608</v>
      </c>
    </row>
    <row r="220" spans="1:37" x14ac:dyDescent="0.25">
      <c r="A220" t="s">
        <v>90</v>
      </c>
      <c r="B220" t="s">
        <v>91</v>
      </c>
      <c r="C220" t="s">
        <v>255</v>
      </c>
      <c r="F220" t="s">
        <v>207</v>
      </c>
      <c r="G220" t="s">
        <v>124</v>
      </c>
      <c r="H220" t="s">
        <v>125</v>
      </c>
      <c r="I220" t="s">
        <v>256</v>
      </c>
      <c r="J220" t="s">
        <v>259</v>
      </c>
      <c r="K220" t="s">
        <v>98</v>
      </c>
      <c r="L220">
        <v>0</v>
      </c>
      <c r="M220">
        <v>1</v>
      </c>
      <c r="N220">
        <v>2020</v>
      </c>
      <c r="O220">
        <v>4.6576618537494188</v>
      </c>
      <c r="P220">
        <v>0.1</v>
      </c>
      <c r="Q220">
        <v>0.14591810089020771</v>
      </c>
      <c r="R220">
        <v>0.14591810089020771</v>
      </c>
      <c r="S220">
        <v>0.16183643916913951</v>
      </c>
      <c r="T220">
        <v>0.1764282492581602</v>
      </c>
      <c r="U220">
        <v>0.18704047477744801</v>
      </c>
      <c r="V220">
        <v>0.1963261721068249</v>
      </c>
      <c r="W220">
        <v>0.2056118694362018</v>
      </c>
      <c r="X220">
        <v>465.89692424941529</v>
      </c>
      <c r="Y220">
        <v>465.89692424941529</v>
      </c>
      <c r="Z220">
        <v>464.47433822117279</v>
      </c>
      <c r="AA220">
        <v>460.91787315056649</v>
      </c>
      <c r="AB220">
        <v>459.49528712232399</v>
      </c>
      <c r="AC220">
        <v>458.78399410820282</v>
      </c>
      <c r="AD220">
        <v>458.07270109408159</v>
      </c>
      <c r="AE220">
        <v>18.02032399555608</v>
      </c>
      <c r="AF220">
        <v>18.02032399555608</v>
      </c>
      <c r="AG220">
        <v>18.02032399555608</v>
      </c>
      <c r="AH220">
        <v>18.02032399555608</v>
      </c>
      <c r="AI220">
        <v>18.02032399555608</v>
      </c>
      <c r="AJ220">
        <v>18.02032399555608</v>
      </c>
      <c r="AK220">
        <v>18.02032399555608</v>
      </c>
    </row>
    <row r="221" spans="1:37" x14ac:dyDescent="0.25">
      <c r="A221" t="s">
        <v>90</v>
      </c>
      <c r="B221" t="s">
        <v>91</v>
      </c>
      <c r="C221" t="s">
        <v>255</v>
      </c>
      <c r="F221" t="s">
        <v>209</v>
      </c>
      <c r="G221" t="s">
        <v>119</v>
      </c>
      <c r="H221" t="s">
        <v>120</v>
      </c>
      <c r="I221" t="s">
        <v>256</v>
      </c>
      <c r="J221" t="s">
        <v>260</v>
      </c>
      <c r="K221" t="s">
        <v>98</v>
      </c>
      <c r="L221">
        <v>1</v>
      </c>
      <c r="M221">
        <v>1</v>
      </c>
      <c r="N221">
        <v>2020</v>
      </c>
      <c r="O221">
        <v>4.6576618537494188</v>
      </c>
      <c r="P221">
        <v>0.30952380952381148</v>
      </c>
      <c r="Q221">
        <v>0.29979537091988079</v>
      </c>
      <c r="R221">
        <v>0.29979537091988079</v>
      </c>
      <c r="S221">
        <v>0.33030551928783392</v>
      </c>
      <c r="T221">
        <v>0.35816261127596438</v>
      </c>
      <c r="U221">
        <v>0.37408094955489479</v>
      </c>
      <c r="V221">
        <v>0.3899992878338272</v>
      </c>
      <c r="W221">
        <v>0.4059176261127605</v>
      </c>
      <c r="X221">
        <v>515.68743523790056</v>
      </c>
      <c r="Y221">
        <v>515.68743523790056</v>
      </c>
      <c r="Z221">
        <v>484.39054261656662</v>
      </c>
      <c r="AA221">
        <v>464.47433822117449</v>
      </c>
      <c r="AB221">
        <v>456.65011506583812</v>
      </c>
      <c r="AC221">
        <v>449.53718492462809</v>
      </c>
      <c r="AD221">
        <v>441.71296176929172</v>
      </c>
      <c r="AE221">
        <v>18.020323995556041</v>
      </c>
      <c r="AF221">
        <v>18.020323995556041</v>
      </c>
      <c r="AG221">
        <v>18.020323995556041</v>
      </c>
      <c r="AH221">
        <v>18.020323995556041</v>
      </c>
      <c r="AI221">
        <v>18.020323995556041</v>
      </c>
      <c r="AJ221">
        <v>18.020323995556041</v>
      </c>
      <c r="AK221">
        <v>18.020323995556041</v>
      </c>
    </row>
    <row r="222" spans="1:37" x14ac:dyDescent="0.25">
      <c r="A222" t="s">
        <v>90</v>
      </c>
      <c r="B222" t="s">
        <v>91</v>
      </c>
      <c r="C222" t="s">
        <v>255</v>
      </c>
      <c r="F222" t="s">
        <v>209</v>
      </c>
      <c r="G222" t="s">
        <v>122</v>
      </c>
      <c r="H222" t="s">
        <v>123</v>
      </c>
      <c r="I222" t="s">
        <v>256</v>
      </c>
      <c r="J222" t="s">
        <v>260</v>
      </c>
      <c r="K222" t="s">
        <v>98</v>
      </c>
      <c r="L222">
        <v>0</v>
      </c>
      <c r="M222">
        <v>1</v>
      </c>
      <c r="N222">
        <v>2020</v>
      </c>
      <c r="O222">
        <v>4.6576618537494188</v>
      </c>
      <c r="P222">
        <v>0.30952380952381148</v>
      </c>
      <c r="Q222">
        <v>0.29979537091988079</v>
      </c>
      <c r="R222">
        <v>0.29979537091988079</v>
      </c>
      <c r="S222">
        <v>0.33030551928783392</v>
      </c>
      <c r="T222">
        <v>0.35816261127596438</v>
      </c>
      <c r="U222">
        <v>0.37408094955489479</v>
      </c>
      <c r="V222">
        <v>0.3899992878338272</v>
      </c>
      <c r="W222">
        <v>0.4059176261127605</v>
      </c>
      <c r="X222">
        <v>515.68743523790056</v>
      </c>
      <c r="Y222">
        <v>515.68743523790056</v>
      </c>
      <c r="Z222">
        <v>484.39054261656662</v>
      </c>
      <c r="AA222">
        <v>464.47433822117449</v>
      </c>
      <c r="AB222">
        <v>456.65011506583812</v>
      </c>
      <c r="AC222">
        <v>449.53718492462809</v>
      </c>
      <c r="AD222">
        <v>441.71296176929172</v>
      </c>
      <c r="AE222">
        <v>18.020323995556041</v>
      </c>
      <c r="AF222">
        <v>18.020323995556041</v>
      </c>
      <c r="AG222">
        <v>18.020323995556041</v>
      </c>
      <c r="AH222">
        <v>18.020323995556041</v>
      </c>
      <c r="AI222">
        <v>18.020323995556041</v>
      </c>
      <c r="AJ222">
        <v>18.020323995556041</v>
      </c>
      <c r="AK222">
        <v>18.020323995556041</v>
      </c>
    </row>
    <row r="223" spans="1:37" x14ac:dyDescent="0.25">
      <c r="A223" t="s">
        <v>90</v>
      </c>
      <c r="B223" t="s">
        <v>91</v>
      </c>
      <c r="C223" t="s">
        <v>255</v>
      </c>
      <c r="F223" t="s">
        <v>209</v>
      </c>
      <c r="G223" t="s">
        <v>124</v>
      </c>
      <c r="H223" t="s">
        <v>125</v>
      </c>
      <c r="I223" t="s">
        <v>256</v>
      </c>
      <c r="J223" t="s">
        <v>260</v>
      </c>
      <c r="K223" t="s">
        <v>98</v>
      </c>
      <c r="L223">
        <v>0</v>
      </c>
      <c r="M223">
        <v>1</v>
      </c>
      <c r="N223">
        <v>2020</v>
      </c>
      <c r="O223">
        <v>4.6576618537494188</v>
      </c>
      <c r="P223">
        <v>0.1</v>
      </c>
      <c r="Q223">
        <v>0.29979537091988079</v>
      </c>
      <c r="R223">
        <v>0.29979537091988079</v>
      </c>
      <c r="S223">
        <v>0.33030551928783392</v>
      </c>
      <c r="T223">
        <v>0.35816261127596438</v>
      </c>
      <c r="U223">
        <v>0.37408094955489479</v>
      </c>
      <c r="V223">
        <v>0.3899992878338272</v>
      </c>
      <c r="W223">
        <v>0.4059176261127605</v>
      </c>
      <c r="X223">
        <v>515.68743523790056</v>
      </c>
      <c r="Y223">
        <v>515.68743523790056</v>
      </c>
      <c r="Z223">
        <v>484.39054261656662</v>
      </c>
      <c r="AA223">
        <v>464.47433822117449</v>
      </c>
      <c r="AB223">
        <v>456.65011506583812</v>
      </c>
      <c r="AC223">
        <v>449.53718492462809</v>
      </c>
      <c r="AD223">
        <v>441.71296176929172</v>
      </c>
      <c r="AE223">
        <v>18.020323995556041</v>
      </c>
      <c r="AF223">
        <v>18.020323995556041</v>
      </c>
      <c r="AG223">
        <v>18.020323995556041</v>
      </c>
      <c r="AH223">
        <v>18.020323995556041</v>
      </c>
      <c r="AI223">
        <v>18.020323995556041</v>
      </c>
      <c r="AJ223">
        <v>18.020323995556041</v>
      </c>
      <c r="AK223">
        <v>18.020323995556041</v>
      </c>
    </row>
    <row r="224" spans="1:37" x14ac:dyDescent="0.25">
      <c r="A224" t="s">
        <v>90</v>
      </c>
      <c r="B224" t="s">
        <v>91</v>
      </c>
      <c r="C224" t="s">
        <v>255</v>
      </c>
      <c r="F224" t="s">
        <v>209</v>
      </c>
      <c r="G224" t="s">
        <v>211</v>
      </c>
      <c r="H224" t="s">
        <v>212</v>
      </c>
      <c r="I224" t="s">
        <v>256</v>
      </c>
      <c r="J224" t="s">
        <v>260</v>
      </c>
      <c r="K224" t="s">
        <v>98</v>
      </c>
      <c r="L224">
        <v>0</v>
      </c>
      <c r="M224">
        <v>1</v>
      </c>
      <c r="N224">
        <v>2020</v>
      </c>
      <c r="O224">
        <v>4.6576618537494188</v>
      </c>
      <c r="P224">
        <v>0.69047619047618847</v>
      </c>
      <c r="Q224">
        <v>0.29979537091988079</v>
      </c>
      <c r="R224">
        <v>0.29979537091988079</v>
      </c>
      <c r="S224">
        <v>0.33030551928783392</v>
      </c>
      <c r="T224">
        <v>0.35816261127596438</v>
      </c>
      <c r="U224">
        <v>0.37408094955489479</v>
      </c>
      <c r="V224">
        <v>0.3899992878338272</v>
      </c>
      <c r="W224">
        <v>0.4059176261127605</v>
      </c>
      <c r="X224">
        <v>515.68743523790056</v>
      </c>
      <c r="Y224">
        <v>515.68743523790056</v>
      </c>
      <c r="Z224">
        <v>484.39054261656662</v>
      </c>
      <c r="AA224">
        <v>464.47433822117449</v>
      </c>
      <c r="AB224">
        <v>456.65011506583812</v>
      </c>
      <c r="AC224">
        <v>449.53718492462809</v>
      </c>
      <c r="AD224">
        <v>441.71296176929172</v>
      </c>
      <c r="AE224">
        <v>18.020323995556041</v>
      </c>
      <c r="AF224">
        <v>18.020323995556041</v>
      </c>
      <c r="AG224">
        <v>18.020323995556041</v>
      </c>
      <c r="AH224">
        <v>18.020323995556041</v>
      </c>
      <c r="AI224">
        <v>18.020323995556041</v>
      </c>
      <c r="AJ224">
        <v>18.020323995556041</v>
      </c>
      <c r="AK224">
        <v>18.020323995556041</v>
      </c>
    </row>
    <row r="225" spans="1:37" x14ac:dyDescent="0.25">
      <c r="A225" t="s">
        <v>90</v>
      </c>
      <c r="B225" t="s">
        <v>91</v>
      </c>
      <c r="C225" t="s">
        <v>255</v>
      </c>
      <c r="F225" t="s">
        <v>213</v>
      </c>
      <c r="G225" t="s">
        <v>133</v>
      </c>
      <c r="H225" t="s">
        <v>134</v>
      </c>
      <c r="I225" t="s">
        <v>256</v>
      </c>
      <c r="J225" t="s">
        <v>261</v>
      </c>
      <c r="K225" t="s">
        <v>98</v>
      </c>
      <c r="L225">
        <v>1</v>
      </c>
      <c r="M225">
        <v>1</v>
      </c>
      <c r="N225">
        <v>2020</v>
      </c>
      <c r="O225">
        <v>4.6576618537494188</v>
      </c>
      <c r="P225">
        <v>1</v>
      </c>
      <c r="Q225">
        <v>0.20030575667655801</v>
      </c>
      <c r="R225">
        <v>0.20030575667655801</v>
      </c>
      <c r="S225">
        <v>0.22020367952522271</v>
      </c>
      <c r="T225">
        <v>0.24142813056379819</v>
      </c>
      <c r="U225">
        <v>0.25071382789317492</v>
      </c>
      <c r="V225">
        <v>0.26132605341246301</v>
      </c>
      <c r="W225">
        <v>0.27061175074183957</v>
      </c>
      <c r="X225">
        <v>635.89595462439217</v>
      </c>
      <c r="Y225">
        <v>635.89595462439217</v>
      </c>
      <c r="Z225">
        <v>598.19742487596693</v>
      </c>
      <c r="AA225">
        <v>566.18923924051046</v>
      </c>
      <c r="AB225">
        <v>553.38596498632808</v>
      </c>
      <c r="AC225">
        <v>540.58269073214626</v>
      </c>
      <c r="AD225">
        <v>527.77941647796388</v>
      </c>
      <c r="AE225">
        <v>18.020323995556069</v>
      </c>
      <c r="AF225">
        <v>18.020323995556069</v>
      </c>
      <c r="AG225">
        <v>18.020323995556069</v>
      </c>
      <c r="AH225">
        <v>18.020323995556069</v>
      </c>
      <c r="AI225">
        <v>18.020323995556069</v>
      </c>
      <c r="AJ225">
        <v>18.020323995556069</v>
      </c>
      <c r="AK225">
        <v>18.020323995556069</v>
      </c>
    </row>
    <row r="226" spans="1:37" x14ac:dyDescent="0.25">
      <c r="A226" t="s">
        <v>90</v>
      </c>
      <c r="B226" t="s">
        <v>91</v>
      </c>
      <c r="C226" t="s">
        <v>255</v>
      </c>
      <c r="F226" t="s">
        <v>215</v>
      </c>
      <c r="G226" t="s">
        <v>133</v>
      </c>
      <c r="H226" t="s">
        <v>134</v>
      </c>
      <c r="I226" t="s">
        <v>256</v>
      </c>
      <c r="J226" t="s">
        <v>262</v>
      </c>
      <c r="K226" t="s">
        <v>98</v>
      </c>
      <c r="L226">
        <v>1</v>
      </c>
      <c r="M226">
        <v>1</v>
      </c>
      <c r="N226">
        <v>2020</v>
      </c>
      <c r="O226">
        <v>4.6576618537494188</v>
      </c>
      <c r="P226">
        <v>0.89763779527559173</v>
      </c>
      <c r="Q226">
        <v>0.2175506231454005</v>
      </c>
      <c r="R226">
        <v>0.2175506231454005</v>
      </c>
      <c r="S226">
        <v>0.24010160237388731</v>
      </c>
      <c r="T226">
        <v>0.25867299703264102</v>
      </c>
      <c r="U226">
        <v>0.26663216617210689</v>
      </c>
      <c r="V226">
        <v>0.27591786350148362</v>
      </c>
      <c r="W226">
        <v>0.28387703264094938</v>
      </c>
      <c r="X226">
        <v>537.02622566153968</v>
      </c>
      <c r="Y226">
        <v>537.02622566153968</v>
      </c>
      <c r="Z226">
        <v>500.03898892723481</v>
      </c>
      <c r="AA226">
        <v>476.56631946123417</v>
      </c>
      <c r="AB226">
        <v>466.60821726353652</v>
      </c>
      <c r="AC226">
        <v>456.65011506583892</v>
      </c>
      <c r="AD226">
        <v>446.69201286814172</v>
      </c>
      <c r="AE226">
        <v>18.020323995556069</v>
      </c>
      <c r="AF226">
        <v>18.020323995556069</v>
      </c>
      <c r="AG226">
        <v>18.020323995556069</v>
      </c>
      <c r="AH226">
        <v>18.020323995556069</v>
      </c>
      <c r="AI226">
        <v>18.020323995556069</v>
      </c>
      <c r="AJ226">
        <v>18.020323995556069</v>
      </c>
      <c r="AK226">
        <v>18.020323995556069</v>
      </c>
    </row>
    <row r="227" spans="1:37" x14ac:dyDescent="0.25">
      <c r="A227" t="s">
        <v>90</v>
      </c>
      <c r="B227" t="s">
        <v>91</v>
      </c>
      <c r="C227" t="s">
        <v>255</v>
      </c>
      <c r="F227" t="s">
        <v>215</v>
      </c>
      <c r="G227" t="s">
        <v>211</v>
      </c>
      <c r="H227" t="s">
        <v>212</v>
      </c>
      <c r="I227" t="s">
        <v>256</v>
      </c>
      <c r="J227" t="s">
        <v>262</v>
      </c>
      <c r="K227" t="s">
        <v>98</v>
      </c>
      <c r="L227">
        <v>0</v>
      </c>
      <c r="M227">
        <v>1</v>
      </c>
      <c r="N227">
        <v>2020</v>
      </c>
      <c r="O227">
        <v>4.6576618537494188</v>
      </c>
      <c r="P227">
        <v>0.1023622047244083</v>
      </c>
      <c r="Q227">
        <v>0.2175506231454005</v>
      </c>
      <c r="R227">
        <v>0.2175506231454005</v>
      </c>
      <c r="S227">
        <v>0.24010160237388731</v>
      </c>
      <c r="T227">
        <v>0.25867299703264102</v>
      </c>
      <c r="U227">
        <v>0.26663216617210689</v>
      </c>
      <c r="V227">
        <v>0.27591786350148362</v>
      </c>
      <c r="W227">
        <v>0.28387703264094938</v>
      </c>
      <c r="X227">
        <v>537.02622566153968</v>
      </c>
      <c r="Y227">
        <v>537.02622566153968</v>
      </c>
      <c r="Z227">
        <v>500.03898892723481</v>
      </c>
      <c r="AA227">
        <v>476.56631946123417</v>
      </c>
      <c r="AB227">
        <v>466.60821726353652</v>
      </c>
      <c r="AC227">
        <v>456.65011506583892</v>
      </c>
      <c r="AD227">
        <v>446.69201286814172</v>
      </c>
      <c r="AE227">
        <v>18.020323995556069</v>
      </c>
      <c r="AF227">
        <v>18.020323995556069</v>
      </c>
      <c r="AG227">
        <v>18.020323995556069</v>
      </c>
      <c r="AH227">
        <v>18.020323995556069</v>
      </c>
      <c r="AI227">
        <v>18.020323995556069</v>
      </c>
      <c r="AJ227">
        <v>18.020323995556069</v>
      </c>
      <c r="AK227">
        <v>18.020323995556069</v>
      </c>
    </row>
    <row r="228" spans="1:37" x14ac:dyDescent="0.25">
      <c r="A228" t="s">
        <v>90</v>
      </c>
      <c r="B228" t="s">
        <v>91</v>
      </c>
      <c r="C228" t="s">
        <v>255</v>
      </c>
      <c r="F228" t="s">
        <v>217</v>
      </c>
      <c r="G228" t="s">
        <v>211</v>
      </c>
      <c r="H228" t="s">
        <v>212</v>
      </c>
      <c r="I228" t="s">
        <v>256</v>
      </c>
      <c r="J228" t="s">
        <v>263</v>
      </c>
      <c r="K228" t="s">
        <v>98</v>
      </c>
      <c r="L228">
        <v>1</v>
      </c>
      <c r="M228">
        <v>1</v>
      </c>
      <c r="N228">
        <v>2020</v>
      </c>
      <c r="O228">
        <v>4.6576618537494188</v>
      </c>
      <c r="P228">
        <v>1</v>
      </c>
      <c r="Q228">
        <v>0.36877483679525219</v>
      </c>
      <c r="R228">
        <v>0.36877483679525219</v>
      </c>
      <c r="S228">
        <v>0.40061151335311579</v>
      </c>
      <c r="T228">
        <v>0.43510124629080099</v>
      </c>
      <c r="U228">
        <v>0.44969305637982182</v>
      </c>
      <c r="V228">
        <v>0.46428486646884271</v>
      </c>
      <c r="W228">
        <v>0.48152973293768542</v>
      </c>
      <c r="X228">
        <v>508.57450509669002</v>
      </c>
      <c r="Y228">
        <v>508.57450509669002</v>
      </c>
      <c r="Z228">
        <v>462.34045917880923</v>
      </c>
      <c r="AA228">
        <v>437.44520368456551</v>
      </c>
      <c r="AB228">
        <v>426.06451545862558</v>
      </c>
      <c r="AC228">
        <v>414.6838272326857</v>
      </c>
      <c r="AD228">
        <v>403.30313900674582</v>
      </c>
      <c r="AE228">
        <v>11.60631037001917</v>
      </c>
      <c r="AF228">
        <v>11.60631037001917</v>
      </c>
      <c r="AG228">
        <v>11.60631037001917</v>
      </c>
      <c r="AH228">
        <v>11.60631037001917</v>
      </c>
      <c r="AI228">
        <v>11.60631037001917</v>
      </c>
      <c r="AJ228">
        <v>11.60631037001917</v>
      </c>
      <c r="AK228">
        <v>11.60631037001917</v>
      </c>
    </row>
    <row r="229" spans="1:37" x14ac:dyDescent="0.25">
      <c r="A229" t="s">
        <v>90</v>
      </c>
      <c r="B229" t="s">
        <v>91</v>
      </c>
      <c r="C229" t="s">
        <v>264</v>
      </c>
      <c r="F229" t="s">
        <v>202</v>
      </c>
      <c r="G229" t="s">
        <v>119</v>
      </c>
      <c r="H229" t="s">
        <v>120</v>
      </c>
      <c r="I229" t="s">
        <v>265</v>
      </c>
      <c r="J229" t="s">
        <v>266</v>
      </c>
      <c r="K229" t="s">
        <v>98</v>
      </c>
      <c r="L229">
        <v>1</v>
      </c>
      <c r="M229">
        <v>1</v>
      </c>
      <c r="N229">
        <v>2020</v>
      </c>
      <c r="O229">
        <v>14.200511218403861</v>
      </c>
      <c r="P229">
        <v>1</v>
      </c>
      <c r="Q229">
        <v>0.14459157270029679</v>
      </c>
      <c r="R229">
        <v>0.14459157270029679</v>
      </c>
      <c r="S229">
        <v>0.1578568545994066</v>
      </c>
      <c r="T229">
        <v>0.1711221364985164</v>
      </c>
      <c r="U229">
        <v>0.1804078338278931</v>
      </c>
      <c r="V229">
        <v>0.18836700296735909</v>
      </c>
      <c r="W229">
        <v>0.1963261721068249</v>
      </c>
      <c r="X229">
        <v>421.08546435977678</v>
      </c>
      <c r="Y229">
        <v>421.08546435977678</v>
      </c>
      <c r="Z229">
        <v>423.93063641626179</v>
      </c>
      <c r="AA229">
        <v>423.21934340214051</v>
      </c>
      <c r="AB229">
        <v>423.93063641626179</v>
      </c>
      <c r="AC229">
        <v>424.64192943038302</v>
      </c>
      <c r="AD229">
        <v>426.06451545862558</v>
      </c>
      <c r="AE229">
        <v>5.9105319784213286</v>
      </c>
      <c r="AF229">
        <v>5.9105319784213286</v>
      </c>
      <c r="AG229">
        <v>5.9105319784213286</v>
      </c>
      <c r="AH229">
        <v>5.9105319784213286</v>
      </c>
      <c r="AI229">
        <v>5.9105319784213286</v>
      </c>
      <c r="AJ229">
        <v>5.9105319784213286</v>
      </c>
      <c r="AK229">
        <v>5.9105319784213286</v>
      </c>
    </row>
    <row r="230" spans="1:37" x14ac:dyDescent="0.25">
      <c r="A230" t="s">
        <v>90</v>
      </c>
      <c r="B230" t="s">
        <v>91</v>
      </c>
      <c r="C230" t="s">
        <v>264</v>
      </c>
      <c r="F230" t="s">
        <v>202</v>
      </c>
      <c r="G230" t="s">
        <v>122</v>
      </c>
      <c r="H230" t="s">
        <v>123</v>
      </c>
      <c r="I230" t="s">
        <v>265</v>
      </c>
      <c r="J230" t="s">
        <v>266</v>
      </c>
      <c r="K230" t="s">
        <v>98</v>
      </c>
      <c r="L230">
        <v>0</v>
      </c>
      <c r="M230">
        <v>1</v>
      </c>
      <c r="N230">
        <v>2020</v>
      </c>
      <c r="O230">
        <v>14.200511218403861</v>
      </c>
      <c r="P230">
        <v>1</v>
      </c>
      <c r="Q230">
        <v>0.14459157270029679</v>
      </c>
      <c r="R230">
        <v>0.14459157270029679</v>
      </c>
      <c r="S230">
        <v>0.1578568545994066</v>
      </c>
      <c r="T230">
        <v>0.1711221364985164</v>
      </c>
      <c r="U230">
        <v>0.1804078338278931</v>
      </c>
      <c r="V230">
        <v>0.18836700296735909</v>
      </c>
      <c r="W230">
        <v>0.1963261721068249</v>
      </c>
      <c r="X230">
        <v>421.08546435977678</v>
      </c>
      <c r="Y230">
        <v>421.08546435977678</v>
      </c>
      <c r="Z230">
        <v>423.93063641626179</v>
      </c>
      <c r="AA230">
        <v>423.21934340214051</v>
      </c>
      <c r="AB230">
        <v>423.93063641626179</v>
      </c>
      <c r="AC230">
        <v>424.64192943038302</v>
      </c>
      <c r="AD230">
        <v>426.06451545862558</v>
      </c>
      <c r="AE230">
        <v>5.9105319784213286</v>
      </c>
      <c r="AF230">
        <v>5.9105319784213286</v>
      </c>
      <c r="AG230">
        <v>5.9105319784213286</v>
      </c>
      <c r="AH230">
        <v>5.9105319784213286</v>
      </c>
      <c r="AI230">
        <v>5.9105319784213286</v>
      </c>
      <c r="AJ230">
        <v>5.9105319784213286</v>
      </c>
      <c r="AK230">
        <v>5.9105319784213286</v>
      </c>
    </row>
    <row r="231" spans="1:37" x14ac:dyDescent="0.25">
      <c r="A231" t="s">
        <v>90</v>
      </c>
      <c r="B231" t="s">
        <v>91</v>
      </c>
      <c r="C231" t="s">
        <v>264</v>
      </c>
      <c r="F231" t="s">
        <v>202</v>
      </c>
      <c r="G231" t="s">
        <v>124</v>
      </c>
      <c r="H231" t="s">
        <v>125</v>
      </c>
      <c r="I231" t="s">
        <v>265</v>
      </c>
      <c r="J231" t="s">
        <v>266</v>
      </c>
      <c r="K231" t="s">
        <v>98</v>
      </c>
      <c r="L231">
        <v>0</v>
      </c>
      <c r="M231">
        <v>1</v>
      </c>
      <c r="N231">
        <v>2020</v>
      </c>
      <c r="O231">
        <v>14.200511218403861</v>
      </c>
      <c r="P231">
        <v>0.1</v>
      </c>
      <c r="Q231">
        <v>0.14459157270029679</v>
      </c>
      <c r="R231">
        <v>0.14459157270029679</v>
      </c>
      <c r="S231">
        <v>0.1578568545994066</v>
      </c>
      <c r="T231">
        <v>0.1711221364985164</v>
      </c>
      <c r="U231">
        <v>0.1804078338278931</v>
      </c>
      <c r="V231">
        <v>0.18836700296735909</v>
      </c>
      <c r="W231">
        <v>0.1963261721068249</v>
      </c>
      <c r="X231">
        <v>421.08546435977678</v>
      </c>
      <c r="Y231">
        <v>421.08546435977678</v>
      </c>
      <c r="Z231">
        <v>423.93063641626179</v>
      </c>
      <c r="AA231">
        <v>423.21934340214051</v>
      </c>
      <c r="AB231">
        <v>423.93063641626179</v>
      </c>
      <c r="AC231">
        <v>424.64192943038302</v>
      </c>
      <c r="AD231">
        <v>426.06451545862558</v>
      </c>
      <c r="AE231">
        <v>5.9105319784213286</v>
      </c>
      <c r="AF231">
        <v>5.9105319784213286</v>
      </c>
      <c r="AG231">
        <v>5.9105319784213286</v>
      </c>
      <c r="AH231">
        <v>5.9105319784213286</v>
      </c>
      <c r="AI231">
        <v>5.9105319784213286</v>
      </c>
      <c r="AJ231">
        <v>5.9105319784213286</v>
      </c>
      <c r="AK231">
        <v>5.9105319784213286</v>
      </c>
    </row>
    <row r="232" spans="1:37" x14ac:dyDescent="0.25">
      <c r="A232" t="s">
        <v>90</v>
      </c>
      <c r="B232" t="s">
        <v>91</v>
      </c>
      <c r="C232" t="s">
        <v>264</v>
      </c>
      <c r="F232" t="s">
        <v>205</v>
      </c>
      <c r="G232" t="s">
        <v>119</v>
      </c>
      <c r="H232" t="s">
        <v>120</v>
      </c>
      <c r="I232" t="s">
        <v>265</v>
      </c>
      <c r="J232" t="s">
        <v>267</v>
      </c>
      <c r="K232" t="s">
        <v>98</v>
      </c>
      <c r="L232">
        <v>1</v>
      </c>
      <c r="M232">
        <v>1</v>
      </c>
      <c r="N232">
        <v>2020</v>
      </c>
      <c r="O232">
        <v>14.200511218403861</v>
      </c>
      <c r="P232">
        <v>1</v>
      </c>
      <c r="Q232">
        <v>0.14459157270029679</v>
      </c>
      <c r="R232">
        <v>0.14459157270029679</v>
      </c>
      <c r="S232">
        <v>0.1578568545994066</v>
      </c>
      <c r="T232">
        <v>0.17244866468842729</v>
      </c>
      <c r="U232">
        <v>0.1804078338278931</v>
      </c>
      <c r="V232">
        <v>0.18836700296735909</v>
      </c>
      <c r="W232">
        <v>0.19765270029673601</v>
      </c>
      <c r="X232">
        <v>461.62916616468777</v>
      </c>
      <c r="Y232">
        <v>461.62916616468777</v>
      </c>
      <c r="Z232">
        <v>465.18563123529401</v>
      </c>
      <c r="AA232">
        <v>463.7630452070515</v>
      </c>
      <c r="AB232">
        <v>463.7630452070515</v>
      </c>
      <c r="AC232">
        <v>464.47433822117279</v>
      </c>
      <c r="AD232">
        <v>465.18563123529401</v>
      </c>
      <c r="AE232">
        <v>5.9105319784213286</v>
      </c>
      <c r="AF232">
        <v>5.9105319784213286</v>
      </c>
      <c r="AG232">
        <v>5.9105319784213286</v>
      </c>
      <c r="AH232">
        <v>5.9105319784213286</v>
      </c>
      <c r="AI232">
        <v>5.9105319784213286</v>
      </c>
      <c r="AJ232">
        <v>5.9105319784213286</v>
      </c>
      <c r="AK232">
        <v>5.9105319784213286</v>
      </c>
    </row>
    <row r="233" spans="1:37" x14ac:dyDescent="0.25">
      <c r="A233" t="s">
        <v>90</v>
      </c>
      <c r="B233" t="s">
        <v>91</v>
      </c>
      <c r="C233" t="s">
        <v>264</v>
      </c>
      <c r="F233" t="s">
        <v>205</v>
      </c>
      <c r="G233" t="s">
        <v>122</v>
      </c>
      <c r="H233" t="s">
        <v>123</v>
      </c>
      <c r="I233" t="s">
        <v>265</v>
      </c>
      <c r="J233" t="s">
        <v>267</v>
      </c>
      <c r="K233" t="s">
        <v>98</v>
      </c>
      <c r="L233">
        <v>0</v>
      </c>
      <c r="M233">
        <v>1</v>
      </c>
      <c r="N233">
        <v>2020</v>
      </c>
      <c r="O233">
        <v>14.200511218403861</v>
      </c>
      <c r="P233">
        <v>1</v>
      </c>
      <c r="Q233">
        <v>0.14459157270029679</v>
      </c>
      <c r="R233">
        <v>0.14459157270029679</v>
      </c>
      <c r="S233">
        <v>0.1578568545994066</v>
      </c>
      <c r="T233">
        <v>0.17244866468842729</v>
      </c>
      <c r="U233">
        <v>0.1804078338278931</v>
      </c>
      <c r="V233">
        <v>0.18836700296735909</v>
      </c>
      <c r="W233">
        <v>0.19765270029673601</v>
      </c>
      <c r="X233">
        <v>461.62916616468777</v>
      </c>
      <c r="Y233">
        <v>461.62916616468777</v>
      </c>
      <c r="Z233">
        <v>465.18563123529401</v>
      </c>
      <c r="AA233">
        <v>463.7630452070515</v>
      </c>
      <c r="AB233">
        <v>463.7630452070515</v>
      </c>
      <c r="AC233">
        <v>464.47433822117279</v>
      </c>
      <c r="AD233">
        <v>465.18563123529401</v>
      </c>
      <c r="AE233">
        <v>5.9105319784213286</v>
      </c>
      <c r="AF233">
        <v>5.9105319784213286</v>
      </c>
      <c r="AG233">
        <v>5.9105319784213286</v>
      </c>
      <c r="AH233">
        <v>5.9105319784213286</v>
      </c>
      <c r="AI233">
        <v>5.9105319784213286</v>
      </c>
      <c r="AJ233">
        <v>5.9105319784213286</v>
      </c>
      <c r="AK233">
        <v>5.9105319784213286</v>
      </c>
    </row>
    <row r="234" spans="1:37" x14ac:dyDescent="0.25">
      <c r="A234" t="s">
        <v>90</v>
      </c>
      <c r="B234" t="s">
        <v>91</v>
      </c>
      <c r="C234" t="s">
        <v>264</v>
      </c>
      <c r="F234" t="s">
        <v>205</v>
      </c>
      <c r="G234" t="s">
        <v>124</v>
      </c>
      <c r="H234" t="s">
        <v>125</v>
      </c>
      <c r="I234" t="s">
        <v>265</v>
      </c>
      <c r="J234" t="s">
        <v>267</v>
      </c>
      <c r="K234" t="s">
        <v>98</v>
      </c>
      <c r="L234">
        <v>0</v>
      </c>
      <c r="M234">
        <v>1</v>
      </c>
      <c r="N234">
        <v>2020</v>
      </c>
      <c r="O234">
        <v>14.200511218403861</v>
      </c>
      <c r="P234">
        <v>0.1</v>
      </c>
      <c r="Q234">
        <v>0.14459157270029679</v>
      </c>
      <c r="R234">
        <v>0.14459157270029679</v>
      </c>
      <c r="S234">
        <v>0.1578568545994066</v>
      </c>
      <c r="T234">
        <v>0.17244866468842729</v>
      </c>
      <c r="U234">
        <v>0.1804078338278931</v>
      </c>
      <c r="V234">
        <v>0.18836700296735909</v>
      </c>
      <c r="W234">
        <v>0.19765270029673601</v>
      </c>
      <c r="X234">
        <v>461.62916616468777</v>
      </c>
      <c r="Y234">
        <v>461.62916616468777</v>
      </c>
      <c r="Z234">
        <v>465.18563123529401</v>
      </c>
      <c r="AA234">
        <v>463.7630452070515</v>
      </c>
      <c r="AB234">
        <v>463.7630452070515</v>
      </c>
      <c r="AC234">
        <v>464.47433822117279</v>
      </c>
      <c r="AD234">
        <v>465.18563123529401</v>
      </c>
      <c r="AE234">
        <v>5.9105319784213286</v>
      </c>
      <c r="AF234">
        <v>5.9105319784213286</v>
      </c>
      <c r="AG234">
        <v>5.9105319784213286</v>
      </c>
      <c r="AH234">
        <v>5.9105319784213286</v>
      </c>
      <c r="AI234">
        <v>5.9105319784213286</v>
      </c>
      <c r="AJ234">
        <v>5.9105319784213286</v>
      </c>
      <c r="AK234">
        <v>5.9105319784213286</v>
      </c>
    </row>
    <row r="235" spans="1:37" x14ac:dyDescent="0.25">
      <c r="A235" t="s">
        <v>90</v>
      </c>
      <c r="B235" t="s">
        <v>91</v>
      </c>
      <c r="C235" t="s">
        <v>264</v>
      </c>
      <c r="F235" t="s">
        <v>207</v>
      </c>
      <c r="G235" t="s">
        <v>119</v>
      </c>
      <c r="H235" t="s">
        <v>120</v>
      </c>
      <c r="I235" t="s">
        <v>265</v>
      </c>
      <c r="J235" t="s">
        <v>268</v>
      </c>
      <c r="K235" t="s">
        <v>98</v>
      </c>
      <c r="L235">
        <v>1</v>
      </c>
      <c r="M235">
        <v>1</v>
      </c>
      <c r="N235">
        <v>2020</v>
      </c>
      <c r="O235">
        <v>14.200511218403861</v>
      </c>
      <c r="P235">
        <v>1</v>
      </c>
      <c r="Q235">
        <v>0.14591810089020771</v>
      </c>
      <c r="R235">
        <v>0.14591810089020771</v>
      </c>
      <c r="S235">
        <v>0.16183643916913951</v>
      </c>
      <c r="T235">
        <v>0.1764282492581602</v>
      </c>
      <c r="U235">
        <v>0.18704047477744801</v>
      </c>
      <c r="V235">
        <v>0.1963261721068249</v>
      </c>
      <c r="W235">
        <v>0.2056118694362018</v>
      </c>
      <c r="X235">
        <v>465.89692424941529</v>
      </c>
      <c r="Y235">
        <v>465.89692424941529</v>
      </c>
      <c r="Z235">
        <v>464.47433822117279</v>
      </c>
      <c r="AA235">
        <v>460.91787315056649</v>
      </c>
      <c r="AB235">
        <v>459.49528712232399</v>
      </c>
      <c r="AC235">
        <v>458.78399410820282</v>
      </c>
      <c r="AD235">
        <v>458.07270109408159</v>
      </c>
      <c r="AE235">
        <v>5.9105319784213286</v>
      </c>
      <c r="AF235">
        <v>5.9105319784213286</v>
      </c>
      <c r="AG235">
        <v>5.9105319784213286</v>
      </c>
      <c r="AH235">
        <v>5.9105319784213286</v>
      </c>
      <c r="AI235">
        <v>5.9105319784213286</v>
      </c>
      <c r="AJ235">
        <v>5.9105319784213286</v>
      </c>
      <c r="AK235">
        <v>5.9105319784213286</v>
      </c>
    </row>
    <row r="236" spans="1:37" x14ac:dyDescent="0.25">
      <c r="A236" t="s">
        <v>90</v>
      </c>
      <c r="B236" t="s">
        <v>91</v>
      </c>
      <c r="C236" t="s">
        <v>264</v>
      </c>
      <c r="F236" t="s">
        <v>207</v>
      </c>
      <c r="G236" t="s">
        <v>122</v>
      </c>
      <c r="H236" t="s">
        <v>123</v>
      </c>
      <c r="I236" t="s">
        <v>265</v>
      </c>
      <c r="J236" t="s">
        <v>268</v>
      </c>
      <c r="K236" t="s">
        <v>98</v>
      </c>
      <c r="L236">
        <v>0</v>
      </c>
      <c r="M236">
        <v>1</v>
      </c>
      <c r="N236">
        <v>2020</v>
      </c>
      <c r="O236">
        <v>14.200511218403861</v>
      </c>
      <c r="P236">
        <v>1</v>
      </c>
      <c r="Q236">
        <v>0.14591810089020771</v>
      </c>
      <c r="R236">
        <v>0.14591810089020771</v>
      </c>
      <c r="S236">
        <v>0.16183643916913951</v>
      </c>
      <c r="T236">
        <v>0.1764282492581602</v>
      </c>
      <c r="U236">
        <v>0.18704047477744801</v>
      </c>
      <c r="V236">
        <v>0.1963261721068249</v>
      </c>
      <c r="W236">
        <v>0.2056118694362018</v>
      </c>
      <c r="X236">
        <v>465.89692424941529</v>
      </c>
      <c r="Y236">
        <v>465.89692424941529</v>
      </c>
      <c r="Z236">
        <v>464.47433822117279</v>
      </c>
      <c r="AA236">
        <v>460.91787315056649</v>
      </c>
      <c r="AB236">
        <v>459.49528712232399</v>
      </c>
      <c r="AC236">
        <v>458.78399410820282</v>
      </c>
      <c r="AD236">
        <v>458.07270109408159</v>
      </c>
      <c r="AE236">
        <v>5.9105319784213286</v>
      </c>
      <c r="AF236">
        <v>5.9105319784213286</v>
      </c>
      <c r="AG236">
        <v>5.9105319784213286</v>
      </c>
      <c r="AH236">
        <v>5.9105319784213286</v>
      </c>
      <c r="AI236">
        <v>5.9105319784213286</v>
      </c>
      <c r="AJ236">
        <v>5.9105319784213286</v>
      </c>
      <c r="AK236">
        <v>5.9105319784213286</v>
      </c>
    </row>
    <row r="237" spans="1:37" x14ac:dyDescent="0.25">
      <c r="A237" t="s">
        <v>90</v>
      </c>
      <c r="B237" t="s">
        <v>91</v>
      </c>
      <c r="C237" t="s">
        <v>264</v>
      </c>
      <c r="F237" t="s">
        <v>207</v>
      </c>
      <c r="G237" t="s">
        <v>124</v>
      </c>
      <c r="H237" t="s">
        <v>125</v>
      </c>
      <c r="I237" t="s">
        <v>265</v>
      </c>
      <c r="J237" t="s">
        <v>268</v>
      </c>
      <c r="K237" t="s">
        <v>98</v>
      </c>
      <c r="L237">
        <v>0</v>
      </c>
      <c r="M237">
        <v>1</v>
      </c>
      <c r="N237">
        <v>2020</v>
      </c>
      <c r="O237">
        <v>14.200511218403861</v>
      </c>
      <c r="P237">
        <v>0.1</v>
      </c>
      <c r="Q237">
        <v>0.14591810089020771</v>
      </c>
      <c r="R237">
        <v>0.14591810089020771</v>
      </c>
      <c r="S237">
        <v>0.16183643916913951</v>
      </c>
      <c r="T237">
        <v>0.1764282492581602</v>
      </c>
      <c r="U237">
        <v>0.18704047477744801</v>
      </c>
      <c r="V237">
        <v>0.1963261721068249</v>
      </c>
      <c r="W237">
        <v>0.2056118694362018</v>
      </c>
      <c r="X237">
        <v>465.89692424941529</v>
      </c>
      <c r="Y237">
        <v>465.89692424941529</v>
      </c>
      <c r="Z237">
        <v>464.47433822117279</v>
      </c>
      <c r="AA237">
        <v>460.91787315056649</v>
      </c>
      <c r="AB237">
        <v>459.49528712232399</v>
      </c>
      <c r="AC237">
        <v>458.78399410820282</v>
      </c>
      <c r="AD237">
        <v>458.07270109408159</v>
      </c>
      <c r="AE237">
        <v>5.9105319784213286</v>
      </c>
      <c r="AF237">
        <v>5.9105319784213286</v>
      </c>
      <c r="AG237">
        <v>5.9105319784213286</v>
      </c>
      <c r="AH237">
        <v>5.9105319784213286</v>
      </c>
      <c r="AI237">
        <v>5.9105319784213286</v>
      </c>
      <c r="AJ237">
        <v>5.9105319784213286</v>
      </c>
      <c r="AK237">
        <v>5.9105319784213286</v>
      </c>
    </row>
    <row r="238" spans="1:37" x14ac:dyDescent="0.25">
      <c r="A238" t="s">
        <v>90</v>
      </c>
      <c r="B238" t="s">
        <v>91</v>
      </c>
      <c r="C238" t="s">
        <v>264</v>
      </c>
      <c r="F238" t="s">
        <v>209</v>
      </c>
      <c r="G238" t="s">
        <v>119</v>
      </c>
      <c r="H238" t="s">
        <v>120</v>
      </c>
      <c r="I238" t="s">
        <v>265</v>
      </c>
      <c r="J238" t="s">
        <v>269</v>
      </c>
      <c r="K238" t="s">
        <v>98</v>
      </c>
      <c r="L238">
        <v>1</v>
      </c>
      <c r="M238">
        <v>1</v>
      </c>
      <c r="N238">
        <v>2020</v>
      </c>
      <c r="O238">
        <v>14.200511218403861</v>
      </c>
      <c r="P238">
        <v>0.30952380952381148</v>
      </c>
      <c r="Q238">
        <v>0.29979537091988079</v>
      </c>
      <c r="R238">
        <v>0.29979537091988079</v>
      </c>
      <c r="S238">
        <v>0.33030551928783392</v>
      </c>
      <c r="T238">
        <v>0.35816261127596438</v>
      </c>
      <c r="U238">
        <v>0.37408094955489479</v>
      </c>
      <c r="V238">
        <v>0.3899992878338272</v>
      </c>
      <c r="W238">
        <v>0.4059176261127605</v>
      </c>
      <c r="X238">
        <v>515.68743523790056</v>
      </c>
      <c r="Y238">
        <v>515.68743523790056</v>
      </c>
      <c r="Z238">
        <v>484.39054261656662</v>
      </c>
      <c r="AA238">
        <v>464.47433822117449</v>
      </c>
      <c r="AB238">
        <v>456.65011506583812</v>
      </c>
      <c r="AC238">
        <v>449.53718492462809</v>
      </c>
      <c r="AD238">
        <v>441.71296176929172</v>
      </c>
      <c r="AE238">
        <v>5.9105319784213153</v>
      </c>
      <c r="AF238">
        <v>5.9105319784213153</v>
      </c>
      <c r="AG238">
        <v>5.9105319784213153</v>
      </c>
      <c r="AH238">
        <v>5.9105319784213153</v>
      </c>
      <c r="AI238">
        <v>5.9105319784213153</v>
      </c>
      <c r="AJ238">
        <v>5.9105319784213153</v>
      </c>
      <c r="AK238">
        <v>5.9105319784213153</v>
      </c>
    </row>
    <row r="239" spans="1:37" x14ac:dyDescent="0.25">
      <c r="A239" t="s">
        <v>90</v>
      </c>
      <c r="B239" t="s">
        <v>91</v>
      </c>
      <c r="C239" t="s">
        <v>264</v>
      </c>
      <c r="F239" t="s">
        <v>209</v>
      </c>
      <c r="G239" t="s">
        <v>122</v>
      </c>
      <c r="H239" t="s">
        <v>123</v>
      </c>
      <c r="I239" t="s">
        <v>265</v>
      </c>
      <c r="J239" t="s">
        <v>269</v>
      </c>
      <c r="K239" t="s">
        <v>98</v>
      </c>
      <c r="L239">
        <v>0</v>
      </c>
      <c r="M239">
        <v>1</v>
      </c>
      <c r="N239">
        <v>2020</v>
      </c>
      <c r="O239">
        <v>14.200511218403861</v>
      </c>
      <c r="P239">
        <v>0.30952380952381148</v>
      </c>
      <c r="Q239">
        <v>0.29979537091988079</v>
      </c>
      <c r="R239">
        <v>0.29979537091988079</v>
      </c>
      <c r="S239">
        <v>0.33030551928783392</v>
      </c>
      <c r="T239">
        <v>0.35816261127596438</v>
      </c>
      <c r="U239">
        <v>0.37408094955489479</v>
      </c>
      <c r="V239">
        <v>0.3899992878338272</v>
      </c>
      <c r="W239">
        <v>0.4059176261127605</v>
      </c>
      <c r="X239">
        <v>515.68743523790056</v>
      </c>
      <c r="Y239">
        <v>515.68743523790056</v>
      </c>
      <c r="Z239">
        <v>484.39054261656662</v>
      </c>
      <c r="AA239">
        <v>464.47433822117449</v>
      </c>
      <c r="AB239">
        <v>456.65011506583812</v>
      </c>
      <c r="AC239">
        <v>449.53718492462809</v>
      </c>
      <c r="AD239">
        <v>441.71296176929172</v>
      </c>
      <c r="AE239">
        <v>5.9105319784213153</v>
      </c>
      <c r="AF239">
        <v>5.9105319784213153</v>
      </c>
      <c r="AG239">
        <v>5.9105319784213153</v>
      </c>
      <c r="AH239">
        <v>5.9105319784213153</v>
      </c>
      <c r="AI239">
        <v>5.9105319784213153</v>
      </c>
      <c r="AJ239">
        <v>5.9105319784213153</v>
      </c>
      <c r="AK239">
        <v>5.9105319784213153</v>
      </c>
    </row>
    <row r="240" spans="1:37" x14ac:dyDescent="0.25">
      <c r="A240" t="s">
        <v>90</v>
      </c>
      <c r="B240" t="s">
        <v>91</v>
      </c>
      <c r="C240" t="s">
        <v>264</v>
      </c>
      <c r="F240" t="s">
        <v>209</v>
      </c>
      <c r="G240" t="s">
        <v>124</v>
      </c>
      <c r="H240" t="s">
        <v>125</v>
      </c>
      <c r="I240" t="s">
        <v>265</v>
      </c>
      <c r="J240" t="s">
        <v>269</v>
      </c>
      <c r="K240" t="s">
        <v>98</v>
      </c>
      <c r="L240">
        <v>0</v>
      </c>
      <c r="M240">
        <v>1</v>
      </c>
      <c r="N240">
        <v>2020</v>
      </c>
      <c r="O240">
        <v>14.200511218403861</v>
      </c>
      <c r="P240">
        <v>0.1</v>
      </c>
      <c r="Q240">
        <v>0.29979537091988079</v>
      </c>
      <c r="R240">
        <v>0.29979537091988079</v>
      </c>
      <c r="S240">
        <v>0.33030551928783392</v>
      </c>
      <c r="T240">
        <v>0.35816261127596438</v>
      </c>
      <c r="U240">
        <v>0.37408094955489479</v>
      </c>
      <c r="V240">
        <v>0.3899992878338272</v>
      </c>
      <c r="W240">
        <v>0.4059176261127605</v>
      </c>
      <c r="X240">
        <v>515.68743523790056</v>
      </c>
      <c r="Y240">
        <v>515.68743523790056</v>
      </c>
      <c r="Z240">
        <v>484.39054261656662</v>
      </c>
      <c r="AA240">
        <v>464.47433822117449</v>
      </c>
      <c r="AB240">
        <v>456.65011506583812</v>
      </c>
      <c r="AC240">
        <v>449.53718492462809</v>
      </c>
      <c r="AD240">
        <v>441.71296176929172</v>
      </c>
      <c r="AE240">
        <v>5.9105319784213153</v>
      </c>
      <c r="AF240">
        <v>5.9105319784213153</v>
      </c>
      <c r="AG240">
        <v>5.9105319784213153</v>
      </c>
      <c r="AH240">
        <v>5.9105319784213153</v>
      </c>
      <c r="AI240">
        <v>5.9105319784213153</v>
      </c>
      <c r="AJ240">
        <v>5.9105319784213153</v>
      </c>
      <c r="AK240">
        <v>5.9105319784213153</v>
      </c>
    </row>
    <row r="241" spans="1:37" x14ac:dyDescent="0.25">
      <c r="A241" t="s">
        <v>90</v>
      </c>
      <c r="B241" t="s">
        <v>91</v>
      </c>
      <c r="C241" t="s">
        <v>264</v>
      </c>
      <c r="F241" t="s">
        <v>209</v>
      </c>
      <c r="G241" t="s">
        <v>114</v>
      </c>
      <c r="H241" t="s">
        <v>115</v>
      </c>
      <c r="I241" t="s">
        <v>265</v>
      </c>
      <c r="J241" t="s">
        <v>269</v>
      </c>
      <c r="K241" t="s">
        <v>98</v>
      </c>
      <c r="L241">
        <v>0</v>
      </c>
      <c r="M241">
        <v>1</v>
      </c>
      <c r="N241">
        <v>2020</v>
      </c>
      <c r="O241">
        <v>14.200511218403861</v>
      </c>
      <c r="P241">
        <v>0.69047619047618847</v>
      </c>
      <c r="Q241">
        <v>0.29979537091988079</v>
      </c>
      <c r="R241">
        <v>0.29979537091988079</v>
      </c>
      <c r="S241">
        <v>0.33030551928783392</v>
      </c>
      <c r="T241">
        <v>0.35816261127596438</v>
      </c>
      <c r="U241">
        <v>0.37408094955489479</v>
      </c>
      <c r="V241">
        <v>0.3899992878338272</v>
      </c>
      <c r="W241">
        <v>0.4059176261127605</v>
      </c>
      <c r="X241">
        <v>515.68743523790056</v>
      </c>
      <c r="Y241">
        <v>515.68743523790056</v>
      </c>
      <c r="Z241">
        <v>484.39054261656662</v>
      </c>
      <c r="AA241">
        <v>464.47433822117449</v>
      </c>
      <c r="AB241">
        <v>456.65011506583812</v>
      </c>
      <c r="AC241">
        <v>449.53718492462809</v>
      </c>
      <c r="AD241">
        <v>441.71296176929172</v>
      </c>
      <c r="AE241">
        <v>5.9105319784213153</v>
      </c>
      <c r="AF241">
        <v>5.9105319784213153</v>
      </c>
      <c r="AG241">
        <v>5.9105319784213153</v>
      </c>
      <c r="AH241">
        <v>5.9105319784213153</v>
      </c>
      <c r="AI241">
        <v>5.9105319784213153</v>
      </c>
      <c r="AJ241">
        <v>5.9105319784213153</v>
      </c>
      <c r="AK241">
        <v>5.9105319784213153</v>
      </c>
    </row>
    <row r="242" spans="1:37" x14ac:dyDescent="0.25">
      <c r="A242" t="s">
        <v>90</v>
      </c>
      <c r="B242" t="s">
        <v>91</v>
      </c>
      <c r="C242" t="s">
        <v>264</v>
      </c>
      <c r="F242" t="s">
        <v>213</v>
      </c>
      <c r="G242" t="s">
        <v>133</v>
      </c>
      <c r="H242" t="s">
        <v>134</v>
      </c>
      <c r="I242" t="s">
        <v>265</v>
      </c>
      <c r="J242" t="s">
        <v>270</v>
      </c>
      <c r="K242" t="s">
        <v>98</v>
      </c>
      <c r="L242">
        <v>1</v>
      </c>
      <c r="M242">
        <v>1</v>
      </c>
      <c r="N242">
        <v>2020</v>
      </c>
      <c r="O242">
        <v>14.200511218403861</v>
      </c>
      <c r="P242">
        <v>1</v>
      </c>
      <c r="Q242">
        <v>0.20030575667655801</v>
      </c>
      <c r="R242">
        <v>0.20030575667655801</v>
      </c>
      <c r="S242">
        <v>0.22020367952522271</v>
      </c>
      <c r="T242">
        <v>0.24142813056379819</v>
      </c>
      <c r="U242">
        <v>0.25071382789317492</v>
      </c>
      <c r="V242">
        <v>0.26132605341246301</v>
      </c>
      <c r="W242">
        <v>0.27061175074183957</v>
      </c>
      <c r="X242">
        <v>635.89595462439217</v>
      </c>
      <c r="Y242">
        <v>635.89595462439217</v>
      </c>
      <c r="Z242">
        <v>598.19742487596693</v>
      </c>
      <c r="AA242">
        <v>566.18923924051046</v>
      </c>
      <c r="AB242">
        <v>553.38596498632808</v>
      </c>
      <c r="AC242">
        <v>540.58269073214626</v>
      </c>
      <c r="AD242">
        <v>527.77941647796388</v>
      </c>
      <c r="AE242">
        <v>5.9105319784213251</v>
      </c>
      <c r="AF242">
        <v>5.9105319784213251</v>
      </c>
      <c r="AG242">
        <v>5.9105319784213251</v>
      </c>
      <c r="AH242">
        <v>5.9105319784213251</v>
      </c>
      <c r="AI242">
        <v>5.9105319784213251</v>
      </c>
      <c r="AJ242">
        <v>5.9105319784213251</v>
      </c>
      <c r="AK242">
        <v>5.9105319784213251</v>
      </c>
    </row>
    <row r="243" spans="1:37" x14ac:dyDescent="0.25">
      <c r="A243" t="s">
        <v>90</v>
      </c>
      <c r="B243" t="s">
        <v>91</v>
      </c>
      <c r="C243" t="s">
        <v>264</v>
      </c>
      <c r="F243" t="s">
        <v>215</v>
      </c>
      <c r="G243" t="s">
        <v>133</v>
      </c>
      <c r="H243" t="s">
        <v>134</v>
      </c>
      <c r="I243" t="s">
        <v>265</v>
      </c>
      <c r="J243" t="s">
        <v>271</v>
      </c>
      <c r="K243" t="s">
        <v>98</v>
      </c>
      <c r="L243">
        <v>1</v>
      </c>
      <c r="M243">
        <v>1</v>
      </c>
      <c r="N243">
        <v>2020</v>
      </c>
      <c r="O243">
        <v>14.200511218403861</v>
      </c>
      <c r="P243">
        <v>0.89763779527559173</v>
      </c>
      <c r="Q243">
        <v>0.2175506231454005</v>
      </c>
      <c r="R243">
        <v>0.2175506231454005</v>
      </c>
      <c r="S243">
        <v>0.24010160237388731</v>
      </c>
      <c r="T243">
        <v>0.25867299703264102</v>
      </c>
      <c r="U243">
        <v>0.26663216617210689</v>
      </c>
      <c r="V243">
        <v>0.27591786350148362</v>
      </c>
      <c r="W243">
        <v>0.28387703264094938</v>
      </c>
      <c r="X243">
        <v>537.02622566153968</v>
      </c>
      <c r="Y243">
        <v>537.02622566153968</v>
      </c>
      <c r="Z243">
        <v>500.03898892723481</v>
      </c>
      <c r="AA243">
        <v>476.56631946123417</v>
      </c>
      <c r="AB243">
        <v>466.60821726353652</v>
      </c>
      <c r="AC243">
        <v>456.65011506583892</v>
      </c>
      <c r="AD243">
        <v>446.69201286814172</v>
      </c>
      <c r="AE243">
        <v>5.9105319784213251</v>
      </c>
      <c r="AF243">
        <v>5.9105319784213251</v>
      </c>
      <c r="AG243">
        <v>5.9105319784213251</v>
      </c>
      <c r="AH243">
        <v>5.9105319784213251</v>
      </c>
      <c r="AI243">
        <v>5.9105319784213251</v>
      </c>
      <c r="AJ243">
        <v>5.9105319784213251</v>
      </c>
      <c r="AK243">
        <v>5.9105319784213251</v>
      </c>
    </row>
    <row r="244" spans="1:37" x14ac:dyDescent="0.25">
      <c r="A244" t="s">
        <v>90</v>
      </c>
      <c r="B244" t="s">
        <v>91</v>
      </c>
      <c r="C244" t="s">
        <v>264</v>
      </c>
      <c r="F244" t="s">
        <v>215</v>
      </c>
      <c r="G244" t="s">
        <v>114</v>
      </c>
      <c r="H244" t="s">
        <v>115</v>
      </c>
      <c r="I244" t="s">
        <v>265</v>
      </c>
      <c r="J244" t="s">
        <v>271</v>
      </c>
      <c r="K244" t="s">
        <v>98</v>
      </c>
      <c r="L244">
        <v>0</v>
      </c>
      <c r="M244">
        <v>1</v>
      </c>
      <c r="N244">
        <v>2020</v>
      </c>
      <c r="O244">
        <v>14.200511218403861</v>
      </c>
      <c r="P244">
        <v>0.1023622047244083</v>
      </c>
      <c r="Q244">
        <v>0.2175506231454005</v>
      </c>
      <c r="R244">
        <v>0.2175506231454005</v>
      </c>
      <c r="S244">
        <v>0.24010160237388731</v>
      </c>
      <c r="T244">
        <v>0.25867299703264102</v>
      </c>
      <c r="U244">
        <v>0.26663216617210689</v>
      </c>
      <c r="V244">
        <v>0.27591786350148362</v>
      </c>
      <c r="W244">
        <v>0.28387703264094938</v>
      </c>
      <c r="X244">
        <v>537.02622566153968</v>
      </c>
      <c r="Y244">
        <v>537.02622566153968</v>
      </c>
      <c r="Z244">
        <v>500.03898892723481</v>
      </c>
      <c r="AA244">
        <v>476.56631946123417</v>
      </c>
      <c r="AB244">
        <v>466.60821726353652</v>
      </c>
      <c r="AC244">
        <v>456.65011506583892</v>
      </c>
      <c r="AD244">
        <v>446.69201286814172</v>
      </c>
      <c r="AE244">
        <v>5.9105319784213251</v>
      </c>
      <c r="AF244">
        <v>5.9105319784213251</v>
      </c>
      <c r="AG244">
        <v>5.9105319784213251</v>
      </c>
      <c r="AH244">
        <v>5.9105319784213251</v>
      </c>
      <c r="AI244">
        <v>5.9105319784213251</v>
      </c>
      <c r="AJ244">
        <v>5.9105319784213251</v>
      </c>
      <c r="AK244">
        <v>5.9105319784213251</v>
      </c>
    </row>
    <row r="245" spans="1:37" x14ac:dyDescent="0.25">
      <c r="A245" t="s">
        <v>90</v>
      </c>
      <c r="B245" t="s">
        <v>91</v>
      </c>
      <c r="C245" t="s">
        <v>264</v>
      </c>
      <c r="F245" t="s">
        <v>217</v>
      </c>
      <c r="G245" t="s">
        <v>114</v>
      </c>
      <c r="H245" t="s">
        <v>115</v>
      </c>
      <c r="I245" t="s">
        <v>265</v>
      </c>
      <c r="J245" t="s">
        <v>272</v>
      </c>
      <c r="K245" t="s">
        <v>98</v>
      </c>
      <c r="L245">
        <v>1</v>
      </c>
      <c r="M245">
        <v>1</v>
      </c>
      <c r="N245">
        <v>2020</v>
      </c>
      <c r="O245">
        <v>14.200511218403861</v>
      </c>
      <c r="P245">
        <v>1</v>
      </c>
      <c r="Q245">
        <v>0.36877483679525219</v>
      </c>
      <c r="R245">
        <v>0.36877483679525219</v>
      </c>
      <c r="S245">
        <v>0.40061151335311579</v>
      </c>
      <c r="T245">
        <v>0.43510124629080099</v>
      </c>
      <c r="U245">
        <v>0.44969305637982182</v>
      </c>
      <c r="V245">
        <v>0.46428486646884271</v>
      </c>
      <c r="W245">
        <v>0.48152973293768542</v>
      </c>
      <c r="X245">
        <v>508.57450509669002</v>
      </c>
      <c r="Y245">
        <v>508.57450509669002</v>
      </c>
      <c r="Z245">
        <v>462.34045917880923</v>
      </c>
      <c r="AA245">
        <v>437.44520368456551</v>
      </c>
      <c r="AB245">
        <v>426.06451545862558</v>
      </c>
      <c r="AC245">
        <v>414.6838272326857</v>
      </c>
      <c r="AD245">
        <v>403.30313900674582</v>
      </c>
      <c r="AE245">
        <v>3.8067833081357718</v>
      </c>
      <c r="AF245">
        <v>3.8067833081357718</v>
      </c>
      <c r="AG245">
        <v>3.8067833081357718</v>
      </c>
      <c r="AH245">
        <v>3.8067833081357718</v>
      </c>
      <c r="AI245">
        <v>3.8067833081357718</v>
      </c>
      <c r="AJ245">
        <v>3.8067833081357718</v>
      </c>
      <c r="AK245">
        <v>3.8067833081357718</v>
      </c>
    </row>
    <row r="246" spans="1:37" x14ac:dyDescent="0.25">
      <c r="A246" t="s">
        <v>90</v>
      </c>
      <c r="B246" t="s">
        <v>91</v>
      </c>
      <c r="C246" t="s">
        <v>273</v>
      </c>
      <c r="F246" t="s">
        <v>202</v>
      </c>
      <c r="G246" t="s">
        <v>119</v>
      </c>
      <c r="H246" t="s">
        <v>120</v>
      </c>
      <c r="I246" t="s">
        <v>274</v>
      </c>
      <c r="J246" t="s">
        <v>275</v>
      </c>
      <c r="K246" t="s">
        <v>98</v>
      </c>
      <c r="L246">
        <v>1</v>
      </c>
      <c r="M246">
        <v>1</v>
      </c>
      <c r="N246">
        <v>2020</v>
      </c>
      <c r="O246">
        <v>4.6576618537494188</v>
      </c>
      <c r="P246">
        <v>1</v>
      </c>
      <c r="Q246">
        <v>0.14459157270029679</v>
      </c>
      <c r="R246">
        <v>0.14459157270029679</v>
      </c>
      <c r="S246">
        <v>0.1578568545994066</v>
      </c>
      <c r="T246">
        <v>0.1711221364985164</v>
      </c>
      <c r="U246">
        <v>0.1804078338278931</v>
      </c>
      <c r="V246">
        <v>0.18836700296735909</v>
      </c>
      <c r="W246">
        <v>0.1963261721068249</v>
      </c>
      <c r="X246">
        <v>421.08546435977678</v>
      </c>
      <c r="Y246">
        <v>421.08546435977678</v>
      </c>
      <c r="Z246">
        <v>423.93063641626179</v>
      </c>
      <c r="AA246">
        <v>423.21934340214051</v>
      </c>
      <c r="AB246">
        <v>423.93063641626179</v>
      </c>
      <c r="AC246">
        <v>424.64192943038302</v>
      </c>
      <c r="AD246">
        <v>426.06451545862558</v>
      </c>
      <c r="AE246">
        <v>18.02032399555608</v>
      </c>
      <c r="AF246">
        <v>18.02032399555608</v>
      </c>
      <c r="AG246">
        <v>18.02032399555608</v>
      </c>
      <c r="AH246">
        <v>18.02032399555608</v>
      </c>
      <c r="AI246">
        <v>18.02032399555608</v>
      </c>
      <c r="AJ246">
        <v>18.02032399555608</v>
      </c>
      <c r="AK246">
        <v>18.02032399555608</v>
      </c>
    </row>
    <row r="247" spans="1:37" x14ac:dyDescent="0.25">
      <c r="A247" t="s">
        <v>90</v>
      </c>
      <c r="B247" t="s">
        <v>91</v>
      </c>
      <c r="C247" t="s">
        <v>273</v>
      </c>
      <c r="F247" t="s">
        <v>202</v>
      </c>
      <c r="G247" t="s">
        <v>122</v>
      </c>
      <c r="H247" t="s">
        <v>123</v>
      </c>
      <c r="I247" t="s">
        <v>274</v>
      </c>
      <c r="J247" t="s">
        <v>275</v>
      </c>
      <c r="K247" t="s">
        <v>98</v>
      </c>
      <c r="L247">
        <v>0</v>
      </c>
      <c r="M247">
        <v>1</v>
      </c>
      <c r="N247">
        <v>2020</v>
      </c>
      <c r="O247">
        <v>4.6576618537494188</v>
      </c>
      <c r="P247">
        <v>1</v>
      </c>
      <c r="Q247">
        <v>0.14459157270029679</v>
      </c>
      <c r="R247">
        <v>0.14459157270029679</v>
      </c>
      <c r="S247">
        <v>0.1578568545994066</v>
      </c>
      <c r="T247">
        <v>0.1711221364985164</v>
      </c>
      <c r="U247">
        <v>0.1804078338278931</v>
      </c>
      <c r="V247">
        <v>0.18836700296735909</v>
      </c>
      <c r="W247">
        <v>0.1963261721068249</v>
      </c>
      <c r="X247">
        <v>421.08546435977678</v>
      </c>
      <c r="Y247">
        <v>421.08546435977678</v>
      </c>
      <c r="Z247">
        <v>423.93063641626179</v>
      </c>
      <c r="AA247">
        <v>423.21934340214051</v>
      </c>
      <c r="AB247">
        <v>423.93063641626179</v>
      </c>
      <c r="AC247">
        <v>424.64192943038302</v>
      </c>
      <c r="AD247">
        <v>426.06451545862558</v>
      </c>
      <c r="AE247">
        <v>18.02032399555608</v>
      </c>
      <c r="AF247">
        <v>18.02032399555608</v>
      </c>
      <c r="AG247">
        <v>18.02032399555608</v>
      </c>
      <c r="AH247">
        <v>18.02032399555608</v>
      </c>
      <c r="AI247">
        <v>18.02032399555608</v>
      </c>
      <c r="AJ247">
        <v>18.02032399555608</v>
      </c>
      <c r="AK247">
        <v>18.02032399555608</v>
      </c>
    </row>
    <row r="248" spans="1:37" x14ac:dyDescent="0.25">
      <c r="A248" t="s">
        <v>90</v>
      </c>
      <c r="B248" t="s">
        <v>91</v>
      </c>
      <c r="C248" t="s">
        <v>273</v>
      </c>
      <c r="F248" t="s">
        <v>202</v>
      </c>
      <c r="G248" t="s">
        <v>124</v>
      </c>
      <c r="H248" t="s">
        <v>125</v>
      </c>
      <c r="I248" t="s">
        <v>274</v>
      </c>
      <c r="J248" t="s">
        <v>275</v>
      </c>
      <c r="K248" t="s">
        <v>98</v>
      </c>
      <c r="L248">
        <v>0</v>
      </c>
      <c r="M248">
        <v>1</v>
      </c>
      <c r="N248">
        <v>2020</v>
      </c>
      <c r="O248">
        <v>4.6576618537494188</v>
      </c>
      <c r="P248">
        <v>0.1</v>
      </c>
      <c r="Q248">
        <v>0.14459157270029679</v>
      </c>
      <c r="R248">
        <v>0.14459157270029679</v>
      </c>
      <c r="S248">
        <v>0.1578568545994066</v>
      </c>
      <c r="T248">
        <v>0.1711221364985164</v>
      </c>
      <c r="U248">
        <v>0.1804078338278931</v>
      </c>
      <c r="V248">
        <v>0.18836700296735909</v>
      </c>
      <c r="W248">
        <v>0.1963261721068249</v>
      </c>
      <c r="X248">
        <v>421.08546435977678</v>
      </c>
      <c r="Y248">
        <v>421.08546435977678</v>
      </c>
      <c r="Z248">
        <v>423.93063641626179</v>
      </c>
      <c r="AA248">
        <v>423.21934340214051</v>
      </c>
      <c r="AB248">
        <v>423.93063641626179</v>
      </c>
      <c r="AC248">
        <v>424.64192943038302</v>
      </c>
      <c r="AD248">
        <v>426.06451545862558</v>
      </c>
      <c r="AE248">
        <v>18.02032399555608</v>
      </c>
      <c r="AF248">
        <v>18.02032399555608</v>
      </c>
      <c r="AG248">
        <v>18.02032399555608</v>
      </c>
      <c r="AH248">
        <v>18.02032399555608</v>
      </c>
      <c r="AI248">
        <v>18.02032399555608</v>
      </c>
      <c r="AJ248">
        <v>18.02032399555608</v>
      </c>
      <c r="AK248">
        <v>18.02032399555608</v>
      </c>
    </row>
    <row r="249" spans="1:37" x14ac:dyDescent="0.25">
      <c r="A249" t="s">
        <v>90</v>
      </c>
      <c r="B249" t="s">
        <v>91</v>
      </c>
      <c r="C249" t="s">
        <v>273</v>
      </c>
      <c r="F249" t="s">
        <v>205</v>
      </c>
      <c r="G249" t="s">
        <v>119</v>
      </c>
      <c r="H249" t="s">
        <v>120</v>
      </c>
      <c r="I249" t="s">
        <v>274</v>
      </c>
      <c r="J249" t="s">
        <v>276</v>
      </c>
      <c r="K249" t="s">
        <v>98</v>
      </c>
      <c r="L249">
        <v>1</v>
      </c>
      <c r="M249">
        <v>1</v>
      </c>
      <c r="N249">
        <v>2020</v>
      </c>
      <c r="O249">
        <v>4.6576618537494188</v>
      </c>
      <c r="P249">
        <v>1</v>
      </c>
      <c r="Q249">
        <v>0.14459157270029679</v>
      </c>
      <c r="R249">
        <v>0.14459157270029679</v>
      </c>
      <c r="S249">
        <v>0.1578568545994066</v>
      </c>
      <c r="T249">
        <v>0.17244866468842729</v>
      </c>
      <c r="U249">
        <v>0.1804078338278931</v>
      </c>
      <c r="V249">
        <v>0.18836700296735909</v>
      </c>
      <c r="W249">
        <v>0.19765270029673601</v>
      </c>
      <c r="X249">
        <v>461.62916616468777</v>
      </c>
      <c r="Y249">
        <v>461.62916616468777</v>
      </c>
      <c r="Z249">
        <v>465.18563123529401</v>
      </c>
      <c r="AA249">
        <v>463.7630452070515</v>
      </c>
      <c r="AB249">
        <v>463.7630452070515</v>
      </c>
      <c r="AC249">
        <v>464.47433822117279</v>
      </c>
      <c r="AD249">
        <v>465.18563123529401</v>
      </c>
      <c r="AE249">
        <v>18.02032399555608</v>
      </c>
      <c r="AF249">
        <v>18.02032399555608</v>
      </c>
      <c r="AG249">
        <v>18.02032399555608</v>
      </c>
      <c r="AH249">
        <v>18.02032399555608</v>
      </c>
      <c r="AI249">
        <v>18.02032399555608</v>
      </c>
      <c r="AJ249">
        <v>18.02032399555608</v>
      </c>
      <c r="AK249">
        <v>18.02032399555608</v>
      </c>
    </row>
    <row r="250" spans="1:37" x14ac:dyDescent="0.25">
      <c r="A250" t="s">
        <v>90</v>
      </c>
      <c r="B250" t="s">
        <v>91</v>
      </c>
      <c r="C250" t="s">
        <v>273</v>
      </c>
      <c r="F250" t="s">
        <v>205</v>
      </c>
      <c r="G250" t="s">
        <v>122</v>
      </c>
      <c r="H250" t="s">
        <v>123</v>
      </c>
      <c r="I250" t="s">
        <v>274</v>
      </c>
      <c r="J250" t="s">
        <v>276</v>
      </c>
      <c r="K250" t="s">
        <v>98</v>
      </c>
      <c r="L250">
        <v>0</v>
      </c>
      <c r="M250">
        <v>1</v>
      </c>
      <c r="N250">
        <v>2020</v>
      </c>
      <c r="O250">
        <v>4.6576618537494188</v>
      </c>
      <c r="P250">
        <v>1</v>
      </c>
      <c r="Q250">
        <v>0.14459157270029679</v>
      </c>
      <c r="R250">
        <v>0.14459157270029679</v>
      </c>
      <c r="S250">
        <v>0.1578568545994066</v>
      </c>
      <c r="T250">
        <v>0.17244866468842729</v>
      </c>
      <c r="U250">
        <v>0.1804078338278931</v>
      </c>
      <c r="V250">
        <v>0.18836700296735909</v>
      </c>
      <c r="W250">
        <v>0.19765270029673601</v>
      </c>
      <c r="X250">
        <v>461.62916616468777</v>
      </c>
      <c r="Y250">
        <v>461.62916616468777</v>
      </c>
      <c r="Z250">
        <v>465.18563123529401</v>
      </c>
      <c r="AA250">
        <v>463.7630452070515</v>
      </c>
      <c r="AB250">
        <v>463.7630452070515</v>
      </c>
      <c r="AC250">
        <v>464.47433822117279</v>
      </c>
      <c r="AD250">
        <v>465.18563123529401</v>
      </c>
      <c r="AE250">
        <v>18.02032399555608</v>
      </c>
      <c r="AF250">
        <v>18.02032399555608</v>
      </c>
      <c r="AG250">
        <v>18.02032399555608</v>
      </c>
      <c r="AH250">
        <v>18.02032399555608</v>
      </c>
      <c r="AI250">
        <v>18.02032399555608</v>
      </c>
      <c r="AJ250">
        <v>18.02032399555608</v>
      </c>
      <c r="AK250">
        <v>18.02032399555608</v>
      </c>
    </row>
    <row r="251" spans="1:37" x14ac:dyDescent="0.25">
      <c r="A251" t="s">
        <v>90</v>
      </c>
      <c r="B251" t="s">
        <v>91</v>
      </c>
      <c r="C251" t="s">
        <v>273</v>
      </c>
      <c r="F251" t="s">
        <v>205</v>
      </c>
      <c r="G251" t="s">
        <v>124</v>
      </c>
      <c r="H251" t="s">
        <v>125</v>
      </c>
      <c r="I251" t="s">
        <v>274</v>
      </c>
      <c r="J251" t="s">
        <v>276</v>
      </c>
      <c r="K251" t="s">
        <v>98</v>
      </c>
      <c r="L251">
        <v>0</v>
      </c>
      <c r="M251">
        <v>1</v>
      </c>
      <c r="N251">
        <v>2020</v>
      </c>
      <c r="O251">
        <v>4.6576618537494188</v>
      </c>
      <c r="P251">
        <v>0.1</v>
      </c>
      <c r="Q251">
        <v>0.14459157270029679</v>
      </c>
      <c r="R251">
        <v>0.14459157270029679</v>
      </c>
      <c r="S251">
        <v>0.1578568545994066</v>
      </c>
      <c r="T251">
        <v>0.17244866468842729</v>
      </c>
      <c r="U251">
        <v>0.1804078338278931</v>
      </c>
      <c r="V251">
        <v>0.18836700296735909</v>
      </c>
      <c r="W251">
        <v>0.19765270029673601</v>
      </c>
      <c r="X251">
        <v>461.62916616468777</v>
      </c>
      <c r="Y251">
        <v>461.62916616468777</v>
      </c>
      <c r="Z251">
        <v>465.18563123529401</v>
      </c>
      <c r="AA251">
        <v>463.7630452070515</v>
      </c>
      <c r="AB251">
        <v>463.7630452070515</v>
      </c>
      <c r="AC251">
        <v>464.47433822117279</v>
      </c>
      <c r="AD251">
        <v>465.18563123529401</v>
      </c>
      <c r="AE251">
        <v>18.02032399555608</v>
      </c>
      <c r="AF251">
        <v>18.02032399555608</v>
      </c>
      <c r="AG251">
        <v>18.02032399555608</v>
      </c>
      <c r="AH251">
        <v>18.02032399555608</v>
      </c>
      <c r="AI251">
        <v>18.02032399555608</v>
      </c>
      <c r="AJ251">
        <v>18.02032399555608</v>
      </c>
      <c r="AK251">
        <v>18.02032399555608</v>
      </c>
    </row>
    <row r="252" spans="1:37" x14ac:dyDescent="0.25">
      <c r="A252" t="s">
        <v>90</v>
      </c>
      <c r="B252" t="s">
        <v>91</v>
      </c>
      <c r="C252" t="s">
        <v>273</v>
      </c>
      <c r="F252" t="s">
        <v>207</v>
      </c>
      <c r="G252" t="s">
        <v>119</v>
      </c>
      <c r="H252" t="s">
        <v>120</v>
      </c>
      <c r="I252" t="s">
        <v>274</v>
      </c>
      <c r="J252" t="s">
        <v>277</v>
      </c>
      <c r="K252" t="s">
        <v>98</v>
      </c>
      <c r="L252">
        <v>1</v>
      </c>
      <c r="M252">
        <v>1</v>
      </c>
      <c r="N252">
        <v>2020</v>
      </c>
      <c r="O252">
        <v>4.6576618537494188</v>
      </c>
      <c r="P252">
        <v>1</v>
      </c>
      <c r="Q252">
        <v>0.14591810089020771</v>
      </c>
      <c r="R252">
        <v>0.14591810089020771</v>
      </c>
      <c r="S252">
        <v>0.16183643916913951</v>
      </c>
      <c r="T252">
        <v>0.1764282492581602</v>
      </c>
      <c r="U252">
        <v>0.18704047477744801</v>
      </c>
      <c r="V252">
        <v>0.1963261721068249</v>
      </c>
      <c r="W252">
        <v>0.2056118694362018</v>
      </c>
      <c r="X252">
        <v>465.89692424941529</v>
      </c>
      <c r="Y252">
        <v>465.89692424941529</v>
      </c>
      <c r="Z252">
        <v>464.47433822117279</v>
      </c>
      <c r="AA252">
        <v>460.91787315056649</v>
      </c>
      <c r="AB252">
        <v>459.49528712232399</v>
      </c>
      <c r="AC252">
        <v>458.78399410820282</v>
      </c>
      <c r="AD252">
        <v>458.07270109408159</v>
      </c>
      <c r="AE252">
        <v>18.02032399555608</v>
      </c>
      <c r="AF252">
        <v>18.02032399555608</v>
      </c>
      <c r="AG252">
        <v>18.02032399555608</v>
      </c>
      <c r="AH252">
        <v>18.02032399555608</v>
      </c>
      <c r="AI252">
        <v>18.02032399555608</v>
      </c>
      <c r="AJ252">
        <v>18.02032399555608</v>
      </c>
      <c r="AK252">
        <v>18.02032399555608</v>
      </c>
    </row>
    <row r="253" spans="1:37" x14ac:dyDescent="0.25">
      <c r="A253" t="s">
        <v>90</v>
      </c>
      <c r="B253" t="s">
        <v>91</v>
      </c>
      <c r="C253" t="s">
        <v>273</v>
      </c>
      <c r="F253" t="s">
        <v>207</v>
      </c>
      <c r="G253" t="s">
        <v>122</v>
      </c>
      <c r="H253" t="s">
        <v>123</v>
      </c>
      <c r="I253" t="s">
        <v>274</v>
      </c>
      <c r="J253" t="s">
        <v>277</v>
      </c>
      <c r="K253" t="s">
        <v>98</v>
      </c>
      <c r="L253">
        <v>0</v>
      </c>
      <c r="M253">
        <v>1</v>
      </c>
      <c r="N253">
        <v>2020</v>
      </c>
      <c r="O253">
        <v>4.6576618537494188</v>
      </c>
      <c r="P253">
        <v>1</v>
      </c>
      <c r="Q253">
        <v>0.14591810089020771</v>
      </c>
      <c r="R253">
        <v>0.14591810089020771</v>
      </c>
      <c r="S253">
        <v>0.16183643916913951</v>
      </c>
      <c r="T253">
        <v>0.1764282492581602</v>
      </c>
      <c r="U253">
        <v>0.18704047477744801</v>
      </c>
      <c r="V253">
        <v>0.1963261721068249</v>
      </c>
      <c r="W253">
        <v>0.2056118694362018</v>
      </c>
      <c r="X253">
        <v>465.89692424941529</v>
      </c>
      <c r="Y253">
        <v>465.89692424941529</v>
      </c>
      <c r="Z253">
        <v>464.47433822117279</v>
      </c>
      <c r="AA253">
        <v>460.91787315056649</v>
      </c>
      <c r="AB253">
        <v>459.49528712232399</v>
      </c>
      <c r="AC253">
        <v>458.78399410820282</v>
      </c>
      <c r="AD253">
        <v>458.07270109408159</v>
      </c>
      <c r="AE253">
        <v>18.02032399555608</v>
      </c>
      <c r="AF253">
        <v>18.02032399555608</v>
      </c>
      <c r="AG253">
        <v>18.02032399555608</v>
      </c>
      <c r="AH253">
        <v>18.02032399555608</v>
      </c>
      <c r="AI253">
        <v>18.02032399555608</v>
      </c>
      <c r="AJ253">
        <v>18.02032399555608</v>
      </c>
      <c r="AK253">
        <v>18.02032399555608</v>
      </c>
    </row>
    <row r="254" spans="1:37" x14ac:dyDescent="0.25">
      <c r="A254" t="s">
        <v>90</v>
      </c>
      <c r="B254" t="s">
        <v>91</v>
      </c>
      <c r="C254" t="s">
        <v>273</v>
      </c>
      <c r="F254" t="s">
        <v>207</v>
      </c>
      <c r="G254" t="s">
        <v>124</v>
      </c>
      <c r="H254" t="s">
        <v>125</v>
      </c>
      <c r="I254" t="s">
        <v>274</v>
      </c>
      <c r="J254" t="s">
        <v>277</v>
      </c>
      <c r="K254" t="s">
        <v>98</v>
      </c>
      <c r="L254">
        <v>0</v>
      </c>
      <c r="M254">
        <v>1</v>
      </c>
      <c r="N254">
        <v>2020</v>
      </c>
      <c r="O254">
        <v>4.6576618537494188</v>
      </c>
      <c r="P254">
        <v>0.1</v>
      </c>
      <c r="Q254">
        <v>0.14591810089020771</v>
      </c>
      <c r="R254">
        <v>0.14591810089020771</v>
      </c>
      <c r="S254">
        <v>0.16183643916913951</v>
      </c>
      <c r="T254">
        <v>0.1764282492581602</v>
      </c>
      <c r="U254">
        <v>0.18704047477744801</v>
      </c>
      <c r="V254">
        <v>0.1963261721068249</v>
      </c>
      <c r="W254">
        <v>0.2056118694362018</v>
      </c>
      <c r="X254">
        <v>465.89692424941529</v>
      </c>
      <c r="Y254">
        <v>465.89692424941529</v>
      </c>
      <c r="Z254">
        <v>464.47433822117279</v>
      </c>
      <c r="AA254">
        <v>460.91787315056649</v>
      </c>
      <c r="AB254">
        <v>459.49528712232399</v>
      </c>
      <c r="AC254">
        <v>458.78399410820282</v>
      </c>
      <c r="AD254">
        <v>458.07270109408159</v>
      </c>
      <c r="AE254">
        <v>18.02032399555608</v>
      </c>
      <c r="AF254">
        <v>18.02032399555608</v>
      </c>
      <c r="AG254">
        <v>18.02032399555608</v>
      </c>
      <c r="AH254">
        <v>18.02032399555608</v>
      </c>
      <c r="AI254">
        <v>18.02032399555608</v>
      </c>
      <c r="AJ254">
        <v>18.02032399555608</v>
      </c>
      <c r="AK254">
        <v>18.02032399555608</v>
      </c>
    </row>
    <row r="255" spans="1:37" x14ac:dyDescent="0.25">
      <c r="A255" t="s">
        <v>90</v>
      </c>
      <c r="B255" t="s">
        <v>91</v>
      </c>
      <c r="C255" t="s">
        <v>273</v>
      </c>
      <c r="F255" t="s">
        <v>209</v>
      </c>
      <c r="G255" t="s">
        <v>119</v>
      </c>
      <c r="H255" t="s">
        <v>120</v>
      </c>
      <c r="I255" t="s">
        <v>274</v>
      </c>
      <c r="J255" t="s">
        <v>278</v>
      </c>
      <c r="K255" t="s">
        <v>98</v>
      </c>
      <c r="L255">
        <v>1</v>
      </c>
      <c r="M255">
        <v>1</v>
      </c>
      <c r="N255">
        <v>2020</v>
      </c>
      <c r="O255">
        <v>4.6576618537494188</v>
      </c>
      <c r="P255">
        <v>0.30952380952381148</v>
      </c>
      <c r="Q255">
        <v>0.29979537091988079</v>
      </c>
      <c r="R255">
        <v>0.29979537091988079</v>
      </c>
      <c r="S255">
        <v>0.33030551928783392</v>
      </c>
      <c r="T255">
        <v>0.35816261127596438</v>
      </c>
      <c r="U255">
        <v>0.37408094955489479</v>
      </c>
      <c r="V255">
        <v>0.3899992878338272</v>
      </c>
      <c r="W255">
        <v>0.4059176261127605</v>
      </c>
      <c r="X255">
        <v>515.68743523790056</v>
      </c>
      <c r="Y255">
        <v>515.68743523790056</v>
      </c>
      <c r="Z255">
        <v>484.39054261656662</v>
      </c>
      <c r="AA255">
        <v>464.47433822117449</v>
      </c>
      <c r="AB255">
        <v>456.65011506583812</v>
      </c>
      <c r="AC255">
        <v>449.53718492462809</v>
      </c>
      <c r="AD255">
        <v>441.71296176929172</v>
      </c>
      <c r="AE255">
        <v>18.020323995556041</v>
      </c>
      <c r="AF255">
        <v>18.020323995556041</v>
      </c>
      <c r="AG255">
        <v>18.020323995556041</v>
      </c>
      <c r="AH255">
        <v>18.020323995556041</v>
      </c>
      <c r="AI255">
        <v>18.020323995556041</v>
      </c>
      <c r="AJ255">
        <v>18.020323995556041</v>
      </c>
      <c r="AK255">
        <v>18.020323995556041</v>
      </c>
    </row>
    <row r="256" spans="1:37" x14ac:dyDescent="0.25">
      <c r="A256" t="s">
        <v>90</v>
      </c>
      <c r="B256" t="s">
        <v>91</v>
      </c>
      <c r="C256" t="s">
        <v>273</v>
      </c>
      <c r="F256" t="s">
        <v>209</v>
      </c>
      <c r="G256" t="s">
        <v>122</v>
      </c>
      <c r="H256" t="s">
        <v>123</v>
      </c>
      <c r="I256" t="s">
        <v>274</v>
      </c>
      <c r="J256" t="s">
        <v>278</v>
      </c>
      <c r="K256" t="s">
        <v>98</v>
      </c>
      <c r="L256">
        <v>0</v>
      </c>
      <c r="M256">
        <v>1</v>
      </c>
      <c r="N256">
        <v>2020</v>
      </c>
      <c r="O256">
        <v>4.6576618537494188</v>
      </c>
      <c r="P256">
        <v>0.30952380952381148</v>
      </c>
      <c r="Q256">
        <v>0.29979537091988079</v>
      </c>
      <c r="R256">
        <v>0.29979537091988079</v>
      </c>
      <c r="S256">
        <v>0.33030551928783392</v>
      </c>
      <c r="T256">
        <v>0.35816261127596438</v>
      </c>
      <c r="U256">
        <v>0.37408094955489479</v>
      </c>
      <c r="V256">
        <v>0.3899992878338272</v>
      </c>
      <c r="W256">
        <v>0.4059176261127605</v>
      </c>
      <c r="X256">
        <v>515.68743523790056</v>
      </c>
      <c r="Y256">
        <v>515.68743523790056</v>
      </c>
      <c r="Z256">
        <v>484.39054261656662</v>
      </c>
      <c r="AA256">
        <v>464.47433822117449</v>
      </c>
      <c r="AB256">
        <v>456.65011506583812</v>
      </c>
      <c r="AC256">
        <v>449.53718492462809</v>
      </c>
      <c r="AD256">
        <v>441.71296176929172</v>
      </c>
      <c r="AE256">
        <v>18.020323995556041</v>
      </c>
      <c r="AF256">
        <v>18.020323995556041</v>
      </c>
      <c r="AG256">
        <v>18.020323995556041</v>
      </c>
      <c r="AH256">
        <v>18.020323995556041</v>
      </c>
      <c r="AI256">
        <v>18.020323995556041</v>
      </c>
      <c r="AJ256">
        <v>18.020323995556041</v>
      </c>
      <c r="AK256">
        <v>18.020323995556041</v>
      </c>
    </row>
    <row r="257" spans="1:37" x14ac:dyDescent="0.25">
      <c r="A257" t="s">
        <v>90</v>
      </c>
      <c r="B257" t="s">
        <v>91</v>
      </c>
      <c r="C257" t="s">
        <v>273</v>
      </c>
      <c r="F257" t="s">
        <v>209</v>
      </c>
      <c r="G257" t="s">
        <v>124</v>
      </c>
      <c r="H257" t="s">
        <v>125</v>
      </c>
      <c r="I257" t="s">
        <v>274</v>
      </c>
      <c r="J257" t="s">
        <v>278</v>
      </c>
      <c r="K257" t="s">
        <v>98</v>
      </c>
      <c r="L257">
        <v>0</v>
      </c>
      <c r="M257">
        <v>1</v>
      </c>
      <c r="N257">
        <v>2020</v>
      </c>
      <c r="O257">
        <v>4.6576618537494188</v>
      </c>
      <c r="P257">
        <v>0.1</v>
      </c>
      <c r="Q257">
        <v>0.29979537091988079</v>
      </c>
      <c r="R257">
        <v>0.29979537091988079</v>
      </c>
      <c r="S257">
        <v>0.33030551928783392</v>
      </c>
      <c r="T257">
        <v>0.35816261127596438</v>
      </c>
      <c r="U257">
        <v>0.37408094955489479</v>
      </c>
      <c r="V257">
        <v>0.3899992878338272</v>
      </c>
      <c r="W257">
        <v>0.4059176261127605</v>
      </c>
      <c r="X257">
        <v>515.68743523790056</v>
      </c>
      <c r="Y257">
        <v>515.68743523790056</v>
      </c>
      <c r="Z257">
        <v>484.39054261656662</v>
      </c>
      <c r="AA257">
        <v>464.47433822117449</v>
      </c>
      <c r="AB257">
        <v>456.65011506583812</v>
      </c>
      <c r="AC257">
        <v>449.53718492462809</v>
      </c>
      <c r="AD257">
        <v>441.71296176929172</v>
      </c>
      <c r="AE257">
        <v>18.020323995556041</v>
      </c>
      <c r="AF257">
        <v>18.020323995556041</v>
      </c>
      <c r="AG257">
        <v>18.020323995556041</v>
      </c>
      <c r="AH257">
        <v>18.020323995556041</v>
      </c>
      <c r="AI257">
        <v>18.020323995556041</v>
      </c>
      <c r="AJ257">
        <v>18.020323995556041</v>
      </c>
      <c r="AK257">
        <v>18.020323995556041</v>
      </c>
    </row>
    <row r="258" spans="1:37" x14ac:dyDescent="0.25">
      <c r="A258" t="s">
        <v>90</v>
      </c>
      <c r="B258" t="s">
        <v>91</v>
      </c>
      <c r="C258" t="s">
        <v>273</v>
      </c>
      <c r="F258" t="s">
        <v>209</v>
      </c>
      <c r="G258" t="s">
        <v>211</v>
      </c>
      <c r="H258" t="s">
        <v>212</v>
      </c>
      <c r="I258" t="s">
        <v>274</v>
      </c>
      <c r="J258" t="s">
        <v>278</v>
      </c>
      <c r="K258" t="s">
        <v>98</v>
      </c>
      <c r="L258">
        <v>0</v>
      </c>
      <c r="M258">
        <v>1</v>
      </c>
      <c r="N258">
        <v>2020</v>
      </c>
      <c r="O258">
        <v>4.6576618537494188</v>
      </c>
      <c r="P258">
        <v>0.69047619047618847</v>
      </c>
      <c r="Q258">
        <v>0.29979537091988079</v>
      </c>
      <c r="R258">
        <v>0.29979537091988079</v>
      </c>
      <c r="S258">
        <v>0.33030551928783392</v>
      </c>
      <c r="T258">
        <v>0.35816261127596438</v>
      </c>
      <c r="U258">
        <v>0.37408094955489479</v>
      </c>
      <c r="V258">
        <v>0.3899992878338272</v>
      </c>
      <c r="W258">
        <v>0.4059176261127605</v>
      </c>
      <c r="X258">
        <v>515.68743523790056</v>
      </c>
      <c r="Y258">
        <v>515.68743523790056</v>
      </c>
      <c r="Z258">
        <v>484.39054261656662</v>
      </c>
      <c r="AA258">
        <v>464.47433822117449</v>
      </c>
      <c r="AB258">
        <v>456.65011506583812</v>
      </c>
      <c r="AC258">
        <v>449.53718492462809</v>
      </c>
      <c r="AD258">
        <v>441.71296176929172</v>
      </c>
      <c r="AE258">
        <v>18.020323995556041</v>
      </c>
      <c r="AF258">
        <v>18.020323995556041</v>
      </c>
      <c r="AG258">
        <v>18.020323995556041</v>
      </c>
      <c r="AH258">
        <v>18.020323995556041</v>
      </c>
      <c r="AI258">
        <v>18.020323995556041</v>
      </c>
      <c r="AJ258">
        <v>18.020323995556041</v>
      </c>
      <c r="AK258">
        <v>18.020323995556041</v>
      </c>
    </row>
    <row r="259" spans="1:37" x14ac:dyDescent="0.25">
      <c r="A259" t="s">
        <v>90</v>
      </c>
      <c r="B259" t="s">
        <v>91</v>
      </c>
      <c r="C259" t="s">
        <v>273</v>
      </c>
      <c r="F259" t="s">
        <v>213</v>
      </c>
      <c r="G259" t="s">
        <v>133</v>
      </c>
      <c r="H259" t="s">
        <v>134</v>
      </c>
      <c r="I259" t="s">
        <v>274</v>
      </c>
      <c r="J259" t="s">
        <v>279</v>
      </c>
      <c r="K259" t="s">
        <v>98</v>
      </c>
      <c r="L259">
        <v>1</v>
      </c>
      <c r="M259">
        <v>1</v>
      </c>
      <c r="N259">
        <v>2020</v>
      </c>
      <c r="O259">
        <v>4.6576618537494188</v>
      </c>
      <c r="P259">
        <v>1</v>
      </c>
      <c r="Q259">
        <v>0.20030575667655801</v>
      </c>
      <c r="R259">
        <v>0.20030575667655801</v>
      </c>
      <c r="S259">
        <v>0.22020367952522271</v>
      </c>
      <c r="T259">
        <v>0.24142813056379819</v>
      </c>
      <c r="U259">
        <v>0.25071382789317492</v>
      </c>
      <c r="V259">
        <v>0.26132605341246301</v>
      </c>
      <c r="W259">
        <v>0.27061175074183957</v>
      </c>
      <c r="X259">
        <v>635.89595462439217</v>
      </c>
      <c r="Y259">
        <v>635.89595462439217</v>
      </c>
      <c r="Z259">
        <v>598.19742487596693</v>
      </c>
      <c r="AA259">
        <v>566.18923924051046</v>
      </c>
      <c r="AB259">
        <v>553.38596498632808</v>
      </c>
      <c r="AC259">
        <v>540.58269073214626</v>
      </c>
      <c r="AD259">
        <v>527.77941647796388</v>
      </c>
      <c r="AE259">
        <v>18.020323995556069</v>
      </c>
      <c r="AF259">
        <v>18.020323995556069</v>
      </c>
      <c r="AG259">
        <v>18.020323995556069</v>
      </c>
      <c r="AH259">
        <v>18.020323995556069</v>
      </c>
      <c r="AI259">
        <v>18.020323995556069</v>
      </c>
      <c r="AJ259">
        <v>18.020323995556069</v>
      </c>
      <c r="AK259">
        <v>18.020323995556069</v>
      </c>
    </row>
    <row r="260" spans="1:37" x14ac:dyDescent="0.25">
      <c r="A260" t="s">
        <v>90</v>
      </c>
      <c r="B260" t="s">
        <v>91</v>
      </c>
      <c r="C260" t="s">
        <v>273</v>
      </c>
      <c r="F260" t="s">
        <v>215</v>
      </c>
      <c r="G260" t="s">
        <v>133</v>
      </c>
      <c r="H260" t="s">
        <v>134</v>
      </c>
      <c r="I260" t="s">
        <v>274</v>
      </c>
      <c r="J260" t="s">
        <v>280</v>
      </c>
      <c r="K260" t="s">
        <v>98</v>
      </c>
      <c r="L260">
        <v>1</v>
      </c>
      <c r="M260">
        <v>1</v>
      </c>
      <c r="N260">
        <v>2020</v>
      </c>
      <c r="O260">
        <v>4.6576618537494188</v>
      </c>
      <c r="P260">
        <v>0.89763779527559173</v>
      </c>
      <c r="Q260">
        <v>0.2175506231454005</v>
      </c>
      <c r="R260">
        <v>0.2175506231454005</v>
      </c>
      <c r="S260">
        <v>0.24010160237388731</v>
      </c>
      <c r="T260">
        <v>0.25867299703264102</v>
      </c>
      <c r="U260">
        <v>0.26663216617210689</v>
      </c>
      <c r="V260">
        <v>0.27591786350148362</v>
      </c>
      <c r="W260">
        <v>0.28387703264094938</v>
      </c>
      <c r="X260">
        <v>537.02622566153968</v>
      </c>
      <c r="Y260">
        <v>537.02622566153968</v>
      </c>
      <c r="Z260">
        <v>500.03898892723481</v>
      </c>
      <c r="AA260">
        <v>476.56631946123417</v>
      </c>
      <c r="AB260">
        <v>466.60821726353652</v>
      </c>
      <c r="AC260">
        <v>456.65011506583892</v>
      </c>
      <c r="AD260">
        <v>446.69201286814172</v>
      </c>
      <c r="AE260">
        <v>18.020323995556069</v>
      </c>
      <c r="AF260">
        <v>18.020323995556069</v>
      </c>
      <c r="AG260">
        <v>18.020323995556069</v>
      </c>
      <c r="AH260">
        <v>18.020323995556069</v>
      </c>
      <c r="AI260">
        <v>18.020323995556069</v>
      </c>
      <c r="AJ260">
        <v>18.020323995556069</v>
      </c>
      <c r="AK260">
        <v>18.020323995556069</v>
      </c>
    </row>
    <row r="261" spans="1:37" x14ac:dyDescent="0.25">
      <c r="A261" t="s">
        <v>90</v>
      </c>
      <c r="B261" t="s">
        <v>91</v>
      </c>
      <c r="C261" t="s">
        <v>273</v>
      </c>
      <c r="F261" t="s">
        <v>215</v>
      </c>
      <c r="G261" t="s">
        <v>211</v>
      </c>
      <c r="H261" t="s">
        <v>212</v>
      </c>
      <c r="I261" t="s">
        <v>274</v>
      </c>
      <c r="J261" t="s">
        <v>280</v>
      </c>
      <c r="K261" t="s">
        <v>98</v>
      </c>
      <c r="L261">
        <v>0</v>
      </c>
      <c r="M261">
        <v>1</v>
      </c>
      <c r="N261">
        <v>2020</v>
      </c>
      <c r="O261">
        <v>4.6576618537494188</v>
      </c>
      <c r="P261">
        <v>0.1023622047244083</v>
      </c>
      <c r="Q261">
        <v>0.2175506231454005</v>
      </c>
      <c r="R261">
        <v>0.2175506231454005</v>
      </c>
      <c r="S261">
        <v>0.24010160237388731</v>
      </c>
      <c r="T261">
        <v>0.25867299703264102</v>
      </c>
      <c r="U261">
        <v>0.26663216617210689</v>
      </c>
      <c r="V261">
        <v>0.27591786350148362</v>
      </c>
      <c r="W261">
        <v>0.28387703264094938</v>
      </c>
      <c r="X261">
        <v>537.02622566153968</v>
      </c>
      <c r="Y261">
        <v>537.02622566153968</v>
      </c>
      <c r="Z261">
        <v>500.03898892723481</v>
      </c>
      <c r="AA261">
        <v>476.56631946123417</v>
      </c>
      <c r="AB261">
        <v>466.60821726353652</v>
      </c>
      <c r="AC261">
        <v>456.65011506583892</v>
      </c>
      <c r="AD261">
        <v>446.69201286814172</v>
      </c>
      <c r="AE261">
        <v>18.020323995556069</v>
      </c>
      <c r="AF261">
        <v>18.020323995556069</v>
      </c>
      <c r="AG261">
        <v>18.020323995556069</v>
      </c>
      <c r="AH261">
        <v>18.020323995556069</v>
      </c>
      <c r="AI261">
        <v>18.020323995556069</v>
      </c>
      <c r="AJ261">
        <v>18.020323995556069</v>
      </c>
      <c r="AK261">
        <v>18.020323995556069</v>
      </c>
    </row>
    <row r="262" spans="1:37" x14ac:dyDescent="0.25">
      <c r="A262" t="s">
        <v>90</v>
      </c>
      <c r="B262" t="s">
        <v>91</v>
      </c>
      <c r="C262" t="s">
        <v>273</v>
      </c>
      <c r="F262" t="s">
        <v>217</v>
      </c>
      <c r="G262" t="s">
        <v>211</v>
      </c>
      <c r="H262" t="s">
        <v>212</v>
      </c>
      <c r="I262" t="s">
        <v>274</v>
      </c>
      <c r="J262" t="s">
        <v>281</v>
      </c>
      <c r="K262" t="s">
        <v>98</v>
      </c>
      <c r="L262">
        <v>1</v>
      </c>
      <c r="M262">
        <v>1</v>
      </c>
      <c r="N262">
        <v>2020</v>
      </c>
      <c r="O262">
        <v>4.6576618537494188</v>
      </c>
      <c r="P262">
        <v>1</v>
      </c>
      <c r="Q262">
        <v>0.36877483679525219</v>
      </c>
      <c r="R262">
        <v>0.36877483679525219</v>
      </c>
      <c r="S262">
        <v>0.40061151335311579</v>
      </c>
      <c r="T262">
        <v>0.43510124629080099</v>
      </c>
      <c r="U262">
        <v>0.44969305637982182</v>
      </c>
      <c r="V262">
        <v>0.46428486646884271</v>
      </c>
      <c r="W262">
        <v>0.48152973293768542</v>
      </c>
      <c r="X262">
        <v>508.57450509669002</v>
      </c>
      <c r="Y262">
        <v>508.57450509669002</v>
      </c>
      <c r="Z262">
        <v>462.34045917880923</v>
      </c>
      <c r="AA262">
        <v>437.44520368456551</v>
      </c>
      <c r="AB262">
        <v>426.06451545862558</v>
      </c>
      <c r="AC262">
        <v>414.6838272326857</v>
      </c>
      <c r="AD262">
        <v>403.30313900674582</v>
      </c>
      <c r="AE262">
        <v>11.60631037001917</v>
      </c>
      <c r="AF262">
        <v>11.60631037001917</v>
      </c>
      <c r="AG262">
        <v>11.60631037001917</v>
      </c>
      <c r="AH262">
        <v>11.60631037001917</v>
      </c>
      <c r="AI262">
        <v>11.60631037001917</v>
      </c>
      <c r="AJ262">
        <v>11.60631037001917</v>
      </c>
      <c r="AK262">
        <v>11.60631037001917</v>
      </c>
    </row>
    <row r="263" spans="1:37" x14ac:dyDescent="0.25">
      <c r="A263" t="s">
        <v>90</v>
      </c>
      <c r="B263" t="s">
        <v>282</v>
      </c>
      <c r="C263" t="s">
        <v>283</v>
      </c>
      <c r="F263" t="s">
        <v>202</v>
      </c>
      <c r="G263" t="s">
        <v>119</v>
      </c>
      <c r="H263" t="s">
        <v>120</v>
      </c>
      <c r="I263" t="s">
        <v>284</v>
      </c>
      <c r="J263" t="s">
        <v>285</v>
      </c>
      <c r="K263" t="s">
        <v>98</v>
      </c>
      <c r="L263">
        <v>1</v>
      </c>
      <c r="M263">
        <v>1</v>
      </c>
      <c r="N263">
        <v>2020</v>
      </c>
      <c r="O263">
        <v>8</v>
      </c>
      <c r="P263">
        <v>1</v>
      </c>
      <c r="Q263">
        <v>0.14459157270029679</v>
      </c>
      <c r="R263">
        <v>0.14459157270029679</v>
      </c>
      <c r="S263">
        <v>0.1578568545994066</v>
      </c>
      <c r="T263">
        <v>0.1711221364985164</v>
      </c>
      <c r="U263">
        <v>0.1804078338278931</v>
      </c>
      <c r="V263">
        <v>0.18836700296735909</v>
      </c>
      <c r="W263">
        <v>0.1963261721068249</v>
      </c>
      <c r="X263">
        <v>421.08546435977678</v>
      </c>
      <c r="Y263">
        <v>421.08546435977678</v>
      </c>
      <c r="Z263">
        <v>423.93063641626179</v>
      </c>
      <c r="AA263">
        <v>423.21934340214051</v>
      </c>
      <c r="AB263">
        <v>423.93063641626179</v>
      </c>
      <c r="AC263">
        <v>424.64192943038302</v>
      </c>
      <c r="AD263">
        <v>426.06451545862558</v>
      </c>
      <c r="AE263">
        <v>10.491571958288359</v>
      </c>
      <c r="AF263">
        <v>10.491571958288359</v>
      </c>
      <c r="AG263">
        <v>10.491571958288359</v>
      </c>
      <c r="AH263">
        <v>10.491571958288359</v>
      </c>
      <c r="AI263">
        <v>10.491571958288359</v>
      </c>
      <c r="AJ263">
        <v>10.491571958288359</v>
      </c>
      <c r="AK263">
        <v>10.491571958288359</v>
      </c>
    </row>
    <row r="264" spans="1:37" x14ac:dyDescent="0.25">
      <c r="A264" t="s">
        <v>90</v>
      </c>
      <c r="B264" t="s">
        <v>282</v>
      </c>
      <c r="C264" t="s">
        <v>283</v>
      </c>
      <c r="F264" t="s">
        <v>202</v>
      </c>
      <c r="G264" t="s">
        <v>122</v>
      </c>
      <c r="H264" t="s">
        <v>123</v>
      </c>
      <c r="I264" t="s">
        <v>284</v>
      </c>
      <c r="J264" t="s">
        <v>285</v>
      </c>
      <c r="K264" t="s">
        <v>98</v>
      </c>
      <c r="L264">
        <v>0</v>
      </c>
      <c r="M264">
        <v>1</v>
      </c>
      <c r="N264">
        <v>2020</v>
      </c>
      <c r="O264">
        <v>8</v>
      </c>
      <c r="P264">
        <v>1</v>
      </c>
      <c r="Q264">
        <v>0.14459157270029679</v>
      </c>
      <c r="R264">
        <v>0.14459157270029679</v>
      </c>
      <c r="S264">
        <v>0.1578568545994066</v>
      </c>
      <c r="T264">
        <v>0.1711221364985164</v>
      </c>
      <c r="U264">
        <v>0.1804078338278931</v>
      </c>
      <c r="V264">
        <v>0.18836700296735909</v>
      </c>
      <c r="W264">
        <v>0.1963261721068249</v>
      </c>
      <c r="X264">
        <v>421.08546435977678</v>
      </c>
      <c r="Y264">
        <v>421.08546435977678</v>
      </c>
      <c r="Z264">
        <v>423.93063641626179</v>
      </c>
      <c r="AA264">
        <v>423.21934340214051</v>
      </c>
      <c r="AB264">
        <v>423.93063641626179</v>
      </c>
      <c r="AC264">
        <v>424.64192943038302</v>
      </c>
      <c r="AD264">
        <v>426.06451545862558</v>
      </c>
      <c r="AE264">
        <v>10.491571958288359</v>
      </c>
      <c r="AF264">
        <v>10.491571958288359</v>
      </c>
      <c r="AG264">
        <v>10.491571958288359</v>
      </c>
      <c r="AH264">
        <v>10.491571958288359</v>
      </c>
      <c r="AI264">
        <v>10.491571958288359</v>
      </c>
      <c r="AJ264">
        <v>10.491571958288359</v>
      </c>
      <c r="AK264">
        <v>10.491571958288359</v>
      </c>
    </row>
    <row r="265" spans="1:37" x14ac:dyDescent="0.25">
      <c r="A265" t="s">
        <v>90</v>
      </c>
      <c r="B265" t="s">
        <v>282</v>
      </c>
      <c r="C265" t="s">
        <v>283</v>
      </c>
      <c r="F265" t="s">
        <v>202</v>
      </c>
      <c r="G265" t="s">
        <v>124</v>
      </c>
      <c r="H265" t="s">
        <v>125</v>
      </c>
      <c r="I265" t="s">
        <v>284</v>
      </c>
      <c r="J265" t="s">
        <v>285</v>
      </c>
      <c r="K265" t="s">
        <v>98</v>
      </c>
      <c r="L265">
        <v>0</v>
      </c>
      <c r="M265">
        <v>1</v>
      </c>
      <c r="N265">
        <v>2020</v>
      </c>
      <c r="O265">
        <v>8</v>
      </c>
      <c r="P265">
        <v>0.1</v>
      </c>
      <c r="Q265">
        <v>0.14459157270029679</v>
      </c>
      <c r="R265">
        <v>0.14459157270029679</v>
      </c>
      <c r="S265">
        <v>0.1578568545994066</v>
      </c>
      <c r="T265">
        <v>0.1711221364985164</v>
      </c>
      <c r="U265">
        <v>0.1804078338278931</v>
      </c>
      <c r="V265">
        <v>0.18836700296735909</v>
      </c>
      <c r="W265">
        <v>0.1963261721068249</v>
      </c>
      <c r="X265">
        <v>421.08546435977678</v>
      </c>
      <c r="Y265">
        <v>421.08546435977678</v>
      </c>
      <c r="Z265">
        <v>423.93063641626179</v>
      </c>
      <c r="AA265">
        <v>423.21934340214051</v>
      </c>
      <c r="AB265">
        <v>423.93063641626179</v>
      </c>
      <c r="AC265">
        <v>424.64192943038302</v>
      </c>
      <c r="AD265">
        <v>426.06451545862558</v>
      </c>
      <c r="AE265">
        <v>10.491571958288359</v>
      </c>
      <c r="AF265">
        <v>10.491571958288359</v>
      </c>
      <c r="AG265">
        <v>10.491571958288359</v>
      </c>
      <c r="AH265">
        <v>10.491571958288359</v>
      </c>
      <c r="AI265">
        <v>10.491571958288359</v>
      </c>
      <c r="AJ265">
        <v>10.491571958288359</v>
      </c>
      <c r="AK265">
        <v>10.491571958288359</v>
      </c>
    </row>
    <row r="266" spans="1:37" x14ac:dyDescent="0.25">
      <c r="A266" t="s">
        <v>90</v>
      </c>
      <c r="B266" t="s">
        <v>282</v>
      </c>
      <c r="C266" t="s">
        <v>283</v>
      </c>
      <c r="F266" t="s">
        <v>205</v>
      </c>
      <c r="G266" t="s">
        <v>119</v>
      </c>
      <c r="H266" t="s">
        <v>120</v>
      </c>
      <c r="I266" t="s">
        <v>284</v>
      </c>
      <c r="J266" t="s">
        <v>286</v>
      </c>
      <c r="K266" t="s">
        <v>98</v>
      </c>
      <c r="L266">
        <v>1</v>
      </c>
      <c r="M266">
        <v>1</v>
      </c>
      <c r="N266">
        <v>2020</v>
      </c>
      <c r="O266">
        <v>8</v>
      </c>
      <c r="P266">
        <v>1</v>
      </c>
      <c r="Q266">
        <v>0.14459157270029679</v>
      </c>
      <c r="R266">
        <v>0.14459157270029679</v>
      </c>
      <c r="S266">
        <v>0.1578568545994066</v>
      </c>
      <c r="T266">
        <v>0.17244866468842729</v>
      </c>
      <c r="U266">
        <v>0.1804078338278931</v>
      </c>
      <c r="V266">
        <v>0.18836700296735909</v>
      </c>
      <c r="W266">
        <v>0.19765270029673601</v>
      </c>
      <c r="X266">
        <v>461.62916616468777</v>
      </c>
      <c r="Y266">
        <v>461.62916616468777</v>
      </c>
      <c r="Z266">
        <v>465.18563123529401</v>
      </c>
      <c r="AA266">
        <v>463.7630452070515</v>
      </c>
      <c r="AB266">
        <v>463.7630452070515</v>
      </c>
      <c r="AC266">
        <v>464.47433822117279</v>
      </c>
      <c r="AD266">
        <v>465.18563123529401</v>
      </c>
      <c r="AE266">
        <v>10.491571958288359</v>
      </c>
      <c r="AF266">
        <v>10.491571958288359</v>
      </c>
      <c r="AG266">
        <v>10.491571958288359</v>
      </c>
      <c r="AH266">
        <v>10.491571958288359</v>
      </c>
      <c r="AI266">
        <v>10.491571958288359</v>
      </c>
      <c r="AJ266">
        <v>10.491571958288359</v>
      </c>
      <c r="AK266">
        <v>10.491571958288359</v>
      </c>
    </row>
    <row r="267" spans="1:37" x14ac:dyDescent="0.25">
      <c r="A267" t="s">
        <v>90</v>
      </c>
      <c r="B267" t="s">
        <v>282</v>
      </c>
      <c r="C267" t="s">
        <v>283</v>
      </c>
      <c r="F267" t="s">
        <v>205</v>
      </c>
      <c r="G267" t="s">
        <v>122</v>
      </c>
      <c r="H267" t="s">
        <v>123</v>
      </c>
      <c r="I267" t="s">
        <v>284</v>
      </c>
      <c r="J267" t="s">
        <v>286</v>
      </c>
      <c r="K267" t="s">
        <v>98</v>
      </c>
      <c r="L267">
        <v>0</v>
      </c>
      <c r="M267">
        <v>1</v>
      </c>
      <c r="N267">
        <v>2020</v>
      </c>
      <c r="O267">
        <v>8</v>
      </c>
      <c r="P267">
        <v>1</v>
      </c>
      <c r="Q267">
        <v>0.14459157270029679</v>
      </c>
      <c r="R267">
        <v>0.14459157270029679</v>
      </c>
      <c r="S267">
        <v>0.1578568545994066</v>
      </c>
      <c r="T267">
        <v>0.17244866468842729</v>
      </c>
      <c r="U267">
        <v>0.1804078338278931</v>
      </c>
      <c r="V267">
        <v>0.18836700296735909</v>
      </c>
      <c r="W267">
        <v>0.19765270029673601</v>
      </c>
      <c r="X267">
        <v>461.62916616468777</v>
      </c>
      <c r="Y267">
        <v>461.62916616468777</v>
      </c>
      <c r="Z267">
        <v>465.18563123529401</v>
      </c>
      <c r="AA267">
        <v>463.7630452070515</v>
      </c>
      <c r="AB267">
        <v>463.7630452070515</v>
      </c>
      <c r="AC267">
        <v>464.47433822117279</v>
      </c>
      <c r="AD267">
        <v>465.18563123529401</v>
      </c>
      <c r="AE267">
        <v>10.491571958288359</v>
      </c>
      <c r="AF267">
        <v>10.491571958288359</v>
      </c>
      <c r="AG267">
        <v>10.491571958288359</v>
      </c>
      <c r="AH267">
        <v>10.491571958288359</v>
      </c>
      <c r="AI267">
        <v>10.491571958288359</v>
      </c>
      <c r="AJ267">
        <v>10.491571958288359</v>
      </c>
      <c r="AK267">
        <v>10.491571958288359</v>
      </c>
    </row>
    <row r="268" spans="1:37" x14ac:dyDescent="0.25">
      <c r="A268" t="s">
        <v>90</v>
      </c>
      <c r="B268" t="s">
        <v>282</v>
      </c>
      <c r="C268" t="s">
        <v>283</v>
      </c>
      <c r="F268" t="s">
        <v>205</v>
      </c>
      <c r="G268" t="s">
        <v>124</v>
      </c>
      <c r="H268" t="s">
        <v>125</v>
      </c>
      <c r="I268" t="s">
        <v>284</v>
      </c>
      <c r="J268" t="s">
        <v>286</v>
      </c>
      <c r="K268" t="s">
        <v>98</v>
      </c>
      <c r="L268">
        <v>0</v>
      </c>
      <c r="M268">
        <v>1</v>
      </c>
      <c r="N268">
        <v>2020</v>
      </c>
      <c r="O268">
        <v>8</v>
      </c>
      <c r="P268">
        <v>0.1</v>
      </c>
      <c r="Q268">
        <v>0.14459157270029679</v>
      </c>
      <c r="R268">
        <v>0.14459157270029679</v>
      </c>
      <c r="S268">
        <v>0.1578568545994066</v>
      </c>
      <c r="T268">
        <v>0.17244866468842729</v>
      </c>
      <c r="U268">
        <v>0.1804078338278931</v>
      </c>
      <c r="V268">
        <v>0.18836700296735909</v>
      </c>
      <c r="W268">
        <v>0.19765270029673601</v>
      </c>
      <c r="X268">
        <v>461.62916616468777</v>
      </c>
      <c r="Y268">
        <v>461.62916616468777</v>
      </c>
      <c r="Z268">
        <v>465.18563123529401</v>
      </c>
      <c r="AA268">
        <v>463.7630452070515</v>
      </c>
      <c r="AB268">
        <v>463.7630452070515</v>
      </c>
      <c r="AC268">
        <v>464.47433822117279</v>
      </c>
      <c r="AD268">
        <v>465.18563123529401</v>
      </c>
      <c r="AE268">
        <v>10.491571958288359</v>
      </c>
      <c r="AF268">
        <v>10.491571958288359</v>
      </c>
      <c r="AG268">
        <v>10.491571958288359</v>
      </c>
      <c r="AH268">
        <v>10.491571958288359</v>
      </c>
      <c r="AI268">
        <v>10.491571958288359</v>
      </c>
      <c r="AJ268">
        <v>10.491571958288359</v>
      </c>
      <c r="AK268">
        <v>10.491571958288359</v>
      </c>
    </row>
    <row r="269" spans="1:37" x14ac:dyDescent="0.25">
      <c r="A269" t="s">
        <v>90</v>
      </c>
      <c r="B269" t="s">
        <v>282</v>
      </c>
      <c r="C269" t="s">
        <v>283</v>
      </c>
      <c r="F269" t="s">
        <v>207</v>
      </c>
      <c r="G269" t="s">
        <v>119</v>
      </c>
      <c r="H269" t="s">
        <v>120</v>
      </c>
      <c r="I269" t="s">
        <v>284</v>
      </c>
      <c r="J269" t="s">
        <v>287</v>
      </c>
      <c r="K269" t="s">
        <v>98</v>
      </c>
      <c r="L269">
        <v>1</v>
      </c>
      <c r="M269">
        <v>1</v>
      </c>
      <c r="N269">
        <v>2020</v>
      </c>
      <c r="O269">
        <v>8</v>
      </c>
      <c r="P269">
        <v>1</v>
      </c>
      <c r="Q269">
        <v>0.14591810089020771</v>
      </c>
      <c r="R269">
        <v>0.14591810089020771</v>
      </c>
      <c r="S269">
        <v>0.16183643916913951</v>
      </c>
      <c r="T269">
        <v>0.1764282492581602</v>
      </c>
      <c r="U269">
        <v>0.18704047477744801</v>
      </c>
      <c r="V269">
        <v>0.1963261721068249</v>
      </c>
      <c r="W269">
        <v>0.2056118694362018</v>
      </c>
      <c r="X269">
        <v>465.89692424941529</v>
      </c>
      <c r="Y269">
        <v>465.89692424941529</v>
      </c>
      <c r="Z269">
        <v>464.47433822117279</v>
      </c>
      <c r="AA269">
        <v>460.91787315056649</v>
      </c>
      <c r="AB269">
        <v>459.49528712232399</v>
      </c>
      <c r="AC269">
        <v>458.78399410820282</v>
      </c>
      <c r="AD269">
        <v>458.07270109408159</v>
      </c>
      <c r="AE269">
        <v>10.491571958288359</v>
      </c>
      <c r="AF269">
        <v>10.491571958288359</v>
      </c>
      <c r="AG269">
        <v>10.491571958288359</v>
      </c>
      <c r="AH269">
        <v>10.491571958288359</v>
      </c>
      <c r="AI269">
        <v>10.491571958288359</v>
      </c>
      <c r="AJ269">
        <v>10.491571958288359</v>
      </c>
      <c r="AK269">
        <v>10.491571958288359</v>
      </c>
    </row>
    <row r="270" spans="1:37" x14ac:dyDescent="0.25">
      <c r="A270" t="s">
        <v>90</v>
      </c>
      <c r="B270" t="s">
        <v>282</v>
      </c>
      <c r="C270" t="s">
        <v>283</v>
      </c>
      <c r="F270" t="s">
        <v>207</v>
      </c>
      <c r="G270" t="s">
        <v>122</v>
      </c>
      <c r="H270" t="s">
        <v>123</v>
      </c>
      <c r="I270" t="s">
        <v>284</v>
      </c>
      <c r="J270" t="s">
        <v>287</v>
      </c>
      <c r="K270" t="s">
        <v>98</v>
      </c>
      <c r="L270">
        <v>0</v>
      </c>
      <c r="M270">
        <v>1</v>
      </c>
      <c r="N270">
        <v>2020</v>
      </c>
      <c r="O270">
        <v>8</v>
      </c>
      <c r="P270">
        <v>1</v>
      </c>
      <c r="Q270">
        <v>0.14591810089020771</v>
      </c>
      <c r="R270">
        <v>0.14591810089020771</v>
      </c>
      <c r="S270">
        <v>0.16183643916913951</v>
      </c>
      <c r="T270">
        <v>0.1764282492581602</v>
      </c>
      <c r="U270">
        <v>0.18704047477744801</v>
      </c>
      <c r="V270">
        <v>0.1963261721068249</v>
      </c>
      <c r="W270">
        <v>0.2056118694362018</v>
      </c>
      <c r="X270">
        <v>465.89692424941529</v>
      </c>
      <c r="Y270">
        <v>465.89692424941529</v>
      </c>
      <c r="Z270">
        <v>464.47433822117279</v>
      </c>
      <c r="AA270">
        <v>460.91787315056649</v>
      </c>
      <c r="AB270">
        <v>459.49528712232399</v>
      </c>
      <c r="AC270">
        <v>458.78399410820282</v>
      </c>
      <c r="AD270">
        <v>458.07270109408159</v>
      </c>
      <c r="AE270">
        <v>10.491571958288359</v>
      </c>
      <c r="AF270">
        <v>10.491571958288359</v>
      </c>
      <c r="AG270">
        <v>10.491571958288359</v>
      </c>
      <c r="AH270">
        <v>10.491571958288359</v>
      </c>
      <c r="AI270">
        <v>10.491571958288359</v>
      </c>
      <c r="AJ270">
        <v>10.491571958288359</v>
      </c>
      <c r="AK270">
        <v>10.491571958288359</v>
      </c>
    </row>
    <row r="271" spans="1:37" x14ac:dyDescent="0.25">
      <c r="A271" t="s">
        <v>90</v>
      </c>
      <c r="B271" t="s">
        <v>282</v>
      </c>
      <c r="C271" t="s">
        <v>283</v>
      </c>
      <c r="F271" t="s">
        <v>207</v>
      </c>
      <c r="G271" t="s">
        <v>124</v>
      </c>
      <c r="H271" t="s">
        <v>125</v>
      </c>
      <c r="I271" t="s">
        <v>284</v>
      </c>
      <c r="J271" t="s">
        <v>287</v>
      </c>
      <c r="K271" t="s">
        <v>98</v>
      </c>
      <c r="L271">
        <v>0</v>
      </c>
      <c r="M271">
        <v>1</v>
      </c>
      <c r="N271">
        <v>2020</v>
      </c>
      <c r="O271">
        <v>8</v>
      </c>
      <c r="P271">
        <v>0.1</v>
      </c>
      <c r="Q271">
        <v>0.14591810089020771</v>
      </c>
      <c r="R271">
        <v>0.14591810089020771</v>
      </c>
      <c r="S271">
        <v>0.16183643916913951</v>
      </c>
      <c r="T271">
        <v>0.1764282492581602</v>
      </c>
      <c r="U271">
        <v>0.18704047477744801</v>
      </c>
      <c r="V271">
        <v>0.1963261721068249</v>
      </c>
      <c r="W271">
        <v>0.2056118694362018</v>
      </c>
      <c r="X271">
        <v>465.89692424941529</v>
      </c>
      <c r="Y271">
        <v>465.89692424941529</v>
      </c>
      <c r="Z271">
        <v>464.47433822117279</v>
      </c>
      <c r="AA271">
        <v>460.91787315056649</v>
      </c>
      <c r="AB271">
        <v>459.49528712232399</v>
      </c>
      <c r="AC271">
        <v>458.78399410820282</v>
      </c>
      <c r="AD271">
        <v>458.07270109408159</v>
      </c>
      <c r="AE271">
        <v>10.491571958288359</v>
      </c>
      <c r="AF271">
        <v>10.491571958288359</v>
      </c>
      <c r="AG271">
        <v>10.491571958288359</v>
      </c>
      <c r="AH271">
        <v>10.491571958288359</v>
      </c>
      <c r="AI271">
        <v>10.491571958288359</v>
      </c>
      <c r="AJ271">
        <v>10.491571958288359</v>
      </c>
      <c r="AK271">
        <v>10.491571958288359</v>
      </c>
    </row>
    <row r="272" spans="1:37" x14ac:dyDescent="0.25">
      <c r="A272" t="s">
        <v>90</v>
      </c>
      <c r="B272" t="s">
        <v>282</v>
      </c>
      <c r="C272" t="s">
        <v>283</v>
      </c>
      <c r="F272" t="s">
        <v>209</v>
      </c>
      <c r="G272" t="s">
        <v>119</v>
      </c>
      <c r="H272" t="s">
        <v>120</v>
      </c>
      <c r="I272" t="s">
        <v>284</v>
      </c>
      <c r="J272" t="s">
        <v>288</v>
      </c>
      <c r="K272" t="s">
        <v>98</v>
      </c>
      <c r="L272">
        <v>1</v>
      </c>
      <c r="M272">
        <v>1</v>
      </c>
      <c r="N272">
        <v>2020</v>
      </c>
      <c r="O272">
        <v>8</v>
      </c>
      <c r="P272">
        <v>0.30952380952381148</v>
      </c>
      <c r="Q272">
        <v>0.29979537091988079</v>
      </c>
      <c r="R272">
        <v>0.29979537091988079</v>
      </c>
      <c r="S272">
        <v>0.33030551928783392</v>
      </c>
      <c r="T272">
        <v>0.35816261127596438</v>
      </c>
      <c r="U272">
        <v>0.37408094955489479</v>
      </c>
      <c r="V272">
        <v>0.3899992878338272</v>
      </c>
      <c r="W272">
        <v>0.4059176261127605</v>
      </c>
      <c r="X272">
        <v>515.68743523790056</v>
      </c>
      <c r="Y272">
        <v>515.68743523790056</v>
      </c>
      <c r="Z272">
        <v>484.39054261656662</v>
      </c>
      <c r="AA272">
        <v>464.47433822117449</v>
      </c>
      <c r="AB272">
        <v>456.65011506583812</v>
      </c>
      <c r="AC272">
        <v>449.53718492462809</v>
      </c>
      <c r="AD272">
        <v>441.71296176929172</v>
      </c>
      <c r="AE272">
        <v>10.491571958288329</v>
      </c>
      <c r="AF272">
        <v>10.491571958288329</v>
      </c>
      <c r="AG272">
        <v>10.491571958288329</v>
      </c>
      <c r="AH272">
        <v>10.491571958288329</v>
      </c>
      <c r="AI272">
        <v>10.491571958288329</v>
      </c>
      <c r="AJ272">
        <v>10.491571958288329</v>
      </c>
      <c r="AK272">
        <v>10.491571958288329</v>
      </c>
    </row>
    <row r="273" spans="1:37" x14ac:dyDescent="0.25">
      <c r="A273" t="s">
        <v>90</v>
      </c>
      <c r="B273" t="s">
        <v>282</v>
      </c>
      <c r="C273" t="s">
        <v>283</v>
      </c>
      <c r="F273" t="s">
        <v>209</v>
      </c>
      <c r="G273" t="s">
        <v>122</v>
      </c>
      <c r="H273" t="s">
        <v>123</v>
      </c>
      <c r="I273" t="s">
        <v>284</v>
      </c>
      <c r="J273" t="s">
        <v>288</v>
      </c>
      <c r="K273" t="s">
        <v>98</v>
      </c>
      <c r="L273">
        <v>0</v>
      </c>
      <c r="M273">
        <v>1</v>
      </c>
      <c r="N273">
        <v>2020</v>
      </c>
      <c r="O273">
        <v>8</v>
      </c>
      <c r="P273">
        <v>0.30952380952381148</v>
      </c>
      <c r="Q273">
        <v>0.29979537091988079</v>
      </c>
      <c r="R273">
        <v>0.29979537091988079</v>
      </c>
      <c r="S273">
        <v>0.33030551928783392</v>
      </c>
      <c r="T273">
        <v>0.35816261127596438</v>
      </c>
      <c r="U273">
        <v>0.37408094955489479</v>
      </c>
      <c r="V273">
        <v>0.3899992878338272</v>
      </c>
      <c r="W273">
        <v>0.4059176261127605</v>
      </c>
      <c r="X273">
        <v>515.68743523790056</v>
      </c>
      <c r="Y273">
        <v>515.68743523790056</v>
      </c>
      <c r="Z273">
        <v>484.39054261656662</v>
      </c>
      <c r="AA273">
        <v>464.47433822117449</v>
      </c>
      <c r="AB273">
        <v>456.65011506583812</v>
      </c>
      <c r="AC273">
        <v>449.53718492462809</v>
      </c>
      <c r="AD273">
        <v>441.71296176929172</v>
      </c>
      <c r="AE273">
        <v>10.491571958288329</v>
      </c>
      <c r="AF273">
        <v>10.491571958288329</v>
      </c>
      <c r="AG273">
        <v>10.491571958288329</v>
      </c>
      <c r="AH273">
        <v>10.491571958288329</v>
      </c>
      <c r="AI273">
        <v>10.491571958288329</v>
      </c>
      <c r="AJ273">
        <v>10.491571958288329</v>
      </c>
      <c r="AK273">
        <v>10.491571958288329</v>
      </c>
    </row>
    <row r="274" spans="1:37" x14ac:dyDescent="0.25">
      <c r="A274" t="s">
        <v>90</v>
      </c>
      <c r="B274" t="s">
        <v>282</v>
      </c>
      <c r="C274" t="s">
        <v>283</v>
      </c>
      <c r="F274" t="s">
        <v>209</v>
      </c>
      <c r="G274" t="s">
        <v>124</v>
      </c>
      <c r="H274" t="s">
        <v>125</v>
      </c>
      <c r="I274" t="s">
        <v>284</v>
      </c>
      <c r="J274" t="s">
        <v>288</v>
      </c>
      <c r="K274" t="s">
        <v>98</v>
      </c>
      <c r="L274">
        <v>0</v>
      </c>
      <c r="M274">
        <v>1</v>
      </c>
      <c r="N274">
        <v>2020</v>
      </c>
      <c r="O274">
        <v>8</v>
      </c>
      <c r="P274">
        <v>0.1</v>
      </c>
      <c r="Q274">
        <v>0.29979537091988079</v>
      </c>
      <c r="R274">
        <v>0.29979537091988079</v>
      </c>
      <c r="S274">
        <v>0.33030551928783392</v>
      </c>
      <c r="T274">
        <v>0.35816261127596438</v>
      </c>
      <c r="U274">
        <v>0.37408094955489479</v>
      </c>
      <c r="V274">
        <v>0.3899992878338272</v>
      </c>
      <c r="W274">
        <v>0.4059176261127605</v>
      </c>
      <c r="X274">
        <v>515.68743523790056</v>
      </c>
      <c r="Y274">
        <v>515.68743523790056</v>
      </c>
      <c r="Z274">
        <v>484.39054261656662</v>
      </c>
      <c r="AA274">
        <v>464.47433822117449</v>
      </c>
      <c r="AB274">
        <v>456.65011506583812</v>
      </c>
      <c r="AC274">
        <v>449.53718492462809</v>
      </c>
      <c r="AD274">
        <v>441.71296176929172</v>
      </c>
      <c r="AE274">
        <v>10.491571958288329</v>
      </c>
      <c r="AF274">
        <v>10.491571958288329</v>
      </c>
      <c r="AG274">
        <v>10.491571958288329</v>
      </c>
      <c r="AH274">
        <v>10.491571958288329</v>
      </c>
      <c r="AI274">
        <v>10.491571958288329</v>
      </c>
      <c r="AJ274">
        <v>10.491571958288329</v>
      </c>
      <c r="AK274">
        <v>10.491571958288329</v>
      </c>
    </row>
    <row r="275" spans="1:37" x14ac:dyDescent="0.25">
      <c r="A275" t="s">
        <v>90</v>
      </c>
      <c r="B275" t="s">
        <v>282</v>
      </c>
      <c r="C275" t="s">
        <v>283</v>
      </c>
      <c r="F275" t="s">
        <v>209</v>
      </c>
      <c r="G275" t="s">
        <v>211</v>
      </c>
      <c r="H275" t="s">
        <v>212</v>
      </c>
      <c r="I275" t="s">
        <v>284</v>
      </c>
      <c r="J275" t="s">
        <v>288</v>
      </c>
      <c r="K275" t="s">
        <v>98</v>
      </c>
      <c r="L275">
        <v>0</v>
      </c>
      <c r="M275">
        <v>1</v>
      </c>
      <c r="N275">
        <v>2020</v>
      </c>
      <c r="O275">
        <v>8</v>
      </c>
      <c r="P275">
        <v>0.69047619047618847</v>
      </c>
      <c r="Q275">
        <v>0.29979537091988079</v>
      </c>
      <c r="R275">
        <v>0.29979537091988079</v>
      </c>
      <c r="S275">
        <v>0.33030551928783392</v>
      </c>
      <c r="T275">
        <v>0.35816261127596438</v>
      </c>
      <c r="U275">
        <v>0.37408094955489479</v>
      </c>
      <c r="V275">
        <v>0.3899992878338272</v>
      </c>
      <c r="W275">
        <v>0.4059176261127605</v>
      </c>
      <c r="X275">
        <v>515.68743523790056</v>
      </c>
      <c r="Y275">
        <v>515.68743523790056</v>
      </c>
      <c r="Z275">
        <v>484.39054261656662</v>
      </c>
      <c r="AA275">
        <v>464.47433822117449</v>
      </c>
      <c r="AB275">
        <v>456.65011506583812</v>
      </c>
      <c r="AC275">
        <v>449.53718492462809</v>
      </c>
      <c r="AD275">
        <v>441.71296176929172</v>
      </c>
      <c r="AE275">
        <v>10.491571958288329</v>
      </c>
      <c r="AF275">
        <v>10.491571958288329</v>
      </c>
      <c r="AG275">
        <v>10.491571958288329</v>
      </c>
      <c r="AH275">
        <v>10.491571958288329</v>
      </c>
      <c r="AI275">
        <v>10.491571958288329</v>
      </c>
      <c r="AJ275">
        <v>10.491571958288329</v>
      </c>
      <c r="AK275">
        <v>10.491571958288329</v>
      </c>
    </row>
    <row r="276" spans="1:37" x14ac:dyDescent="0.25">
      <c r="A276" t="s">
        <v>90</v>
      </c>
      <c r="B276" t="s">
        <v>282</v>
      </c>
      <c r="C276" t="s">
        <v>283</v>
      </c>
      <c r="F276" t="s">
        <v>213</v>
      </c>
      <c r="G276" t="s">
        <v>133</v>
      </c>
      <c r="H276" t="s">
        <v>134</v>
      </c>
      <c r="I276" t="s">
        <v>284</v>
      </c>
      <c r="J276" t="s">
        <v>289</v>
      </c>
      <c r="K276" t="s">
        <v>98</v>
      </c>
      <c r="L276">
        <v>1</v>
      </c>
      <c r="M276">
        <v>1</v>
      </c>
      <c r="N276">
        <v>2020</v>
      </c>
      <c r="O276">
        <v>8</v>
      </c>
      <c r="P276">
        <v>1</v>
      </c>
      <c r="Q276">
        <v>0.20030575667655801</v>
      </c>
      <c r="R276">
        <v>0.20030575667655801</v>
      </c>
      <c r="S276">
        <v>0.22020367952522271</v>
      </c>
      <c r="T276">
        <v>0.24142813056379819</v>
      </c>
      <c r="U276">
        <v>0.25071382789317492</v>
      </c>
      <c r="V276">
        <v>0.26132605341246301</v>
      </c>
      <c r="W276">
        <v>0.27061175074183957</v>
      </c>
      <c r="X276">
        <v>635.89595462439217</v>
      </c>
      <c r="Y276">
        <v>635.89595462439217</v>
      </c>
      <c r="Z276">
        <v>598.19742487596693</v>
      </c>
      <c r="AA276">
        <v>566.18923924051046</v>
      </c>
      <c r="AB276">
        <v>553.38596498632808</v>
      </c>
      <c r="AC276">
        <v>540.58269073214626</v>
      </c>
      <c r="AD276">
        <v>527.77941647796388</v>
      </c>
      <c r="AE276">
        <v>10.49157195828835</v>
      </c>
      <c r="AF276">
        <v>10.49157195828835</v>
      </c>
      <c r="AG276">
        <v>10.49157195828835</v>
      </c>
      <c r="AH276">
        <v>10.49157195828835</v>
      </c>
      <c r="AI276">
        <v>10.49157195828835</v>
      </c>
      <c r="AJ276">
        <v>10.49157195828835</v>
      </c>
      <c r="AK276">
        <v>10.49157195828835</v>
      </c>
    </row>
    <row r="277" spans="1:37" x14ac:dyDescent="0.25">
      <c r="A277" t="s">
        <v>90</v>
      </c>
      <c r="B277" t="s">
        <v>282</v>
      </c>
      <c r="C277" t="s">
        <v>283</v>
      </c>
      <c r="F277" t="s">
        <v>215</v>
      </c>
      <c r="G277" t="s">
        <v>133</v>
      </c>
      <c r="H277" t="s">
        <v>134</v>
      </c>
      <c r="I277" t="s">
        <v>284</v>
      </c>
      <c r="J277" t="s">
        <v>290</v>
      </c>
      <c r="K277" t="s">
        <v>98</v>
      </c>
      <c r="L277">
        <v>1</v>
      </c>
      <c r="M277">
        <v>1</v>
      </c>
      <c r="N277">
        <v>2020</v>
      </c>
      <c r="O277">
        <v>8</v>
      </c>
      <c r="P277">
        <v>0.89763779527559173</v>
      </c>
      <c r="Q277">
        <v>0.2175506231454005</v>
      </c>
      <c r="R277">
        <v>0.2175506231454005</v>
      </c>
      <c r="S277">
        <v>0.24010160237388731</v>
      </c>
      <c r="T277">
        <v>0.25867299703264102</v>
      </c>
      <c r="U277">
        <v>0.26663216617210689</v>
      </c>
      <c r="V277">
        <v>0.27591786350148362</v>
      </c>
      <c r="W277">
        <v>0.28387703264094938</v>
      </c>
      <c r="X277">
        <v>537.02622566153968</v>
      </c>
      <c r="Y277">
        <v>537.02622566153968</v>
      </c>
      <c r="Z277">
        <v>500.03898892723481</v>
      </c>
      <c r="AA277">
        <v>476.56631946123417</v>
      </c>
      <c r="AB277">
        <v>466.60821726353652</v>
      </c>
      <c r="AC277">
        <v>456.65011506583892</v>
      </c>
      <c r="AD277">
        <v>446.69201286814172</v>
      </c>
      <c r="AE277">
        <v>10.49157195828835</v>
      </c>
      <c r="AF277">
        <v>10.49157195828835</v>
      </c>
      <c r="AG277">
        <v>10.49157195828835</v>
      </c>
      <c r="AH277">
        <v>10.49157195828835</v>
      </c>
      <c r="AI277">
        <v>10.49157195828835</v>
      </c>
      <c r="AJ277">
        <v>10.49157195828835</v>
      </c>
      <c r="AK277">
        <v>10.49157195828835</v>
      </c>
    </row>
    <row r="278" spans="1:37" x14ac:dyDescent="0.25">
      <c r="A278" t="s">
        <v>90</v>
      </c>
      <c r="B278" t="s">
        <v>282</v>
      </c>
      <c r="C278" t="s">
        <v>283</v>
      </c>
      <c r="F278" t="s">
        <v>215</v>
      </c>
      <c r="G278" t="s">
        <v>211</v>
      </c>
      <c r="H278" t="s">
        <v>212</v>
      </c>
      <c r="I278" t="s">
        <v>284</v>
      </c>
      <c r="J278" t="s">
        <v>290</v>
      </c>
      <c r="K278" t="s">
        <v>98</v>
      </c>
      <c r="L278">
        <v>0</v>
      </c>
      <c r="M278">
        <v>1</v>
      </c>
      <c r="N278">
        <v>2020</v>
      </c>
      <c r="O278">
        <v>8</v>
      </c>
      <c r="P278">
        <v>0.1023622047244083</v>
      </c>
      <c r="Q278">
        <v>0.2175506231454005</v>
      </c>
      <c r="R278">
        <v>0.2175506231454005</v>
      </c>
      <c r="S278">
        <v>0.24010160237388731</v>
      </c>
      <c r="T278">
        <v>0.25867299703264102</v>
      </c>
      <c r="U278">
        <v>0.26663216617210689</v>
      </c>
      <c r="V278">
        <v>0.27591786350148362</v>
      </c>
      <c r="W278">
        <v>0.28387703264094938</v>
      </c>
      <c r="X278">
        <v>537.02622566153968</v>
      </c>
      <c r="Y278">
        <v>537.02622566153968</v>
      </c>
      <c r="Z278">
        <v>500.03898892723481</v>
      </c>
      <c r="AA278">
        <v>476.56631946123417</v>
      </c>
      <c r="AB278">
        <v>466.60821726353652</v>
      </c>
      <c r="AC278">
        <v>456.65011506583892</v>
      </c>
      <c r="AD278">
        <v>446.69201286814172</v>
      </c>
      <c r="AE278">
        <v>10.49157195828835</v>
      </c>
      <c r="AF278">
        <v>10.49157195828835</v>
      </c>
      <c r="AG278">
        <v>10.49157195828835</v>
      </c>
      <c r="AH278">
        <v>10.49157195828835</v>
      </c>
      <c r="AI278">
        <v>10.49157195828835</v>
      </c>
      <c r="AJ278">
        <v>10.49157195828835</v>
      </c>
      <c r="AK278">
        <v>10.49157195828835</v>
      </c>
    </row>
    <row r="279" spans="1:37" x14ac:dyDescent="0.25">
      <c r="A279" t="s">
        <v>90</v>
      </c>
      <c r="B279" t="s">
        <v>282</v>
      </c>
      <c r="C279" t="s">
        <v>283</v>
      </c>
      <c r="F279" t="s">
        <v>217</v>
      </c>
      <c r="G279" t="s">
        <v>211</v>
      </c>
      <c r="H279" t="s">
        <v>212</v>
      </c>
      <c r="I279" t="s">
        <v>284</v>
      </c>
      <c r="J279" t="s">
        <v>291</v>
      </c>
      <c r="K279" t="s">
        <v>98</v>
      </c>
      <c r="L279">
        <v>1</v>
      </c>
      <c r="M279">
        <v>1</v>
      </c>
      <c r="N279">
        <v>2020</v>
      </c>
      <c r="O279">
        <v>8</v>
      </c>
      <c r="P279">
        <v>1</v>
      </c>
      <c r="Q279">
        <v>0.36877483679525219</v>
      </c>
      <c r="R279">
        <v>0.36877483679525219</v>
      </c>
      <c r="S279">
        <v>0.40061151335311579</v>
      </c>
      <c r="T279">
        <v>0.43510124629080099</v>
      </c>
      <c r="U279">
        <v>0.44969305637982182</v>
      </c>
      <c r="V279">
        <v>0.46428486646884271</v>
      </c>
      <c r="W279">
        <v>0.48152973293768542</v>
      </c>
      <c r="X279">
        <v>508.57450509669002</v>
      </c>
      <c r="Y279">
        <v>508.57450509669002</v>
      </c>
      <c r="Z279">
        <v>462.34045917880923</v>
      </c>
      <c r="AA279">
        <v>437.44520368456551</v>
      </c>
      <c r="AB279">
        <v>426.06451545862558</v>
      </c>
      <c r="AC279">
        <v>414.6838272326857</v>
      </c>
      <c r="AD279">
        <v>403.30313900674582</v>
      </c>
      <c r="AE279">
        <v>6.7572836341518263</v>
      </c>
      <c r="AF279">
        <v>6.7572836341518263</v>
      </c>
      <c r="AG279">
        <v>6.7572836341518263</v>
      </c>
      <c r="AH279">
        <v>6.7572836341518263</v>
      </c>
      <c r="AI279">
        <v>6.7572836341518263</v>
      </c>
      <c r="AJ279">
        <v>6.7572836341518263</v>
      </c>
      <c r="AK279">
        <v>6.7572836341518263</v>
      </c>
    </row>
    <row r="280" spans="1:37" x14ac:dyDescent="0.25">
      <c r="A280" t="s">
        <v>90</v>
      </c>
      <c r="B280" t="s">
        <v>91</v>
      </c>
      <c r="C280" t="s">
        <v>292</v>
      </c>
      <c r="F280" t="s">
        <v>293</v>
      </c>
      <c r="G280" t="s">
        <v>293</v>
      </c>
      <c r="H280" t="s">
        <v>294</v>
      </c>
      <c r="I280" t="s">
        <v>295</v>
      </c>
      <c r="J280" t="s">
        <v>296</v>
      </c>
      <c r="K280" t="s">
        <v>98</v>
      </c>
      <c r="L280">
        <v>1</v>
      </c>
      <c r="M280">
        <v>1</v>
      </c>
      <c r="N280">
        <v>2020</v>
      </c>
      <c r="P280">
        <v>0</v>
      </c>
    </row>
    <row r="281" spans="1:37" x14ac:dyDescent="0.25">
      <c r="A281" t="s">
        <v>90</v>
      </c>
      <c r="B281" t="s">
        <v>91</v>
      </c>
      <c r="C281" t="s">
        <v>297</v>
      </c>
      <c r="F281" t="s">
        <v>293</v>
      </c>
      <c r="G281" t="s">
        <v>293</v>
      </c>
      <c r="H281" t="s">
        <v>294</v>
      </c>
      <c r="I281" t="s">
        <v>298</v>
      </c>
      <c r="J281" t="s">
        <v>299</v>
      </c>
      <c r="K281" t="s">
        <v>98</v>
      </c>
      <c r="L281">
        <v>1</v>
      </c>
      <c r="M281">
        <v>1</v>
      </c>
      <c r="N281">
        <v>2020</v>
      </c>
      <c r="P281">
        <v>0</v>
      </c>
    </row>
    <row r="282" spans="1:37" x14ac:dyDescent="0.25">
      <c r="A282" t="s">
        <v>90</v>
      </c>
      <c r="B282" t="s">
        <v>91</v>
      </c>
      <c r="C282" t="s">
        <v>300</v>
      </c>
      <c r="F282" t="s">
        <v>202</v>
      </c>
      <c r="G282" t="s">
        <v>119</v>
      </c>
      <c r="H282" t="s">
        <v>120</v>
      </c>
      <c r="I282" t="s">
        <v>301</v>
      </c>
      <c r="J282" t="s">
        <v>302</v>
      </c>
      <c r="K282" t="s">
        <v>98</v>
      </c>
      <c r="L282">
        <v>1</v>
      </c>
      <c r="M282">
        <v>1</v>
      </c>
      <c r="N282">
        <v>2020</v>
      </c>
      <c r="O282">
        <v>30</v>
      </c>
      <c r="P282">
        <v>1</v>
      </c>
      <c r="Q282">
        <v>4.0874686539039071E-2</v>
      </c>
      <c r="R282">
        <v>4.0874686539039071E-2</v>
      </c>
      <c r="S282">
        <v>4.0874686539039071E-2</v>
      </c>
      <c r="T282">
        <v>4.0874686539039071E-2</v>
      </c>
      <c r="U282">
        <v>4.0874686539039071E-2</v>
      </c>
      <c r="V282">
        <v>4.0874686539039071E-2</v>
      </c>
      <c r="W282">
        <v>4.0874686539039071E-2</v>
      </c>
      <c r="X282">
        <v>35064.743526515987</v>
      </c>
      <c r="Y282">
        <v>35064.743526515987</v>
      </c>
      <c r="Z282">
        <v>35064.743526515987</v>
      </c>
      <c r="AA282">
        <v>35064.743526515987</v>
      </c>
      <c r="AB282">
        <v>35064.743526515987</v>
      </c>
      <c r="AC282">
        <v>35064.743526515987</v>
      </c>
      <c r="AD282">
        <v>35064.743526515987</v>
      </c>
      <c r="AE282">
        <v>3506.474352651599</v>
      </c>
      <c r="AF282">
        <v>3506.474352651599</v>
      </c>
      <c r="AG282">
        <v>3506.474352651599</v>
      </c>
      <c r="AH282">
        <v>3506.474352651599</v>
      </c>
      <c r="AI282">
        <v>3506.474352651599</v>
      </c>
      <c r="AJ282">
        <v>3506.474352651599</v>
      </c>
      <c r="AK282">
        <v>3506.474352651599</v>
      </c>
    </row>
    <row r="283" spans="1:37" x14ac:dyDescent="0.25">
      <c r="A283" t="s">
        <v>90</v>
      </c>
      <c r="B283" t="s">
        <v>91</v>
      </c>
      <c r="C283" t="s">
        <v>300</v>
      </c>
      <c r="F283" t="s">
        <v>202</v>
      </c>
      <c r="G283" t="s">
        <v>122</v>
      </c>
      <c r="H283" t="s">
        <v>123</v>
      </c>
      <c r="I283" t="s">
        <v>301</v>
      </c>
      <c r="J283" t="s">
        <v>302</v>
      </c>
      <c r="K283" t="s">
        <v>98</v>
      </c>
      <c r="L283">
        <v>0</v>
      </c>
      <c r="M283">
        <v>1</v>
      </c>
      <c r="N283">
        <v>2020</v>
      </c>
      <c r="O283">
        <v>30</v>
      </c>
      <c r="P283">
        <v>1</v>
      </c>
      <c r="Q283">
        <v>4.0874686539039071E-2</v>
      </c>
      <c r="R283">
        <v>4.0874686539039071E-2</v>
      </c>
      <c r="S283">
        <v>4.0874686539039071E-2</v>
      </c>
      <c r="T283">
        <v>4.0874686539039071E-2</v>
      </c>
      <c r="U283">
        <v>4.0874686539039071E-2</v>
      </c>
      <c r="V283">
        <v>4.0874686539039071E-2</v>
      </c>
      <c r="W283">
        <v>4.0874686539039071E-2</v>
      </c>
      <c r="X283">
        <v>35064.743526515987</v>
      </c>
      <c r="Y283">
        <v>35064.743526515987</v>
      </c>
      <c r="Z283">
        <v>35064.743526515987</v>
      </c>
      <c r="AA283">
        <v>35064.743526515987</v>
      </c>
      <c r="AB283">
        <v>35064.743526515987</v>
      </c>
      <c r="AC283">
        <v>35064.743526515987</v>
      </c>
      <c r="AD283">
        <v>35064.743526515987</v>
      </c>
      <c r="AE283">
        <v>3506.474352651599</v>
      </c>
      <c r="AF283">
        <v>3506.474352651599</v>
      </c>
      <c r="AG283">
        <v>3506.474352651599</v>
      </c>
      <c r="AH283">
        <v>3506.474352651599</v>
      </c>
      <c r="AI283">
        <v>3506.474352651599</v>
      </c>
      <c r="AJ283">
        <v>3506.474352651599</v>
      </c>
      <c r="AK283">
        <v>3506.474352651599</v>
      </c>
    </row>
    <row r="284" spans="1:37" x14ac:dyDescent="0.25">
      <c r="A284" t="s">
        <v>90</v>
      </c>
      <c r="B284" t="s">
        <v>91</v>
      </c>
      <c r="C284" t="s">
        <v>300</v>
      </c>
      <c r="F284" t="s">
        <v>202</v>
      </c>
      <c r="G284" t="s">
        <v>124</v>
      </c>
      <c r="H284" t="s">
        <v>125</v>
      </c>
      <c r="I284" t="s">
        <v>301</v>
      </c>
      <c r="J284" t="s">
        <v>302</v>
      </c>
      <c r="K284" t="s">
        <v>98</v>
      </c>
      <c r="L284">
        <v>0</v>
      </c>
      <c r="M284">
        <v>1</v>
      </c>
      <c r="N284">
        <v>2020</v>
      </c>
      <c r="O284">
        <v>30</v>
      </c>
      <c r="P284">
        <v>0.1</v>
      </c>
      <c r="Q284">
        <v>4.0874686539039071E-2</v>
      </c>
      <c r="R284">
        <v>4.0874686539039071E-2</v>
      </c>
      <c r="S284">
        <v>4.0874686539039071E-2</v>
      </c>
      <c r="T284">
        <v>4.0874686539039071E-2</v>
      </c>
      <c r="U284">
        <v>4.0874686539039071E-2</v>
      </c>
      <c r="V284">
        <v>4.0874686539039071E-2</v>
      </c>
      <c r="W284">
        <v>4.0874686539039071E-2</v>
      </c>
      <c r="X284">
        <v>35064.743526515987</v>
      </c>
      <c r="Y284">
        <v>35064.743526515987</v>
      </c>
      <c r="Z284">
        <v>35064.743526515987</v>
      </c>
      <c r="AA284">
        <v>35064.743526515987</v>
      </c>
      <c r="AB284">
        <v>35064.743526515987</v>
      </c>
      <c r="AC284">
        <v>35064.743526515987</v>
      </c>
      <c r="AD284">
        <v>35064.743526515987</v>
      </c>
      <c r="AE284">
        <v>3506.474352651599</v>
      </c>
      <c r="AF284">
        <v>3506.474352651599</v>
      </c>
      <c r="AG284">
        <v>3506.474352651599</v>
      </c>
      <c r="AH284">
        <v>3506.474352651599</v>
      </c>
      <c r="AI284">
        <v>3506.474352651599</v>
      </c>
      <c r="AJ284">
        <v>3506.474352651599</v>
      </c>
      <c r="AK284">
        <v>3506.474352651599</v>
      </c>
    </row>
    <row r="285" spans="1:37" x14ac:dyDescent="0.25">
      <c r="A285" t="s">
        <v>90</v>
      </c>
      <c r="B285" t="s">
        <v>91</v>
      </c>
      <c r="C285" t="s">
        <v>300</v>
      </c>
      <c r="F285" t="s">
        <v>303</v>
      </c>
      <c r="G285" t="s">
        <v>304</v>
      </c>
      <c r="H285" t="s">
        <v>305</v>
      </c>
      <c r="I285" t="s">
        <v>301</v>
      </c>
      <c r="J285" t="s">
        <v>306</v>
      </c>
      <c r="K285" t="s">
        <v>98</v>
      </c>
      <c r="L285">
        <v>1</v>
      </c>
      <c r="M285">
        <v>1</v>
      </c>
      <c r="N285">
        <v>2020</v>
      </c>
      <c r="O285">
        <v>30</v>
      </c>
      <c r="P285">
        <v>1</v>
      </c>
      <c r="Q285">
        <v>4.0874686539039071E-2</v>
      </c>
      <c r="R285">
        <v>4.0874686539039071E-2</v>
      </c>
      <c r="S285">
        <v>4.0874686539039071E-2</v>
      </c>
      <c r="T285">
        <v>4.0874686539039071E-2</v>
      </c>
      <c r="U285">
        <v>4.0874686539039071E-2</v>
      </c>
      <c r="V285">
        <v>4.0874686539039071E-2</v>
      </c>
      <c r="W285">
        <v>4.0874686539039071E-2</v>
      </c>
      <c r="X285">
        <v>35064.743526515987</v>
      </c>
      <c r="Y285">
        <v>35064.743526515987</v>
      </c>
      <c r="Z285">
        <v>35064.743526515987</v>
      </c>
      <c r="AA285">
        <v>35064.743526515987</v>
      </c>
      <c r="AB285">
        <v>35064.743526515987</v>
      </c>
      <c r="AC285">
        <v>35064.743526515987</v>
      </c>
      <c r="AD285">
        <v>35064.743526515987</v>
      </c>
      <c r="AE285">
        <v>3506.474352651599</v>
      </c>
      <c r="AF285">
        <v>3506.474352651599</v>
      </c>
      <c r="AG285">
        <v>3506.474352651599</v>
      </c>
      <c r="AH285">
        <v>3506.474352651599</v>
      </c>
      <c r="AI285">
        <v>3506.474352651599</v>
      </c>
      <c r="AJ285">
        <v>3506.474352651599</v>
      </c>
      <c r="AK285">
        <v>3506.474352651599</v>
      </c>
    </row>
    <row r="286" spans="1:37" x14ac:dyDescent="0.25">
      <c r="A286" t="s">
        <v>90</v>
      </c>
      <c r="B286" t="s">
        <v>91</v>
      </c>
      <c r="C286" t="s">
        <v>300</v>
      </c>
      <c r="F286" t="s">
        <v>213</v>
      </c>
      <c r="G286" t="s">
        <v>133</v>
      </c>
      <c r="H286" t="s">
        <v>134</v>
      </c>
      <c r="I286" t="s">
        <v>301</v>
      </c>
      <c r="J286" t="s">
        <v>307</v>
      </c>
      <c r="K286" t="s">
        <v>98</v>
      </c>
      <c r="L286">
        <v>1</v>
      </c>
      <c r="M286">
        <v>1</v>
      </c>
      <c r="N286">
        <v>2020</v>
      </c>
      <c r="O286">
        <v>30</v>
      </c>
      <c r="P286">
        <v>1</v>
      </c>
      <c r="Q286">
        <v>4.0874686539039071E-2</v>
      </c>
      <c r="R286">
        <v>4.0874686539039071E-2</v>
      </c>
      <c r="S286">
        <v>4.0874686539039071E-2</v>
      </c>
      <c r="T286">
        <v>4.0874686539039071E-2</v>
      </c>
      <c r="U286">
        <v>4.0874686539039071E-2</v>
      </c>
      <c r="V286">
        <v>4.0874686539039071E-2</v>
      </c>
      <c r="W286">
        <v>4.0874686539039071E-2</v>
      </c>
      <c r="X286">
        <v>35064.743526515987</v>
      </c>
      <c r="Y286">
        <v>35064.743526515987</v>
      </c>
      <c r="Z286">
        <v>35064.743526515987</v>
      </c>
      <c r="AA286">
        <v>35064.743526515987</v>
      </c>
      <c r="AB286">
        <v>35064.743526515987</v>
      </c>
      <c r="AC286">
        <v>35064.743526515987</v>
      </c>
      <c r="AD286">
        <v>35064.743526515987</v>
      </c>
      <c r="AE286">
        <v>3506.474352651599</v>
      </c>
      <c r="AF286">
        <v>3506.474352651599</v>
      </c>
      <c r="AG286">
        <v>3506.474352651599</v>
      </c>
      <c r="AH286">
        <v>3506.474352651599</v>
      </c>
      <c r="AI286">
        <v>3506.474352651599</v>
      </c>
      <c r="AJ286">
        <v>3506.474352651599</v>
      </c>
      <c r="AK286">
        <v>3506.474352651599</v>
      </c>
    </row>
    <row r="287" spans="1:37" x14ac:dyDescent="0.25">
      <c r="A287" t="s">
        <v>90</v>
      </c>
      <c r="B287" t="s">
        <v>91</v>
      </c>
      <c r="C287" t="s">
        <v>308</v>
      </c>
      <c r="F287" t="s">
        <v>303</v>
      </c>
      <c r="G287" t="s">
        <v>304</v>
      </c>
      <c r="H287" t="s">
        <v>305</v>
      </c>
      <c r="I287" t="s">
        <v>309</v>
      </c>
      <c r="J287" t="s">
        <v>310</v>
      </c>
      <c r="K287" t="s">
        <v>98</v>
      </c>
      <c r="L287">
        <v>1</v>
      </c>
      <c r="M287">
        <v>1</v>
      </c>
      <c r="N287">
        <v>2020</v>
      </c>
      <c r="O287">
        <v>30</v>
      </c>
      <c r="P287">
        <v>1</v>
      </c>
      <c r="Q287">
        <v>7.814652044054797E-2</v>
      </c>
      <c r="R287">
        <v>7.814652044054797E-2</v>
      </c>
      <c r="S287">
        <v>7.814652044054797E-2</v>
      </c>
      <c r="T287">
        <v>7.814652044054797E-2</v>
      </c>
      <c r="U287">
        <v>7.814652044054797E-2</v>
      </c>
      <c r="V287">
        <v>7.814652044054797E-2</v>
      </c>
      <c r="W287">
        <v>7.814652044054797E-2</v>
      </c>
      <c r="X287">
        <v>1585.923890582003</v>
      </c>
      <c r="Y287">
        <v>1585.923890582003</v>
      </c>
      <c r="Z287">
        <v>1585.923890582003</v>
      </c>
      <c r="AA287">
        <v>1585.923890582003</v>
      </c>
      <c r="AB287">
        <v>1585.923890582003</v>
      </c>
      <c r="AC287">
        <v>1585.923890582003</v>
      </c>
      <c r="AD287">
        <v>1585.923890582003</v>
      </c>
      <c r="AE287">
        <v>158.5923890582003</v>
      </c>
      <c r="AF287">
        <v>158.5923890582003</v>
      </c>
      <c r="AG287">
        <v>158.5923890582003</v>
      </c>
      <c r="AH287">
        <v>158.5923890582003</v>
      </c>
      <c r="AI287">
        <v>158.5923890582003</v>
      </c>
      <c r="AJ287">
        <v>158.5923890582003</v>
      </c>
      <c r="AK287">
        <v>158.5923890582003</v>
      </c>
    </row>
    <row r="288" spans="1:37" x14ac:dyDescent="0.25">
      <c r="A288" t="s">
        <v>90</v>
      </c>
      <c r="B288" t="s">
        <v>91</v>
      </c>
      <c r="C288" t="s">
        <v>311</v>
      </c>
      <c r="F288" t="s">
        <v>303</v>
      </c>
      <c r="G288" t="s">
        <v>304</v>
      </c>
      <c r="H288" t="s">
        <v>305</v>
      </c>
      <c r="I288" t="s">
        <v>312</v>
      </c>
      <c r="J288" t="s">
        <v>313</v>
      </c>
      <c r="K288" t="s">
        <v>98</v>
      </c>
      <c r="L288">
        <v>1</v>
      </c>
      <c r="M288">
        <v>1</v>
      </c>
      <c r="N288">
        <v>2020</v>
      </c>
      <c r="O288">
        <v>30</v>
      </c>
      <c r="P288">
        <v>1</v>
      </c>
      <c r="Q288">
        <v>7.814652044054797E-2</v>
      </c>
      <c r="R288">
        <v>7.814652044054797E-2</v>
      </c>
      <c r="S288">
        <v>7.814652044054797E-2</v>
      </c>
      <c r="T288">
        <v>7.814652044054797E-2</v>
      </c>
      <c r="U288">
        <v>7.814652044054797E-2</v>
      </c>
      <c r="V288">
        <v>7.814652044054797E-2</v>
      </c>
      <c r="W288">
        <v>7.814652044054797E-2</v>
      </c>
      <c r="X288">
        <v>1585.923890582003</v>
      </c>
      <c r="Y288">
        <v>1585.923890582003</v>
      </c>
      <c r="Z288">
        <v>1585.923890582003</v>
      </c>
      <c r="AA288">
        <v>1585.923890582003</v>
      </c>
      <c r="AB288">
        <v>1585.923890582003</v>
      </c>
      <c r="AC288">
        <v>1585.923890582003</v>
      </c>
      <c r="AD288">
        <v>1585.923890582003</v>
      </c>
      <c r="AE288">
        <v>158.5923890582003</v>
      </c>
      <c r="AF288">
        <v>158.5923890582003</v>
      </c>
      <c r="AG288">
        <v>158.5923890582003</v>
      </c>
      <c r="AH288">
        <v>158.5923890582003</v>
      </c>
      <c r="AI288">
        <v>158.5923890582003</v>
      </c>
      <c r="AJ288">
        <v>158.5923890582003</v>
      </c>
      <c r="AK288">
        <v>158.5923890582003</v>
      </c>
    </row>
    <row r="289" spans="1:37" x14ac:dyDescent="0.25">
      <c r="A289" t="s">
        <v>90</v>
      </c>
      <c r="B289" t="s">
        <v>282</v>
      </c>
      <c r="C289" t="s">
        <v>314</v>
      </c>
      <c r="F289" t="s">
        <v>202</v>
      </c>
      <c r="G289" t="s">
        <v>119</v>
      </c>
      <c r="H289" t="s">
        <v>120</v>
      </c>
      <c r="I289" t="s">
        <v>315</v>
      </c>
      <c r="J289" t="s">
        <v>316</v>
      </c>
      <c r="K289" t="s">
        <v>98</v>
      </c>
      <c r="L289">
        <v>1</v>
      </c>
      <c r="M289">
        <v>1</v>
      </c>
      <c r="N289">
        <v>2020</v>
      </c>
      <c r="O289">
        <v>30</v>
      </c>
      <c r="P289">
        <v>1</v>
      </c>
      <c r="Q289">
        <v>1.142762194627794E-3</v>
      </c>
      <c r="R289">
        <v>1.142762194627794E-3</v>
      </c>
      <c r="S289">
        <v>1.142762194627794E-3</v>
      </c>
      <c r="T289">
        <v>1.142762194627794E-3</v>
      </c>
      <c r="U289">
        <v>1.142762194627794E-3</v>
      </c>
      <c r="V289">
        <v>1.142762194627794E-3</v>
      </c>
      <c r="W289">
        <v>1.142762194627794E-3</v>
      </c>
      <c r="X289">
        <v>59271.955492113273</v>
      </c>
      <c r="Y289">
        <v>59271.955492113273</v>
      </c>
      <c r="Z289">
        <v>59271.955492113273</v>
      </c>
      <c r="AA289">
        <v>59271.955492113273</v>
      </c>
      <c r="AB289">
        <v>59271.955492113273</v>
      </c>
      <c r="AC289">
        <v>59271.955492113273</v>
      </c>
      <c r="AD289">
        <v>59271.955492113273</v>
      </c>
      <c r="AE289">
        <v>2963.5977746056642</v>
      </c>
      <c r="AF289">
        <v>2963.5977746056642</v>
      </c>
      <c r="AG289">
        <v>2963.5977746056642</v>
      </c>
      <c r="AH289">
        <v>2963.5977746056642</v>
      </c>
      <c r="AI289">
        <v>2963.5977746056642</v>
      </c>
      <c r="AJ289">
        <v>2963.5977746056642</v>
      </c>
      <c r="AK289">
        <v>2963.5977746056642</v>
      </c>
    </row>
    <row r="290" spans="1:37" x14ac:dyDescent="0.25">
      <c r="A290" t="s">
        <v>90</v>
      </c>
      <c r="B290" t="s">
        <v>282</v>
      </c>
      <c r="C290" t="s">
        <v>314</v>
      </c>
      <c r="F290" t="s">
        <v>202</v>
      </c>
      <c r="G290" t="s">
        <v>122</v>
      </c>
      <c r="H290" t="s">
        <v>123</v>
      </c>
      <c r="I290" t="s">
        <v>315</v>
      </c>
      <c r="J290" t="s">
        <v>316</v>
      </c>
      <c r="K290" t="s">
        <v>98</v>
      </c>
      <c r="L290">
        <v>0</v>
      </c>
      <c r="M290">
        <v>1</v>
      </c>
      <c r="N290">
        <v>2020</v>
      </c>
      <c r="O290">
        <v>30</v>
      </c>
      <c r="P290">
        <v>1</v>
      </c>
      <c r="Q290">
        <v>1.142762194627794E-3</v>
      </c>
      <c r="R290">
        <v>1.142762194627794E-3</v>
      </c>
      <c r="S290">
        <v>1.142762194627794E-3</v>
      </c>
      <c r="T290">
        <v>1.142762194627794E-3</v>
      </c>
      <c r="U290">
        <v>1.142762194627794E-3</v>
      </c>
      <c r="V290">
        <v>1.142762194627794E-3</v>
      </c>
      <c r="W290">
        <v>1.142762194627794E-3</v>
      </c>
      <c r="X290">
        <v>59271.955492113273</v>
      </c>
      <c r="Y290">
        <v>59271.955492113273</v>
      </c>
      <c r="Z290">
        <v>59271.955492113273</v>
      </c>
      <c r="AA290">
        <v>59271.955492113273</v>
      </c>
      <c r="AB290">
        <v>59271.955492113273</v>
      </c>
      <c r="AC290">
        <v>59271.955492113273</v>
      </c>
      <c r="AD290">
        <v>59271.955492113273</v>
      </c>
      <c r="AE290">
        <v>2963.5977746056642</v>
      </c>
      <c r="AF290">
        <v>2963.5977746056642</v>
      </c>
      <c r="AG290">
        <v>2963.5977746056642</v>
      </c>
      <c r="AH290">
        <v>2963.5977746056642</v>
      </c>
      <c r="AI290">
        <v>2963.5977746056642</v>
      </c>
      <c r="AJ290">
        <v>2963.5977746056642</v>
      </c>
      <c r="AK290">
        <v>2963.5977746056642</v>
      </c>
    </row>
    <row r="291" spans="1:37" x14ac:dyDescent="0.25">
      <c r="A291" t="s">
        <v>90</v>
      </c>
      <c r="B291" t="s">
        <v>282</v>
      </c>
      <c r="C291" t="s">
        <v>314</v>
      </c>
      <c r="F291" t="s">
        <v>202</v>
      </c>
      <c r="G291" t="s">
        <v>124</v>
      </c>
      <c r="H291" t="s">
        <v>125</v>
      </c>
      <c r="I291" t="s">
        <v>315</v>
      </c>
      <c r="J291" t="s">
        <v>316</v>
      </c>
      <c r="K291" t="s">
        <v>98</v>
      </c>
      <c r="L291">
        <v>0</v>
      </c>
      <c r="M291">
        <v>1</v>
      </c>
      <c r="N291">
        <v>2020</v>
      </c>
      <c r="O291">
        <v>30</v>
      </c>
      <c r="P291">
        <v>0.1</v>
      </c>
      <c r="Q291">
        <v>1.142762194627794E-3</v>
      </c>
      <c r="R291">
        <v>1.142762194627794E-3</v>
      </c>
      <c r="S291">
        <v>1.142762194627794E-3</v>
      </c>
      <c r="T291">
        <v>1.142762194627794E-3</v>
      </c>
      <c r="U291">
        <v>1.142762194627794E-3</v>
      </c>
      <c r="V291">
        <v>1.142762194627794E-3</v>
      </c>
      <c r="W291">
        <v>1.142762194627794E-3</v>
      </c>
      <c r="X291">
        <v>59271.955492113273</v>
      </c>
      <c r="Y291">
        <v>59271.955492113273</v>
      </c>
      <c r="Z291">
        <v>59271.955492113273</v>
      </c>
      <c r="AA291">
        <v>59271.955492113273</v>
      </c>
      <c r="AB291">
        <v>59271.955492113273</v>
      </c>
      <c r="AC291">
        <v>59271.955492113273</v>
      </c>
      <c r="AD291">
        <v>59271.955492113273</v>
      </c>
      <c r="AE291">
        <v>2963.5977746056642</v>
      </c>
      <c r="AF291">
        <v>2963.5977746056642</v>
      </c>
      <c r="AG291">
        <v>2963.5977746056642</v>
      </c>
      <c r="AH291">
        <v>2963.5977746056642</v>
      </c>
      <c r="AI291">
        <v>2963.5977746056642</v>
      </c>
      <c r="AJ291">
        <v>2963.5977746056642</v>
      </c>
      <c r="AK291">
        <v>2963.5977746056642</v>
      </c>
    </row>
    <row r="292" spans="1:37" x14ac:dyDescent="0.25">
      <c r="A292" t="s">
        <v>90</v>
      </c>
      <c r="B292" t="s">
        <v>282</v>
      </c>
      <c r="C292" t="s">
        <v>314</v>
      </c>
      <c r="F292" t="s">
        <v>317</v>
      </c>
      <c r="G292" t="s">
        <v>119</v>
      </c>
      <c r="H292" t="s">
        <v>120</v>
      </c>
      <c r="I292" t="s">
        <v>315</v>
      </c>
      <c r="J292" t="s">
        <v>316</v>
      </c>
      <c r="K292" t="s">
        <v>98</v>
      </c>
      <c r="L292">
        <v>0</v>
      </c>
      <c r="M292">
        <v>1</v>
      </c>
      <c r="N292">
        <v>2020</v>
      </c>
      <c r="O292">
        <v>30</v>
      </c>
      <c r="P292">
        <v>1</v>
      </c>
      <c r="Q292">
        <v>1.2985934029861291E-3</v>
      </c>
      <c r="R292">
        <v>1.2985934029861291E-3</v>
      </c>
      <c r="S292">
        <v>1.2985934029861291E-3</v>
      </c>
      <c r="T292">
        <v>1.2985934029861291E-3</v>
      </c>
      <c r="U292">
        <v>1.2985934029861291E-3</v>
      </c>
      <c r="V292">
        <v>1.2985934029861291E-3</v>
      </c>
      <c r="W292">
        <v>1.2985934029861291E-3</v>
      </c>
      <c r="X292">
        <v>61074.414708565899</v>
      </c>
      <c r="Y292">
        <v>61074.414708565899</v>
      </c>
      <c r="Z292">
        <v>61074.414708565899</v>
      </c>
      <c r="AA292">
        <v>61074.414708565899</v>
      </c>
      <c r="AB292">
        <v>61074.414708565899</v>
      </c>
      <c r="AC292">
        <v>61074.414708565899</v>
      </c>
      <c r="AD292">
        <v>61074.414708565899</v>
      </c>
      <c r="AE292">
        <v>3029.795657556575</v>
      </c>
      <c r="AF292">
        <v>3029.795657556575</v>
      </c>
      <c r="AG292">
        <v>3029.795657556575</v>
      </c>
      <c r="AH292">
        <v>3029.795657556575</v>
      </c>
      <c r="AI292">
        <v>3029.795657556575</v>
      </c>
      <c r="AJ292">
        <v>3029.795657556575</v>
      </c>
      <c r="AK292">
        <v>3029.795657556575</v>
      </c>
    </row>
    <row r="293" spans="1:37" x14ac:dyDescent="0.25">
      <c r="A293" t="s">
        <v>90</v>
      </c>
      <c r="B293" t="s">
        <v>282</v>
      </c>
      <c r="C293" t="s">
        <v>314</v>
      </c>
      <c r="F293" t="s">
        <v>317</v>
      </c>
      <c r="G293" t="s">
        <v>122</v>
      </c>
      <c r="H293" t="s">
        <v>123</v>
      </c>
      <c r="I293" t="s">
        <v>315</v>
      </c>
      <c r="J293" t="s">
        <v>316</v>
      </c>
      <c r="K293" t="s">
        <v>98</v>
      </c>
      <c r="L293">
        <v>0</v>
      </c>
      <c r="M293">
        <v>1</v>
      </c>
      <c r="N293">
        <v>2020</v>
      </c>
      <c r="O293">
        <v>30</v>
      </c>
      <c r="P293">
        <v>1</v>
      </c>
      <c r="Q293">
        <v>1.2985934029861291E-3</v>
      </c>
      <c r="R293">
        <v>1.2985934029861291E-3</v>
      </c>
      <c r="S293">
        <v>1.2985934029861291E-3</v>
      </c>
      <c r="T293">
        <v>1.2985934029861291E-3</v>
      </c>
      <c r="U293">
        <v>1.2985934029861291E-3</v>
      </c>
      <c r="V293">
        <v>1.2985934029861291E-3</v>
      </c>
      <c r="W293">
        <v>1.2985934029861291E-3</v>
      </c>
      <c r="X293">
        <v>61074.414708565899</v>
      </c>
      <c r="Y293">
        <v>61074.414708565899</v>
      </c>
      <c r="Z293">
        <v>61074.414708565899</v>
      </c>
      <c r="AA293">
        <v>61074.414708565899</v>
      </c>
      <c r="AB293">
        <v>61074.414708565899</v>
      </c>
      <c r="AC293">
        <v>61074.414708565899</v>
      </c>
      <c r="AD293">
        <v>61074.414708565899</v>
      </c>
      <c r="AE293">
        <v>3029.795657556575</v>
      </c>
      <c r="AF293">
        <v>3029.795657556575</v>
      </c>
      <c r="AG293">
        <v>3029.795657556575</v>
      </c>
      <c r="AH293">
        <v>3029.795657556575</v>
      </c>
      <c r="AI293">
        <v>3029.795657556575</v>
      </c>
      <c r="AJ293">
        <v>3029.795657556575</v>
      </c>
      <c r="AK293">
        <v>3029.795657556575</v>
      </c>
    </row>
    <row r="294" spans="1:37" x14ac:dyDescent="0.25">
      <c r="A294" t="s">
        <v>90</v>
      </c>
      <c r="B294" t="s">
        <v>282</v>
      </c>
      <c r="C294" t="s">
        <v>314</v>
      </c>
      <c r="F294" t="s">
        <v>317</v>
      </c>
      <c r="G294" t="s">
        <v>124</v>
      </c>
      <c r="H294" t="s">
        <v>125</v>
      </c>
      <c r="I294" t="s">
        <v>315</v>
      </c>
      <c r="J294" t="s">
        <v>316</v>
      </c>
      <c r="K294" t="s">
        <v>98</v>
      </c>
      <c r="L294">
        <v>0</v>
      </c>
      <c r="M294">
        <v>1</v>
      </c>
      <c r="N294">
        <v>2020</v>
      </c>
      <c r="O294">
        <v>30</v>
      </c>
      <c r="P294">
        <v>0.1</v>
      </c>
      <c r="Q294">
        <v>1.2985934029861291E-3</v>
      </c>
      <c r="R294">
        <v>1.2985934029861291E-3</v>
      </c>
      <c r="S294">
        <v>1.2985934029861291E-3</v>
      </c>
      <c r="T294">
        <v>1.2985934029861291E-3</v>
      </c>
      <c r="U294">
        <v>1.2985934029861291E-3</v>
      </c>
      <c r="V294">
        <v>1.2985934029861291E-3</v>
      </c>
      <c r="W294">
        <v>1.2985934029861291E-3</v>
      </c>
      <c r="X294">
        <v>61074.414708565899</v>
      </c>
      <c r="Y294">
        <v>61074.414708565899</v>
      </c>
      <c r="Z294">
        <v>61074.414708565899</v>
      </c>
      <c r="AA294">
        <v>61074.414708565899</v>
      </c>
      <c r="AB294">
        <v>61074.414708565899</v>
      </c>
      <c r="AC294">
        <v>61074.414708565899</v>
      </c>
      <c r="AD294">
        <v>61074.414708565899</v>
      </c>
      <c r="AE294">
        <v>3029.795657556575</v>
      </c>
      <c r="AF294">
        <v>3029.795657556575</v>
      </c>
      <c r="AG294">
        <v>3029.795657556575</v>
      </c>
      <c r="AH294">
        <v>3029.795657556575</v>
      </c>
      <c r="AI294">
        <v>3029.795657556575</v>
      </c>
      <c r="AJ294">
        <v>3029.795657556575</v>
      </c>
      <c r="AK294">
        <v>3029.795657556575</v>
      </c>
    </row>
    <row r="295" spans="1:37" x14ac:dyDescent="0.25">
      <c r="A295" t="s">
        <v>90</v>
      </c>
      <c r="B295" t="s">
        <v>282</v>
      </c>
      <c r="C295" t="s">
        <v>314</v>
      </c>
      <c r="F295" t="s">
        <v>318</v>
      </c>
      <c r="G295" t="s">
        <v>119</v>
      </c>
      <c r="H295" t="s">
        <v>120</v>
      </c>
      <c r="I295" t="s">
        <v>315</v>
      </c>
      <c r="J295" t="s">
        <v>319</v>
      </c>
      <c r="K295" t="s">
        <v>98</v>
      </c>
      <c r="L295">
        <v>1</v>
      </c>
      <c r="M295">
        <v>1</v>
      </c>
      <c r="N295">
        <v>2020</v>
      </c>
      <c r="O295">
        <v>30</v>
      </c>
      <c r="P295">
        <v>1</v>
      </c>
      <c r="Q295">
        <v>1.4284527432847419E-3</v>
      </c>
      <c r="R295">
        <v>1.4284527432847419E-3</v>
      </c>
      <c r="S295">
        <v>1.4284527432847419E-3</v>
      </c>
      <c r="T295">
        <v>1.4284527432847419E-3</v>
      </c>
      <c r="U295">
        <v>1.4284527432847419E-3</v>
      </c>
      <c r="V295">
        <v>1.4284527432847419E-3</v>
      </c>
      <c r="W295">
        <v>1.4284527432847419E-3</v>
      </c>
      <c r="X295">
        <v>70358.979429618339</v>
      </c>
      <c r="Y295">
        <v>70358.979429618339</v>
      </c>
      <c r="Z295">
        <v>70358.979429618339</v>
      </c>
      <c r="AA295">
        <v>70358.979429618339</v>
      </c>
      <c r="AB295">
        <v>70358.979429618339</v>
      </c>
      <c r="AC295">
        <v>70358.979429618339</v>
      </c>
      <c r="AD295">
        <v>70358.979429618339</v>
      </c>
      <c r="AE295">
        <v>3517.948971480917</v>
      </c>
      <c r="AF295">
        <v>3517.948971480917</v>
      </c>
      <c r="AG295">
        <v>3517.948971480917</v>
      </c>
      <c r="AH295">
        <v>3517.948971480917</v>
      </c>
      <c r="AI295">
        <v>3517.948971480917</v>
      </c>
      <c r="AJ295">
        <v>3517.948971480917</v>
      </c>
      <c r="AK295">
        <v>3517.948971480917</v>
      </c>
    </row>
    <row r="296" spans="1:37" x14ac:dyDescent="0.25">
      <c r="A296" t="s">
        <v>90</v>
      </c>
      <c r="B296" t="s">
        <v>282</v>
      </c>
      <c r="C296" t="s">
        <v>314</v>
      </c>
      <c r="F296" t="s">
        <v>318</v>
      </c>
      <c r="G296" t="s">
        <v>122</v>
      </c>
      <c r="H296" t="s">
        <v>123</v>
      </c>
      <c r="I296" t="s">
        <v>315</v>
      </c>
      <c r="J296" t="s">
        <v>319</v>
      </c>
      <c r="K296" t="s">
        <v>98</v>
      </c>
      <c r="L296">
        <v>0</v>
      </c>
      <c r="M296">
        <v>1</v>
      </c>
      <c r="N296">
        <v>2020</v>
      </c>
      <c r="O296">
        <v>30</v>
      </c>
      <c r="P296">
        <v>1</v>
      </c>
      <c r="Q296">
        <v>1.4284527432847419E-3</v>
      </c>
      <c r="R296">
        <v>1.4284527432847419E-3</v>
      </c>
      <c r="S296">
        <v>1.4284527432847419E-3</v>
      </c>
      <c r="T296">
        <v>1.4284527432847419E-3</v>
      </c>
      <c r="U296">
        <v>1.4284527432847419E-3</v>
      </c>
      <c r="V296">
        <v>1.4284527432847419E-3</v>
      </c>
      <c r="W296">
        <v>1.4284527432847419E-3</v>
      </c>
      <c r="X296">
        <v>70358.979429618339</v>
      </c>
      <c r="Y296">
        <v>70358.979429618339</v>
      </c>
      <c r="Z296">
        <v>70358.979429618339</v>
      </c>
      <c r="AA296">
        <v>70358.979429618339</v>
      </c>
      <c r="AB296">
        <v>70358.979429618339</v>
      </c>
      <c r="AC296">
        <v>70358.979429618339</v>
      </c>
      <c r="AD296">
        <v>70358.979429618339</v>
      </c>
      <c r="AE296">
        <v>3517.948971480917</v>
      </c>
      <c r="AF296">
        <v>3517.948971480917</v>
      </c>
      <c r="AG296">
        <v>3517.948971480917</v>
      </c>
      <c r="AH296">
        <v>3517.948971480917</v>
      </c>
      <c r="AI296">
        <v>3517.948971480917</v>
      </c>
      <c r="AJ296">
        <v>3517.948971480917</v>
      </c>
      <c r="AK296">
        <v>3517.948971480917</v>
      </c>
    </row>
    <row r="297" spans="1:37" x14ac:dyDescent="0.25">
      <c r="A297" t="s">
        <v>90</v>
      </c>
      <c r="B297" t="s">
        <v>282</v>
      </c>
      <c r="C297" t="s">
        <v>314</v>
      </c>
      <c r="F297" t="s">
        <v>318</v>
      </c>
      <c r="G297" t="s">
        <v>124</v>
      </c>
      <c r="H297" t="s">
        <v>125</v>
      </c>
      <c r="I297" t="s">
        <v>315</v>
      </c>
      <c r="J297" t="s">
        <v>319</v>
      </c>
      <c r="K297" t="s">
        <v>98</v>
      </c>
      <c r="L297">
        <v>0</v>
      </c>
      <c r="M297">
        <v>1</v>
      </c>
      <c r="N297">
        <v>2020</v>
      </c>
      <c r="O297">
        <v>30</v>
      </c>
      <c r="P297">
        <v>0.1</v>
      </c>
      <c r="Q297">
        <v>1.4284527432847419E-3</v>
      </c>
      <c r="R297">
        <v>1.4284527432847419E-3</v>
      </c>
      <c r="S297">
        <v>1.4284527432847419E-3</v>
      </c>
      <c r="T297">
        <v>1.4284527432847419E-3</v>
      </c>
      <c r="U297">
        <v>1.4284527432847419E-3</v>
      </c>
      <c r="V297">
        <v>1.4284527432847419E-3</v>
      </c>
      <c r="W297">
        <v>1.4284527432847419E-3</v>
      </c>
      <c r="X297">
        <v>70358.979429618339</v>
      </c>
      <c r="Y297">
        <v>70358.979429618339</v>
      </c>
      <c r="Z297">
        <v>70358.979429618339</v>
      </c>
      <c r="AA297">
        <v>70358.979429618339</v>
      </c>
      <c r="AB297">
        <v>70358.979429618339</v>
      </c>
      <c r="AC297">
        <v>70358.979429618339</v>
      </c>
      <c r="AD297">
        <v>70358.979429618339</v>
      </c>
      <c r="AE297">
        <v>3517.948971480917</v>
      </c>
      <c r="AF297">
        <v>3517.948971480917</v>
      </c>
      <c r="AG297">
        <v>3517.948971480917</v>
      </c>
      <c r="AH297">
        <v>3517.948971480917</v>
      </c>
      <c r="AI297">
        <v>3517.948971480917</v>
      </c>
      <c r="AJ297">
        <v>3517.948971480917</v>
      </c>
      <c r="AK297">
        <v>3517.948971480917</v>
      </c>
    </row>
    <row r="298" spans="1:37" x14ac:dyDescent="0.25">
      <c r="A298" t="s">
        <v>90</v>
      </c>
      <c r="B298" t="s">
        <v>282</v>
      </c>
      <c r="C298" t="s">
        <v>314</v>
      </c>
      <c r="F298" t="s">
        <v>320</v>
      </c>
      <c r="G298" t="s">
        <v>321</v>
      </c>
      <c r="H298" t="s">
        <v>322</v>
      </c>
      <c r="I298" t="s">
        <v>315</v>
      </c>
      <c r="J298" t="s">
        <v>323</v>
      </c>
      <c r="K298" t="s">
        <v>98</v>
      </c>
      <c r="L298">
        <v>1</v>
      </c>
      <c r="M298">
        <v>1</v>
      </c>
      <c r="N298">
        <v>2020</v>
      </c>
      <c r="O298">
        <v>30</v>
      </c>
      <c r="P298">
        <v>1</v>
      </c>
      <c r="Q298">
        <v>1.465216971197143E-3</v>
      </c>
      <c r="R298">
        <v>1.465216971197143E-3</v>
      </c>
      <c r="S298">
        <v>1.465216971197143E-3</v>
      </c>
      <c r="T298">
        <v>1.465216971197143E-3</v>
      </c>
      <c r="U298">
        <v>1.465216971197143E-3</v>
      </c>
      <c r="V298">
        <v>1.465216971197143E-3</v>
      </c>
      <c r="W298">
        <v>1.465216971197143E-3</v>
      </c>
      <c r="X298">
        <v>343962.96330090298</v>
      </c>
      <c r="Y298">
        <v>343962.96330090298</v>
      </c>
      <c r="Z298">
        <v>343962.96330090298</v>
      </c>
      <c r="AA298">
        <v>343962.96330090298</v>
      </c>
      <c r="AB298">
        <v>343962.96330090298</v>
      </c>
      <c r="AC298">
        <v>343962.96330090298</v>
      </c>
      <c r="AD298">
        <v>343962.96330090298</v>
      </c>
      <c r="AE298">
        <v>17198.14816504515</v>
      </c>
      <c r="AF298">
        <v>17198.14816504515</v>
      </c>
      <c r="AG298">
        <v>17198.14816504515</v>
      </c>
      <c r="AH298">
        <v>17198.14816504515</v>
      </c>
      <c r="AI298">
        <v>17198.14816504515</v>
      </c>
      <c r="AJ298">
        <v>17198.14816504515</v>
      </c>
      <c r="AK298">
        <v>17198.14816504515</v>
      </c>
    </row>
    <row r="299" spans="1:37" x14ac:dyDescent="0.25">
      <c r="A299" t="s">
        <v>90</v>
      </c>
      <c r="B299" t="s">
        <v>282</v>
      </c>
      <c r="C299" t="s">
        <v>314</v>
      </c>
      <c r="F299" t="s">
        <v>324</v>
      </c>
      <c r="G299" t="s">
        <v>321</v>
      </c>
      <c r="H299" t="s">
        <v>322</v>
      </c>
      <c r="I299" t="s">
        <v>315</v>
      </c>
      <c r="J299" t="s">
        <v>325</v>
      </c>
      <c r="K299" t="s">
        <v>98</v>
      </c>
      <c r="L299">
        <v>1</v>
      </c>
      <c r="M299">
        <v>1</v>
      </c>
      <c r="N299">
        <v>2020</v>
      </c>
      <c r="O299">
        <v>30</v>
      </c>
      <c r="P299">
        <v>1</v>
      </c>
      <c r="Q299">
        <v>1.6650192854512991E-3</v>
      </c>
      <c r="R299">
        <v>1.6650192854512991E-3</v>
      </c>
      <c r="S299">
        <v>1.6650192854512991E-3</v>
      </c>
      <c r="T299">
        <v>1.6650192854512991E-3</v>
      </c>
      <c r="U299">
        <v>1.6650192854512991E-3</v>
      </c>
      <c r="V299">
        <v>1.6650192854512991E-3</v>
      </c>
      <c r="W299">
        <v>1.6650192854512991E-3</v>
      </c>
      <c r="X299">
        <v>355838.65077076718</v>
      </c>
      <c r="Y299">
        <v>355838.65077076718</v>
      </c>
      <c r="Z299">
        <v>355838.65077076718</v>
      </c>
      <c r="AA299">
        <v>355838.65077076718</v>
      </c>
      <c r="AB299">
        <v>355838.65077076718</v>
      </c>
      <c r="AC299">
        <v>355838.65077076718</v>
      </c>
      <c r="AD299">
        <v>355838.65077076718</v>
      </c>
      <c r="AE299">
        <v>17791.93253853836</v>
      </c>
      <c r="AF299">
        <v>17791.93253853836</v>
      </c>
      <c r="AG299">
        <v>17791.93253853836</v>
      </c>
      <c r="AH299">
        <v>17791.93253853836</v>
      </c>
      <c r="AI299">
        <v>17791.93253853836</v>
      </c>
      <c r="AJ299">
        <v>17791.93253853836</v>
      </c>
      <c r="AK299">
        <v>17791.93253853836</v>
      </c>
    </row>
    <row r="300" spans="1:37" x14ac:dyDescent="0.25">
      <c r="A300" t="s">
        <v>90</v>
      </c>
      <c r="B300" t="s">
        <v>282</v>
      </c>
      <c r="C300" t="s">
        <v>314</v>
      </c>
      <c r="F300" t="s">
        <v>326</v>
      </c>
      <c r="G300" t="s">
        <v>321</v>
      </c>
      <c r="H300" t="s">
        <v>322</v>
      </c>
      <c r="I300" t="s">
        <v>315</v>
      </c>
      <c r="J300" t="s">
        <v>327</v>
      </c>
      <c r="K300" t="s">
        <v>98</v>
      </c>
      <c r="L300">
        <v>1</v>
      </c>
      <c r="M300">
        <v>1</v>
      </c>
      <c r="N300">
        <v>2020</v>
      </c>
      <c r="O300">
        <v>30</v>
      </c>
      <c r="P300">
        <v>1</v>
      </c>
      <c r="Q300">
        <v>1.674533681368163E-3</v>
      </c>
      <c r="R300">
        <v>1.674533681368163E-3</v>
      </c>
      <c r="S300">
        <v>1.674533681368163E-3</v>
      </c>
      <c r="T300">
        <v>1.674533681368163E-3</v>
      </c>
      <c r="U300">
        <v>1.674533681368163E-3</v>
      </c>
      <c r="V300">
        <v>1.674533681368163E-3</v>
      </c>
      <c r="W300">
        <v>1.674533681368163E-3</v>
      </c>
      <c r="X300">
        <v>356861.5744246869</v>
      </c>
      <c r="Y300">
        <v>356861.5744246869</v>
      </c>
      <c r="Z300">
        <v>356861.5744246869</v>
      </c>
      <c r="AA300">
        <v>356861.5744246869</v>
      </c>
      <c r="AB300">
        <v>356861.5744246869</v>
      </c>
      <c r="AC300">
        <v>356861.5744246869</v>
      </c>
      <c r="AD300">
        <v>356861.5744246869</v>
      </c>
      <c r="AE300">
        <v>17843.078721234349</v>
      </c>
      <c r="AF300">
        <v>17843.078721234349</v>
      </c>
      <c r="AG300">
        <v>17843.078721234349</v>
      </c>
      <c r="AH300">
        <v>17843.078721234349</v>
      </c>
      <c r="AI300">
        <v>17843.078721234349</v>
      </c>
      <c r="AJ300">
        <v>17843.078721234349</v>
      </c>
      <c r="AK300">
        <v>17843.078721234349</v>
      </c>
    </row>
    <row r="301" spans="1:37" x14ac:dyDescent="0.25">
      <c r="A301" t="s">
        <v>90</v>
      </c>
      <c r="B301" t="s">
        <v>282</v>
      </c>
      <c r="C301" t="s">
        <v>328</v>
      </c>
      <c r="F301" t="s">
        <v>329</v>
      </c>
      <c r="G301" t="s">
        <v>330</v>
      </c>
      <c r="H301" t="s">
        <v>331</v>
      </c>
      <c r="I301" t="s">
        <v>332</v>
      </c>
      <c r="J301" t="s">
        <v>333</v>
      </c>
      <c r="K301" t="s">
        <v>98</v>
      </c>
      <c r="L301">
        <v>1</v>
      </c>
      <c r="M301">
        <v>1</v>
      </c>
      <c r="N301">
        <v>2020</v>
      </c>
      <c r="O301">
        <v>25</v>
      </c>
      <c r="P301">
        <v>1</v>
      </c>
      <c r="Q301">
        <v>4.4035199083936726E-3</v>
      </c>
      <c r="R301">
        <v>4.4035199083936726E-3</v>
      </c>
      <c r="S301">
        <v>4.4035199083936726E-3</v>
      </c>
      <c r="T301">
        <v>4.4035199083936726E-3</v>
      </c>
      <c r="U301">
        <v>4.4035199083936726E-3</v>
      </c>
      <c r="V301">
        <v>4.4035199083936726E-3</v>
      </c>
      <c r="W301">
        <v>4.4035199083936726E-3</v>
      </c>
      <c r="X301">
        <v>146720.0337907295</v>
      </c>
      <c r="Y301">
        <v>146720.0337907295</v>
      </c>
      <c r="Z301">
        <v>146720.0337907295</v>
      </c>
      <c r="AA301">
        <v>146720.0337907295</v>
      </c>
      <c r="AB301">
        <v>146720.0337907295</v>
      </c>
      <c r="AC301">
        <v>146720.0337907295</v>
      </c>
      <c r="AD301">
        <v>146720.0337907295</v>
      </c>
      <c r="AE301">
        <v>1344.2183809101291</v>
      </c>
      <c r="AF301">
        <v>1344.2183809101291</v>
      </c>
      <c r="AG301">
        <v>1344.2183809101291</v>
      </c>
      <c r="AH301">
        <v>1344.2183809101291</v>
      </c>
      <c r="AI301">
        <v>1344.2183809101291</v>
      </c>
      <c r="AJ301">
        <v>1344.2183809101291</v>
      </c>
      <c r="AK301">
        <v>1344.2183809101291</v>
      </c>
    </row>
    <row r="302" spans="1:37" x14ac:dyDescent="0.25">
      <c r="A302" t="s">
        <v>90</v>
      </c>
      <c r="B302" t="s">
        <v>282</v>
      </c>
      <c r="C302" t="s">
        <v>328</v>
      </c>
      <c r="F302" t="s">
        <v>329</v>
      </c>
      <c r="G302" t="s">
        <v>334</v>
      </c>
      <c r="H302" t="s">
        <v>335</v>
      </c>
      <c r="I302" t="s">
        <v>332</v>
      </c>
      <c r="J302" t="s">
        <v>333</v>
      </c>
      <c r="K302" t="s">
        <v>98</v>
      </c>
      <c r="L302">
        <v>0</v>
      </c>
      <c r="M302">
        <v>1</v>
      </c>
      <c r="N302">
        <v>2020</v>
      </c>
      <c r="O302">
        <v>25</v>
      </c>
      <c r="P302">
        <v>1</v>
      </c>
      <c r="Q302">
        <v>4.4035199083936726E-3</v>
      </c>
      <c r="R302">
        <v>4.4035199083936726E-3</v>
      </c>
      <c r="S302">
        <v>4.4035199083936726E-3</v>
      </c>
      <c r="T302">
        <v>4.4035199083936726E-3</v>
      </c>
      <c r="U302">
        <v>4.4035199083936726E-3</v>
      </c>
      <c r="V302">
        <v>4.4035199083936726E-3</v>
      </c>
      <c r="W302">
        <v>4.4035199083936726E-3</v>
      </c>
      <c r="X302">
        <v>146720.0337907295</v>
      </c>
      <c r="Y302">
        <v>146720.0337907295</v>
      </c>
      <c r="Z302">
        <v>146720.0337907295</v>
      </c>
      <c r="AA302">
        <v>146720.0337907295</v>
      </c>
      <c r="AB302">
        <v>146720.0337907295</v>
      </c>
      <c r="AC302">
        <v>146720.0337907295</v>
      </c>
      <c r="AD302">
        <v>146720.0337907295</v>
      </c>
      <c r="AE302">
        <v>1344.2183809101291</v>
      </c>
      <c r="AF302">
        <v>1344.2183809101291</v>
      </c>
      <c r="AG302">
        <v>1344.2183809101291</v>
      </c>
      <c r="AH302">
        <v>1344.2183809101291</v>
      </c>
      <c r="AI302">
        <v>1344.2183809101291</v>
      </c>
      <c r="AJ302">
        <v>1344.2183809101291</v>
      </c>
      <c r="AK302">
        <v>1344.2183809101291</v>
      </c>
    </row>
    <row r="303" spans="1:37" x14ac:dyDescent="0.25">
      <c r="A303" t="s">
        <v>90</v>
      </c>
      <c r="B303" t="s">
        <v>282</v>
      </c>
      <c r="C303" t="s">
        <v>328</v>
      </c>
      <c r="F303" t="s">
        <v>336</v>
      </c>
      <c r="G303" t="s">
        <v>330</v>
      </c>
      <c r="H303" t="s">
        <v>331</v>
      </c>
      <c r="I303" t="s">
        <v>332</v>
      </c>
      <c r="J303" t="s">
        <v>337</v>
      </c>
      <c r="K303" t="s">
        <v>98</v>
      </c>
      <c r="L303">
        <v>1</v>
      </c>
      <c r="M303">
        <v>1</v>
      </c>
      <c r="N303">
        <v>2020</v>
      </c>
      <c r="O303">
        <v>25</v>
      </c>
      <c r="P303">
        <v>1</v>
      </c>
      <c r="Q303">
        <v>4.6110156108834276E-3</v>
      </c>
      <c r="R303">
        <v>4.6110156108834276E-3</v>
      </c>
      <c r="S303">
        <v>4.6110156108834276E-3</v>
      </c>
      <c r="T303">
        <v>4.6110156108834276E-3</v>
      </c>
      <c r="U303">
        <v>4.6110156108834276E-3</v>
      </c>
      <c r="V303">
        <v>4.6110156108834276E-3</v>
      </c>
      <c r="W303">
        <v>4.6110156108834276E-3</v>
      </c>
      <c r="X303">
        <v>147828.19114564441</v>
      </c>
      <c r="Y303">
        <v>147828.19114564441</v>
      </c>
      <c r="Z303">
        <v>147828.19114564441</v>
      </c>
      <c r="AA303">
        <v>147828.19114564441</v>
      </c>
      <c r="AB303">
        <v>147828.19114564441</v>
      </c>
      <c r="AC303">
        <v>147828.19114564441</v>
      </c>
      <c r="AD303">
        <v>147828.19114564441</v>
      </c>
      <c r="AE303">
        <v>1344.2183809101291</v>
      </c>
      <c r="AF303">
        <v>1344.2183809101291</v>
      </c>
      <c r="AG303">
        <v>1344.2183809101291</v>
      </c>
      <c r="AH303">
        <v>1344.2183809101291</v>
      </c>
      <c r="AI303">
        <v>1344.2183809101291</v>
      </c>
      <c r="AJ303">
        <v>1344.2183809101291</v>
      </c>
      <c r="AK303">
        <v>1344.2183809101291</v>
      </c>
    </row>
    <row r="304" spans="1:37" x14ac:dyDescent="0.25">
      <c r="A304" t="s">
        <v>90</v>
      </c>
      <c r="B304" t="s">
        <v>282</v>
      </c>
      <c r="C304" t="s">
        <v>328</v>
      </c>
      <c r="F304" t="s">
        <v>336</v>
      </c>
      <c r="G304" t="s">
        <v>334</v>
      </c>
      <c r="H304" t="s">
        <v>335</v>
      </c>
      <c r="I304" t="s">
        <v>332</v>
      </c>
      <c r="J304" t="s">
        <v>337</v>
      </c>
      <c r="K304" t="s">
        <v>98</v>
      </c>
      <c r="L304">
        <v>0</v>
      </c>
      <c r="M304">
        <v>1</v>
      </c>
      <c r="N304">
        <v>2020</v>
      </c>
      <c r="O304">
        <v>25</v>
      </c>
      <c r="P304">
        <v>1</v>
      </c>
      <c r="Q304">
        <v>4.6110156108834276E-3</v>
      </c>
      <c r="R304">
        <v>4.6110156108834276E-3</v>
      </c>
      <c r="S304">
        <v>4.6110156108834276E-3</v>
      </c>
      <c r="T304">
        <v>4.6110156108834276E-3</v>
      </c>
      <c r="U304">
        <v>4.6110156108834276E-3</v>
      </c>
      <c r="V304">
        <v>4.6110156108834276E-3</v>
      </c>
      <c r="W304">
        <v>4.6110156108834276E-3</v>
      </c>
      <c r="X304">
        <v>147828.19114564441</v>
      </c>
      <c r="Y304">
        <v>147828.19114564441</v>
      </c>
      <c r="Z304">
        <v>147828.19114564441</v>
      </c>
      <c r="AA304">
        <v>147828.19114564441</v>
      </c>
      <c r="AB304">
        <v>147828.19114564441</v>
      </c>
      <c r="AC304">
        <v>147828.19114564441</v>
      </c>
      <c r="AD304">
        <v>147828.19114564441</v>
      </c>
      <c r="AE304">
        <v>1344.2183809101291</v>
      </c>
      <c r="AF304">
        <v>1344.2183809101291</v>
      </c>
      <c r="AG304">
        <v>1344.2183809101291</v>
      </c>
      <c r="AH304">
        <v>1344.2183809101291</v>
      </c>
      <c r="AI304">
        <v>1344.2183809101291</v>
      </c>
      <c r="AJ304">
        <v>1344.2183809101291</v>
      </c>
      <c r="AK304">
        <v>1344.2183809101291</v>
      </c>
    </row>
    <row r="305" spans="1:37" x14ac:dyDescent="0.25">
      <c r="A305" t="s">
        <v>90</v>
      </c>
      <c r="B305" t="s">
        <v>282</v>
      </c>
      <c r="C305" t="s">
        <v>328</v>
      </c>
      <c r="F305" t="s">
        <v>338</v>
      </c>
      <c r="G305" t="s">
        <v>133</v>
      </c>
      <c r="H305" t="s">
        <v>134</v>
      </c>
      <c r="I305" t="s">
        <v>332</v>
      </c>
      <c r="J305" t="s">
        <v>339</v>
      </c>
      <c r="K305" t="s">
        <v>98</v>
      </c>
      <c r="L305">
        <v>1</v>
      </c>
      <c r="M305">
        <v>1</v>
      </c>
      <c r="N305">
        <v>2020</v>
      </c>
      <c r="O305">
        <v>25</v>
      </c>
      <c r="P305">
        <v>1</v>
      </c>
      <c r="Q305">
        <v>4.3171763807781111E-3</v>
      </c>
      <c r="R305">
        <v>4.3171763807781111E-3</v>
      </c>
      <c r="S305">
        <v>4.3171763807781111E-3</v>
      </c>
      <c r="T305">
        <v>4.3171763807781111E-3</v>
      </c>
      <c r="U305">
        <v>4.3171763807781111E-3</v>
      </c>
      <c r="V305">
        <v>4.3171763807781111E-3</v>
      </c>
      <c r="W305">
        <v>4.3171763807781111E-3</v>
      </c>
      <c r="X305">
        <v>221853.1024539581</v>
      </c>
      <c r="Y305">
        <v>221853.1024539581</v>
      </c>
      <c r="Z305">
        <v>221853.1024539581</v>
      </c>
      <c r="AA305">
        <v>221853.1024539581</v>
      </c>
      <c r="AB305">
        <v>221853.1024539581</v>
      </c>
      <c r="AC305">
        <v>221853.1024539581</v>
      </c>
      <c r="AD305">
        <v>221853.1024539581</v>
      </c>
      <c r="AE305">
        <v>1397.9871161465351</v>
      </c>
      <c r="AF305">
        <v>1397.9871161465351</v>
      </c>
      <c r="AG305">
        <v>1397.9871161465351</v>
      </c>
      <c r="AH305">
        <v>1397.9871161465351</v>
      </c>
      <c r="AI305">
        <v>1397.9871161465351</v>
      </c>
      <c r="AJ305">
        <v>1397.9871161465351</v>
      </c>
      <c r="AK305">
        <v>1397.9871161465351</v>
      </c>
    </row>
    <row r="306" spans="1:37" x14ac:dyDescent="0.25">
      <c r="A306" t="s">
        <v>90</v>
      </c>
      <c r="B306" t="s">
        <v>282</v>
      </c>
      <c r="C306" t="s">
        <v>328</v>
      </c>
      <c r="F306" t="s">
        <v>340</v>
      </c>
      <c r="G306" t="s">
        <v>330</v>
      </c>
      <c r="H306" t="s">
        <v>331</v>
      </c>
      <c r="I306" t="s">
        <v>332</v>
      </c>
      <c r="J306" t="s">
        <v>341</v>
      </c>
      <c r="K306" t="s">
        <v>98</v>
      </c>
      <c r="L306">
        <v>1</v>
      </c>
      <c r="M306">
        <v>1</v>
      </c>
      <c r="N306">
        <v>2020</v>
      </c>
      <c r="O306">
        <v>25</v>
      </c>
      <c r="P306">
        <v>1</v>
      </c>
      <c r="Q306">
        <v>4.4240919358955882E-3</v>
      </c>
      <c r="R306">
        <v>4.4240919358955882E-3</v>
      </c>
      <c r="S306">
        <v>4.4240919358955882E-3</v>
      </c>
      <c r="T306">
        <v>4.4240919358955882E-3</v>
      </c>
      <c r="U306">
        <v>4.4240919358955882E-3</v>
      </c>
      <c r="V306">
        <v>4.4240919358955882E-3</v>
      </c>
      <c r="W306">
        <v>4.4240919358955882E-3</v>
      </c>
      <c r="X306">
        <v>146887.46710107001</v>
      </c>
      <c r="Y306">
        <v>146887.46710107001</v>
      </c>
      <c r="Z306">
        <v>146887.46710107001</v>
      </c>
      <c r="AA306">
        <v>146887.46710107001</v>
      </c>
      <c r="AB306">
        <v>146887.46710107001</v>
      </c>
      <c r="AC306">
        <v>146887.46710107001</v>
      </c>
      <c r="AD306">
        <v>146887.46710107001</v>
      </c>
      <c r="AE306">
        <v>1352.457345260636</v>
      </c>
      <c r="AF306">
        <v>1352.457345260636</v>
      </c>
      <c r="AG306">
        <v>1352.457345260636</v>
      </c>
      <c r="AH306">
        <v>1352.457345260636</v>
      </c>
      <c r="AI306">
        <v>1352.457345260636</v>
      </c>
      <c r="AJ306">
        <v>1352.457345260636</v>
      </c>
      <c r="AK306">
        <v>1352.457345260636</v>
      </c>
    </row>
    <row r="307" spans="1:37" x14ac:dyDescent="0.25">
      <c r="A307" t="s">
        <v>90</v>
      </c>
      <c r="B307" t="s">
        <v>282</v>
      </c>
      <c r="C307" t="s">
        <v>328</v>
      </c>
      <c r="F307" t="s">
        <v>340</v>
      </c>
      <c r="G307" t="s">
        <v>334</v>
      </c>
      <c r="H307" t="s">
        <v>335</v>
      </c>
      <c r="I307" t="s">
        <v>332</v>
      </c>
      <c r="J307" t="s">
        <v>341</v>
      </c>
      <c r="K307" t="s">
        <v>98</v>
      </c>
      <c r="L307">
        <v>0</v>
      </c>
      <c r="M307">
        <v>1</v>
      </c>
      <c r="N307">
        <v>2020</v>
      </c>
      <c r="O307">
        <v>25</v>
      </c>
      <c r="P307">
        <v>1</v>
      </c>
      <c r="Q307">
        <v>4.4240919358955882E-3</v>
      </c>
      <c r="R307">
        <v>4.4240919358955882E-3</v>
      </c>
      <c r="S307">
        <v>4.4240919358955882E-3</v>
      </c>
      <c r="T307">
        <v>4.4240919358955882E-3</v>
      </c>
      <c r="U307">
        <v>4.4240919358955882E-3</v>
      </c>
      <c r="V307">
        <v>4.4240919358955882E-3</v>
      </c>
      <c r="W307">
        <v>4.4240919358955882E-3</v>
      </c>
      <c r="X307">
        <v>146887.46710107001</v>
      </c>
      <c r="Y307">
        <v>146887.46710107001</v>
      </c>
      <c r="Z307">
        <v>146887.46710107001</v>
      </c>
      <c r="AA307">
        <v>146887.46710107001</v>
      </c>
      <c r="AB307">
        <v>146887.46710107001</v>
      </c>
      <c r="AC307">
        <v>146887.46710107001</v>
      </c>
      <c r="AD307">
        <v>146887.46710107001</v>
      </c>
      <c r="AE307">
        <v>1352.457345260636</v>
      </c>
      <c r="AF307">
        <v>1352.457345260636</v>
      </c>
      <c r="AG307">
        <v>1352.457345260636</v>
      </c>
      <c r="AH307">
        <v>1352.457345260636</v>
      </c>
      <c r="AI307">
        <v>1352.457345260636</v>
      </c>
      <c r="AJ307">
        <v>1352.457345260636</v>
      </c>
      <c r="AK307">
        <v>1352.457345260636</v>
      </c>
    </row>
    <row r="308" spans="1:37" x14ac:dyDescent="0.25">
      <c r="A308" t="s">
        <v>90</v>
      </c>
      <c r="B308" t="s">
        <v>282</v>
      </c>
      <c r="C308" t="s">
        <v>328</v>
      </c>
      <c r="F308" t="s">
        <v>342</v>
      </c>
      <c r="G308" t="s">
        <v>330</v>
      </c>
      <c r="H308" t="s">
        <v>331</v>
      </c>
      <c r="I308" t="s">
        <v>332</v>
      </c>
      <c r="J308" t="s">
        <v>343</v>
      </c>
      <c r="K308" t="s">
        <v>98</v>
      </c>
      <c r="L308">
        <v>1</v>
      </c>
      <c r="M308">
        <v>1</v>
      </c>
      <c r="N308">
        <v>2020</v>
      </c>
      <c r="O308">
        <v>25</v>
      </c>
      <c r="P308">
        <v>1</v>
      </c>
      <c r="Q308">
        <v>6.2907427262766779E-3</v>
      </c>
      <c r="R308">
        <v>6.2907427262766779E-3</v>
      </c>
      <c r="S308">
        <v>6.2907427262766779E-3</v>
      </c>
      <c r="T308">
        <v>6.2907427262766779E-3</v>
      </c>
      <c r="U308">
        <v>6.2907427262766779E-3</v>
      </c>
      <c r="V308">
        <v>6.2907427262766779E-3</v>
      </c>
      <c r="W308">
        <v>6.2907427262766779E-3</v>
      </c>
      <c r="X308">
        <v>203129.0179554903</v>
      </c>
      <c r="Y308">
        <v>203129.0179554903</v>
      </c>
      <c r="Z308">
        <v>203129.0179554903</v>
      </c>
      <c r="AA308">
        <v>203129.0179554903</v>
      </c>
      <c r="AB308">
        <v>203129.0179554903</v>
      </c>
      <c r="AC308">
        <v>203129.0179554903</v>
      </c>
      <c r="AD308">
        <v>203129.0179554903</v>
      </c>
      <c r="AE308">
        <v>1344.2183809101291</v>
      </c>
      <c r="AF308">
        <v>1344.2183809101291</v>
      </c>
      <c r="AG308">
        <v>1344.2183809101291</v>
      </c>
      <c r="AH308">
        <v>1344.2183809101291</v>
      </c>
      <c r="AI308">
        <v>1344.2183809101291</v>
      </c>
      <c r="AJ308">
        <v>1344.2183809101291</v>
      </c>
      <c r="AK308">
        <v>1344.2183809101291</v>
      </c>
    </row>
    <row r="309" spans="1:37" x14ac:dyDescent="0.25">
      <c r="A309" t="s">
        <v>90</v>
      </c>
      <c r="B309" t="s">
        <v>282</v>
      </c>
      <c r="C309" t="s">
        <v>328</v>
      </c>
      <c r="F309" t="s">
        <v>342</v>
      </c>
      <c r="G309" t="s">
        <v>334</v>
      </c>
      <c r="H309" t="s">
        <v>335</v>
      </c>
      <c r="I309" t="s">
        <v>332</v>
      </c>
      <c r="J309" t="s">
        <v>343</v>
      </c>
      <c r="K309" t="s">
        <v>98</v>
      </c>
      <c r="L309">
        <v>0</v>
      </c>
      <c r="M309">
        <v>1</v>
      </c>
      <c r="N309">
        <v>2020</v>
      </c>
      <c r="O309">
        <v>25</v>
      </c>
      <c r="P309">
        <v>1</v>
      </c>
      <c r="Q309">
        <v>6.2907427262766779E-3</v>
      </c>
      <c r="R309">
        <v>6.2907427262766779E-3</v>
      </c>
      <c r="S309">
        <v>6.2907427262766779E-3</v>
      </c>
      <c r="T309">
        <v>6.2907427262766779E-3</v>
      </c>
      <c r="U309">
        <v>6.2907427262766779E-3</v>
      </c>
      <c r="V309">
        <v>6.2907427262766779E-3</v>
      </c>
      <c r="W309">
        <v>6.2907427262766779E-3</v>
      </c>
      <c r="X309">
        <v>203129.0179554903</v>
      </c>
      <c r="Y309">
        <v>203129.0179554903</v>
      </c>
      <c r="Z309">
        <v>203129.0179554903</v>
      </c>
      <c r="AA309">
        <v>203129.0179554903</v>
      </c>
      <c r="AB309">
        <v>203129.0179554903</v>
      </c>
      <c r="AC309">
        <v>203129.0179554903</v>
      </c>
      <c r="AD309">
        <v>203129.0179554903</v>
      </c>
      <c r="AE309">
        <v>1344.2183809101291</v>
      </c>
      <c r="AF309">
        <v>1344.2183809101291</v>
      </c>
      <c r="AG309">
        <v>1344.2183809101291</v>
      </c>
      <c r="AH309">
        <v>1344.2183809101291</v>
      </c>
      <c r="AI309">
        <v>1344.2183809101291</v>
      </c>
      <c r="AJ309">
        <v>1344.2183809101291</v>
      </c>
      <c r="AK309">
        <v>1344.2183809101291</v>
      </c>
    </row>
    <row r="310" spans="1:37" x14ac:dyDescent="0.25">
      <c r="A310" t="s">
        <v>90</v>
      </c>
      <c r="B310" t="s">
        <v>282</v>
      </c>
      <c r="C310" t="s">
        <v>328</v>
      </c>
      <c r="F310" t="s">
        <v>344</v>
      </c>
      <c r="G310" t="s">
        <v>330</v>
      </c>
      <c r="H310" t="s">
        <v>331</v>
      </c>
      <c r="I310" t="s">
        <v>332</v>
      </c>
      <c r="J310" t="s">
        <v>345</v>
      </c>
      <c r="K310" t="s">
        <v>98</v>
      </c>
      <c r="L310">
        <v>1</v>
      </c>
      <c r="M310">
        <v>1</v>
      </c>
      <c r="N310">
        <v>2020</v>
      </c>
      <c r="O310">
        <v>25</v>
      </c>
      <c r="P310">
        <v>1</v>
      </c>
      <c r="Q310">
        <v>4.892799898215193E-3</v>
      </c>
      <c r="R310">
        <v>4.892799898215193E-3</v>
      </c>
      <c r="S310">
        <v>4.892799898215193E-3</v>
      </c>
      <c r="T310">
        <v>4.892799898215193E-3</v>
      </c>
      <c r="U310">
        <v>4.892799898215193E-3</v>
      </c>
      <c r="V310">
        <v>4.892799898215193E-3</v>
      </c>
      <c r="W310">
        <v>4.892799898215193E-3</v>
      </c>
      <c r="X310">
        <v>161392.03716980241</v>
      </c>
      <c r="Y310">
        <v>161392.03716980241</v>
      </c>
      <c r="Z310">
        <v>161392.03716980241</v>
      </c>
      <c r="AA310">
        <v>161392.03716980241</v>
      </c>
      <c r="AB310">
        <v>161392.03716980241</v>
      </c>
      <c r="AC310">
        <v>161392.03716980241</v>
      </c>
      <c r="AD310">
        <v>161392.03716980241</v>
      </c>
      <c r="AE310">
        <v>1344.2183809101291</v>
      </c>
      <c r="AF310">
        <v>1344.2183809101291</v>
      </c>
      <c r="AG310">
        <v>1344.2183809101291</v>
      </c>
      <c r="AH310">
        <v>1344.2183809101291</v>
      </c>
      <c r="AI310">
        <v>1344.2183809101291</v>
      </c>
      <c r="AJ310">
        <v>1344.2183809101291</v>
      </c>
      <c r="AK310">
        <v>1344.2183809101291</v>
      </c>
    </row>
    <row r="311" spans="1:37" x14ac:dyDescent="0.25">
      <c r="A311" t="s">
        <v>90</v>
      </c>
      <c r="B311" t="s">
        <v>282</v>
      </c>
      <c r="C311" t="s">
        <v>328</v>
      </c>
      <c r="F311" t="s">
        <v>344</v>
      </c>
      <c r="G311" t="s">
        <v>334</v>
      </c>
      <c r="H311" t="s">
        <v>335</v>
      </c>
      <c r="I311" t="s">
        <v>332</v>
      </c>
      <c r="J311" t="s">
        <v>345</v>
      </c>
      <c r="K311" t="s">
        <v>98</v>
      </c>
      <c r="L311">
        <v>0</v>
      </c>
      <c r="M311">
        <v>1</v>
      </c>
      <c r="N311">
        <v>2020</v>
      </c>
      <c r="O311">
        <v>25</v>
      </c>
      <c r="P311">
        <v>1</v>
      </c>
      <c r="Q311">
        <v>4.892799898215193E-3</v>
      </c>
      <c r="R311">
        <v>4.892799898215193E-3</v>
      </c>
      <c r="S311">
        <v>4.892799898215193E-3</v>
      </c>
      <c r="T311">
        <v>4.892799898215193E-3</v>
      </c>
      <c r="U311">
        <v>4.892799898215193E-3</v>
      </c>
      <c r="V311">
        <v>4.892799898215193E-3</v>
      </c>
      <c r="W311">
        <v>4.892799898215193E-3</v>
      </c>
      <c r="X311">
        <v>161392.03716980241</v>
      </c>
      <c r="Y311">
        <v>161392.03716980241</v>
      </c>
      <c r="Z311">
        <v>161392.03716980241</v>
      </c>
      <c r="AA311">
        <v>161392.03716980241</v>
      </c>
      <c r="AB311">
        <v>161392.03716980241</v>
      </c>
      <c r="AC311">
        <v>161392.03716980241</v>
      </c>
      <c r="AD311">
        <v>161392.03716980241</v>
      </c>
      <c r="AE311">
        <v>1344.2183809101291</v>
      </c>
      <c r="AF311">
        <v>1344.2183809101291</v>
      </c>
      <c r="AG311">
        <v>1344.2183809101291</v>
      </c>
      <c r="AH311">
        <v>1344.2183809101291</v>
      </c>
      <c r="AI311">
        <v>1344.2183809101291</v>
      </c>
      <c r="AJ311">
        <v>1344.2183809101291</v>
      </c>
      <c r="AK311">
        <v>1344.2183809101291</v>
      </c>
    </row>
    <row r="312" spans="1:37" x14ac:dyDescent="0.25">
      <c r="A312" t="s">
        <v>90</v>
      </c>
      <c r="B312" t="s">
        <v>282</v>
      </c>
      <c r="C312" t="s">
        <v>328</v>
      </c>
      <c r="F312" t="s">
        <v>346</v>
      </c>
      <c r="G312" t="s">
        <v>330</v>
      </c>
      <c r="H312" t="s">
        <v>331</v>
      </c>
      <c r="I312" t="s">
        <v>332</v>
      </c>
      <c r="J312" t="s">
        <v>347</v>
      </c>
      <c r="K312" t="s">
        <v>98</v>
      </c>
      <c r="L312">
        <v>1</v>
      </c>
      <c r="M312">
        <v>1</v>
      </c>
      <c r="N312">
        <v>2020</v>
      </c>
      <c r="O312">
        <v>25</v>
      </c>
      <c r="P312">
        <v>1</v>
      </c>
      <c r="Q312">
        <v>5.0325941810213408E-3</v>
      </c>
      <c r="R312">
        <v>5.0325941810213408E-3</v>
      </c>
      <c r="S312">
        <v>5.0325941810213408E-3</v>
      </c>
      <c r="T312">
        <v>5.0325941810213408E-3</v>
      </c>
      <c r="U312">
        <v>5.0325941810213408E-3</v>
      </c>
      <c r="V312">
        <v>5.0325941810213408E-3</v>
      </c>
      <c r="W312">
        <v>5.0325941810213408E-3</v>
      </c>
      <c r="X312">
        <v>217642.10450528149</v>
      </c>
      <c r="Y312">
        <v>217642.10450528149</v>
      </c>
      <c r="Z312">
        <v>217642.10450528149</v>
      </c>
      <c r="AA312">
        <v>217642.10450528149</v>
      </c>
      <c r="AB312">
        <v>217642.10450528149</v>
      </c>
      <c r="AC312">
        <v>217642.10450528149</v>
      </c>
      <c r="AD312">
        <v>217642.10450528149</v>
      </c>
      <c r="AE312">
        <v>1993.9916163953881</v>
      </c>
      <c r="AF312">
        <v>1993.9916163953881</v>
      </c>
      <c r="AG312">
        <v>1993.9916163953881</v>
      </c>
      <c r="AH312">
        <v>1993.9916163953881</v>
      </c>
      <c r="AI312">
        <v>1993.9916163953881</v>
      </c>
      <c r="AJ312">
        <v>1993.9916163953881</v>
      </c>
      <c r="AK312">
        <v>1993.9916163953881</v>
      </c>
    </row>
    <row r="313" spans="1:37" x14ac:dyDescent="0.25">
      <c r="A313" t="s">
        <v>90</v>
      </c>
      <c r="B313" t="s">
        <v>282</v>
      </c>
      <c r="C313" t="s">
        <v>328</v>
      </c>
      <c r="F313" t="s">
        <v>346</v>
      </c>
      <c r="G313" t="s">
        <v>334</v>
      </c>
      <c r="H313" t="s">
        <v>335</v>
      </c>
      <c r="I313" t="s">
        <v>332</v>
      </c>
      <c r="J313" t="s">
        <v>347</v>
      </c>
      <c r="K313" t="s">
        <v>98</v>
      </c>
      <c r="L313">
        <v>0</v>
      </c>
      <c r="M313">
        <v>1</v>
      </c>
      <c r="N313">
        <v>2020</v>
      </c>
      <c r="O313">
        <v>25</v>
      </c>
      <c r="P313">
        <v>1</v>
      </c>
      <c r="Q313">
        <v>5.0325941810213408E-3</v>
      </c>
      <c r="R313">
        <v>5.0325941810213408E-3</v>
      </c>
      <c r="S313">
        <v>5.0325941810213408E-3</v>
      </c>
      <c r="T313">
        <v>5.0325941810213408E-3</v>
      </c>
      <c r="U313">
        <v>5.0325941810213408E-3</v>
      </c>
      <c r="V313">
        <v>5.0325941810213408E-3</v>
      </c>
      <c r="W313">
        <v>5.0325941810213408E-3</v>
      </c>
      <c r="X313">
        <v>217642.10450528149</v>
      </c>
      <c r="Y313">
        <v>217642.10450528149</v>
      </c>
      <c r="Z313">
        <v>217642.10450528149</v>
      </c>
      <c r="AA313">
        <v>217642.10450528149</v>
      </c>
      <c r="AB313">
        <v>217642.10450528149</v>
      </c>
      <c r="AC313">
        <v>217642.10450528149</v>
      </c>
      <c r="AD313">
        <v>217642.10450528149</v>
      </c>
      <c r="AE313">
        <v>1993.9916163953881</v>
      </c>
      <c r="AF313">
        <v>1993.9916163953881</v>
      </c>
      <c r="AG313">
        <v>1993.9916163953881</v>
      </c>
      <c r="AH313">
        <v>1993.9916163953881</v>
      </c>
      <c r="AI313">
        <v>1993.9916163953881</v>
      </c>
      <c r="AJ313">
        <v>1993.9916163953881</v>
      </c>
      <c r="AK313">
        <v>1993.9916163953881</v>
      </c>
    </row>
    <row r="314" spans="1:37" x14ac:dyDescent="0.25">
      <c r="A314" t="s">
        <v>90</v>
      </c>
      <c r="B314" t="s">
        <v>282</v>
      </c>
      <c r="C314" t="s">
        <v>328</v>
      </c>
      <c r="F314" t="s">
        <v>348</v>
      </c>
      <c r="G314" t="s">
        <v>330</v>
      </c>
      <c r="H314" t="s">
        <v>331</v>
      </c>
      <c r="I314" t="s">
        <v>332</v>
      </c>
      <c r="J314" t="s">
        <v>349</v>
      </c>
      <c r="K314" t="s">
        <v>98</v>
      </c>
      <c r="L314">
        <v>1</v>
      </c>
      <c r="M314">
        <v>1</v>
      </c>
      <c r="N314">
        <v>2020</v>
      </c>
      <c r="O314">
        <v>25</v>
      </c>
      <c r="P314">
        <v>1</v>
      </c>
      <c r="Q314">
        <v>5.0325941810213408E-3</v>
      </c>
      <c r="R314">
        <v>5.0325941810213408E-3</v>
      </c>
      <c r="S314">
        <v>5.0325941810213408E-3</v>
      </c>
      <c r="T314">
        <v>5.0325941810213408E-3</v>
      </c>
      <c r="U314">
        <v>5.0325941810213408E-3</v>
      </c>
      <c r="V314">
        <v>5.0325941810213408E-3</v>
      </c>
      <c r="W314">
        <v>5.0325941810213408E-3</v>
      </c>
      <c r="X314">
        <v>167450.02350561251</v>
      </c>
      <c r="Y314">
        <v>167450.02350561251</v>
      </c>
      <c r="Z314">
        <v>167450.02350561251</v>
      </c>
      <c r="AA314">
        <v>167450.02350561251</v>
      </c>
      <c r="AB314">
        <v>167450.02350561251</v>
      </c>
      <c r="AC314">
        <v>167450.02350561251</v>
      </c>
      <c r="AD314">
        <v>167450.02350561251</v>
      </c>
      <c r="AE314">
        <v>1534.1422276464859</v>
      </c>
      <c r="AF314">
        <v>1534.1422276464859</v>
      </c>
      <c r="AG314">
        <v>1534.1422276464859</v>
      </c>
      <c r="AH314">
        <v>1534.1422276464859</v>
      </c>
      <c r="AI314">
        <v>1534.1422276464859</v>
      </c>
      <c r="AJ314">
        <v>1534.1422276464859</v>
      </c>
      <c r="AK314">
        <v>1534.1422276464859</v>
      </c>
    </row>
    <row r="315" spans="1:37" x14ac:dyDescent="0.25">
      <c r="A315" t="s">
        <v>90</v>
      </c>
      <c r="B315" t="s">
        <v>282</v>
      </c>
      <c r="C315" t="s">
        <v>328</v>
      </c>
      <c r="F315" t="s">
        <v>348</v>
      </c>
      <c r="G315" t="s">
        <v>334</v>
      </c>
      <c r="H315" t="s">
        <v>335</v>
      </c>
      <c r="I315" t="s">
        <v>332</v>
      </c>
      <c r="J315" t="s">
        <v>349</v>
      </c>
      <c r="K315" t="s">
        <v>98</v>
      </c>
      <c r="L315">
        <v>0</v>
      </c>
      <c r="M315">
        <v>1</v>
      </c>
      <c r="N315">
        <v>2020</v>
      </c>
      <c r="O315">
        <v>25</v>
      </c>
      <c r="P315">
        <v>1</v>
      </c>
      <c r="Q315">
        <v>5.0325941810213408E-3</v>
      </c>
      <c r="R315">
        <v>5.0325941810213408E-3</v>
      </c>
      <c r="S315">
        <v>5.0325941810213408E-3</v>
      </c>
      <c r="T315">
        <v>5.0325941810213408E-3</v>
      </c>
      <c r="U315">
        <v>5.0325941810213408E-3</v>
      </c>
      <c r="V315">
        <v>5.0325941810213408E-3</v>
      </c>
      <c r="W315">
        <v>5.0325941810213408E-3</v>
      </c>
      <c r="X315">
        <v>167450.02350561251</v>
      </c>
      <c r="Y315">
        <v>167450.02350561251</v>
      </c>
      <c r="Z315">
        <v>167450.02350561251</v>
      </c>
      <c r="AA315">
        <v>167450.02350561251</v>
      </c>
      <c r="AB315">
        <v>167450.02350561251</v>
      </c>
      <c r="AC315">
        <v>167450.02350561251</v>
      </c>
      <c r="AD315">
        <v>167450.02350561251</v>
      </c>
      <c r="AE315">
        <v>1534.1422276464859</v>
      </c>
      <c r="AF315">
        <v>1534.1422276464859</v>
      </c>
      <c r="AG315">
        <v>1534.1422276464859</v>
      </c>
      <c r="AH315">
        <v>1534.1422276464859</v>
      </c>
      <c r="AI315">
        <v>1534.1422276464859</v>
      </c>
      <c r="AJ315">
        <v>1534.1422276464859</v>
      </c>
      <c r="AK315">
        <v>1534.1422276464859</v>
      </c>
    </row>
    <row r="316" spans="1:37" x14ac:dyDescent="0.25">
      <c r="A316" t="s">
        <v>90</v>
      </c>
      <c r="B316" t="s">
        <v>282</v>
      </c>
      <c r="C316" t="s">
        <v>328</v>
      </c>
      <c r="F316" t="s">
        <v>350</v>
      </c>
      <c r="G316" t="s">
        <v>330</v>
      </c>
      <c r="H316" t="s">
        <v>331</v>
      </c>
      <c r="I316" t="s">
        <v>332</v>
      </c>
      <c r="J316" t="s">
        <v>351</v>
      </c>
      <c r="K316" t="s">
        <v>98</v>
      </c>
      <c r="L316">
        <v>1</v>
      </c>
      <c r="M316">
        <v>1</v>
      </c>
      <c r="N316">
        <v>2020</v>
      </c>
      <c r="O316">
        <v>25</v>
      </c>
      <c r="P316">
        <v>1</v>
      </c>
      <c r="Q316">
        <v>5.180611656933733E-3</v>
      </c>
      <c r="R316">
        <v>5.180611656933733E-3</v>
      </c>
      <c r="S316">
        <v>5.180611656933733E-3</v>
      </c>
      <c r="T316">
        <v>5.180611656933733E-3</v>
      </c>
      <c r="U316">
        <v>5.180611656933733E-3</v>
      </c>
      <c r="V316">
        <v>5.180611656933733E-3</v>
      </c>
      <c r="W316">
        <v>5.180611656933733E-3</v>
      </c>
      <c r="X316">
        <v>306294.69289847172</v>
      </c>
      <c r="Y316">
        <v>306294.69289847172</v>
      </c>
      <c r="Z316">
        <v>306294.69289847172</v>
      </c>
      <c r="AA316">
        <v>306294.69289847172</v>
      </c>
      <c r="AB316">
        <v>306294.69289847172</v>
      </c>
      <c r="AC316">
        <v>306294.69289847172</v>
      </c>
      <c r="AD316">
        <v>306294.69289847172</v>
      </c>
      <c r="AE316">
        <v>2806.2081607519622</v>
      </c>
      <c r="AF316">
        <v>2806.2081607519622</v>
      </c>
      <c r="AG316">
        <v>2806.2081607519622</v>
      </c>
      <c r="AH316">
        <v>2806.2081607519622</v>
      </c>
      <c r="AI316">
        <v>2806.2081607519622</v>
      </c>
      <c r="AJ316">
        <v>2806.2081607519622</v>
      </c>
      <c r="AK316">
        <v>2806.2081607519622</v>
      </c>
    </row>
    <row r="317" spans="1:37" x14ac:dyDescent="0.25">
      <c r="A317" t="s">
        <v>90</v>
      </c>
      <c r="B317" t="s">
        <v>282</v>
      </c>
      <c r="C317" t="s">
        <v>328</v>
      </c>
      <c r="F317" t="s">
        <v>350</v>
      </c>
      <c r="G317" t="s">
        <v>334</v>
      </c>
      <c r="H317" t="s">
        <v>335</v>
      </c>
      <c r="I317" t="s">
        <v>332</v>
      </c>
      <c r="J317" t="s">
        <v>351</v>
      </c>
      <c r="K317" t="s">
        <v>98</v>
      </c>
      <c r="L317">
        <v>0</v>
      </c>
      <c r="M317">
        <v>1</v>
      </c>
      <c r="N317">
        <v>2020</v>
      </c>
      <c r="O317">
        <v>25</v>
      </c>
      <c r="P317">
        <v>1</v>
      </c>
      <c r="Q317">
        <v>5.180611656933733E-3</v>
      </c>
      <c r="R317">
        <v>5.180611656933733E-3</v>
      </c>
      <c r="S317">
        <v>5.180611656933733E-3</v>
      </c>
      <c r="T317">
        <v>5.180611656933733E-3</v>
      </c>
      <c r="U317">
        <v>5.180611656933733E-3</v>
      </c>
      <c r="V317">
        <v>5.180611656933733E-3</v>
      </c>
      <c r="W317">
        <v>5.180611656933733E-3</v>
      </c>
      <c r="X317">
        <v>306294.69289847172</v>
      </c>
      <c r="Y317">
        <v>306294.69289847172</v>
      </c>
      <c r="Z317">
        <v>306294.69289847172</v>
      </c>
      <c r="AA317">
        <v>306294.69289847172</v>
      </c>
      <c r="AB317">
        <v>306294.69289847172</v>
      </c>
      <c r="AC317">
        <v>306294.69289847172</v>
      </c>
      <c r="AD317">
        <v>306294.69289847172</v>
      </c>
      <c r="AE317">
        <v>2806.2081607519622</v>
      </c>
      <c r="AF317">
        <v>2806.2081607519622</v>
      </c>
      <c r="AG317">
        <v>2806.2081607519622</v>
      </c>
      <c r="AH317">
        <v>2806.2081607519622</v>
      </c>
      <c r="AI317">
        <v>2806.2081607519622</v>
      </c>
      <c r="AJ317">
        <v>2806.2081607519622</v>
      </c>
      <c r="AK317">
        <v>2806.2081607519622</v>
      </c>
    </row>
    <row r="318" spans="1:37" x14ac:dyDescent="0.25">
      <c r="A318" t="s">
        <v>90</v>
      </c>
      <c r="B318" t="s">
        <v>282</v>
      </c>
      <c r="C318" t="s">
        <v>328</v>
      </c>
      <c r="F318" t="s">
        <v>352</v>
      </c>
      <c r="G318" t="s">
        <v>353</v>
      </c>
      <c r="H318" t="s">
        <v>354</v>
      </c>
      <c r="I318" t="s">
        <v>332</v>
      </c>
      <c r="J318" t="s">
        <v>355</v>
      </c>
      <c r="K318" t="s">
        <v>98</v>
      </c>
      <c r="L318">
        <v>1</v>
      </c>
      <c r="M318">
        <v>1</v>
      </c>
      <c r="N318">
        <v>2020</v>
      </c>
      <c r="O318">
        <v>20</v>
      </c>
      <c r="P318">
        <v>1</v>
      </c>
      <c r="Q318">
        <v>3.9411544272050774E-3</v>
      </c>
      <c r="R318">
        <v>3.9411544272050774E-3</v>
      </c>
      <c r="S318">
        <v>3.9411544272050774E-3</v>
      </c>
      <c r="T318">
        <v>3.9411544272050774E-3</v>
      </c>
      <c r="U318">
        <v>3.9411544272050774E-3</v>
      </c>
      <c r="V318">
        <v>3.9411544272050774E-3</v>
      </c>
      <c r="W318">
        <v>3.9411544272050774E-3</v>
      </c>
      <c r="X318">
        <v>3154.2202085101062</v>
      </c>
      <c r="Y318">
        <v>3154.2202085101062</v>
      </c>
      <c r="Z318">
        <v>3154.2202085101062</v>
      </c>
      <c r="AA318">
        <v>3154.2202085101062</v>
      </c>
      <c r="AB318">
        <v>3154.2202085101062</v>
      </c>
      <c r="AC318">
        <v>3154.2202085101062</v>
      </c>
      <c r="AD318">
        <v>3154.2202085101062</v>
      </c>
      <c r="AE318">
        <v>315.42202085101059</v>
      </c>
      <c r="AF318">
        <v>315.42202085101059</v>
      </c>
      <c r="AG318">
        <v>315.42202085101059</v>
      </c>
      <c r="AH318">
        <v>315.42202085101059</v>
      </c>
      <c r="AI318">
        <v>315.42202085101059</v>
      </c>
      <c r="AJ318">
        <v>315.42202085101059</v>
      </c>
      <c r="AK318">
        <v>315.42202085101059</v>
      </c>
    </row>
    <row r="319" spans="1:37" x14ac:dyDescent="0.25">
      <c r="A319" t="s">
        <v>90</v>
      </c>
      <c r="B319" t="s">
        <v>282</v>
      </c>
      <c r="C319" t="s">
        <v>328</v>
      </c>
      <c r="F319" t="s">
        <v>356</v>
      </c>
      <c r="G319" t="s">
        <v>353</v>
      </c>
      <c r="H319" t="s">
        <v>354</v>
      </c>
      <c r="I319" t="s">
        <v>332</v>
      </c>
      <c r="J319" t="s">
        <v>357</v>
      </c>
      <c r="K319" t="s">
        <v>98</v>
      </c>
      <c r="L319">
        <v>1</v>
      </c>
      <c r="M319">
        <v>1</v>
      </c>
      <c r="N319">
        <v>2020</v>
      </c>
      <c r="O319">
        <v>20</v>
      </c>
      <c r="P319">
        <v>1</v>
      </c>
      <c r="Q319">
        <v>4.0699935799414022E-3</v>
      </c>
      <c r="R319">
        <v>4.0699935799414022E-3</v>
      </c>
      <c r="S319">
        <v>4.0699935799414022E-3</v>
      </c>
      <c r="T319">
        <v>4.0699935799414022E-3</v>
      </c>
      <c r="U319">
        <v>4.0699935799414022E-3</v>
      </c>
      <c r="V319">
        <v>4.0699935799414022E-3</v>
      </c>
      <c r="W319">
        <v>4.0699935799414022E-3</v>
      </c>
      <c r="X319">
        <v>3154.2202085101062</v>
      </c>
      <c r="Y319">
        <v>3154.2202085101062</v>
      </c>
      <c r="Z319">
        <v>3154.2202085101062</v>
      </c>
      <c r="AA319">
        <v>3154.2202085101062</v>
      </c>
      <c r="AB319">
        <v>3154.2202085101062</v>
      </c>
      <c r="AC319">
        <v>3154.2202085101062</v>
      </c>
      <c r="AD319">
        <v>3154.2202085101062</v>
      </c>
      <c r="AE319">
        <v>315.42202085101059</v>
      </c>
      <c r="AF319">
        <v>315.42202085101059</v>
      </c>
      <c r="AG319">
        <v>315.42202085101059</v>
      </c>
      <c r="AH319">
        <v>315.42202085101059</v>
      </c>
      <c r="AI319">
        <v>315.42202085101059</v>
      </c>
      <c r="AJ319">
        <v>315.42202085101059</v>
      </c>
      <c r="AK319">
        <v>315.42202085101059</v>
      </c>
    </row>
    <row r="320" spans="1:37" x14ac:dyDescent="0.25">
      <c r="A320" t="s">
        <v>358</v>
      </c>
      <c r="B320" t="s">
        <v>359</v>
      </c>
      <c r="J320" t="s">
        <v>358</v>
      </c>
      <c r="L320">
        <v>0</v>
      </c>
      <c r="M320" t="s">
        <v>358</v>
      </c>
    </row>
    <row r="321" spans="1:37" x14ac:dyDescent="0.25">
      <c r="A321" t="s">
        <v>90</v>
      </c>
      <c r="B321" t="s">
        <v>360</v>
      </c>
      <c r="E321" t="s">
        <v>114</v>
      </c>
      <c r="F321" t="s">
        <v>361</v>
      </c>
      <c r="G321" t="s">
        <v>304</v>
      </c>
      <c r="H321" t="s">
        <v>305</v>
      </c>
      <c r="I321" t="s">
        <v>115</v>
      </c>
      <c r="J321" t="s">
        <v>362</v>
      </c>
      <c r="K321" t="s">
        <v>363</v>
      </c>
      <c r="L321">
        <v>1</v>
      </c>
      <c r="M321">
        <v>1</v>
      </c>
      <c r="N321">
        <v>2019</v>
      </c>
      <c r="O321">
        <v>25</v>
      </c>
      <c r="Q321">
        <v>0.9</v>
      </c>
      <c r="R321">
        <v>0.91</v>
      </c>
      <c r="S321">
        <v>0.92</v>
      </c>
      <c r="T321">
        <v>0.93</v>
      </c>
      <c r="U321">
        <v>0.94</v>
      </c>
      <c r="V321">
        <v>0.95</v>
      </c>
      <c r="W321">
        <v>0.95</v>
      </c>
      <c r="X321">
        <v>1083.8776025609291</v>
      </c>
      <c r="Y321">
        <v>757.54886200495059</v>
      </c>
      <c r="Z321">
        <v>692.28311389375483</v>
      </c>
      <c r="AA321">
        <v>627.01736578255918</v>
      </c>
      <c r="AB321">
        <v>561.75161767136342</v>
      </c>
      <c r="AC321">
        <v>496.48586956016771</v>
      </c>
      <c r="AD321">
        <v>431.2201214489719</v>
      </c>
      <c r="AE321">
        <v>29.136494692498101</v>
      </c>
      <c r="AF321">
        <v>26.80557511709825</v>
      </c>
      <c r="AG321">
        <v>24.4746555416984</v>
      </c>
      <c r="AH321">
        <v>22.143735966298561</v>
      </c>
      <c r="AI321">
        <v>19.81281639089871</v>
      </c>
      <c r="AJ321">
        <v>17.48189681549886</v>
      </c>
      <c r="AK321">
        <v>15.15097724009901</v>
      </c>
    </row>
    <row r="322" spans="1:37" x14ac:dyDescent="0.25">
      <c r="A322" t="s">
        <v>90</v>
      </c>
      <c r="B322" t="s">
        <v>360</v>
      </c>
      <c r="E322" t="s">
        <v>114</v>
      </c>
      <c r="F322" t="s">
        <v>364</v>
      </c>
      <c r="G322" t="s">
        <v>304</v>
      </c>
      <c r="H322" t="s">
        <v>305</v>
      </c>
      <c r="I322" t="s">
        <v>115</v>
      </c>
      <c r="J322" t="s">
        <v>365</v>
      </c>
      <c r="K322" t="s">
        <v>363</v>
      </c>
      <c r="L322">
        <v>1</v>
      </c>
      <c r="M322">
        <v>1</v>
      </c>
      <c r="N322">
        <v>2019</v>
      </c>
      <c r="O322">
        <v>25</v>
      </c>
      <c r="Q322">
        <v>0.9</v>
      </c>
      <c r="R322">
        <v>0.91</v>
      </c>
      <c r="S322">
        <v>0.92</v>
      </c>
      <c r="T322">
        <v>0.93</v>
      </c>
      <c r="U322">
        <v>0.94</v>
      </c>
      <c r="V322">
        <v>0.95</v>
      </c>
      <c r="W322">
        <v>0.95</v>
      </c>
      <c r="X322">
        <v>970.82800315403665</v>
      </c>
      <c r="Y322">
        <v>675.96667686595595</v>
      </c>
      <c r="Z322">
        <v>617.69368748095974</v>
      </c>
      <c r="AA322">
        <v>559.42069809596353</v>
      </c>
      <c r="AB322">
        <v>501.14770871096732</v>
      </c>
      <c r="AC322">
        <v>442.87471932597111</v>
      </c>
      <c r="AD322">
        <v>384.60172994097491</v>
      </c>
      <c r="AE322">
        <v>37.294713206397567</v>
      </c>
      <c r="AF322">
        <v>34.186820439197767</v>
      </c>
      <c r="AG322">
        <v>31.07892767199797</v>
      </c>
      <c r="AH322">
        <v>27.97103490479817</v>
      </c>
      <c r="AI322">
        <v>24.863142137598381</v>
      </c>
      <c r="AJ322">
        <v>21.75524937039858</v>
      </c>
      <c r="AK322">
        <v>18.64735660319878</v>
      </c>
    </row>
    <row r="323" spans="1:37" x14ac:dyDescent="0.25">
      <c r="A323" t="s">
        <v>90</v>
      </c>
      <c r="B323" t="s">
        <v>360</v>
      </c>
      <c r="E323" t="s">
        <v>114</v>
      </c>
      <c r="F323" t="s">
        <v>366</v>
      </c>
      <c r="G323" t="s">
        <v>304</v>
      </c>
      <c r="H323" t="s">
        <v>305</v>
      </c>
      <c r="I323" t="s">
        <v>115</v>
      </c>
      <c r="J323" t="s">
        <v>367</v>
      </c>
      <c r="K323" t="s">
        <v>363</v>
      </c>
      <c r="L323">
        <v>1</v>
      </c>
      <c r="M323">
        <v>1</v>
      </c>
      <c r="N323">
        <v>2019</v>
      </c>
      <c r="O323">
        <v>25</v>
      </c>
      <c r="Q323">
        <v>0.9</v>
      </c>
      <c r="R323">
        <v>0.91</v>
      </c>
      <c r="S323">
        <v>0.92</v>
      </c>
      <c r="T323">
        <v>0.93</v>
      </c>
      <c r="U323">
        <v>0.94</v>
      </c>
      <c r="V323">
        <v>0.95</v>
      </c>
      <c r="W323">
        <v>0.95</v>
      </c>
      <c r="X323">
        <v>1165.4597876999239</v>
      </c>
      <c r="Y323">
        <v>815.8218513899468</v>
      </c>
      <c r="Z323">
        <v>745.89426412795137</v>
      </c>
      <c r="AA323">
        <v>675.96667686595595</v>
      </c>
      <c r="AB323">
        <v>606.03908960396052</v>
      </c>
      <c r="AC323">
        <v>536.11150234196498</v>
      </c>
      <c r="AD323">
        <v>466.18391507996961</v>
      </c>
      <c r="AE323">
        <v>44.287471932597107</v>
      </c>
      <c r="AF323">
        <v>40.596849271547363</v>
      </c>
      <c r="AG323">
        <v>36.906226610497598</v>
      </c>
      <c r="AH323">
        <v>33.215603949447839</v>
      </c>
      <c r="AI323">
        <v>29.52498128839807</v>
      </c>
      <c r="AJ323">
        <v>25.834358627348319</v>
      </c>
      <c r="AK323">
        <v>22.143735966298561</v>
      </c>
    </row>
    <row r="324" spans="1:37" x14ac:dyDescent="0.25">
      <c r="A324" t="s">
        <v>90</v>
      </c>
      <c r="B324" t="s">
        <v>360</v>
      </c>
      <c r="E324" t="s">
        <v>114</v>
      </c>
      <c r="F324" t="s">
        <v>368</v>
      </c>
      <c r="G324" t="s">
        <v>304</v>
      </c>
      <c r="H324" t="s">
        <v>305</v>
      </c>
      <c r="I324" t="s">
        <v>115</v>
      </c>
      <c r="J324" t="s">
        <v>369</v>
      </c>
      <c r="K324" t="s">
        <v>363</v>
      </c>
      <c r="L324">
        <v>1</v>
      </c>
      <c r="M324">
        <v>1</v>
      </c>
      <c r="N324">
        <v>2019</v>
      </c>
      <c r="O324">
        <v>25</v>
      </c>
      <c r="Q324">
        <v>0.9</v>
      </c>
      <c r="R324">
        <v>0.91</v>
      </c>
      <c r="S324">
        <v>0.92</v>
      </c>
      <c r="T324">
        <v>0.93</v>
      </c>
      <c r="U324">
        <v>0.94</v>
      </c>
      <c r="V324">
        <v>0.95</v>
      </c>
      <c r="W324">
        <v>0.95</v>
      </c>
      <c r="X324">
        <v>1748.189681549886</v>
      </c>
      <c r="Y324">
        <v>1223.7327770849199</v>
      </c>
      <c r="Z324">
        <v>1118.8413961919271</v>
      </c>
      <c r="AA324">
        <v>1118.8413961919271</v>
      </c>
      <c r="AB324">
        <v>1118.8413961919271</v>
      </c>
      <c r="AC324">
        <v>1118.8413961919271</v>
      </c>
      <c r="AD324">
        <v>699.27587261995438</v>
      </c>
      <c r="AE324">
        <v>60.603908960396048</v>
      </c>
      <c r="AF324">
        <v>55.553583213696378</v>
      </c>
      <c r="AG324">
        <v>50.503257466996708</v>
      </c>
      <c r="AH324">
        <v>45.45293172029703</v>
      </c>
      <c r="AI324">
        <v>40.40260597359736</v>
      </c>
      <c r="AJ324">
        <v>35.35228022689769</v>
      </c>
      <c r="AK324">
        <v>30.30195448019802</v>
      </c>
    </row>
    <row r="325" spans="1:37" x14ac:dyDescent="0.25">
      <c r="A325" t="s">
        <v>90</v>
      </c>
      <c r="B325" t="s">
        <v>370</v>
      </c>
      <c r="E325" t="s">
        <v>211</v>
      </c>
      <c r="F325" t="s">
        <v>371</v>
      </c>
      <c r="G325" t="s">
        <v>304</v>
      </c>
      <c r="H325" t="s">
        <v>305</v>
      </c>
      <c r="I325" t="s">
        <v>212</v>
      </c>
      <c r="J325" t="s">
        <v>372</v>
      </c>
      <c r="K325" t="s">
        <v>363</v>
      </c>
      <c r="L325">
        <v>1</v>
      </c>
      <c r="M325">
        <v>1</v>
      </c>
      <c r="N325">
        <v>2019</v>
      </c>
      <c r="O325">
        <v>25</v>
      </c>
      <c r="Q325">
        <v>0.9</v>
      </c>
      <c r="R325">
        <v>0.91</v>
      </c>
      <c r="S325">
        <v>0.92</v>
      </c>
      <c r="T325">
        <v>0.93</v>
      </c>
      <c r="U325">
        <v>0.94</v>
      </c>
      <c r="V325">
        <v>0.95</v>
      </c>
      <c r="W325">
        <v>0.95</v>
      </c>
      <c r="X325">
        <v>582.72989384996197</v>
      </c>
      <c r="Y325">
        <v>524.45690446496576</v>
      </c>
      <c r="Z325">
        <v>466.18391507996961</v>
      </c>
      <c r="AA325">
        <v>466.18391507996961</v>
      </c>
      <c r="AB325">
        <v>466.18391507996961</v>
      </c>
      <c r="AC325">
        <v>466.18391507996961</v>
      </c>
      <c r="AD325">
        <v>466.18391507996961</v>
      </c>
      <c r="AE325">
        <v>163.16437027798929</v>
      </c>
      <c r="AF325">
        <v>143.9342837809406</v>
      </c>
      <c r="AG325">
        <v>124.7041972838919</v>
      </c>
      <c r="AH325">
        <v>105.4741107868431</v>
      </c>
      <c r="AI325">
        <v>86.244024289794368</v>
      </c>
      <c r="AJ325">
        <v>67.013937792745622</v>
      </c>
      <c r="AK325">
        <v>47.783851295696877</v>
      </c>
    </row>
    <row r="326" spans="1:37" x14ac:dyDescent="0.25">
      <c r="A326" t="s">
        <v>90</v>
      </c>
      <c r="B326" t="s">
        <v>370</v>
      </c>
      <c r="E326" t="s">
        <v>211</v>
      </c>
      <c r="F326" t="s">
        <v>373</v>
      </c>
      <c r="G326" t="s">
        <v>304</v>
      </c>
      <c r="H326" t="s">
        <v>305</v>
      </c>
      <c r="I326" t="s">
        <v>212</v>
      </c>
      <c r="J326" t="s">
        <v>374</v>
      </c>
      <c r="K326" t="s">
        <v>363</v>
      </c>
      <c r="L326">
        <v>1</v>
      </c>
      <c r="M326">
        <v>1</v>
      </c>
      <c r="N326">
        <v>2019</v>
      </c>
      <c r="O326">
        <v>25</v>
      </c>
      <c r="Q326">
        <v>0.9</v>
      </c>
      <c r="R326">
        <v>0.91</v>
      </c>
      <c r="S326">
        <v>0.92</v>
      </c>
      <c r="T326">
        <v>0.93</v>
      </c>
      <c r="U326">
        <v>0.94</v>
      </c>
      <c r="V326">
        <v>0.95</v>
      </c>
      <c r="W326">
        <v>0.95</v>
      </c>
      <c r="X326">
        <v>874.09484077494301</v>
      </c>
      <c r="Y326">
        <v>757.54886200495059</v>
      </c>
      <c r="Z326">
        <v>641.00288323495818</v>
      </c>
      <c r="AA326">
        <v>641.00288323495818</v>
      </c>
      <c r="AB326">
        <v>641.00288323495818</v>
      </c>
      <c r="AC326">
        <v>641.00288323495818</v>
      </c>
      <c r="AD326">
        <v>641.00288323495818</v>
      </c>
      <c r="AE326">
        <v>174.8189681549886</v>
      </c>
      <c r="AF326">
        <v>156.3658548497398</v>
      </c>
      <c r="AG326">
        <v>137.91274154449101</v>
      </c>
      <c r="AH326">
        <v>119.45962823924221</v>
      </c>
      <c r="AI326">
        <v>101.0065149339934</v>
      </c>
      <c r="AJ326">
        <v>82.553401628744624</v>
      </c>
      <c r="AK326">
        <v>64.100288323495818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526"/>
  <sheetViews>
    <sheetView tabSelected="1" zoomScale="70" zoomScaleNormal="70" workbookViewId="0">
      <selection activeCell="C17" sqref="C17"/>
    </sheetView>
  </sheetViews>
  <sheetFormatPr defaultRowHeight="15" x14ac:dyDescent="0.25"/>
  <cols>
    <col min="2" max="2" width="20.5703125" customWidth="1"/>
    <col min="3" max="3" width="28.5703125" bestFit="1" customWidth="1"/>
    <col min="4" max="6" width="20.5703125" customWidth="1"/>
    <col min="7" max="7" width="6.85546875" bestFit="1" customWidth="1"/>
    <col min="8" max="8" width="5.85546875" bestFit="1" customWidth="1"/>
  </cols>
  <sheetData>
    <row r="2" spans="2:8" x14ac:dyDescent="0.25">
      <c r="B2" s="9" t="s">
        <v>375</v>
      </c>
    </row>
    <row r="3" spans="2:8" x14ac:dyDescent="0.25">
      <c r="B3" s="10" t="s">
        <v>376</v>
      </c>
      <c r="C3" s="10" t="s">
        <v>377</v>
      </c>
      <c r="D3" s="10" t="s">
        <v>378</v>
      </c>
      <c r="E3" s="10" t="s">
        <v>379</v>
      </c>
      <c r="F3" s="10" t="s">
        <v>380</v>
      </c>
      <c r="G3" s="10" t="s">
        <v>381</v>
      </c>
      <c r="H3" s="10" t="s">
        <v>382</v>
      </c>
    </row>
    <row r="4" spans="2:8" ht="15" customHeight="1" thickBot="1" x14ac:dyDescent="0.3">
      <c r="B4" s="11" t="s">
        <v>358</v>
      </c>
      <c r="C4" s="11"/>
      <c r="D4" s="11"/>
      <c r="E4" s="11"/>
      <c r="F4" s="11"/>
      <c r="G4" s="11"/>
      <c r="H4" s="11"/>
    </row>
    <row r="5" spans="2:8" x14ac:dyDescent="0.25">
      <c r="C5" t="str">
        <f>'TRA TECH'!J3</f>
        <v>TRAPASCARICEVGSL20</v>
      </c>
      <c r="G5" s="12">
        <f>IF(SUMIFS('TRA TECH'!M:M,'TRA TECH'!J:J,C5)&gt;0,1,0)</f>
        <v>1</v>
      </c>
      <c r="H5" s="12">
        <f t="shared" ref="H5:H68" si="0">IF(C5="","",IF(C5="*","*",0))</f>
        <v>0</v>
      </c>
    </row>
    <row r="6" spans="2:8" x14ac:dyDescent="0.25">
      <c r="C6" t="str">
        <f>'TRA TECH'!J4</f>
        <v>TRAPASCARICEVGSL20</v>
      </c>
      <c r="G6" s="12">
        <f>IF(SUMIFS('TRA TECH'!M:M,'TRA TECH'!J:J,C6)&gt;0,1,0)</f>
        <v>1</v>
      </c>
      <c r="H6" s="12">
        <f t="shared" si="0"/>
        <v>0</v>
      </c>
    </row>
    <row r="7" spans="2:8" x14ac:dyDescent="0.25">
      <c r="C7" t="str">
        <f>'TRA TECH'!J5</f>
        <v>TRAPASCARICEVTGSL20</v>
      </c>
      <c r="G7" s="12">
        <f>IF(SUMIFS('TRA TECH'!M:M,'TRA TECH'!J:J,C7)&gt;0,1,0)</f>
        <v>1</v>
      </c>
      <c r="H7" s="12">
        <f t="shared" si="0"/>
        <v>0</v>
      </c>
    </row>
    <row r="8" spans="2:8" x14ac:dyDescent="0.25">
      <c r="C8" t="str">
        <f>'TRA TECH'!J6</f>
        <v>TRAPASCARICEVTGSL20</v>
      </c>
      <c r="G8" s="12">
        <f>IF(SUMIFS('TRA TECH'!M:M,'TRA TECH'!J:J,C8)&gt;0,1,0)</f>
        <v>1</v>
      </c>
      <c r="H8" s="12">
        <f t="shared" si="0"/>
        <v>0</v>
      </c>
    </row>
    <row r="9" spans="2:8" x14ac:dyDescent="0.25">
      <c r="C9" t="str">
        <f>'TRA TECH'!J7</f>
        <v>TRAPASCARHEVGSL20</v>
      </c>
      <c r="G9" s="12">
        <f>IF(SUMIFS('TRA TECH'!M:M,'TRA TECH'!J:J,C9)&gt;0,1,0)</f>
        <v>1</v>
      </c>
      <c r="H9" s="12">
        <f t="shared" si="0"/>
        <v>0</v>
      </c>
    </row>
    <row r="10" spans="2:8" x14ac:dyDescent="0.25">
      <c r="C10" t="str">
        <f>'TRA TECH'!J8</f>
        <v>TRAPASCARHEVGSL20</v>
      </c>
      <c r="G10" s="12">
        <f>IF(SUMIFS('TRA TECH'!M:M,'TRA TECH'!J:J,C10)&gt;0,1,0)</f>
        <v>1</v>
      </c>
      <c r="H10" s="12">
        <f t="shared" si="0"/>
        <v>0</v>
      </c>
    </row>
    <row r="11" spans="2:8" x14ac:dyDescent="0.25">
      <c r="C11" t="str">
        <f>'TRA TECH'!J9</f>
        <v>TRAPASCARHEVTGSL20</v>
      </c>
      <c r="G11" s="12">
        <f>IF(SUMIFS('TRA TECH'!M:M,'TRA TECH'!J:J,C11)&gt;0,1,0)</f>
        <v>1</v>
      </c>
      <c r="H11" s="12">
        <f t="shared" si="0"/>
        <v>0</v>
      </c>
    </row>
    <row r="12" spans="2:8" x14ac:dyDescent="0.25">
      <c r="C12" t="str">
        <f>'TRA TECH'!J10</f>
        <v>TRAPASCARHEVTGSL20</v>
      </c>
      <c r="G12" s="12">
        <f>IF(SUMIFS('TRA TECH'!M:M,'TRA TECH'!J:J,C12)&gt;0,1,0)</f>
        <v>1</v>
      </c>
      <c r="H12" s="12">
        <f t="shared" si="0"/>
        <v>0</v>
      </c>
    </row>
    <row r="13" spans="2:8" x14ac:dyDescent="0.25">
      <c r="C13" t="str">
        <f>'TRA TECH'!J11</f>
        <v>TRAPASCARHEVIGSL20</v>
      </c>
      <c r="G13" s="12">
        <f>IF(SUMIFS('TRA TECH'!M:M,'TRA TECH'!J:J,C13)&gt;0,1,0)</f>
        <v>1</v>
      </c>
      <c r="H13" s="12">
        <f t="shared" si="0"/>
        <v>0</v>
      </c>
    </row>
    <row r="14" spans="2:8" x14ac:dyDescent="0.25">
      <c r="C14" t="str">
        <f>'TRA TECH'!J12</f>
        <v>TRAPASCARHEVIGSL20</v>
      </c>
      <c r="G14" s="12">
        <f>IF(SUMIFS('TRA TECH'!M:M,'TRA TECH'!J:J,C14)&gt;0,1,0)</f>
        <v>1</v>
      </c>
      <c r="H14" s="12">
        <f t="shared" si="0"/>
        <v>0</v>
      </c>
    </row>
    <row r="15" spans="2:8" x14ac:dyDescent="0.25">
      <c r="C15" t="str">
        <f>'TRA TECH'!J13</f>
        <v>TRAPASCARHEVIGSL20</v>
      </c>
      <c r="G15" s="12">
        <f>IF(SUMIFS('TRA TECH'!M:M,'TRA TECH'!J:J,C15)&gt;0,1,0)</f>
        <v>1</v>
      </c>
      <c r="H15" s="12">
        <f t="shared" si="0"/>
        <v>0</v>
      </c>
    </row>
    <row r="16" spans="2:8" x14ac:dyDescent="0.25">
      <c r="C16" t="str">
        <f>'TRA TECH'!J14</f>
        <v>TRAPASCARHEVIGSL20</v>
      </c>
      <c r="G16" s="12">
        <f>IF(SUMIFS('TRA TECH'!M:M,'TRA TECH'!J:J,C16)&gt;0,1,0)</f>
        <v>1</v>
      </c>
      <c r="H16" s="12">
        <f t="shared" si="0"/>
        <v>0</v>
      </c>
    </row>
    <row r="17" spans="3:8" x14ac:dyDescent="0.25">
      <c r="C17" t="str">
        <f>'TRA TECH'!J15</f>
        <v>TRAPASCARHEVPGSL20</v>
      </c>
      <c r="G17" s="12">
        <f>IF(SUMIFS('TRA TECH'!M:M,'TRA TECH'!J:J,C17)&gt;0,1,0)</f>
        <v>1</v>
      </c>
      <c r="H17" s="12">
        <f t="shared" si="0"/>
        <v>0</v>
      </c>
    </row>
    <row r="18" spans="3:8" x14ac:dyDescent="0.25">
      <c r="C18" t="str">
        <f>'TRA TECH'!J16</f>
        <v>TRAPASCARHEVPGSL20</v>
      </c>
      <c r="G18" s="12">
        <f>IF(SUMIFS('TRA TECH'!M:M,'TRA TECH'!J:J,C18)&gt;0,1,0)</f>
        <v>1</v>
      </c>
      <c r="H18" s="12">
        <f t="shared" si="0"/>
        <v>0</v>
      </c>
    </row>
    <row r="19" spans="3:8" x14ac:dyDescent="0.25">
      <c r="C19" t="str">
        <f>'TRA TECH'!J17</f>
        <v>TRAPASCARPHEVPGSL20</v>
      </c>
      <c r="G19" s="12">
        <f>IF(SUMIFS('TRA TECH'!M:M,'TRA TECH'!J:J,C19)&gt;0,1,0)</f>
        <v>1</v>
      </c>
      <c r="H19" s="12">
        <f t="shared" si="0"/>
        <v>0</v>
      </c>
    </row>
    <row r="20" spans="3:8" x14ac:dyDescent="0.25">
      <c r="C20" t="str">
        <f>'TRA TECH'!J18</f>
        <v>TRAPASCARPHEVPGSL20</v>
      </c>
      <c r="G20" s="12">
        <f>IF(SUMIFS('TRA TECH'!M:M,'TRA TECH'!J:J,C20)&gt;0,1,0)</f>
        <v>1</v>
      </c>
      <c r="H20" s="12">
        <f t="shared" si="0"/>
        <v>0</v>
      </c>
    </row>
    <row r="21" spans="3:8" x14ac:dyDescent="0.25">
      <c r="C21" t="str">
        <f>'TRA TECH'!J19</f>
        <v>TRAPASCARPHEVPGSL20</v>
      </c>
      <c r="G21" s="12">
        <f>IF(SUMIFS('TRA TECH'!M:M,'TRA TECH'!J:J,C21)&gt;0,1,0)</f>
        <v>1</v>
      </c>
      <c r="H21" s="12">
        <f t="shared" si="0"/>
        <v>0</v>
      </c>
    </row>
    <row r="22" spans="3:8" x14ac:dyDescent="0.25">
      <c r="C22" t="str">
        <f>'TRA TECH'!J20</f>
        <v>TRAPASCARPHEVEGSL20</v>
      </c>
      <c r="G22" s="12">
        <f>IF(SUMIFS('TRA TECH'!M:M,'TRA TECH'!J:J,C22)&gt;0,1,0)</f>
        <v>1</v>
      </c>
      <c r="H22" s="12">
        <f t="shared" si="0"/>
        <v>0</v>
      </c>
    </row>
    <row r="23" spans="3:8" x14ac:dyDescent="0.25">
      <c r="C23" t="str">
        <f>'TRA TECH'!J21</f>
        <v>TRAPASCARPHEVEGSL20</v>
      </c>
      <c r="G23" s="12">
        <f>IF(SUMIFS('TRA TECH'!M:M,'TRA TECH'!J:J,C23)&gt;0,1,0)</f>
        <v>1</v>
      </c>
      <c r="H23" s="12">
        <f t="shared" si="0"/>
        <v>0</v>
      </c>
    </row>
    <row r="24" spans="3:8" x14ac:dyDescent="0.25">
      <c r="C24" t="str">
        <f>'TRA TECH'!J22</f>
        <v>TRAPASCARPHEVEGSL20</v>
      </c>
      <c r="G24" s="12">
        <f>IF(SUMIFS('TRA TECH'!M:M,'TRA TECH'!J:J,C24)&gt;0,1,0)</f>
        <v>1</v>
      </c>
      <c r="H24" s="12">
        <f t="shared" si="0"/>
        <v>0</v>
      </c>
    </row>
    <row r="25" spans="3:8" x14ac:dyDescent="0.25">
      <c r="C25" t="str">
        <f>'TRA TECH'!J23</f>
        <v>TRAPASCARICEVDSL20</v>
      </c>
      <c r="G25" s="12">
        <f>IF(SUMIFS('TRA TECH'!M:M,'TRA TECH'!J:J,C25)&gt;0,1,0)</f>
        <v>1</v>
      </c>
      <c r="H25" s="12">
        <f t="shared" si="0"/>
        <v>0</v>
      </c>
    </row>
    <row r="26" spans="3:8" x14ac:dyDescent="0.25">
      <c r="C26" t="str">
        <f>'TRA TECH'!J24</f>
        <v>TRAPASCARICEVDSL20</v>
      </c>
      <c r="G26" s="12">
        <f>IF(SUMIFS('TRA TECH'!M:M,'TRA TECH'!J:J,C26)&gt;0,1,0)</f>
        <v>1</v>
      </c>
      <c r="H26" s="12">
        <f t="shared" si="0"/>
        <v>0</v>
      </c>
    </row>
    <row r="27" spans="3:8" x14ac:dyDescent="0.25">
      <c r="C27" t="str">
        <f>'TRA TECH'!J25</f>
        <v>TRAPASCARICEVDSL20</v>
      </c>
      <c r="G27" s="12">
        <f>IF(SUMIFS('TRA TECH'!M:M,'TRA TECH'!J:J,C27)&gt;0,1,0)</f>
        <v>1</v>
      </c>
      <c r="H27" s="12">
        <f t="shared" si="0"/>
        <v>0</v>
      </c>
    </row>
    <row r="28" spans="3:8" x14ac:dyDescent="0.25">
      <c r="C28" t="str">
        <f>'TRA TECH'!J26</f>
        <v>TRAPASCARICEVCNG20</v>
      </c>
      <c r="G28" s="12">
        <f>IF(SUMIFS('TRA TECH'!M:M,'TRA TECH'!J:J,C28)&gt;0,1,0)</f>
        <v>1</v>
      </c>
      <c r="H28" s="12">
        <f t="shared" si="0"/>
        <v>0</v>
      </c>
    </row>
    <row r="29" spans="3:8" x14ac:dyDescent="0.25">
      <c r="C29" t="str">
        <f>'TRA TECH'!J27</f>
        <v>TRAPASCARICEVCNG20</v>
      </c>
      <c r="G29" s="12">
        <f>IF(SUMIFS('TRA TECH'!M:M,'TRA TECH'!J:J,C29)&gt;0,1,0)</f>
        <v>1</v>
      </c>
      <c r="H29" s="12">
        <f t="shared" si="0"/>
        <v>0</v>
      </c>
    </row>
    <row r="30" spans="3:8" x14ac:dyDescent="0.25">
      <c r="C30" t="str">
        <f>'TRA TECH'!J28</f>
        <v>TRAPASCAR300FCEV20</v>
      </c>
      <c r="G30" s="12">
        <f>IF(SUMIFS('TRA TECH'!M:M,'TRA TECH'!J:J,C30)&gt;0,1,0)</f>
        <v>1</v>
      </c>
      <c r="H30" s="12">
        <f t="shared" si="0"/>
        <v>0</v>
      </c>
    </row>
    <row r="31" spans="3:8" x14ac:dyDescent="0.25">
      <c r="C31" t="str">
        <f>'TRA TECH'!J29</f>
        <v>TRAPASCAR400FCEV20</v>
      </c>
      <c r="G31" s="12">
        <f>IF(SUMIFS('TRA TECH'!M:M,'TRA TECH'!J:J,C31)&gt;0,1,0)</f>
        <v>1</v>
      </c>
      <c r="H31" s="12">
        <f t="shared" si="0"/>
        <v>0</v>
      </c>
    </row>
    <row r="32" spans="3:8" x14ac:dyDescent="0.25">
      <c r="C32" t="str">
        <f>'TRA TECH'!J30</f>
        <v>TRAPASCAR200BEV20</v>
      </c>
      <c r="G32" s="12">
        <f>IF(SUMIFS('TRA TECH'!M:M,'TRA TECH'!J:J,C32)&gt;0,1,0)</f>
        <v>1</v>
      </c>
      <c r="H32" s="12">
        <f t="shared" si="0"/>
        <v>0</v>
      </c>
    </row>
    <row r="33" spans="3:8" x14ac:dyDescent="0.25">
      <c r="C33" t="str">
        <f>'TRA TECH'!J31</f>
        <v>TRAPASCAR300BEV20</v>
      </c>
      <c r="G33" s="12">
        <f>IF(SUMIFS('TRA TECH'!M:M,'TRA TECH'!J:J,C33)&gt;0,1,0)</f>
        <v>1</v>
      </c>
      <c r="H33" s="12">
        <f t="shared" si="0"/>
        <v>0</v>
      </c>
    </row>
    <row r="34" spans="3:8" x14ac:dyDescent="0.25">
      <c r="C34" t="str">
        <f>'TRA TECH'!J32</f>
        <v>TRAPASCAR400BEV20</v>
      </c>
      <c r="G34" s="12">
        <f>IF(SUMIFS('TRA TECH'!M:M,'TRA TECH'!J:J,C34)&gt;0,1,0)</f>
        <v>1</v>
      </c>
      <c r="H34" s="12">
        <f t="shared" si="0"/>
        <v>0</v>
      </c>
    </row>
    <row r="35" spans="3:8" x14ac:dyDescent="0.25">
      <c r="C35" t="str">
        <f>'TRA TECH'!J33</f>
        <v>TRAPASCAR500BEV20</v>
      </c>
      <c r="G35" s="12">
        <f>IF(SUMIFS('TRA TECH'!M:M,'TRA TECH'!J:J,C35)&gt;0,1,0)</f>
        <v>1</v>
      </c>
      <c r="H35" s="12">
        <f t="shared" si="0"/>
        <v>0</v>
      </c>
    </row>
    <row r="36" spans="3:8" x14ac:dyDescent="0.25">
      <c r="C36" t="str">
        <f>'TRA TECH'!J34</f>
        <v>TRAPASLDTICEVGSL20</v>
      </c>
      <c r="G36" s="12">
        <f>IF(SUMIFS('TRA TECH'!M:M,'TRA TECH'!J:J,C36)&gt;0,1,0)</f>
        <v>1</v>
      </c>
      <c r="H36" s="12">
        <f t="shared" si="0"/>
        <v>0</v>
      </c>
    </row>
    <row r="37" spans="3:8" x14ac:dyDescent="0.25">
      <c r="C37" t="str">
        <f>'TRA TECH'!J35</f>
        <v>TRAPASLDTICEVGSL20</v>
      </c>
      <c r="G37" s="12">
        <f>IF(SUMIFS('TRA TECH'!M:M,'TRA TECH'!J:J,C37)&gt;0,1,0)</f>
        <v>1</v>
      </c>
      <c r="H37" s="12">
        <f t="shared" si="0"/>
        <v>0</v>
      </c>
    </row>
    <row r="38" spans="3:8" x14ac:dyDescent="0.25">
      <c r="C38" t="str">
        <f>'TRA TECH'!J36</f>
        <v>TRAPASLDTICEVTGSL20</v>
      </c>
      <c r="G38" s="12">
        <f>IF(SUMIFS('TRA TECH'!M:M,'TRA TECH'!J:J,C38)&gt;0,1,0)</f>
        <v>1</v>
      </c>
      <c r="H38" s="12">
        <f t="shared" si="0"/>
        <v>0</v>
      </c>
    </row>
    <row r="39" spans="3:8" x14ac:dyDescent="0.25">
      <c r="C39" t="str">
        <f>'TRA TECH'!J37</f>
        <v>TRAPASLDTICEVTGSL20</v>
      </c>
      <c r="G39" s="12">
        <f>IF(SUMIFS('TRA TECH'!M:M,'TRA TECH'!J:J,C39)&gt;0,1,0)</f>
        <v>1</v>
      </c>
      <c r="H39" s="12">
        <f t="shared" si="0"/>
        <v>0</v>
      </c>
    </row>
    <row r="40" spans="3:8" x14ac:dyDescent="0.25">
      <c r="C40" t="str">
        <f>'TRA TECH'!J38</f>
        <v>TRAPASLDTHEVGSL20</v>
      </c>
      <c r="G40" s="12">
        <f>IF(SUMIFS('TRA TECH'!M:M,'TRA TECH'!J:J,C40)&gt;0,1,0)</f>
        <v>1</v>
      </c>
      <c r="H40" s="12">
        <f t="shared" si="0"/>
        <v>0</v>
      </c>
    </row>
    <row r="41" spans="3:8" x14ac:dyDescent="0.25">
      <c r="C41" t="str">
        <f>'TRA TECH'!J39</f>
        <v>TRAPASLDTHEVGSL20</v>
      </c>
      <c r="G41" s="12">
        <f>IF(SUMIFS('TRA TECH'!M:M,'TRA TECH'!J:J,C41)&gt;0,1,0)</f>
        <v>1</v>
      </c>
      <c r="H41" s="12">
        <f t="shared" si="0"/>
        <v>0</v>
      </c>
    </row>
    <row r="42" spans="3:8" x14ac:dyDescent="0.25">
      <c r="C42" t="str">
        <f>'TRA TECH'!J40</f>
        <v>TRAPASLDTHEVTGSL20</v>
      </c>
      <c r="G42" s="12">
        <f>IF(SUMIFS('TRA TECH'!M:M,'TRA TECH'!J:J,C42)&gt;0,1,0)</f>
        <v>1</v>
      </c>
      <c r="H42" s="12">
        <f t="shared" si="0"/>
        <v>0</v>
      </c>
    </row>
    <row r="43" spans="3:8" x14ac:dyDescent="0.25">
      <c r="C43" t="str">
        <f>'TRA TECH'!J41</f>
        <v>TRAPASLDTHEVTGSL20</v>
      </c>
      <c r="G43" s="12">
        <f>IF(SUMIFS('TRA TECH'!M:M,'TRA TECH'!J:J,C43)&gt;0,1,0)</f>
        <v>1</v>
      </c>
      <c r="H43" s="12">
        <f t="shared" si="0"/>
        <v>0</v>
      </c>
    </row>
    <row r="44" spans="3:8" x14ac:dyDescent="0.25">
      <c r="C44" t="str">
        <f>'TRA TECH'!J42</f>
        <v>TRAPASLDTHEVIGSL20</v>
      </c>
      <c r="G44" s="12">
        <f>IF(SUMIFS('TRA TECH'!M:M,'TRA TECH'!J:J,C44)&gt;0,1,0)</f>
        <v>1</v>
      </c>
      <c r="H44" s="12">
        <f t="shared" si="0"/>
        <v>0</v>
      </c>
    </row>
    <row r="45" spans="3:8" x14ac:dyDescent="0.25">
      <c r="C45" t="str">
        <f>'TRA TECH'!J43</f>
        <v>TRAPASLDTHEVIGSL20</v>
      </c>
      <c r="G45" s="12">
        <f>IF(SUMIFS('TRA TECH'!M:M,'TRA TECH'!J:J,C45)&gt;0,1,0)</f>
        <v>1</v>
      </c>
      <c r="H45" s="12">
        <f t="shared" si="0"/>
        <v>0</v>
      </c>
    </row>
    <row r="46" spans="3:8" x14ac:dyDescent="0.25">
      <c r="C46" t="str">
        <f>'TRA TECH'!J44</f>
        <v>TRAPASLDTHEVIGSL20</v>
      </c>
      <c r="G46" s="12">
        <f>IF(SUMIFS('TRA TECH'!M:M,'TRA TECH'!J:J,C46)&gt;0,1,0)</f>
        <v>1</v>
      </c>
      <c r="H46" s="12">
        <f t="shared" si="0"/>
        <v>0</v>
      </c>
    </row>
    <row r="47" spans="3:8" x14ac:dyDescent="0.25">
      <c r="C47" t="str">
        <f>'TRA TECH'!J45</f>
        <v>TRAPASLDTHEVIGSL20</v>
      </c>
      <c r="G47" s="12">
        <f>IF(SUMIFS('TRA TECH'!M:M,'TRA TECH'!J:J,C47)&gt;0,1,0)</f>
        <v>1</v>
      </c>
      <c r="H47" s="12">
        <f t="shared" si="0"/>
        <v>0</v>
      </c>
    </row>
    <row r="48" spans="3:8" x14ac:dyDescent="0.25">
      <c r="C48" t="str">
        <f>'TRA TECH'!J46</f>
        <v>TRAPASLDTHEVPGSL20</v>
      </c>
      <c r="G48" s="12">
        <f>IF(SUMIFS('TRA TECH'!M:M,'TRA TECH'!J:J,C48)&gt;0,1,0)</f>
        <v>1</v>
      </c>
      <c r="H48" s="12">
        <f t="shared" si="0"/>
        <v>0</v>
      </c>
    </row>
    <row r="49" spans="3:8" x14ac:dyDescent="0.25">
      <c r="C49" t="str">
        <f>'TRA TECH'!J47</f>
        <v>TRAPASLDTHEVPGSL20</v>
      </c>
      <c r="G49" s="12">
        <f>IF(SUMIFS('TRA TECH'!M:M,'TRA TECH'!J:J,C49)&gt;0,1,0)</f>
        <v>1</v>
      </c>
      <c r="H49" s="12">
        <f t="shared" si="0"/>
        <v>0</v>
      </c>
    </row>
    <row r="50" spans="3:8" x14ac:dyDescent="0.25">
      <c r="C50" t="str">
        <f>'TRA TECH'!J48</f>
        <v>TRAPASLDTPHEVPGSL20</v>
      </c>
      <c r="G50" s="12">
        <f>IF(SUMIFS('TRA TECH'!M:M,'TRA TECH'!J:J,C50)&gt;0,1,0)</f>
        <v>1</v>
      </c>
      <c r="H50" s="12">
        <f t="shared" si="0"/>
        <v>0</v>
      </c>
    </row>
    <row r="51" spans="3:8" x14ac:dyDescent="0.25">
      <c r="C51" t="str">
        <f>'TRA TECH'!J49</f>
        <v>TRAPASLDTPHEVPGSL20</v>
      </c>
      <c r="G51" s="12">
        <f>IF(SUMIFS('TRA TECH'!M:M,'TRA TECH'!J:J,C51)&gt;0,1,0)</f>
        <v>1</v>
      </c>
      <c r="H51" s="12">
        <f t="shared" si="0"/>
        <v>0</v>
      </c>
    </row>
    <row r="52" spans="3:8" x14ac:dyDescent="0.25">
      <c r="C52" t="str">
        <f>'TRA TECH'!J50</f>
        <v>TRAPASLDTPHEVPGSL20</v>
      </c>
      <c r="G52" s="12">
        <f>IF(SUMIFS('TRA TECH'!M:M,'TRA TECH'!J:J,C52)&gt;0,1,0)</f>
        <v>1</v>
      </c>
      <c r="H52" s="12">
        <f t="shared" si="0"/>
        <v>0</v>
      </c>
    </row>
    <row r="53" spans="3:8" x14ac:dyDescent="0.25">
      <c r="C53" t="str">
        <f>'TRA TECH'!J51</f>
        <v>TRAPASLDTPHEVEGSL20</v>
      </c>
      <c r="G53" s="12">
        <f>IF(SUMIFS('TRA TECH'!M:M,'TRA TECH'!J:J,C53)&gt;0,1,0)</f>
        <v>1</v>
      </c>
      <c r="H53" s="12">
        <f t="shared" si="0"/>
        <v>0</v>
      </c>
    </row>
    <row r="54" spans="3:8" x14ac:dyDescent="0.25">
      <c r="C54" t="str">
        <f>'TRA TECH'!J52</f>
        <v>TRAPASLDTPHEVEGSL20</v>
      </c>
      <c r="G54" s="12">
        <f>IF(SUMIFS('TRA TECH'!M:M,'TRA TECH'!J:J,C54)&gt;0,1,0)</f>
        <v>1</v>
      </c>
      <c r="H54" s="12">
        <f t="shared" si="0"/>
        <v>0</v>
      </c>
    </row>
    <row r="55" spans="3:8" x14ac:dyDescent="0.25">
      <c r="C55" t="str">
        <f>'TRA TECH'!J53</f>
        <v>TRAPASLDTPHEVEGSL20</v>
      </c>
      <c r="G55" s="12">
        <f>IF(SUMIFS('TRA TECH'!M:M,'TRA TECH'!J:J,C55)&gt;0,1,0)</f>
        <v>1</v>
      </c>
      <c r="H55" s="12">
        <f t="shared" si="0"/>
        <v>0</v>
      </c>
    </row>
    <row r="56" spans="3:8" x14ac:dyDescent="0.25">
      <c r="C56" t="str">
        <f>'TRA TECH'!J54</f>
        <v>TRAPASLDTICEVDSL20</v>
      </c>
      <c r="G56" s="12">
        <f>IF(SUMIFS('TRA TECH'!M:M,'TRA TECH'!J:J,C56)&gt;0,1,0)</f>
        <v>1</v>
      </c>
      <c r="H56" s="12">
        <f t="shared" si="0"/>
        <v>0</v>
      </c>
    </row>
    <row r="57" spans="3:8" x14ac:dyDescent="0.25">
      <c r="C57" t="str">
        <f>'TRA TECH'!J55</f>
        <v>TRAPASLDTICEVDSL20</v>
      </c>
      <c r="G57" s="12">
        <f>IF(SUMIFS('TRA TECH'!M:M,'TRA TECH'!J:J,C57)&gt;0,1,0)</f>
        <v>1</v>
      </c>
      <c r="H57" s="12">
        <f t="shared" si="0"/>
        <v>0</v>
      </c>
    </row>
    <row r="58" spans="3:8" x14ac:dyDescent="0.25">
      <c r="C58" t="str">
        <f>'TRA TECH'!J56</f>
        <v>TRAPASLDTICEVDSL20</v>
      </c>
      <c r="G58" s="12">
        <f>IF(SUMIFS('TRA TECH'!M:M,'TRA TECH'!J:J,C58)&gt;0,1,0)</f>
        <v>1</v>
      </c>
      <c r="H58" s="12">
        <f t="shared" si="0"/>
        <v>0</v>
      </c>
    </row>
    <row r="59" spans="3:8" x14ac:dyDescent="0.25">
      <c r="C59" t="str">
        <f>'TRA TECH'!J57</f>
        <v>TRAPASLDTICEVCNG20</v>
      </c>
      <c r="G59" s="12">
        <f>IF(SUMIFS('TRA TECH'!M:M,'TRA TECH'!J:J,C59)&gt;0,1,0)</f>
        <v>1</v>
      </c>
      <c r="H59" s="12">
        <f t="shared" si="0"/>
        <v>0</v>
      </c>
    </row>
    <row r="60" spans="3:8" x14ac:dyDescent="0.25">
      <c r="C60" t="str">
        <f>'TRA TECH'!J58</f>
        <v>TRAPASLDTICEVCNG20</v>
      </c>
      <c r="G60" s="12">
        <f>IF(SUMIFS('TRA TECH'!M:M,'TRA TECH'!J:J,C60)&gt;0,1,0)</f>
        <v>1</v>
      </c>
      <c r="H60" s="12">
        <f t="shared" si="0"/>
        <v>0</v>
      </c>
    </row>
    <row r="61" spans="3:8" x14ac:dyDescent="0.25">
      <c r="C61" t="str">
        <f>'TRA TECH'!J59</f>
        <v>TRAPASLDT300FCEV20</v>
      </c>
      <c r="G61" s="12">
        <f>IF(SUMIFS('TRA TECH'!M:M,'TRA TECH'!J:J,C61)&gt;0,1,0)</f>
        <v>1</v>
      </c>
      <c r="H61" s="12">
        <f t="shared" si="0"/>
        <v>0</v>
      </c>
    </row>
    <row r="62" spans="3:8" x14ac:dyDescent="0.25">
      <c r="C62" t="str">
        <f>'TRA TECH'!J60</f>
        <v>TRAPASLDT400FCEV20</v>
      </c>
      <c r="G62" s="12">
        <f>IF(SUMIFS('TRA TECH'!M:M,'TRA TECH'!J:J,C62)&gt;0,1,0)</f>
        <v>1</v>
      </c>
      <c r="H62" s="12">
        <f t="shared" si="0"/>
        <v>0</v>
      </c>
    </row>
    <row r="63" spans="3:8" x14ac:dyDescent="0.25">
      <c r="C63" t="str">
        <f>'TRA TECH'!J61</f>
        <v>TRAPASLDT200BEV20</v>
      </c>
      <c r="G63" s="12">
        <f>IF(SUMIFS('TRA TECH'!M:M,'TRA TECH'!J:J,C63)&gt;0,1,0)</f>
        <v>1</v>
      </c>
      <c r="H63" s="12">
        <f t="shared" si="0"/>
        <v>0</v>
      </c>
    </row>
    <row r="64" spans="3:8" x14ac:dyDescent="0.25">
      <c r="C64" t="str">
        <f>'TRA TECH'!J62</f>
        <v>TRAPASLDT300BEV20</v>
      </c>
      <c r="G64" s="12">
        <f>IF(SUMIFS('TRA TECH'!M:M,'TRA TECH'!J:J,C64)&gt;0,1,0)</f>
        <v>1</v>
      </c>
      <c r="H64" s="12">
        <f t="shared" si="0"/>
        <v>0</v>
      </c>
    </row>
    <row r="65" spans="3:8" x14ac:dyDescent="0.25">
      <c r="C65" t="str">
        <f>'TRA TECH'!J63</f>
        <v>TRAPASLDT400BEV20</v>
      </c>
      <c r="G65" s="12">
        <f>IF(SUMIFS('TRA TECH'!M:M,'TRA TECH'!J:J,C65)&gt;0,1,0)</f>
        <v>1</v>
      </c>
      <c r="H65" s="12">
        <f t="shared" si="0"/>
        <v>0</v>
      </c>
    </row>
    <row r="66" spans="3:8" x14ac:dyDescent="0.25">
      <c r="C66" t="str">
        <f>'TRA TECH'!J64</f>
        <v>TRAPASLDT500BEV20</v>
      </c>
      <c r="G66" s="12">
        <f>IF(SUMIFS('TRA TECH'!M:M,'TRA TECH'!J:J,C66)&gt;0,1,0)</f>
        <v>1</v>
      </c>
      <c r="H66" s="12">
        <f t="shared" si="0"/>
        <v>0</v>
      </c>
    </row>
    <row r="67" spans="3:8" x14ac:dyDescent="0.25">
      <c r="C67" t="str">
        <f>'TRA TECH'!J65</f>
        <v>TRAPASMOTICEVGSL20</v>
      </c>
      <c r="G67" s="12">
        <f>IF(SUMIFS('TRA TECH'!M:M,'TRA TECH'!J:J,C67)&gt;0,1,0)</f>
        <v>1</v>
      </c>
      <c r="H67" s="12">
        <f t="shared" si="0"/>
        <v>0</v>
      </c>
    </row>
    <row r="68" spans="3:8" x14ac:dyDescent="0.25">
      <c r="C68" t="str">
        <f>'TRA TECH'!J66</f>
        <v>TRAPASMOTICEVGSL20</v>
      </c>
      <c r="G68" s="12">
        <f>IF(SUMIFS('TRA TECH'!M:M,'TRA TECH'!J:J,C68)&gt;0,1,0)</f>
        <v>1</v>
      </c>
      <c r="H68" s="12">
        <f t="shared" si="0"/>
        <v>0</v>
      </c>
    </row>
    <row r="69" spans="3:8" x14ac:dyDescent="0.25">
      <c r="C69" t="str">
        <f>'TRA TECH'!J67</f>
        <v>TRAPASMOTICEVTGSL20</v>
      </c>
      <c r="G69" s="12">
        <f>IF(SUMIFS('TRA TECH'!M:M,'TRA TECH'!J:J,C69)&gt;0,1,0)</f>
        <v>1</v>
      </c>
      <c r="H69" s="12">
        <f t="shared" ref="H69:H132" si="1">IF(C69="","",IF(C69="*","*",0))</f>
        <v>0</v>
      </c>
    </row>
    <row r="70" spans="3:8" x14ac:dyDescent="0.25">
      <c r="C70" t="str">
        <f>'TRA TECH'!J68</f>
        <v>TRAPASMOTICEVTGSL20</v>
      </c>
      <c r="G70" s="12">
        <f>IF(SUMIFS('TRA TECH'!M:M,'TRA TECH'!J:J,C70)&gt;0,1,0)</f>
        <v>1</v>
      </c>
      <c r="H70" s="12">
        <f t="shared" si="1"/>
        <v>0</v>
      </c>
    </row>
    <row r="71" spans="3:8" x14ac:dyDescent="0.25">
      <c r="C71" t="str">
        <f>'TRA TECH'!J69</f>
        <v>TRAPASMOTHEVGSL20</v>
      </c>
      <c r="G71" s="12">
        <f>IF(SUMIFS('TRA TECH'!M:M,'TRA TECH'!J:J,C71)&gt;0,1,0)</f>
        <v>1</v>
      </c>
      <c r="H71" s="12">
        <f t="shared" si="1"/>
        <v>0</v>
      </c>
    </row>
    <row r="72" spans="3:8" x14ac:dyDescent="0.25">
      <c r="C72" t="str">
        <f>'TRA TECH'!J70</f>
        <v>TRAPASMOTHEVGSL20</v>
      </c>
      <c r="G72" s="12">
        <f>IF(SUMIFS('TRA TECH'!M:M,'TRA TECH'!J:J,C72)&gt;0,1,0)</f>
        <v>1</v>
      </c>
      <c r="H72" s="12">
        <f t="shared" si="1"/>
        <v>0</v>
      </c>
    </row>
    <row r="73" spans="3:8" x14ac:dyDescent="0.25">
      <c r="C73" t="str">
        <f>'TRA TECH'!J71</f>
        <v>TRAPASMOTHEVTGSL20</v>
      </c>
      <c r="G73" s="12">
        <f>IF(SUMIFS('TRA TECH'!M:M,'TRA TECH'!J:J,C73)&gt;0,1,0)</f>
        <v>1</v>
      </c>
      <c r="H73" s="12">
        <f t="shared" si="1"/>
        <v>0</v>
      </c>
    </row>
    <row r="74" spans="3:8" x14ac:dyDescent="0.25">
      <c r="C74" t="str">
        <f>'TRA TECH'!J72</f>
        <v>TRAPASMOTHEVTGSL20</v>
      </c>
      <c r="G74" s="12">
        <f>IF(SUMIFS('TRA TECH'!M:M,'TRA TECH'!J:J,C74)&gt;0,1,0)</f>
        <v>1</v>
      </c>
      <c r="H74" s="12">
        <f t="shared" si="1"/>
        <v>0</v>
      </c>
    </row>
    <row r="75" spans="3:8" x14ac:dyDescent="0.25">
      <c r="C75" t="str">
        <f>'TRA TECH'!J73</f>
        <v>TRAPASMOTHEVIGSL20</v>
      </c>
      <c r="G75" s="12">
        <f>IF(SUMIFS('TRA TECH'!M:M,'TRA TECH'!J:J,C75)&gt;0,1,0)</f>
        <v>1</v>
      </c>
      <c r="H75" s="12">
        <f t="shared" si="1"/>
        <v>0</v>
      </c>
    </row>
    <row r="76" spans="3:8" x14ac:dyDescent="0.25">
      <c r="C76" t="str">
        <f>'TRA TECH'!J74</f>
        <v>TRAPASMOTHEVIGSL20</v>
      </c>
      <c r="G76" s="12">
        <f>IF(SUMIFS('TRA TECH'!M:M,'TRA TECH'!J:J,C76)&gt;0,1,0)</f>
        <v>1</v>
      </c>
      <c r="H76" s="12">
        <f t="shared" si="1"/>
        <v>0</v>
      </c>
    </row>
    <row r="77" spans="3:8" x14ac:dyDescent="0.25">
      <c r="C77" t="str">
        <f>'TRA TECH'!J75</f>
        <v>TRAPASMOTHEVIGSL20</v>
      </c>
      <c r="G77" s="12">
        <f>IF(SUMIFS('TRA TECH'!M:M,'TRA TECH'!J:J,C77)&gt;0,1,0)</f>
        <v>1</v>
      </c>
      <c r="H77" s="12">
        <f t="shared" si="1"/>
        <v>0</v>
      </c>
    </row>
    <row r="78" spans="3:8" x14ac:dyDescent="0.25">
      <c r="C78" t="str">
        <f>'TRA TECH'!J76</f>
        <v>TRAPASMOTHEVIGSL20</v>
      </c>
      <c r="G78" s="12">
        <f>IF(SUMIFS('TRA TECH'!M:M,'TRA TECH'!J:J,C78)&gt;0,1,0)</f>
        <v>1</v>
      </c>
      <c r="H78" s="12">
        <f t="shared" si="1"/>
        <v>0</v>
      </c>
    </row>
    <row r="79" spans="3:8" x14ac:dyDescent="0.25">
      <c r="C79" t="str">
        <f>'TRA TECH'!J77</f>
        <v>TRAPASMOTHEVPGSL20</v>
      </c>
      <c r="G79" s="12">
        <f>IF(SUMIFS('TRA TECH'!M:M,'TRA TECH'!J:J,C79)&gt;0,1,0)</f>
        <v>1</v>
      </c>
      <c r="H79" s="12">
        <f t="shared" si="1"/>
        <v>0</v>
      </c>
    </row>
    <row r="80" spans="3:8" x14ac:dyDescent="0.25">
      <c r="C80" t="str">
        <f>'TRA TECH'!J78</f>
        <v>TRAPASMOTHEVPGSL20</v>
      </c>
      <c r="G80" s="12">
        <f>IF(SUMIFS('TRA TECH'!M:M,'TRA TECH'!J:J,C80)&gt;0,1,0)</f>
        <v>1</v>
      </c>
      <c r="H80" s="12">
        <f t="shared" si="1"/>
        <v>0</v>
      </c>
    </row>
    <row r="81" spans="3:8" x14ac:dyDescent="0.25">
      <c r="C81" t="str">
        <f>'TRA TECH'!J79</f>
        <v>TRAPASMOTPHEVPGSL20</v>
      </c>
      <c r="G81" s="12">
        <f>IF(SUMIFS('TRA TECH'!M:M,'TRA TECH'!J:J,C81)&gt;0,1,0)</f>
        <v>1</v>
      </c>
      <c r="H81" s="12">
        <f t="shared" si="1"/>
        <v>0</v>
      </c>
    </row>
    <row r="82" spans="3:8" x14ac:dyDescent="0.25">
      <c r="C82" t="str">
        <f>'TRA TECH'!J80</f>
        <v>TRAPASMOTPHEVPGSL20</v>
      </c>
      <c r="G82" s="12">
        <f>IF(SUMIFS('TRA TECH'!M:M,'TRA TECH'!J:J,C82)&gt;0,1,0)</f>
        <v>1</v>
      </c>
      <c r="H82" s="12">
        <f t="shared" si="1"/>
        <v>0</v>
      </c>
    </row>
    <row r="83" spans="3:8" x14ac:dyDescent="0.25">
      <c r="C83" t="str">
        <f>'TRA TECH'!J81</f>
        <v>TRAPASMOTPHEVPGSL20</v>
      </c>
      <c r="G83" s="12">
        <f>IF(SUMIFS('TRA TECH'!M:M,'TRA TECH'!J:J,C83)&gt;0,1,0)</f>
        <v>1</v>
      </c>
      <c r="H83" s="12">
        <f t="shared" si="1"/>
        <v>0</v>
      </c>
    </row>
    <row r="84" spans="3:8" x14ac:dyDescent="0.25">
      <c r="C84" t="str">
        <f>'TRA TECH'!J82</f>
        <v>TRAPASMOTPHEVEGSL20</v>
      </c>
      <c r="G84" s="12">
        <f>IF(SUMIFS('TRA TECH'!M:M,'TRA TECH'!J:J,C84)&gt;0,1,0)</f>
        <v>1</v>
      </c>
      <c r="H84" s="12">
        <f t="shared" si="1"/>
        <v>0</v>
      </c>
    </row>
    <row r="85" spans="3:8" x14ac:dyDescent="0.25">
      <c r="C85" t="str">
        <f>'TRA TECH'!J83</f>
        <v>TRAPASMOTPHEVEGSL20</v>
      </c>
      <c r="G85" s="12">
        <f>IF(SUMIFS('TRA TECH'!M:M,'TRA TECH'!J:J,C85)&gt;0,1,0)</f>
        <v>1</v>
      </c>
      <c r="H85" s="12">
        <f t="shared" si="1"/>
        <v>0</v>
      </c>
    </row>
    <row r="86" spans="3:8" x14ac:dyDescent="0.25">
      <c r="C86" t="str">
        <f>'TRA TECH'!J84</f>
        <v>TRAPASMOTPHEVEGSL20</v>
      </c>
      <c r="G86" s="12">
        <f>IF(SUMIFS('TRA TECH'!M:M,'TRA TECH'!J:J,C86)&gt;0,1,0)</f>
        <v>1</v>
      </c>
      <c r="H86" s="12">
        <f t="shared" si="1"/>
        <v>0</v>
      </c>
    </row>
    <row r="87" spans="3:8" x14ac:dyDescent="0.25">
      <c r="C87" t="str">
        <f>'TRA TECH'!J85</f>
        <v>TRAPASMOTICEVDSL20</v>
      </c>
      <c r="G87" s="12">
        <f>IF(SUMIFS('TRA TECH'!M:M,'TRA TECH'!J:J,C87)&gt;0,1,0)</f>
        <v>1</v>
      </c>
      <c r="H87" s="12">
        <f t="shared" si="1"/>
        <v>0</v>
      </c>
    </row>
    <row r="88" spans="3:8" x14ac:dyDescent="0.25">
      <c r="C88" t="str">
        <f>'TRA TECH'!J86</f>
        <v>TRAPASMOTICEVDSL20</v>
      </c>
      <c r="G88" s="12">
        <f>IF(SUMIFS('TRA TECH'!M:M,'TRA TECH'!J:J,C88)&gt;0,1,0)</f>
        <v>1</v>
      </c>
      <c r="H88" s="12">
        <f t="shared" si="1"/>
        <v>0</v>
      </c>
    </row>
    <row r="89" spans="3:8" x14ac:dyDescent="0.25">
      <c r="C89" t="str">
        <f>'TRA TECH'!J87</f>
        <v>TRAPASMOTICEVDSL20</v>
      </c>
      <c r="G89" s="12">
        <f>IF(SUMIFS('TRA TECH'!M:M,'TRA TECH'!J:J,C89)&gt;0,1,0)</f>
        <v>1</v>
      </c>
      <c r="H89" s="12">
        <f t="shared" si="1"/>
        <v>0</v>
      </c>
    </row>
    <row r="90" spans="3:8" x14ac:dyDescent="0.25">
      <c r="C90" t="str">
        <f>'TRA TECH'!J88</f>
        <v>TRAPASMOTICEVCNG20</v>
      </c>
      <c r="G90" s="12">
        <f>IF(SUMIFS('TRA TECH'!M:M,'TRA TECH'!J:J,C90)&gt;0,1,0)</f>
        <v>1</v>
      </c>
      <c r="H90" s="12">
        <f t="shared" si="1"/>
        <v>0</v>
      </c>
    </row>
    <row r="91" spans="3:8" x14ac:dyDescent="0.25">
      <c r="C91" t="str">
        <f>'TRA TECH'!J89</f>
        <v>TRAPASMOTICEVCNG20</v>
      </c>
      <c r="G91" s="12">
        <f>IF(SUMIFS('TRA TECH'!M:M,'TRA TECH'!J:J,C91)&gt;0,1,0)</f>
        <v>1</v>
      </c>
      <c r="H91" s="12">
        <f t="shared" si="1"/>
        <v>0</v>
      </c>
    </row>
    <row r="92" spans="3:8" x14ac:dyDescent="0.25">
      <c r="C92" t="str">
        <f>'TRA TECH'!J90</f>
        <v>TRAPASMOT300FCEV20</v>
      </c>
      <c r="G92" s="12">
        <f>IF(SUMIFS('TRA TECH'!M:M,'TRA TECH'!J:J,C92)&gt;0,1,0)</f>
        <v>1</v>
      </c>
      <c r="H92" s="12">
        <f t="shared" si="1"/>
        <v>0</v>
      </c>
    </row>
    <row r="93" spans="3:8" x14ac:dyDescent="0.25">
      <c r="C93" t="str">
        <f>'TRA TECH'!J91</f>
        <v>TRAPASMOT400FCEV20</v>
      </c>
      <c r="G93" s="12">
        <f>IF(SUMIFS('TRA TECH'!M:M,'TRA TECH'!J:J,C93)&gt;0,1,0)</f>
        <v>1</v>
      </c>
      <c r="H93" s="12">
        <f t="shared" si="1"/>
        <v>0</v>
      </c>
    </row>
    <row r="94" spans="3:8" x14ac:dyDescent="0.25">
      <c r="C94" t="str">
        <f>'TRA TECH'!J92</f>
        <v>TRAPASMOT200BEV20</v>
      </c>
      <c r="G94" s="12">
        <f>IF(SUMIFS('TRA TECH'!M:M,'TRA TECH'!J:J,C94)&gt;0,1,0)</f>
        <v>1</v>
      </c>
      <c r="H94" s="12">
        <f t="shared" si="1"/>
        <v>0</v>
      </c>
    </row>
    <row r="95" spans="3:8" x14ac:dyDescent="0.25">
      <c r="C95" t="str">
        <f>'TRA TECH'!J93</f>
        <v>TRAPASMOT300BEV20</v>
      </c>
      <c r="G95" s="12">
        <f>IF(SUMIFS('TRA TECH'!M:M,'TRA TECH'!J:J,C95)&gt;0,1,0)</f>
        <v>1</v>
      </c>
      <c r="H95" s="12">
        <f t="shared" si="1"/>
        <v>0</v>
      </c>
    </row>
    <row r="96" spans="3:8" x14ac:dyDescent="0.25">
      <c r="C96" t="str">
        <f>'TRA TECH'!J94</f>
        <v>TRAPASMOT400BEV20</v>
      </c>
      <c r="G96" s="12">
        <f>IF(SUMIFS('TRA TECH'!M:M,'TRA TECH'!J:J,C96)&gt;0,1,0)</f>
        <v>1</v>
      </c>
      <c r="H96" s="12">
        <f t="shared" si="1"/>
        <v>0</v>
      </c>
    </row>
    <row r="97" spans="3:8" x14ac:dyDescent="0.25">
      <c r="C97" t="str">
        <f>'TRA TECH'!J95</f>
        <v>TRAPASMOT500BEV20</v>
      </c>
      <c r="G97" s="12">
        <f>IF(SUMIFS('TRA TECH'!M:M,'TRA TECH'!J:J,C97)&gt;0,1,0)</f>
        <v>1</v>
      </c>
      <c r="H97" s="12">
        <f t="shared" si="1"/>
        <v>0</v>
      </c>
    </row>
    <row r="98" spans="3:8" x14ac:dyDescent="0.25">
      <c r="C98" t="str">
        <f>'TRA TECH'!J96</f>
        <v>TRAFRECLTICEVGSL20</v>
      </c>
      <c r="G98" s="12">
        <f>IF(SUMIFS('TRA TECH'!M:M,'TRA TECH'!J:J,C98)&gt;0,1,0)</f>
        <v>1</v>
      </c>
      <c r="H98" s="12">
        <f t="shared" si="1"/>
        <v>0</v>
      </c>
    </row>
    <row r="99" spans="3:8" x14ac:dyDescent="0.25">
      <c r="C99" t="str">
        <f>'TRA TECH'!J97</f>
        <v>TRAFRECLTICEVGSL20</v>
      </c>
      <c r="G99" s="12">
        <f>IF(SUMIFS('TRA TECH'!M:M,'TRA TECH'!J:J,C99)&gt;0,1,0)</f>
        <v>1</v>
      </c>
      <c r="H99" s="12">
        <f t="shared" si="1"/>
        <v>0</v>
      </c>
    </row>
    <row r="100" spans="3:8" x14ac:dyDescent="0.25">
      <c r="C100" t="str">
        <f>'TRA TECH'!J98</f>
        <v>TRAFRECLTICEVTGSL20</v>
      </c>
      <c r="G100" s="12">
        <f>IF(SUMIFS('TRA TECH'!M:M,'TRA TECH'!J:J,C100)&gt;0,1,0)</f>
        <v>1</v>
      </c>
      <c r="H100" s="12">
        <f t="shared" si="1"/>
        <v>0</v>
      </c>
    </row>
    <row r="101" spans="3:8" x14ac:dyDescent="0.25">
      <c r="C101" t="str">
        <f>'TRA TECH'!J99</f>
        <v>TRAFRECLTICEVTGSL20</v>
      </c>
      <c r="G101" s="12">
        <f>IF(SUMIFS('TRA TECH'!M:M,'TRA TECH'!J:J,C101)&gt;0,1,0)</f>
        <v>1</v>
      </c>
      <c r="H101" s="12">
        <f t="shared" si="1"/>
        <v>0</v>
      </c>
    </row>
    <row r="102" spans="3:8" x14ac:dyDescent="0.25">
      <c r="C102" t="str">
        <f>'TRA TECH'!J100</f>
        <v>TRAFRECLTHEVGSL20</v>
      </c>
      <c r="G102" s="12">
        <f>IF(SUMIFS('TRA TECH'!M:M,'TRA TECH'!J:J,C102)&gt;0,1,0)</f>
        <v>1</v>
      </c>
      <c r="H102" s="12">
        <f t="shared" si="1"/>
        <v>0</v>
      </c>
    </row>
    <row r="103" spans="3:8" x14ac:dyDescent="0.25">
      <c r="C103" t="str">
        <f>'TRA TECH'!J101</f>
        <v>TRAFRECLTHEVGSL20</v>
      </c>
      <c r="G103" s="12">
        <f>IF(SUMIFS('TRA TECH'!M:M,'TRA TECH'!J:J,C103)&gt;0,1,0)</f>
        <v>1</v>
      </c>
      <c r="H103" s="12">
        <f t="shared" si="1"/>
        <v>0</v>
      </c>
    </row>
    <row r="104" spans="3:8" x14ac:dyDescent="0.25">
      <c r="C104" t="str">
        <f>'TRA TECH'!J102</f>
        <v>TRAFRECLTHEVTGSL20</v>
      </c>
      <c r="G104" s="12">
        <f>IF(SUMIFS('TRA TECH'!M:M,'TRA TECH'!J:J,C104)&gt;0,1,0)</f>
        <v>1</v>
      </c>
      <c r="H104" s="12">
        <f t="shared" si="1"/>
        <v>0</v>
      </c>
    </row>
    <row r="105" spans="3:8" x14ac:dyDescent="0.25">
      <c r="C105" t="str">
        <f>'TRA TECH'!J103</f>
        <v>TRAFRECLTHEVTGSL20</v>
      </c>
      <c r="G105" s="12">
        <f>IF(SUMIFS('TRA TECH'!M:M,'TRA TECH'!J:J,C105)&gt;0,1,0)</f>
        <v>1</v>
      </c>
      <c r="H105" s="12">
        <f t="shared" si="1"/>
        <v>0</v>
      </c>
    </row>
    <row r="106" spans="3:8" x14ac:dyDescent="0.25">
      <c r="C106" t="str">
        <f>'TRA TECH'!J104</f>
        <v>TRAFRECLTHEVIGSL20</v>
      </c>
      <c r="G106" s="12">
        <f>IF(SUMIFS('TRA TECH'!M:M,'TRA TECH'!J:J,C106)&gt;0,1,0)</f>
        <v>1</v>
      </c>
      <c r="H106" s="12">
        <f t="shared" si="1"/>
        <v>0</v>
      </c>
    </row>
    <row r="107" spans="3:8" x14ac:dyDescent="0.25">
      <c r="C107" t="str">
        <f>'TRA TECH'!J105</f>
        <v>TRAFRECLTHEVIGSL20</v>
      </c>
      <c r="G107" s="12">
        <f>IF(SUMIFS('TRA TECH'!M:M,'TRA TECH'!J:J,C107)&gt;0,1,0)</f>
        <v>1</v>
      </c>
      <c r="H107" s="12">
        <f t="shared" si="1"/>
        <v>0</v>
      </c>
    </row>
    <row r="108" spans="3:8" x14ac:dyDescent="0.25">
      <c r="C108" t="str">
        <f>'TRA TECH'!J106</f>
        <v>TRAFRECLTHEVIGSL20</v>
      </c>
      <c r="G108" s="12">
        <f>IF(SUMIFS('TRA TECH'!M:M,'TRA TECH'!J:J,C108)&gt;0,1,0)</f>
        <v>1</v>
      </c>
      <c r="H108" s="12">
        <f t="shared" si="1"/>
        <v>0</v>
      </c>
    </row>
    <row r="109" spans="3:8" x14ac:dyDescent="0.25">
      <c r="C109" t="str">
        <f>'TRA TECH'!J107</f>
        <v>TRAFRECLTHEVIGSL20</v>
      </c>
      <c r="G109" s="12">
        <f>IF(SUMIFS('TRA TECH'!M:M,'TRA TECH'!J:J,C109)&gt;0,1,0)</f>
        <v>1</v>
      </c>
      <c r="H109" s="12">
        <f t="shared" si="1"/>
        <v>0</v>
      </c>
    </row>
    <row r="110" spans="3:8" x14ac:dyDescent="0.25">
      <c r="C110" t="str">
        <f>'TRA TECH'!J108</f>
        <v>TRAFRECLTHEVPGSL20</v>
      </c>
      <c r="G110" s="12">
        <f>IF(SUMIFS('TRA TECH'!M:M,'TRA TECH'!J:J,C110)&gt;0,1,0)</f>
        <v>1</v>
      </c>
      <c r="H110" s="12">
        <f t="shared" si="1"/>
        <v>0</v>
      </c>
    </row>
    <row r="111" spans="3:8" x14ac:dyDescent="0.25">
      <c r="C111" t="str">
        <f>'TRA TECH'!J109</f>
        <v>TRAFRECLTHEVPGSL20</v>
      </c>
      <c r="G111" s="12">
        <f>IF(SUMIFS('TRA TECH'!M:M,'TRA TECH'!J:J,C111)&gt;0,1,0)</f>
        <v>1</v>
      </c>
      <c r="H111" s="12">
        <f t="shared" si="1"/>
        <v>0</v>
      </c>
    </row>
    <row r="112" spans="3:8" x14ac:dyDescent="0.25">
      <c r="C112" t="str">
        <f>'TRA TECH'!J110</f>
        <v>TRAFRECLTPHEVPGSL20</v>
      </c>
      <c r="G112" s="12">
        <f>IF(SUMIFS('TRA TECH'!M:M,'TRA TECH'!J:J,C112)&gt;0,1,0)</f>
        <v>1</v>
      </c>
      <c r="H112" s="12">
        <f t="shared" si="1"/>
        <v>0</v>
      </c>
    </row>
    <row r="113" spans="3:8" x14ac:dyDescent="0.25">
      <c r="C113" t="str">
        <f>'TRA TECH'!J111</f>
        <v>TRAFRECLTPHEVPGSL20</v>
      </c>
      <c r="G113" s="12">
        <f>IF(SUMIFS('TRA TECH'!M:M,'TRA TECH'!J:J,C113)&gt;0,1,0)</f>
        <v>1</v>
      </c>
      <c r="H113" s="12">
        <f t="shared" si="1"/>
        <v>0</v>
      </c>
    </row>
    <row r="114" spans="3:8" x14ac:dyDescent="0.25">
      <c r="C114" t="str">
        <f>'TRA TECH'!J112</f>
        <v>TRAFRECLTPHEVPGSL20</v>
      </c>
      <c r="G114" s="12">
        <f>IF(SUMIFS('TRA TECH'!M:M,'TRA TECH'!J:J,C114)&gt;0,1,0)</f>
        <v>1</v>
      </c>
      <c r="H114" s="12">
        <f t="shared" si="1"/>
        <v>0</v>
      </c>
    </row>
    <row r="115" spans="3:8" x14ac:dyDescent="0.25">
      <c r="C115" t="str">
        <f>'TRA TECH'!J113</f>
        <v>TRAFRECLTPHEVEGSL20</v>
      </c>
      <c r="G115" s="12">
        <f>IF(SUMIFS('TRA TECH'!M:M,'TRA TECH'!J:J,C115)&gt;0,1,0)</f>
        <v>1</v>
      </c>
      <c r="H115" s="12">
        <f t="shared" si="1"/>
        <v>0</v>
      </c>
    </row>
    <row r="116" spans="3:8" x14ac:dyDescent="0.25">
      <c r="C116" t="str">
        <f>'TRA TECH'!J114</f>
        <v>TRAFRECLTPHEVEGSL20</v>
      </c>
      <c r="G116" s="12">
        <f>IF(SUMIFS('TRA TECH'!M:M,'TRA TECH'!J:J,C116)&gt;0,1,0)</f>
        <v>1</v>
      </c>
      <c r="H116" s="12">
        <f t="shared" si="1"/>
        <v>0</v>
      </c>
    </row>
    <row r="117" spans="3:8" x14ac:dyDescent="0.25">
      <c r="C117" t="str">
        <f>'TRA TECH'!J115</f>
        <v>TRAFRECLTPHEVEGSL20</v>
      </c>
      <c r="G117" s="12">
        <f>IF(SUMIFS('TRA TECH'!M:M,'TRA TECH'!J:J,C117)&gt;0,1,0)</f>
        <v>1</v>
      </c>
      <c r="H117" s="12">
        <f t="shared" si="1"/>
        <v>0</v>
      </c>
    </row>
    <row r="118" spans="3:8" x14ac:dyDescent="0.25">
      <c r="C118" t="str">
        <f>'TRA TECH'!J116</f>
        <v>TRAFRECLTICEVDSL20</v>
      </c>
      <c r="G118" s="12">
        <f>IF(SUMIFS('TRA TECH'!M:M,'TRA TECH'!J:J,C118)&gt;0,1,0)</f>
        <v>1</v>
      </c>
      <c r="H118" s="12">
        <f t="shared" si="1"/>
        <v>0</v>
      </c>
    </row>
    <row r="119" spans="3:8" x14ac:dyDescent="0.25">
      <c r="C119" t="str">
        <f>'TRA TECH'!J117</f>
        <v>TRAFRECLTICEVDSL20</v>
      </c>
      <c r="G119" s="12">
        <f>IF(SUMIFS('TRA TECH'!M:M,'TRA TECH'!J:J,C119)&gt;0,1,0)</f>
        <v>1</v>
      </c>
      <c r="H119" s="12">
        <f t="shared" si="1"/>
        <v>0</v>
      </c>
    </row>
    <row r="120" spans="3:8" x14ac:dyDescent="0.25">
      <c r="C120" t="str">
        <f>'TRA TECH'!J118</f>
        <v>TRAFRECLTICEVDSL20</v>
      </c>
      <c r="G120" s="12">
        <f>IF(SUMIFS('TRA TECH'!M:M,'TRA TECH'!J:J,C120)&gt;0,1,0)</f>
        <v>1</v>
      </c>
      <c r="H120" s="12">
        <f t="shared" si="1"/>
        <v>0</v>
      </c>
    </row>
    <row r="121" spans="3:8" x14ac:dyDescent="0.25">
      <c r="C121" t="str">
        <f>'TRA TECH'!J119</f>
        <v>TRAFRECLTICEVCNG20</v>
      </c>
      <c r="G121" s="12">
        <f>IF(SUMIFS('TRA TECH'!M:M,'TRA TECH'!J:J,C121)&gt;0,1,0)</f>
        <v>1</v>
      </c>
      <c r="H121" s="12">
        <f t="shared" si="1"/>
        <v>0</v>
      </c>
    </row>
    <row r="122" spans="3:8" x14ac:dyDescent="0.25">
      <c r="C122" t="str">
        <f>'TRA TECH'!J120</f>
        <v>TRAFRECLTICEVCNG20</v>
      </c>
      <c r="G122" s="12">
        <f>IF(SUMIFS('TRA TECH'!M:M,'TRA TECH'!J:J,C122)&gt;0,1,0)</f>
        <v>1</v>
      </c>
      <c r="H122" s="12">
        <f t="shared" si="1"/>
        <v>0</v>
      </c>
    </row>
    <row r="123" spans="3:8" x14ac:dyDescent="0.25">
      <c r="C123" t="str">
        <f>'TRA TECH'!J121</f>
        <v>TRAFRECLT300FCEV20</v>
      </c>
      <c r="G123" s="12">
        <f>IF(SUMIFS('TRA TECH'!M:M,'TRA TECH'!J:J,C123)&gt;0,1,0)</f>
        <v>1</v>
      </c>
      <c r="H123" s="12">
        <f t="shared" si="1"/>
        <v>0</v>
      </c>
    </row>
    <row r="124" spans="3:8" x14ac:dyDescent="0.25">
      <c r="C124" t="str">
        <f>'TRA TECH'!J122</f>
        <v>TRAFRECLT400FCEV20</v>
      </c>
      <c r="G124" s="12">
        <f>IF(SUMIFS('TRA TECH'!M:M,'TRA TECH'!J:J,C124)&gt;0,1,0)</f>
        <v>1</v>
      </c>
      <c r="H124" s="12">
        <f t="shared" si="1"/>
        <v>0</v>
      </c>
    </row>
    <row r="125" spans="3:8" x14ac:dyDescent="0.25">
      <c r="C125" t="str">
        <f>'TRA TECH'!J123</f>
        <v>TRAFRECLT200BEV20</v>
      </c>
      <c r="G125" s="12">
        <f>IF(SUMIFS('TRA TECH'!M:M,'TRA TECH'!J:J,C125)&gt;0,1,0)</f>
        <v>1</v>
      </c>
      <c r="H125" s="12">
        <f t="shared" si="1"/>
        <v>0</v>
      </c>
    </row>
    <row r="126" spans="3:8" x14ac:dyDescent="0.25">
      <c r="C126" t="str">
        <f>'TRA TECH'!J124</f>
        <v>TRAFRECLT300BEV20</v>
      </c>
      <c r="G126" s="12">
        <f>IF(SUMIFS('TRA TECH'!M:M,'TRA TECH'!J:J,C126)&gt;0,1,0)</f>
        <v>1</v>
      </c>
      <c r="H126" s="12">
        <f t="shared" si="1"/>
        <v>0</v>
      </c>
    </row>
    <row r="127" spans="3:8" x14ac:dyDescent="0.25">
      <c r="C127" t="str">
        <f>'TRA TECH'!J125</f>
        <v>TRAFRECLT400BEV20</v>
      </c>
      <c r="G127" s="12">
        <f>IF(SUMIFS('TRA TECH'!M:M,'TRA TECH'!J:J,C127)&gt;0,1,0)</f>
        <v>1</v>
      </c>
      <c r="H127" s="12">
        <f t="shared" si="1"/>
        <v>0</v>
      </c>
    </row>
    <row r="128" spans="3:8" x14ac:dyDescent="0.25">
      <c r="C128" t="str">
        <f>'TRA TECH'!J126</f>
        <v>TRAFRECLT500BEV20</v>
      </c>
      <c r="G128" s="12">
        <f>IF(SUMIFS('TRA TECH'!M:M,'TRA TECH'!J:J,C128)&gt;0,1,0)</f>
        <v>1</v>
      </c>
      <c r="H128" s="12">
        <f t="shared" si="1"/>
        <v>0</v>
      </c>
    </row>
    <row r="129" spans="3:8" x14ac:dyDescent="0.25">
      <c r="C129" t="str">
        <f>'TRA TECH'!J127</f>
        <v>TRAFRERFTICEVDSL20</v>
      </c>
      <c r="G129" s="12">
        <f>IF(SUMIFS('TRA TECH'!M:M,'TRA TECH'!J:J,C129)&gt;0,1,0)</f>
        <v>1</v>
      </c>
      <c r="H129" s="12">
        <f t="shared" si="1"/>
        <v>0</v>
      </c>
    </row>
    <row r="130" spans="3:8" x14ac:dyDescent="0.25">
      <c r="C130" t="str">
        <f>'TRA TECH'!J128</f>
        <v>TRAFRERFTICEVDSL20</v>
      </c>
      <c r="G130" s="12">
        <f>IF(SUMIFS('TRA TECH'!M:M,'TRA TECH'!J:J,C130)&gt;0,1,0)</f>
        <v>1</v>
      </c>
      <c r="H130" s="12">
        <f t="shared" si="1"/>
        <v>0</v>
      </c>
    </row>
    <row r="131" spans="3:8" x14ac:dyDescent="0.25">
      <c r="C131" t="str">
        <f>'TRA TECH'!J129</f>
        <v>TRAFRERFTICEVDSL20</v>
      </c>
      <c r="G131" s="12">
        <f>IF(SUMIFS('TRA TECH'!M:M,'TRA TECH'!J:J,C131)&gt;0,1,0)</f>
        <v>1</v>
      </c>
      <c r="H131" s="12">
        <f t="shared" si="1"/>
        <v>0</v>
      </c>
    </row>
    <row r="132" spans="3:8" x14ac:dyDescent="0.25">
      <c r="C132" t="str">
        <f>'TRA TECH'!J130</f>
        <v>TRAFRERFTICEIDSL20</v>
      </c>
      <c r="G132" s="12">
        <f>IF(SUMIFS('TRA TECH'!M:M,'TRA TECH'!J:J,C132)&gt;0,1,0)</f>
        <v>1</v>
      </c>
      <c r="H132" s="12">
        <f t="shared" si="1"/>
        <v>0</v>
      </c>
    </row>
    <row r="133" spans="3:8" x14ac:dyDescent="0.25">
      <c r="C133" t="str">
        <f>'TRA TECH'!J131</f>
        <v>TRAFRERFTICEIDSL20</v>
      </c>
      <c r="G133" s="12">
        <f>IF(SUMIFS('TRA TECH'!M:M,'TRA TECH'!J:J,C133)&gt;0,1,0)</f>
        <v>1</v>
      </c>
      <c r="H133" s="12">
        <f t="shared" ref="H133:H196" si="2">IF(C133="","",IF(C133="*","*",0))</f>
        <v>0</v>
      </c>
    </row>
    <row r="134" spans="3:8" x14ac:dyDescent="0.25">
      <c r="C134" t="str">
        <f>'TRA TECH'!J132</f>
        <v>TRAFRERFTICEIDSL20</v>
      </c>
      <c r="G134" s="12">
        <f>IF(SUMIFS('TRA TECH'!M:M,'TRA TECH'!J:J,C134)&gt;0,1,0)</f>
        <v>1</v>
      </c>
      <c r="H134" s="12">
        <f t="shared" si="2"/>
        <v>0</v>
      </c>
    </row>
    <row r="135" spans="3:8" x14ac:dyDescent="0.25">
      <c r="C135" t="str">
        <f>'TRA TECH'!J133</f>
        <v>TRAFRERFTHEVPDSL20</v>
      </c>
      <c r="G135" s="12">
        <f>IF(SUMIFS('TRA TECH'!M:M,'TRA TECH'!J:J,C135)&gt;0,1,0)</f>
        <v>1</v>
      </c>
      <c r="H135" s="12">
        <f t="shared" si="2"/>
        <v>0</v>
      </c>
    </row>
    <row r="136" spans="3:8" x14ac:dyDescent="0.25">
      <c r="C136" t="str">
        <f>'TRA TECH'!J134</f>
        <v>TRAFRERFTHEVPDSL20</v>
      </c>
      <c r="G136" s="12">
        <f>IF(SUMIFS('TRA TECH'!M:M,'TRA TECH'!J:J,C136)&gt;0,1,0)</f>
        <v>1</v>
      </c>
      <c r="H136" s="12">
        <f t="shared" si="2"/>
        <v>0</v>
      </c>
    </row>
    <row r="137" spans="3:8" x14ac:dyDescent="0.25">
      <c r="C137" t="str">
        <f>'TRA TECH'!J135</f>
        <v>TRAFRERFTHEVPDSL20</v>
      </c>
      <c r="G137" s="12">
        <f>IF(SUMIFS('TRA TECH'!M:M,'TRA TECH'!J:J,C137)&gt;0,1,0)</f>
        <v>1</v>
      </c>
      <c r="H137" s="12">
        <f t="shared" si="2"/>
        <v>0</v>
      </c>
    </row>
    <row r="138" spans="3:8" x14ac:dyDescent="0.25">
      <c r="C138" t="str">
        <f>'TRA TECH'!J136</f>
        <v>TRAFRERFTPHEVDSL20</v>
      </c>
      <c r="G138" s="12">
        <f>IF(SUMIFS('TRA TECH'!M:M,'TRA TECH'!J:J,C138)&gt;0,1,0)</f>
        <v>1</v>
      </c>
      <c r="H138" s="12">
        <f t="shared" si="2"/>
        <v>0</v>
      </c>
    </row>
    <row r="139" spans="3:8" x14ac:dyDescent="0.25">
      <c r="C139" t="str">
        <f>'TRA TECH'!J137</f>
        <v>TRAFRERFTPHEVDSL20</v>
      </c>
      <c r="G139" s="12">
        <f>IF(SUMIFS('TRA TECH'!M:M,'TRA TECH'!J:J,C139)&gt;0,1,0)</f>
        <v>1</v>
      </c>
      <c r="H139" s="12">
        <f t="shared" si="2"/>
        <v>0</v>
      </c>
    </row>
    <row r="140" spans="3:8" x14ac:dyDescent="0.25">
      <c r="C140" t="str">
        <f>'TRA TECH'!J138</f>
        <v>TRAFRERFTPHEVDSL20</v>
      </c>
      <c r="G140" s="12">
        <f>IF(SUMIFS('TRA TECH'!M:M,'TRA TECH'!J:J,C140)&gt;0,1,0)</f>
        <v>1</v>
      </c>
      <c r="H140" s="12">
        <f t="shared" si="2"/>
        <v>0</v>
      </c>
    </row>
    <row r="141" spans="3:8" x14ac:dyDescent="0.25">
      <c r="C141" t="str">
        <f>'TRA TECH'!J139</f>
        <v>TRAFRERFTPHEVDSL20</v>
      </c>
      <c r="G141" s="12">
        <f>IF(SUMIFS('TRA TECH'!M:M,'TRA TECH'!J:J,C141)&gt;0,1,0)</f>
        <v>1</v>
      </c>
      <c r="H141" s="12">
        <f t="shared" si="2"/>
        <v>0</v>
      </c>
    </row>
    <row r="142" spans="3:8" x14ac:dyDescent="0.25">
      <c r="C142" t="str">
        <f>'TRA TECH'!J140</f>
        <v>TRAFRERFTFCEV20</v>
      </c>
      <c r="G142" s="12">
        <f>IF(SUMIFS('TRA TECH'!M:M,'TRA TECH'!J:J,C142)&gt;0,1,0)</f>
        <v>1</v>
      </c>
      <c r="H142" s="12">
        <f t="shared" si="2"/>
        <v>0</v>
      </c>
    </row>
    <row r="143" spans="3:8" x14ac:dyDescent="0.25">
      <c r="C143" t="str">
        <f>'TRA TECH'!J141</f>
        <v>TRAFRERFTFCHEV20</v>
      </c>
      <c r="G143" s="12">
        <f>IF(SUMIFS('TRA TECH'!M:M,'TRA TECH'!J:J,C143)&gt;0,1,0)</f>
        <v>1</v>
      </c>
      <c r="H143" s="12">
        <f t="shared" si="2"/>
        <v>0</v>
      </c>
    </row>
    <row r="144" spans="3:8" x14ac:dyDescent="0.25">
      <c r="C144" t="str">
        <f>'TRA TECH'!J142</f>
        <v>TRAFRERFTFCHEV20</v>
      </c>
      <c r="G144" s="12">
        <f>IF(SUMIFS('TRA TECH'!M:M,'TRA TECH'!J:J,C144)&gt;0,1,0)</f>
        <v>1</v>
      </c>
      <c r="H144" s="12">
        <f t="shared" si="2"/>
        <v>0</v>
      </c>
    </row>
    <row r="145" spans="3:8" x14ac:dyDescent="0.25">
      <c r="C145" t="str">
        <f>'TRA TECH'!J143</f>
        <v>TRAFRERFTBEV20</v>
      </c>
      <c r="G145" s="12">
        <f>IF(SUMIFS('TRA TECH'!M:M,'TRA TECH'!J:J,C145)&gt;0,1,0)</f>
        <v>1</v>
      </c>
      <c r="H145" s="12">
        <f t="shared" si="2"/>
        <v>0</v>
      </c>
    </row>
    <row r="146" spans="3:8" x14ac:dyDescent="0.25">
      <c r="C146" t="str">
        <f>'TRA TECH'!J144</f>
        <v>TRAFRESLHICEVDSL20</v>
      </c>
      <c r="G146" s="12">
        <f>IF(SUMIFS('TRA TECH'!M:M,'TRA TECH'!J:J,C146)&gt;0,1,0)</f>
        <v>1</v>
      </c>
      <c r="H146" s="12">
        <f t="shared" si="2"/>
        <v>0</v>
      </c>
    </row>
    <row r="147" spans="3:8" x14ac:dyDescent="0.25">
      <c r="C147" t="str">
        <f>'TRA TECH'!J145</f>
        <v>TRAFRESLHICEVDSL20</v>
      </c>
      <c r="G147" s="12">
        <f>IF(SUMIFS('TRA TECH'!M:M,'TRA TECH'!J:J,C147)&gt;0,1,0)</f>
        <v>1</v>
      </c>
      <c r="H147" s="12">
        <f t="shared" si="2"/>
        <v>0</v>
      </c>
    </row>
    <row r="148" spans="3:8" x14ac:dyDescent="0.25">
      <c r="C148" t="str">
        <f>'TRA TECH'!J146</f>
        <v>TRAFRESLHICEVDSL20</v>
      </c>
      <c r="G148" s="12">
        <f>IF(SUMIFS('TRA TECH'!M:M,'TRA TECH'!J:J,C148)&gt;0,1,0)</f>
        <v>1</v>
      </c>
      <c r="H148" s="12">
        <f t="shared" si="2"/>
        <v>0</v>
      </c>
    </row>
    <row r="149" spans="3:8" x14ac:dyDescent="0.25">
      <c r="C149" t="str">
        <f>'TRA TECH'!J147</f>
        <v>TRAFRESLHICEIDSL20</v>
      </c>
      <c r="G149" s="12">
        <f>IF(SUMIFS('TRA TECH'!M:M,'TRA TECH'!J:J,C149)&gt;0,1,0)</f>
        <v>1</v>
      </c>
      <c r="H149" s="12">
        <f t="shared" si="2"/>
        <v>0</v>
      </c>
    </row>
    <row r="150" spans="3:8" x14ac:dyDescent="0.25">
      <c r="C150" t="str">
        <f>'TRA TECH'!J148</f>
        <v>TRAFRESLHICEIDSL20</v>
      </c>
      <c r="G150" s="12">
        <f>IF(SUMIFS('TRA TECH'!M:M,'TRA TECH'!J:J,C150)&gt;0,1,0)</f>
        <v>1</v>
      </c>
      <c r="H150" s="12">
        <f t="shared" si="2"/>
        <v>0</v>
      </c>
    </row>
    <row r="151" spans="3:8" x14ac:dyDescent="0.25">
      <c r="C151" t="str">
        <f>'TRA TECH'!J149</f>
        <v>TRAFRESLHICEIDSL20</v>
      </c>
      <c r="G151" s="12">
        <f>IF(SUMIFS('TRA TECH'!M:M,'TRA TECH'!J:J,C151)&gt;0,1,0)</f>
        <v>1</v>
      </c>
      <c r="H151" s="12">
        <f t="shared" si="2"/>
        <v>0</v>
      </c>
    </row>
    <row r="152" spans="3:8" x14ac:dyDescent="0.25">
      <c r="C152" t="str">
        <f>'TRA TECH'!J150</f>
        <v>TRAFRESLHHEVPDSL20</v>
      </c>
      <c r="G152" s="12">
        <f>IF(SUMIFS('TRA TECH'!M:M,'TRA TECH'!J:J,C152)&gt;0,1,0)</f>
        <v>1</v>
      </c>
      <c r="H152" s="12">
        <f t="shared" si="2"/>
        <v>0</v>
      </c>
    </row>
    <row r="153" spans="3:8" x14ac:dyDescent="0.25">
      <c r="C153" t="str">
        <f>'TRA TECH'!J151</f>
        <v>TRAFRESLHHEVPDSL20</v>
      </c>
      <c r="G153" s="12">
        <f>IF(SUMIFS('TRA TECH'!M:M,'TRA TECH'!J:J,C153)&gt;0,1,0)</f>
        <v>1</v>
      </c>
      <c r="H153" s="12">
        <f t="shared" si="2"/>
        <v>0</v>
      </c>
    </row>
    <row r="154" spans="3:8" x14ac:dyDescent="0.25">
      <c r="C154" t="str">
        <f>'TRA TECH'!J152</f>
        <v>TRAFRESLHHEVPDSL20</v>
      </c>
      <c r="G154" s="12">
        <f>IF(SUMIFS('TRA TECH'!M:M,'TRA TECH'!J:J,C154)&gt;0,1,0)</f>
        <v>1</v>
      </c>
      <c r="H154" s="12">
        <f t="shared" si="2"/>
        <v>0</v>
      </c>
    </row>
    <row r="155" spans="3:8" x14ac:dyDescent="0.25">
      <c r="C155" t="str">
        <f>'TRA TECH'!J153</f>
        <v>TRAFRESLHPHEVDSL20</v>
      </c>
      <c r="G155" s="12">
        <f>IF(SUMIFS('TRA TECH'!M:M,'TRA TECH'!J:J,C155)&gt;0,1,0)</f>
        <v>1</v>
      </c>
      <c r="H155" s="12">
        <f t="shared" si="2"/>
        <v>0</v>
      </c>
    </row>
    <row r="156" spans="3:8" x14ac:dyDescent="0.25">
      <c r="C156" t="str">
        <f>'TRA TECH'!J154</f>
        <v>TRAFRESLHPHEVDSL20</v>
      </c>
      <c r="G156" s="12">
        <f>IF(SUMIFS('TRA TECH'!M:M,'TRA TECH'!J:J,C156)&gt;0,1,0)</f>
        <v>1</v>
      </c>
      <c r="H156" s="12">
        <f t="shared" si="2"/>
        <v>0</v>
      </c>
    </row>
    <row r="157" spans="3:8" x14ac:dyDescent="0.25">
      <c r="C157" t="str">
        <f>'TRA TECH'!J155</f>
        <v>TRAFRESLHPHEVDSL20</v>
      </c>
      <c r="G157" s="12">
        <f>IF(SUMIFS('TRA TECH'!M:M,'TRA TECH'!J:J,C157)&gt;0,1,0)</f>
        <v>1</v>
      </c>
      <c r="H157" s="12">
        <f t="shared" si="2"/>
        <v>0</v>
      </c>
    </row>
    <row r="158" spans="3:8" x14ac:dyDescent="0.25">
      <c r="C158" t="str">
        <f>'TRA TECH'!J156</f>
        <v>TRAFRESLHPHEVDSL20</v>
      </c>
      <c r="G158" s="12">
        <f>IF(SUMIFS('TRA TECH'!M:M,'TRA TECH'!J:J,C158)&gt;0,1,0)</f>
        <v>1</v>
      </c>
      <c r="H158" s="12">
        <f t="shared" si="2"/>
        <v>0</v>
      </c>
    </row>
    <row r="159" spans="3:8" x14ac:dyDescent="0.25">
      <c r="C159" t="str">
        <f>'TRA TECH'!J157</f>
        <v>TRAFRESLHFCEV20</v>
      </c>
      <c r="G159" s="12">
        <f>IF(SUMIFS('TRA TECH'!M:M,'TRA TECH'!J:J,C159)&gt;0,1,0)</f>
        <v>1</v>
      </c>
      <c r="H159" s="12">
        <f t="shared" si="2"/>
        <v>0</v>
      </c>
    </row>
    <row r="160" spans="3:8" x14ac:dyDescent="0.25">
      <c r="C160" t="str">
        <f>'TRA TECH'!J158</f>
        <v>TRAFRESLHFCHEV20</v>
      </c>
      <c r="G160" s="12">
        <f>IF(SUMIFS('TRA TECH'!M:M,'TRA TECH'!J:J,C160)&gt;0,1,0)</f>
        <v>1</v>
      </c>
      <c r="H160" s="12">
        <f t="shared" si="2"/>
        <v>0</v>
      </c>
    </row>
    <row r="161" spans="3:8" x14ac:dyDescent="0.25">
      <c r="C161" t="str">
        <f>'TRA TECH'!J159</f>
        <v>TRAFRESLHFCHEV20</v>
      </c>
      <c r="G161" s="12">
        <f>IF(SUMIFS('TRA TECH'!M:M,'TRA TECH'!J:J,C161)&gt;0,1,0)</f>
        <v>1</v>
      </c>
      <c r="H161" s="12">
        <f t="shared" si="2"/>
        <v>0</v>
      </c>
    </row>
    <row r="162" spans="3:8" x14ac:dyDescent="0.25">
      <c r="C162" t="str">
        <f>'TRA TECH'!J160</f>
        <v>TRAFRESLHBEV20</v>
      </c>
      <c r="G162" s="12">
        <f>IF(SUMIFS('TRA TECH'!M:M,'TRA TECH'!J:J,C162)&gt;0,1,0)</f>
        <v>1</v>
      </c>
      <c r="H162" s="12">
        <f t="shared" si="2"/>
        <v>0</v>
      </c>
    </row>
    <row r="163" spans="3:8" x14ac:dyDescent="0.25">
      <c r="C163" t="str">
        <f>'TRA TECH'!J161</f>
        <v>TRAFRESSHICEVDSL20</v>
      </c>
      <c r="G163" s="12">
        <f>IF(SUMIFS('TRA TECH'!M:M,'TRA TECH'!J:J,C163)&gt;0,1,0)</f>
        <v>1</v>
      </c>
      <c r="H163" s="12">
        <f t="shared" si="2"/>
        <v>0</v>
      </c>
    </row>
    <row r="164" spans="3:8" x14ac:dyDescent="0.25">
      <c r="C164" t="str">
        <f>'TRA TECH'!J162</f>
        <v>TRAFRESSHICEVDSL20</v>
      </c>
      <c r="G164" s="12">
        <f>IF(SUMIFS('TRA TECH'!M:M,'TRA TECH'!J:J,C164)&gt;0,1,0)</f>
        <v>1</v>
      </c>
      <c r="H164" s="12">
        <f t="shared" si="2"/>
        <v>0</v>
      </c>
    </row>
    <row r="165" spans="3:8" x14ac:dyDescent="0.25">
      <c r="C165" t="str">
        <f>'TRA TECH'!J163</f>
        <v>TRAFRESSHICEVDSL20</v>
      </c>
      <c r="G165" s="12">
        <f>IF(SUMIFS('TRA TECH'!M:M,'TRA TECH'!J:J,C165)&gt;0,1,0)</f>
        <v>1</v>
      </c>
      <c r="H165" s="12">
        <f t="shared" si="2"/>
        <v>0</v>
      </c>
    </row>
    <row r="166" spans="3:8" x14ac:dyDescent="0.25">
      <c r="C166" t="str">
        <f>'TRA TECH'!J164</f>
        <v>TRAFRESSHICEIDSL20</v>
      </c>
      <c r="G166" s="12">
        <f>IF(SUMIFS('TRA TECH'!M:M,'TRA TECH'!J:J,C166)&gt;0,1,0)</f>
        <v>1</v>
      </c>
      <c r="H166" s="12">
        <f t="shared" si="2"/>
        <v>0</v>
      </c>
    </row>
    <row r="167" spans="3:8" x14ac:dyDescent="0.25">
      <c r="C167" t="str">
        <f>'TRA TECH'!J165</f>
        <v>TRAFRESSHICEIDSL20</v>
      </c>
      <c r="G167" s="12">
        <f>IF(SUMIFS('TRA TECH'!M:M,'TRA TECH'!J:J,C167)&gt;0,1,0)</f>
        <v>1</v>
      </c>
      <c r="H167" s="12">
        <f t="shared" si="2"/>
        <v>0</v>
      </c>
    </row>
    <row r="168" spans="3:8" x14ac:dyDescent="0.25">
      <c r="C168" t="str">
        <f>'TRA TECH'!J166</f>
        <v>TRAFRESSHICEIDSL20</v>
      </c>
      <c r="G168" s="12">
        <f>IF(SUMIFS('TRA TECH'!M:M,'TRA TECH'!J:J,C168)&gt;0,1,0)</f>
        <v>1</v>
      </c>
      <c r="H168" s="12">
        <f t="shared" si="2"/>
        <v>0</v>
      </c>
    </row>
    <row r="169" spans="3:8" x14ac:dyDescent="0.25">
      <c r="C169" t="str">
        <f>'TRA TECH'!J167</f>
        <v>TRAFRESSHHEVPDSL20</v>
      </c>
      <c r="G169" s="12">
        <f>IF(SUMIFS('TRA TECH'!M:M,'TRA TECH'!J:J,C169)&gt;0,1,0)</f>
        <v>1</v>
      </c>
      <c r="H169" s="12">
        <f t="shared" si="2"/>
        <v>0</v>
      </c>
    </row>
    <row r="170" spans="3:8" x14ac:dyDescent="0.25">
      <c r="C170" t="str">
        <f>'TRA TECH'!J168</f>
        <v>TRAFRESSHHEVPDSL20</v>
      </c>
      <c r="G170" s="12">
        <f>IF(SUMIFS('TRA TECH'!M:M,'TRA TECH'!J:J,C170)&gt;0,1,0)</f>
        <v>1</v>
      </c>
      <c r="H170" s="12">
        <f t="shared" si="2"/>
        <v>0</v>
      </c>
    </row>
    <row r="171" spans="3:8" x14ac:dyDescent="0.25">
      <c r="C171" t="str">
        <f>'TRA TECH'!J169</f>
        <v>TRAFRESSHHEVPDSL20</v>
      </c>
      <c r="G171" s="12">
        <f>IF(SUMIFS('TRA TECH'!M:M,'TRA TECH'!J:J,C171)&gt;0,1,0)</f>
        <v>1</v>
      </c>
      <c r="H171" s="12">
        <f t="shared" si="2"/>
        <v>0</v>
      </c>
    </row>
    <row r="172" spans="3:8" x14ac:dyDescent="0.25">
      <c r="C172" t="str">
        <f>'TRA TECH'!J170</f>
        <v>TRAFRESSHPHEVDSL20</v>
      </c>
      <c r="G172" s="12">
        <f>IF(SUMIFS('TRA TECH'!M:M,'TRA TECH'!J:J,C172)&gt;0,1,0)</f>
        <v>1</v>
      </c>
      <c r="H172" s="12">
        <f t="shared" si="2"/>
        <v>0</v>
      </c>
    </row>
    <row r="173" spans="3:8" x14ac:dyDescent="0.25">
      <c r="C173" t="str">
        <f>'TRA TECH'!J171</f>
        <v>TRAFRESSHPHEVDSL20</v>
      </c>
      <c r="G173" s="12">
        <f>IF(SUMIFS('TRA TECH'!M:M,'TRA TECH'!J:J,C173)&gt;0,1,0)</f>
        <v>1</v>
      </c>
      <c r="H173" s="12">
        <f t="shared" si="2"/>
        <v>0</v>
      </c>
    </row>
    <row r="174" spans="3:8" x14ac:dyDescent="0.25">
      <c r="C174" t="str">
        <f>'TRA TECH'!J172</f>
        <v>TRAFRESSHPHEVDSL20</v>
      </c>
      <c r="G174" s="12">
        <f>IF(SUMIFS('TRA TECH'!M:M,'TRA TECH'!J:J,C174)&gt;0,1,0)</f>
        <v>1</v>
      </c>
      <c r="H174" s="12">
        <f t="shared" si="2"/>
        <v>0</v>
      </c>
    </row>
    <row r="175" spans="3:8" x14ac:dyDescent="0.25">
      <c r="C175" t="str">
        <f>'TRA TECH'!J173</f>
        <v>TRAFRESSHPHEVDSL20</v>
      </c>
      <c r="G175" s="12">
        <f>IF(SUMIFS('TRA TECH'!M:M,'TRA TECH'!J:J,C175)&gt;0,1,0)</f>
        <v>1</v>
      </c>
      <c r="H175" s="12">
        <f t="shared" si="2"/>
        <v>0</v>
      </c>
    </row>
    <row r="176" spans="3:8" x14ac:dyDescent="0.25">
      <c r="C176" t="str">
        <f>'TRA TECH'!J174</f>
        <v>TRAFRESSHFCEV20</v>
      </c>
      <c r="G176" s="12">
        <f>IF(SUMIFS('TRA TECH'!M:M,'TRA TECH'!J:J,C176)&gt;0,1,0)</f>
        <v>1</v>
      </c>
      <c r="H176" s="12">
        <f t="shared" si="2"/>
        <v>0</v>
      </c>
    </row>
    <row r="177" spans="3:8" x14ac:dyDescent="0.25">
      <c r="C177" t="str">
        <f>'TRA TECH'!J175</f>
        <v>TRAFRESSHFCHEV20</v>
      </c>
      <c r="G177" s="12">
        <f>IF(SUMIFS('TRA TECH'!M:M,'TRA TECH'!J:J,C177)&gt;0,1,0)</f>
        <v>1</v>
      </c>
      <c r="H177" s="12">
        <f t="shared" si="2"/>
        <v>0</v>
      </c>
    </row>
    <row r="178" spans="3:8" x14ac:dyDescent="0.25">
      <c r="C178" t="str">
        <f>'TRA TECH'!J176</f>
        <v>TRAFRESSHFCHEV20</v>
      </c>
      <c r="G178" s="12">
        <f>IF(SUMIFS('TRA TECH'!M:M,'TRA TECH'!J:J,C178)&gt;0,1,0)</f>
        <v>1</v>
      </c>
      <c r="H178" s="12">
        <f t="shared" si="2"/>
        <v>0</v>
      </c>
    </row>
    <row r="179" spans="3:8" x14ac:dyDescent="0.25">
      <c r="C179" t="str">
        <f>'TRA TECH'!J177</f>
        <v>TRAFRESSHBEV20</v>
      </c>
      <c r="G179" s="12">
        <f>IF(SUMIFS('TRA TECH'!M:M,'TRA TECH'!J:J,C179)&gt;0,1,0)</f>
        <v>1</v>
      </c>
      <c r="H179" s="12">
        <f t="shared" si="2"/>
        <v>0</v>
      </c>
    </row>
    <row r="180" spans="3:8" x14ac:dyDescent="0.25">
      <c r="C180" t="str">
        <f>'TRA TECH'!J178</f>
        <v>TRAFRECLHICEVDSL20</v>
      </c>
      <c r="G180" s="12">
        <f>IF(SUMIFS('TRA TECH'!M:M,'TRA TECH'!J:J,C180)&gt;0,1,0)</f>
        <v>1</v>
      </c>
      <c r="H180" s="12">
        <f t="shared" si="2"/>
        <v>0</v>
      </c>
    </row>
    <row r="181" spans="3:8" x14ac:dyDescent="0.25">
      <c r="C181" t="str">
        <f>'TRA TECH'!J179</f>
        <v>TRAFRECLHICEVDSL20</v>
      </c>
      <c r="G181" s="12">
        <f>IF(SUMIFS('TRA TECH'!M:M,'TRA TECH'!J:J,C181)&gt;0,1,0)</f>
        <v>1</v>
      </c>
      <c r="H181" s="12">
        <f t="shared" si="2"/>
        <v>0</v>
      </c>
    </row>
    <row r="182" spans="3:8" x14ac:dyDescent="0.25">
      <c r="C182" t="str">
        <f>'TRA TECH'!J180</f>
        <v>TRAFRECLHICEVDSL20</v>
      </c>
      <c r="G182" s="12">
        <f>IF(SUMIFS('TRA TECH'!M:M,'TRA TECH'!J:J,C182)&gt;0,1,0)</f>
        <v>1</v>
      </c>
      <c r="H182" s="12">
        <f t="shared" si="2"/>
        <v>0</v>
      </c>
    </row>
    <row r="183" spans="3:8" x14ac:dyDescent="0.25">
      <c r="C183" t="str">
        <f>'TRA TECH'!J181</f>
        <v>TRAFRECLHICEIDSL20</v>
      </c>
      <c r="G183" s="12">
        <f>IF(SUMIFS('TRA TECH'!M:M,'TRA TECH'!J:J,C183)&gt;0,1,0)</f>
        <v>1</v>
      </c>
      <c r="H183" s="12">
        <f t="shared" si="2"/>
        <v>0</v>
      </c>
    </row>
    <row r="184" spans="3:8" x14ac:dyDescent="0.25">
      <c r="C184" t="str">
        <f>'TRA TECH'!J182</f>
        <v>TRAFRECLHICEIDSL20</v>
      </c>
      <c r="G184" s="12">
        <f>IF(SUMIFS('TRA TECH'!M:M,'TRA TECH'!J:J,C184)&gt;0,1,0)</f>
        <v>1</v>
      </c>
      <c r="H184" s="12">
        <f t="shared" si="2"/>
        <v>0</v>
      </c>
    </row>
    <row r="185" spans="3:8" x14ac:dyDescent="0.25">
      <c r="C185" t="str">
        <f>'TRA TECH'!J183</f>
        <v>TRAFRECLHICEIDSL20</v>
      </c>
      <c r="G185" s="12">
        <f>IF(SUMIFS('TRA TECH'!M:M,'TRA TECH'!J:J,C185)&gt;0,1,0)</f>
        <v>1</v>
      </c>
      <c r="H185" s="12">
        <f t="shared" si="2"/>
        <v>0</v>
      </c>
    </row>
    <row r="186" spans="3:8" x14ac:dyDescent="0.25">
      <c r="C186" t="str">
        <f>'TRA TECH'!J184</f>
        <v>TRAFRECLHHEVPDSL20</v>
      </c>
      <c r="G186" s="12">
        <f>IF(SUMIFS('TRA TECH'!M:M,'TRA TECH'!J:J,C186)&gt;0,1,0)</f>
        <v>1</v>
      </c>
      <c r="H186" s="12">
        <f t="shared" si="2"/>
        <v>0</v>
      </c>
    </row>
    <row r="187" spans="3:8" x14ac:dyDescent="0.25">
      <c r="C187" t="str">
        <f>'TRA TECH'!J185</f>
        <v>TRAFRECLHHEVPDSL20</v>
      </c>
      <c r="G187" s="12">
        <f>IF(SUMIFS('TRA TECH'!M:M,'TRA TECH'!J:J,C187)&gt;0,1,0)</f>
        <v>1</v>
      </c>
      <c r="H187" s="12">
        <f t="shared" si="2"/>
        <v>0</v>
      </c>
    </row>
    <row r="188" spans="3:8" x14ac:dyDescent="0.25">
      <c r="C188" t="str">
        <f>'TRA TECH'!J186</f>
        <v>TRAFRECLHHEVPDSL20</v>
      </c>
      <c r="G188" s="12">
        <f>IF(SUMIFS('TRA TECH'!M:M,'TRA TECH'!J:J,C188)&gt;0,1,0)</f>
        <v>1</v>
      </c>
      <c r="H188" s="12">
        <f t="shared" si="2"/>
        <v>0</v>
      </c>
    </row>
    <row r="189" spans="3:8" x14ac:dyDescent="0.25">
      <c r="C189" t="str">
        <f>'TRA TECH'!J187</f>
        <v>TRAFRECLHPHEVDSL20</v>
      </c>
      <c r="G189" s="12">
        <f>IF(SUMIFS('TRA TECH'!M:M,'TRA TECH'!J:J,C189)&gt;0,1,0)</f>
        <v>1</v>
      </c>
      <c r="H189" s="12">
        <f t="shared" si="2"/>
        <v>0</v>
      </c>
    </row>
    <row r="190" spans="3:8" x14ac:dyDescent="0.25">
      <c r="C190" t="str">
        <f>'TRA TECH'!J188</f>
        <v>TRAFRECLHPHEVDSL20</v>
      </c>
      <c r="G190" s="12">
        <f>IF(SUMIFS('TRA TECH'!M:M,'TRA TECH'!J:J,C190)&gt;0,1,0)</f>
        <v>1</v>
      </c>
      <c r="H190" s="12">
        <f t="shared" si="2"/>
        <v>0</v>
      </c>
    </row>
    <row r="191" spans="3:8" x14ac:dyDescent="0.25">
      <c r="C191" t="str">
        <f>'TRA TECH'!J189</f>
        <v>TRAFRECLHPHEVDSL20</v>
      </c>
      <c r="G191" s="12">
        <f>IF(SUMIFS('TRA TECH'!M:M,'TRA TECH'!J:J,C191)&gt;0,1,0)</f>
        <v>1</v>
      </c>
      <c r="H191" s="12">
        <f t="shared" si="2"/>
        <v>0</v>
      </c>
    </row>
    <row r="192" spans="3:8" x14ac:dyDescent="0.25">
      <c r="C192" t="str">
        <f>'TRA TECH'!J190</f>
        <v>TRAFRECLHPHEVDSL20</v>
      </c>
      <c r="G192" s="12">
        <f>IF(SUMIFS('TRA TECH'!M:M,'TRA TECH'!J:J,C192)&gt;0,1,0)</f>
        <v>1</v>
      </c>
      <c r="H192" s="12">
        <f t="shared" si="2"/>
        <v>0</v>
      </c>
    </row>
    <row r="193" spans="3:8" x14ac:dyDescent="0.25">
      <c r="C193" t="str">
        <f>'TRA TECH'!J191</f>
        <v>TRAFRECLHFCEV20</v>
      </c>
      <c r="G193" s="12">
        <f>IF(SUMIFS('TRA TECH'!M:M,'TRA TECH'!J:J,C193)&gt;0,1,0)</f>
        <v>1</v>
      </c>
      <c r="H193" s="12">
        <f t="shared" si="2"/>
        <v>0</v>
      </c>
    </row>
    <row r="194" spans="3:8" x14ac:dyDescent="0.25">
      <c r="C194" t="str">
        <f>'TRA TECH'!J192</f>
        <v>TRAFRECLHFCHEV20</v>
      </c>
      <c r="G194" s="12">
        <f>IF(SUMIFS('TRA TECH'!M:M,'TRA TECH'!J:J,C194)&gt;0,1,0)</f>
        <v>1</v>
      </c>
      <c r="H194" s="12">
        <f t="shared" si="2"/>
        <v>0</v>
      </c>
    </row>
    <row r="195" spans="3:8" x14ac:dyDescent="0.25">
      <c r="C195" t="str">
        <f>'TRA TECH'!J193</f>
        <v>TRAFRECLHFCHEV20</v>
      </c>
      <c r="G195" s="12">
        <f>IF(SUMIFS('TRA TECH'!M:M,'TRA TECH'!J:J,C195)&gt;0,1,0)</f>
        <v>1</v>
      </c>
      <c r="H195" s="12">
        <f t="shared" si="2"/>
        <v>0</v>
      </c>
    </row>
    <row r="196" spans="3:8" x14ac:dyDescent="0.25">
      <c r="C196" t="str">
        <f>'TRA TECH'!J194</f>
        <v>TRAFRECLHBEV20</v>
      </c>
      <c r="G196" s="12">
        <f>IF(SUMIFS('TRA TECH'!M:M,'TRA TECH'!J:J,C196)&gt;0,1,0)</f>
        <v>1</v>
      </c>
      <c r="H196" s="12">
        <f t="shared" si="2"/>
        <v>0</v>
      </c>
    </row>
    <row r="197" spans="3:8" x14ac:dyDescent="0.25">
      <c r="C197" t="str">
        <f>'TRA TECH'!J195</f>
        <v>TRAFRECSHICEVDSL20</v>
      </c>
      <c r="G197" s="12">
        <f>IF(SUMIFS('TRA TECH'!M:M,'TRA TECH'!J:J,C197)&gt;0,1,0)</f>
        <v>1</v>
      </c>
      <c r="H197" s="12">
        <f t="shared" ref="H197:H260" si="3">IF(C197="","",IF(C197="*","*",0))</f>
        <v>0</v>
      </c>
    </row>
    <row r="198" spans="3:8" x14ac:dyDescent="0.25">
      <c r="C198" t="str">
        <f>'TRA TECH'!J196</f>
        <v>TRAFRECSHICEVDSL20</v>
      </c>
      <c r="G198" s="12">
        <f>IF(SUMIFS('TRA TECH'!M:M,'TRA TECH'!J:J,C198)&gt;0,1,0)</f>
        <v>1</v>
      </c>
      <c r="H198" s="12">
        <f t="shared" si="3"/>
        <v>0</v>
      </c>
    </row>
    <row r="199" spans="3:8" x14ac:dyDescent="0.25">
      <c r="C199" t="str">
        <f>'TRA TECH'!J197</f>
        <v>TRAFRECSHICEVDSL20</v>
      </c>
      <c r="G199" s="12">
        <f>IF(SUMIFS('TRA TECH'!M:M,'TRA TECH'!J:J,C199)&gt;0,1,0)</f>
        <v>1</v>
      </c>
      <c r="H199" s="12">
        <f t="shared" si="3"/>
        <v>0</v>
      </c>
    </row>
    <row r="200" spans="3:8" x14ac:dyDescent="0.25">
      <c r="C200" t="str">
        <f>'TRA TECH'!J198</f>
        <v>TRAFRECSHICEIDSL20</v>
      </c>
      <c r="G200" s="12">
        <f>IF(SUMIFS('TRA TECH'!M:M,'TRA TECH'!J:J,C200)&gt;0,1,0)</f>
        <v>1</v>
      </c>
      <c r="H200" s="12">
        <f t="shared" si="3"/>
        <v>0</v>
      </c>
    </row>
    <row r="201" spans="3:8" x14ac:dyDescent="0.25">
      <c r="C201" t="str">
        <f>'TRA TECH'!J199</f>
        <v>TRAFRECSHICEIDSL20</v>
      </c>
      <c r="G201" s="12">
        <f>IF(SUMIFS('TRA TECH'!M:M,'TRA TECH'!J:J,C201)&gt;0,1,0)</f>
        <v>1</v>
      </c>
      <c r="H201" s="12">
        <f t="shared" si="3"/>
        <v>0</v>
      </c>
    </row>
    <row r="202" spans="3:8" x14ac:dyDescent="0.25">
      <c r="C202" t="str">
        <f>'TRA TECH'!J200</f>
        <v>TRAFRECSHICEIDSL20</v>
      </c>
      <c r="G202" s="12">
        <f>IF(SUMIFS('TRA TECH'!M:M,'TRA TECH'!J:J,C202)&gt;0,1,0)</f>
        <v>1</v>
      </c>
      <c r="H202" s="12">
        <f t="shared" si="3"/>
        <v>0</v>
      </c>
    </row>
    <row r="203" spans="3:8" x14ac:dyDescent="0.25">
      <c r="C203" t="str">
        <f>'TRA TECH'!J201</f>
        <v>TRAFRECSHHEVPDSL20</v>
      </c>
      <c r="G203" s="12">
        <f>IF(SUMIFS('TRA TECH'!M:M,'TRA TECH'!J:J,C203)&gt;0,1,0)</f>
        <v>1</v>
      </c>
      <c r="H203" s="12">
        <f t="shared" si="3"/>
        <v>0</v>
      </c>
    </row>
    <row r="204" spans="3:8" x14ac:dyDescent="0.25">
      <c r="C204" t="str">
        <f>'TRA TECH'!J202</f>
        <v>TRAFRECSHHEVPDSL20</v>
      </c>
      <c r="G204" s="12">
        <f>IF(SUMIFS('TRA TECH'!M:M,'TRA TECH'!J:J,C204)&gt;0,1,0)</f>
        <v>1</v>
      </c>
      <c r="H204" s="12">
        <f t="shared" si="3"/>
        <v>0</v>
      </c>
    </row>
    <row r="205" spans="3:8" x14ac:dyDescent="0.25">
      <c r="C205" t="str">
        <f>'TRA TECH'!J203</f>
        <v>TRAFRECSHHEVPDSL20</v>
      </c>
      <c r="G205" s="12">
        <f>IF(SUMIFS('TRA TECH'!M:M,'TRA TECH'!J:J,C205)&gt;0,1,0)</f>
        <v>1</v>
      </c>
      <c r="H205" s="12">
        <f t="shared" si="3"/>
        <v>0</v>
      </c>
    </row>
    <row r="206" spans="3:8" x14ac:dyDescent="0.25">
      <c r="C206" t="str">
        <f>'TRA TECH'!J204</f>
        <v>TRAFRECSHPHEVDSL20</v>
      </c>
      <c r="G206" s="12">
        <f>IF(SUMIFS('TRA TECH'!M:M,'TRA TECH'!J:J,C206)&gt;0,1,0)</f>
        <v>1</v>
      </c>
      <c r="H206" s="12">
        <f t="shared" si="3"/>
        <v>0</v>
      </c>
    </row>
    <row r="207" spans="3:8" x14ac:dyDescent="0.25">
      <c r="C207" t="str">
        <f>'TRA TECH'!J205</f>
        <v>TRAFRECSHPHEVDSL20</v>
      </c>
      <c r="G207" s="12">
        <f>IF(SUMIFS('TRA TECH'!M:M,'TRA TECH'!J:J,C207)&gt;0,1,0)</f>
        <v>1</v>
      </c>
      <c r="H207" s="12">
        <f t="shared" si="3"/>
        <v>0</v>
      </c>
    </row>
    <row r="208" spans="3:8" x14ac:dyDescent="0.25">
      <c r="C208" t="str">
        <f>'TRA TECH'!J206</f>
        <v>TRAFRECSHPHEVDSL20</v>
      </c>
      <c r="G208" s="12">
        <f>IF(SUMIFS('TRA TECH'!M:M,'TRA TECH'!J:J,C208)&gt;0,1,0)</f>
        <v>1</v>
      </c>
      <c r="H208" s="12">
        <f t="shared" si="3"/>
        <v>0</v>
      </c>
    </row>
    <row r="209" spans="3:8" x14ac:dyDescent="0.25">
      <c r="C209" t="str">
        <f>'TRA TECH'!J207</f>
        <v>TRAFRECSHPHEVDSL20</v>
      </c>
      <c r="G209" s="12">
        <f>IF(SUMIFS('TRA TECH'!M:M,'TRA TECH'!J:J,C209)&gt;0,1,0)</f>
        <v>1</v>
      </c>
      <c r="H209" s="12">
        <f t="shared" si="3"/>
        <v>0</v>
      </c>
    </row>
    <row r="210" spans="3:8" x14ac:dyDescent="0.25">
      <c r="C210" t="str">
        <f>'TRA TECH'!J208</f>
        <v>TRAFRECSHFCEV20</v>
      </c>
      <c r="G210" s="12">
        <f>IF(SUMIFS('TRA TECH'!M:M,'TRA TECH'!J:J,C210)&gt;0,1,0)</f>
        <v>1</v>
      </c>
      <c r="H210" s="12">
        <f t="shared" si="3"/>
        <v>0</v>
      </c>
    </row>
    <row r="211" spans="3:8" x14ac:dyDescent="0.25">
      <c r="C211" t="str">
        <f>'TRA TECH'!J209</f>
        <v>TRAFRECSHFCHEV20</v>
      </c>
      <c r="G211" s="12">
        <f>IF(SUMIFS('TRA TECH'!M:M,'TRA TECH'!J:J,C211)&gt;0,1,0)</f>
        <v>1</v>
      </c>
      <c r="H211" s="12">
        <f t="shared" si="3"/>
        <v>0</v>
      </c>
    </row>
    <row r="212" spans="3:8" x14ac:dyDescent="0.25">
      <c r="C212" t="str">
        <f>'TRA TECH'!J210</f>
        <v>TRAFRECSHFCHEV20</v>
      </c>
      <c r="G212" s="12">
        <f>IF(SUMIFS('TRA TECH'!M:M,'TRA TECH'!J:J,C212)&gt;0,1,0)</f>
        <v>1</v>
      </c>
      <c r="H212" s="12">
        <f t="shared" si="3"/>
        <v>0</v>
      </c>
    </row>
    <row r="213" spans="3:8" x14ac:dyDescent="0.25">
      <c r="C213" t="str">
        <f>'TRA TECH'!J211</f>
        <v>TRAFRECSHBEV20</v>
      </c>
      <c r="G213" s="12">
        <f>IF(SUMIFS('TRA TECH'!M:M,'TRA TECH'!J:J,C213)&gt;0,1,0)</f>
        <v>1</v>
      </c>
      <c r="H213" s="12">
        <f t="shared" si="3"/>
        <v>0</v>
      </c>
    </row>
    <row r="214" spans="3:8" x14ac:dyDescent="0.25">
      <c r="C214" t="str">
        <f>'TRA TECH'!J212</f>
        <v>TRAPASTBUICEVDSL20</v>
      </c>
      <c r="G214" s="12">
        <f>IF(SUMIFS('TRA TECH'!M:M,'TRA TECH'!J:J,C214)&gt;0,1,0)</f>
        <v>1</v>
      </c>
      <c r="H214" s="12">
        <f t="shared" si="3"/>
        <v>0</v>
      </c>
    </row>
    <row r="215" spans="3:8" x14ac:dyDescent="0.25">
      <c r="C215" t="str">
        <f>'TRA TECH'!J213</f>
        <v>TRAPASTBUICEVDSL20</v>
      </c>
      <c r="G215" s="12">
        <f>IF(SUMIFS('TRA TECH'!M:M,'TRA TECH'!J:J,C215)&gt;0,1,0)</f>
        <v>1</v>
      </c>
      <c r="H215" s="12">
        <f t="shared" si="3"/>
        <v>0</v>
      </c>
    </row>
    <row r="216" spans="3:8" x14ac:dyDescent="0.25">
      <c r="C216" t="str">
        <f>'TRA TECH'!J214</f>
        <v>TRAPASTBUICEVDSL20</v>
      </c>
      <c r="G216" s="12">
        <f>IF(SUMIFS('TRA TECH'!M:M,'TRA TECH'!J:J,C216)&gt;0,1,0)</f>
        <v>1</v>
      </c>
      <c r="H216" s="12">
        <f t="shared" si="3"/>
        <v>0</v>
      </c>
    </row>
    <row r="217" spans="3:8" x14ac:dyDescent="0.25">
      <c r="C217" t="str">
        <f>'TRA TECH'!J215</f>
        <v>TRAPASTBUICEIDSL20</v>
      </c>
      <c r="G217" s="12">
        <f>IF(SUMIFS('TRA TECH'!M:M,'TRA TECH'!J:J,C217)&gt;0,1,0)</f>
        <v>1</v>
      </c>
      <c r="H217" s="12">
        <f t="shared" si="3"/>
        <v>0</v>
      </c>
    </row>
    <row r="218" spans="3:8" x14ac:dyDescent="0.25">
      <c r="C218" t="str">
        <f>'TRA TECH'!J216</f>
        <v>TRAPASTBUICEIDSL20</v>
      </c>
      <c r="G218" s="12">
        <f>IF(SUMIFS('TRA TECH'!M:M,'TRA TECH'!J:J,C218)&gt;0,1,0)</f>
        <v>1</v>
      </c>
      <c r="H218" s="12">
        <f t="shared" si="3"/>
        <v>0</v>
      </c>
    </row>
    <row r="219" spans="3:8" x14ac:dyDescent="0.25">
      <c r="C219" t="str">
        <f>'TRA TECH'!J217</f>
        <v>TRAPASTBUICEIDSL20</v>
      </c>
      <c r="G219" s="12">
        <f>IF(SUMIFS('TRA TECH'!M:M,'TRA TECH'!J:J,C219)&gt;0,1,0)</f>
        <v>1</v>
      </c>
      <c r="H219" s="12">
        <f t="shared" si="3"/>
        <v>0</v>
      </c>
    </row>
    <row r="220" spans="3:8" x14ac:dyDescent="0.25">
      <c r="C220" t="str">
        <f>'TRA TECH'!J218</f>
        <v>TRAPASTBUHEVPDSL20</v>
      </c>
      <c r="G220" s="12">
        <f>IF(SUMIFS('TRA TECH'!M:M,'TRA TECH'!J:J,C220)&gt;0,1,0)</f>
        <v>1</v>
      </c>
      <c r="H220" s="12">
        <f t="shared" si="3"/>
        <v>0</v>
      </c>
    </row>
    <row r="221" spans="3:8" x14ac:dyDescent="0.25">
      <c r="C221" t="str">
        <f>'TRA TECH'!J219</f>
        <v>TRAPASTBUHEVPDSL20</v>
      </c>
      <c r="G221" s="12">
        <f>IF(SUMIFS('TRA TECH'!M:M,'TRA TECH'!J:J,C221)&gt;0,1,0)</f>
        <v>1</v>
      </c>
      <c r="H221" s="12">
        <f t="shared" si="3"/>
        <v>0</v>
      </c>
    </row>
    <row r="222" spans="3:8" x14ac:dyDescent="0.25">
      <c r="C222" t="str">
        <f>'TRA TECH'!J220</f>
        <v>TRAPASTBUHEVPDSL20</v>
      </c>
      <c r="G222" s="12">
        <f>IF(SUMIFS('TRA TECH'!M:M,'TRA TECH'!J:J,C222)&gt;0,1,0)</f>
        <v>1</v>
      </c>
      <c r="H222" s="12">
        <f t="shared" si="3"/>
        <v>0</v>
      </c>
    </row>
    <row r="223" spans="3:8" x14ac:dyDescent="0.25">
      <c r="C223" t="str">
        <f>'TRA TECH'!J221</f>
        <v>TRAPASTBUPHEVDSL20</v>
      </c>
      <c r="G223" s="12">
        <f>IF(SUMIFS('TRA TECH'!M:M,'TRA TECH'!J:J,C223)&gt;0,1,0)</f>
        <v>1</v>
      </c>
      <c r="H223" s="12">
        <f t="shared" si="3"/>
        <v>0</v>
      </c>
    </row>
    <row r="224" spans="3:8" x14ac:dyDescent="0.25">
      <c r="C224" t="str">
        <f>'TRA TECH'!J222</f>
        <v>TRAPASTBUPHEVDSL20</v>
      </c>
      <c r="G224" s="12">
        <f>IF(SUMIFS('TRA TECH'!M:M,'TRA TECH'!J:J,C224)&gt;0,1,0)</f>
        <v>1</v>
      </c>
      <c r="H224" s="12">
        <f t="shared" si="3"/>
        <v>0</v>
      </c>
    </row>
    <row r="225" spans="3:8" x14ac:dyDescent="0.25">
      <c r="C225" t="str">
        <f>'TRA TECH'!J223</f>
        <v>TRAPASTBUPHEVDSL20</v>
      </c>
      <c r="G225" s="12">
        <f>IF(SUMIFS('TRA TECH'!M:M,'TRA TECH'!J:J,C225)&gt;0,1,0)</f>
        <v>1</v>
      </c>
      <c r="H225" s="12">
        <f t="shared" si="3"/>
        <v>0</v>
      </c>
    </row>
    <row r="226" spans="3:8" x14ac:dyDescent="0.25">
      <c r="C226" t="str">
        <f>'TRA TECH'!J224</f>
        <v>TRAPASTBUPHEVDSL20</v>
      </c>
      <c r="G226" s="12">
        <f>IF(SUMIFS('TRA TECH'!M:M,'TRA TECH'!J:J,C226)&gt;0,1,0)</f>
        <v>1</v>
      </c>
      <c r="H226" s="12">
        <f t="shared" si="3"/>
        <v>0</v>
      </c>
    </row>
    <row r="227" spans="3:8" x14ac:dyDescent="0.25">
      <c r="C227" t="str">
        <f>'TRA TECH'!J225</f>
        <v>TRAPASTBUFCEV20</v>
      </c>
      <c r="G227" s="12">
        <f>IF(SUMIFS('TRA TECH'!M:M,'TRA TECH'!J:J,C227)&gt;0,1,0)</f>
        <v>1</v>
      </c>
      <c r="H227" s="12">
        <f t="shared" si="3"/>
        <v>0</v>
      </c>
    </row>
    <row r="228" spans="3:8" x14ac:dyDescent="0.25">
      <c r="C228" t="str">
        <f>'TRA TECH'!J226</f>
        <v>TRAPASTBUFCHEV20</v>
      </c>
      <c r="G228" s="12">
        <f>IF(SUMIFS('TRA TECH'!M:M,'TRA TECH'!J:J,C228)&gt;0,1,0)</f>
        <v>1</v>
      </c>
      <c r="H228" s="12">
        <f t="shared" si="3"/>
        <v>0</v>
      </c>
    </row>
    <row r="229" spans="3:8" x14ac:dyDescent="0.25">
      <c r="C229" t="str">
        <f>'TRA TECH'!J227</f>
        <v>TRAPASTBUFCHEV20</v>
      </c>
      <c r="G229" s="12">
        <f>IF(SUMIFS('TRA TECH'!M:M,'TRA TECH'!J:J,C229)&gt;0,1,0)</f>
        <v>1</v>
      </c>
      <c r="H229" s="12">
        <f t="shared" si="3"/>
        <v>0</v>
      </c>
    </row>
    <row r="230" spans="3:8" x14ac:dyDescent="0.25">
      <c r="C230" t="str">
        <f>'TRA TECH'!J228</f>
        <v>TRAPASTBUBEV20</v>
      </c>
      <c r="G230" s="12">
        <f>IF(SUMIFS('TRA TECH'!M:M,'TRA TECH'!J:J,C230)&gt;0,1,0)</f>
        <v>1</v>
      </c>
      <c r="H230" s="12">
        <f t="shared" si="3"/>
        <v>0</v>
      </c>
    </row>
    <row r="231" spans="3:8" x14ac:dyDescent="0.25">
      <c r="C231" t="str">
        <f>'TRA TECH'!J229</f>
        <v>TRAPASSBUICEVDSL20</v>
      </c>
      <c r="G231" s="12">
        <f>IF(SUMIFS('TRA TECH'!M:M,'TRA TECH'!J:J,C231)&gt;0,1,0)</f>
        <v>1</v>
      </c>
      <c r="H231" s="12">
        <f t="shared" si="3"/>
        <v>0</v>
      </c>
    </row>
    <row r="232" spans="3:8" x14ac:dyDescent="0.25">
      <c r="C232" t="str">
        <f>'TRA TECH'!J230</f>
        <v>TRAPASSBUICEVDSL20</v>
      </c>
      <c r="G232" s="12">
        <f>IF(SUMIFS('TRA TECH'!M:M,'TRA TECH'!J:J,C232)&gt;0,1,0)</f>
        <v>1</v>
      </c>
      <c r="H232" s="12">
        <f t="shared" si="3"/>
        <v>0</v>
      </c>
    </row>
    <row r="233" spans="3:8" x14ac:dyDescent="0.25">
      <c r="C233" t="str">
        <f>'TRA TECH'!J231</f>
        <v>TRAPASSBUICEVDSL20</v>
      </c>
      <c r="G233" s="12">
        <f>IF(SUMIFS('TRA TECH'!M:M,'TRA TECH'!J:J,C233)&gt;0,1,0)</f>
        <v>1</v>
      </c>
      <c r="H233" s="12">
        <f t="shared" si="3"/>
        <v>0</v>
      </c>
    </row>
    <row r="234" spans="3:8" x14ac:dyDescent="0.25">
      <c r="C234" t="str">
        <f>'TRA TECH'!J232</f>
        <v>TRAPASSBUICEIDSL20</v>
      </c>
      <c r="G234" s="12">
        <f>IF(SUMIFS('TRA TECH'!M:M,'TRA TECH'!J:J,C234)&gt;0,1,0)</f>
        <v>1</v>
      </c>
      <c r="H234" s="12">
        <f t="shared" si="3"/>
        <v>0</v>
      </c>
    </row>
    <row r="235" spans="3:8" x14ac:dyDescent="0.25">
      <c r="C235" t="str">
        <f>'TRA TECH'!J233</f>
        <v>TRAPASSBUICEIDSL20</v>
      </c>
      <c r="G235" s="12">
        <f>IF(SUMIFS('TRA TECH'!M:M,'TRA TECH'!J:J,C235)&gt;0,1,0)</f>
        <v>1</v>
      </c>
      <c r="H235" s="12">
        <f t="shared" si="3"/>
        <v>0</v>
      </c>
    </row>
    <row r="236" spans="3:8" x14ac:dyDescent="0.25">
      <c r="C236" t="str">
        <f>'TRA TECH'!J234</f>
        <v>TRAPASSBUICEIDSL20</v>
      </c>
      <c r="G236" s="12">
        <f>IF(SUMIFS('TRA TECH'!M:M,'TRA TECH'!J:J,C236)&gt;0,1,0)</f>
        <v>1</v>
      </c>
      <c r="H236" s="12">
        <f t="shared" si="3"/>
        <v>0</v>
      </c>
    </row>
    <row r="237" spans="3:8" x14ac:dyDescent="0.25">
      <c r="C237" t="str">
        <f>'TRA TECH'!J235</f>
        <v>TRAPASSBUHEVPDSL20</v>
      </c>
      <c r="G237" s="12">
        <f>IF(SUMIFS('TRA TECH'!M:M,'TRA TECH'!J:J,C237)&gt;0,1,0)</f>
        <v>1</v>
      </c>
      <c r="H237" s="12">
        <f t="shared" si="3"/>
        <v>0</v>
      </c>
    </row>
    <row r="238" spans="3:8" x14ac:dyDescent="0.25">
      <c r="C238" t="str">
        <f>'TRA TECH'!J236</f>
        <v>TRAPASSBUHEVPDSL20</v>
      </c>
      <c r="G238" s="12">
        <f>IF(SUMIFS('TRA TECH'!M:M,'TRA TECH'!J:J,C238)&gt;0,1,0)</f>
        <v>1</v>
      </c>
      <c r="H238" s="12">
        <f t="shared" si="3"/>
        <v>0</v>
      </c>
    </row>
    <row r="239" spans="3:8" x14ac:dyDescent="0.25">
      <c r="C239" t="str">
        <f>'TRA TECH'!J237</f>
        <v>TRAPASSBUHEVPDSL20</v>
      </c>
      <c r="G239" s="12">
        <f>IF(SUMIFS('TRA TECH'!M:M,'TRA TECH'!J:J,C239)&gt;0,1,0)</f>
        <v>1</v>
      </c>
      <c r="H239" s="12">
        <f t="shared" si="3"/>
        <v>0</v>
      </c>
    </row>
    <row r="240" spans="3:8" x14ac:dyDescent="0.25">
      <c r="C240" t="str">
        <f>'TRA TECH'!J238</f>
        <v>TRAPASSBUPHEVDSL20</v>
      </c>
      <c r="G240" s="12">
        <f>IF(SUMIFS('TRA TECH'!M:M,'TRA TECH'!J:J,C240)&gt;0,1,0)</f>
        <v>1</v>
      </c>
      <c r="H240" s="12">
        <f t="shared" si="3"/>
        <v>0</v>
      </c>
    </row>
    <row r="241" spans="3:8" x14ac:dyDescent="0.25">
      <c r="C241" t="str">
        <f>'TRA TECH'!J239</f>
        <v>TRAPASSBUPHEVDSL20</v>
      </c>
      <c r="G241" s="12">
        <f>IF(SUMIFS('TRA TECH'!M:M,'TRA TECH'!J:J,C241)&gt;0,1,0)</f>
        <v>1</v>
      </c>
      <c r="H241" s="12">
        <f t="shared" si="3"/>
        <v>0</v>
      </c>
    </row>
    <row r="242" spans="3:8" x14ac:dyDescent="0.25">
      <c r="C242" t="str">
        <f>'TRA TECH'!J240</f>
        <v>TRAPASSBUPHEVDSL20</v>
      </c>
      <c r="G242" s="12">
        <f>IF(SUMIFS('TRA TECH'!M:M,'TRA TECH'!J:J,C242)&gt;0,1,0)</f>
        <v>1</v>
      </c>
      <c r="H242" s="12">
        <f t="shared" si="3"/>
        <v>0</v>
      </c>
    </row>
    <row r="243" spans="3:8" x14ac:dyDescent="0.25">
      <c r="C243" t="str">
        <f>'TRA TECH'!J241</f>
        <v>TRAPASSBUPHEVDSL20</v>
      </c>
      <c r="G243" s="12">
        <f>IF(SUMIFS('TRA TECH'!M:M,'TRA TECH'!J:J,C243)&gt;0,1,0)</f>
        <v>1</v>
      </c>
      <c r="H243" s="12">
        <f t="shared" si="3"/>
        <v>0</v>
      </c>
    </row>
    <row r="244" spans="3:8" x14ac:dyDescent="0.25">
      <c r="C244" t="str">
        <f>'TRA TECH'!J242</f>
        <v>TRAPASSBUFCEV20</v>
      </c>
      <c r="G244" s="12">
        <f>IF(SUMIFS('TRA TECH'!M:M,'TRA TECH'!J:J,C244)&gt;0,1,0)</f>
        <v>1</v>
      </c>
      <c r="H244" s="12">
        <f t="shared" si="3"/>
        <v>0</v>
      </c>
    </row>
    <row r="245" spans="3:8" x14ac:dyDescent="0.25">
      <c r="C245" t="str">
        <f>'TRA TECH'!J243</f>
        <v>TRAPASSBUFCHEV20</v>
      </c>
      <c r="G245" s="12">
        <f>IF(SUMIFS('TRA TECH'!M:M,'TRA TECH'!J:J,C245)&gt;0,1,0)</f>
        <v>1</v>
      </c>
      <c r="H245" s="12">
        <f t="shared" si="3"/>
        <v>0</v>
      </c>
    </row>
    <row r="246" spans="3:8" x14ac:dyDescent="0.25">
      <c r="C246" t="str">
        <f>'TRA TECH'!J244</f>
        <v>TRAPASSBUFCHEV20</v>
      </c>
      <c r="G246" s="12">
        <f>IF(SUMIFS('TRA TECH'!M:M,'TRA TECH'!J:J,C246)&gt;0,1,0)</f>
        <v>1</v>
      </c>
      <c r="H246" s="12">
        <f t="shared" si="3"/>
        <v>0</v>
      </c>
    </row>
    <row r="247" spans="3:8" x14ac:dyDescent="0.25">
      <c r="C247" t="str">
        <f>'TRA TECH'!J245</f>
        <v>TRAPASSBUBEV20</v>
      </c>
      <c r="G247" s="12">
        <f>IF(SUMIFS('TRA TECH'!M:M,'TRA TECH'!J:J,C247)&gt;0,1,0)</f>
        <v>1</v>
      </c>
      <c r="H247" s="12">
        <f t="shared" si="3"/>
        <v>0</v>
      </c>
    </row>
    <row r="248" spans="3:8" x14ac:dyDescent="0.25">
      <c r="C248" t="str">
        <f>'TRA TECH'!J246</f>
        <v>TRAPASOBUICEVDSL20</v>
      </c>
      <c r="G248" s="12">
        <f>IF(SUMIFS('TRA TECH'!M:M,'TRA TECH'!J:J,C248)&gt;0,1,0)</f>
        <v>1</v>
      </c>
      <c r="H248" s="12">
        <f t="shared" si="3"/>
        <v>0</v>
      </c>
    </row>
    <row r="249" spans="3:8" x14ac:dyDescent="0.25">
      <c r="C249" t="str">
        <f>'TRA TECH'!J247</f>
        <v>TRAPASOBUICEVDSL20</v>
      </c>
      <c r="G249" s="12">
        <f>IF(SUMIFS('TRA TECH'!M:M,'TRA TECH'!J:J,C249)&gt;0,1,0)</f>
        <v>1</v>
      </c>
      <c r="H249" s="12">
        <f t="shared" si="3"/>
        <v>0</v>
      </c>
    </row>
    <row r="250" spans="3:8" x14ac:dyDescent="0.25">
      <c r="C250" t="str">
        <f>'TRA TECH'!J248</f>
        <v>TRAPASOBUICEVDSL20</v>
      </c>
      <c r="G250" s="12">
        <f>IF(SUMIFS('TRA TECH'!M:M,'TRA TECH'!J:J,C250)&gt;0,1,0)</f>
        <v>1</v>
      </c>
      <c r="H250" s="12">
        <f t="shared" si="3"/>
        <v>0</v>
      </c>
    </row>
    <row r="251" spans="3:8" x14ac:dyDescent="0.25">
      <c r="C251" t="str">
        <f>'TRA TECH'!J249</f>
        <v>TRAPASOBUICEIDSL20</v>
      </c>
      <c r="G251" s="12">
        <f>IF(SUMIFS('TRA TECH'!M:M,'TRA TECH'!J:J,C251)&gt;0,1,0)</f>
        <v>1</v>
      </c>
      <c r="H251" s="12">
        <f t="shared" si="3"/>
        <v>0</v>
      </c>
    </row>
    <row r="252" spans="3:8" x14ac:dyDescent="0.25">
      <c r="C252" t="str">
        <f>'TRA TECH'!J250</f>
        <v>TRAPASOBUICEIDSL20</v>
      </c>
      <c r="G252" s="12">
        <f>IF(SUMIFS('TRA TECH'!M:M,'TRA TECH'!J:J,C252)&gt;0,1,0)</f>
        <v>1</v>
      </c>
      <c r="H252" s="12">
        <f t="shared" si="3"/>
        <v>0</v>
      </c>
    </row>
    <row r="253" spans="3:8" x14ac:dyDescent="0.25">
      <c r="C253" t="str">
        <f>'TRA TECH'!J251</f>
        <v>TRAPASOBUICEIDSL20</v>
      </c>
      <c r="G253" s="12">
        <f>IF(SUMIFS('TRA TECH'!M:M,'TRA TECH'!J:J,C253)&gt;0,1,0)</f>
        <v>1</v>
      </c>
      <c r="H253" s="12">
        <f t="shared" si="3"/>
        <v>0</v>
      </c>
    </row>
    <row r="254" spans="3:8" x14ac:dyDescent="0.25">
      <c r="C254" t="str">
        <f>'TRA TECH'!J252</f>
        <v>TRAPASOBUHEVPDSL20</v>
      </c>
      <c r="G254" s="12">
        <f>IF(SUMIFS('TRA TECH'!M:M,'TRA TECH'!J:J,C254)&gt;0,1,0)</f>
        <v>1</v>
      </c>
      <c r="H254" s="12">
        <f t="shared" si="3"/>
        <v>0</v>
      </c>
    </row>
    <row r="255" spans="3:8" x14ac:dyDescent="0.25">
      <c r="C255" t="str">
        <f>'TRA TECH'!J253</f>
        <v>TRAPASOBUHEVPDSL20</v>
      </c>
      <c r="G255" s="12">
        <f>IF(SUMIFS('TRA TECH'!M:M,'TRA TECH'!J:J,C255)&gt;0,1,0)</f>
        <v>1</v>
      </c>
      <c r="H255" s="12">
        <f t="shared" si="3"/>
        <v>0</v>
      </c>
    </row>
    <row r="256" spans="3:8" x14ac:dyDescent="0.25">
      <c r="C256" t="str">
        <f>'TRA TECH'!J254</f>
        <v>TRAPASOBUHEVPDSL20</v>
      </c>
      <c r="G256" s="12">
        <f>IF(SUMIFS('TRA TECH'!M:M,'TRA TECH'!J:J,C256)&gt;0,1,0)</f>
        <v>1</v>
      </c>
      <c r="H256" s="12">
        <f t="shared" si="3"/>
        <v>0</v>
      </c>
    </row>
    <row r="257" spans="3:8" x14ac:dyDescent="0.25">
      <c r="C257" t="str">
        <f>'TRA TECH'!J255</f>
        <v>TRAPASOBUPHEVDSL20</v>
      </c>
      <c r="G257" s="12">
        <f>IF(SUMIFS('TRA TECH'!M:M,'TRA TECH'!J:J,C257)&gt;0,1,0)</f>
        <v>1</v>
      </c>
      <c r="H257" s="12">
        <f t="shared" si="3"/>
        <v>0</v>
      </c>
    </row>
    <row r="258" spans="3:8" x14ac:dyDescent="0.25">
      <c r="C258" t="str">
        <f>'TRA TECH'!J256</f>
        <v>TRAPASOBUPHEVDSL20</v>
      </c>
      <c r="G258" s="12">
        <f>IF(SUMIFS('TRA TECH'!M:M,'TRA TECH'!J:J,C258)&gt;0,1,0)</f>
        <v>1</v>
      </c>
      <c r="H258" s="12">
        <f t="shared" si="3"/>
        <v>0</v>
      </c>
    </row>
    <row r="259" spans="3:8" x14ac:dyDescent="0.25">
      <c r="C259" t="str">
        <f>'TRA TECH'!J257</f>
        <v>TRAPASOBUPHEVDSL20</v>
      </c>
      <c r="G259" s="12">
        <f>IF(SUMIFS('TRA TECH'!M:M,'TRA TECH'!J:J,C259)&gt;0,1,0)</f>
        <v>1</v>
      </c>
      <c r="H259" s="12">
        <f t="shared" si="3"/>
        <v>0</v>
      </c>
    </row>
    <row r="260" spans="3:8" x14ac:dyDescent="0.25">
      <c r="C260" t="str">
        <f>'TRA TECH'!J258</f>
        <v>TRAPASOBUPHEVDSL20</v>
      </c>
      <c r="G260" s="12">
        <f>IF(SUMIFS('TRA TECH'!M:M,'TRA TECH'!J:J,C260)&gt;0,1,0)</f>
        <v>1</v>
      </c>
      <c r="H260" s="12">
        <f t="shared" si="3"/>
        <v>0</v>
      </c>
    </row>
    <row r="261" spans="3:8" x14ac:dyDescent="0.25">
      <c r="C261" t="str">
        <f>'TRA TECH'!J259</f>
        <v>TRAPASOBUFCEV20</v>
      </c>
      <c r="G261" s="12">
        <f>IF(SUMIFS('TRA TECH'!M:M,'TRA TECH'!J:J,C261)&gt;0,1,0)</f>
        <v>1</v>
      </c>
      <c r="H261" s="12">
        <f t="shared" ref="H261:H327" si="4">IF(C261="","",IF(C261="*","*",0))</f>
        <v>0</v>
      </c>
    </row>
    <row r="262" spans="3:8" x14ac:dyDescent="0.25">
      <c r="C262" t="str">
        <f>'TRA TECH'!J260</f>
        <v>TRAPASOBUFCHEV20</v>
      </c>
      <c r="G262" s="12">
        <f>IF(SUMIFS('TRA TECH'!M:M,'TRA TECH'!J:J,C262)&gt;0,1,0)</f>
        <v>1</v>
      </c>
      <c r="H262" s="12">
        <f t="shared" si="4"/>
        <v>0</v>
      </c>
    </row>
    <row r="263" spans="3:8" x14ac:dyDescent="0.25">
      <c r="C263" t="str">
        <f>'TRA TECH'!J261</f>
        <v>TRAPASOBUFCHEV20</v>
      </c>
      <c r="G263" s="12">
        <f>IF(SUMIFS('TRA TECH'!M:M,'TRA TECH'!J:J,C263)&gt;0,1,0)</f>
        <v>1</v>
      </c>
      <c r="H263" s="12">
        <f t="shared" si="4"/>
        <v>0</v>
      </c>
    </row>
    <row r="264" spans="3:8" x14ac:dyDescent="0.25">
      <c r="C264" t="str">
        <f>'TRA TECH'!J262</f>
        <v>TRAPASOBUBEV20</v>
      </c>
      <c r="G264" s="12">
        <f>IF(SUMIFS('TRA TECH'!M:M,'TRA TECH'!J:J,C264)&gt;0,1,0)</f>
        <v>1</v>
      </c>
      <c r="H264" s="12">
        <f t="shared" si="4"/>
        <v>0</v>
      </c>
    </row>
    <row r="265" spans="3:8" x14ac:dyDescent="0.25">
      <c r="C265" t="str">
        <f>'TRA TECH'!J263</f>
        <v>TRAOTHOFRICEVDSL20</v>
      </c>
      <c r="G265" s="12">
        <f>IF(SUMIFS('TRA TECH'!M:M,'TRA TECH'!J:J,C265)&gt;0,1,0)</f>
        <v>1</v>
      </c>
      <c r="H265" s="12">
        <f t="shared" si="4"/>
        <v>0</v>
      </c>
    </row>
    <row r="266" spans="3:8" x14ac:dyDescent="0.25">
      <c r="C266" t="str">
        <f>'TRA TECH'!J264</f>
        <v>TRAOTHOFRICEVDSL20</v>
      </c>
      <c r="G266" s="12">
        <f>IF(SUMIFS('TRA TECH'!M:M,'TRA TECH'!J:J,C266)&gt;0,1,0)</f>
        <v>1</v>
      </c>
      <c r="H266" s="12">
        <f t="shared" si="4"/>
        <v>0</v>
      </c>
    </row>
    <row r="267" spans="3:8" x14ac:dyDescent="0.25">
      <c r="C267" t="str">
        <f>'TRA TECH'!J265</f>
        <v>TRAOTHOFRICEVDSL20</v>
      </c>
      <c r="G267" s="12">
        <f>IF(SUMIFS('TRA TECH'!M:M,'TRA TECH'!J:J,C267)&gt;0,1,0)</f>
        <v>1</v>
      </c>
      <c r="H267" s="12">
        <f t="shared" si="4"/>
        <v>0</v>
      </c>
    </row>
    <row r="268" spans="3:8" x14ac:dyDescent="0.25">
      <c r="C268" t="str">
        <f>'TRA TECH'!J266</f>
        <v>TRAOTHOFRICEIDSL20</v>
      </c>
      <c r="G268" s="12">
        <f>IF(SUMIFS('TRA TECH'!M:M,'TRA TECH'!J:J,C268)&gt;0,1,0)</f>
        <v>1</v>
      </c>
      <c r="H268" s="12">
        <f t="shared" si="4"/>
        <v>0</v>
      </c>
    </row>
    <row r="269" spans="3:8" x14ac:dyDescent="0.25">
      <c r="C269" t="str">
        <f>'TRA TECH'!J267</f>
        <v>TRAOTHOFRICEIDSL20</v>
      </c>
      <c r="G269" s="12">
        <f>IF(SUMIFS('TRA TECH'!M:M,'TRA TECH'!J:J,C269)&gt;0,1,0)</f>
        <v>1</v>
      </c>
      <c r="H269" s="12">
        <f t="shared" si="4"/>
        <v>0</v>
      </c>
    </row>
    <row r="270" spans="3:8" x14ac:dyDescent="0.25">
      <c r="C270" t="str">
        <f>'TRA TECH'!J268</f>
        <v>TRAOTHOFRICEIDSL20</v>
      </c>
      <c r="G270" s="12">
        <f>IF(SUMIFS('TRA TECH'!M:M,'TRA TECH'!J:J,C270)&gt;0,1,0)</f>
        <v>1</v>
      </c>
      <c r="H270" s="12">
        <f t="shared" si="4"/>
        <v>0</v>
      </c>
    </row>
    <row r="271" spans="3:8" x14ac:dyDescent="0.25">
      <c r="C271" t="str">
        <f>'TRA TECH'!J269</f>
        <v>TRAOTHOFRHEVPDSL20</v>
      </c>
      <c r="G271" s="12">
        <f>IF(SUMIFS('TRA TECH'!M:M,'TRA TECH'!J:J,C271)&gt;0,1,0)</f>
        <v>1</v>
      </c>
      <c r="H271" s="12">
        <f t="shared" si="4"/>
        <v>0</v>
      </c>
    </row>
    <row r="272" spans="3:8" x14ac:dyDescent="0.25">
      <c r="C272" t="str">
        <f>'TRA TECH'!J270</f>
        <v>TRAOTHOFRHEVPDSL20</v>
      </c>
      <c r="G272" s="12">
        <f>IF(SUMIFS('TRA TECH'!M:M,'TRA TECH'!J:J,C272)&gt;0,1,0)</f>
        <v>1</v>
      </c>
      <c r="H272" s="12">
        <f t="shared" si="4"/>
        <v>0</v>
      </c>
    </row>
    <row r="273" spans="3:8" x14ac:dyDescent="0.25">
      <c r="C273" t="str">
        <f>'TRA TECH'!J271</f>
        <v>TRAOTHOFRHEVPDSL20</v>
      </c>
      <c r="G273" s="12">
        <f>IF(SUMIFS('TRA TECH'!M:M,'TRA TECH'!J:J,C273)&gt;0,1,0)</f>
        <v>1</v>
      </c>
      <c r="H273" s="12">
        <f t="shared" si="4"/>
        <v>0</v>
      </c>
    </row>
    <row r="274" spans="3:8" x14ac:dyDescent="0.25">
      <c r="C274" t="str">
        <f>'TRA TECH'!J272</f>
        <v>TRAOTHOFRPHEVDSL20</v>
      </c>
      <c r="G274" s="12">
        <f>IF(SUMIFS('TRA TECH'!M:M,'TRA TECH'!J:J,C274)&gt;0,1,0)</f>
        <v>1</v>
      </c>
      <c r="H274" s="12">
        <f t="shared" si="4"/>
        <v>0</v>
      </c>
    </row>
    <row r="275" spans="3:8" x14ac:dyDescent="0.25">
      <c r="C275" t="str">
        <f>'TRA TECH'!J273</f>
        <v>TRAOTHOFRPHEVDSL20</v>
      </c>
      <c r="G275" s="12">
        <f>IF(SUMIFS('TRA TECH'!M:M,'TRA TECH'!J:J,C275)&gt;0,1,0)</f>
        <v>1</v>
      </c>
      <c r="H275" s="12">
        <f t="shared" si="4"/>
        <v>0</v>
      </c>
    </row>
    <row r="276" spans="3:8" x14ac:dyDescent="0.25">
      <c r="C276" t="str">
        <f>'TRA TECH'!J274</f>
        <v>TRAOTHOFRPHEVDSL20</v>
      </c>
      <c r="G276" s="12">
        <f>IF(SUMIFS('TRA TECH'!M:M,'TRA TECH'!J:J,C276)&gt;0,1,0)</f>
        <v>1</v>
      </c>
      <c r="H276" s="12">
        <f t="shared" si="4"/>
        <v>0</v>
      </c>
    </row>
    <row r="277" spans="3:8" x14ac:dyDescent="0.25">
      <c r="C277" t="str">
        <f>'TRA TECH'!J275</f>
        <v>TRAOTHOFRPHEVDSL20</v>
      </c>
      <c r="G277" s="12">
        <f>IF(SUMIFS('TRA TECH'!M:M,'TRA TECH'!J:J,C277)&gt;0,1,0)</f>
        <v>1</v>
      </c>
      <c r="H277" s="12">
        <f t="shared" si="4"/>
        <v>0</v>
      </c>
    </row>
    <row r="278" spans="3:8" x14ac:dyDescent="0.25">
      <c r="C278" t="str">
        <f>'TRA TECH'!J276</f>
        <v>TRAOTHOFRFCEV20</v>
      </c>
      <c r="G278" s="12">
        <f>IF(SUMIFS('TRA TECH'!M:M,'TRA TECH'!J:J,C278)&gt;0,1,0)</f>
        <v>1</v>
      </c>
      <c r="H278" s="12">
        <f t="shared" si="4"/>
        <v>0</v>
      </c>
    </row>
    <row r="279" spans="3:8" x14ac:dyDescent="0.25">
      <c r="C279" t="str">
        <f>'TRA TECH'!J277</f>
        <v>TRAOTHOFRFCHEV20</v>
      </c>
      <c r="G279" s="12">
        <f>IF(SUMIFS('TRA TECH'!M:M,'TRA TECH'!J:J,C279)&gt;0,1,0)</f>
        <v>1</v>
      </c>
      <c r="H279" s="12">
        <f t="shared" si="4"/>
        <v>0</v>
      </c>
    </row>
    <row r="280" spans="3:8" x14ac:dyDescent="0.25">
      <c r="C280" t="str">
        <f>'TRA TECH'!J278</f>
        <v>TRAOTHOFRFCHEV20</v>
      </c>
      <c r="G280" s="12">
        <f>IF(SUMIFS('TRA TECH'!M:M,'TRA TECH'!J:J,C280)&gt;0,1,0)</f>
        <v>1</v>
      </c>
      <c r="H280" s="12">
        <f t="shared" si="4"/>
        <v>0</v>
      </c>
    </row>
    <row r="281" spans="3:8" x14ac:dyDescent="0.25">
      <c r="C281" t="str">
        <f>'TRA TECH'!J279</f>
        <v>TRAOTHOFRBEV20</v>
      </c>
      <c r="G281" s="12">
        <f>IF(SUMIFS('TRA TECH'!M:M,'TRA TECH'!J:J,C281)&gt;0,1,0)</f>
        <v>1</v>
      </c>
      <c r="H281" s="12">
        <f t="shared" si="4"/>
        <v>0</v>
      </c>
    </row>
    <row r="282" spans="3:8" x14ac:dyDescent="0.25">
      <c r="C282" t="str">
        <f>'TRA TECH'!J280</f>
        <v>TRAPASBIC20</v>
      </c>
      <c r="G282" s="12">
        <f>IF(SUMIFS('TRA TECH'!M:M,'TRA TECH'!J:J,C282)&gt;0,1,0)</f>
        <v>1</v>
      </c>
      <c r="H282" s="12">
        <f t="shared" si="4"/>
        <v>0</v>
      </c>
    </row>
    <row r="283" spans="3:8" x14ac:dyDescent="0.25">
      <c r="C283" t="str">
        <f>'TRA TECH'!J281</f>
        <v>TRAPASWAL20</v>
      </c>
      <c r="G283" s="12">
        <f>IF(SUMIFS('TRA TECH'!M:M,'TRA TECH'!J:J,C283)&gt;0,1,0)</f>
        <v>1</v>
      </c>
      <c r="H283" s="12">
        <f t="shared" si="4"/>
        <v>0</v>
      </c>
    </row>
    <row r="284" spans="3:8" x14ac:dyDescent="0.25">
      <c r="C284" t="str">
        <f>'TRA TECH'!J282</f>
        <v>TRAPASRAIICEVDSL20</v>
      </c>
      <c r="G284" s="12">
        <f>IF(SUMIFS('TRA TECH'!M:M,'TRA TECH'!J:J,C284)&gt;0,1,0)</f>
        <v>1</v>
      </c>
      <c r="H284" s="12">
        <f t="shared" si="4"/>
        <v>0</v>
      </c>
    </row>
    <row r="285" spans="3:8" x14ac:dyDescent="0.25">
      <c r="C285" t="str">
        <f>'TRA TECH'!J283</f>
        <v>TRAPASRAIICEVDSL20</v>
      </c>
      <c r="G285" s="12">
        <f>IF(SUMIFS('TRA TECH'!M:M,'TRA TECH'!J:J,C285)&gt;0,1,0)</f>
        <v>1</v>
      </c>
      <c r="H285" s="12">
        <f t="shared" si="4"/>
        <v>0</v>
      </c>
    </row>
    <row r="286" spans="3:8" x14ac:dyDescent="0.25">
      <c r="C286" t="str">
        <f>'TRA TECH'!J284</f>
        <v>TRAPASRAIICEVDSL20</v>
      </c>
      <c r="G286" s="12">
        <f>IF(SUMIFS('TRA TECH'!M:M,'TRA TECH'!J:J,C286)&gt;0,1,0)</f>
        <v>1</v>
      </c>
      <c r="H286" s="12">
        <f t="shared" si="4"/>
        <v>0</v>
      </c>
    </row>
    <row r="287" spans="3:8" x14ac:dyDescent="0.25">
      <c r="C287" t="str">
        <f>'TRA TECH'!J285</f>
        <v>TRAPASRAIPROELC20</v>
      </c>
      <c r="G287" s="12">
        <f>IF(SUMIFS('TRA TECH'!M:M,'TRA TECH'!J:J,C287)&gt;0,1,0)</f>
        <v>1</v>
      </c>
      <c r="H287" s="12">
        <f t="shared" si="4"/>
        <v>0</v>
      </c>
    </row>
    <row r="288" spans="3:8" x14ac:dyDescent="0.25">
      <c r="C288" t="str">
        <f>'TRA TECH'!J286</f>
        <v>TRAPASRAIFCEV20</v>
      </c>
      <c r="G288" s="12">
        <f>IF(SUMIFS('TRA TECH'!M:M,'TRA TECH'!J:J,C288)&gt;0,1,0)</f>
        <v>1</v>
      </c>
      <c r="H288" s="12">
        <f t="shared" si="4"/>
        <v>0</v>
      </c>
    </row>
    <row r="289" spans="3:8" x14ac:dyDescent="0.25">
      <c r="C289" t="str">
        <f>'TRA TECH'!J287</f>
        <v>TRAPASTRMPROELC20</v>
      </c>
      <c r="G289" s="12">
        <f>IF(SUMIFS('TRA TECH'!M:M,'TRA TECH'!J:J,C289)&gt;0,1,0)</f>
        <v>1</v>
      </c>
      <c r="H289" s="12">
        <f t="shared" si="4"/>
        <v>0</v>
      </c>
    </row>
    <row r="290" spans="3:8" x14ac:dyDescent="0.25">
      <c r="C290" t="str">
        <f>'TRA TECH'!J288</f>
        <v>TRAPASSUBPROELC20</v>
      </c>
      <c r="G290" s="12">
        <f>IF(SUMIFS('TRA TECH'!M:M,'TRA TECH'!J:J,C290)&gt;0,1,0)</f>
        <v>1</v>
      </c>
      <c r="H290" s="12">
        <f t="shared" si="4"/>
        <v>0</v>
      </c>
    </row>
    <row r="291" spans="3:8" x14ac:dyDescent="0.25">
      <c r="C291" t="str">
        <f>'TRA TECH'!J289</f>
        <v>TRAOTHWATICEVDSL20</v>
      </c>
      <c r="G291" s="12">
        <f>IF(SUMIFS('TRA TECH'!M:M,'TRA TECH'!J:J,C291)&gt;0,1,0)</f>
        <v>1</v>
      </c>
      <c r="H291" s="12">
        <f t="shared" si="4"/>
        <v>0</v>
      </c>
    </row>
    <row r="292" spans="3:8" x14ac:dyDescent="0.25">
      <c r="C292" t="str">
        <f>'TRA TECH'!J290</f>
        <v>TRAOTHWATICEVDSL20</v>
      </c>
      <c r="G292" s="12">
        <f>IF(SUMIFS('TRA TECH'!M:M,'TRA TECH'!J:J,C292)&gt;0,1,0)</f>
        <v>1</v>
      </c>
      <c r="H292" s="12">
        <f t="shared" si="4"/>
        <v>0</v>
      </c>
    </row>
    <row r="293" spans="3:8" x14ac:dyDescent="0.25">
      <c r="C293" t="str">
        <f>'TRA TECH'!J291</f>
        <v>TRAOTHWATICEVDSL20</v>
      </c>
      <c r="G293" s="12">
        <f>IF(SUMIFS('TRA TECH'!M:M,'TRA TECH'!J:J,C293)&gt;0,1,0)</f>
        <v>1</v>
      </c>
      <c r="H293" s="12">
        <f t="shared" si="4"/>
        <v>0</v>
      </c>
    </row>
    <row r="294" spans="3:8" x14ac:dyDescent="0.25">
      <c r="C294" t="str">
        <f>'TRA TECH'!J292</f>
        <v>TRAOTHWATICEVDSL20</v>
      </c>
      <c r="G294" s="12">
        <f>IF(SUMIFS('TRA TECH'!M:M,'TRA TECH'!J:J,C294)&gt;0,1,0)</f>
        <v>1</v>
      </c>
      <c r="H294" s="12">
        <f t="shared" si="4"/>
        <v>0</v>
      </c>
    </row>
    <row r="295" spans="3:8" x14ac:dyDescent="0.25">
      <c r="C295" t="str">
        <f>'TRA TECH'!J293</f>
        <v>TRAOTHWATICEVDSL20</v>
      </c>
      <c r="G295" s="12">
        <f>IF(SUMIFS('TRA TECH'!M:M,'TRA TECH'!J:J,C295)&gt;0,1,0)</f>
        <v>1</v>
      </c>
      <c r="H295" s="12">
        <f t="shared" si="4"/>
        <v>0</v>
      </c>
    </row>
    <row r="296" spans="3:8" x14ac:dyDescent="0.25">
      <c r="C296" t="str">
        <f>'TRA TECH'!J294</f>
        <v>TRAOTHWATICEVDSL20</v>
      </c>
      <c r="G296" s="12">
        <f>IF(SUMIFS('TRA TECH'!M:M,'TRA TECH'!J:J,C296)&gt;0,1,0)</f>
        <v>1</v>
      </c>
      <c r="H296" s="12">
        <f t="shared" si="4"/>
        <v>0</v>
      </c>
    </row>
    <row r="297" spans="3:8" x14ac:dyDescent="0.25">
      <c r="C297" t="str">
        <f>'TRA TECH'!J295</f>
        <v>TRAOTHWATHYBDSL20</v>
      </c>
      <c r="G297" s="12">
        <f>IF(SUMIFS('TRA TECH'!M:M,'TRA TECH'!J:J,C297)&gt;0,1,0)</f>
        <v>1</v>
      </c>
      <c r="H297" s="12">
        <f t="shared" si="4"/>
        <v>0</v>
      </c>
    </row>
    <row r="298" spans="3:8" x14ac:dyDescent="0.25">
      <c r="C298" t="str">
        <f>'TRA TECH'!J296</f>
        <v>TRAOTHWATHYBDSL20</v>
      </c>
      <c r="G298" s="12">
        <f>IF(SUMIFS('TRA TECH'!M:M,'TRA TECH'!J:J,C298)&gt;0,1,0)</f>
        <v>1</v>
      </c>
      <c r="H298" s="12">
        <f t="shared" si="4"/>
        <v>0</v>
      </c>
    </row>
    <row r="299" spans="3:8" x14ac:dyDescent="0.25">
      <c r="C299" t="str">
        <f>'TRA TECH'!J297</f>
        <v>TRAOTHWATHYBDSL20</v>
      </c>
      <c r="G299" s="12">
        <f>IF(SUMIFS('TRA TECH'!M:M,'TRA TECH'!J:J,C299)&gt;0,1,0)</f>
        <v>1</v>
      </c>
      <c r="H299" s="12">
        <f t="shared" si="4"/>
        <v>0</v>
      </c>
    </row>
    <row r="300" spans="3:8" x14ac:dyDescent="0.25">
      <c r="C300" t="str">
        <f>'TRA TECH'!J298</f>
        <v>TRAOTHWATICEFOI20</v>
      </c>
      <c r="G300" s="12">
        <f>IF(SUMIFS('TRA TECH'!M:M,'TRA TECH'!J:J,C300)&gt;0,1,0)</f>
        <v>1</v>
      </c>
      <c r="H300" s="12">
        <f t="shared" si="4"/>
        <v>0</v>
      </c>
    </row>
    <row r="301" spans="3:8" x14ac:dyDescent="0.25">
      <c r="C301" t="str">
        <f>'TRA TECH'!J299</f>
        <v>TRAOTHWATICEDFOI20</v>
      </c>
      <c r="G301" s="12">
        <f>IF(SUMIFS('TRA TECH'!M:M,'TRA TECH'!J:J,C301)&gt;0,1,0)</f>
        <v>1</v>
      </c>
      <c r="H301" s="12">
        <f t="shared" si="4"/>
        <v>0</v>
      </c>
    </row>
    <row r="302" spans="3:8" x14ac:dyDescent="0.25">
      <c r="C302" t="str">
        <f>'TRA TECH'!J300</f>
        <v>TRAOTHWATHYBFOI20</v>
      </c>
      <c r="G302" s="12">
        <f>IF(SUMIFS('TRA TECH'!M:M,'TRA TECH'!J:J,C302)&gt;0,1,0)</f>
        <v>1</v>
      </c>
      <c r="H302" s="12">
        <f t="shared" si="4"/>
        <v>0</v>
      </c>
    </row>
    <row r="303" spans="3:8" x14ac:dyDescent="0.25">
      <c r="C303" t="str">
        <f>'TRA TECH'!J301</f>
        <v>TRAOTHAIRTURREA20</v>
      </c>
      <c r="G303" s="12">
        <f>IF(SUMIFS('TRA TECH'!M:M,'TRA TECH'!J:J,C303)&gt;0,1,0)</f>
        <v>1</v>
      </c>
      <c r="H303" s="12">
        <f t="shared" si="4"/>
        <v>0</v>
      </c>
    </row>
    <row r="304" spans="3:8" x14ac:dyDescent="0.25">
      <c r="C304" t="str">
        <f>'TRA TECH'!J302</f>
        <v>TRAOTHAIRTURREA20</v>
      </c>
      <c r="G304" s="12">
        <f>IF(SUMIFS('TRA TECH'!M:M,'TRA TECH'!J:J,C304)&gt;0,1,0)</f>
        <v>1</v>
      </c>
      <c r="H304" s="12">
        <f t="shared" si="4"/>
        <v>0</v>
      </c>
    </row>
    <row r="305" spans="3:8" x14ac:dyDescent="0.25">
      <c r="C305" t="str">
        <f>'TRA TECH'!J303</f>
        <v>TRAOTHAIRTURWTD20</v>
      </c>
      <c r="G305" s="12">
        <f>IF(SUMIFS('TRA TECH'!M:M,'TRA TECH'!J:J,C305)&gt;0,1,0)</f>
        <v>1</v>
      </c>
      <c r="H305" s="12">
        <f t="shared" si="4"/>
        <v>0</v>
      </c>
    </row>
    <row r="306" spans="3:8" x14ac:dyDescent="0.25">
      <c r="C306" t="str">
        <f>'TRA TECH'!J304</f>
        <v>TRAOTHAIRTURWTD20</v>
      </c>
      <c r="G306" s="12">
        <f>IF(SUMIFS('TRA TECH'!M:M,'TRA TECH'!J:J,C306)&gt;0,1,0)</f>
        <v>1</v>
      </c>
      <c r="H306" s="12">
        <f t="shared" si="4"/>
        <v>0</v>
      </c>
    </row>
    <row r="307" spans="3:8" x14ac:dyDescent="0.25">
      <c r="C307" t="str">
        <f>'TRA TECH'!J305</f>
        <v>TRAOTHAIRTURHH220</v>
      </c>
      <c r="G307" s="12">
        <f>IF(SUMIFS('TRA TECH'!M:M,'TRA TECH'!J:J,C307)&gt;0,1,0)</f>
        <v>1</v>
      </c>
      <c r="H307" s="12">
        <f t="shared" si="4"/>
        <v>0</v>
      </c>
    </row>
    <row r="308" spans="3:8" x14ac:dyDescent="0.25">
      <c r="C308" t="str">
        <f>'TRA TECH'!J306</f>
        <v>TRAOTHAIRTURFCE20</v>
      </c>
      <c r="G308" s="12">
        <f>IF(SUMIFS('TRA TECH'!M:M,'TRA TECH'!J:J,C308)&gt;0,1,0)</f>
        <v>1</v>
      </c>
      <c r="H308" s="12">
        <f t="shared" si="4"/>
        <v>0</v>
      </c>
    </row>
    <row r="309" spans="3:8" x14ac:dyDescent="0.25">
      <c r="C309" t="str">
        <f>'TRA TECH'!J307</f>
        <v>TRAOTHAIRTURFCE20</v>
      </c>
      <c r="G309" s="12">
        <f>IF(SUMIFS('TRA TECH'!M:M,'TRA TECH'!J:J,C309)&gt;0,1,0)</f>
        <v>1</v>
      </c>
      <c r="H309" s="12">
        <f t="shared" si="4"/>
        <v>0</v>
      </c>
    </row>
    <row r="310" spans="3:8" x14ac:dyDescent="0.25">
      <c r="C310" t="str">
        <f>'TRA TECH'!J308</f>
        <v>TRAOTHAIRTURBWD20</v>
      </c>
      <c r="G310" s="12">
        <f>IF(SUMIFS('TRA TECH'!M:M,'TRA TECH'!J:J,C310)&gt;0,1,0)</f>
        <v>1</v>
      </c>
      <c r="H310" s="12">
        <f t="shared" si="4"/>
        <v>0</v>
      </c>
    </row>
    <row r="311" spans="3:8" x14ac:dyDescent="0.25">
      <c r="C311" t="str">
        <f>'TRA TECH'!J309</f>
        <v>TRAOTHAIRTURBWD20</v>
      </c>
      <c r="G311" s="12">
        <f>IF(SUMIFS('TRA TECH'!M:M,'TRA TECH'!J:J,C311)&gt;0,1,0)</f>
        <v>1</v>
      </c>
      <c r="H311" s="12">
        <f t="shared" si="4"/>
        <v>0</v>
      </c>
    </row>
    <row r="312" spans="3:8" x14ac:dyDescent="0.25">
      <c r="C312" t="str">
        <f>'TRA TECH'!J310</f>
        <v>TRAOTHAIRTURSAI20</v>
      </c>
      <c r="G312" s="12">
        <f>IF(SUMIFS('TRA TECH'!M:M,'TRA TECH'!J:J,C312)&gt;0,1,0)</f>
        <v>1</v>
      </c>
      <c r="H312" s="12">
        <f t="shared" si="4"/>
        <v>0</v>
      </c>
    </row>
    <row r="313" spans="3:8" x14ac:dyDescent="0.25">
      <c r="C313" t="str">
        <f>'TRA TECH'!J311</f>
        <v>TRAOTHAIRTURSAI20</v>
      </c>
      <c r="G313" s="12">
        <f>IF(SUMIFS('TRA TECH'!M:M,'TRA TECH'!J:J,C313)&gt;0,1,0)</f>
        <v>1</v>
      </c>
      <c r="H313" s="12">
        <f t="shared" si="4"/>
        <v>0</v>
      </c>
    </row>
    <row r="314" spans="3:8" x14ac:dyDescent="0.25">
      <c r="C314" t="str">
        <f>'TRA TECH'!J312</f>
        <v>TRAOTHAIRTURHBR20</v>
      </c>
      <c r="G314" s="12">
        <f>IF(SUMIFS('TRA TECH'!M:M,'TRA TECH'!J:J,C314)&gt;0,1,0)</f>
        <v>1</v>
      </c>
      <c r="H314" s="12">
        <f t="shared" si="4"/>
        <v>0</v>
      </c>
    </row>
    <row r="315" spans="3:8" x14ac:dyDescent="0.25">
      <c r="C315" t="str">
        <f>'TRA TECH'!J313</f>
        <v>TRAOTHAIRTURHBR20</v>
      </c>
      <c r="G315" s="12">
        <f>IF(SUMIFS('TRA TECH'!M:M,'TRA TECH'!J:J,C315)&gt;0,1,0)</f>
        <v>1</v>
      </c>
      <c r="H315" s="12">
        <f t="shared" si="4"/>
        <v>0</v>
      </c>
    </row>
    <row r="316" spans="3:8" x14ac:dyDescent="0.25">
      <c r="C316" t="str">
        <f>'TRA TECH'!J314</f>
        <v>TRAOTHAIRTURGJE20</v>
      </c>
      <c r="G316" s="12">
        <f>IF(SUMIFS('TRA TECH'!M:M,'TRA TECH'!J:J,C316)&gt;0,1,0)</f>
        <v>1</v>
      </c>
      <c r="H316" s="12">
        <f t="shared" si="4"/>
        <v>0</v>
      </c>
    </row>
    <row r="317" spans="3:8" x14ac:dyDescent="0.25">
      <c r="C317" t="str">
        <f>'TRA TECH'!J315</f>
        <v>TRAOTHAIRTURGJE20</v>
      </c>
      <c r="G317" s="12">
        <f>IF(SUMIFS('TRA TECH'!M:M,'TRA TECH'!J:J,C317)&gt;0,1,0)</f>
        <v>1</v>
      </c>
      <c r="H317" s="12">
        <f t="shared" si="4"/>
        <v>0</v>
      </c>
    </row>
    <row r="318" spans="3:8" x14ac:dyDescent="0.25">
      <c r="C318" t="str">
        <f>'TRA TECH'!J316</f>
        <v>TRAOTHAIRTURORE20</v>
      </c>
      <c r="G318" s="12">
        <f>IF(SUMIFS('TRA TECH'!M:M,'TRA TECH'!J:J,C318)&gt;0,1,0)</f>
        <v>1</v>
      </c>
      <c r="H318" s="12">
        <f t="shared" si="4"/>
        <v>0</v>
      </c>
    </row>
    <row r="319" spans="3:8" x14ac:dyDescent="0.25">
      <c r="C319" t="str">
        <f>'TRA TECH'!J317</f>
        <v>TRAOTHAIRTURORE20</v>
      </c>
      <c r="G319" s="12">
        <f>IF(SUMIFS('TRA TECH'!M:M,'TRA TECH'!J:J,C319)&gt;0,1,0)</f>
        <v>1</v>
      </c>
      <c r="H319" s="12">
        <f t="shared" si="4"/>
        <v>0</v>
      </c>
    </row>
    <row r="320" spans="3:8" x14ac:dyDescent="0.25">
      <c r="C320" t="str">
        <f>'TRA TECH'!J318</f>
        <v>TRAOTHAIRICEVAGA20</v>
      </c>
      <c r="G320" s="12">
        <f>IF(SUMIFS('TRA TECH'!M:M,'TRA TECH'!J:J,C320)&gt;0,1,0)</f>
        <v>1</v>
      </c>
      <c r="H320" s="12">
        <f t="shared" si="4"/>
        <v>0</v>
      </c>
    </row>
    <row r="321" spans="3:8" x14ac:dyDescent="0.25">
      <c r="C321" t="str">
        <f>'TRA TECH'!J319</f>
        <v>TRAOTHAIRICEIAGA20</v>
      </c>
      <c r="G321" s="12">
        <f>IF(SUMIFS('TRA TECH'!M:M,'TRA TECH'!J:J,C321)&gt;0,1,0)</f>
        <v>1</v>
      </c>
      <c r="H321" s="12">
        <f t="shared" si="4"/>
        <v>0</v>
      </c>
    </row>
    <row r="322" spans="3:8" x14ac:dyDescent="0.25">
      <c r="C322" t="str">
        <f>'TRA TECH'!J321</f>
        <v>TRALDTRESCHA19</v>
      </c>
      <c r="G322" s="12">
        <f>IF(SUMIFS('TRA TECH'!M:M,'TRA TECH'!J:J,C322)&gt;0,1,0)</f>
        <v>1</v>
      </c>
      <c r="H322" s="12">
        <f t="shared" si="4"/>
        <v>0</v>
      </c>
    </row>
    <row r="323" spans="3:8" x14ac:dyDescent="0.25">
      <c r="C323" t="str">
        <f>'TRA TECH'!J322</f>
        <v>TRALDTCOM1CHA19</v>
      </c>
      <c r="G323" s="12">
        <f>IF(SUMIFS('TRA TECH'!M:M,'TRA TECH'!J:J,C323)&gt;0,1,0)</f>
        <v>1</v>
      </c>
      <c r="H323" s="12">
        <f t="shared" si="4"/>
        <v>0</v>
      </c>
    </row>
    <row r="324" spans="3:8" x14ac:dyDescent="0.25">
      <c r="C324" t="str">
        <f>'TRA TECH'!J323</f>
        <v>TRALDTCOM2CHA19</v>
      </c>
      <c r="G324" s="12">
        <f>IF(SUMIFS('TRA TECH'!M:M,'TRA TECH'!J:J,C324)&gt;0,1,0)</f>
        <v>1</v>
      </c>
      <c r="H324" s="12">
        <f t="shared" si="4"/>
        <v>0</v>
      </c>
    </row>
    <row r="325" spans="3:8" x14ac:dyDescent="0.25">
      <c r="C325" t="str">
        <f>'TRA TECH'!J324</f>
        <v>TRALDTPUBCHA19</v>
      </c>
      <c r="G325" s="12">
        <f>IF(SUMIFS('TRA TECH'!M:M,'TRA TECH'!J:J,C325)&gt;0,1,0)</f>
        <v>1</v>
      </c>
      <c r="H325" s="12">
        <f t="shared" si="4"/>
        <v>0</v>
      </c>
    </row>
    <row r="326" spans="3:8" x14ac:dyDescent="0.25">
      <c r="C326" t="str">
        <f>'TRA TECH'!J325</f>
        <v>TRAHDTSLWCHA19</v>
      </c>
      <c r="G326" s="12">
        <f>IF(SUMIFS('TRA TECH'!M:M,'TRA TECH'!J:J,C326)&gt;0,1,0)</f>
        <v>1</v>
      </c>
      <c r="H326" s="12">
        <f t="shared" si="4"/>
        <v>0</v>
      </c>
    </row>
    <row r="327" spans="3:8" x14ac:dyDescent="0.25">
      <c r="C327" t="str">
        <f>'TRA TECH'!J326</f>
        <v>TRAHDTFASCHA19</v>
      </c>
      <c r="G327" s="12">
        <f>IF(SUMIFS('TRA TECH'!M:M,'TRA TECH'!J:J,C327)&gt;0,1,0)</f>
        <v>1</v>
      </c>
      <c r="H327" s="12">
        <f t="shared" si="4"/>
        <v>0</v>
      </c>
    </row>
    <row r="328" spans="3:8" x14ac:dyDescent="0.25">
      <c r="G328" s="12"/>
      <c r="H328" s="12"/>
    </row>
    <row r="329" spans="3:8" x14ac:dyDescent="0.25">
      <c r="G329" s="12"/>
      <c r="H329" s="12"/>
    </row>
    <row r="330" spans="3:8" x14ac:dyDescent="0.25">
      <c r="G330" s="12"/>
      <c r="H330" s="12"/>
    </row>
    <row r="331" spans="3:8" x14ac:dyDescent="0.25">
      <c r="G331" s="12"/>
      <c r="H331" s="12"/>
    </row>
    <row r="332" spans="3:8" x14ac:dyDescent="0.25">
      <c r="G332" s="12"/>
      <c r="H332" s="12"/>
    </row>
    <row r="333" spans="3:8" x14ac:dyDescent="0.25">
      <c r="G333" s="12"/>
      <c r="H333" s="12"/>
    </row>
    <row r="334" spans="3:8" x14ac:dyDescent="0.25">
      <c r="G334" s="12"/>
      <c r="H334" s="12"/>
    </row>
    <row r="335" spans="3:8" x14ac:dyDescent="0.25">
      <c r="G335" s="12"/>
      <c r="H335" s="12"/>
    </row>
    <row r="336" spans="3:8" x14ac:dyDescent="0.25">
      <c r="G336" s="12"/>
      <c r="H336" s="12"/>
    </row>
    <row r="337" spans="7:8" x14ac:dyDescent="0.25">
      <c r="G337" s="12"/>
      <c r="H337" s="12"/>
    </row>
    <row r="338" spans="7:8" x14ac:dyDescent="0.25">
      <c r="G338" s="12"/>
      <c r="H338" s="12"/>
    </row>
    <row r="339" spans="7:8" x14ac:dyDescent="0.25">
      <c r="G339" s="12"/>
      <c r="H339" s="12"/>
    </row>
    <row r="340" spans="7:8" x14ac:dyDescent="0.25">
      <c r="G340" s="12"/>
      <c r="H340" s="12"/>
    </row>
    <row r="341" spans="7:8" x14ac:dyDescent="0.25">
      <c r="G341" s="12"/>
      <c r="H341" s="12"/>
    </row>
    <row r="342" spans="7:8" x14ac:dyDescent="0.25">
      <c r="G342" s="12"/>
      <c r="H342" s="12"/>
    </row>
    <row r="343" spans="7:8" x14ac:dyDescent="0.25">
      <c r="G343" s="12"/>
      <c r="H343" s="12"/>
    </row>
    <row r="344" spans="7:8" x14ac:dyDescent="0.25">
      <c r="G344" s="12"/>
      <c r="H344" s="12"/>
    </row>
    <row r="345" spans="7:8" x14ac:dyDescent="0.25">
      <c r="G345" s="12"/>
      <c r="H345" s="12"/>
    </row>
    <row r="346" spans="7:8" x14ac:dyDescent="0.25">
      <c r="G346" s="12"/>
      <c r="H346" s="12"/>
    </row>
    <row r="347" spans="7:8" x14ac:dyDescent="0.25">
      <c r="G347" s="12"/>
      <c r="H347" s="12"/>
    </row>
    <row r="348" spans="7:8" x14ac:dyDescent="0.25">
      <c r="G348" s="12"/>
      <c r="H348" s="12"/>
    </row>
    <row r="349" spans="7:8" x14ac:dyDescent="0.25">
      <c r="G349" s="12"/>
      <c r="H349" s="12"/>
    </row>
    <row r="350" spans="7:8" x14ac:dyDescent="0.25">
      <c r="G350" s="12"/>
      <c r="H350" s="12"/>
    </row>
    <row r="351" spans="7:8" x14ac:dyDescent="0.25">
      <c r="G351" s="12"/>
      <c r="H351" s="12"/>
    </row>
    <row r="352" spans="7:8" x14ac:dyDescent="0.25">
      <c r="G352" s="12"/>
      <c r="H352" s="12"/>
    </row>
    <row r="353" spans="7:8" x14ac:dyDescent="0.25">
      <c r="G353" s="12"/>
      <c r="H353" s="12"/>
    </row>
    <row r="354" spans="7:8" x14ac:dyDescent="0.25">
      <c r="G354" s="12"/>
      <c r="H354" s="12"/>
    </row>
    <row r="355" spans="7:8" x14ac:dyDescent="0.25">
      <c r="G355" s="12"/>
      <c r="H355" s="12"/>
    </row>
    <row r="356" spans="7:8" x14ac:dyDescent="0.25">
      <c r="G356" s="12"/>
      <c r="H356" s="12"/>
    </row>
    <row r="357" spans="7:8" x14ac:dyDescent="0.25">
      <c r="G357" s="12"/>
      <c r="H357" s="12"/>
    </row>
    <row r="358" spans="7:8" x14ac:dyDescent="0.25">
      <c r="G358" s="12"/>
      <c r="H358" s="12"/>
    </row>
    <row r="359" spans="7:8" x14ac:dyDescent="0.25">
      <c r="G359" s="12"/>
      <c r="H359" s="12"/>
    </row>
    <row r="360" spans="7:8" x14ac:dyDescent="0.25">
      <c r="G360" s="12"/>
      <c r="H360" s="12"/>
    </row>
    <row r="361" spans="7:8" x14ac:dyDescent="0.25">
      <c r="G361" s="12"/>
      <c r="H361" s="12"/>
    </row>
    <row r="362" spans="7:8" x14ac:dyDescent="0.25">
      <c r="G362" s="12"/>
      <c r="H362" s="12"/>
    </row>
    <row r="363" spans="7:8" x14ac:dyDescent="0.25">
      <c r="G363" s="12"/>
      <c r="H363" s="12"/>
    </row>
    <row r="364" spans="7:8" x14ac:dyDescent="0.25">
      <c r="G364" s="12"/>
      <c r="H364" s="12"/>
    </row>
    <row r="365" spans="7:8" x14ac:dyDescent="0.25">
      <c r="G365" s="12"/>
      <c r="H365" s="12"/>
    </row>
    <row r="366" spans="7:8" x14ac:dyDescent="0.25">
      <c r="G366" s="12"/>
      <c r="H366" s="12"/>
    </row>
    <row r="367" spans="7:8" x14ac:dyDescent="0.25">
      <c r="G367" s="12"/>
      <c r="H367" s="12"/>
    </row>
    <row r="368" spans="7:8" x14ac:dyDescent="0.25">
      <c r="G368" s="12"/>
      <c r="H368" s="12"/>
    </row>
    <row r="369" spans="7:8" x14ac:dyDescent="0.25">
      <c r="G369" s="12"/>
      <c r="H369" s="12"/>
    </row>
    <row r="370" spans="7:8" x14ac:dyDescent="0.25">
      <c r="G370" s="12"/>
      <c r="H370" s="12"/>
    </row>
    <row r="371" spans="7:8" x14ac:dyDescent="0.25">
      <c r="G371" s="12"/>
      <c r="H371" s="12"/>
    </row>
    <row r="372" spans="7:8" x14ac:dyDescent="0.25">
      <c r="G372" s="12"/>
      <c r="H372" s="12"/>
    </row>
    <row r="373" spans="7:8" x14ac:dyDescent="0.25">
      <c r="G373" s="12"/>
      <c r="H373" s="12"/>
    </row>
    <row r="374" spans="7:8" x14ac:dyDescent="0.25">
      <c r="G374" s="12"/>
      <c r="H374" s="12"/>
    </row>
    <row r="375" spans="7:8" x14ac:dyDescent="0.25">
      <c r="G375" s="12"/>
      <c r="H375" s="12"/>
    </row>
    <row r="376" spans="7:8" x14ac:dyDescent="0.25">
      <c r="G376" s="12"/>
      <c r="H376" s="12"/>
    </row>
    <row r="377" spans="7:8" x14ac:dyDescent="0.25">
      <c r="G377" s="12"/>
      <c r="H377" s="12"/>
    </row>
    <row r="378" spans="7:8" x14ac:dyDescent="0.25">
      <c r="G378" s="12"/>
      <c r="H378" s="12"/>
    </row>
    <row r="379" spans="7:8" x14ac:dyDescent="0.25">
      <c r="G379" s="12"/>
      <c r="H379" s="12"/>
    </row>
    <row r="380" spans="7:8" x14ac:dyDescent="0.25">
      <c r="G380" s="12"/>
      <c r="H380" s="12"/>
    </row>
    <row r="381" spans="7:8" x14ac:dyDescent="0.25">
      <c r="G381" s="12"/>
      <c r="H381" s="12"/>
    </row>
    <row r="382" spans="7:8" x14ac:dyDescent="0.25">
      <c r="G382" s="12"/>
      <c r="H382" s="12"/>
    </row>
    <row r="383" spans="7:8" x14ac:dyDescent="0.25">
      <c r="G383" s="12"/>
      <c r="H383" s="12"/>
    </row>
    <row r="384" spans="7:8" x14ac:dyDescent="0.25">
      <c r="G384" s="12"/>
      <c r="H384" s="12"/>
    </row>
    <row r="385" spans="7:8" x14ac:dyDescent="0.25">
      <c r="G385" s="12"/>
      <c r="H385" s="12"/>
    </row>
    <row r="386" spans="7:8" x14ac:dyDescent="0.25">
      <c r="G386" s="12"/>
      <c r="H386" s="12"/>
    </row>
    <row r="387" spans="7:8" x14ac:dyDescent="0.25">
      <c r="G387" s="12"/>
      <c r="H387" s="12"/>
    </row>
    <row r="388" spans="7:8" x14ac:dyDescent="0.25">
      <c r="G388" s="12"/>
      <c r="H388" s="12"/>
    </row>
    <row r="389" spans="7:8" x14ac:dyDescent="0.25">
      <c r="G389" s="12"/>
      <c r="H389" s="12"/>
    </row>
    <row r="390" spans="7:8" x14ac:dyDescent="0.25">
      <c r="G390" s="12"/>
      <c r="H390" s="12"/>
    </row>
    <row r="391" spans="7:8" x14ac:dyDescent="0.25">
      <c r="G391" s="12"/>
      <c r="H391" s="12"/>
    </row>
    <row r="392" spans="7:8" x14ac:dyDescent="0.25">
      <c r="G392" s="12"/>
      <c r="H392" s="12"/>
    </row>
    <row r="393" spans="7:8" x14ac:dyDescent="0.25">
      <c r="G393" s="12"/>
      <c r="H393" s="12"/>
    </row>
    <row r="394" spans="7:8" x14ac:dyDescent="0.25">
      <c r="G394" s="12"/>
      <c r="H394" s="12"/>
    </row>
    <row r="395" spans="7:8" x14ac:dyDescent="0.25">
      <c r="G395" s="12"/>
      <c r="H395" s="12"/>
    </row>
    <row r="396" spans="7:8" x14ac:dyDescent="0.25">
      <c r="G396" s="12"/>
      <c r="H396" s="12"/>
    </row>
    <row r="397" spans="7:8" x14ac:dyDescent="0.25">
      <c r="G397" s="12"/>
      <c r="H397" s="12"/>
    </row>
    <row r="398" spans="7:8" x14ac:dyDescent="0.25">
      <c r="G398" s="12"/>
      <c r="H398" s="12"/>
    </row>
    <row r="399" spans="7:8" x14ac:dyDescent="0.25">
      <c r="G399" s="12"/>
      <c r="H399" s="12"/>
    </row>
    <row r="400" spans="7:8" x14ac:dyDescent="0.25">
      <c r="G400" s="12"/>
      <c r="H400" s="12"/>
    </row>
    <row r="401" spans="7:8" x14ac:dyDescent="0.25">
      <c r="G401" s="12"/>
      <c r="H401" s="12"/>
    </row>
    <row r="402" spans="7:8" x14ac:dyDescent="0.25">
      <c r="G402" s="12"/>
      <c r="H402" s="12"/>
    </row>
    <row r="403" spans="7:8" x14ac:dyDescent="0.25">
      <c r="G403" s="12"/>
      <c r="H403" s="12"/>
    </row>
    <row r="404" spans="7:8" x14ac:dyDescent="0.25">
      <c r="G404" s="12"/>
      <c r="H404" s="12"/>
    </row>
    <row r="405" spans="7:8" x14ac:dyDescent="0.25">
      <c r="G405" s="12"/>
      <c r="H405" s="12"/>
    </row>
    <row r="406" spans="7:8" x14ac:dyDescent="0.25">
      <c r="G406" s="12"/>
      <c r="H406" s="12"/>
    </row>
    <row r="407" spans="7:8" x14ac:dyDescent="0.25">
      <c r="G407" s="12"/>
      <c r="H407" s="12"/>
    </row>
    <row r="408" spans="7:8" x14ac:dyDescent="0.25">
      <c r="G408" s="12"/>
      <c r="H408" s="12"/>
    </row>
    <row r="409" spans="7:8" x14ac:dyDescent="0.25">
      <c r="G409" s="12"/>
      <c r="H409" s="12"/>
    </row>
    <row r="410" spans="7:8" x14ac:dyDescent="0.25">
      <c r="G410" s="12"/>
      <c r="H410" s="12"/>
    </row>
    <row r="411" spans="7:8" x14ac:dyDescent="0.25">
      <c r="G411" s="12"/>
      <c r="H411" s="12"/>
    </row>
    <row r="412" spans="7:8" x14ac:dyDescent="0.25">
      <c r="G412" s="12"/>
      <c r="H412" s="12"/>
    </row>
    <row r="413" spans="7:8" x14ac:dyDescent="0.25">
      <c r="G413" s="12"/>
      <c r="H413" s="12"/>
    </row>
    <row r="414" spans="7:8" x14ac:dyDescent="0.25">
      <c r="G414" s="12"/>
      <c r="H414" s="12"/>
    </row>
    <row r="415" spans="7:8" x14ac:dyDescent="0.25">
      <c r="G415" s="12"/>
      <c r="H415" s="12"/>
    </row>
    <row r="416" spans="7:8" x14ac:dyDescent="0.25">
      <c r="G416" s="12"/>
      <c r="H416" s="12"/>
    </row>
    <row r="417" spans="7:8" x14ac:dyDescent="0.25">
      <c r="G417" s="12"/>
      <c r="H417" s="12"/>
    </row>
    <row r="418" spans="7:8" x14ac:dyDescent="0.25">
      <c r="G418" s="12"/>
      <c r="H418" s="12"/>
    </row>
    <row r="419" spans="7:8" x14ac:dyDescent="0.25">
      <c r="G419" s="12"/>
      <c r="H419" s="12"/>
    </row>
    <row r="420" spans="7:8" x14ac:dyDescent="0.25">
      <c r="G420" s="12"/>
      <c r="H420" s="12"/>
    </row>
    <row r="421" spans="7:8" x14ac:dyDescent="0.25">
      <c r="G421" s="12"/>
      <c r="H421" s="12"/>
    </row>
    <row r="422" spans="7:8" x14ac:dyDescent="0.25">
      <c r="G422" s="12"/>
      <c r="H422" s="12"/>
    </row>
    <row r="423" spans="7:8" x14ac:dyDescent="0.25">
      <c r="G423" s="12"/>
      <c r="H423" s="12"/>
    </row>
    <row r="424" spans="7:8" x14ac:dyDescent="0.25">
      <c r="G424" s="12"/>
      <c r="H424" s="12"/>
    </row>
    <row r="425" spans="7:8" x14ac:dyDescent="0.25">
      <c r="G425" s="12"/>
      <c r="H425" s="12"/>
    </row>
    <row r="426" spans="7:8" x14ac:dyDescent="0.25">
      <c r="G426" s="12"/>
      <c r="H426" s="12"/>
    </row>
    <row r="427" spans="7:8" x14ac:dyDescent="0.25">
      <c r="G427" s="12"/>
      <c r="H427" s="12"/>
    </row>
    <row r="428" spans="7:8" x14ac:dyDescent="0.25">
      <c r="G428" s="12"/>
      <c r="H428" s="12"/>
    </row>
    <row r="429" spans="7:8" x14ac:dyDescent="0.25">
      <c r="G429" s="12"/>
      <c r="H429" s="12"/>
    </row>
    <row r="430" spans="7:8" x14ac:dyDescent="0.25">
      <c r="G430" s="12"/>
      <c r="H430" s="12"/>
    </row>
    <row r="431" spans="7:8" x14ac:dyDescent="0.25">
      <c r="G431" s="12"/>
      <c r="H431" s="12"/>
    </row>
    <row r="432" spans="7:8" x14ac:dyDescent="0.25">
      <c r="G432" s="12"/>
      <c r="H432" s="12"/>
    </row>
    <row r="433" spans="7:8" x14ac:dyDescent="0.25">
      <c r="G433" s="12"/>
      <c r="H433" s="12"/>
    </row>
    <row r="434" spans="7:8" x14ac:dyDescent="0.25">
      <c r="G434" s="12"/>
      <c r="H434" s="12"/>
    </row>
    <row r="435" spans="7:8" x14ac:dyDescent="0.25">
      <c r="G435" s="12"/>
      <c r="H435" s="12"/>
    </row>
    <row r="436" spans="7:8" x14ac:dyDescent="0.25">
      <c r="G436" s="12"/>
      <c r="H436" s="12"/>
    </row>
    <row r="437" spans="7:8" x14ac:dyDescent="0.25">
      <c r="G437" s="12"/>
      <c r="H437" s="12"/>
    </row>
    <row r="438" spans="7:8" x14ac:dyDescent="0.25">
      <c r="G438" s="12"/>
      <c r="H438" s="12"/>
    </row>
    <row r="439" spans="7:8" x14ac:dyDescent="0.25">
      <c r="G439" s="12"/>
      <c r="H439" s="12"/>
    </row>
    <row r="440" spans="7:8" x14ac:dyDescent="0.25">
      <c r="G440" s="12"/>
      <c r="H440" s="12"/>
    </row>
    <row r="441" spans="7:8" x14ac:dyDescent="0.25">
      <c r="G441" s="12"/>
      <c r="H441" s="12"/>
    </row>
    <row r="442" spans="7:8" x14ac:dyDescent="0.25">
      <c r="G442" s="12"/>
      <c r="H442" s="12"/>
    </row>
    <row r="443" spans="7:8" x14ac:dyDescent="0.25">
      <c r="G443" s="12"/>
      <c r="H443" s="12"/>
    </row>
    <row r="444" spans="7:8" x14ac:dyDescent="0.25">
      <c r="G444" s="12"/>
      <c r="H444" s="12"/>
    </row>
    <row r="445" spans="7:8" x14ac:dyDescent="0.25">
      <c r="G445" s="12"/>
      <c r="H445" s="12"/>
    </row>
    <row r="446" spans="7:8" x14ac:dyDescent="0.25">
      <c r="G446" s="12"/>
      <c r="H446" s="12"/>
    </row>
    <row r="447" spans="7:8" x14ac:dyDescent="0.25">
      <c r="G447" s="12"/>
      <c r="H447" s="12"/>
    </row>
    <row r="448" spans="7:8" x14ac:dyDescent="0.25">
      <c r="G448" s="12"/>
      <c r="H448" s="12"/>
    </row>
    <row r="449" spans="7:8" x14ac:dyDescent="0.25">
      <c r="G449" s="12"/>
      <c r="H449" s="12"/>
    </row>
    <row r="450" spans="7:8" x14ac:dyDescent="0.25">
      <c r="G450" s="12"/>
      <c r="H450" s="12"/>
    </row>
    <row r="451" spans="7:8" x14ac:dyDescent="0.25">
      <c r="G451" s="12"/>
      <c r="H451" s="12"/>
    </row>
    <row r="452" spans="7:8" x14ac:dyDescent="0.25">
      <c r="G452" s="12"/>
      <c r="H452" s="12"/>
    </row>
    <row r="453" spans="7:8" x14ac:dyDescent="0.25">
      <c r="G453" s="12"/>
      <c r="H453" s="12"/>
    </row>
    <row r="454" spans="7:8" x14ac:dyDescent="0.25">
      <c r="G454" s="12"/>
      <c r="H454" s="12"/>
    </row>
    <row r="455" spans="7:8" x14ac:dyDescent="0.25">
      <c r="G455" s="12"/>
      <c r="H455" s="12"/>
    </row>
    <row r="456" spans="7:8" x14ac:dyDescent="0.25">
      <c r="G456" s="12"/>
      <c r="H456" s="12"/>
    </row>
    <row r="457" spans="7:8" x14ac:dyDescent="0.25">
      <c r="G457" s="12"/>
      <c r="H457" s="12"/>
    </row>
    <row r="458" spans="7:8" x14ac:dyDescent="0.25">
      <c r="G458" s="12"/>
      <c r="H458" s="12"/>
    </row>
    <row r="459" spans="7:8" x14ac:dyDescent="0.25">
      <c r="G459" s="12"/>
      <c r="H459" s="12"/>
    </row>
    <row r="460" spans="7:8" x14ac:dyDescent="0.25">
      <c r="G460" s="12"/>
      <c r="H460" s="12"/>
    </row>
    <row r="461" spans="7:8" x14ac:dyDescent="0.25">
      <c r="G461" s="12"/>
      <c r="H461" s="12"/>
    </row>
    <row r="462" spans="7:8" x14ac:dyDescent="0.25">
      <c r="G462" s="12"/>
      <c r="H462" s="12"/>
    </row>
    <row r="463" spans="7:8" x14ac:dyDescent="0.25">
      <c r="G463" s="12"/>
      <c r="H463" s="12"/>
    </row>
    <row r="464" spans="7:8" x14ac:dyDescent="0.25">
      <c r="G464" s="12"/>
      <c r="H464" s="12"/>
    </row>
    <row r="465" spans="7:8" x14ac:dyDescent="0.25">
      <c r="G465" s="12"/>
      <c r="H465" s="12"/>
    </row>
    <row r="466" spans="7:8" x14ac:dyDescent="0.25">
      <c r="G466" s="12"/>
      <c r="H466" s="12"/>
    </row>
    <row r="467" spans="7:8" x14ac:dyDescent="0.25">
      <c r="G467" s="12"/>
      <c r="H467" s="12"/>
    </row>
    <row r="468" spans="7:8" x14ac:dyDescent="0.25">
      <c r="G468" s="12"/>
      <c r="H468" s="12"/>
    </row>
    <row r="469" spans="7:8" x14ac:dyDescent="0.25">
      <c r="G469" s="12"/>
      <c r="H469" s="12"/>
    </row>
    <row r="470" spans="7:8" x14ac:dyDescent="0.25">
      <c r="G470" s="12"/>
      <c r="H470" s="12"/>
    </row>
    <row r="471" spans="7:8" x14ac:dyDescent="0.25">
      <c r="G471" s="12"/>
      <c r="H471" s="12"/>
    </row>
    <row r="472" spans="7:8" x14ac:dyDescent="0.25">
      <c r="G472" s="12"/>
      <c r="H472" s="12"/>
    </row>
    <row r="473" spans="7:8" x14ac:dyDescent="0.25">
      <c r="G473" s="12"/>
      <c r="H473" s="12"/>
    </row>
    <row r="474" spans="7:8" x14ac:dyDescent="0.25">
      <c r="G474" s="12"/>
      <c r="H474" s="12"/>
    </row>
    <row r="475" spans="7:8" x14ac:dyDescent="0.25">
      <c r="G475" s="12"/>
      <c r="H475" s="12"/>
    </row>
    <row r="476" spans="7:8" x14ac:dyDescent="0.25">
      <c r="G476" s="12"/>
      <c r="H476" s="12"/>
    </row>
    <row r="477" spans="7:8" x14ac:dyDescent="0.25">
      <c r="G477" s="12"/>
      <c r="H477" s="12"/>
    </row>
    <row r="478" spans="7:8" x14ac:dyDescent="0.25">
      <c r="G478" s="12"/>
      <c r="H478" s="12"/>
    </row>
    <row r="479" spans="7:8" x14ac:dyDescent="0.25">
      <c r="G479" s="12"/>
      <c r="H479" s="12"/>
    </row>
    <row r="480" spans="7:8" x14ac:dyDescent="0.25">
      <c r="G480" s="12"/>
      <c r="H480" s="12"/>
    </row>
    <row r="481" spans="7:8" x14ac:dyDescent="0.25">
      <c r="G481" s="12"/>
      <c r="H481" s="12"/>
    </row>
    <row r="482" spans="7:8" x14ac:dyDescent="0.25">
      <c r="G482" s="12"/>
      <c r="H482" s="12"/>
    </row>
    <row r="483" spans="7:8" x14ac:dyDescent="0.25">
      <c r="G483" s="12"/>
      <c r="H483" s="12"/>
    </row>
    <row r="484" spans="7:8" x14ac:dyDescent="0.25">
      <c r="G484" s="12"/>
      <c r="H484" s="12"/>
    </row>
    <row r="485" spans="7:8" x14ac:dyDescent="0.25">
      <c r="G485" s="12"/>
      <c r="H485" s="12"/>
    </row>
    <row r="486" spans="7:8" x14ac:dyDescent="0.25">
      <c r="G486" s="12"/>
      <c r="H486" s="12"/>
    </row>
    <row r="487" spans="7:8" x14ac:dyDescent="0.25">
      <c r="G487" s="12"/>
      <c r="H487" s="12"/>
    </row>
    <row r="488" spans="7:8" x14ac:dyDescent="0.25">
      <c r="G488" s="12"/>
      <c r="H488" s="12"/>
    </row>
    <row r="489" spans="7:8" x14ac:dyDescent="0.25">
      <c r="G489" s="12"/>
      <c r="H489" s="12"/>
    </row>
    <row r="490" spans="7:8" x14ac:dyDescent="0.25">
      <c r="G490" s="12"/>
      <c r="H490" s="12"/>
    </row>
    <row r="491" spans="7:8" x14ac:dyDescent="0.25">
      <c r="G491" s="12"/>
      <c r="H491" s="12"/>
    </row>
    <row r="492" spans="7:8" x14ac:dyDescent="0.25">
      <c r="G492" s="12"/>
      <c r="H492" s="12"/>
    </row>
    <row r="493" spans="7:8" x14ac:dyDescent="0.25">
      <c r="G493" s="12"/>
      <c r="H493" s="12"/>
    </row>
    <row r="494" spans="7:8" x14ac:dyDescent="0.25">
      <c r="G494" s="12"/>
      <c r="H494" s="12"/>
    </row>
    <row r="495" spans="7:8" x14ac:dyDescent="0.25">
      <c r="G495" s="12"/>
      <c r="H495" s="12"/>
    </row>
    <row r="496" spans="7:8" x14ac:dyDescent="0.25">
      <c r="G496" s="12"/>
      <c r="H496" s="12"/>
    </row>
    <row r="497" spans="7:8" x14ac:dyDescent="0.25">
      <c r="G497" s="12"/>
      <c r="H497" s="12"/>
    </row>
    <row r="498" spans="7:8" x14ac:dyDescent="0.25">
      <c r="G498" s="12"/>
      <c r="H498" s="12"/>
    </row>
    <row r="499" spans="7:8" x14ac:dyDescent="0.25">
      <c r="G499" s="12"/>
      <c r="H499" s="12"/>
    </row>
    <row r="500" spans="7:8" x14ac:dyDescent="0.25">
      <c r="G500" s="12"/>
      <c r="H500" s="12"/>
    </row>
    <row r="501" spans="7:8" x14ac:dyDescent="0.25">
      <c r="G501" s="12"/>
      <c r="H501" s="12"/>
    </row>
    <row r="502" spans="7:8" x14ac:dyDescent="0.25">
      <c r="G502" s="12"/>
      <c r="H502" s="12"/>
    </row>
    <row r="503" spans="7:8" x14ac:dyDescent="0.25">
      <c r="G503" s="12"/>
      <c r="H503" s="12"/>
    </row>
    <row r="504" spans="7:8" x14ac:dyDescent="0.25">
      <c r="G504" s="12"/>
      <c r="H504" s="12"/>
    </row>
    <row r="505" spans="7:8" x14ac:dyDescent="0.25">
      <c r="G505" s="12"/>
      <c r="H505" s="12"/>
    </row>
    <row r="506" spans="7:8" x14ac:dyDescent="0.25">
      <c r="G506" s="12"/>
      <c r="H506" s="12"/>
    </row>
    <row r="507" spans="7:8" x14ac:dyDescent="0.25">
      <c r="G507" s="12"/>
      <c r="H507" s="12"/>
    </row>
    <row r="508" spans="7:8" x14ac:dyDescent="0.25">
      <c r="G508" s="12"/>
      <c r="H508" s="12"/>
    </row>
    <row r="509" spans="7:8" x14ac:dyDescent="0.25">
      <c r="G509" s="12"/>
      <c r="H509" s="12"/>
    </row>
    <row r="510" spans="7:8" x14ac:dyDescent="0.25">
      <c r="G510" s="12"/>
      <c r="H510" s="12"/>
    </row>
    <row r="511" spans="7:8" x14ac:dyDescent="0.25">
      <c r="G511" s="12"/>
      <c r="H511" s="12"/>
    </row>
    <row r="512" spans="7:8" x14ac:dyDescent="0.25">
      <c r="G512" s="12"/>
      <c r="H512" s="12"/>
    </row>
    <row r="513" spans="7:8" x14ac:dyDescent="0.25">
      <c r="G513" s="12"/>
      <c r="H513" s="12"/>
    </row>
    <row r="514" spans="7:8" x14ac:dyDescent="0.25">
      <c r="G514" s="12"/>
      <c r="H514" s="12"/>
    </row>
    <row r="515" spans="7:8" x14ac:dyDescent="0.25">
      <c r="G515" s="12"/>
      <c r="H515" s="12"/>
    </row>
    <row r="516" spans="7:8" x14ac:dyDescent="0.25">
      <c r="G516" s="12"/>
      <c r="H516" s="12"/>
    </row>
    <row r="517" spans="7:8" x14ac:dyDescent="0.25">
      <c r="G517" s="12"/>
      <c r="H517" s="12"/>
    </row>
    <row r="518" spans="7:8" x14ac:dyDescent="0.25">
      <c r="G518" s="12"/>
      <c r="H518" s="12"/>
    </row>
    <row r="519" spans="7:8" x14ac:dyDescent="0.25">
      <c r="G519" s="12"/>
      <c r="H519" s="12"/>
    </row>
    <row r="520" spans="7:8" x14ac:dyDescent="0.25">
      <c r="G520" s="12"/>
      <c r="H520" s="12"/>
    </row>
    <row r="521" spans="7:8" x14ac:dyDescent="0.25">
      <c r="G521" s="12"/>
      <c r="H521" s="12"/>
    </row>
    <row r="522" spans="7:8" x14ac:dyDescent="0.25">
      <c r="G522" s="12"/>
      <c r="H522" s="12"/>
    </row>
    <row r="523" spans="7:8" x14ac:dyDescent="0.25">
      <c r="G523" s="12"/>
      <c r="H523" s="12"/>
    </row>
    <row r="524" spans="7:8" x14ac:dyDescent="0.25">
      <c r="G524" s="12"/>
      <c r="H524" s="12"/>
    </row>
    <row r="525" spans="7:8" x14ac:dyDescent="0.25">
      <c r="G525" s="12"/>
      <c r="H525" s="12"/>
    </row>
    <row r="526" spans="7:8" x14ac:dyDescent="0.25">
      <c r="G526" s="12"/>
      <c r="H52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&gt;&gt; City Data</vt:lpstr>
      <vt:lpstr>City characteristics</vt:lpstr>
      <vt:lpstr>&gt;&gt; GC_NewTech</vt:lpstr>
      <vt:lpstr>TRA TECH</vt:lpstr>
      <vt:lpstr>&gt;&gt; TIMES</vt:lpstr>
      <vt:lpstr>Tech_availability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2025-04-08T18:32:34Z</dcterms:modified>
</cp:coreProperties>
</file>
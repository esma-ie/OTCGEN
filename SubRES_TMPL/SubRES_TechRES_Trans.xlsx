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79C7BCAA-3E69-4AE3-84A6-9EBB9D92B2B8}" xr6:coauthVersionLast="47" xr6:coauthVersionMax="47" xr10:uidLastSave="{00000000-0000-0000-0000-000000000000}"/>
  <bookViews>
    <workbookView xWindow="-120" yWindow="-120" windowWidth="25440" windowHeight="15270" firstSheet="6" activeTab="6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RES TECH" sheetId="5" r:id="rId5"/>
    <sheet name="&gt;&gt; TIMES" sheetId="6" r:id="rId6"/>
    <sheet name="Tech_availability" sheetId="7" r:id="rId7"/>
  </sheets>
  <definedNames>
    <definedName name="_Fill" localSheetId="2" hidden="1">#REF!</definedName>
    <definedName name="_Fill" hidden="1">#REF!</definedName>
    <definedName name="_xlnm._FilterDatabase" localSheetId="6" hidden="1">Tech_availability!$B$3:$H$3316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18" i="7" l="1"/>
  <c r="G3818" i="7"/>
  <c r="H3817" i="7"/>
  <c r="G3817" i="7"/>
  <c r="H3816" i="7"/>
  <c r="G3816" i="7"/>
  <c r="H3815" i="7"/>
  <c r="G3815" i="7"/>
  <c r="H3814" i="7"/>
  <c r="G3814" i="7"/>
  <c r="H3813" i="7"/>
  <c r="G3813" i="7"/>
  <c r="H3812" i="7"/>
  <c r="G3812" i="7"/>
  <c r="H3811" i="7"/>
  <c r="G3811" i="7"/>
  <c r="H3810" i="7"/>
  <c r="G3810" i="7"/>
  <c r="H3809" i="7"/>
  <c r="G3809" i="7"/>
  <c r="H3808" i="7"/>
  <c r="G3808" i="7"/>
  <c r="H3807" i="7"/>
  <c r="G3807" i="7"/>
  <c r="H3806" i="7"/>
  <c r="G3806" i="7"/>
  <c r="H3805" i="7"/>
  <c r="G3805" i="7"/>
  <c r="H3804" i="7"/>
  <c r="G3804" i="7"/>
  <c r="H3803" i="7"/>
  <c r="G3803" i="7"/>
  <c r="H3802" i="7"/>
  <c r="G3802" i="7"/>
  <c r="H3801" i="7"/>
  <c r="G3801" i="7"/>
  <c r="H3800" i="7"/>
  <c r="G3800" i="7"/>
  <c r="H3799" i="7"/>
  <c r="G3799" i="7"/>
  <c r="H3798" i="7"/>
  <c r="G3798" i="7"/>
  <c r="H3797" i="7"/>
  <c r="G3797" i="7"/>
  <c r="H3796" i="7"/>
  <c r="G3796" i="7"/>
  <c r="H3795" i="7"/>
  <c r="G3795" i="7"/>
  <c r="H3794" i="7"/>
  <c r="G3794" i="7"/>
  <c r="H3793" i="7"/>
  <c r="G3793" i="7"/>
  <c r="H3792" i="7"/>
  <c r="G3792" i="7"/>
  <c r="H3791" i="7"/>
  <c r="G3791" i="7"/>
  <c r="H3790" i="7"/>
  <c r="G3790" i="7"/>
  <c r="H3789" i="7"/>
  <c r="G3789" i="7"/>
  <c r="H3788" i="7"/>
  <c r="G3788" i="7"/>
  <c r="H3787" i="7"/>
  <c r="G3787" i="7"/>
  <c r="H3786" i="7"/>
  <c r="G3786" i="7"/>
  <c r="H3785" i="7"/>
  <c r="G3785" i="7"/>
  <c r="H3784" i="7"/>
  <c r="G3784" i="7"/>
  <c r="H3783" i="7"/>
  <c r="G3783" i="7"/>
  <c r="H3782" i="7"/>
  <c r="G3782" i="7"/>
  <c r="H3781" i="7"/>
  <c r="G3781" i="7"/>
  <c r="H3780" i="7"/>
  <c r="G3780" i="7"/>
  <c r="H3779" i="7"/>
  <c r="G3779" i="7"/>
  <c r="H3778" i="7"/>
  <c r="G3778" i="7"/>
  <c r="H3777" i="7"/>
  <c r="G3777" i="7"/>
  <c r="H3776" i="7"/>
  <c r="G3776" i="7"/>
  <c r="H3775" i="7"/>
  <c r="G3775" i="7"/>
  <c r="H3774" i="7"/>
  <c r="G3774" i="7"/>
  <c r="H3773" i="7"/>
  <c r="G3773" i="7"/>
  <c r="H3772" i="7"/>
  <c r="G3772" i="7"/>
  <c r="H3771" i="7"/>
  <c r="G3771" i="7"/>
  <c r="H3770" i="7"/>
  <c r="G3770" i="7"/>
  <c r="H3769" i="7"/>
  <c r="G3769" i="7"/>
  <c r="H3768" i="7"/>
  <c r="G3768" i="7"/>
  <c r="H3767" i="7"/>
  <c r="G3767" i="7"/>
  <c r="H3766" i="7"/>
  <c r="G3766" i="7"/>
  <c r="H3765" i="7"/>
  <c r="G3765" i="7"/>
  <c r="H3764" i="7"/>
  <c r="G3764" i="7"/>
  <c r="H3763" i="7"/>
  <c r="G3763" i="7"/>
  <c r="H3762" i="7"/>
  <c r="G3762" i="7"/>
  <c r="H3761" i="7"/>
  <c r="G3761" i="7"/>
  <c r="H3760" i="7"/>
  <c r="G3760" i="7"/>
  <c r="H3759" i="7"/>
  <c r="G3759" i="7"/>
  <c r="H3758" i="7"/>
  <c r="G3758" i="7"/>
  <c r="H3757" i="7"/>
  <c r="G3757" i="7"/>
  <c r="H3756" i="7"/>
  <c r="G3756" i="7"/>
  <c r="H3755" i="7"/>
  <c r="G3755" i="7"/>
  <c r="H3754" i="7"/>
  <c r="G3754" i="7"/>
  <c r="H3753" i="7"/>
  <c r="G3753" i="7"/>
  <c r="H3752" i="7"/>
  <c r="G3752" i="7"/>
  <c r="H3751" i="7"/>
  <c r="G3751" i="7"/>
  <c r="H3750" i="7"/>
  <c r="G3750" i="7"/>
  <c r="H3749" i="7"/>
  <c r="G3749" i="7"/>
  <c r="H3748" i="7"/>
  <c r="G3748" i="7"/>
  <c r="H3747" i="7"/>
  <c r="G3747" i="7"/>
  <c r="H3746" i="7"/>
  <c r="G3746" i="7"/>
  <c r="H3745" i="7"/>
  <c r="G3745" i="7"/>
  <c r="H3744" i="7"/>
  <c r="G3744" i="7"/>
  <c r="H3743" i="7"/>
  <c r="G3743" i="7"/>
  <c r="H3742" i="7"/>
  <c r="G3742" i="7"/>
  <c r="H3741" i="7"/>
  <c r="G3741" i="7"/>
  <c r="H3740" i="7"/>
  <c r="G3740" i="7"/>
  <c r="H3739" i="7"/>
  <c r="G3739" i="7"/>
  <c r="H3738" i="7"/>
  <c r="G3738" i="7"/>
  <c r="H3737" i="7"/>
  <c r="G3737" i="7"/>
  <c r="H3736" i="7"/>
  <c r="G3736" i="7"/>
  <c r="H3735" i="7"/>
  <c r="G3735" i="7"/>
  <c r="H3734" i="7"/>
  <c r="G3734" i="7"/>
  <c r="H3733" i="7"/>
  <c r="G3733" i="7"/>
  <c r="H3732" i="7"/>
  <c r="G3732" i="7"/>
  <c r="H3731" i="7"/>
  <c r="G3731" i="7"/>
  <c r="H3730" i="7"/>
  <c r="G3730" i="7"/>
  <c r="H3729" i="7"/>
  <c r="G3729" i="7"/>
  <c r="H3728" i="7"/>
  <c r="G3728" i="7"/>
  <c r="H3727" i="7"/>
  <c r="G3727" i="7"/>
  <c r="H3726" i="7"/>
  <c r="G3726" i="7"/>
  <c r="H3725" i="7"/>
  <c r="G3725" i="7"/>
  <c r="H3724" i="7"/>
  <c r="G3724" i="7"/>
  <c r="H3723" i="7"/>
  <c r="G3723" i="7"/>
  <c r="H3722" i="7"/>
  <c r="G3722" i="7"/>
  <c r="H3721" i="7"/>
  <c r="G3721" i="7"/>
  <c r="H3720" i="7"/>
  <c r="G3720" i="7"/>
  <c r="H3719" i="7"/>
  <c r="G3719" i="7"/>
  <c r="H3718" i="7"/>
  <c r="G3718" i="7"/>
  <c r="H3717" i="7"/>
  <c r="G3717" i="7"/>
  <c r="H3716" i="7"/>
  <c r="G3716" i="7"/>
  <c r="H3715" i="7"/>
  <c r="G3715" i="7"/>
  <c r="H3714" i="7"/>
  <c r="G3714" i="7"/>
  <c r="H3713" i="7"/>
  <c r="G3713" i="7"/>
  <c r="H3712" i="7"/>
  <c r="G3712" i="7"/>
  <c r="H3711" i="7"/>
  <c r="G3711" i="7"/>
  <c r="H3710" i="7"/>
  <c r="G3710" i="7"/>
  <c r="H3709" i="7"/>
  <c r="G3709" i="7"/>
  <c r="H3708" i="7"/>
  <c r="G3708" i="7"/>
  <c r="H3707" i="7"/>
  <c r="G3707" i="7"/>
  <c r="H3706" i="7"/>
  <c r="G3706" i="7"/>
  <c r="H3705" i="7"/>
  <c r="G3705" i="7"/>
  <c r="H3704" i="7"/>
  <c r="G3704" i="7"/>
  <c r="H3703" i="7"/>
  <c r="G3703" i="7"/>
  <c r="H3702" i="7"/>
  <c r="G3702" i="7"/>
  <c r="H3701" i="7"/>
  <c r="G3701" i="7"/>
  <c r="H3700" i="7"/>
  <c r="G3700" i="7"/>
  <c r="H3699" i="7"/>
  <c r="G3699" i="7"/>
  <c r="H3698" i="7"/>
  <c r="G3698" i="7"/>
  <c r="H3697" i="7"/>
  <c r="G3697" i="7"/>
  <c r="H3696" i="7"/>
  <c r="G3696" i="7"/>
  <c r="H3695" i="7"/>
  <c r="G3695" i="7"/>
  <c r="H3694" i="7"/>
  <c r="G3694" i="7"/>
  <c r="H3693" i="7"/>
  <c r="G3693" i="7"/>
  <c r="H3692" i="7"/>
  <c r="G3692" i="7"/>
  <c r="H3691" i="7"/>
  <c r="G3691" i="7"/>
  <c r="H3690" i="7"/>
  <c r="G3690" i="7"/>
  <c r="H3689" i="7"/>
  <c r="G3689" i="7"/>
  <c r="H3688" i="7"/>
  <c r="G3688" i="7"/>
  <c r="H3687" i="7"/>
  <c r="G3687" i="7"/>
  <c r="H3686" i="7"/>
  <c r="G3686" i="7"/>
  <c r="H3685" i="7"/>
  <c r="G3685" i="7"/>
  <c r="H3684" i="7"/>
  <c r="G3684" i="7"/>
  <c r="H3683" i="7"/>
  <c r="G3683" i="7"/>
  <c r="H3682" i="7"/>
  <c r="G3682" i="7"/>
  <c r="H3681" i="7"/>
  <c r="G3681" i="7"/>
  <c r="H3680" i="7"/>
  <c r="G3680" i="7"/>
  <c r="H3679" i="7"/>
  <c r="G3679" i="7"/>
  <c r="H3678" i="7"/>
  <c r="G3678" i="7"/>
  <c r="H3677" i="7"/>
  <c r="G3677" i="7"/>
  <c r="H3676" i="7"/>
  <c r="G3676" i="7"/>
  <c r="H3675" i="7"/>
  <c r="G3675" i="7"/>
  <c r="H3674" i="7"/>
  <c r="G3674" i="7"/>
  <c r="H3673" i="7"/>
  <c r="G3673" i="7"/>
  <c r="H3672" i="7"/>
  <c r="G3672" i="7"/>
  <c r="H3671" i="7"/>
  <c r="G3671" i="7"/>
  <c r="H3670" i="7"/>
  <c r="G3670" i="7"/>
  <c r="H3669" i="7"/>
  <c r="G3669" i="7"/>
  <c r="H3668" i="7"/>
  <c r="G3668" i="7"/>
  <c r="H3667" i="7"/>
  <c r="G3667" i="7"/>
  <c r="H3666" i="7"/>
  <c r="G3666" i="7"/>
  <c r="H3665" i="7"/>
  <c r="G3665" i="7"/>
  <c r="H3664" i="7"/>
  <c r="G3664" i="7"/>
  <c r="H3663" i="7"/>
  <c r="G3663" i="7"/>
  <c r="H3662" i="7"/>
  <c r="G3662" i="7"/>
  <c r="H3661" i="7"/>
  <c r="G3661" i="7"/>
  <c r="H3660" i="7"/>
  <c r="G3660" i="7"/>
  <c r="H3659" i="7"/>
  <c r="G3659" i="7"/>
  <c r="H3658" i="7"/>
  <c r="G3658" i="7"/>
  <c r="H3657" i="7"/>
  <c r="G3657" i="7"/>
  <c r="H3656" i="7"/>
  <c r="G3656" i="7"/>
  <c r="H3655" i="7"/>
  <c r="G3655" i="7"/>
  <c r="H3654" i="7"/>
  <c r="G3654" i="7"/>
  <c r="H3653" i="7"/>
  <c r="G3653" i="7"/>
  <c r="H3652" i="7"/>
  <c r="G3652" i="7"/>
  <c r="H3651" i="7"/>
  <c r="G3651" i="7"/>
  <c r="H3650" i="7"/>
  <c r="G3650" i="7"/>
  <c r="H3649" i="7"/>
  <c r="G3649" i="7"/>
  <c r="H3648" i="7"/>
  <c r="G3648" i="7"/>
  <c r="H3647" i="7"/>
  <c r="G3647" i="7"/>
  <c r="H3646" i="7"/>
  <c r="G3646" i="7"/>
  <c r="H3645" i="7"/>
  <c r="G3645" i="7"/>
  <c r="H3644" i="7"/>
  <c r="G3644" i="7"/>
  <c r="H3643" i="7"/>
  <c r="G3643" i="7"/>
  <c r="H3642" i="7"/>
  <c r="G3642" i="7"/>
  <c r="H3641" i="7"/>
  <c r="G3641" i="7"/>
  <c r="H3640" i="7"/>
  <c r="G3640" i="7"/>
  <c r="H3639" i="7"/>
  <c r="G3639" i="7"/>
  <c r="H3638" i="7"/>
  <c r="G3638" i="7"/>
  <c r="H3637" i="7"/>
  <c r="G3637" i="7"/>
  <c r="H3636" i="7"/>
  <c r="G3636" i="7"/>
  <c r="H3635" i="7"/>
  <c r="G3635" i="7"/>
  <c r="H3634" i="7"/>
  <c r="G3634" i="7"/>
  <c r="H3633" i="7"/>
  <c r="G3633" i="7"/>
  <c r="H3632" i="7"/>
  <c r="G3632" i="7"/>
  <c r="H3631" i="7"/>
  <c r="G3631" i="7"/>
  <c r="H3630" i="7"/>
  <c r="G3630" i="7"/>
  <c r="H3629" i="7"/>
  <c r="G3629" i="7"/>
  <c r="H3628" i="7"/>
  <c r="G3628" i="7"/>
  <c r="H3627" i="7"/>
  <c r="G3627" i="7"/>
  <c r="H3626" i="7"/>
  <c r="G3626" i="7"/>
  <c r="H3625" i="7"/>
  <c r="G3625" i="7"/>
  <c r="H3624" i="7"/>
  <c r="G3624" i="7"/>
  <c r="H3623" i="7"/>
  <c r="G3623" i="7"/>
  <c r="H3622" i="7"/>
  <c r="G3622" i="7"/>
  <c r="H3621" i="7"/>
  <c r="G3621" i="7"/>
  <c r="H3620" i="7"/>
  <c r="G3620" i="7"/>
  <c r="H3619" i="7"/>
  <c r="G3619" i="7"/>
  <c r="H3618" i="7"/>
  <c r="G3618" i="7"/>
  <c r="H3617" i="7"/>
  <c r="G3617" i="7"/>
  <c r="H3616" i="7"/>
  <c r="G3616" i="7"/>
  <c r="H3615" i="7"/>
  <c r="G3615" i="7"/>
  <c r="H3614" i="7"/>
  <c r="G3614" i="7"/>
  <c r="H3613" i="7"/>
  <c r="G3613" i="7"/>
  <c r="H3612" i="7"/>
  <c r="G3612" i="7"/>
  <c r="H3611" i="7"/>
  <c r="G3611" i="7"/>
  <c r="H3610" i="7"/>
  <c r="G3610" i="7"/>
  <c r="H3609" i="7"/>
  <c r="G3609" i="7"/>
  <c r="H3608" i="7"/>
  <c r="G3608" i="7"/>
  <c r="H3607" i="7"/>
  <c r="G3607" i="7"/>
  <c r="H3606" i="7"/>
  <c r="G3606" i="7"/>
  <c r="H3605" i="7"/>
  <c r="G3605" i="7"/>
  <c r="H3604" i="7"/>
  <c r="G3604" i="7"/>
  <c r="H3603" i="7"/>
  <c r="G3603" i="7"/>
  <c r="H3602" i="7"/>
  <c r="G3602" i="7"/>
  <c r="H3601" i="7"/>
  <c r="G3601" i="7"/>
  <c r="H3600" i="7"/>
  <c r="G3600" i="7"/>
  <c r="H3599" i="7"/>
  <c r="G3599" i="7"/>
  <c r="H3598" i="7"/>
  <c r="G3598" i="7"/>
  <c r="H3597" i="7"/>
  <c r="G3597" i="7"/>
  <c r="H3596" i="7"/>
  <c r="G3596" i="7"/>
  <c r="H3595" i="7"/>
  <c r="G3595" i="7"/>
  <c r="H3594" i="7"/>
  <c r="G3594" i="7"/>
  <c r="H3593" i="7"/>
  <c r="G3593" i="7"/>
  <c r="H3592" i="7"/>
  <c r="G3592" i="7"/>
  <c r="C3316" i="7"/>
  <c r="H3316" i="7" s="1"/>
  <c r="H3315" i="7"/>
  <c r="C3315" i="7"/>
  <c r="G3315" i="7" s="1"/>
  <c r="C3314" i="7"/>
  <c r="H3314" i="7" s="1"/>
  <c r="C3313" i="7"/>
  <c r="C3312" i="7"/>
  <c r="H3312" i="7" s="1"/>
  <c r="H3311" i="7"/>
  <c r="C3311" i="7"/>
  <c r="G3311" i="7" s="1"/>
  <c r="G3310" i="7"/>
  <c r="C3310" i="7"/>
  <c r="H3310" i="7" s="1"/>
  <c r="H3309" i="7"/>
  <c r="C3309" i="7"/>
  <c r="G3309" i="7" s="1"/>
  <c r="C3308" i="7"/>
  <c r="H3308" i="7" s="1"/>
  <c r="H3307" i="7"/>
  <c r="C3307" i="7"/>
  <c r="G3307" i="7" s="1"/>
  <c r="G3306" i="7"/>
  <c r="C3306" i="7"/>
  <c r="H3306" i="7" s="1"/>
  <c r="H3305" i="7"/>
  <c r="G3305" i="7"/>
  <c r="C3305" i="7"/>
  <c r="G3304" i="7"/>
  <c r="C3304" i="7"/>
  <c r="H3304" i="7" s="1"/>
  <c r="H3303" i="7"/>
  <c r="C3303" i="7"/>
  <c r="G3303" i="7" s="1"/>
  <c r="C3302" i="7"/>
  <c r="C3301" i="7"/>
  <c r="H3301" i="7" s="1"/>
  <c r="C3300" i="7"/>
  <c r="H3300" i="7" s="1"/>
  <c r="H3299" i="7"/>
  <c r="C3299" i="7"/>
  <c r="G3299" i="7" s="1"/>
  <c r="G3298" i="7"/>
  <c r="C3298" i="7"/>
  <c r="H3298" i="7" s="1"/>
  <c r="C3297" i="7"/>
  <c r="G3297" i="7" s="1"/>
  <c r="G3296" i="7"/>
  <c r="C3296" i="7"/>
  <c r="H3296" i="7" s="1"/>
  <c r="H3295" i="7"/>
  <c r="C3295" i="7"/>
  <c r="G3295" i="7" s="1"/>
  <c r="G3294" i="7"/>
  <c r="C3294" i="7"/>
  <c r="H3294" i="7" s="1"/>
  <c r="H3293" i="7"/>
  <c r="G3293" i="7"/>
  <c r="C3293" i="7"/>
  <c r="G3292" i="7"/>
  <c r="C3292" i="7"/>
  <c r="H3292" i="7" s="1"/>
  <c r="H3291" i="7"/>
  <c r="C3291" i="7"/>
  <c r="G3291" i="7" s="1"/>
  <c r="C3290" i="7"/>
  <c r="H3290" i="7" s="1"/>
  <c r="H3289" i="7"/>
  <c r="G3289" i="7"/>
  <c r="C3289" i="7"/>
  <c r="C3288" i="7"/>
  <c r="H3287" i="7"/>
  <c r="C3287" i="7"/>
  <c r="G3287" i="7" s="1"/>
  <c r="C3286" i="7"/>
  <c r="H3285" i="7"/>
  <c r="G3285" i="7"/>
  <c r="C3285" i="7"/>
  <c r="C3284" i="7"/>
  <c r="H3283" i="7"/>
  <c r="C3283" i="7"/>
  <c r="G3283" i="7" s="1"/>
  <c r="G3282" i="7"/>
  <c r="C3282" i="7"/>
  <c r="H3282" i="7" s="1"/>
  <c r="C3281" i="7"/>
  <c r="G3281" i="7" s="1"/>
  <c r="G3280" i="7"/>
  <c r="C3280" i="7"/>
  <c r="H3280" i="7" s="1"/>
  <c r="H3279" i="7"/>
  <c r="C3279" i="7"/>
  <c r="G3279" i="7" s="1"/>
  <c r="G3278" i="7"/>
  <c r="C3278" i="7"/>
  <c r="H3278" i="7" s="1"/>
  <c r="H3277" i="7"/>
  <c r="G3277" i="7"/>
  <c r="C3277" i="7"/>
  <c r="G3276" i="7"/>
  <c r="C3276" i="7"/>
  <c r="H3276" i="7" s="1"/>
  <c r="H3275" i="7"/>
  <c r="C3275" i="7"/>
  <c r="G3275" i="7" s="1"/>
  <c r="C3274" i="7"/>
  <c r="H3274" i="7" s="1"/>
  <c r="H3273" i="7"/>
  <c r="G3273" i="7"/>
  <c r="C3273" i="7"/>
  <c r="C3272" i="7"/>
  <c r="H3272" i="7" s="1"/>
  <c r="H3271" i="7"/>
  <c r="C3271" i="7"/>
  <c r="G3271" i="7" s="1"/>
  <c r="C3270" i="7"/>
  <c r="C3269" i="7"/>
  <c r="H3269" i="7" s="1"/>
  <c r="G3268" i="7"/>
  <c r="C3268" i="7"/>
  <c r="H3268" i="7" s="1"/>
  <c r="H3267" i="7"/>
  <c r="C3267" i="7"/>
  <c r="G3267" i="7" s="1"/>
  <c r="G3266" i="7"/>
  <c r="C3266" i="7"/>
  <c r="H3266" i="7" s="1"/>
  <c r="C3265" i="7"/>
  <c r="C3264" i="7"/>
  <c r="H3264" i="7" s="1"/>
  <c r="H3263" i="7"/>
  <c r="C3263" i="7"/>
  <c r="G3263" i="7" s="1"/>
  <c r="G3262" i="7"/>
  <c r="C3262" i="7"/>
  <c r="H3262" i="7" s="1"/>
  <c r="H3261" i="7"/>
  <c r="G3261" i="7"/>
  <c r="C3261" i="7"/>
  <c r="G3260" i="7"/>
  <c r="C3260" i="7"/>
  <c r="H3260" i="7" s="1"/>
  <c r="H3259" i="7"/>
  <c r="C3259" i="7"/>
  <c r="G3259" i="7" s="1"/>
  <c r="G3258" i="7"/>
  <c r="C3258" i="7"/>
  <c r="H3258" i="7" s="1"/>
  <c r="H3257" i="7"/>
  <c r="G3257" i="7"/>
  <c r="C3257" i="7"/>
  <c r="C3256" i="7"/>
  <c r="H3255" i="7"/>
  <c r="C3255" i="7"/>
  <c r="G3255" i="7" s="1"/>
  <c r="C3254" i="7"/>
  <c r="H3253" i="7"/>
  <c r="G3253" i="7"/>
  <c r="C3253" i="7"/>
  <c r="G3252" i="7"/>
  <c r="C3252" i="7"/>
  <c r="H3252" i="7" s="1"/>
  <c r="H3251" i="7"/>
  <c r="C3251" i="7"/>
  <c r="G3251" i="7" s="1"/>
  <c r="G3250" i="7"/>
  <c r="C3250" i="7"/>
  <c r="H3250" i="7" s="1"/>
  <c r="C3249" i="7"/>
  <c r="G3249" i="7" s="1"/>
  <c r="C3248" i="7"/>
  <c r="H3247" i="7"/>
  <c r="C3247" i="7"/>
  <c r="G3247" i="7" s="1"/>
  <c r="G3246" i="7"/>
  <c r="C3246" i="7"/>
  <c r="H3246" i="7" s="1"/>
  <c r="H3245" i="7"/>
  <c r="G3245" i="7"/>
  <c r="C3245" i="7"/>
  <c r="G3244" i="7"/>
  <c r="C3244" i="7"/>
  <c r="H3244" i="7" s="1"/>
  <c r="H3243" i="7"/>
  <c r="C3243" i="7"/>
  <c r="G3243" i="7" s="1"/>
  <c r="C3242" i="7"/>
  <c r="H3241" i="7"/>
  <c r="G3241" i="7"/>
  <c r="C3241" i="7"/>
  <c r="G3240" i="7"/>
  <c r="C3240" i="7"/>
  <c r="H3240" i="7" s="1"/>
  <c r="H3239" i="7"/>
  <c r="C3239" i="7"/>
  <c r="G3239" i="7" s="1"/>
  <c r="C3238" i="7"/>
  <c r="C3237" i="7"/>
  <c r="C3236" i="7"/>
  <c r="H3236" i="7" s="1"/>
  <c r="H3235" i="7"/>
  <c r="C3235" i="7"/>
  <c r="G3235" i="7" s="1"/>
  <c r="G3234" i="7"/>
  <c r="C3234" i="7"/>
  <c r="H3234" i="7" s="1"/>
  <c r="C3233" i="7"/>
  <c r="C3232" i="7"/>
  <c r="H3232" i="7" s="1"/>
  <c r="H3231" i="7"/>
  <c r="C3231" i="7"/>
  <c r="G3231" i="7" s="1"/>
  <c r="G3230" i="7"/>
  <c r="C3230" i="7"/>
  <c r="H3230" i="7" s="1"/>
  <c r="H3229" i="7"/>
  <c r="G3229" i="7"/>
  <c r="C3229" i="7"/>
  <c r="G3228" i="7"/>
  <c r="C3228" i="7"/>
  <c r="H3228" i="7" s="1"/>
  <c r="H3227" i="7"/>
  <c r="C3227" i="7"/>
  <c r="G3227" i="7" s="1"/>
  <c r="G3226" i="7"/>
  <c r="C3226" i="7"/>
  <c r="H3226" i="7" s="1"/>
  <c r="H3225" i="7"/>
  <c r="G3225" i="7"/>
  <c r="C3225" i="7"/>
  <c r="C3224" i="7"/>
  <c r="H3223" i="7"/>
  <c r="C3223" i="7"/>
  <c r="G3223" i="7" s="1"/>
  <c r="C3222" i="7"/>
  <c r="H3221" i="7"/>
  <c r="C3221" i="7"/>
  <c r="G3221" i="7" s="1"/>
  <c r="C3220" i="7"/>
  <c r="H3219" i="7"/>
  <c r="C3219" i="7"/>
  <c r="G3219" i="7" s="1"/>
  <c r="G3218" i="7"/>
  <c r="C3218" i="7"/>
  <c r="H3218" i="7" s="1"/>
  <c r="H3217" i="7"/>
  <c r="C3217" i="7"/>
  <c r="G3217" i="7" s="1"/>
  <c r="C3216" i="7"/>
  <c r="H3215" i="7"/>
  <c r="C3215" i="7"/>
  <c r="G3215" i="7" s="1"/>
  <c r="G3214" i="7"/>
  <c r="C3214" i="7"/>
  <c r="H3214" i="7" s="1"/>
  <c r="H3213" i="7"/>
  <c r="G3213" i="7"/>
  <c r="C3213" i="7"/>
  <c r="G3212" i="7"/>
  <c r="C3212" i="7"/>
  <c r="H3212" i="7" s="1"/>
  <c r="H3211" i="7"/>
  <c r="C3211" i="7"/>
  <c r="G3211" i="7" s="1"/>
  <c r="G3210" i="7"/>
  <c r="C3210" i="7"/>
  <c r="H3210" i="7" s="1"/>
  <c r="H3209" i="7"/>
  <c r="G3209" i="7"/>
  <c r="C3209" i="7"/>
  <c r="C3208" i="7"/>
  <c r="H3208" i="7" s="1"/>
  <c r="H3207" i="7"/>
  <c r="C3207" i="7"/>
  <c r="G3207" i="7" s="1"/>
  <c r="C3206" i="7"/>
  <c r="C3205" i="7"/>
  <c r="C3204" i="7"/>
  <c r="H3204" i="7" s="1"/>
  <c r="H3203" i="7"/>
  <c r="C3203" i="7"/>
  <c r="G3203" i="7" s="1"/>
  <c r="G3202" i="7"/>
  <c r="C3202" i="7"/>
  <c r="H3202" i="7" s="1"/>
  <c r="H3201" i="7"/>
  <c r="C3201" i="7"/>
  <c r="G3201" i="7" s="1"/>
  <c r="G3200" i="7"/>
  <c r="C3200" i="7"/>
  <c r="H3200" i="7" s="1"/>
  <c r="H3199" i="7"/>
  <c r="C3199" i="7"/>
  <c r="G3199" i="7" s="1"/>
  <c r="G3198" i="7"/>
  <c r="C3198" i="7"/>
  <c r="H3198" i="7" s="1"/>
  <c r="H3197" i="7"/>
  <c r="G3197" i="7"/>
  <c r="C3197" i="7"/>
  <c r="G3196" i="7"/>
  <c r="C3196" i="7"/>
  <c r="H3196" i="7" s="1"/>
  <c r="H3195" i="7"/>
  <c r="C3195" i="7"/>
  <c r="G3195" i="7" s="1"/>
  <c r="G3194" i="7"/>
  <c r="C3194" i="7"/>
  <c r="H3194" i="7" s="1"/>
  <c r="H3193" i="7"/>
  <c r="G3193" i="7"/>
  <c r="C3193" i="7"/>
  <c r="C3192" i="7"/>
  <c r="H3191" i="7"/>
  <c r="C3191" i="7"/>
  <c r="G3191" i="7" s="1"/>
  <c r="C3190" i="7"/>
  <c r="H3189" i="7"/>
  <c r="G3189" i="7"/>
  <c r="C3189" i="7"/>
  <c r="C3188" i="7"/>
  <c r="H3187" i="7"/>
  <c r="C3187" i="7"/>
  <c r="G3187" i="7" s="1"/>
  <c r="G3186" i="7"/>
  <c r="C3186" i="7"/>
  <c r="H3186" i="7" s="1"/>
  <c r="H3185" i="7"/>
  <c r="C3185" i="7"/>
  <c r="G3185" i="7" s="1"/>
  <c r="G3184" i="7"/>
  <c r="C3184" i="7"/>
  <c r="H3184" i="7" s="1"/>
  <c r="H3183" i="7"/>
  <c r="C3183" i="7"/>
  <c r="G3183" i="7" s="1"/>
  <c r="G3182" i="7"/>
  <c r="C3182" i="7"/>
  <c r="H3182" i="7" s="1"/>
  <c r="H3181" i="7"/>
  <c r="G3181" i="7"/>
  <c r="C3181" i="7"/>
  <c r="G3180" i="7"/>
  <c r="C3180" i="7"/>
  <c r="H3180" i="7" s="1"/>
  <c r="H3179" i="7"/>
  <c r="C3179" i="7"/>
  <c r="G3179" i="7" s="1"/>
  <c r="C3178" i="7"/>
  <c r="H3178" i="7" s="1"/>
  <c r="H3177" i="7"/>
  <c r="G3177" i="7"/>
  <c r="C3177" i="7"/>
  <c r="C3176" i="7"/>
  <c r="H3176" i="7" s="1"/>
  <c r="H3175" i="7"/>
  <c r="C3175" i="7"/>
  <c r="G3175" i="7" s="1"/>
  <c r="C3174" i="7"/>
  <c r="H3173" i="7"/>
  <c r="G3173" i="7"/>
  <c r="C3173" i="7"/>
  <c r="G3172" i="7"/>
  <c r="C3172" i="7"/>
  <c r="H3172" i="7" s="1"/>
  <c r="H3171" i="7"/>
  <c r="C3171" i="7"/>
  <c r="G3171" i="7" s="1"/>
  <c r="G3170" i="7"/>
  <c r="C3170" i="7"/>
  <c r="H3170" i="7" s="1"/>
  <c r="C3169" i="7"/>
  <c r="C3168" i="7"/>
  <c r="H3168" i="7" s="1"/>
  <c r="C3167" i="7"/>
  <c r="G3166" i="7"/>
  <c r="C3166" i="7"/>
  <c r="H3166" i="7" s="1"/>
  <c r="H3165" i="7"/>
  <c r="G3165" i="7"/>
  <c r="C3165" i="7"/>
  <c r="G3164" i="7"/>
  <c r="C3164" i="7"/>
  <c r="H3164" i="7" s="1"/>
  <c r="C3163" i="7"/>
  <c r="C3162" i="7"/>
  <c r="H3162" i="7" s="1"/>
  <c r="H3161" i="7"/>
  <c r="G3161" i="7"/>
  <c r="C3161" i="7"/>
  <c r="C3160" i="7"/>
  <c r="C3159" i="7"/>
  <c r="C3158" i="7"/>
  <c r="G3157" i="7"/>
  <c r="C3157" i="7"/>
  <c r="H3157" i="7" s="1"/>
  <c r="C3156" i="7"/>
  <c r="C3155" i="7"/>
  <c r="G3154" i="7"/>
  <c r="C3154" i="7"/>
  <c r="H3154" i="7" s="1"/>
  <c r="C3153" i="7"/>
  <c r="C3152" i="7"/>
  <c r="H3152" i="7" s="1"/>
  <c r="C3151" i="7"/>
  <c r="G3150" i="7"/>
  <c r="C3150" i="7"/>
  <c r="H3150" i="7" s="1"/>
  <c r="H3149" i="7"/>
  <c r="G3149" i="7"/>
  <c r="C3149" i="7"/>
  <c r="G3148" i="7"/>
  <c r="C3148" i="7"/>
  <c r="H3148" i="7" s="1"/>
  <c r="H3147" i="7"/>
  <c r="C3147" i="7"/>
  <c r="G3147" i="7" s="1"/>
  <c r="G3146" i="7"/>
  <c r="C3146" i="7"/>
  <c r="H3146" i="7" s="1"/>
  <c r="H3145" i="7"/>
  <c r="G3145" i="7"/>
  <c r="C3145" i="7"/>
  <c r="G3144" i="7"/>
  <c r="C3144" i="7"/>
  <c r="H3144" i="7" s="1"/>
  <c r="C3143" i="7"/>
  <c r="C3142" i="7"/>
  <c r="G3141" i="7"/>
  <c r="C3141" i="7"/>
  <c r="H3141" i="7" s="1"/>
  <c r="G3140" i="7"/>
  <c r="C3140" i="7"/>
  <c r="H3140" i="7" s="1"/>
  <c r="C3139" i="7"/>
  <c r="G3138" i="7"/>
  <c r="C3138" i="7"/>
  <c r="H3138" i="7" s="1"/>
  <c r="C3137" i="7"/>
  <c r="G3136" i="7"/>
  <c r="C3136" i="7"/>
  <c r="H3136" i="7" s="1"/>
  <c r="C3135" i="7"/>
  <c r="G3134" i="7"/>
  <c r="C3134" i="7"/>
  <c r="H3134" i="7" s="1"/>
  <c r="H3133" i="7"/>
  <c r="G3133" i="7"/>
  <c r="C3133" i="7"/>
  <c r="G3132" i="7"/>
  <c r="C3132" i="7"/>
  <c r="H3132" i="7" s="1"/>
  <c r="C3131" i="7"/>
  <c r="G3130" i="7"/>
  <c r="C3130" i="7"/>
  <c r="H3130" i="7" s="1"/>
  <c r="H3129" i="7"/>
  <c r="G3129" i="7"/>
  <c r="C3129" i="7"/>
  <c r="C3128" i="7"/>
  <c r="C3127" i="7"/>
  <c r="C3126" i="7"/>
  <c r="H3125" i="7"/>
  <c r="C3125" i="7"/>
  <c r="G3125" i="7" s="1"/>
  <c r="G3124" i="7"/>
  <c r="C3124" i="7"/>
  <c r="H3124" i="7" s="1"/>
  <c r="C3123" i="7"/>
  <c r="G3122" i="7"/>
  <c r="C3122" i="7"/>
  <c r="H3122" i="7" s="1"/>
  <c r="C3121" i="7"/>
  <c r="C3120" i="7"/>
  <c r="C3119" i="7"/>
  <c r="G3119" i="7" s="1"/>
  <c r="G3118" i="7"/>
  <c r="C3118" i="7"/>
  <c r="H3118" i="7" s="1"/>
  <c r="H3117" i="7"/>
  <c r="G3117" i="7"/>
  <c r="C3117" i="7"/>
  <c r="G3116" i="7"/>
  <c r="C3116" i="7"/>
  <c r="H3116" i="7" s="1"/>
  <c r="H3115" i="7"/>
  <c r="C3115" i="7"/>
  <c r="G3115" i="7" s="1"/>
  <c r="G3114" i="7"/>
  <c r="C3114" i="7"/>
  <c r="H3114" i="7" s="1"/>
  <c r="H3113" i="7"/>
  <c r="G3113" i="7"/>
  <c r="C3113" i="7"/>
  <c r="C3112" i="7"/>
  <c r="C3111" i="7"/>
  <c r="C3110" i="7"/>
  <c r="C3109" i="7"/>
  <c r="H3109" i="7" s="1"/>
  <c r="G3108" i="7"/>
  <c r="C3108" i="7"/>
  <c r="H3108" i="7" s="1"/>
  <c r="C3107" i="7"/>
  <c r="G3106" i="7"/>
  <c r="C3106" i="7"/>
  <c r="H3106" i="7" s="1"/>
  <c r="C3105" i="7"/>
  <c r="C3104" i="7"/>
  <c r="H3104" i="7" s="1"/>
  <c r="C3103" i="7"/>
  <c r="G3102" i="7"/>
  <c r="C3102" i="7"/>
  <c r="H3102" i="7" s="1"/>
  <c r="H3101" i="7"/>
  <c r="G3101" i="7"/>
  <c r="C3101" i="7"/>
  <c r="G3100" i="7"/>
  <c r="C3100" i="7"/>
  <c r="H3100" i="7" s="1"/>
  <c r="H3099" i="7"/>
  <c r="C3099" i="7"/>
  <c r="G3099" i="7" s="1"/>
  <c r="G3098" i="7"/>
  <c r="C3098" i="7"/>
  <c r="H3098" i="7" s="1"/>
  <c r="H3097" i="7"/>
  <c r="G3097" i="7"/>
  <c r="C3097" i="7"/>
  <c r="C3096" i="7"/>
  <c r="H3096" i="7" s="1"/>
  <c r="C3095" i="7"/>
  <c r="C3094" i="7"/>
  <c r="G3093" i="7"/>
  <c r="C3093" i="7"/>
  <c r="H3093" i="7" s="1"/>
  <c r="G3092" i="7"/>
  <c r="C3092" i="7"/>
  <c r="H3092" i="7" s="1"/>
  <c r="C3091" i="7"/>
  <c r="G3090" i="7"/>
  <c r="C3090" i="7"/>
  <c r="H3090" i="7" s="1"/>
  <c r="C3089" i="7"/>
  <c r="G3088" i="7"/>
  <c r="C3088" i="7"/>
  <c r="H3088" i="7" s="1"/>
  <c r="C3087" i="7"/>
  <c r="G3086" i="7"/>
  <c r="C3086" i="7"/>
  <c r="H3086" i="7" s="1"/>
  <c r="H3085" i="7"/>
  <c r="G3085" i="7"/>
  <c r="C3085" i="7"/>
  <c r="G3084" i="7"/>
  <c r="C3084" i="7"/>
  <c r="H3084" i="7" s="1"/>
  <c r="C3083" i="7"/>
  <c r="G3082" i="7"/>
  <c r="C3082" i="7"/>
  <c r="H3082" i="7" s="1"/>
  <c r="H3081" i="7"/>
  <c r="G3081" i="7"/>
  <c r="C3081" i="7"/>
  <c r="C3080" i="7"/>
  <c r="C3079" i="7"/>
  <c r="C3078" i="7"/>
  <c r="H3077" i="7"/>
  <c r="G3077" i="7"/>
  <c r="C3077" i="7"/>
  <c r="G3076" i="7"/>
  <c r="C3076" i="7"/>
  <c r="H3076" i="7" s="1"/>
  <c r="C3075" i="7"/>
  <c r="G3074" i="7"/>
  <c r="C3074" i="7"/>
  <c r="H3074" i="7" s="1"/>
  <c r="C3073" i="7"/>
  <c r="C3072" i="7"/>
  <c r="H3072" i="7" s="1"/>
  <c r="C3071" i="7"/>
  <c r="G3070" i="7"/>
  <c r="C3070" i="7"/>
  <c r="H3070" i="7" s="1"/>
  <c r="H3069" i="7"/>
  <c r="G3069" i="7"/>
  <c r="C3069" i="7"/>
  <c r="G3068" i="7"/>
  <c r="C3068" i="7"/>
  <c r="H3068" i="7" s="1"/>
  <c r="C3067" i="7"/>
  <c r="G3067" i="7" s="1"/>
  <c r="G3066" i="7"/>
  <c r="C3066" i="7"/>
  <c r="H3066" i="7" s="1"/>
  <c r="H3065" i="7"/>
  <c r="G3065" i="7"/>
  <c r="C3065" i="7"/>
  <c r="C3064" i="7"/>
  <c r="C3063" i="7"/>
  <c r="C3062" i="7"/>
  <c r="G3061" i="7"/>
  <c r="C3061" i="7"/>
  <c r="H3061" i="7" s="1"/>
  <c r="C3060" i="7"/>
  <c r="H3060" i="7" s="1"/>
  <c r="C3059" i="7"/>
  <c r="G3058" i="7"/>
  <c r="C3058" i="7"/>
  <c r="H3058" i="7" s="1"/>
  <c r="C3057" i="7"/>
  <c r="C3056" i="7"/>
  <c r="H3056" i="7" s="1"/>
  <c r="C3055" i="7"/>
  <c r="G3054" i="7"/>
  <c r="C3054" i="7"/>
  <c r="H3054" i="7" s="1"/>
  <c r="H3053" i="7"/>
  <c r="G3053" i="7"/>
  <c r="C3053" i="7"/>
  <c r="G3052" i="7"/>
  <c r="C3052" i="7"/>
  <c r="H3052" i="7" s="1"/>
  <c r="H3051" i="7"/>
  <c r="C3051" i="7"/>
  <c r="G3051" i="7" s="1"/>
  <c r="G3050" i="7"/>
  <c r="C3050" i="7"/>
  <c r="H3050" i="7" s="1"/>
  <c r="H3049" i="7"/>
  <c r="G3049" i="7"/>
  <c r="C3049" i="7"/>
  <c r="G3048" i="7"/>
  <c r="C3048" i="7"/>
  <c r="H3048" i="7" s="1"/>
  <c r="C3047" i="7"/>
  <c r="C3046" i="7"/>
  <c r="G3045" i="7"/>
  <c r="C3045" i="7"/>
  <c r="H3045" i="7" s="1"/>
  <c r="G3044" i="7"/>
  <c r="C3044" i="7"/>
  <c r="H3044" i="7" s="1"/>
  <c r="C3043" i="7"/>
  <c r="G3042" i="7"/>
  <c r="C3042" i="7"/>
  <c r="H3042" i="7" s="1"/>
  <c r="C3041" i="7"/>
  <c r="G3040" i="7"/>
  <c r="C3040" i="7"/>
  <c r="H3040" i="7" s="1"/>
  <c r="C3039" i="7"/>
  <c r="G3038" i="7"/>
  <c r="C3038" i="7"/>
  <c r="H3038" i="7" s="1"/>
  <c r="H3037" i="7"/>
  <c r="G3037" i="7"/>
  <c r="C3037" i="7"/>
  <c r="G3036" i="7"/>
  <c r="C3036" i="7"/>
  <c r="H3036" i="7" s="1"/>
  <c r="C3035" i="7"/>
  <c r="G3034" i="7"/>
  <c r="C3034" i="7"/>
  <c r="H3034" i="7" s="1"/>
  <c r="H3033" i="7"/>
  <c r="G3033" i="7"/>
  <c r="C3033" i="7"/>
  <c r="C3032" i="7"/>
  <c r="C3031" i="7"/>
  <c r="C3030" i="7"/>
  <c r="C3029" i="7"/>
  <c r="H3029" i="7" s="1"/>
  <c r="G3028" i="7"/>
  <c r="C3028" i="7"/>
  <c r="H3028" i="7" s="1"/>
  <c r="C3027" i="7"/>
  <c r="G3026" i="7"/>
  <c r="C3026" i="7"/>
  <c r="H3026" i="7" s="1"/>
  <c r="C3025" i="7"/>
  <c r="G3024" i="7"/>
  <c r="C3024" i="7"/>
  <c r="H3024" i="7" s="1"/>
  <c r="C3023" i="7"/>
  <c r="G3022" i="7"/>
  <c r="C3022" i="7"/>
  <c r="H3022" i="7" s="1"/>
  <c r="H3021" i="7"/>
  <c r="G3021" i="7"/>
  <c r="C3021" i="7"/>
  <c r="G3020" i="7"/>
  <c r="C3020" i="7"/>
  <c r="H3020" i="7" s="1"/>
  <c r="G3019" i="7"/>
  <c r="C3019" i="7"/>
  <c r="H3019" i="7" s="1"/>
  <c r="C3018" i="7"/>
  <c r="H3017" i="7"/>
  <c r="C3017" i="7"/>
  <c r="G3017" i="7" s="1"/>
  <c r="C3016" i="7"/>
  <c r="C3015" i="7"/>
  <c r="H3015" i="7" s="1"/>
  <c r="C3014" i="7"/>
  <c r="H3013" i="7"/>
  <c r="G3013" i="7"/>
  <c r="C3013" i="7"/>
  <c r="H3012" i="7"/>
  <c r="G3012" i="7"/>
  <c r="C3012" i="7"/>
  <c r="C3011" i="7"/>
  <c r="C3010" i="7"/>
  <c r="H3010" i="7" s="1"/>
  <c r="C3009" i="7"/>
  <c r="H3009" i="7" s="1"/>
  <c r="G3008" i="7"/>
  <c r="C3008" i="7"/>
  <c r="H3008" i="7" s="1"/>
  <c r="G3007" i="7"/>
  <c r="C3007" i="7"/>
  <c r="H3007" i="7" s="1"/>
  <c r="G3006" i="7"/>
  <c r="C3006" i="7"/>
  <c r="H3006" i="7" s="1"/>
  <c r="H3005" i="7"/>
  <c r="C3005" i="7"/>
  <c r="G3005" i="7" s="1"/>
  <c r="C3004" i="7"/>
  <c r="C3003" i="7"/>
  <c r="C3002" i="7"/>
  <c r="H3001" i="7"/>
  <c r="G3001" i="7"/>
  <c r="C3001" i="7"/>
  <c r="H3000" i="7"/>
  <c r="G3000" i="7"/>
  <c r="C3000" i="7"/>
  <c r="H2999" i="7"/>
  <c r="G2999" i="7"/>
  <c r="C2999" i="7"/>
  <c r="G2998" i="7"/>
  <c r="C2998" i="7"/>
  <c r="H2998" i="7" s="1"/>
  <c r="H2997" i="7"/>
  <c r="G2997" i="7"/>
  <c r="C2997" i="7"/>
  <c r="C2996" i="7"/>
  <c r="C2995" i="7"/>
  <c r="H2995" i="7" s="1"/>
  <c r="C2994" i="7"/>
  <c r="C2993" i="7"/>
  <c r="H2993" i="7" s="1"/>
  <c r="G2992" i="7"/>
  <c r="C2992" i="7"/>
  <c r="H2992" i="7" s="1"/>
  <c r="H2991" i="7"/>
  <c r="C2991" i="7"/>
  <c r="G2991" i="7" s="1"/>
  <c r="G2990" i="7"/>
  <c r="C2990" i="7"/>
  <c r="H2990" i="7" s="1"/>
  <c r="C2989" i="7"/>
  <c r="G2989" i="7" s="1"/>
  <c r="G2988" i="7"/>
  <c r="C2988" i="7"/>
  <c r="H2988" i="7" s="1"/>
  <c r="H2987" i="7"/>
  <c r="G2987" i="7"/>
  <c r="C2987" i="7"/>
  <c r="G2986" i="7"/>
  <c r="C2986" i="7"/>
  <c r="H2986" i="7" s="1"/>
  <c r="G2985" i="7"/>
  <c r="C2985" i="7"/>
  <c r="H2985" i="7" s="1"/>
  <c r="H2984" i="7"/>
  <c r="G2984" i="7"/>
  <c r="C2984" i="7"/>
  <c r="H2983" i="7"/>
  <c r="C2983" i="7"/>
  <c r="G2983" i="7" s="1"/>
  <c r="C2982" i="7"/>
  <c r="C2981" i="7"/>
  <c r="G2980" i="7"/>
  <c r="C2980" i="7"/>
  <c r="H2980" i="7" s="1"/>
  <c r="H2979" i="7"/>
  <c r="C2979" i="7"/>
  <c r="G2979" i="7" s="1"/>
  <c r="G2978" i="7"/>
  <c r="C2978" i="7"/>
  <c r="H2978" i="7" s="1"/>
  <c r="H2977" i="7"/>
  <c r="G2977" i="7"/>
  <c r="C2977" i="7"/>
  <c r="H2976" i="7"/>
  <c r="C2976" i="7"/>
  <c r="G2976" i="7" s="1"/>
  <c r="C2975" i="7"/>
  <c r="G2975" i="7" s="1"/>
  <c r="H2974" i="7"/>
  <c r="G2974" i="7"/>
  <c r="C2974" i="7"/>
  <c r="H2973" i="7"/>
  <c r="G2973" i="7"/>
  <c r="C2973" i="7"/>
  <c r="C2972" i="7"/>
  <c r="H2971" i="7"/>
  <c r="G2971" i="7"/>
  <c r="C2971" i="7"/>
  <c r="H2970" i="7"/>
  <c r="G2970" i="7"/>
  <c r="C2970" i="7"/>
  <c r="H2969" i="7"/>
  <c r="G2969" i="7"/>
  <c r="C2969" i="7"/>
  <c r="H2968" i="7"/>
  <c r="C2968" i="7"/>
  <c r="G2968" i="7" s="1"/>
  <c r="H2967" i="7"/>
  <c r="G2967" i="7"/>
  <c r="C2967" i="7"/>
  <c r="H2966" i="7"/>
  <c r="G2966" i="7"/>
  <c r="C2966" i="7"/>
  <c r="H2965" i="7"/>
  <c r="G2965" i="7"/>
  <c r="C2965" i="7"/>
  <c r="H2964" i="7"/>
  <c r="C2964" i="7"/>
  <c r="G2964" i="7" s="1"/>
  <c r="C2963" i="7"/>
  <c r="H2963" i="7" s="1"/>
  <c r="H2962" i="7"/>
  <c r="G2962" i="7"/>
  <c r="C2962" i="7"/>
  <c r="H2961" i="7"/>
  <c r="G2961" i="7"/>
  <c r="C2961" i="7"/>
  <c r="C2960" i="7"/>
  <c r="C2959" i="7"/>
  <c r="H2958" i="7"/>
  <c r="G2958" i="7"/>
  <c r="C2958" i="7"/>
  <c r="H2957" i="7"/>
  <c r="G2957" i="7"/>
  <c r="C2957" i="7"/>
  <c r="C2956" i="7"/>
  <c r="C2955" i="7"/>
  <c r="H2955" i="7" s="1"/>
  <c r="H2954" i="7"/>
  <c r="G2954" i="7"/>
  <c r="C2954" i="7"/>
  <c r="H2953" i="7"/>
  <c r="G2953" i="7"/>
  <c r="C2953" i="7"/>
  <c r="H2952" i="7"/>
  <c r="C2952" i="7"/>
  <c r="G2952" i="7" s="1"/>
  <c r="H2951" i="7"/>
  <c r="C2951" i="7"/>
  <c r="G2951" i="7" s="1"/>
  <c r="H2950" i="7"/>
  <c r="G2950" i="7"/>
  <c r="C2950" i="7"/>
  <c r="H2949" i="7"/>
  <c r="G2949" i="7"/>
  <c r="C2949" i="7"/>
  <c r="C2948" i="7"/>
  <c r="G2947" i="7"/>
  <c r="C2947" i="7"/>
  <c r="H2947" i="7" s="1"/>
  <c r="H2946" i="7"/>
  <c r="G2946" i="7"/>
  <c r="C2946" i="7"/>
  <c r="H2945" i="7"/>
  <c r="G2945" i="7"/>
  <c r="C2945" i="7"/>
  <c r="H2944" i="7"/>
  <c r="C2944" i="7"/>
  <c r="G2944" i="7" s="1"/>
  <c r="C2943" i="7"/>
  <c r="H2942" i="7"/>
  <c r="G2942" i="7"/>
  <c r="C2942" i="7"/>
  <c r="H2941" i="7"/>
  <c r="G2941" i="7"/>
  <c r="C2941" i="7"/>
  <c r="C2940" i="7"/>
  <c r="H2939" i="7"/>
  <c r="G2939" i="7"/>
  <c r="C2939" i="7"/>
  <c r="H2938" i="7"/>
  <c r="G2938" i="7"/>
  <c r="C2938" i="7"/>
  <c r="H2937" i="7"/>
  <c r="G2937" i="7"/>
  <c r="C2937" i="7"/>
  <c r="H2936" i="7"/>
  <c r="C2936" i="7"/>
  <c r="G2936" i="7" s="1"/>
  <c r="H2935" i="7"/>
  <c r="G2935" i="7"/>
  <c r="C2935" i="7"/>
  <c r="H2934" i="7"/>
  <c r="G2934" i="7"/>
  <c r="C2934" i="7"/>
  <c r="H2933" i="7"/>
  <c r="G2933" i="7"/>
  <c r="C2933" i="7"/>
  <c r="C2932" i="7"/>
  <c r="G2931" i="7"/>
  <c r="C2931" i="7"/>
  <c r="H2931" i="7" s="1"/>
  <c r="H2930" i="7"/>
  <c r="G2930" i="7"/>
  <c r="C2930" i="7"/>
  <c r="H2929" i="7"/>
  <c r="G2929" i="7"/>
  <c r="C2929" i="7"/>
  <c r="H2928" i="7"/>
  <c r="C2928" i="7"/>
  <c r="G2928" i="7" s="1"/>
  <c r="C2927" i="7"/>
  <c r="H2926" i="7"/>
  <c r="G2926" i="7"/>
  <c r="C2926" i="7"/>
  <c r="H2925" i="7"/>
  <c r="G2925" i="7"/>
  <c r="C2925" i="7"/>
  <c r="H2924" i="7"/>
  <c r="C2924" i="7"/>
  <c r="G2924" i="7" s="1"/>
  <c r="H2923" i="7"/>
  <c r="G2923" i="7"/>
  <c r="C2923" i="7"/>
  <c r="H2922" i="7"/>
  <c r="G2922" i="7"/>
  <c r="C2922" i="7"/>
  <c r="H2921" i="7"/>
  <c r="G2921" i="7"/>
  <c r="C2921" i="7"/>
  <c r="C2920" i="7"/>
  <c r="H2919" i="7"/>
  <c r="C2919" i="7"/>
  <c r="G2919" i="7" s="1"/>
  <c r="H2918" i="7"/>
  <c r="G2918" i="7"/>
  <c r="C2918" i="7"/>
  <c r="H2917" i="7"/>
  <c r="G2917" i="7"/>
  <c r="C2917" i="7"/>
  <c r="C2916" i="7"/>
  <c r="C2915" i="7"/>
  <c r="H2914" i="7"/>
  <c r="G2914" i="7"/>
  <c r="C2914" i="7"/>
  <c r="H2913" i="7"/>
  <c r="G2913" i="7"/>
  <c r="C2913" i="7"/>
  <c r="H2912" i="7"/>
  <c r="C2912" i="7"/>
  <c r="G2912" i="7" s="1"/>
  <c r="C2911" i="7"/>
  <c r="H2910" i="7"/>
  <c r="G2910" i="7"/>
  <c r="C2910" i="7"/>
  <c r="H2909" i="7"/>
  <c r="G2909" i="7"/>
  <c r="C2909" i="7"/>
  <c r="C2908" i="7"/>
  <c r="C2907" i="7"/>
  <c r="G2907" i="7" s="1"/>
  <c r="H2906" i="7"/>
  <c r="G2906" i="7"/>
  <c r="C2906" i="7"/>
  <c r="H2905" i="7"/>
  <c r="G2905" i="7"/>
  <c r="C2905" i="7"/>
  <c r="H2904" i="7"/>
  <c r="C2904" i="7"/>
  <c r="G2904" i="7" s="1"/>
  <c r="H2903" i="7"/>
  <c r="G2903" i="7"/>
  <c r="C2903" i="7"/>
  <c r="H2902" i="7"/>
  <c r="G2902" i="7"/>
  <c r="C2902" i="7"/>
  <c r="H2901" i="7"/>
  <c r="G2901" i="7"/>
  <c r="C2901" i="7"/>
  <c r="C2900" i="7"/>
  <c r="G2899" i="7"/>
  <c r="C2899" i="7"/>
  <c r="H2899" i="7" s="1"/>
  <c r="H2898" i="7"/>
  <c r="G2898" i="7"/>
  <c r="C2898" i="7"/>
  <c r="H2897" i="7"/>
  <c r="G2897" i="7"/>
  <c r="C2897" i="7"/>
  <c r="C2896" i="7"/>
  <c r="C2895" i="7"/>
  <c r="G2895" i="7" s="1"/>
  <c r="H2894" i="7"/>
  <c r="G2894" i="7"/>
  <c r="C2894" i="7"/>
  <c r="H2893" i="7"/>
  <c r="G2893" i="7"/>
  <c r="C2893" i="7"/>
  <c r="C2892" i="7"/>
  <c r="H2891" i="7"/>
  <c r="G2891" i="7"/>
  <c r="C2891" i="7"/>
  <c r="H2890" i="7"/>
  <c r="G2890" i="7"/>
  <c r="C2890" i="7"/>
  <c r="H2889" i="7"/>
  <c r="G2889" i="7"/>
  <c r="C2889" i="7"/>
  <c r="H2888" i="7"/>
  <c r="C2888" i="7"/>
  <c r="G2888" i="7" s="1"/>
  <c r="G2887" i="7"/>
  <c r="C2887" i="7"/>
  <c r="H2887" i="7" s="1"/>
  <c r="H2886" i="7"/>
  <c r="G2886" i="7"/>
  <c r="C2886" i="7"/>
  <c r="H2885" i="7"/>
  <c r="G2885" i="7"/>
  <c r="C2885" i="7"/>
  <c r="C2884" i="7"/>
  <c r="G2883" i="7"/>
  <c r="C2883" i="7"/>
  <c r="H2883" i="7" s="1"/>
  <c r="H2882" i="7"/>
  <c r="G2882" i="7"/>
  <c r="C2882" i="7"/>
  <c r="H2881" i="7"/>
  <c r="G2881" i="7"/>
  <c r="C2881" i="7"/>
  <c r="H2880" i="7"/>
  <c r="C2880" i="7"/>
  <c r="G2880" i="7" s="1"/>
  <c r="C2879" i="7"/>
  <c r="H2878" i="7"/>
  <c r="G2878" i="7"/>
  <c r="C2878" i="7"/>
  <c r="H2877" i="7"/>
  <c r="G2877" i="7"/>
  <c r="C2877" i="7"/>
  <c r="C2876" i="7"/>
  <c r="H2875" i="7"/>
  <c r="G2875" i="7"/>
  <c r="C2875" i="7"/>
  <c r="H2874" i="7"/>
  <c r="G2874" i="7"/>
  <c r="C2874" i="7"/>
  <c r="H2873" i="7"/>
  <c r="G2873" i="7"/>
  <c r="C2873" i="7"/>
  <c r="C2872" i="7"/>
  <c r="G2872" i="7" s="1"/>
  <c r="H2871" i="7"/>
  <c r="G2871" i="7"/>
  <c r="C2871" i="7"/>
  <c r="H2870" i="7"/>
  <c r="G2870" i="7"/>
  <c r="C2870" i="7"/>
  <c r="H2869" i="7"/>
  <c r="G2869" i="7"/>
  <c r="C2869" i="7"/>
  <c r="H2868" i="7"/>
  <c r="C2868" i="7"/>
  <c r="G2868" i="7" s="1"/>
  <c r="G2867" i="7"/>
  <c r="C2867" i="7"/>
  <c r="H2867" i="7" s="1"/>
  <c r="H2866" i="7"/>
  <c r="G2866" i="7"/>
  <c r="C2866" i="7"/>
  <c r="H2865" i="7"/>
  <c r="G2865" i="7"/>
  <c r="C2865" i="7"/>
  <c r="C2864" i="7"/>
  <c r="C2863" i="7"/>
  <c r="H2863" i="7" s="1"/>
  <c r="H2862" i="7"/>
  <c r="G2862" i="7"/>
  <c r="C2862" i="7"/>
  <c r="H2861" i="7"/>
  <c r="G2861" i="7"/>
  <c r="C2861" i="7"/>
  <c r="C2860" i="7"/>
  <c r="G2859" i="7"/>
  <c r="C2859" i="7"/>
  <c r="H2859" i="7" s="1"/>
  <c r="H2858" i="7"/>
  <c r="G2858" i="7"/>
  <c r="C2858" i="7"/>
  <c r="H2857" i="7"/>
  <c r="G2857" i="7"/>
  <c r="C2857" i="7"/>
  <c r="H2856" i="7"/>
  <c r="C2856" i="7"/>
  <c r="G2856" i="7" s="1"/>
  <c r="C2855" i="7"/>
  <c r="H2854" i="7"/>
  <c r="G2854" i="7"/>
  <c r="C2854" i="7"/>
  <c r="H2853" i="7"/>
  <c r="G2853" i="7"/>
  <c r="C2853" i="7"/>
  <c r="H2852" i="7"/>
  <c r="C2852" i="7"/>
  <c r="G2852" i="7" s="1"/>
  <c r="G2851" i="7"/>
  <c r="C2851" i="7"/>
  <c r="H2851" i="7" s="1"/>
  <c r="H2850" i="7"/>
  <c r="G2850" i="7"/>
  <c r="C2850" i="7"/>
  <c r="H2849" i="7"/>
  <c r="G2849" i="7"/>
  <c r="C2849" i="7"/>
  <c r="H2848" i="7"/>
  <c r="C2848" i="7"/>
  <c r="G2848" i="7" s="1"/>
  <c r="H2847" i="7"/>
  <c r="C2847" i="7"/>
  <c r="G2847" i="7" s="1"/>
  <c r="H2846" i="7"/>
  <c r="G2846" i="7"/>
  <c r="C2846" i="7"/>
  <c r="H2845" i="7"/>
  <c r="G2845" i="7"/>
  <c r="C2845" i="7"/>
  <c r="C2844" i="7"/>
  <c r="H2843" i="7"/>
  <c r="G2843" i="7"/>
  <c r="C2843" i="7"/>
  <c r="H2842" i="7"/>
  <c r="G2842" i="7"/>
  <c r="C2842" i="7"/>
  <c r="H2841" i="7"/>
  <c r="G2841" i="7"/>
  <c r="C2841" i="7"/>
  <c r="H2840" i="7"/>
  <c r="C2840" i="7"/>
  <c r="G2840" i="7" s="1"/>
  <c r="H2839" i="7"/>
  <c r="G2839" i="7"/>
  <c r="C2839" i="7"/>
  <c r="H2838" i="7"/>
  <c r="G2838" i="7"/>
  <c r="C2838" i="7"/>
  <c r="H2837" i="7"/>
  <c r="G2837" i="7"/>
  <c r="C2837" i="7"/>
  <c r="H2836" i="7"/>
  <c r="C2836" i="7"/>
  <c r="G2836" i="7" s="1"/>
  <c r="G2835" i="7"/>
  <c r="C2835" i="7"/>
  <c r="H2835" i="7" s="1"/>
  <c r="H2834" i="7"/>
  <c r="G2834" i="7"/>
  <c r="C2834" i="7"/>
  <c r="H2833" i="7"/>
  <c r="G2833" i="7"/>
  <c r="C2833" i="7"/>
  <c r="H2832" i="7"/>
  <c r="C2832" i="7"/>
  <c r="G2832" i="7" s="1"/>
  <c r="H2831" i="7"/>
  <c r="C2831" i="7"/>
  <c r="G2831" i="7" s="1"/>
  <c r="H2830" i="7"/>
  <c r="G2830" i="7"/>
  <c r="C2830" i="7"/>
  <c r="H2829" i="7"/>
  <c r="G2829" i="7"/>
  <c r="C2829" i="7"/>
  <c r="C2828" i="7"/>
  <c r="G2828" i="7" s="1"/>
  <c r="H2827" i="7"/>
  <c r="G2827" i="7"/>
  <c r="C2827" i="7"/>
  <c r="H2826" i="7"/>
  <c r="G2826" i="7"/>
  <c r="C2826" i="7"/>
  <c r="H2825" i="7"/>
  <c r="G2825" i="7"/>
  <c r="C2825" i="7"/>
  <c r="H2824" i="7"/>
  <c r="C2824" i="7"/>
  <c r="G2824" i="7" s="1"/>
  <c r="H2823" i="7"/>
  <c r="G2823" i="7"/>
  <c r="C2823" i="7"/>
  <c r="H2822" i="7"/>
  <c r="G2822" i="7"/>
  <c r="C2822" i="7"/>
  <c r="H2821" i="7"/>
  <c r="G2821" i="7"/>
  <c r="C2821" i="7"/>
  <c r="C2820" i="7"/>
  <c r="C2819" i="7"/>
  <c r="H2819" i="7" s="1"/>
  <c r="H2818" i="7"/>
  <c r="G2818" i="7"/>
  <c r="C2818" i="7"/>
  <c r="H2817" i="7"/>
  <c r="G2817" i="7"/>
  <c r="C2817" i="7"/>
  <c r="H2816" i="7"/>
  <c r="C2816" i="7"/>
  <c r="G2816" i="7" s="1"/>
  <c r="H2815" i="7"/>
  <c r="C2815" i="7"/>
  <c r="G2815" i="7" s="1"/>
  <c r="H2814" i="7"/>
  <c r="G2814" i="7"/>
  <c r="C2814" i="7"/>
  <c r="H2813" i="7"/>
  <c r="G2813" i="7"/>
  <c r="C2813" i="7"/>
  <c r="C2812" i="7"/>
  <c r="G2811" i="7"/>
  <c r="C2811" i="7"/>
  <c r="H2811" i="7" s="1"/>
  <c r="H2810" i="7"/>
  <c r="G2810" i="7"/>
  <c r="C2810" i="7"/>
  <c r="H2809" i="7"/>
  <c r="G2809" i="7"/>
  <c r="C2809" i="7"/>
  <c r="H2808" i="7"/>
  <c r="G2808" i="7"/>
  <c r="C2808" i="7"/>
  <c r="G2807" i="7"/>
  <c r="C2807" i="7"/>
  <c r="H2807" i="7" s="1"/>
  <c r="H2806" i="7"/>
  <c r="G2806" i="7"/>
  <c r="C2806" i="7"/>
  <c r="H2805" i="7"/>
  <c r="G2805" i="7"/>
  <c r="C2805" i="7"/>
  <c r="H2804" i="7"/>
  <c r="C2804" i="7"/>
  <c r="G2804" i="7" s="1"/>
  <c r="C2803" i="7"/>
  <c r="H2802" i="7"/>
  <c r="G2802" i="7"/>
  <c r="C2802" i="7"/>
  <c r="H2801" i="7"/>
  <c r="G2801" i="7"/>
  <c r="C2801" i="7"/>
  <c r="C2800" i="7"/>
  <c r="H2800" i="7" s="1"/>
  <c r="G2799" i="7"/>
  <c r="C2799" i="7"/>
  <c r="H2799" i="7" s="1"/>
  <c r="H2798" i="7"/>
  <c r="G2798" i="7"/>
  <c r="C2798" i="7"/>
  <c r="H2797" i="7"/>
  <c r="G2797" i="7"/>
  <c r="C2797" i="7"/>
  <c r="C2796" i="7"/>
  <c r="C2795" i="7"/>
  <c r="H2794" i="7"/>
  <c r="G2794" i="7"/>
  <c r="C2794" i="7"/>
  <c r="H2793" i="7"/>
  <c r="G2793" i="7"/>
  <c r="C2793" i="7"/>
  <c r="H2792" i="7"/>
  <c r="G2792" i="7"/>
  <c r="C2792" i="7"/>
  <c r="C2791" i="7"/>
  <c r="H2791" i="7" s="1"/>
  <c r="H2790" i="7"/>
  <c r="G2790" i="7"/>
  <c r="C2790" i="7"/>
  <c r="H2789" i="7"/>
  <c r="G2789" i="7"/>
  <c r="C2789" i="7"/>
  <c r="G2788" i="7"/>
  <c r="C2788" i="7"/>
  <c r="H2788" i="7" s="1"/>
  <c r="C2787" i="7"/>
  <c r="H2786" i="7"/>
  <c r="G2786" i="7"/>
  <c r="C2786" i="7"/>
  <c r="H2785" i="7"/>
  <c r="G2785" i="7"/>
  <c r="C2785" i="7"/>
  <c r="C2784" i="7"/>
  <c r="H2784" i="7" s="1"/>
  <c r="G2783" i="7"/>
  <c r="C2783" i="7"/>
  <c r="H2783" i="7" s="1"/>
  <c r="H2782" i="7"/>
  <c r="G2782" i="7"/>
  <c r="C2782" i="7"/>
  <c r="H2781" i="7"/>
  <c r="G2781" i="7"/>
  <c r="C2781" i="7"/>
  <c r="H2780" i="7"/>
  <c r="C2780" i="7"/>
  <c r="G2780" i="7" s="1"/>
  <c r="G2779" i="7"/>
  <c r="C2779" i="7"/>
  <c r="H2779" i="7" s="1"/>
  <c r="H2778" i="7"/>
  <c r="G2778" i="7"/>
  <c r="C2778" i="7"/>
  <c r="H2777" i="7"/>
  <c r="G2777" i="7"/>
  <c r="C2777" i="7"/>
  <c r="H2776" i="7"/>
  <c r="G2776" i="7"/>
  <c r="C2776" i="7"/>
  <c r="C2775" i="7"/>
  <c r="H2775" i="7" s="1"/>
  <c r="H2774" i="7"/>
  <c r="G2774" i="7"/>
  <c r="C2774" i="7"/>
  <c r="H2773" i="7"/>
  <c r="G2773" i="7"/>
  <c r="C2773" i="7"/>
  <c r="H2772" i="7"/>
  <c r="G2772" i="7"/>
  <c r="C2772" i="7"/>
  <c r="C2771" i="7"/>
  <c r="H2771" i="7" s="1"/>
  <c r="H2770" i="7"/>
  <c r="G2770" i="7"/>
  <c r="C2770" i="7"/>
  <c r="H2769" i="7"/>
  <c r="G2769" i="7"/>
  <c r="C2769" i="7"/>
  <c r="H2768" i="7"/>
  <c r="G2768" i="7"/>
  <c r="C2768" i="7"/>
  <c r="G2767" i="7"/>
  <c r="C2767" i="7"/>
  <c r="H2767" i="7" s="1"/>
  <c r="H2766" i="7"/>
  <c r="G2766" i="7"/>
  <c r="C2766" i="7"/>
  <c r="H2765" i="7"/>
  <c r="G2765" i="7"/>
  <c r="C2765" i="7"/>
  <c r="H2764" i="7"/>
  <c r="G2764" i="7"/>
  <c r="C2764" i="7"/>
  <c r="G2763" i="7"/>
  <c r="C2763" i="7"/>
  <c r="H2763" i="7" s="1"/>
  <c r="H2762" i="7"/>
  <c r="G2762" i="7"/>
  <c r="C2762" i="7"/>
  <c r="H2761" i="7"/>
  <c r="G2761" i="7"/>
  <c r="C2761" i="7"/>
  <c r="G2760" i="7"/>
  <c r="C2760" i="7"/>
  <c r="H2760" i="7" s="1"/>
  <c r="G2759" i="7"/>
  <c r="C2759" i="7"/>
  <c r="H2759" i="7" s="1"/>
  <c r="H2758" i="7"/>
  <c r="G2758" i="7"/>
  <c r="C2758" i="7"/>
  <c r="H2757" i="7"/>
  <c r="G2757" i="7"/>
  <c r="C2757" i="7"/>
  <c r="C2756" i="7"/>
  <c r="G2756" i="7" s="1"/>
  <c r="G2755" i="7"/>
  <c r="C2755" i="7"/>
  <c r="H2755" i="7" s="1"/>
  <c r="H2754" i="7"/>
  <c r="G2754" i="7"/>
  <c r="C2754" i="7"/>
  <c r="H2753" i="7"/>
  <c r="G2753" i="7"/>
  <c r="C2753" i="7"/>
  <c r="C2752" i="7"/>
  <c r="C2751" i="7"/>
  <c r="H2750" i="7"/>
  <c r="G2750" i="7"/>
  <c r="C2750" i="7"/>
  <c r="H2749" i="7"/>
  <c r="G2749" i="7"/>
  <c r="C2749" i="7"/>
  <c r="C2748" i="7"/>
  <c r="C2747" i="7"/>
  <c r="H2747" i="7" s="1"/>
  <c r="H2746" i="7"/>
  <c r="G2746" i="7"/>
  <c r="C2746" i="7"/>
  <c r="H2745" i="7"/>
  <c r="G2745" i="7"/>
  <c r="C2745" i="7"/>
  <c r="H2744" i="7"/>
  <c r="G2744" i="7"/>
  <c r="C2744" i="7"/>
  <c r="G2743" i="7"/>
  <c r="C2743" i="7"/>
  <c r="H2743" i="7" s="1"/>
  <c r="H2742" i="7"/>
  <c r="G2742" i="7"/>
  <c r="C2742" i="7"/>
  <c r="H2741" i="7"/>
  <c r="G2741" i="7"/>
  <c r="C2741" i="7"/>
  <c r="G2740" i="7"/>
  <c r="C2740" i="7"/>
  <c r="H2740" i="7" s="1"/>
  <c r="C2739" i="7"/>
  <c r="H2738" i="7"/>
  <c r="G2738" i="7"/>
  <c r="C2738" i="7"/>
  <c r="H2737" i="7"/>
  <c r="G2737" i="7"/>
  <c r="C2737" i="7"/>
  <c r="C2736" i="7"/>
  <c r="H2736" i="7" s="1"/>
  <c r="G2735" i="7"/>
  <c r="C2735" i="7"/>
  <c r="H2735" i="7" s="1"/>
  <c r="H2734" i="7"/>
  <c r="G2734" i="7"/>
  <c r="C2734" i="7"/>
  <c r="H2733" i="7"/>
  <c r="G2733" i="7"/>
  <c r="C2733" i="7"/>
  <c r="H2732" i="7"/>
  <c r="C2732" i="7"/>
  <c r="G2732" i="7" s="1"/>
  <c r="G2731" i="7"/>
  <c r="C2731" i="7"/>
  <c r="H2731" i="7" s="1"/>
  <c r="H2730" i="7"/>
  <c r="G2730" i="7"/>
  <c r="C2730" i="7"/>
  <c r="H2729" i="7"/>
  <c r="G2729" i="7"/>
  <c r="C2729" i="7"/>
  <c r="H2728" i="7"/>
  <c r="G2728" i="7"/>
  <c r="C2728" i="7"/>
  <c r="C2727" i="7"/>
  <c r="H2727" i="7" s="1"/>
  <c r="H2726" i="7"/>
  <c r="G2726" i="7"/>
  <c r="C2726" i="7"/>
  <c r="H2725" i="7"/>
  <c r="G2725" i="7"/>
  <c r="C2725" i="7"/>
  <c r="H2724" i="7"/>
  <c r="G2724" i="7"/>
  <c r="C2724" i="7"/>
  <c r="C2723" i="7"/>
  <c r="H2723" i="7" s="1"/>
  <c r="H2722" i="7"/>
  <c r="G2722" i="7"/>
  <c r="C2722" i="7"/>
  <c r="H2721" i="7"/>
  <c r="G2721" i="7"/>
  <c r="C2721" i="7"/>
  <c r="H2720" i="7"/>
  <c r="G2720" i="7"/>
  <c r="C2720" i="7"/>
  <c r="G2719" i="7"/>
  <c r="C2719" i="7"/>
  <c r="H2719" i="7" s="1"/>
  <c r="H2718" i="7"/>
  <c r="G2718" i="7"/>
  <c r="C2718" i="7"/>
  <c r="H2717" i="7"/>
  <c r="G2717" i="7"/>
  <c r="C2717" i="7"/>
  <c r="C2716" i="7"/>
  <c r="H2716" i="7" s="1"/>
  <c r="G2715" i="7"/>
  <c r="C2715" i="7"/>
  <c r="H2715" i="7" s="1"/>
  <c r="H2714" i="7"/>
  <c r="G2714" i="7"/>
  <c r="C2714" i="7"/>
  <c r="H2713" i="7"/>
  <c r="G2713" i="7"/>
  <c r="C2713" i="7"/>
  <c r="H2712" i="7"/>
  <c r="G2712" i="7"/>
  <c r="C2712" i="7"/>
  <c r="G2711" i="7"/>
  <c r="C2711" i="7"/>
  <c r="H2711" i="7" s="1"/>
  <c r="H2710" i="7"/>
  <c r="G2710" i="7"/>
  <c r="C2710" i="7"/>
  <c r="H2709" i="7"/>
  <c r="G2709" i="7"/>
  <c r="C2709" i="7"/>
  <c r="H2708" i="7"/>
  <c r="G2708" i="7"/>
  <c r="C2708" i="7"/>
  <c r="C2707" i="7"/>
  <c r="H2707" i="7" s="1"/>
  <c r="H2706" i="7"/>
  <c r="G2706" i="7"/>
  <c r="C2706" i="7"/>
  <c r="H2705" i="7"/>
  <c r="G2705" i="7"/>
  <c r="C2705" i="7"/>
  <c r="C2704" i="7"/>
  <c r="G2703" i="7"/>
  <c r="C2703" i="7"/>
  <c r="H2703" i="7" s="1"/>
  <c r="H2702" i="7"/>
  <c r="G2702" i="7"/>
  <c r="C2702" i="7"/>
  <c r="H2701" i="7"/>
  <c r="G2701" i="7"/>
  <c r="C2701" i="7"/>
  <c r="C2700" i="7"/>
  <c r="G2699" i="7"/>
  <c r="C2699" i="7"/>
  <c r="H2699" i="7" s="1"/>
  <c r="H2698" i="7"/>
  <c r="G2698" i="7"/>
  <c r="C2698" i="7"/>
  <c r="H2697" i="7"/>
  <c r="G2697" i="7"/>
  <c r="C2697" i="7"/>
  <c r="H2696" i="7"/>
  <c r="G2696" i="7"/>
  <c r="C2696" i="7"/>
  <c r="C2695" i="7"/>
  <c r="H2695" i="7" s="1"/>
  <c r="H2694" i="7"/>
  <c r="G2694" i="7"/>
  <c r="C2694" i="7"/>
  <c r="H2693" i="7"/>
  <c r="G2693" i="7"/>
  <c r="C2693" i="7"/>
  <c r="G2692" i="7"/>
  <c r="C2692" i="7"/>
  <c r="H2692" i="7" s="1"/>
  <c r="C2691" i="7"/>
  <c r="H2690" i="7"/>
  <c r="G2690" i="7"/>
  <c r="C2690" i="7"/>
  <c r="H2689" i="7"/>
  <c r="G2689" i="7"/>
  <c r="C2689" i="7"/>
  <c r="C2688" i="7"/>
  <c r="H2688" i="7" s="1"/>
  <c r="G2687" i="7"/>
  <c r="C2687" i="7"/>
  <c r="H2687" i="7" s="1"/>
  <c r="H2686" i="7"/>
  <c r="G2686" i="7"/>
  <c r="C2686" i="7"/>
  <c r="H2685" i="7"/>
  <c r="G2685" i="7"/>
  <c r="C2685" i="7"/>
  <c r="H2684" i="7"/>
  <c r="C2684" i="7"/>
  <c r="G2684" i="7" s="1"/>
  <c r="G2683" i="7"/>
  <c r="C2683" i="7"/>
  <c r="H2683" i="7" s="1"/>
  <c r="H2682" i="7"/>
  <c r="G2682" i="7"/>
  <c r="C2682" i="7"/>
  <c r="H2681" i="7"/>
  <c r="G2681" i="7"/>
  <c r="C2681" i="7"/>
  <c r="H2680" i="7"/>
  <c r="G2680" i="7"/>
  <c r="C2680" i="7"/>
  <c r="C2679" i="7"/>
  <c r="H2679" i="7" s="1"/>
  <c r="H2678" i="7"/>
  <c r="G2678" i="7"/>
  <c r="C2678" i="7"/>
  <c r="H2677" i="7"/>
  <c r="G2677" i="7"/>
  <c r="C2677" i="7"/>
  <c r="H2676" i="7"/>
  <c r="G2676" i="7"/>
  <c r="C2676" i="7"/>
  <c r="C2675" i="7"/>
  <c r="H2675" i="7" s="1"/>
  <c r="H2674" i="7"/>
  <c r="G2674" i="7"/>
  <c r="C2674" i="7"/>
  <c r="H2673" i="7"/>
  <c r="G2673" i="7"/>
  <c r="C2673" i="7"/>
  <c r="C2672" i="7"/>
  <c r="G2671" i="7"/>
  <c r="C2671" i="7"/>
  <c r="H2671" i="7" s="1"/>
  <c r="H2670" i="7"/>
  <c r="G2670" i="7"/>
  <c r="C2670" i="7"/>
  <c r="H2669" i="7"/>
  <c r="G2669" i="7"/>
  <c r="C2669" i="7"/>
  <c r="H2668" i="7"/>
  <c r="C2668" i="7"/>
  <c r="G2668" i="7" s="1"/>
  <c r="G2667" i="7"/>
  <c r="C2667" i="7"/>
  <c r="H2667" i="7" s="1"/>
  <c r="H2666" i="7"/>
  <c r="G2666" i="7"/>
  <c r="C2666" i="7"/>
  <c r="H2665" i="7"/>
  <c r="G2665" i="7"/>
  <c r="C2665" i="7"/>
  <c r="G2664" i="7"/>
  <c r="C2664" i="7"/>
  <c r="H2664" i="7" s="1"/>
  <c r="C2663" i="7"/>
  <c r="H2662" i="7"/>
  <c r="G2662" i="7"/>
  <c r="C2662" i="7"/>
  <c r="H2661" i="7"/>
  <c r="G2661" i="7"/>
  <c r="C2661" i="7"/>
  <c r="C2660" i="7"/>
  <c r="H2660" i="7" s="1"/>
  <c r="C2659" i="7"/>
  <c r="H2659" i="7" s="1"/>
  <c r="H2658" i="7"/>
  <c r="G2658" i="7"/>
  <c r="C2658" i="7"/>
  <c r="H2657" i="7"/>
  <c r="G2657" i="7"/>
  <c r="C2657" i="7"/>
  <c r="G2656" i="7"/>
  <c r="C2656" i="7"/>
  <c r="H2656" i="7" s="1"/>
  <c r="C2655" i="7"/>
  <c r="H2655" i="7" s="1"/>
  <c r="H2654" i="7"/>
  <c r="G2654" i="7"/>
  <c r="C2654" i="7"/>
  <c r="H2653" i="7"/>
  <c r="G2653" i="7"/>
  <c r="C2653" i="7"/>
  <c r="C2652" i="7"/>
  <c r="G2651" i="7"/>
  <c r="C2651" i="7"/>
  <c r="H2651" i="7" s="1"/>
  <c r="H2650" i="7"/>
  <c r="G2650" i="7"/>
  <c r="C2650" i="7"/>
  <c r="H2649" i="7"/>
  <c r="G2649" i="7"/>
  <c r="C2649" i="7"/>
  <c r="H2648" i="7"/>
  <c r="G2648" i="7"/>
  <c r="C2648" i="7"/>
  <c r="C2647" i="7"/>
  <c r="H2646" i="7"/>
  <c r="G2646" i="7"/>
  <c r="C2646" i="7"/>
  <c r="H2645" i="7"/>
  <c r="G2645" i="7"/>
  <c r="C2645" i="7"/>
  <c r="G2644" i="7"/>
  <c r="C2644" i="7"/>
  <c r="H2644" i="7" s="1"/>
  <c r="C2643" i="7"/>
  <c r="H2642" i="7"/>
  <c r="G2642" i="7"/>
  <c r="C2642" i="7"/>
  <c r="H2641" i="7"/>
  <c r="G2641" i="7"/>
  <c r="C2641" i="7"/>
  <c r="C2640" i="7"/>
  <c r="H2640" i="7" s="1"/>
  <c r="G2639" i="7"/>
  <c r="C2639" i="7"/>
  <c r="H2639" i="7" s="1"/>
  <c r="H2638" i="7"/>
  <c r="G2638" i="7"/>
  <c r="C2638" i="7"/>
  <c r="H2637" i="7"/>
  <c r="G2637" i="7"/>
  <c r="C2637" i="7"/>
  <c r="H2636" i="7"/>
  <c r="C2636" i="7"/>
  <c r="G2636" i="7" s="1"/>
  <c r="G2635" i="7"/>
  <c r="C2635" i="7"/>
  <c r="H2635" i="7" s="1"/>
  <c r="H2634" i="7"/>
  <c r="G2634" i="7"/>
  <c r="C2634" i="7"/>
  <c r="H2633" i="7"/>
  <c r="G2633" i="7"/>
  <c r="C2633" i="7"/>
  <c r="H2632" i="7"/>
  <c r="G2632" i="7"/>
  <c r="C2632" i="7"/>
  <c r="C2631" i="7"/>
  <c r="H2630" i="7"/>
  <c r="G2630" i="7"/>
  <c r="C2630" i="7"/>
  <c r="H2629" i="7"/>
  <c r="G2629" i="7"/>
  <c r="C2629" i="7"/>
  <c r="H2628" i="7"/>
  <c r="G2628" i="7"/>
  <c r="C2628" i="7"/>
  <c r="C2627" i="7"/>
  <c r="H2627" i="7" s="1"/>
  <c r="H2626" i="7"/>
  <c r="G2626" i="7"/>
  <c r="C2626" i="7"/>
  <c r="H2625" i="7"/>
  <c r="G2625" i="7"/>
  <c r="C2625" i="7"/>
  <c r="C2624" i="7"/>
  <c r="G2623" i="7"/>
  <c r="C2623" i="7"/>
  <c r="H2623" i="7" s="1"/>
  <c r="H2622" i="7"/>
  <c r="G2622" i="7"/>
  <c r="C2622" i="7"/>
  <c r="H2621" i="7"/>
  <c r="G2621" i="7"/>
  <c r="C2621" i="7"/>
  <c r="G2620" i="7"/>
  <c r="C2620" i="7"/>
  <c r="H2620" i="7" s="1"/>
  <c r="G2619" i="7"/>
  <c r="C2619" i="7"/>
  <c r="H2619" i="7" s="1"/>
  <c r="H2618" i="7"/>
  <c r="G2618" i="7"/>
  <c r="C2618" i="7"/>
  <c r="H2617" i="7"/>
  <c r="G2617" i="7"/>
  <c r="C2617" i="7"/>
  <c r="C2616" i="7"/>
  <c r="G2615" i="7"/>
  <c r="C2615" i="7"/>
  <c r="H2615" i="7" s="1"/>
  <c r="H2614" i="7"/>
  <c r="G2614" i="7"/>
  <c r="C2614" i="7"/>
  <c r="H2613" i="7"/>
  <c r="G2613" i="7"/>
  <c r="C2613" i="7"/>
  <c r="H2612" i="7"/>
  <c r="C2612" i="7"/>
  <c r="G2612" i="7" s="1"/>
  <c r="C2611" i="7"/>
  <c r="H2610" i="7"/>
  <c r="G2610" i="7"/>
  <c r="C2610" i="7"/>
  <c r="H2609" i="7"/>
  <c r="G2609" i="7"/>
  <c r="C2609" i="7"/>
  <c r="C2608" i="7"/>
  <c r="H2608" i="7" s="1"/>
  <c r="C2607" i="7"/>
  <c r="H2607" i="7" s="1"/>
  <c r="H2606" i="7"/>
  <c r="G2606" i="7"/>
  <c r="C2606" i="7"/>
  <c r="H2605" i="7"/>
  <c r="G2605" i="7"/>
  <c r="C2605" i="7"/>
  <c r="C2604" i="7"/>
  <c r="G2603" i="7"/>
  <c r="C2603" i="7"/>
  <c r="H2603" i="7" s="1"/>
  <c r="H2602" i="7"/>
  <c r="G2602" i="7"/>
  <c r="C2602" i="7"/>
  <c r="H2601" i="7"/>
  <c r="G2601" i="7"/>
  <c r="C2601" i="7"/>
  <c r="H2600" i="7"/>
  <c r="G2600" i="7"/>
  <c r="C2600" i="7"/>
  <c r="G2599" i="7"/>
  <c r="C2599" i="7"/>
  <c r="H2599" i="7" s="1"/>
  <c r="H2598" i="7"/>
  <c r="G2598" i="7"/>
  <c r="C2598" i="7"/>
  <c r="H2597" i="7"/>
  <c r="G2597" i="7"/>
  <c r="C2597" i="7"/>
  <c r="G2596" i="7"/>
  <c r="C2596" i="7"/>
  <c r="H2596" i="7" s="1"/>
  <c r="C2595" i="7"/>
  <c r="H2594" i="7"/>
  <c r="G2594" i="7"/>
  <c r="C2594" i="7"/>
  <c r="H2593" i="7"/>
  <c r="G2593" i="7"/>
  <c r="C2593" i="7"/>
  <c r="C2592" i="7"/>
  <c r="G2591" i="7"/>
  <c r="C2591" i="7"/>
  <c r="H2591" i="7" s="1"/>
  <c r="H2590" i="7"/>
  <c r="G2590" i="7"/>
  <c r="C2590" i="7"/>
  <c r="H2589" i="7"/>
  <c r="G2589" i="7"/>
  <c r="C2589" i="7"/>
  <c r="H2588" i="7"/>
  <c r="C2588" i="7"/>
  <c r="G2588" i="7" s="1"/>
  <c r="G2587" i="7"/>
  <c r="C2587" i="7"/>
  <c r="H2587" i="7" s="1"/>
  <c r="H2586" i="7"/>
  <c r="G2586" i="7"/>
  <c r="C2586" i="7"/>
  <c r="H2585" i="7"/>
  <c r="G2585" i="7"/>
  <c r="C2585" i="7"/>
  <c r="H2584" i="7"/>
  <c r="G2584" i="7"/>
  <c r="C2584" i="7"/>
  <c r="C2583" i="7"/>
  <c r="H2582" i="7"/>
  <c r="G2582" i="7"/>
  <c r="C2582" i="7"/>
  <c r="H2581" i="7"/>
  <c r="G2581" i="7"/>
  <c r="C2581" i="7"/>
  <c r="H2580" i="7"/>
  <c r="G2580" i="7"/>
  <c r="C2580" i="7"/>
  <c r="C2579" i="7"/>
  <c r="H2579" i="7" s="1"/>
  <c r="H2578" i="7"/>
  <c r="G2578" i="7"/>
  <c r="C2578" i="7"/>
  <c r="H2577" i="7"/>
  <c r="G2577" i="7"/>
  <c r="C2577" i="7"/>
  <c r="H2576" i="7"/>
  <c r="G2576" i="7"/>
  <c r="C2576" i="7"/>
  <c r="G2575" i="7"/>
  <c r="C2575" i="7"/>
  <c r="H2575" i="7" s="1"/>
  <c r="H2574" i="7"/>
  <c r="G2574" i="7"/>
  <c r="C2574" i="7"/>
  <c r="H2573" i="7"/>
  <c r="G2573" i="7"/>
  <c r="C2573" i="7"/>
  <c r="C2572" i="7"/>
  <c r="G2571" i="7"/>
  <c r="C2571" i="7"/>
  <c r="H2571" i="7" s="1"/>
  <c r="H2570" i="7"/>
  <c r="G2570" i="7"/>
  <c r="C2570" i="7"/>
  <c r="H2569" i="7"/>
  <c r="G2569" i="7"/>
  <c r="C2569" i="7"/>
  <c r="H2568" i="7"/>
  <c r="C2568" i="7"/>
  <c r="G2568" i="7" s="1"/>
  <c r="G2567" i="7"/>
  <c r="C2567" i="7"/>
  <c r="H2567" i="7" s="1"/>
  <c r="H2566" i="7"/>
  <c r="G2566" i="7"/>
  <c r="C2566" i="7"/>
  <c r="H2565" i="7"/>
  <c r="G2565" i="7"/>
  <c r="C2565" i="7"/>
  <c r="C2564" i="7"/>
  <c r="H2564" i="7" s="1"/>
  <c r="C2563" i="7"/>
  <c r="H2563" i="7" s="1"/>
  <c r="H2562" i="7"/>
  <c r="G2562" i="7"/>
  <c r="C2562" i="7"/>
  <c r="H2561" i="7"/>
  <c r="G2561" i="7"/>
  <c r="C2561" i="7"/>
  <c r="C2560" i="7"/>
  <c r="H2560" i="7" s="1"/>
  <c r="C2559" i="7"/>
  <c r="H2558" i="7"/>
  <c r="G2558" i="7"/>
  <c r="C2558" i="7"/>
  <c r="H2557" i="7"/>
  <c r="G2557" i="7"/>
  <c r="C2557" i="7"/>
  <c r="C2556" i="7"/>
  <c r="G2556" i="7" s="1"/>
  <c r="C2555" i="7"/>
  <c r="H2555" i="7" s="1"/>
  <c r="H2554" i="7"/>
  <c r="G2554" i="7"/>
  <c r="C2554" i="7"/>
  <c r="H2553" i="7"/>
  <c r="G2553" i="7"/>
  <c r="C2553" i="7"/>
  <c r="H2552" i="7"/>
  <c r="G2552" i="7"/>
  <c r="C2552" i="7"/>
  <c r="G2551" i="7"/>
  <c r="C2551" i="7"/>
  <c r="H2551" i="7" s="1"/>
  <c r="H2550" i="7"/>
  <c r="G2550" i="7"/>
  <c r="C2550" i="7"/>
  <c r="H2549" i="7"/>
  <c r="G2549" i="7"/>
  <c r="C2549" i="7"/>
  <c r="G2548" i="7"/>
  <c r="C2548" i="7"/>
  <c r="H2548" i="7" s="1"/>
  <c r="C2547" i="7"/>
  <c r="H2546" i="7"/>
  <c r="G2546" i="7"/>
  <c r="C2546" i="7"/>
  <c r="H2545" i="7"/>
  <c r="G2545" i="7"/>
  <c r="C2545" i="7"/>
  <c r="C2544" i="7"/>
  <c r="G2543" i="7"/>
  <c r="C2543" i="7"/>
  <c r="H2543" i="7" s="1"/>
  <c r="H2542" i="7"/>
  <c r="G2542" i="7"/>
  <c r="C2542" i="7"/>
  <c r="H2541" i="7"/>
  <c r="G2541" i="7"/>
  <c r="C2541" i="7"/>
  <c r="H2540" i="7"/>
  <c r="C2540" i="7"/>
  <c r="G2540" i="7" s="1"/>
  <c r="G2539" i="7"/>
  <c r="C2539" i="7"/>
  <c r="H2539" i="7" s="1"/>
  <c r="H2538" i="7"/>
  <c r="G2538" i="7"/>
  <c r="C2538" i="7"/>
  <c r="H2537" i="7"/>
  <c r="G2537" i="7"/>
  <c r="C2537" i="7"/>
  <c r="H2536" i="7"/>
  <c r="G2536" i="7"/>
  <c r="C2536" i="7"/>
  <c r="C2535" i="7"/>
  <c r="H2534" i="7"/>
  <c r="G2534" i="7"/>
  <c r="C2534" i="7"/>
  <c r="H2533" i="7"/>
  <c r="G2533" i="7"/>
  <c r="C2533" i="7"/>
  <c r="C2532" i="7"/>
  <c r="H2532" i="7" s="1"/>
  <c r="C2531" i="7"/>
  <c r="H2531" i="7" s="1"/>
  <c r="H2530" i="7"/>
  <c r="G2530" i="7"/>
  <c r="C2530" i="7"/>
  <c r="H2529" i="7"/>
  <c r="G2529" i="7"/>
  <c r="C2529" i="7"/>
  <c r="H2528" i="7"/>
  <c r="G2528" i="7"/>
  <c r="C2528" i="7"/>
  <c r="G2527" i="7"/>
  <c r="C2527" i="7"/>
  <c r="H2527" i="7" s="1"/>
  <c r="H2526" i="7"/>
  <c r="G2526" i="7"/>
  <c r="C2526" i="7"/>
  <c r="H2525" i="7"/>
  <c r="G2525" i="7"/>
  <c r="C2525" i="7"/>
  <c r="G2524" i="7"/>
  <c r="C2524" i="7"/>
  <c r="H2524" i="7" s="1"/>
  <c r="G2523" i="7"/>
  <c r="C2523" i="7"/>
  <c r="H2523" i="7" s="1"/>
  <c r="H2522" i="7"/>
  <c r="G2522" i="7"/>
  <c r="C2522" i="7"/>
  <c r="H2521" i="7"/>
  <c r="G2521" i="7"/>
  <c r="C2521" i="7"/>
  <c r="H2520" i="7"/>
  <c r="C2520" i="7"/>
  <c r="G2520" i="7" s="1"/>
  <c r="G2519" i="7"/>
  <c r="C2519" i="7"/>
  <c r="H2519" i="7" s="1"/>
  <c r="H2518" i="7"/>
  <c r="G2518" i="7"/>
  <c r="C2518" i="7"/>
  <c r="H2517" i="7"/>
  <c r="G2517" i="7"/>
  <c r="C2517" i="7"/>
  <c r="H2516" i="7"/>
  <c r="G2516" i="7"/>
  <c r="C2516" i="7"/>
  <c r="G2515" i="7"/>
  <c r="C2515" i="7"/>
  <c r="H2515" i="7" s="1"/>
  <c r="H2514" i="7"/>
  <c r="G2514" i="7"/>
  <c r="C2514" i="7"/>
  <c r="H2513" i="7"/>
  <c r="G2513" i="7"/>
  <c r="C2513" i="7"/>
  <c r="G2512" i="7"/>
  <c r="C2512" i="7"/>
  <c r="H2512" i="7" s="1"/>
  <c r="G2511" i="7"/>
  <c r="C2511" i="7"/>
  <c r="H2511" i="7" s="1"/>
  <c r="H2510" i="7"/>
  <c r="G2510" i="7"/>
  <c r="C2510" i="7"/>
  <c r="H2509" i="7"/>
  <c r="G2509" i="7"/>
  <c r="C2509" i="7"/>
  <c r="C2508" i="7"/>
  <c r="G2507" i="7"/>
  <c r="C2507" i="7"/>
  <c r="H2507" i="7" s="1"/>
  <c r="H2506" i="7"/>
  <c r="G2506" i="7"/>
  <c r="C2506" i="7"/>
  <c r="H2505" i="7"/>
  <c r="G2505" i="7"/>
  <c r="C2505" i="7"/>
  <c r="H2504" i="7"/>
  <c r="G2504" i="7"/>
  <c r="C2504" i="7"/>
  <c r="G2503" i="7"/>
  <c r="C2503" i="7"/>
  <c r="H2503" i="7" s="1"/>
  <c r="H2502" i="7"/>
  <c r="G2502" i="7"/>
  <c r="C2502" i="7"/>
  <c r="H2501" i="7"/>
  <c r="G2501" i="7"/>
  <c r="C2501" i="7"/>
  <c r="C2500" i="7"/>
  <c r="H2500" i="7" s="1"/>
  <c r="C2499" i="7"/>
  <c r="H2498" i="7"/>
  <c r="G2498" i="7"/>
  <c r="C2498" i="7"/>
  <c r="H2497" i="7"/>
  <c r="G2497" i="7"/>
  <c r="C2497" i="7"/>
  <c r="C2496" i="7"/>
  <c r="G2495" i="7"/>
  <c r="C2495" i="7"/>
  <c r="H2495" i="7" s="1"/>
  <c r="H2494" i="7"/>
  <c r="G2494" i="7"/>
  <c r="C2494" i="7"/>
  <c r="H2493" i="7"/>
  <c r="G2493" i="7"/>
  <c r="C2493" i="7"/>
  <c r="H2492" i="7"/>
  <c r="C2492" i="7"/>
  <c r="G2492" i="7" s="1"/>
  <c r="C2491" i="7"/>
  <c r="H2490" i="7"/>
  <c r="G2490" i="7"/>
  <c r="C2490" i="7"/>
  <c r="H2489" i="7"/>
  <c r="G2489" i="7"/>
  <c r="C2489" i="7"/>
  <c r="H2488" i="7"/>
  <c r="G2488" i="7"/>
  <c r="C2488" i="7"/>
  <c r="C2487" i="7"/>
  <c r="H2486" i="7"/>
  <c r="G2486" i="7"/>
  <c r="C2486" i="7"/>
  <c r="H2485" i="7"/>
  <c r="G2485" i="7"/>
  <c r="C2485" i="7"/>
  <c r="C2484" i="7"/>
  <c r="C2483" i="7"/>
  <c r="H2483" i="7" s="1"/>
  <c r="H2482" i="7"/>
  <c r="G2482" i="7"/>
  <c r="C2482" i="7"/>
  <c r="H2481" i="7"/>
  <c r="G2481" i="7"/>
  <c r="C2481" i="7"/>
  <c r="H2480" i="7"/>
  <c r="G2480" i="7"/>
  <c r="C2480" i="7"/>
  <c r="G2479" i="7"/>
  <c r="C2479" i="7"/>
  <c r="H2479" i="7" s="1"/>
  <c r="H2478" i="7"/>
  <c r="G2478" i="7"/>
  <c r="C2478" i="7"/>
  <c r="H2477" i="7"/>
  <c r="G2477" i="7"/>
  <c r="C2477" i="7"/>
  <c r="C2476" i="7"/>
  <c r="H2476" i="7" s="1"/>
  <c r="C2475" i="7"/>
  <c r="H2475" i="7" s="1"/>
  <c r="H2474" i="7"/>
  <c r="G2474" i="7"/>
  <c r="C2474" i="7"/>
  <c r="H2473" i="7"/>
  <c r="G2473" i="7"/>
  <c r="C2473" i="7"/>
  <c r="H2472" i="7"/>
  <c r="G2472" i="7"/>
  <c r="C2472" i="7"/>
  <c r="G2471" i="7"/>
  <c r="C2471" i="7"/>
  <c r="H2471" i="7" s="1"/>
  <c r="H2470" i="7"/>
  <c r="G2470" i="7"/>
  <c r="C2470" i="7"/>
  <c r="H2469" i="7"/>
  <c r="G2469" i="7"/>
  <c r="C2469" i="7"/>
  <c r="H2468" i="7"/>
  <c r="G2468" i="7"/>
  <c r="C2468" i="7"/>
  <c r="C2467" i="7"/>
  <c r="H2467" i="7" s="1"/>
  <c r="H2466" i="7"/>
  <c r="G2466" i="7"/>
  <c r="C2466" i="7"/>
  <c r="H2465" i="7"/>
  <c r="G2465" i="7"/>
  <c r="C2465" i="7"/>
  <c r="C2464" i="7"/>
  <c r="G2463" i="7"/>
  <c r="C2463" i="7"/>
  <c r="H2463" i="7" s="1"/>
  <c r="H2462" i="7"/>
  <c r="G2462" i="7"/>
  <c r="C2462" i="7"/>
  <c r="H2461" i="7"/>
  <c r="G2461" i="7"/>
  <c r="C2461" i="7"/>
  <c r="H2460" i="7"/>
  <c r="C2460" i="7"/>
  <c r="G2460" i="7" s="1"/>
  <c r="C2459" i="7"/>
  <c r="H2458" i="7"/>
  <c r="G2458" i="7"/>
  <c r="C2458" i="7"/>
  <c r="H2457" i="7"/>
  <c r="G2457" i="7"/>
  <c r="C2457" i="7"/>
  <c r="H2456" i="7"/>
  <c r="G2456" i="7"/>
  <c r="C2456" i="7"/>
  <c r="G2455" i="7"/>
  <c r="C2455" i="7"/>
  <c r="H2455" i="7" s="1"/>
  <c r="H2454" i="7"/>
  <c r="G2454" i="7"/>
  <c r="C2454" i="7"/>
  <c r="H2453" i="7"/>
  <c r="G2453" i="7"/>
  <c r="C2453" i="7"/>
  <c r="C2452" i="7"/>
  <c r="C2451" i="7"/>
  <c r="H2450" i="7"/>
  <c r="G2450" i="7"/>
  <c r="C2450" i="7"/>
  <c r="H2449" i="7"/>
  <c r="G2449" i="7"/>
  <c r="C2449" i="7"/>
  <c r="C2448" i="7"/>
  <c r="G2447" i="7"/>
  <c r="C2447" i="7"/>
  <c r="H2447" i="7" s="1"/>
  <c r="H2446" i="7"/>
  <c r="G2446" i="7"/>
  <c r="C2446" i="7"/>
  <c r="H2445" i="7"/>
  <c r="G2445" i="7"/>
  <c r="C2445" i="7"/>
  <c r="H2444" i="7"/>
  <c r="C2444" i="7"/>
  <c r="G2444" i="7" s="1"/>
  <c r="G2443" i="7"/>
  <c r="C2443" i="7"/>
  <c r="H2443" i="7" s="1"/>
  <c r="H2442" i="7"/>
  <c r="G2442" i="7"/>
  <c r="C2442" i="7"/>
  <c r="H2441" i="7"/>
  <c r="G2441" i="7"/>
  <c r="C2441" i="7"/>
  <c r="H2440" i="7"/>
  <c r="G2440" i="7"/>
  <c r="C2440" i="7"/>
  <c r="C2439" i="7"/>
  <c r="H2438" i="7"/>
  <c r="G2438" i="7"/>
  <c r="C2438" i="7"/>
  <c r="H2437" i="7"/>
  <c r="G2437" i="7"/>
  <c r="C2437" i="7"/>
  <c r="C2436" i="7"/>
  <c r="H2436" i="7" s="1"/>
  <c r="C2435" i="7"/>
  <c r="H2435" i="7" s="1"/>
  <c r="H2434" i="7"/>
  <c r="G2434" i="7"/>
  <c r="C2434" i="7"/>
  <c r="H2433" i="7"/>
  <c r="G2433" i="7"/>
  <c r="C2433" i="7"/>
  <c r="C2432" i="7"/>
  <c r="G2431" i="7"/>
  <c r="C2431" i="7"/>
  <c r="H2431" i="7" s="1"/>
  <c r="H2430" i="7"/>
  <c r="G2430" i="7"/>
  <c r="C2430" i="7"/>
  <c r="H2429" i="7"/>
  <c r="G2429" i="7"/>
  <c r="C2429" i="7"/>
  <c r="C2428" i="7"/>
  <c r="C2427" i="7"/>
  <c r="H2426" i="7"/>
  <c r="G2426" i="7"/>
  <c r="C2426" i="7"/>
  <c r="H2425" i="7"/>
  <c r="G2425" i="7"/>
  <c r="C2425" i="7"/>
  <c r="H2424" i="7"/>
  <c r="C2424" i="7"/>
  <c r="G2424" i="7" s="1"/>
  <c r="G2423" i="7"/>
  <c r="C2423" i="7"/>
  <c r="H2423" i="7" s="1"/>
  <c r="H2422" i="7"/>
  <c r="G2422" i="7"/>
  <c r="C2422" i="7"/>
  <c r="H2421" i="7"/>
  <c r="G2421" i="7"/>
  <c r="C2421" i="7"/>
  <c r="H2420" i="7"/>
  <c r="G2420" i="7"/>
  <c r="C2420" i="7"/>
  <c r="C2419" i="7"/>
  <c r="H2418" i="7"/>
  <c r="G2418" i="7"/>
  <c r="C2418" i="7"/>
  <c r="H2417" i="7"/>
  <c r="G2417" i="7"/>
  <c r="C2417" i="7"/>
  <c r="G2416" i="7"/>
  <c r="C2416" i="7"/>
  <c r="H2416" i="7" s="1"/>
  <c r="G2415" i="7"/>
  <c r="C2415" i="7"/>
  <c r="H2415" i="7" s="1"/>
  <c r="H2414" i="7"/>
  <c r="G2414" i="7"/>
  <c r="C2414" i="7"/>
  <c r="H2413" i="7"/>
  <c r="G2413" i="7"/>
  <c r="C2413" i="7"/>
  <c r="H2412" i="7"/>
  <c r="C2412" i="7"/>
  <c r="G2412" i="7" s="1"/>
  <c r="G2411" i="7"/>
  <c r="C2411" i="7"/>
  <c r="H2411" i="7" s="1"/>
  <c r="H2410" i="7"/>
  <c r="G2410" i="7"/>
  <c r="C2410" i="7"/>
  <c r="H2409" i="7"/>
  <c r="G2409" i="7"/>
  <c r="C2409" i="7"/>
  <c r="H2408" i="7"/>
  <c r="G2408" i="7"/>
  <c r="C2408" i="7"/>
  <c r="G2407" i="7"/>
  <c r="C2407" i="7"/>
  <c r="H2407" i="7" s="1"/>
  <c r="H2406" i="7"/>
  <c r="G2406" i="7"/>
  <c r="C2406" i="7"/>
  <c r="H2405" i="7"/>
  <c r="G2405" i="7"/>
  <c r="C2405" i="7"/>
  <c r="G2404" i="7"/>
  <c r="C2404" i="7"/>
  <c r="H2404" i="7" s="1"/>
  <c r="C2403" i="7"/>
  <c r="H2402" i="7"/>
  <c r="G2402" i="7"/>
  <c r="C2402" i="7"/>
  <c r="H2401" i="7"/>
  <c r="G2401" i="7"/>
  <c r="C2401" i="7"/>
  <c r="C2400" i="7"/>
  <c r="G2399" i="7"/>
  <c r="C2399" i="7"/>
  <c r="H2399" i="7" s="1"/>
  <c r="H2398" i="7"/>
  <c r="G2398" i="7"/>
  <c r="C2398" i="7"/>
  <c r="H2397" i="7"/>
  <c r="G2397" i="7"/>
  <c r="C2397" i="7"/>
  <c r="H2396" i="7"/>
  <c r="C2396" i="7"/>
  <c r="G2396" i="7" s="1"/>
  <c r="C2395" i="7"/>
  <c r="H2395" i="7" s="1"/>
  <c r="H2394" i="7"/>
  <c r="G2394" i="7"/>
  <c r="C2394" i="7"/>
  <c r="H2393" i="7"/>
  <c r="G2393" i="7"/>
  <c r="C2393" i="7"/>
  <c r="H2392" i="7"/>
  <c r="G2392" i="7"/>
  <c r="C2392" i="7"/>
  <c r="C2391" i="7"/>
  <c r="H2390" i="7"/>
  <c r="G2390" i="7"/>
  <c r="C2390" i="7"/>
  <c r="H2389" i="7"/>
  <c r="G2389" i="7"/>
  <c r="C2389" i="7"/>
  <c r="C2388" i="7"/>
  <c r="C2387" i="7"/>
  <c r="H2387" i="7" s="1"/>
  <c r="H2386" i="7"/>
  <c r="G2386" i="7"/>
  <c r="C2386" i="7"/>
  <c r="H2385" i="7"/>
  <c r="G2385" i="7"/>
  <c r="C2385" i="7"/>
  <c r="H2384" i="7"/>
  <c r="G2384" i="7"/>
  <c r="C2384" i="7"/>
  <c r="G2383" i="7"/>
  <c r="C2383" i="7"/>
  <c r="H2383" i="7" s="1"/>
  <c r="H2382" i="7"/>
  <c r="G2382" i="7"/>
  <c r="C2382" i="7"/>
  <c r="H2381" i="7"/>
  <c r="G2381" i="7"/>
  <c r="C2381" i="7"/>
  <c r="C2380" i="7"/>
  <c r="H2380" i="7" s="1"/>
  <c r="C2379" i="7"/>
  <c r="H2378" i="7"/>
  <c r="G2378" i="7"/>
  <c r="C2378" i="7"/>
  <c r="H2377" i="7"/>
  <c r="G2377" i="7"/>
  <c r="C2377" i="7"/>
  <c r="H2376" i="7"/>
  <c r="G2376" i="7"/>
  <c r="C2376" i="7"/>
  <c r="G2375" i="7"/>
  <c r="C2375" i="7"/>
  <c r="H2375" i="7" s="1"/>
  <c r="H2374" i="7"/>
  <c r="G2374" i="7"/>
  <c r="C2374" i="7"/>
  <c r="H2373" i="7"/>
  <c r="G2373" i="7"/>
  <c r="C2373" i="7"/>
  <c r="C2372" i="7"/>
  <c r="G2371" i="7"/>
  <c r="C2371" i="7"/>
  <c r="H2371" i="7" s="1"/>
  <c r="H2370" i="7"/>
  <c r="G2370" i="7"/>
  <c r="C2370" i="7"/>
  <c r="H2369" i="7"/>
  <c r="G2369" i="7"/>
  <c r="C2369" i="7"/>
  <c r="C2368" i="7"/>
  <c r="H2368" i="7" s="1"/>
  <c r="C2367" i="7"/>
  <c r="H2367" i="7" s="1"/>
  <c r="H2366" i="7"/>
  <c r="G2366" i="7"/>
  <c r="C2366" i="7"/>
  <c r="H2365" i="7"/>
  <c r="G2365" i="7"/>
  <c r="C2365" i="7"/>
  <c r="C2364" i="7"/>
  <c r="C2363" i="7"/>
  <c r="H2363" i="7" s="1"/>
  <c r="H2362" i="7"/>
  <c r="G2362" i="7"/>
  <c r="C2362" i="7"/>
  <c r="H2361" i="7"/>
  <c r="G2361" i="7"/>
  <c r="C2361" i="7"/>
  <c r="H2360" i="7"/>
  <c r="G2360" i="7"/>
  <c r="C2360" i="7"/>
  <c r="G2359" i="7"/>
  <c r="C2359" i="7"/>
  <c r="H2359" i="7" s="1"/>
  <c r="H2358" i="7"/>
  <c r="G2358" i="7"/>
  <c r="C2358" i="7"/>
  <c r="H2357" i="7"/>
  <c r="G2357" i="7"/>
  <c r="C2357" i="7"/>
  <c r="G2356" i="7"/>
  <c r="C2356" i="7"/>
  <c r="H2356" i="7" s="1"/>
  <c r="C2355" i="7"/>
  <c r="H2354" i="7"/>
  <c r="G2354" i="7"/>
  <c r="C2354" i="7"/>
  <c r="H2353" i="7"/>
  <c r="G2353" i="7"/>
  <c r="C2353" i="7"/>
  <c r="C2352" i="7"/>
  <c r="G2351" i="7"/>
  <c r="C2351" i="7"/>
  <c r="H2351" i="7" s="1"/>
  <c r="H2350" i="7"/>
  <c r="G2350" i="7"/>
  <c r="C2350" i="7"/>
  <c r="H2349" i="7"/>
  <c r="G2349" i="7"/>
  <c r="C2349" i="7"/>
  <c r="H2348" i="7"/>
  <c r="C2348" i="7"/>
  <c r="G2348" i="7" s="1"/>
  <c r="G2347" i="7"/>
  <c r="C2347" i="7"/>
  <c r="H2347" i="7" s="1"/>
  <c r="H2346" i="7"/>
  <c r="G2346" i="7"/>
  <c r="C2346" i="7"/>
  <c r="H2345" i="7"/>
  <c r="G2345" i="7"/>
  <c r="C2345" i="7"/>
  <c r="H2344" i="7"/>
  <c r="G2344" i="7"/>
  <c r="C2344" i="7"/>
  <c r="C2343" i="7"/>
  <c r="H2342" i="7"/>
  <c r="G2342" i="7"/>
  <c r="C2342" i="7"/>
  <c r="H2341" i="7"/>
  <c r="G2341" i="7"/>
  <c r="C2341" i="7"/>
  <c r="C2340" i="7"/>
  <c r="C2339" i="7"/>
  <c r="H2339" i="7" s="1"/>
  <c r="H2338" i="7"/>
  <c r="G2338" i="7"/>
  <c r="C2338" i="7"/>
  <c r="H2337" i="7"/>
  <c r="G2337" i="7"/>
  <c r="C2337" i="7"/>
  <c r="H2336" i="7"/>
  <c r="G2336" i="7"/>
  <c r="C2336" i="7"/>
  <c r="G2335" i="7"/>
  <c r="C2335" i="7"/>
  <c r="H2335" i="7" s="1"/>
  <c r="H2334" i="7"/>
  <c r="G2334" i="7"/>
  <c r="C2334" i="7"/>
  <c r="H2333" i="7"/>
  <c r="G2333" i="7"/>
  <c r="C2333" i="7"/>
  <c r="C2332" i="7"/>
  <c r="H2332" i="7" s="1"/>
  <c r="G2331" i="7"/>
  <c r="C2331" i="7"/>
  <c r="H2331" i="7" s="1"/>
  <c r="H2330" i="7"/>
  <c r="G2330" i="7"/>
  <c r="C2330" i="7"/>
  <c r="H2329" i="7"/>
  <c r="G2329" i="7"/>
  <c r="C2329" i="7"/>
  <c r="H2328" i="7"/>
  <c r="C2328" i="7"/>
  <c r="G2328" i="7" s="1"/>
  <c r="G2327" i="7"/>
  <c r="C2327" i="7"/>
  <c r="H2327" i="7" s="1"/>
  <c r="H2326" i="7"/>
  <c r="G2326" i="7"/>
  <c r="C2326" i="7"/>
  <c r="H2325" i="7"/>
  <c r="G2325" i="7"/>
  <c r="C2325" i="7"/>
  <c r="H2324" i="7"/>
  <c r="G2324" i="7"/>
  <c r="C2324" i="7"/>
  <c r="G2323" i="7"/>
  <c r="C2323" i="7"/>
  <c r="H2323" i="7" s="1"/>
  <c r="H2322" i="7"/>
  <c r="G2322" i="7"/>
  <c r="C2322" i="7"/>
  <c r="H2321" i="7"/>
  <c r="G2321" i="7"/>
  <c r="C2321" i="7"/>
  <c r="C2320" i="7"/>
  <c r="H2320" i="7" s="1"/>
  <c r="G2319" i="7"/>
  <c r="C2319" i="7"/>
  <c r="H2319" i="7" s="1"/>
  <c r="H2318" i="7"/>
  <c r="G2318" i="7"/>
  <c r="C2318" i="7"/>
  <c r="H2317" i="7"/>
  <c r="G2317" i="7"/>
  <c r="C2317" i="7"/>
  <c r="C2316" i="7"/>
  <c r="G2315" i="7"/>
  <c r="C2315" i="7"/>
  <c r="H2315" i="7" s="1"/>
  <c r="H2314" i="7"/>
  <c r="G2314" i="7"/>
  <c r="C2314" i="7"/>
  <c r="H2313" i="7"/>
  <c r="G2313" i="7"/>
  <c r="C2313" i="7"/>
  <c r="H2312" i="7"/>
  <c r="G2312" i="7"/>
  <c r="C2312" i="7"/>
  <c r="C2311" i="7"/>
  <c r="H2311" i="7" s="1"/>
  <c r="H2310" i="7"/>
  <c r="G2310" i="7"/>
  <c r="C2310" i="7"/>
  <c r="H2309" i="7"/>
  <c r="G2309" i="7"/>
  <c r="C2309" i="7"/>
  <c r="C2308" i="7"/>
  <c r="C2307" i="7"/>
  <c r="H2306" i="7"/>
  <c r="G2306" i="7"/>
  <c r="C2306" i="7"/>
  <c r="H2305" i="7"/>
  <c r="G2305" i="7"/>
  <c r="C2305" i="7"/>
  <c r="C2304" i="7"/>
  <c r="G2303" i="7"/>
  <c r="C2303" i="7"/>
  <c r="H2303" i="7" s="1"/>
  <c r="H2302" i="7"/>
  <c r="G2302" i="7"/>
  <c r="C2302" i="7"/>
  <c r="H2301" i="7"/>
  <c r="G2301" i="7"/>
  <c r="C2301" i="7"/>
  <c r="H2300" i="7"/>
  <c r="C2300" i="7"/>
  <c r="G2300" i="7" s="1"/>
  <c r="C2299" i="7"/>
  <c r="H2298" i="7"/>
  <c r="G2298" i="7"/>
  <c r="C2298" i="7"/>
  <c r="H2297" i="7"/>
  <c r="G2297" i="7"/>
  <c r="C2297" i="7"/>
  <c r="H2296" i="7"/>
  <c r="G2296" i="7"/>
  <c r="C2296" i="7"/>
  <c r="C2295" i="7"/>
  <c r="H2294" i="7"/>
  <c r="G2294" i="7"/>
  <c r="C2294" i="7"/>
  <c r="H2293" i="7"/>
  <c r="G2293" i="7"/>
  <c r="C2293" i="7"/>
  <c r="C2292" i="7"/>
  <c r="C2291" i="7"/>
  <c r="H2291" i="7" s="1"/>
  <c r="H2290" i="7"/>
  <c r="G2290" i="7"/>
  <c r="C2290" i="7"/>
  <c r="H2289" i="7"/>
  <c r="G2289" i="7"/>
  <c r="C2289" i="7"/>
  <c r="H2288" i="7"/>
  <c r="G2288" i="7"/>
  <c r="C2288" i="7"/>
  <c r="G2287" i="7"/>
  <c r="C2287" i="7"/>
  <c r="H2287" i="7" s="1"/>
  <c r="H2286" i="7"/>
  <c r="G2286" i="7"/>
  <c r="C2286" i="7"/>
  <c r="H2285" i="7"/>
  <c r="G2285" i="7"/>
  <c r="C2285" i="7"/>
  <c r="C2284" i="7"/>
  <c r="C2283" i="7"/>
  <c r="H2283" i="7" s="1"/>
  <c r="H2282" i="7"/>
  <c r="G2282" i="7"/>
  <c r="C2282" i="7"/>
  <c r="H2281" i="7"/>
  <c r="G2281" i="7"/>
  <c r="C2281" i="7"/>
  <c r="H2280" i="7"/>
  <c r="G2280" i="7"/>
  <c r="C2280" i="7"/>
  <c r="G2279" i="7"/>
  <c r="C2279" i="7"/>
  <c r="H2279" i="7" s="1"/>
  <c r="H2278" i="7"/>
  <c r="G2278" i="7"/>
  <c r="C2278" i="7"/>
  <c r="H2277" i="7"/>
  <c r="G2277" i="7"/>
  <c r="C2277" i="7"/>
  <c r="H2276" i="7"/>
  <c r="G2276" i="7"/>
  <c r="C2276" i="7"/>
  <c r="C2275" i="7"/>
  <c r="H2274" i="7"/>
  <c r="G2274" i="7"/>
  <c r="C2274" i="7"/>
  <c r="H2273" i="7"/>
  <c r="G2273" i="7"/>
  <c r="C2273" i="7"/>
  <c r="C2272" i="7"/>
  <c r="G2271" i="7"/>
  <c r="C2271" i="7"/>
  <c r="H2271" i="7" s="1"/>
  <c r="H2270" i="7"/>
  <c r="G2270" i="7"/>
  <c r="C2270" i="7"/>
  <c r="H2269" i="7"/>
  <c r="G2269" i="7"/>
  <c r="C2269" i="7"/>
  <c r="H2268" i="7"/>
  <c r="C2268" i="7"/>
  <c r="G2268" i="7" s="1"/>
  <c r="C2267" i="7"/>
  <c r="H2266" i="7"/>
  <c r="G2266" i="7"/>
  <c r="C2266" i="7"/>
  <c r="H2265" i="7"/>
  <c r="G2265" i="7"/>
  <c r="C2265" i="7"/>
  <c r="H2264" i="7"/>
  <c r="G2264" i="7"/>
  <c r="C2264" i="7"/>
  <c r="G2263" i="7"/>
  <c r="C2263" i="7"/>
  <c r="H2263" i="7" s="1"/>
  <c r="H2262" i="7"/>
  <c r="G2262" i="7"/>
  <c r="C2262" i="7"/>
  <c r="H2261" i="7"/>
  <c r="G2261" i="7"/>
  <c r="C2261" i="7"/>
  <c r="C2260" i="7"/>
  <c r="C2259" i="7"/>
  <c r="H2258" i="7"/>
  <c r="G2258" i="7"/>
  <c r="C2258" i="7"/>
  <c r="H2257" i="7"/>
  <c r="G2257" i="7"/>
  <c r="C2257" i="7"/>
  <c r="C2256" i="7"/>
  <c r="G2255" i="7"/>
  <c r="C2255" i="7"/>
  <c r="H2255" i="7" s="1"/>
  <c r="H2254" i="7"/>
  <c r="G2254" i="7"/>
  <c r="C2254" i="7"/>
  <c r="H2253" i="7"/>
  <c r="G2253" i="7"/>
  <c r="C2253" i="7"/>
  <c r="H2252" i="7"/>
  <c r="C2252" i="7"/>
  <c r="G2252" i="7" s="1"/>
  <c r="G2251" i="7"/>
  <c r="C2251" i="7"/>
  <c r="H2251" i="7" s="1"/>
  <c r="H2250" i="7"/>
  <c r="G2250" i="7"/>
  <c r="C2250" i="7"/>
  <c r="H2249" i="7"/>
  <c r="G2249" i="7"/>
  <c r="C2249" i="7"/>
  <c r="H2248" i="7"/>
  <c r="G2248" i="7"/>
  <c r="C2248" i="7"/>
  <c r="C2247" i="7"/>
  <c r="H2246" i="7"/>
  <c r="G2246" i="7"/>
  <c r="C2246" i="7"/>
  <c r="H2245" i="7"/>
  <c r="G2245" i="7"/>
  <c r="C2245" i="7"/>
  <c r="C2244" i="7"/>
  <c r="C2243" i="7"/>
  <c r="H2243" i="7" s="1"/>
  <c r="H2242" i="7"/>
  <c r="G2242" i="7"/>
  <c r="C2242" i="7"/>
  <c r="H2241" i="7"/>
  <c r="G2241" i="7"/>
  <c r="C2241" i="7"/>
  <c r="C2240" i="7"/>
  <c r="G2239" i="7"/>
  <c r="C2239" i="7"/>
  <c r="H2239" i="7" s="1"/>
  <c r="H2238" i="7"/>
  <c r="G2238" i="7"/>
  <c r="C2238" i="7"/>
  <c r="H2237" i="7"/>
  <c r="G2237" i="7"/>
  <c r="C2237" i="7"/>
  <c r="C2236" i="7"/>
  <c r="C2235" i="7"/>
  <c r="H2234" i="7"/>
  <c r="G2234" i="7"/>
  <c r="C2234" i="7"/>
  <c r="H2233" i="7"/>
  <c r="G2233" i="7"/>
  <c r="C2233" i="7"/>
  <c r="H2232" i="7"/>
  <c r="C2232" i="7"/>
  <c r="G2232" i="7" s="1"/>
  <c r="G2231" i="7"/>
  <c r="C2231" i="7"/>
  <c r="H2231" i="7" s="1"/>
  <c r="H2230" i="7"/>
  <c r="G2230" i="7"/>
  <c r="C2230" i="7"/>
  <c r="H2229" i="7"/>
  <c r="G2229" i="7"/>
  <c r="C2229" i="7"/>
  <c r="H2228" i="7"/>
  <c r="G2228" i="7"/>
  <c r="C2228" i="7"/>
  <c r="C2227" i="7"/>
  <c r="H2226" i="7"/>
  <c r="G2226" i="7"/>
  <c r="C2226" i="7"/>
  <c r="H2225" i="7"/>
  <c r="G2225" i="7"/>
  <c r="C2225" i="7"/>
  <c r="C2224" i="7"/>
  <c r="C2223" i="7"/>
  <c r="H2223" i="7" s="1"/>
  <c r="H2222" i="7"/>
  <c r="G2222" i="7"/>
  <c r="C2222" i="7"/>
  <c r="H2221" i="7"/>
  <c r="G2221" i="7"/>
  <c r="C2221" i="7"/>
  <c r="H2220" i="7"/>
  <c r="G2220" i="7"/>
  <c r="C2220" i="7"/>
  <c r="G2219" i="7"/>
  <c r="C2219" i="7"/>
  <c r="H2219" i="7" s="1"/>
  <c r="H2218" i="7"/>
  <c r="G2218" i="7"/>
  <c r="C2218" i="7"/>
  <c r="H2217" i="7"/>
  <c r="G2217" i="7"/>
  <c r="C2217" i="7"/>
  <c r="C2216" i="7"/>
  <c r="C2215" i="7"/>
  <c r="H2214" i="7"/>
  <c r="G2214" i="7"/>
  <c r="C2214" i="7"/>
  <c r="H2213" i="7"/>
  <c r="G2213" i="7"/>
  <c r="C2213" i="7"/>
  <c r="G2212" i="7"/>
  <c r="C2212" i="7"/>
  <c r="H2212" i="7" s="1"/>
  <c r="G2211" i="7"/>
  <c r="C2211" i="7"/>
  <c r="H2211" i="7" s="1"/>
  <c r="H2210" i="7"/>
  <c r="G2210" i="7"/>
  <c r="C2210" i="7"/>
  <c r="H2209" i="7"/>
  <c r="G2209" i="7"/>
  <c r="C2209" i="7"/>
  <c r="G2208" i="7"/>
  <c r="C2208" i="7"/>
  <c r="H2208" i="7" s="1"/>
  <c r="G2207" i="7"/>
  <c r="C2207" i="7"/>
  <c r="H2207" i="7" s="1"/>
  <c r="H2206" i="7"/>
  <c r="G2206" i="7"/>
  <c r="C2206" i="7"/>
  <c r="H2205" i="7"/>
  <c r="G2205" i="7"/>
  <c r="C2205" i="7"/>
  <c r="H2204" i="7"/>
  <c r="C2204" i="7"/>
  <c r="G2204" i="7" s="1"/>
  <c r="G2203" i="7"/>
  <c r="C2203" i="7"/>
  <c r="H2203" i="7" s="1"/>
  <c r="H2202" i="7"/>
  <c r="G2202" i="7"/>
  <c r="C2202" i="7"/>
  <c r="H2201" i="7"/>
  <c r="G2201" i="7"/>
  <c r="C2201" i="7"/>
  <c r="H2200" i="7"/>
  <c r="G2200" i="7"/>
  <c r="C2200" i="7"/>
  <c r="G2199" i="7"/>
  <c r="C2199" i="7"/>
  <c r="H2199" i="7" s="1"/>
  <c r="H2198" i="7"/>
  <c r="G2198" i="7"/>
  <c r="C2198" i="7"/>
  <c r="H2197" i="7"/>
  <c r="G2197" i="7"/>
  <c r="C2197" i="7"/>
  <c r="C2196" i="7"/>
  <c r="C2195" i="7"/>
  <c r="H2194" i="7"/>
  <c r="G2194" i="7"/>
  <c r="C2194" i="7"/>
  <c r="H2193" i="7"/>
  <c r="G2193" i="7"/>
  <c r="C2193" i="7"/>
  <c r="H2192" i="7"/>
  <c r="G2192" i="7"/>
  <c r="C2192" i="7"/>
  <c r="C2191" i="7"/>
  <c r="H2190" i="7"/>
  <c r="G2190" i="7"/>
  <c r="C2190" i="7"/>
  <c r="H2189" i="7"/>
  <c r="G2189" i="7"/>
  <c r="C2189" i="7"/>
  <c r="H2188" i="7"/>
  <c r="C2188" i="7"/>
  <c r="G2188" i="7" s="1"/>
  <c r="C2187" i="7"/>
  <c r="G2187" i="7" s="1"/>
  <c r="H2186" i="7"/>
  <c r="G2186" i="7"/>
  <c r="C2186" i="7"/>
  <c r="H2185" i="7"/>
  <c r="G2185" i="7"/>
  <c r="C2185" i="7"/>
  <c r="H2184" i="7"/>
  <c r="G2184" i="7"/>
  <c r="C2184" i="7"/>
  <c r="H2183" i="7"/>
  <c r="C2183" i="7"/>
  <c r="G2183" i="7" s="1"/>
  <c r="H2182" i="7"/>
  <c r="G2182" i="7"/>
  <c r="C2182" i="7"/>
  <c r="H2181" i="7"/>
  <c r="G2181" i="7"/>
  <c r="C2181" i="7"/>
  <c r="H2180" i="7"/>
  <c r="G2180" i="7"/>
  <c r="C2180" i="7"/>
  <c r="C2179" i="7"/>
  <c r="H2178" i="7"/>
  <c r="G2178" i="7"/>
  <c r="C2178" i="7"/>
  <c r="H2177" i="7"/>
  <c r="G2177" i="7"/>
  <c r="C2177" i="7"/>
  <c r="G2176" i="7"/>
  <c r="C2176" i="7"/>
  <c r="H2176" i="7" s="1"/>
  <c r="H2175" i="7"/>
  <c r="C2175" i="7"/>
  <c r="G2175" i="7" s="1"/>
  <c r="H2174" i="7"/>
  <c r="G2174" i="7"/>
  <c r="C2174" i="7"/>
  <c r="H2173" i="7"/>
  <c r="G2173" i="7"/>
  <c r="C2173" i="7"/>
  <c r="C2172" i="7"/>
  <c r="H2171" i="7"/>
  <c r="C2171" i="7"/>
  <c r="G2171" i="7" s="1"/>
  <c r="H2170" i="7"/>
  <c r="G2170" i="7"/>
  <c r="C2170" i="7"/>
  <c r="H2169" i="7"/>
  <c r="G2169" i="7"/>
  <c r="C2169" i="7"/>
  <c r="H2168" i="7"/>
  <c r="G2168" i="7"/>
  <c r="C2168" i="7"/>
  <c r="H2167" i="7"/>
  <c r="C2167" i="7"/>
  <c r="G2167" i="7" s="1"/>
  <c r="H2166" i="7"/>
  <c r="G2166" i="7"/>
  <c r="C2166" i="7"/>
  <c r="H2165" i="7"/>
  <c r="G2165" i="7"/>
  <c r="C2165" i="7"/>
  <c r="H2164" i="7"/>
  <c r="C2164" i="7"/>
  <c r="G2164" i="7" s="1"/>
  <c r="C2163" i="7"/>
  <c r="H2162" i="7"/>
  <c r="G2162" i="7"/>
  <c r="C2162" i="7"/>
  <c r="H2161" i="7"/>
  <c r="G2161" i="7"/>
  <c r="C2161" i="7"/>
  <c r="H2160" i="7"/>
  <c r="C2160" i="7"/>
  <c r="G2160" i="7" s="1"/>
  <c r="H2159" i="7"/>
  <c r="C2159" i="7"/>
  <c r="G2159" i="7" s="1"/>
  <c r="H2158" i="7"/>
  <c r="G2158" i="7"/>
  <c r="C2158" i="7"/>
  <c r="H2157" i="7"/>
  <c r="G2157" i="7"/>
  <c r="C2157" i="7"/>
  <c r="C2156" i="7"/>
  <c r="H2155" i="7"/>
  <c r="C2155" i="7"/>
  <c r="G2155" i="7" s="1"/>
  <c r="C2154" i="7"/>
  <c r="H2154" i="7" s="1"/>
  <c r="H2153" i="7"/>
  <c r="G2153" i="7"/>
  <c r="C2153" i="7"/>
  <c r="C2152" i="7"/>
  <c r="H2151" i="7"/>
  <c r="C2151" i="7"/>
  <c r="G2151" i="7" s="1"/>
  <c r="C2150" i="7"/>
  <c r="H2149" i="7"/>
  <c r="G2149" i="7"/>
  <c r="C2149" i="7"/>
  <c r="H2148" i="7"/>
  <c r="C2148" i="7"/>
  <c r="G2148" i="7" s="1"/>
  <c r="H2147" i="7"/>
  <c r="C2147" i="7"/>
  <c r="G2147" i="7" s="1"/>
  <c r="H2146" i="7"/>
  <c r="G2146" i="7"/>
  <c r="C2146" i="7"/>
  <c r="H2145" i="7"/>
  <c r="G2145" i="7"/>
  <c r="C2145" i="7"/>
  <c r="H2144" i="7"/>
  <c r="G2144" i="7"/>
  <c r="C2144" i="7"/>
  <c r="C2143" i="7"/>
  <c r="H2142" i="7"/>
  <c r="G2142" i="7"/>
  <c r="C2142" i="7"/>
  <c r="H2141" i="7"/>
  <c r="G2141" i="7"/>
  <c r="C2141" i="7"/>
  <c r="C2140" i="7"/>
  <c r="C2139" i="7"/>
  <c r="G2139" i="7" s="1"/>
  <c r="C2138" i="7"/>
  <c r="H2137" i="7"/>
  <c r="G2137" i="7"/>
  <c r="C2137" i="7"/>
  <c r="H2136" i="7"/>
  <c r="G2136" i="7"/>
  <c r="C2136" i="7"/>
  <c r="H2135" i="7"/>
  <c r="C2135" i="7"/>
  <c r="G2135" i="7" s="1"/>
  <c r="G2134" i="7"/>
  <c r="C2134" i="7"/>
  <c r="H2134" i="7" s="1"/>
  <c r="H2133" i="7"/>
  <c r="G2133" i="7"/>
  <c r="C2133" i="7"/>
  <c r="C2132" i="7"/>
  <c r="C2131" i="7"/>
  <c r="C2130" i="7"/>
  <c r="H2129" i="7"/>
  <c r="G2129" i="7"/>
  <c r="C2129" i="7"/>
  <c r="G2128" i="7"/>
  <c r="C2128" i="7"/>
  <c r="H2128" i="7" s="1"/>
  <c r="H2127" i="7"/>
  <c r="C2127" i="7"/>
  <c r="G2127" i="7" s="1"/>
  <c r="H2126" i="7"/>
  <c r="C2126" i="7"/>
  <c r="G2126" i="7" s="1"/>
  <c r="H2125" i="7"/>
  <c r="G2125" i="7"/>
  <c r="C2125" i="7"/>
  <c r="H2124" i="7"/>
  <c r="C2124" i="7"/>
  <c r="G2124" i="7" s="1"/>
  <c r="H2123" i="7"/>
  <c r="C2123" i="7"/>
  <c r="G2123" i="7" s="1"/>
  <c r="H2122" i="7"/>
  <c r="G2122" i="7"/>
  <c r="C2122" i="7"/>
  <c r="H2121" i="7"/>
  <c r="G2121" i="7"/>
  <c r="C2121" i="7"/>
  <c r="H2120" i="7"/>
  <c r="G2120" i="7"/>
  <c r="C2120" i="7"/>
  <c r="C2119" i="7"/>
  <c r="H2118" i="7"/>
  <c r="C2118" i="7"/>
  <c r="G2118" i="7" s="1"/>
  <c r="H2117" i="7"/>
  <c r="G2117" i="7"/>
  <c r="C2117" i="7"/>
  <c r="C2116" i="7"/>
  <c r="C2115" i="7"/>
  <c r="H2114" i="7"/>
  <c r="G2114" i="7"/>
  <c r="C2114" i="7"/>
  <c r="H2113" i="7"/>
  <c r="G2113" i="7"/>
  <c r="C2113" i="7"/>
  <c r="H2112" i="7"/>
  <c r="G2112" i="7"/>
  <c r="C2112" i="7"/>
  <c r="H2111" i="7"/>
  <c r="C2111" i="7"/>
  <c r="G2111" i="7" s="1"/>
  <c r="C2110" i="7"/>
  <c r="H2110" i="7" s="1"/>
  <c r="H2109" i="7"/>
  <c r="G2109" i="7"/>
  <c r="C2109" i="7"/>
  <c r="H2108" i="7"/>
  <c r="G2108" i="7"/>
  <c r="C2108" i="7"/>
  <c r="C2107" i="7"/>
  <c r="C2106" i="7"/>
  <c r="H2105" i="7"/>
  <c r="G2105" i="7"/>
  <c r="C2105" i="7"/>
  <c r="G2104" i="7"/>
  <c r="C2104" i="7"/>
  <c r="H2104" i="7" s="1"/>
  <c r="C2103" i="7"/>
  <c r="G2103" i="7" s="1"/>
  <c r="H2102" i="7"/>
  <c r="C2102" i="7"/>
  <c r="G2102" i="7" s="1"/>
  <c r="H2101" i="7"/>
  <c r="G2101" i="7"/>
  <c r="C2101" i="7"/>
  <c r="H2100" i="7"/>
  <c r="C2100" i="7"/>
  <c r="G2100" i="7" s="1"/>
  <c r="H2099" i="7"/>
  <c r="C2099" i="7"/>
  <c r="G2099" i="7" s="1"/>
  <c r="H2098" i="7"/>
  <c r="G2098" i="7"/>
  <c r="C2098" i="7"/>
  <c r="H2097" i="7"/>
  <c r="G2097" i="7"/>
  <c r="C2097" i="7"/>
  <c r="H2096" i="7"/>
  <c r="G2096" i="7"/>
  <c r="C2096" i="7"/>
  <c r="C2095" i="7"/>
  <c r="G2095" i="7" s="1"/>
  <c r="C2094" i="7"/>
  <c r="H2093" i="7"/>
  <c r="G2093" i="7"/>
  <c r="C2093" i="7"/>
  <c r="C2092" i="7"/>
  <c r="C2091" i="7"/>
  <c r="G2090" i="7"/>
  <c r="C2090" i="7"/>
  <c r="H2090" i="7" s="1"/>
  <c r="H2089" i="7"/>
  <c r="G2089" i="7"/>
  <c r="C2089" i="7"/>
  <c r="H2088" i="7"/>
  <c r="G2088" i="7"/>
  <c r="C2088" i="7"/>
  <c r="H2087" i="7"/>
  <c r="C2087" i="7"/>
  <c r="G2087" i="7" s="1"/>
  <c r="C2086" i="7"/>
  <c r="H2085" i="7"/>
  <c r="G2085" i="7"/>
  <c r="C2085" i="7"/>
  <c r="H2084" i="7"/>
  <c r="G2084" i="7"/>
  <c r="C2084" i="7"/>
  <c r="C2083" i="7"/>
  <c r="G2082" i="7"/>
  <c r="C2082" i="7"/>
  <c r="H2082" i="7" s="1"/>
  <c r="H2081" i="7"/>
  <c r="G2081" i="7"/>
  <c r="C2081" i="7"/>
  <c r="G2080" i="7"/>
  <c r="C2080" i="7"/>
  <c r="H2080" i="7" s="1"/>
  <c r="H2079" i="7"/>
  <c r="C2079" i="7"/>
  <c r="G2079" i="7" s="1"/>
  <c r="H2078" i="7"/>
  <c r="C2078" i="7"/>
  <c r="G2078" i="7" s="1"/>
  <c r="H2077" i="7"/>
  <c r="G2077" i="7"/>
  <c r="C2077" i="7"/>
  <c r="H2076" i="7"/>
  <c r="C2076" i="7"/>
  <c r="G2076" i="7" s="1"/>
  <c r="H2075" i="7"/>
  <c r="C2075" i="7"/>
  <c r="G2075" i="7" s="1"/>
  <c r="H2074" i="7"/>
  <c r="G2074" i="7"/>
  <c r="C2074" i="7"/>
  <c r="H2073" i="7"/>
  <c r="G2073" i="7"/>
  <c r="C2073" i="7"/>
  <c r="H2072" i="7"/>
  <c r="G2072" i="7"/>
  <c r="C2072" i="7"/>
  <c r="C2071" i="7"/>
  <c r="H2070" i="7"/>
  <c r="C2070" i="7"/>
  <c r="G2070" i="7" s="1"/>
  <c r="H2069" i="7"/>
  <c r="G2069" i="7"/>
  <c r="C2069" i="7"/>
  <c r="C2068" i="7"/>
  <c r="C2067" i="7"/>
  <c r="H2066" i="7"/>
  <c r="G2066" i="7"/>
  <c r="C2066" i="7"/>
  <c r="H2065" i="7"/>
  <c r="G2065" i="7"/>
  <c r="C2065" i="7"/>
  <c r="H2064" i="7"/>
  <c r="G2064" i="7"/>
  <c r="C2064" i="7"/>
  <c r="H2063" i="7"/>
  <c r="C2063" i="7"/>
  <c r="G2063" i="7" s="1"/>
  <c r="C2062" i="7"/>
  <c r="H2062" i="7" s="1"/>
  <c r="H2061" i="7"/>
  <c r="G2061" i="7"/>
  <c r="C2061" i="7"/>
  <c r="G2060" i="7"/>
  <c r="C2060" i="7"/>
  <c r="H2060" i="7" s="1"/>
  <c r="H2059" i="7"/>
  <c r="C2059" i="7"/>
  <c r="G2059" i="7" s="1"/>
  <c r="G2058" i="7"/>
  <c r="C2058" i="7"/>
  <c r="H2058" i="7" s="1"/>
  <c r="H2057" i="7"/>
  <c r="G2057" i="7"/>
  <c r="C2057" i="7"/>
  <c r="G2056" i="7"/>
  <c r="C2056" i="7"/>
  <c r="H2056" i="7" s="1"/>
  <c r="C2055" i="7"/>
  <c r="H2054" i="7"/>
  <c r="C2054" i="7"/>
  <c r="G2054" i="7" s="1"/>
  <c r="H2053" i="7"/>
  <c r="G2053" i="7"/>
  <c r="C2053" i="7"/>
  <c r="C2052" i="7"/>
  <c r="G2052" i="7" s="1"/>
  <c r="H2051" i="7"/>
  <c r="C2051" i="7"/>
  <c r="G2051" i="7" s="1"/>
  <c r="H2050" i="7"/>
  <c r="G2050" i="7"/>
  <c r="C2050" i="7"/>
  <c r="H2049" i="7"/>
  <c r="G2049" i="7"/>
  <c r="C2049" i="7"/>
  <c r="H2048" i="7"/>
  <c r="G2048" i="7"/>
  <c r="C2048" i="7"/>
  <c r="C2047" i="7"/>
  <c r="H2046" i="7"/>
  <c r="G2046" i="7"/>
  <c r="C2046" i="7"/>
  <c r="H2045" i="7"/>
  <c r="G2045" i="7"/>
  <c r="C2045" i="7"/>
  <c r="C2044" i="7"/>
  <c r="C2043" i="7"/>
  <c r="H2042" i="7"/>
  <c r="C2042" i="7"/>
  <c r="G2042" i="7" s="1"/>
  <c r="H2041" i="7"/>
  <c r="G2041" i="7"/>
  <c r="C2041" i="7"/>
  <c r="H2040" i="7"/>
  <c r="G2040" i="7"/>
  <c r="C2040" i="7"/>
  <c r="C2039" i="7"/>
  <c r="C2038" i="7"/>
  <c r="H2037" i="7"/>
  <c r="G2037" i="7"/>
  <c r="C2037" i="7"/>
  <c r="H2036" i="7"/>
  <c r="G2036" i="7"/>
  <c r="C2036" i="7"/>
  <c r="H2035" i="7"/>
  <c r="C2035" i="7"/>
  <c r="G2035" i="7" s="1"/>
  <c r="G2034" i="7"/>
  <c r="C2034" i="7"/>
  <c r="H2034" i="7" s="1"/>
  <c r="H2033" i="7"/>
  <c r="G2033" i="7"/>
  <c r="C2033" i="7"/>
  <c r="H2032" i="7"/>
  <c r="G2032" i="7"/>
  <c r="C2032" i="7"/>
  <c r="H2031" i="7"/>
  <c r="C2031" i="7"/>
  <c r="G2031" i="7" s="1"/>
  <c r="G2030" i="7"/>
  <c r="C2030" i="7"/>
  <c r="H2030" i="7" s="1"/>
  <c r="H2029" i="7"/>
  <c r="G2029" i="7"/>
  <c r="C2029" i="7"/>
  <c r="H2028" i="7"/>
  <c r="G2028" i="7"/>
  <c r="C2028" i="7"/>
  <c r="C2027" i="7"/>
  <c r="G2027" i="7" s="1"/>
  <c r="C2026" i="7"/>
  <c r="H2025" i="7"/>
  <c r="G2025" i="7"/>
  <c r="C2025" i="7"/>
  <c r="H2024" i="7"/>
  <c r="G2024" i="7"/>
  <c r="C2024" i="7"/>
  <c r="C2023" i="7"/>
  <c r="H2022" i="7"/>
  <c r="G2022" i="7"/>
  <c r="C2022" i="7"/>
  <c r="H2021" i="7"/>
  <c r="G2021" i="7"/>
  <c r="C2021" i="7"/>
  <c r="H2020" i="7"/>
  <c r="G2020" i="7"/>
  <c r="C2020" i="7"/>
  <c r="H2019" i="7"/>
  <c r="C2019" i="7"/>
  <c r="G2019" i="7" s="1"/>
  <c r="H2018" i="7"/>
  <c r="G2018" i="7"/>
  <c r="C2018" i="7"/>
  <c r="H2017" i="7"/>
  <c r="G2017" i="7"/>
  <c r="C2017" i="7"/>
  <c r="H2016" i="7"/>
  <c r="G2016" i="7"/>
  <c r="C2016" i="7"/>
  <c r="H2015" i="7"/>
  <c r="C2015" i="7"/>
  <c r="G2015" i="7" s="1"/>
  <c r="G2014" i="7"/>
  <c r="C2014" i="7"/>
  <c r="H2014" i="7" s="1"/>
  <c r="H2013" i="7"/>
  <c r="G2013" i="7"/>
  <c r="C2013" i="7"/>
  <c r="H2012" i="7"/>
  <c r="G2012" i="7"/>
  <c r="C2012" i="7"/>
  <c r="H2011" i="7"/>
  <c r="C2011" i="7"/>
  <c r="G2011" i="7" s="1"/>
  <c r="C2010" i="7"/>
  <c r="H2009" i="7"/>
  <c r="G2009" i="7"/>
  <c r="C2009" i="7"/>
  <c r="H2008" i="7"/>
  <c r="G2008" i="7"/>
  <c r="C2008" i="7"/>
  <c r="H2007" i="7"/>
  <c r="C2007" i="7"/>
  <c r="G2007" i="7" s="1"/>
  <c r="H2006" i="7"/>
  <c r="G2006" i="7"/>
  <c r="C2006" i="7"/>
  <c r="H2005" i="7"/>
  <c r="G2005" i="7"/>
  <c r="C2005" i="7"/>
  <c r="H2004" i="7"/>
  <c r="G2004" i="7"/>
  <c r="C2004" i="7"/>
  <c r="C2003" i="7"/>
  <c r="G2003" i="7" s="1"/>
  <c r="H2002" i="7"/>
  <c r="G2002" i="7"/>
  <c r="C2002" i="7"/>
  <c r="H2001" i="7"/>
  <c r="G2001" i="7"/>
  <c r="C2001" i="7"/>
  <c r="H2000" i="7"/>
  <c r="G2000" i="7"/>
  <c r="C2000" i="7"/>
  <c r="C1999" i="7"/>
  <c r="G1999" i="7" s="1"/>
  <c r="C1998" i="7"/>
  <c r="G1998" i="7" s="1"/>
  <c r="H1997" i="7"/>
  <c r="G1997" i="7"/>
  <c r="C1997" i="7"/>
  <c r="H1996" i="7"/>
  <c r="G1996" i="7"/>
  <c r="C1996" i="7"/>
  <c r="C1995" i="7"/>
  <c r="H1994" i="7"/>
  <c r="G1994" i="7"/>
  <c r="C1994" i="7"/>
  <c r="H1993" i="7"/>
  <c r="G1993" i="7"/>
  <c r="C1993" i="7"/>
  <c r="H1992" i="7"/>
  <c r="G1992" i="7"/>
  <c r="C1992" i="7"/>
  <c r="C1991" i="7"/>
  <c r="G1990" i="7"/>
  <c r="C1990" i="7"/>
  <c r="H1990" i="7" s="1"/>
  <c r="H1989" i="7"/>
  <c r="G1989" i="7"/>
  <c r="C1989" i="7"/>
  <c r="H1988" i="7"/>
  <c r="G1988" i="7"/>
  <c r="C1988" i="7"/>
  <c r="H1987" i="7"/>
  <c r="C1987" i="7"/>
  <c r="G1987" i="7" s="1"/>
  <c r="C1986" i="7"/>
  <c r="H1985" i="7"/>
  <c r="G1985" i="7"/>
  <c r="C1985" i="7"/>
  <c r="H1984" i="7"/>
  <c r="G1984" i="7"/>
  <c r="C1984" i="7"/>
  <c r="H1983" i="7"/>
  <c r="C1983" i="7"/>
  <c r="G1983" i="7" s="1"/>
  <c r="G1982" i="7"/>
  <c r="C1982" i="7"/>
  <c r="H1982" i="7" s="1"/>
  <c r="H1981" i="7"/>
  <c r="G1981" i="7"/>
  <c r="C1981" i="7"/>
  <c r="H1980" i="7"/>
  <c r="G1980" i="7"/>
  <c r="C1980" i="7"/>
  <c r="H1979" i="7"/>
  <c r="C1979" i="7"/>
  <c r="G1979" i="7" s="1"/>
  <c r="C1978" i="7"/>
  <c r="H1977" i="7"/>
  <c r="G1977" i="7"/>
  <c r="C1977" i="7"/>
  <c r="H1976" i="7"/>
  <c r="G1976" i="7"/>
  <c r="C1976" i="7"/>
  <c r="C1975" i="7"/>
  <c r="H1974" i="7"/>
  <c r="G1974" i="7"/>
  <c r="C1974" i="7"/>
  <c r="H1973" i="7"/>
  <c r="G1973" i="7"/>
  <c r="C1973" i="7"/>
  <c r="H1972" i="7"/>
  <c r="C1972" i="7"/>
  <c r="G1972" i="7" s="1"/>
  <c r="H1971" i="7"/>
  <c r="C1971" i="7"/>
  <c r="G1971" i="7" s="1"/>
  <c r="H1970" i="7"/>
  <c r="G1970" i="7"/>
  <c r="C1970" i="7"/>
  <c r="H1969" i="7"/>
  <c r="G1969" i="7"/>
  <c r="C1969" i="7"/>
  <c r="H1968" i="7"/>
  <c r="G1968" i="7"/>
  <c r="C1968" i="7"/>
  <c r="H1967" i="7"/>
  <c r="C1967" i="7"/>
  <c r="G1967" i="7" s="1"/>
  <c r="C1966" i="7"/>
  <c r="H1966" i="7" s="1"/>
  <c r="H1965" i="7"/>
  <c r="G1965" i="7"/>
  <c r="C1965" i="7"/>
  <c r="G1964" i="7"/>
  <c r="C1964" i="7"/>
  <c r="H1964" i="7" s="1"/>
  <c r="H1963" i="7"/>
  <c r="C1963" i="7"/>
  <c r="G1963" i="7" s="1"/>
  <c r="C1962" i="7"/>
  <c r="H1961" i="7"/>
  <c r="G1961" i="7"/>
  <c r="C1961" i="7"/>
  <c r="H1960" i="7"/>
  <c r="G1960" i="7"/>
  <c r="C1960" i="7"/>
  <c r="C1959" i="7"/>
  <c r="G1959" i="7" s="1"/>
  <c r="H1958" i="7"/>
  <c r="G1958" i="7"/>
  <c r="C1958" i="7"/>
  <c r="H1957" i="7"/>
  <c r="G1957" i="7"/>
  <c r="C1957" i="7"/>
  <c r="G1956" i="7"/>
  <c r="C1956" i="7"/>
  <c r="H1956" i="7" s="1"/>
  <c r="H1955" i="7"/>
  <c r="C1955" i="7"/>
  <c r="G1955" i="7" s="1"/>
  <c r="H1954" i="7"/>
  <c r="G1954" i="7"/>
  <c r="C1954" i="7"/>
  <c r="H1953" i="7"/>
  <c r="G1953" i="7"/>
  <c r="C1953" i="7"/>
  <c r="H1952" i="7"/>
  <c r="C1952" i="7"/>
  <c r="G1952" i="7" s="1"/>
  <c r="H1951" i="7"/>
  <c r="C1951" i="7"/>
  <c r="G1951" i="7" s="1"/>
  <c r="H1950" i="7"/>
  <c r="G1950" i="7"/>
  <c r="C1950" i="7"/>
  <c r="H1949" i="7"/>
  <c r="G1949" i="7"/>
  <c r="C1949" i="7"/>
  <c r="H1948" i="7"/>
  <c r="G1948" i="7"/>
  <c r="C1948" i="7"/>
  <c r="H1947" i="7"/>
  <c r="C1947" i="7"/>
  <c r="G1947" i="7" s="1"/>
  <c r="G1946" i="7"/>
  <c r="C1946" i="7"/>
  <c r="H1946" i="7" s="1"/>
  <c r="H1945" i="7"/>
  <c r="G1945" i="7"/>
  <c r="C1945" i="7"/>
  <c r="H1944" i="7"/>
  <c r="C1944" i="7"/>
  <c r="G1944" i="7" s="1"/>
  <c r="C1943" i="7"/>
  <c r="H1942" i="7"/>
  <c r="G1942" i="7"/>
  <c r="C1942" i="7"/>
  <c r="H1941" i="7"/>
  <c r="G1941" i="7"/>
  <c r="C1941" i="7"/>
  <c r="G1940" i="7"/>
  <c r="C1940" i="7"/>
  <c r="H1940" i="7" s="1"/>
  <c r="H1939" i="7"/>
  <c r="C1939" i="7"/>
  <c r="G1939" i="7" s="1"/>
  <c r="C1938" i="7"/>
  <c r="H1938" i="7" s="1"/>
  <c r="H1937" i="7"/>
  <c r="G1937" i="7"/>
  <c r="C1937" i="7"/>
  <c r="C1936" i="7"/>
  <c r="C1935" i="7"/>
  <c r="G1935" i="7" s="1"/>
  <c r="C1934" i="7"/>
  <c r="H1933" i="7"/>
  <c r="G1933" i="7"/>
  <c r="C1933" i="7"/>
  <c r="H1932" i="7"/>
  <c r="G1932" i="7"/>
  <c r="C1932" i="7"/>
  <c r="H1931" i="7"/>
  <c r="C1931" i="7"/>
  <c r="G1931" i="7" s="1"/>
  <c r="C1930" i="7"/>
  <c r="G1930" i="7" s="1"/>
  <c r="H1929" i="7"/>
  <c r="G1929" i="7"/>
  <c r="C1929" i="7"/>
  <c r="H1928" i="7"/>
  <c r="G1928" i="7"/>
  <c r="C1928" i="7"/>
  <c r="C1927" i="7"/>
  <c r="H1926" i="7"/>
  <c r="G1926" i="7"/>
  <c r="C1926" i="7"/>
  <c r="H1925" i="7"/>
  <c r="G1925" i="7"/>
  <c r="C1925" i="7"/>
  <c r="H1924" i="7"/>
  <c r="C1924" i="7"/>
  <c r="G1924" i="7" s="1"/>
  <c r="H1923" i="7"/>
  <c r="C1923" i="7"/>
  <c r="G1923" i="7" s="1"/>
  <c r="C1922" i="7"/>
  <c r="G1922" i="7" s="1"/>
  <c r="H1921" i="7"/>
  <c r="G1921" i="7"/>
  <c r="C1921" i="7"/>
  <c r="H1920" i="7"/>
  <c r="G1920" i="7"/>
  <c r="C1920" i="7"/>
  <c r="H1919" i="7"/>
  <c r="C1919" i="7"/>
  <c r="G1919" i="7" s="1"/>
  <c r="G1918" i="7"/>
  <c r="C1918" i="7"/>
  <c r="H1918" i="7" s="1"/>
  <c r="H1917" i="7"/>
  <c r="G1917" i="7"/>
  <c r="C1917" i="7"/>
  <c r="G1916" i="7"/>
  <c r="C1916" i="7"/>
  <c r="H1916" i="7" s="1"/>
  <c r="H1915" i="7"/>
  <c r="C1915" i="7"/>
  <c r="G1915" i="7" s="1"/>
  <c r="C1914" i="7"/>
  <c r="H1913" i="7"/>
  <c r="G1913" i="7"/>
  <c r="C1913" i="7"/>
  <c r="G1912" i="7"/>
  <c r="C1912" i="7"/>
  <c r="H1912" i="7" s="1"/>
  <c r="C1911" i="7"/>
  <c r="G1911" i="7" s="1"/>
  <c r="H1910" i="7"/>
  <c r="G1910" i="7"/>
  <c r="C1910" i="7"/>
  <c r="H1909" i="7"/>
  <c r="G1909" i="7"/>
  <c r="C1909" i="7"/>
  <c r="G1908" i="7"/>
  <c r="C1908" i="7"/>
  <c r="H1908" i="7" s="1"/>
  <c r="H1907" i="7"/>
  <c r="C1907" i="7"/>
  <c r="G1907" i="7" s="1"/>
  <c r="H1906" i="7"/>
  <c r="G1906" i="7"/>
  <c r="C1906" i="7"/>
  <c r="H1905" i="7"/>
  <c r="G1905" i="7"/>
  <c r="C1905" i="7"/>
  <c r="H1904" i="7"/>
  <c r="C1904" i="7"/>
  <c r="G1904" i="7" s="1"/>
  <c r="H1903" i="7"/>
  <c r="C1903" i="7"/>
  <c r="G1903" i="7" s="1"/>
  <c r="H1902" i="7"/>
  <c r="G1902" i="7"/>
  <c r="C1902" i="7"/>
  <c r="H1901" i="7"/>
  <c r="G1901" i="7"/>
  <c r="C1901" i="7"/>
  <c r="H1900" i="7"/>
  <c r="G1900" i="7"/>
  <c r="C1900" i="7"/>
  <c r="C1899" i="7"/>
  <c r="G1899" i="7" s="1"/>
  <c r="G1898" i="7"/>
  <c r="C1898" i="7"/>
  <c r="H1898" i="7" s="1"/>
  <c r="H1897" i="7"/>
  <c r="G1897" i="7"/>
  <c r="C1897" i="7"/>
  <c r="H1896" i="7"/>
  <c r="C1896" i="7"/>
  <c r="G1896" i="7" s="1"/>
  <c r="C1895" i="7"/>
  <c r="H1894" i="7"/>
  <c r="G1894" i="7"/>
  <c r="C1894" i="7"/>
  <c r="H1893" i="7"/>
  <c r="G1893" i="7"/>
  <c r="C1893" i="7"/>
  <c r="G1892" i="7"/>
  <c r="C1892" i="7"/>
  <c r="H1892" i="7" s="1"/>
  <c r="H1891" i="7"/>
  <c r="C1891" i="7"/>
  <c r="G1891" i="7" s="1"/>
  <c r="C1890" i="7"/>
  <c r="H1890" i="7" s="1"/>
  <c r="H1889" i="7"/>
  <c r="G1889" i="7"/>
  <c r="C1889" i="7"/>
  <c r="C1888" i="7"/>
  <c r="C1887" i="7"/>
  <c r="C1886" i="7"/>
  <c r="H1885" i="7"/>
  <c r="G1885" i="7"/>
  <c r="C1885" i="7"/>
  <c r="H1884" i="7"/>
  <c r="G1884" i="7"/>
  <c r="C1884" i="7"/>
  <c r="H1883" i="7"/>
  <c r="C1883" i="7"/>
  <c r="G1883" i="7" s="1"/>
  <c r="C1882" i="7"/>
  <c r="H1881" i="7"/>
  <c r="G1881" i="7"/>
  <c r="C1881" i="7"/>
  <c r="H1880" i="7"/>
  <c r="G1880" i="7"/>
  <c r="C1880" i="7"/>
  <c r="C1879" i="7"/>
  <c r="H1878" i="7"/>
  <c r="G1878" i="7"/>
  <c r="C1878" i="7"/>
  <c r="H1877" i="7"/>
  <c r="G1877" i="7"/>
  <c r="C1877" i="7"/>
  <c r="H1876" i="7"/>
  <c r="C1876" i="7"/>
  <c r="G1876" i="7" s="1"/>
  <c r="H1875" i="7"/>
  <c r="C1875" i="7"/>
  <c r="G1875" i="7" s="1"/>
  <c r="C1874" i="7"/>
  <c r="G1874" i="7" s="1"/>
  <c r="H1873" i="7"/>
  <c r="G1873" i="7"/>
  <c r="C1873" i="7"/>
  <c r="H1872" i="7"/>
  <c r="G1872" i="7"/>
  <c r="C1872" i="7"/>
  <c r="H1871" i="7"/>
  <c r="C1871" i="7"/>
  <c r="G1871" i="7" s="1"/>
  <c r="C1870" i="7"/>
  <c r="H1869" i="7"/>
  <c r="G1869" i="7"/>
  <c r="C1869" i="7"/>
  <c r="G1868" i="7"/>
  <c r="C1868" i="7"/>
  <c r="H1868" i="7" s="1"/>
  <c r="H1867" i="7"/>
  <c r="C1867" i="7"/>
  <c r="G1867" i="7" s="1"/>
  <c r="C1866" i="7"/>
  <c r="H1865" i="7"/>
  <c r="G1865" i="7"/>
  <c r="C1865" i="7"/>
  <c r="G1864" i="7"/>
  <c r="C1864" i="7"/>
  <c r="H1864" i="7" s="1"/>
  <c r="C1863" i="7"/>
  <c r="H1862" i="7"/>
  <c r="G1862" i="7"/>
  <c r="C1862" i="7"/>
  <c r="H1861" i="7"/>
  <c r="G1861" i="7"/>
  <c r="C1861" i="7"/>
  <c r="G1860" i="7"/>
  <c r="C1860" i="7"/>
  <c r="H1860" i="7" s="1"/>
  <c r="H1859" i="7"/>
  <c r="C1859" i="7"/>
  <c r="G1859" i="7" s="1"/>
  <c r="H1858" i="7"/>
  <c r="G1858" i="7"/>
  <c r="C1858" i="7"/>
  <c r="H1857" i="7"/>
  <c r="G1857" i="7"/>
  <c r="C1857" i="7"/>
  <c r="C1856" i="7"/>
  <c r="G1856" i="7" s="1"/>
  <c r="H1855" i="7"/>
  <c r="C1855" i="7"/>
  <c r="G1855" i="7" s="1"/>
  <c r="H1854" i="7"/>
  <c r="G1854" i="7"/>
  <c r="C1854" i="7"/>
  <c r="H1853" i="7"/>
  <c r="G1853" i="7"/>
  <c r="C1853" i="7"/>
  <c r="H1852" i="7"/>
  <c r="G1852" i="7"/>
  <c r="C1852" i="7"/>
  <c r="C1851" i="7"/>
  <c r="G1851" i="7" s="1"/>
  <c r="G1850" i="7"/>
  <c r="C1850" i="7"/>
  <c r="H1850" i="7" s="1"/>
  <c r="H1849" i="7"/>
  <c r="G1849" i="7"/>
  <c r="C1849" i="7"/>
  <c r="H1848" i="7"/>
  <c r="C1848" i="7"/>
  <c r="G1848" i="7" s="1"/>
  <c r="C1847" i="7"/>
  <c r="H1846" i="7"/>
  <c r="G1846" i="7"/>
  <c r="C1846" i="7"/>
  <c r="H1845" i="7"/>
  <c r="G1845" i="7"/>
  <c r="C1845" i="7"/>
  <c r="G1844" i="7"/>
  <c r="C1844" i="7"/>
  <c r="H1844" i="7" s="1"/>
  <c r="H1843" i="7"/>
  <c r="C1843" i="7"/>
  <c r="G1843" i="7" s="1"/>
  <c r="G1842" i="7"/>
  <c r="C1842" i="7"/>
  <c r="H1842" i="7" s="1"/>
  <c r="H1841" i="7"/>
  <c r="G1841" i="7"/>
  <c r="C1841" i="7"/>
  <c r="H1840" i="7"/>
  <c r="C1840" i="7"/>
  <c r="G1840" i="7" s="1"/>
  <c r="H1839" i="7"/>
  <c r="C1839" i="7"/>
  <c r="G1839" i="7" s="1"/>
  <c r="G1838" i="7"/>
  <c r="C1838" i="7"/>
  <c r="H1838" i="7" s="1"/>
  <c r="H1837" i="7"/>
  <c r="G1837" i="7"/>
  <c r="C1837" i="7"/>
  <c r="H1836" i="7"/>
  <c r="G1836" i="7"/>
  <c r="C1836" i="7"/>
  <c r="H1835" i="7"/>
  <c r="C1835" i="7"/>
  <c r="G1835" i="7" s="1"/>
  <c r="H1834" i="7"/>
  <c r="C1834" i="7"/>
  <c r="G1834" i="7" s="1"/>
  <c r="H1833" i="7"/>
  <c r="G1833" i="7"/>
  <c r="C1833" i="7"/>
  <c r="H1832" i="7"/>
  <c r="G1832" i="7"/>
  <c r="C1832" i="7"/>
  <c r="C1831" i="7"/>
  <c r="H1830" i="7"/>
  <c r="G1830" i="7"/>
  <c r="C1830" i="7"/>
  <c r="H1829" i="7"/>
  <c r="G1829" i="7"/>
  <c r="C1829" i="7"/>
  <c r="C1828" i="7"/>
  <c r="H1827" i="7"/>
  <c r="C1827" i="7"/>
  <c r="G1827" i="7" s="1"/>
  <c r="G1826" i="7"/>
  <c r="C1826" i="7"/>
  <c r="H1826" i="7" s="1"/>
  <c r="H1825" i="7"/>
  <c r="G1825" i="7"/>
  <c r="C1825" i="7"/>
  <c r="H1824" i="7"/>
  <c r="C1824" i="7"/>
  <c r="G1824" i="7" s="1"/>
  <c r="H1823" i="7"/>
  <c r="C1823" i="7"/>
  <c r="G1823" i="7" s="1"/>
  <c r="G1822" i="7"/>
  <c r="C1822" i="7"/>
  <c r="H1822" i="7" s="1"/>
  <c r="H1821" i="7"/>
  <c r="G1821" i="7"/>
  <c r="C1821" i="7"/>
  <c r="C1820" i="7"/>
  <c r="G1820" i="7" s="1"/>
  <c r="C1819" i="7"/>
  <c r="G1819" i="7" s="1"/>
  <c r="H1818" i="7"/>
  <c r="C1818" i="7"/>
  <c r="G1818" i="7" s="1"/>
  <c r="H1817" i="7"/>
  <c r="G1817" i="7"/>
  <c r="C1817" i="7"/>
  <c r="C1816" i="7"/>
  <c r="C1815" i="7"/>
  <c r="H1814" i="7"/>
  <c r="G1814" i="7"/>
  <c r="C1814" i="7"/>
  <c r="H1813" i="7"/>
  <c r="G1813" i="7"/>
  <c r="C1813" i="7"/>
  <c r="G1812" i="7"/>
  <c r="C1812" i="7"/>
  <c r="H1812" i="7" s="1"/>
  <c r="C1811" i="7"/>
  <c r="H1810" i="7"/>
  <c r="G1810" i="7"/>
  <c r="C1810" i="7"/>
  <c r="H1809" i="7"/>
  <c r="G1809" i="7"/>
  <c r="C1809" i="7"/>
  <c r="H1808" i="7"/>
  <c r="C1808" i="7"/>
  <c r="G1808" i="7" s="1"/>
  <c r="H1807" i="7"/>
  <c r="C1807" i="7"/>
  <c r="G1807" i="7" s="1"/>
  <c r="G1806" i="7"/>
  <c r="C1806" i="7"/>
  <c r="H1806" i="7" s="1"/>
  <c r="H1805" i="7"/>
  <c r="G1805" i="7"/>
  <c r="C1805" i="7"/>
  <c r="H1804" i="7"/>
  <c r="G1804" i="7"/>
  <c r="C1804" i="7"/>
  <c r="C1803" i="7"/>
  <c r="C1802" i="7"/>
  <c r="H1801" i="7"/>
  <c r="G1801" i="7"/>
  <c r="C1801" i="7"/>
  <c r="G1800" i="7"/>
  <c r="C1800" i="7"/>
  <c r="H1800" i="7" s="1"/>
  <c r="C1799" i="7"/>
  <c r="G1798" i="7"/>
  <c r="C1798" i="7"/>
  <c r="H1798" i="7" s="1"/>
  <c r="H1797" i="7"/>
  <c r="G1797" i="7"/>
  <c r="C1797" i="7"/>
  <c r="G1796" i="7"/>
  <c r="C1796" i="7"/>
  <c r="H1796" i="7" s="1"/>
  <c r="H1795" i="7"/>
  <c r="C1795" i="7"/>
  <c r="G1795" i="7" s="1"/>
  <c r="H1794" i="7"/>
  <c r="G1794" i="7"/>
  <c r="C1794" i="7"/>
  <c r="H1793" i="7"/>
  <c r="G1793" i="7"/>
  <c r="C1793" i="7"/>
  <c r="H1792" i="7"/>
  <c r="C1792" i="7"/>
  <c r="G1792" i="7" s="1"/>
  <c r="H1791" i="7"/>
  <c r="C1791" i="7"/>
  <c r="G1791" i="7" s="1"/>
  <c r="C1790" i="7"/>
  <c r="H1789" i="7"/>
  <c r="G1789" i="7"/>
  <c r="C1789" i="7"/>
  <c r="H1788" i="7"/>
  <c r="G1788" i="7"/>
  <c r="C1788" i="7"/>
  <c r="H1787" i="7"/>
  <c r="C1787" i="7"/>
  <c r="G1787" i="7" s="1"/>
  <c r="H1786" i="7"/>
  <c r="C1786" i="7"/>
  <c r="G1786" i="7" s="1"/>
  <c r="H1785" i="7"/>
  <c r="G1785" i="7"/>
  <c r="C1785" i="7"/>
  <c r="H1784" i="7"/>
  <c r="C1784" i="7"/>
  <c r="G1784" i="7" s="1"/>
  <c r="C1783" i="7"/>
  <c r="H1782" i="7"/>
  <c r="G1782" i="7"/>
  <c r="C1782" i="7"/>
  <c r="H1781" i="7"/>
  <c r="G1781" i="7"/>
  <c r="C1781" i="7"/>
  <c r="C1780" i="7"/>
  <c r="H1779" i="7"/>
  <c r="C1779" i="7"/>
  <c r="G1779" i="7" s="1"/>
  <c r="C1778" i="7"/>
  <c r="H1777" i="7"/>
  <c r="G1777" i="7"/>
  <c r="C1777" i="7"/>
  <c r="C1776" i="7"/>
  <c r="H1776" i="7" s="1"/>
  <c r="H1775" i="7"/>
  <c r="C1775" i="7"/>
  <c r="G1775" i="7" s="1"/>
  <c r="G1774" i="7"/>
  <c r="C1774" i="7"/>
  <c r="H1774" i="7" s="1"/>
  <c r="H1773" i="7"/>
  <c r="G1773" i="7"/>
  <c r="C1773" i="7"/>
  <c r="H1772" i="7"/>
  <c r="C1772" i="7"/>
  <c r="G1772" i="7" s="1"/>
  <c r="H1771" i="7"/>
  <c r="C1771" i="7"/>
  <c r="G1771" i="7" s="1"/>
  <c r="H1770" i="7"/>
  <c r="C1770" i="7"/>
  <c r="G1770" i="7" s="1"/>
  <c r="H1769" i="7"/>
  <c r="G1769" i="7"/>
  <c r="C1769" i="7"/>
  <c r="C1768" i="7"/>
  <c r="G1768" i="7" s="1"/>
  <c r="C1767" i="7"/>
  <c r="G1767" i="7" s="1"/>
  <c r="H1766" i="7"/>
  <c r="G1766" i="7"/>
  <c r="C1766" i="7"/>
  <c r="H1765" i="7"/>
  <c r="G1765" i="7"/>
  <c r="C1765" i="7"/>
  <c r="G1764" i="7"/>
  <c r="C1764" i="7"/>
  <c r="H1764" i="7" s="1"/>
  <c r="H1763" i="7"/>
  <c r="C1763" i="7"/>
  <c r="G1763" i="7" s="1"/>
  <c r="G1762" i="7"/>
  <c r="C1762" i="7"/>
  <c r="H1762" i="7" s="1"/>
  <c r="H1761" i="7"/>
  <c r="G1761" i="7"/>
  <c r="C1761" i="7"/>
  <c r="C1760" i="7"/>
  <c r="G1760" i="7" s="1"/>
  <c r="C1759" i="7"/>
  <c r="C1758" i="7"/>
  <c r="H1757" i="7"/>
  <c r="G1757" i="7"/>
  <c r="C1757" i="7"/>
  <c r="H1756" i="7"/>
  <c r="G1756" i="7"/>
  <c r="C1756" i="7"/>
  <c r="H1755" i="7"/>
  <c r="C1755" i="7"/>
  <c r="G1755" i="7" s="1"/>
  <c r="H1754" i="7"/>
  <c r="C1754" i="7"/>
  <c r="G1754" i="7" s="1"/>
  <c r="H1753" i="7"/>
  <c r="G1753" i="7"/>
  <c r="C1753" i="7"/>
  <c r="C1752" i="7"/>
  <c r="H1752" i="7" s="1"/>
  <c r="C1751" i="7"/>
  <c r="H1750" i="7"/>
  <c r="G1750" i="7"/>
  <c r="C1750" i="7"/>
  <c r="H1749" i="7"/>
  <c r="G1749" i="7"/>
  <c r="C1749" i="7"/>
  <c r="G1748" i="7"/>
  <c r="C1748" i="7"/>
  <c r="H1748" i="7" s="1"/>
  <c r="C1747" i="7"/>
  <c r="G1746" i="7"/>
  <c r="C1746" i="7"/>
  <c r="H1746" i="7" s="1"/>
  <c r="H1745" i="7"/>
  <c r="G1745" i="7"/>
  <c r="C1745" i="7"/>
  <c r="H1744" i="7"/>
  <c r="C1744" i="7"/>
  <c r="G1744" i="7" s="1"/>
  <c r="H1743" i="7"/>
  <c r="C1743" i="7"/>
  <c r="G1743" i="7" s="1"/>
  <c r="H1742" i="7"/>
  <c r="G1742" i="7"/>
  <c r="C1742" i="7"/>
  <c r="H1741" i="7"/>
  <c r="G1741" i="7"/>
  <c r="C1741" i="7"/>
  <c r="H1740" i="7"/>
  <c r="G1740" i="7"/>
  <c r="C1740" i="7"/>
  <c r="C1739" i="7"/>
  <c r="G1739" i="7" s="1"/>
  <c r="G1738" i="7"/>
  <c r="C1738" i="7"/>
  <c r="H1738" i="7" s="1"/>
  <c r="H1737" i="7"/>
  <c r="G1737" i="7"/>
  <c r="C1737" i="7"/>
  <c r="H1736" i="7"/>
  <c r="C1736" i="7"/>
  <c r="G1736" i="7" s="1"/>
  <c r="C1735" i="7"/>
  <c r="H1734" i="7"/>
  <c r="G1734" i="7"/>
  <c r="C1734" i="7"/>
  <c r="H1733" i="7"/>
  <c r="G1733" i="7"/>
  <c r="C1733" i="7"/>
  <c r="C1732" i="7"/>
  <c r="H1731" i="7"/>
  <c r="C1731" i="7"/>
  <c r="G1731" i="7" s="1"/>
  <c r="C1730" i="7"/>
  <c r="H1730" i="7" s="1"/>
  <c r="H1729" i="7"/>
  <c r="G1729" i="7"/>
  <c r="C1729" i="7"/>
  <c r="G1728" i="7"/>
  <c r="C1728" i="7"/>
  <c r="H1728" i="7" s="1"/>
  <c r="H1727" i="7"/>
  <c r="C1727" i="7"/>
  <c r="G1727" i="7" s="1"/>
  <c r="C1726" i="7"/>
  <c r="H1725" i="7"/>
  <c r="G1725" i="7"/>
  <c r="C1725" i="7"/>
  <c r="H1724" i="7"/>
  <c r="G1724" i="7"/>
  <c r="C1724" i="7"/>
  <c r="H1723" i="7"/>
  <c r="C1723" i="7"/>
  <c r="G1723" i="7" s="1"/>
  <c r="H1722" i="7"/>
  <c r="C1722" i="7"/>
  <c r="G1722" i="7" s="1"/>
  <c r="H1721" i="7"/>
  <c r="G1721" i="7"/>
  <c r="C1721" i="7"/>
  <c r="C1720" i="7"/>
  <c r="G1720" i="7" s="1"/>
  <c r="H1719" i="7"/>
  <c r="C1719" i="7"/>
  <c r="G1719" i="7" s="1"/>
  <c r="H1718" i="7"/>
  <c r="G1718" i="7"/>
  <c r="C1718" i="7"/>
  <c r="H1717" i="7"/>
  <c r="G1717" i="7"/>
  <c r="C1717" i="7"/>
  <c r="H1716" i="7"/>
  <c r="G1716" i="7"/>
  <c r="C1716" i="7"/>
  <c r="H1715" i="7"/>
  <c r="C1715" i="7"/>
  <c r="G1715" i="7" s="1"/>
  <c r="G1714" i="7"/>
  <c r="C1714" i="7"/>
  <c r="H1714" i="7" s="1"/>
  <c r="H1713" i="7"/>
  <c r="G1713" i="7"/>
  <c r="C1713" i="7"/>
  <c r="C1712" i="7"/>
  <c r="H1712" i="7" s="1"/>
  <c r="C1711" i="7"/>
  <c r="H1710" i="7"/>
  <c r="C1710" i="7"/>
  <c r="G1710" i="7" s="1"/>
  <c r="H1709" i="7"/>
  <c r="G1709" i="7"/>
  <c r="C1709" i="7"/>
  <c r="C1708" i="7"/>
  <c r="H1708" i="7" s="1"/>
  <c r="H1707" i="7"/>
  <c r="C1707" i="7"/>
  <c r="G1707" i="7" s="1"/>
  <c r="H1706" i="7"/>
  <c r="G1706" i="7"/>
  <c r="C1706" i="7"/>
  <c r="H1705" i="7"/>
  <c r="G1705" i="7"/>
  <c r="C1705" i="7"/>
  <c r="C1704" i="7"/>
  <c r="C1703" i="7"/>
  <c r="G1703" i="7" s="1"/>
  <c r="H1702" i="7"/>
  <c r="G1702" i="7"/>
  <c r="C1702" i="7"/>
  <c r="H1701" i="7"/>
  <c r="G1701" i="7"/>
  <c r="C1701" i="7"/>
  <c r="G1700" i="7"/>
  <c r="C1700" i="7"/>
  <c r="H1700" i="7" s="1"/>
  <c r="C1699" i="7"/>
  <c r="C1698" i="7"/>
  <c r="H1698" i="7" s="1"/>
  <c r="H1697" i="7"/>
  <c r="G1697" i="7"/>
  <c r="C1697" i="7"/>
  <c r="H1696" i="7"/>
  <c r="C1696" i="7"/>
  <c r="G1696" i="7" s="1"/>
  <c r="H1695" i="7"/>
  <c r="C1695" i="7"/>
  <c r="G1695" i="7" s="1"/>
  <c r="C1694" i="7"/>
  <c r="H1694" i="7" s="1"/>
  <c r="H1693" i="7"/>
  <c r="G1693" i="7"/>
  <c r="C1693" i="7"/>
  <c r="H1692" i="7"/>
  <c r="G1692" i="7"/>
  <c r="C1692" i="7"/>
  <c r="C1691" i="7"/>
  <c r="C1690" i="7"/>
  <c r="H1689" i="7"/>
  <c r="G1689" i="7"/>
  <c r="C1689" i="7"/>
  <c r="H1688" i="7"/>
  <c r="G1688" i="7"/>
  <c r="C1688" i="7"/>
  <c r="C1687" i="7"/>
  <c r="H1686" i="7"/>
  <c r="G1686" i="7"/>
  <c r="C1686" i="7"/>
  <c r="H1685" i="7"/>
  <c r="G1685" i="7"/>
  <c r="C1685" i="7"/>
  <c r="C1684" i="7"/>
  <c r="H1684" i="7" s="1"/>
  <c r="H1683" i="7"/>
  <c r="C1683" i="7"/>
  <c r="G1683" i="7" s="1"/>
  <c r="H1682" i="7"/>
  <c r="G1682" i="7"/>
  <c r="C1682" i="7"/>
  <c r="H1681" i="7"/>
  <c r="G1681" i="7"/>
  <c r="C1681" i="7"/>
  <c r="H1680" i="7"/>
  <c r="G1680" i="7"/>
  <c r="C1680" i="7"/>
  <c r="H1679" i="7"/>
  <c r="C1679" i="7"/>
  <c r="G1679" i="7" s="1"/>
  <c r="C1678" i="7"/>
  <c r="H1677" i="7"/>
  <c r="G1677" i="7"/>
  <c r="C1677" i="7"/>
  <c r="C1676" i="7"/>
  <c r="H1675" i="7"/>
  <c r="C1675" i="7"/>
  <c r="G1675" i="7" s="1"/>
  <c r="C1674" i="7"/>
  <c r="G1674" i="7" s="1"/>
  <c r="H1673" i="7"/>
  <c r="G1673" i="7"/>
  <c r="C1673" i="7"/>
  <c r="H1672" i="7"/>
  <c r="C1672" i="7"/>
  <c r="G1672" i="7" s="1"/>
  <c r="H1671" i="7"/>
  <c r="C1671" i="7"/>
  <c r="G1671" i="7" s="1"/>
  <c r="H1670" i="7"/>
  <c r="G1670" i="7"/>
  <c r="C1670" i="7"/>
  <c r="H1669" i="7"/>
  <c r="G1669" i="7"/>
  <c r="C1669" i="7"/>
  <c r="H1668" i="7"/>
  <c r="G1668" i="7"/>
  <c r="C1668" i="7"/>
  <c r="C1667" i="7"/>
  <c r="C1666" i="7"/>
  <c r="H1665" i="7"/>
  <c r="G1665" i="7"/>
  <c r="C1665" i="7"/>
  <c r="H1664" i="7"/>
  <c r="G1664" i="7"/>
  <c r="C1664" i="7"/>
  <c r="C1663" i="7"/>
  <c r="G1663" i="7" s="1"/>
  <c r="H1662" i="7"/>
  <c r="G1662" i="7"/>
  <c r="C1662" i="7"/>
  <c r="H1661" i="7"/>
  <c r="G1661" i="7"/>
  <c r="C1661" i="7"/>
  <c r="G1660" i="7"/>
  <c r="C1660" i="7"/>
  <c r="H1660" i="7" s="1"/>
  <c r="H1659" i="7"/>
  <c r="C1659" i="7"/>
  <c r="G1659" i="7" s="1"/>
  <c r="G1658" i="7"/>
  <c r="C1658" i="7"/>
  <c r="H1658" i="7" s="1"/>
  <c r="H1657" i="7"/>
  <c r="G1657" i="7"/>
  <c r="C1657" i="7"/>
  <c r="C1656" i="7"/>
  <c r="H1655" i="7"/>
  <c r="C1655" i="7"/>
  <c r="G1655" i="7" s="1"/>
  <c r="C1654" i="7"/>
  <c r="H1653" i="7"/>
  <c r="G1653" i="7"/>
  <c r="C1653" i="7"/>
  <c r="C1652" i="7"/>
  <c r="H1652" i="7" s="1"/>
  <c r="C1651" i="7"/>
  <c r="H1650" i="7"/>
  <c r="G1650" i="7"/>
  <c r="C1650" i="7"/>
  <c r="H1649" i="7"/>
  <c r="G1649" i="7"/>
  <c r="C1649" i="7"/>
  <c r="H1648" i="7"/>
  <c r="C1648" i="7"/>
  <c r="G1648" i="7" s="1"/>
  <c r="H1647" i="7"/>
  <c r="C1647" i="7"/>
  <c r="G1647" i="7" s="1"/>
  <c r="C1646" i="7"/>
  <c r="H1646" i="7" s="1"/>
  <c r="G1645" i="7"/>
  <c r="C1645" i="7"/>
  <c r="H1645" i="7" s="1"/>
  <c r="C1644" i="7"/>
  <c r="H1643" i="7"/>
  <c r="G1643" i="7"/>
  <c r="C1643" i="7"/>
  <c r="H1642" i="7"/>
  <c r="C1642" i="7"/>
  <c r="G1642" i="7" s="1"/>
  <c r="C1641" i="7"/>
  <c r="H1641" i="7" s="1"/>
  <c r="C1640" i="7"/>
  <c r="H1639" i="7"/>
  <c r="C1639" i="7"/>
  <c r="G1639" i="7" s="1"/>
  <c r="G1638" i="7"/>
  <c r="C1638" i="7"/>
  <c r="H1638" i="7" s="1"/>
  <c r="G1637" i="7"/>
  <c r="C1637" i="7"/>
  <c r="H1637" i="7" s="1"/>
  <c r="H1636" i="7"/>
  <c r="G1636" i="7"/>
  <c r="C1636" i="7"/>
  <c r="C1635" i="7"/>
  <c r="C1634" i="7"/>
  <c r="G1633" i="7"/>
  <c r="C1633" i="7"/>
  <c r="H1633" i="7" s="1"/>
  <c r="H1632" i="7"/>
  <c r="G1632" i="7"/>
  <c r="C1632" i="7"/>
  <c r="C1631" i="7"/>
  <c r="H1630" i="7"/>
  <c r="G1630" i="7"/>
  <c r="C1630" i="7"/>
  <c r="C1629" i="7"/>
  <c r="H1629" i="7" s="1"/>
  <c r="C1628" i="7"/>
  <c r="G1627" i="7"/>
  <c r="C1627" i="7"/>
  <c r="H1627" i="7" s="1"/>
  <c r="H1626" i="7"/>
  <c r="C1626" i="7"/>
  <c r="G1626" i="7" s="1"/>
  <c r="C1625" i="7"/>
  <c r="H1624" i="7"/>
  <c r="C1624" i="7"/>
  <c r="G1624" i="7" s="1"/>
  <c r="H1623" i="7"/>
  <c r="G1623" i="7"/>
  <c r="C1623" i="7"/>
  <c r="H1622" i="7"/>
  <c r="C1622" i="7"/>
  <c r="G1622" i="7" s="1"/>
  <c r="G1621" i="7"/>
  <c r="C1621" i="7"/>
  <c r="H1621" i="7" s="1"/>
  <c r="G1620" i="7"/>
  <c r="C1620" i="7"/>
  <c r="H1620" i="7" s="1"/>
  <c r="C1619" i="7"/>
  <c r="H1619" i="7" s="1"/>
  <c r="H1618" i="7"/>
  <c r="C1618" i="7"/>
  <c r="G1618" i="7" s="1"/>
  <c r="G1617" i="7"/>
  <c r="C1617" i="7"/>
  <c r="H1617" i="7" s="1"/>
  <c r="G1616" i="7"/>
  <c r="C1616" i="7"/>
  <c r="H1616" i="7" s="1"/>
  <c r="H1615" i="7"/>
  <c r="G1615" i="7"/>
  <c r="C1615" i="7"/>
  <c r="C1614" i="7"/>
  <c r="H1614" i="7" s="1"/>
  <c r="C1613" i="7"/>
  <c r="C1612" i="7"/>
  <c r="H1611" i="7"/>
  <c r="C1611" i="7"/>
  <c r="G1611" i="7" s="1"/>
  <c r="H1610" i="7"/>
  <c r="C1610" i="7"/>
  <c r="G1610" i="7" s="1"/>
  <c r="G1609" i="7"/>
  <c r="C1609" i="7"/>
  <c r="H1609" i="7" s="1"/>
  <c r="H1608" i="7"/>
  <c r="G1608" i="7"/>
  <c r="C1608" i="7"/>
  <c r="H1607" i="7"/>
  <c r="G1607" i="7"/>
  <c r="C1607" i="7"/>
  <c r="C1606" i="7"/>
  <c r="C1605" i="7"/>
  <c r="H1605" i="7" s="1"/>
  <c r="H1604" i="7"/>
  <c r="G1604" i="7"/>
  <c r="C1604" i="7"/>
  <c r="G1603" i="7"/>
  <c r="C1603" i="7"/>
  <c r="H1603" i="7" s="1"/>
  <c r="C1602" i="7"/>
  <c r="C1601" i="7"/>
  <c r="C1600" i="7"/>
  <c r="H1600" i="7" s="1"/>
  <c r="H1599" i="7"/>
  <c r="C1599" i="7"/>
  <c r="G1599" i="7" s="1"/>
  <c r="C1598" i="7"/>
  <c r="H1598" i="7" s="1"/>
  <c r="C1597" i="7"/>
  <c r="H1596" i="7"/>
  <c r="C1596" i="7"/>
  <c r="G1596" i="7" s="1"/>
  <c r="H1595" i="7"/>
  <c r="G1595" i="7"/>
  <c r="C1595" i="7"/>
  <c r="H1594" i="7"/>
  <c r="G1594" i="7"/>
  <c r="C1594" i="7"/>
  <c r="G1593" i="7"/>
  <c r="C1593" i="7"/>
  <c r="H1593" i="7" s="1"/>
  <c r="H1592" i="7"/>
  <c r="G1592" i="7"/>
  <c r="C1592" i="7"/>
  <c r="G1591" i="7"/>
  <c r="C1591" i="7"/>
  <c r="H1591" i="7" s="1"/>
  <c r="C1590" i="7"/>
  <c r="H1590" i="7" s="1"/>
  <c r="G1589" i="7"/>
  <c r="C1589" i="7"/>
  <c r="H1589" i="7" s="1"/>
  <c r="H1588" i="7"/>
  <c r="C1588" i="7"/>
  <c r="G1588" i="7" s="1"/>
  <c r="H1587" i="7"/>
  <c r="G1587" i="7"/>
  <c r="C1587" i="7"/>
  <c r="C1586" i="7"/>
  <c r="G1585" i="7"/>
  <c r="C1585" i="7"/>
  <c r="H1585" i="7" s="1"/>
  <c r="H1584" i="7"/>
  <c r="G1584" i="7"/>
  <c r="C1584" i="7"/>
  <c r="G1583" i="7"/>
  <c r="C1583" i="7"/>
  <c r="H1583" i="7" s="1"/>
  <c r="H1582" i="7"/>
  <c r="G1582" i="7"/>
  <c r="C1582" i="7"/>
  <c r="C1581" i="7"/>
  <c r="G1580" i="7"/>
  <c r="C1580" i="7"/>
  <c r="H1580" i="7" s="1"/>
  <c r="H1579" i="7"/>
  <c r="C1579" i="7"/>
  <c r="G1579" i="7" s="1"/>
  <c r="H1578" i="7"/>
  <c r="C1578" i="7"/>
  <c r="G1578" i="7" s="1"/>
  <c r="C1577" i="7"/>
  <c r="G1576" i="7"/>
  <c r="C1576" i="7"/>
  <c r="H1576" i="7" s="1"/>
  <c r="H1575" i="7"/>
  <c r="G1575" i="7"/>
  <c r="C1575" i="7"/>
  <c r="G1574" i="7"/>
  <c r="C1574" i="7"/>
  <c r="H1574" i="7" s="1"/>
  <c r="G1573" i="7"/>
  <c r="C1573" i="7"/>
  <c r="H1573" i="7" s="1"/>
  <c r="H1572" i="7"/>
  <c r="G1572" i="7"/>
  <c r="C1572" i="7"/>
  <c r="C1571" i="7"/>
  <c r="H1570" i="7"/>
  <c r="C1570" i="7"/>
  <c r="G1570" i="7" s="1"/>
  <c r="G1569" i="7"/>
  <c r="C1569" i="7"/>
  <c r="H1569" i="7" s="1"/>
  <c r="G1568" i="7"/>
  <c r="C1568" i="7"/>
  <c r="H1568" i="7" s="1"/>
  <c r="H1567" i="7"/>
  <c r="G1567" i="7"/>
  <c r="C1567" i="7"/>
  <c r="C1566" i="7"/>
  <c r="C1565" i="7"/>
  <c r="C1564" i="7"/>
  <c r="G1564" i="7" s="1"/>
  <c r="C1563" i="7"/>
  <c r="H1563" i="7" s="1"/>
  <c r="H1562" i="7"/>
  <c r="G1562" i="7"/>
  <c r="C1562" i="7"/>
  <c r="G1561" i="7"/>
  <c r="C1561" i="7"/>
  <c r="H1561" i="7" s="1"/>
  <c r="H1560" i="7"/>
  <c r="G1560" i="7"/>
  <c r="C1560" i="7"/>
  <c r="C1559" i="7"/>
  <c r="G1559" i="7" s="1"/>
  <c r="H1558" i="7"/>
  <c r="G1558" i="7"/>
  <c r="C1558" i="7"/>
  <c r="C1557" i="7"/>
  <c r="C1556" i="7"/>
  <c r="G1555" i="7"/>
  <c r="C1555" i="7"/>
  <c r="H1555" i="7" s="1"/>
  <c r="C1554" i="7"/>
  <c r="G1554" i="7" s="1"/>
  <c r="G1553" i="7"/>
  <c r="C1553" i="7"/>
  <c r="H1553" i="7" s="1"/>
  <c r="H1552" i="7"/>
  <c r="C1552" i="7"/>
  <c r="G1552" i="7" s="1"/>
  <c r="C1551" i="7"/>
  <c r="C1550" i="7"/>
  <c r="G1549" i="7"/>
  <c r="C1549" i="7"/>
  <c r="H1549" i="7" s="1"/>
  <c r="H1548" i="7"/>
  <c r="C1548" i="7"/>
  <c r="G1548" i="7" s="1"/>
  <c r="H1547" i="7"/>
  <c r="G1547" i="7"/>
  <c r="C1547" i="7"/>
  <c r="H1546" i="7"/>
  <c r="C1546" i="7"/>
  <c r="G1546" i="7" s="1"/>
  <c r="G1545" i="7"/>
  <c r="C1545" i="7"/>
  <c r="H1545" i="7" s="1"/>
  <c r="C1544" i="7"/>
  <c r="H1543" i="7"/>
  <c r="G1543" i="7"/>
  <c r="C1543" i="7"/>
  <c r="C1542" i="7"/>
  <c r="G1541" i="7"/>
  <c r="C1541" i="7"/>
  <c r="H1541" i="7" s="1"/>
  <c r="C1540" i="7"/>
  <c r="G1539" i="7"/>
  <c r="C1539" i="7"/>
  <c r="H1539" i="7" s="1"/>
  <c r="H1538" i="7"/>
  <c r="C1538" i="7"/>
  <c r="G1538" i="7" s="1"/>
  <c r="C1537" i="7"/>
  <c r="C1536" i="7"/>
  <c r="H1536" i="7" s="1"/>
  <c r="H1535" i="7"/>
  <c r="C1535" i="7"/>
  <c r="G1535" i="7" s="1"/>
  <c r="H1534" i="7"/>
  <c r="G1534" i="7"/>
  <c r="C1534" i="7"/>
  <c r="G1533" i="7"/>
  <c r="C1533" i="7"/>
  <c r="H1533" i="7" s="1"/>
  <c r="C1532" i="7"/>
  <c r="H1532" i="7" s="1"/>
  <c r="H1531" i="7"/>
  <c r="G1531" i="7"/>
  <c r="C1531" i="7"/>
  <c r="C1530" i="7"/>
  <c r="G1530" i="7" s="1"/>
  <c r="C1529" i="7"/>
  <c r="H1528" i="7"/>
  <c r="C1528" i="7"/>
  <c r="G1528" i="7" s="1"/>
  <c r="G1527" i="7"/>
  <c r="C1527" i="7"/>
  <c r="H1527" i="7" s="1"/>
  <c r="C1526" i="7"/>
  <c r="H1526" i="7" s="1"/>
  <c r="G1525" i="7"/>
  <c r="C1525" i="7"/>
  <c r="H1525" i="7" s="1"/>
  <c r="H1524" i="7"/>
  <c r="G1524" i="7"/>
  <c r="C1524" i="7"/>
  <c r="H1523" i="7"/>
  <c r="C1523" i="7"/>
  <c r="G1523" i="7" s="1"/>
  <c r="H1522" i="7"/>
  <c r="C1522" i="7"/>
  <c r="G1522" i="7" s="1"/>
  <c r="C1521" i="7"/>
  <c r="H1521" i="7" s="1"/>
  <c r="C1520" i="7"/>
  <c r="H1519" i="7"/>
  <c r="C1519" i="7"/>
  <c r="G1519" i="7" s="1"/>
  <c r="C1518" i="7"/>
  <c r="G1517" i="7"/>
  <c r="C1517" i="7"/>
  <c r="H1517" i="7" s="1"/>
  <c r="C1516" i="7"/>
  <c r="G1516" i="7" s="1"/>
  <c r="C1515" i="7"/>
  <c r="G1515" i="7" s="1"/>
  <c r="C1514" i="7"/>
  <c r="H1514" i="7" s="1"/>
  <c r="G1513" i="7"/>
  <c r="C1513" i="7"/>
  <c r="H1513" i="7" s="1"/>
  <c r="H1512" i="7"/>
  <c r="G1512" i="7"/>
  <c r="C1512" i="7"/>
  <c r="G1511" i="7"/>
  <c r="C1511" i="7"/>
  <c r="H1511" i="7" s="1"/>
  <c r="C1510" i="7"/>
  <c r="C1509" i="7"/>
  <c r="H1509" i="7" s="1"/>
  <c r="H1508" i="7"/>
  <c r="C1508" i="7"/>
  <c r="G1508" i="7" s="1"/>
  <c r="C1507" i="7"/>
  <c r="H1507" i="7" s="1"/>
  <c r="H1506" i="7"/>
  <c r="G1506" i="7"/>
  <c r="C1506" i="7"/>
  <c r="C1505" i="7"/>
  <c r="H1504" i="7"/>
  <c r="C1504" i="7"/>
  <c r="G1504" i="7" s="1"/>
  <c r="H1503" i="7"/>
  <c r="C1503" i="7"/>
  <c r="G1503" i="7" s="1"/>
  <c r="H1502" i="7"/>
  <c r="C1502" i="7"/>
  <c r="G1502" i="7" s="1"/>
  <c r="G1501" i="7"/>
  <c r="C1501" i="7"/>
  <c r="H1501" i="7" s="1"/>
  <c r="G1500" i="7"/>
  <c r="C1500" i="7"/>
  <c r="H1500" i="7" s="1"/>
  <c r="H1499" i="7"/>
  <c r="G1499" i="7"/>
  <c r="C1499" i="7"/>
  <c r="H1498" i="7"/>
  <c r="C1498" i="7"/>
  <c r="G1498" i="7" s="1"/>
  <c r="G1497" i="7"/>
  <c r="C1497" i="7"/>
  <c r="H1497" i="7" s="1"/>
  <c r="C1496" i="7"/>
  <c r="H1495" i="7"/>
  <c r="C1495" i="7"/>
  <c r="G1495" i="7" s="1"/>
  <c r="C1494" i="7"/>
  <c r="H1494" i="7" s="1"/>
  <c r="G1493" i="7"/>
  <c r="C1493" i="7"/>
  <c r="H1493" i="7" s="1"/>
  <c r="H1492" i="7"/>
  <c r="G1492" i="7"/>
  <c r="C1492" i="7"/>
  <c r="C1491" i="7"/>
  <c r="H1491" i="7" s="1"/>
  <c r="H1490" i="7"/>
  <c r="C1490" i="7"/>
  <c r="G1490" i="7" s="1"/>
  <c r="C1489" i="7"/>
  <c r="H1488" i="7"/>
  <c r="G1488" i="7"/>
  <c r="C1488" i="7"/>
  <c r="H1487" i="7"/>
  <c r="G1487" i="7"/>
  <c r="C1487" i="7"/>
  <c r="H1486" i="7"/>
  <c r="G1486" i="7"/>
  <c r="C1486" i="7"/>
  <c r="C1485" i="7"/>
  <c r="G1484" i="7"/>
  <c r="C1484" i="7"/>
  <c r="H1484" i="7" s="1"/>
  <c r="C1483" i="7"/>
  <c r="H1483" i="7" s="1"/>
  <c r="C1482" i="7"/>
  <c r="H1482" i="7" s="1"/>
  <c r="C1481" i="7"/>
  <c r="C1480" i="7"/>
  <c r="H1479" i="7"/>
  <c r="G1479" i="7"/>
  <c r="C1479" i="7"/>
  <c r="H1478" i="7"/>
  <c r="G1478" i="7"/>
  <c r="C1478" i="7"/>
  <c r="G1477" i="7"/>
  <c r="C1477" i="7"/>
  <c r="H1477" i="7" s="1"/>
  <c r="H1476" i="7"/>
  <c r="G1476" i="7"/>
  <c r="C1476" i="7"/>
  <c r="H1475" i="7"/>
  <c r="G1475" i="7"/>
  <c r="C1475" i="7"/>
  <c r="C1474" i="7"/>
  <c r="C1473" i="7"/>
  <c r="G1472" i="7"/>
  <c r="C1472" i="7"/>
  <c r="H1472" i="7" s="1"/>
  <c r="H1471" i="7"/>
  <c r="G1471" i="7"/>
  <c r="C1471" i="7"/>
  <c r="C1470" i="7"/>
  <c r="H1470" i="7" s="1"/>
  <c r="G1469" i="7"/>
  <c r="C1469" i="7"/>
  <c r="H1469" i="7" s="1"/>
  <c r="C1468" i="7"/>
  <c r="C1467" i="7"/>
  <c r="H1467" i="7" s="1"/>
  <c r="H1466" i="7"/>
  <c r="G1466" i="7"/>
  <c r="C1466" i="7"/>
  <c r="C1465" i="7"/>
  <c r="H1464" i="7"/>
  <c r="G1464" i="7"/>
  <c r="C1464" i="7"/>
  <c r="H1463" i="7"/>
  <c r="C1463" i="7"/>
  <c r="G1463" i="7" s="1"/>
  <c r="G1462" i="7"/>
  <c r="C1462" i="7"/>
  <c r="H1462" i="7" s="1"/>
  <c r="C1461" i="7"/>
  <c r="G1460" i="7"/>
  <c r="C1460" i="7"/>
  <c r="H1460" i="7" s="1"/>
  <c r="C1459" i="7"/>
  <c r="G1458" i="7"/>
  <c r="C1458" i="7"/>
  <c r="H1458" i="7" s="1"/>
  <c r="G1457" i="7"/>
  <c r="C1457" i="7"/>
  <c r="H1457" i="7" s="1"/>
  <c r="H1456" i="7"/>
  <c r="C1456" i="7"/>
  <c r="G1456" i="7" s="1"/>
  <c r="H1455" i="7"/>
  <c r="C1455" i="7"/>
  <c r="G1455" i="7" s="1"/>
  <c r="G1454" i="7"/>
  <c r="C1454" i="7"/>
  <c r="H1454" i="7" s="1"/>
  <c r="G1453" i="7"/>
  <c r="C1453" i="7"/>
  <c r="H1453" i="7" s="1"/>
  <c r="H1452" i="7"/>
  <c r="C1452" i="7"/>
  <c r="G1452" i="7" s="1"/>
  <c r="H1451" i="7"/>
  <c r="G1451" i="7"/>
  <c r="C1451" i="7"/>
  <c r="H1450" i="7"/>
  <c r="C1450" i="7"/>
  <c r="G1450" i="7" s="1"/>
  <c r="G1449" i="7"/>
  <c r="C1449" i="7"/>
  <c r="H1449" i="7" s="1"/>
  <c r="C1448" i="7"/>
  <c r="H1447" i="7"/>
  <c r="G1447" i="7"/>
  <c r="C1447" i="7"/>
  <c r="C1446" i="7"/>
  <c r="C1445" i="7"/>
  <c r="H1444" i="7"/>
  <c r="G1444" i="7"/>
  <c r="C1444" i="7"/>
  <c r="H1443" i="7"/>
  <c r="G1443" i="7"/>
  <c r="C1443" i="7"/>
  <c r="H1442" i="7"/>
  <c r="C1442" i="7"/>
  <c r="G1442" i="7" s="1"/>
  <c r="G1441" i="7"/>
  <c r="C1441" i="7"/>
  <c r="H1441" i="7" s="1"/>
  <c r="G1440" i="7"/>
  <c r="C1440" i="7"/>
  <c r="H1440" i="7" s="1"/>
  <c r="H1439" i="7"/>
  <c r="G1439" i="7"/>
  <c r="C1439" i="7"/>
  <c r="H1438" i="7"/>
  <c r="G1438" i="7"/>
  <c r="C1438" i="7"/>
  <c r="G1437" i="7"/>
  <c r="C1437" i="7"/>
  <c r="H1437" i="7" s="1"/>
  <c r="H1436" i="7"/>
  <c r="C1436" i="7"/>
  <c r="G1436" i="7" s="1"/>
  <c r="H1435" i="7"/>
  <c r="G1435" i="7"/>
  <c r="C1435" i="7"/>
  <c r="C1434" i="7"/>
  <c r="G1433" i="7"/>
  <c r="C1433" i="7"/>
  <c r="H1433" i="7" s="1"/>
  <c r="H1432" i="7"/>
  <c r="G1432" i="7"/>
  <c r="C1432" i="7"/>
  <c r="C1431" i="7"/>
  <c r="H1431" i="7" s="1"/>
  <c r="H1430" i="7"/>
  <c r="G1430" i="7"/>
  <c r="C1430" i="7"/>
  <c r="C1429" i="7"/>
  <c r="H1428" i="7"/>
  <c r="G1428" i="7"/>
  <c r="C1428" i="7"/>
  <c r="G1427" i="7"/>
  <c r="C1427" i="7"/>
  <c r="H1427" i="7" s="1"/>
  <c r="H1426" i="7"/>
  <c r="C1426" i="7"/>
  <c r="G1426" i="7" s="1"/>
  <c r="G1425" i="7"/>
  <c r="C1425" i="7"/>
  <c r="H1425" i="7" s="1"/>
  <c r="C1424" i="7"/>
  <c r="H1424" i="7" s="1"/>
  <c r="H1423" i="7"/>
  <c r="C1423" i="7"/>
  <c r="G1423" i="7" s="1"/>
  <c r="C1422" i="7"/>
  <c r="C1421" i="7"/>
  <c r="H1420" i="7"/>
  <c r="C1420" i="7"/>
  <c r="G1420" i="7" s="1"/>
  <c r="H1419" i="7"/>
  <c r="G1419" i="7"/>
  <c r="C1419" i="7"/>
  <c r="H1418" i="7"/>
  <c r="G1418" i="7"/>
  <c r="C1418" i="7"/>
  <c r="C1417" i="7"/>
  <c r="H1416" i="7"/>
  <c r="G1416" i="7"/>
  <c r="C1416" i="7"/>
  <c r="H1415" i="7"/>
  <c r="G1415" i="7"/>
  <c r="C1415" i="7"/>
  <c r="C1414" i="7"/>
  <c r="H1414" i="7" s="1"/>
  <c r="G1413" i="7"/>
  <c r="C1413" i="7"/>
  <c r="H1413" i="7" s="1"/>
  <c r="C1412" i="7"/>
  <c r="H1412" i="7" s="1"/>
  <c r="C1411" i="7"/>
  <c r="G1411" i="7" s="1"/>
  <c r="H1410" i="7"/>
  <c r="G1410" i="7"/>
  <c r="C1410" i="7"/>
  <c r="C1409" i="7"/>
  <c r="H1409" i="7" s="1"/>
  <c r="G1408" i="7"/>
  <c r="C1408" i="7"/>
  <c r="H1408" i="7" s="1"/>
  <c r="H1407" i="7"/>
  <c r="G1407" i="7"/>
  <c r="C1407" i="7"/>
  <c r="C1406" i="7"/>
  <c r="H1406" i="7" s="1"/>
  <c r="G1405" i="7"/>
  <c r="C1405" i="7"/>
  <c r="H1405" i="7" s="1"/>
  <c r="C1404" i="7"/>
  <c r="G1404" i="7" s="1"/>
  <c r="C1403" i="7"/>
  <c r="G1402" i="7"/>
  <c r="C1402" i="7"/>
  <c r="H1402" i="7" s="1"/>
  <c r="C1401" i="7"/>
  <c r="H1401" i="7" s="1"/>
  <c r="H1400" i="7"/>
  <c r="G1400" i="7"/>
  <c r="C1400" i="7"/>
  <c r="H1399" i="7"/>
  <c r="G1399" i="7"/>
  <c r="C1399" i="7"/>
  <c r="C1398" i="7"/>
  <c r="C1397" i="7"/>
  <c r="H1397" i="7" s="1"/>
  <c r="C1396" i="7"/>
  <c r="H1396" i="7" s="1"/>
  <c r="G1395" i="7"/>
  <c r="C1395" i="7"/>
  <c r="H1395" i="7" s="1"/>
  <c r="H1394" i="7"/>
  <c r="G1394" i="7"/>
  <c r="C1394" i="7"/>
  <c r="C1393" i="7"/>
  <c r="C1392" i="7"/>
  <c r="H1392" i="7" s="1"/>
  <c r="C1391" i="7"/>
  <c r="C1390" i="7"/>
  <c r="G1390" i="7" s="1"/>
  <c r="C1389" i="7"/>
  <c r="C1388" i="7"/>
  <c r="H1387" i="7"/>
  <c r="G1387" i="7"/>
  <c r="C1387" i="7"/>
  <c r="C1386" i="7"/>
  <c r="H1386" i="7" s="1"/>
  <c r="G1385" i="7"/>
  <c r="C1385" i="7"/>
  <c r="H1385" i="7" s="1"/>
  <c r="H1384" i="7"/>
  <c r="G1384" i="7"/>
  <c r="C1384" i="7"/>
  <c r="H1383" i="7"/>
  <c r="C1383" i="7"/>
  <c r="G1383" i="7" s="1"/>
  <c r="C1382" i="7"/>
  <c r="H1382" i="7" s="1"/>
  <c r="C1381" i="7"/>
  <c r="H1381" i="7" s="1"/>
  <c r="C1380" i="7"/>
  <c r="H1379" i="7"/>
  <c r="G1379" i="7"/>
  <c r="C1379" i="7"/>
  <c r="C1378" i="7"/>
  <c r="C1377" i="7"/>
  <c r="H1377" i="7" s="1"/>
  <c r="C1376" i="7"/>
  <c r="G1376" i="7" s="1"/>
  <c r="C1375" i="7"/>
  <c r="G1375" i="7" s="1"/>
  <c r="H1374" i="7"/>
  <c r="G1374" i="7"/>
  <c r="C1374" i="7"/>
  <c r="G1373" i="7"/>
  <c r="C1373" i="7"/>
  <c r="H1373" i="7" s="1"/>
  <c r="H1372" i="7"/>
  <c r="G1372" i="7"/>
  <c r="C1372" i="7"/>
  <c r="H1371" i="7"/>
  <c r="G1371" i="7"/>
  <c r="C1371" i="7"/>
  <c r="C1370" i="7"/>
  <c r="C1369" i="7"/>
  <c r="H1368" i="7"/>
  <c r="C1368" i="7"/>
  <c r="G1368" i="7" s="1"/>
  <c r="C1367" i="7"/>
  <c r="H1367" i="7" s="1"/>
  <c r="H1366" i="7"/>
  <c r="G1366" i="7"/>
  <c r="C1366" i="7"/>
  <c r="G1365" i="7"/>
  <c r="C1365" i="7"/>
  <c r="H1365" i="7" s="1"/>
  <c r="H1364" i="7"/>
  <c r="C1364" i="7"/>
  <c r="G1364" i="7" s="1"/>
  <c r="C1363" i="7"/>
  <c r="G1363" i="7" s="1"/>
  <c r="H1362" i="7"/>
  <c r="C1362" i="7"/>
  <c r="G1362" i="7" s="1"/>
  <c r="G1361" i="7"/>
  <c r="C1361" i="7"/>
  <c r="H1361" i="7" s="1"/>
  <c r="C1360" i="7"/>
  <c r="H1360" i="7" s="1"/>
  <c r="H1359" i="7"/>
  <c r="G1359" i="7"/>
  <c r="C1359" i="7"/>
  <c r="H1358" i="7"/>
  <c r="G1358" i="7"/>
  <c r="C1358" i="7"/>
  <c r="C1357" i="7"/>
  <c r="H1357" i="7" s="1"/>
  <c r="H1356" i="7"/>
  <c r="C1356" i="7"/>
  <c r="G1356" i="7" s="1"/>
  <c r="G1355" i="7"/>
  <c r="C1355" i="7"/>
  <c r="H1355" i="7" s="1"/>
  <c r="C1354" i="7"/>
  <c r="C1353" i="7"/>
  <c r="H1352" i="7"/>
  <c r="G1352" i="7"/>
  <c r="C1352" i="7"/>
  <c r="H1351" i="7"/>
  <c r="C1351" i="7"/>
  <c r="G1351" i="7" s="1"/>
  <c r="H1350" i="7"/>
  <c r="C1350" i="7"/>
  <c r="G1350" i="7" s="1"/>
  <c r="C1349" i="7"/>
  <c r="C1348" i="7"/>
  <c r="H1348" i="7" s="1"/>
  <c r="C1347" i="7"/>
  <c r="H1346" i="7"/>
  <c r="G1346" i="7"/>
  <c r="C1346" i="7"/>
  <c r="C1345" i="7"/>
  <c r="H1345" i="7" s="1"/>
  <c r="C1344" i="7"/>
  <c r="H1344" i="7" s="1"/>
  <c r="C1343" i="7"/>
  <c r="C1342" i="7"/>
  <c r="H1342" i="7" s="1"/>
  <c r="C1341" i="7"/>
  <c r="H1340" i="7"/>
  <c r="G1340" i="7"/>
  <c r="C1340" i="7"/>
  <c r="H1339" i="7"/>
  <c r="G1339" i="7"/>
  <c r="C1339" i="7"/>
  <c r="G1338" i="7"/>
  <c r="C1338" i="7"/>
  <c r="H1338" i="7" s="1"/>
  <c r="G1337" i="7"/>
  <c r="C1337" i="7"/>
  <c r="H1337" i="7" s="1"/>
  <c r="G1336" i="7"/>
  <c r="C1336" i="7"/>
  <c r="H1336" i="7" s="1"/>
  <c r="H1335" i="7"/>
  <c r="C1335" i="7"/>
  <c r="G1335" i="7" s="1"/>
  <c r="G1334" i="7"/>
  <c r="C1334" i="7"/>
  <c r="H1334" i="7" s="1"/>
  <c r="G1333" i="7"/>
  <c r="C1333" i="7"/>
  <c r="H1333" i="7" s="1"/>
  <c r="G1332" i="7"/>
  <c r="C1332" i="7"/>
  <c r="H1332" i="7" s="1"/>
  <c r="G1331" i="7"/>
  <c r="C1331" i="7"/>
  <c r="H1331" i="7" s="1"/>
  <c r="H1330" i="7"/>
  <c r="C1330" i="7"/>
  <c r="G1330" i="7" s="1"/>
  <c r="G1329" i="7"/>
  <c r="C1329" i="7"/>
  <c r="H1329" i="7" s="1"/>
  <c r="H1328" i="7"/>
  <c r="C1328" i="7"/>
  <c r="G1328" i="7" s="1"/>
  <c r="C1327" i="7"/>
  <c r="H1326" i="7"/>
  <c r="G1326" i="7"/>
  <c r="C1326" i="7"/>
  <c r="G1325" i="7"/>
  <c r="C1325" i="7"/>
  <c r="H1325" i="7" s="1"/>
  <c r="H1324" i="7"/>
  <c r="G1324" i="7"/>
  <c r="C1324" i="7"/>
  <c r="G1323" i="7"/>
  <c r="C1323" i="7"/>
  <c r="H1323" i="7" s="1"/>
  <c r="C1322" i="7"/>
  <c r="C1321" i="7"/>
  <c r="H1320" i="7"/>
  <c r="C1320" i="7"/>
  <c r="G1320" i="7" s="1"/>
  <c r="C1319" i="7"/>
  <c r="H1319" i="7" s="1"/>
  <c r="H1318" i="7"/>
  <c r="G1318" i="7"/>
  <c r="C1318" i="7"/>
  <c r="G1317" i="7"/>
  <c r="C1317" i="7"/>
  <c r="H1317" i="7" s="1"/>
  <c r="C1316" i="7"/>
  <c r="C1315" i="7"/>
  <c r="H1314" i="7"/>
  <c r="C1314" i="7"/>
  <c r="G1314" i="7" s="1"/>
  <c r="C1313" i="7"/>
  <c r="H1313" i="7" s="1"/>
  <c r="G1312" i="7"/>
  <c r="C1312" i="7"/>
  <c r="H1312" i="7" s="1"/>
  <c r="H1311" i="7"/>
  <c r="G1311" i="7"/>
  <c r="C1311" i="7"/>
  <c r="C1310" i="7"/>
  <c r="H1310" i="7" s="1"/>
  <c r="G1309" i="7"/>
  <c r="C1309" i="7"/>
  <c r="H1309" i="7" s="1"/>
  <c r="H1308" i="7"/>
  <c r="C1308" i="7"/>
  <c r="G1308" i="7" s="1"/>
  <c r="H1307" i="7"/>
  <c r="C1307" i="7"/>
  <c r="G1307" i="7" s="1"/>
  <c r="G1306" i="7"/>
  <c r="C1306" i="7"/>
  <c r="H1306" i="7" s="1"/>
  <c r="C1305" i="7"/>
  <c r="H1304" i="7"/>
  <c r="G1304" i="7"/>
  <c r="C1304" i="7"/>
  <c r="H1303" i="7"/>
  <c r="C1303" i="7"/>
  <c r="G1303" i="7" s="1"/>
  <c r="C1302" i="7"/>
  <c r="G1301" i="7"/>
  <c r="C1301" i="7"/>
  <c r="H1301" i="7" s="1"/>
  <c r="G1300" i="7"/>
  <c r="C1300" i="7"/>
  <c r="H1300" i="7" s="1"/>
  <c r="C1299" i="7"/>
  <c r="H1299" i="7" s="1"/>
  <c r="H1298" i="7"/>
  <c r="G1298" i="7"/>
  <c r="C1298" i="7"/>
  <c r="C1297" i="7"/>
  <c r="H1296" i="7"/>
  <c r="G1296" i="7"/>
  <c r="C1296" i="7"/>
  <c r="C1295" i="7"/>
  <c r="G1295" i="7" s="1"/>
  <c r="C1294" i="7"/>
  <c r="H1294" i="7" s="1"/>
  <c r="C1293" i="7"/>
  <c r="C1292" i="7"/>
  <c r="H1291" i="7"/>
  <c r="G1291" i="7"/>
  <c r="C1291" i="7"/>
  <c r="C1290" i="7"/>
  <c r="H1290" i="7" s="1"/>
  <c r="G1289" i="7"/>
  <c r="C1289" i="7"/>
  <c r="H1289" i="7" s="1"/>
  <c r="H1288" i="7"/>
  <c r="G1288" i="7"/>
  <c r="C1288" i="7"/>
  <c r="H1287" i="7"/>
  <c r="C1287" i="7"/>
  <c r="G1287" i="7" s="1"/>
  <c r="C1286" i="7"/>
  <c r="G1285" i="7"/>
  <c r="C1285" i="7"/>
  <c r="H1285" i="7" s="1"/>
  <c r="G1284" i="7"/>
  <c r="C1284" i="7"/>
  <c r="H1284" i="7" s="1"/>
  <c r="H1283" i="7"/>
  <c r="G1283" i="7"/>
  <c r="C1283" i="7"/>
  <c r="C1282" i="7"/>
  <c r="G1282" i="7" s="1"/>
  <c r="G1281" i="7"/>
  <c r="C1281" i="7"/>
  <c r="H1281" i="7" s="1"/>
  <c r="C1280" i="7"/>
  <c r="G1280" i="7" s="1"/>
  <c r="G1279" i="7"/>
  <c r="C1279" i="7"/>
  <c r="H1279" i="7" s="1"/>
  <c r="H1278" i="7"/>
  <c r="G1278" i="7"/>
  <c r="C1278" i="7"/>
  <c r="C1277" i="7"/>
  <c r="H1277" i="7" s="1"/>
  <c r="H1276" i="7"/>
  <c r="G1276" i="7"/>
  <c r="C1276" i="7"/>
  <c r="C1275" i="7"/>
  <c r="H1275" i="7" s="1"/>
  <c r="G1274" i="7"/>
  <c r="C1274" i="7"/>
  <c r="H1274" i="7" s="1"/>
  <c r="C1273" i="7"/>
  <c r="H1272" i="7"/>
  <c r="G1272" i="7"/>
  <c r="C1272" i="7"/>
  <c r="C1271" i="7"/>
  <c r="H1270" i="7"/>
  <c r="G1270" i="7"/>
  <c r="C1270" i="7"/>
  <c r="G1269" i="7"/>
  <c r="C1269" i="7"/>
  <c r="H1269" i="7" s="1"/>
  <c r="H1268" i="7"/>
  <c r="C1268" i="7"/>
  <c r="G1268" i="7" s="1"/>
  <c r="C1267" i="7"/>
  <c r="G1267" i="7" s="1"/>
  <c r="G1266" i="7"/>
  <c r="C1266" i="7"/>
  <c r="H1266" i="7" s="1"/>
  <c r="G1265" i="7"/>
  <c r="C1265" i="7"/>
  <c r="H1265" i="7" s="1"/>
  <c r="G1264" i="7"/>
  <c r="C1264" i="7"/>
  <c r="H1264" i="7" s="1"/>
  <c r="H1263" i="7"/>
  <c r="G1263" i="7"/>
  <c r="C1263" i="7"/>
  <c r="H1262" i="7"/>
  <c r="G1262" i="7"/>
  <c r="C1262" i="7"/>
  <c r="G1261" i="7"/>
  <c r="C1261" i="7"/>
  <c r="H1261" i="7" s="1"/>
  <c r="H1260" i="7"/>
  <c r="C1260" i="7"/>
  <c r="G1260" i="7" s="1"/>
  <c r="C1259" i="7"/>
  <c r="H1259" i="7" s="1"/>
  <c r="C1258" i="7"/>
  <c r="C1257" i="7"/>
  <c r="H1257" i="7" s="1"/>
  <c r="H1256" i="7"/>
  <c r="G1256" i="7"/>
  <c r="C1256" i="7"/>
  <c r="G1255" i="7"/>
  <c r="C1255" i="7"/>
  <c r="H1255" i="7" s="1"/>
  <c r="H1254" i="7"/>
  <c r="C1254" i="7"/>
  <c r="G1254" i="7" s="1"/>
  <c r="C1253" i="7"/>
  <c r="H1252" i="7"/>
  <c r="G1252" i="7"/>
  <c r="C1252" i="7"/>
  <c r="C1251" i="7"/>
  <c r="H1250" i="7"/>
  <c r="G1250" i="7"/>
  <c r="C1250" i="7"/>
  <c r="C1249" i="7"/>
  <c r="H1249" i="7" s="1"/>
  <c r="C1248" i="7"/>
  <c r="H1248" i="7" s="1"/>
  <c r="H1247" i="7"/>
  <c r="C1247" i="7"/>
  <c r="G1247" i="7" s="1"/>
  <c r="C1246" i="7"/>
  <c r="H1246" i="7" s="1"/>
  <c r="C1245" i="7"/>
  <c r="G1244" i="7"/>
  <c r="C1244" i="7"/>
  <c r="H1244" i="7" s="1"/>
  <c r="H1243" i="7"/>
  <c r="G1243" i="7"/>
  <c r="C1243" i="7"/>
  <c r="C1242" i="7"/>
  <c r="G1241" i="7"/>
  <c r="C1241" i="7"/>
  <c r="H1241" i="7" s="1"/>
  <c r="H1240" i="7"/>
  <c r="G1240" i="7"/>
  <c r="C1240" i="7"/>
  <c r="H1239" i="7"/>
  <c r="C1239" i="7"/>
  <c r="G1239" i="7" s="1"/>
  <c r="G1238" i="7"/>
  <c r="C1238" i="7"/>
  <c r="H1238" i="7" s="1"/>
  <c r="C1237" i="7"/>
  <c r="C1236" i="7"/>
  <c r="H1235" i="7"/>
  <c r="C1235" i="7"/>
  <c r="G1235" i="7" s="1"/>
  <c r="H1234" i="7"/>
  <c r="C1234" i="7"/>
  <c r="G1234" i="7" s="1"/>
  <c r="G1233" i="7"/>
  <c r="C1233" i="7"/>
  <c r="H1233" i="7" s="1"/>
  <c r="H1232" i="7"/>
  <c r="C1232" i="7"/>
  <c r="G1232" i="7" s="1"/>
  <c r="C1231" i="7"/>
  <c r="H1230" i="7"/>
  <c r="G1230" i="7"/>
  <c r="C1230" i="7"/>
  <c r="G1229" i="7"/>
  <c r="C1229" i="7"/>
  <c r="H1229" i="7" s="1"/>
  <c r="H1228" i="7"/>
  <c r="G1228" i="7"/>
  <c r="C1228" i="7"/>
  <c r="C1227" i="7"/>
  <c r="H1227" i="7" s="1"/>
  <c r="C1226" i="7"/>
  <c r="C1225" i="7"/>
  <c r="H1224" i="7"/>
  <c r="C1224" i="7"/>
  <c r="G1224" i="7" s="1"/>
  <c r="C1223" i="7"/>
  <c r="H1223" i="7" s="1"/>
  <c r="C1222" i="7"/>
  <c r="H1222" i="7" s="1"/>
  <c r="G1221" i="7"/>
  <c r="C1221" i="7"/>
  <c r="H1221" i="7" s="1"/>
  <c r="G1220" i="7"/>
  <c r="C1220" i="7"/>
  <c r="H1220" i="7" s="1"/>
  <c r="C1219" i="7"/>
  <c r="H1218" i="7"/>
  <c r="G1218" i="7"/>
  <c r="C1218" i="7"/>
  <c r="G1217" i="7"/>
  <c r="C1217" i="7"/>
  <c r="H1217" i="7" s="1"/>
  <c r="G1216" i="7"/>
  <c r="C1216" i="7"/>
  <c r="H1216" i="7" s="1"/>
  <c r="H1215" i="7"/>
  <c r="G1215" i="7"/>
  <c r="C1215" i="7"/>
  <c r="C1214" i="7"/>
  <c r="H1214" i="7" s="1"/>
  <c r="G1213" i="7"/>
  <c r="C1213" i="7"/>
  <c r="H1213" i="7" s="1"/>
  <c r="C1212" i="7"/>
  <c r="G1212" i="7" s="1"/>
  <c r="H1211" i="7"/>
  <c r="G1211" i="7"/>
  <c r="C1211" i="7"/>
  <c r="G1210" i="7"/>
  <c r="C1210" i="7"/>
  <c r="H1210" i="7" s="1"/>
  <c r="C1209" i="7"/>
  <c r="H1208" i="7"/>
  <c r="G1208" i="7"/>
  <c r="C1208" i="7"/>
  <c r="H1207" i="7"/>
  <c r="C1207" i="7"/>
  <c r="G1207" i="7" s="1"/>
  <c r="C1206" i="7"/>
  <c r="G1206" i="7" s="1"/>
  <c r="C1205" i="7"/>
  <c r="H1205" i="7" s="1"/>
  <c r="C1204" i="7"/>
  <c r="G1203" i="7"/>
  <c r="C1203" i="7"/>
  <c r="H1203" i="7" s="1"/>
  <c r="H1202" i="7"/>
  <c r="G1202" i="7"/>
  <c r="C1202" i="7"/>
  <c r="G1201" i="7"/>
  <c r="C1201" i="7"/>
  <c r="H1201" i="7" s="1"/>
  <c r="H1200" i="7"/>
  <c r="G1200" i="7"/>
  <c r="C1200" i="7"/>
  <c r="C1199" i="7"/>
  <c r="C1198" i="7"/>
  <c r="G1198" i="7" s="1"/>
  <c r="C1197" i="7"/>
  <c r="H1196" i="7"/>
  <c r="C1196" i="7"/>
  <c r="G1196" i="7" s="1"/>
  <c r="H1195" i="7"/>
  <c r="G1195" i="7"/>
  <c r="C1195" i="7"/>
  <c r="C1194" i="7"/>
  <c r="G1193" i="7"/>
  <c r="C1193" i="7"/>
  <c r="H1193" i="7" s="1"/>
  <c r="H1192" i="7"/>
  <c r="G1192" i="7"/>
  <c r="C1192" i="7"/>
  <c r="H1191" i="7"/>
  <c r="C1191" i="7"/>
  <c r="G1191" i="7" s="1"/>
  <c r="C1190" i="7"/>
  <c r="G1189" i="7"/>
  <c r="C1189" i="7"/>
  <c r="H1189" i="7" s="1"/>
  <c r="C1188" i="7"/>
  <c r="C1187" i="7"/>
  <c r="G1187" i="7" s="1"/>
  <c r="H1186" i="7"/>
  <c r="C1186" i="7"/>
  <c r="G1186" i="7" s="1"/>
  <c r="G1185" i="7"/>
  <c r="C1185" i="7"/>
  <c r="H1185" i="7" s="1"/>
  <c r="H1184" i="7"/>
  <c r="C1184" i="7"/>
  <c r="G1184" i="7" s="1"/>
  <c r="H1183" i="7"/>
  <c r="C1183" i="7"/>
  <c r="G1183" i="7" s="1"/>
  <c r="H1182" i="7"/>
  <c r="G1182" i="7"/>
  <c r="C1182" i="7"/>
  <c r="C1181" i="7"/>
  <c r="H1180" i="7"/>
  <c r="G1180" i="7"/>
  <c r="C1180" i="7"/>
  <c r="H1179" i="7"/>
  <c r="G1179" i="7"/>
  <c r="C1179" i="7"/>
  <c r="C1178" i="7"/>
  <c r="H1178" i="7" s="1"/>
  <c r="C1177" i="7"/>
  <c r="H1176" i="7"/>
  <c r="G1176" i="7"/>
  <c r="C1176" i="7"/>
  <c r="C1175" i="7"/>
  <c r="H1174" i="7"/>
  <c r="G1174" i="7"/>
  <c r="C1174" i="7"/>
  <c r="G1173" i="7"/>
  <c r="C1173" i="7"/>
  <c r="H1173" i="7" s="1"/>
  <c r="C1172" i="7"/>
  <c r="C1171" i="7"/>
  <c r="G1171" i="7" s="1"/>
  <c r="C1170" i="7"/>
  <c r="H1170" i="7" s="1"/>
  <c r="G1169" i="7"/>
  <c r="C1169" i="7"/>
  <c r="H1169" i="7" s="1"/>
  <c r="C1168" i="7"/>
  <c r="H1168" i="7" s="1"/>
  <c r="H1167" i="7"/>
  <c r="G1167" i="7"/>
  <c r="C1167" i="7"/>
  <c r="H1166" i="7"/>
  <c r="G1166" i="7"/>
  <c r="C1166" i="7"/>
  <c r="C1165" i="7"/>
  <c r="H1165" i="7" s="1"/>
  <c r="H1164" i="7"/>
  <c r="C1164" i="7"/>
  <c r="G1164" i="7" s="1"/>
  <c r="H1163" i="7"/>
  <c r="G1163" i="7"/>
  <c r="C1163" i="7"/>
  <c r="G1162" i="7"/>
  <c r="C1162" i="7"/>
  <c r="H1162" i="7" s="1"/>
  <c r="G1161" i="7"/>
  <c r="C1161" i="7"/>
  <c r="H1161" i="7" s="1"/>
  <c r="H1160" i="7"/>
  <c r="G1160" i="7"/>
  <c r="C1160" i="7"/>
  <c r="C1159" i="7"/>
  <c r="G1159" i="7" s="1"/>
  <c r="H1158" i="7"/>
  <c r="G1158" i="7"/>
  <c r="C1158" i="7"/>
  <c r="C1157" i="7"/>
  <c r="H1157" i="7" s="1"/>
  <c r="C1156" i="7"/>
  <c r="G1156" i="7" s="1"/>
  <c r="G1155" i="7"/>
  <c r="C1155" i="7"/>
  <c r="H1155" i="7" s="1"/>
  <c r="G1154" i="7"/>
  <c r="C1154" i="7"/>
  <c r="H1154" i="7" s="1"/>
  <c r="G1153" i="7"/>
  <c r="C1153" i="7"/>
  <c r="H1153" i="7" s="1"/>
  <c r="C1152" i="7"/>
  <c r="C1151" i="7"/>
  <c r="H1150" i="7"/>
  <c r="G1150" i="7"/>
  <c r="C1150" i="7"/>
  <c r="C1149" i="7"/>
  <c r="H1149" i="7" s="1"/>
  <c r="H1148" i="7"/>
  <c r="G1148" i="7"/>
  <c r="C1148" i="7"/>
  <c r="H1147" i="7"/>
  <c r="G1147" i="7"/>
  <c r="C1147" i="7"/>
  <c r="H1146" i="7"/>
  <c r="G1146" i="7"/>
  <c r="C1146" i="7"/>
  <c r="C1145" i="7"/>
  <c r="G1144" i="7"/>
  <c r="C1144" i="7"/>
  <c r="H1144" i="7" s="1"/>
  <c r="C1143" i="7"/>
  <c r="H1143" i="7" s="1"/>
  <c r="C1142" i="7"/>
  <c r="G1141" i="7"/>
  <c r="C1141" i="7"/>
  <c r="H1141" i="7" s="1"/>
  <c r="G1140" i="7"/>
  <c r="C1140" i="7"/>
  <c r="H1140" i="7" s="1"/>
  <c r="H1139" i="7"/>
  <c r="C1139" i="7"/>
  <c r="G1139" i="7" s="1"/>
  <c r="C1138" i="7"/>
  <c r="G1138" i="7" s="1"/>
  <c r="C1137" i="7"/>
  <c r="H1136" i="7"/>
  <c r="G1136" i="7"/>
  <c r="C1136" i="7"/>
  <c r="C1135" i="7"/>
  <c r="H1135" i="7" s="1"/>
  <c r="H1134" i="7"/>
  <c r="G1134" i="7"/>
  <c r="C1134" i="7"/>
  <c r="G1133" i="7"/>
  <c r="C1133" i="7"/>
  <c r="H1133" i="7" s="1"/>
  <c r="H1132" i="7"/>
  <c r="G1132" i="7"/>
  <c r="C1132" i="7"/>
  <c r="C1131" i="7"/>
  <c r="H1131" i="7" s="1"/>
  <c r="C1130" i="7"/>
  <c r="H1130" i="7" s="1"/>
  <c r="C1129" i="7"/>
  <c r="H1128" i="7"/>
  <c r="C1128" i="7"/>
  <c r="G1128" i="7" s="1"/>
  <c r="H1127" i="7"/>
  <c r="G1127" i="7"/>
  <c r="C1127" i="7"/>
  <c r="G1126" i="7"/>
  <c r="C1126" i="7"/>
  <c r="H1126" i="7" s="1"/>
  <c r="G1125" i="7"/>
  <c r="C1125" i="7"/>
  <c r="H1125" i="7" s="1"/>
  <c r="H1124" i="7"/>
  <c r="G1124" i="7"/>
  <c r="C1124" i="7"/>
  <c r="H1123" i="7"/>
  <c r="G1123" i="7"/>
  <c r="C1123" i="7"/>
  <c r="G1122" i="7"/>
  <c r="C1122" i="7"/>
  <c r="H1122" i="7" s="1"/>
  <c r="G1121" i="7"/>
  <c r="C1121" i="7"/>
  <c r="H1121" i="7" s="1"/>
  <c r="C1120" i="7"/>
  <c r="H1119" i="7"/>
  <c r="C1119" i="7"/>
  <c r="G1119" i="7" s="1"/>
  <c r="H1118" i="7"/>
  <c r="G1118" i="7"/>
  <c r="C1118" i="7"/>
  <c r="C1117" i="7"/>
  <c r="H1117" i="7" s="1"/>
  <c r="C1116" i="7"/>
  <c r="G1115" i="7"/>
  <c r="C1115" i="7"/>
  <c r="H1115" i="7" s="1"/>
  <c r="G1114" i="7"/>
  <c r="C1114" i="7"/>
  <c r="H1114" i="7" s="1"/>
  <c r="G1113" i="7"/>
  <c r="C1113" i="7"/>
  <c r="H1113" i="7" s="1"/>
  <c r="H1112" i="7"/>
  <c r="G1112" i="7"/>
  <c r="C1112" i="7"/>
  <c r="C1111" i="7"/>
  <c r="H1111" i="7" s="1"/>
  <c r="C1110" i="7"/>
  <c r="G1110" i="7" s="1"/>
  <c r="G1109" i="7"/>
  <c r="C1109" i="7"/>
  <c r="H1109" i="7" s="1"/>
  <c r="G1108" i="7"/>
  <c r="C1108" i="7"/>
  <c r="H1108" i="7" s="1"/>
  <c r="G1107" i="7"/>
  <c r="C1107" i="7"/>
  <c r="H1107" i="7" s="1"/>
  <c r="C1106" i="7"/>
  <c r="C1105" i="7"/>
  <c r="H1104" i="7"/>
  <c r="G1104" i="7"/>
  <c r="C1104" i="7"/>
  <c r="C1103" i="7"/>
  <c r="G1103" i="7" s="1"/>
  <c r="H1102" i="7"/>
  <c r="G1102" i="7"/>
  <c r="C1102" i="7"/>
  <c r="G1101" i="7"/>
  <c r="C1101" i="7"/>
  <c r="H1101" i="7" s="1"/>
  <c r="G1100" i="7"/>
  <c r="C1100" i="7"/>
  <c r="H1100" i="7" s="1"/>
  <c r="H1099" i="7"/>
  <c r="G1099" i="7"/>
  <c r="C1099" i="7"/>
  <c r="G1098" i="7"/>
  <c r="C1098" i="7"/>
  <c r="H1098" i="7" s="1"/>
  <c r="G1097" i="7"/>
  <c r="C1097" i="7"/>
  <c r="H1097" i="7" s="1"/>
  <c r="H1096" i="7"/>
  <c r="C1096" i="7"/>
  <c r="G1096" i="7" s="1"/>
  <c r="H1095" i="7"/>
  <c r="G1095" i="7"/>
  <c r="C1095" i="7"/>
  <c r="G1094" i="7"/>
  <c r="C1094" i="7"/>
  <c r="H1094" i="7" s="1"/>
  <c r="C1093" i="7"/>
  <c r="H1093" i="7" s="1"/>
  <c r="H1092" i="7"/>
  <c r="G1092" i="7"/>
  <c r="C1092" i="7"/>
  <c r="G1091" i="7"/>
  <c r="C1091" i="7"/>
  <c r="H1091" i="7" s="1"/>
  <c r="H1090" i="7"/>
  <c r="C1090" i="7"/>
  <c r="G1090" i="7" s="1"/>
  <c r="G1089" i="7"/>
  <c r="C1089" i="7"/>
  <c r="H1089" i="7" s="1"/>
  <c r="H1088" i="7"/>
  <c r="C1088" i="7"/>
  <c r="G1088" i="7" s="1"/>
  <c r="H1087" i="7"/>
  <c r="G1087" i="7"/>
  <c r="C1087" i="7"/>
  <c r="H1086" i="7"/>
  <c r="G1086" i="7"/>
  <c r="C1086" i="7"/>
  <c r="C1085" i="7"/>
  <c r="H1084" i="7"/>
  <c r="G1084" i="7"/>
  <c r="C1084" i="7"/>
  <c r="G1083" i="7"/>
  <c r="C1083" i="7"/>
  <c r="H1083" i="7" s="1"/>
  <c r="G1082" i="7"/>
  <c r="C1082" i="7"/>
  <c r="H1082" i="7" s="1"/>
  <c r="C1081" i="7"/>
  <c r="C1080" i="7"/>
  <c r="C1079" i="7"/>
  <c r="H1079" i="7" s="1"/>
  <c r="H1078" i="7"/>
  <c r="G1078" i="7"/>
  <c r="C1078" i="7"/>
  <c r="G1077" i="7"/>
  <c r="C1077" i="7"/>
  <c r="H1077" i="7" s="1"/>
  <c r="C1076" i="7"/>
  <c r="G1076" i="7" s="1"/>
  <c r="C1075" i="7"/>
  <c r="H1075" i="7" s="1"/>
  <c r="C1074" i="7"/>
  <c r="C1073" i="7"/>
  <c r="G1072" i="7"/>
  <c r="C1072" i="7"/>
  <c r="H1072" i="7" s="1"/>
  <c r="G1071" i="7"/>
  <c r="C1071" i="7"/>
  <c r="H1071" i="7" s="1"/>
  <c r="C1070" i="7"/>
  <c r="G1069" i="7"/>
  <c r="C1069" i="7"/>
  <c r="H1069" i="7" s="1"/>
  <c r="C1068" i="7"/>
  <c r="H1067" i="7"/>
  <c r="G1067" i="7"/>
  <c r="C1067" i="7"/>
  <c r="H1066" i="7"/>
  <c r="G1066" i="7"/>
  <c r="C1066" i="7"/>
  <c r="G1065" i="7"/>
  <c r="C1065" i="7"/>
  <c r="H1065" i="7" s="1"/>
  <c r="H1064" i="7"/>
  <c r="G1064" i="7"/>
  <c r="C1064" i="7"/>
  <c r="H1063" i="7"/>
  <c r="G1063" i="7"/>
  <c r="C1063" i="7"/>
  <c r="G1062" i="7"/>
  <c r="C1062" i="7"/>
  <c r="H1062" i="7" s="1"/>
  <c r="G1061" i="7"/>
  <c r="C1061" i="7"/>
  <c r="H1061" i="7" s="1"/>
  <c r="C1060" i="7"/>
  <c r="C1059" i="7"/>
  <c r="H1058" i="7"/>
  <c r="G1058" i="7"/>
  <c r="C1058" i="7"/>
  <c r="C1057" i="7"/>
  <c r="H1057" i="7" s="1"/>
  <c r="H1056" i="7"/>
  <c r="G1056" i="7"/>
  <c r="C1056" i="7"/>
  <c r="H1055" i="7"/>
  <c r="C1055" i="7"/>
  <c r="G1055" i="7" s="1"/>
  <c r="G1054" i="7"/>
  <c r="C1054" i="7"/>
  <c r="H1054" i="7" s="1"/>
  <c r="G1053" i="7"/>
  <c r="C1053" i="7"/>
  <c r="H1053" i="7" s="1"/>
  <c r="H1052" i="7"/>
  <c r="C1052" i="7"/>
  <c r="G1052" i="7" s="1"/>
  <c r="H1051" i="7"/>
  <c r="G1051" i="7"/>
  <c r="C1051" i="7"/>
  <c r="H1050" i="7"/>
  <c r="C1050" i="7"/>
  <c r="G1050" i="7" s="1"/>
  <c r="C1049" i="7"/>
  <c r="H1049" i="7" s="1"/>
  <c r="C1048" i="7"/>
  <c r="H1047" i="7"/>
  <c r="C1047" i="7"/>
  <c r="G1047" i="7" s="1"/>
  <c r="C1046" i="7"/>
  <c r="C1045" i="7"/>
  <c r="H1044" i="7"/>
  <c r="G1044" i="7"/>
  <c r="C1044" i="7"/>
  <c r="H1043" i="7"/>
  <c r="C1043" i="7"/>
  <c r="G1043" i="7" s="1"/>
  <c r="H1042" i="7"/>
  <c r="C1042" i="7"/>
  <c r="G1042" i="7" s="1"/>
  <c r="G1041" i="7"/>
  <c r="C1041" i="7"/>
  <c r="H1041" i="7" s="1"/>
  <c r="G1040" i="7"/>
  <c r="C1040" i="7"/>
  <c r="H1040" i="7" s="1"/>
  <c r="H1039" i="7"/>
  <c r="C1039" i="7"/>
  <c r="G1039" i="7" s="1"/>
  <c r="H1038" i="7"/>
  <c r="G1038" i="7"/>
  <c r="C1038" i="7"/>
  <c r="G1037" i="7"/>
  <c r="C1037" i="7"/>
  <c r="H1037" i="7" s="1"/>
  <c r="C1036" i="7"/>
  <c r="G1036" i="7" s="1"/>
  <c r="H1035" i="7"/>
  <c r="G1035" i="7"/>
  <c r="C1035" i="7"/>
  <c r="C1034" i="7"/>
  <c r="C1033" i="7"/>
  <c r="G1032" i="7"/>
  <c r="C1032" i="7"/>
  <c r="H1032" i="7" s="1"/>
  <c r="C1031" i="7"/>
  <c r="H1031" i="7" s="1"/>
  <c r="C1030" i="7"/>
  <c r="G1029" i="7"/>
  <c r="C1029" i="7"/>
  <c r="H1029" i="7" s="1"/>
  <c r="C1028" i="7"/>
  <c r="H1028" i="7" s="1"/>
  <c r="C1027" i="7"/>
  <c r="G1027" i="7" s="1"/>
  <c r="H1026" i="7"/>
  <c r="G1026" i="7"/>
  <c r="C1026" i="7"/>
  <c r="C1025" i="7"/>
  <c r="C1024" i="7"/>
  <c r="H1024" i="7" s="1"/>
  <c r="G1023" i="7"/>
  <c r="C1023" i="7"/>
  <c r="H1023" i="7" s="1"/>
  <c r="G1022" i="7"/>
  <c r="C1022" i="7"/>
  <c r="H1022" i="7" s="1"/>
  <c r="G1021" i="7"/>
  <c r="C1021" i="7"/>
  <c r="H1021" i="7" s="1"/>
  <c r="H1020" i="7"/>
  <c r="C1020" i="7"/>
  <c r="G1020" i="7" s="1"/>
  <c r="H1019" i="7"/>
  <c r="C1019" i="7"/>
  <c r="G1019" i="7" s="1"/>
  <c r="H1018" i="7"/>
  <c r="G1018" i="7"/>
  <c r="C1018" i="7"/>
  <c r="C1017" i="7"/>
  <c r="H1016" i="7"/>
  <c r="G1016" i="7"/>
  <c r="C1016" i="7"/>
  <c r="H1015" i="7"/>
  <c r="G1015" i="7"/>
  <c r="C1015" i="7"/>
  <c r="C1014" i="7"/>
  <c r="C1013" i="7"/>
  <c r="H1012" i="7"/>
  <c r="G1012" i="7"/>
  <c r="C1012" i="7"/>
  <c r="C1011" i="7"/>
  <c r="H1011" i="7" s="1"/>
  <c r="H1010" i="7"/>
  <c r="G1010" i="7"/>
  <c r="C1010" i="7"/>
  <c r="G1009" i="7"/>
  <c r="C1009" i="7"/>
  <c r="H1009" i="7" s="1"/>
  <c r="C1008" i="7"/>
  <c r="H1007" i="7"/>
  <c r="C1007" i="7"/>
  <c r="G1007" i="7" s="1"/>
  <c r="H1006" i="7"/>
  <c r="C1006" i="7"/>
  <c r="G1006" i="7" s="1"/>
  <c r="C1005" i="7"/>
  <c r="H1004" i="7"/>
  <c r="G1004" i="7"/>
  <c r="C1004" i="7"/>
  <c r="H1003" i="7"/>
  <c r="G1003" i="7"/>
  <c r="C1003" i="7"/>
  <c r="G1002" i="7"/>
  <c r="C1002" i="7"/>
  <c r="H1002" i="7" s="1"/>
  <c r="C1001" i="7"/>
  <c r="H1001" i="7" s="1"/>
  <c r="H1000" i="7"/>
  <c r="G1000" i="7"/>
  <c r="C1000" i="7"/>
  <c r="G999" i="7"/>
  <c r="C999" i="7"/>
  <c r="H999" i="7" s="1"/>
  <c r="G998" i="7"/>
  <c r="C998" i="7"/>
  <c r="H998" i="7" s="1"/>
  <c r="C997" i="7"/>
  <c r="H997" i="7" s="1"/>
  <c r="H996" i="7"/>
  <c r="C996" i="7"/>
  <c r="G996" i="7" s="1"/>
  <c r="H995" i="7"/>
  <c r="G995" i="7"/>
  <c r="C995" i="7"/>
  <c r="H994" i="7"/>
  <c r="C994" i="7"/>
  <c r="G994" i="7" s="1"/>
  <c r="G993" i="7"/>
  <c r="C993" i="7"/>
  <c r="H993" i="7" s="1"/>
  <c r="C992" i="7"/>
  <c r="H992" i="7" s="1"/>
  <c r="G991" i="7"/>
  <c r="C991" i="7"/>
  <c r="H991" i="7" s="1"/>
  <c r="H990" i="7"/>
  <c r="G990" i="7"/>
  <c r="C990" i="7"/>
  <c r="C989" i="7"/>
  <c r="C988" i="7"/>
  <c r="H988" i="7" s="1"/>
  <c r="H987" i="7"/>
  <c r="G987" i="7"/>
  <c r="C987" i="7"/>
  <c r="H986" i="7"/>
  <c r="G986" i="7"/>
  <c r="C986" i="7"/>
  <c r="C985" i="7"/>
  <c r="H984" i="7"/>
  <c r="G984" i="7"/>
  <c r="C984" i="7"/>
  <c r="G983" i="7"/>
  <c r="C983" i="7"/>
  <c r="H983" i="7" s="1"/>
  <c r="H982" i="7"/>
  <c r="C982" i="7"/>
  <c r="G982" i="7" s="1"/>
  <c r="G981" i="7"/>
  <c r="C981" i="7"/>
  <c r="H981" i="7" s="1"/>
  <c r="G980" i="7"/>
  <c r="C980" i="7"/>
  <c r="H980" i="7" s="1"/>
  <c r="G979" i="7"/>
  <c r="C979" i="7"/>
  <c r="H979" i="7" s="1"/>
  <c r="H978" i="7"/>
  <c r="C978" i="7"/>
  <c r="G978" i="7" s="1"/>
  <c r="C977" i="7"/>
  <c r="H977" i="7" s="1"/>
  <c r="C976" i="7"/>
  <c r="H975" i="7"/>
  <c r="G975" i="7"/>
  <c r="C975" i="7"/>
  <c r="C974" i="7"/>
  <c r="H974" i="7" s="1"/>
  <c r="G973" i="7"/>
  <c r="C973" i="7"/>
  <c r="H973" i="7" s="1"/>
  <c r="H972" i="7"/>
  <c r="C972" i="7"/>
  <c r="G972" i="7" s="1"/>
  <c r="G971" i="7"/>
  <c r="C971" i="7"/>
  <c r="H971" i="7" s="1"/>
  <c r="H970" i="7"/>
  <c r="C970" i="7"/>
  <c r="G970" i="7" s="1"/>
  <c r="G969" i="7"/>
  <c r="C969" i="7"/>
  <c r="H969" i="7" s="1"/>
  <c r="H968" i="7"/>
  <c r="G968" i="7"/>
  <c r="C968" i="7"/>
  <c r="C967" i="7"/>
  <c r="H966" i="7"/>
  <c r="G966" i="7"/>
  <c r="C966" i="7"/>
  <c r="G965" i="7"/>
  <c r="C965" i="7"/>
  <c r="H965" i="7" s="1"/>
  <c r="C964" i="7"/>
  <c r="G963" i="7"/>
  <c r="C963" i="7"/>
  <c r="H963" i="7" s="1"/>
  <c r="C962" i="7"/>
  <c r="H962" i="7" s="1"/>
  <c r="G961" i="7"/>
  <c r="C961" i="7"/>
  <c r="H961" i="7" s="1"/>
  <c r="H960" i="7"/>
  <c r="G960" i="7"/>
  <c r="C960" i="7"/>
  <c r="H959" i="7"/>
  <c r="C959" i="7"/>
  <c r="G959" i="7" s="1"/>
  <c r="H958" i="7"/>
  <c r="G958" i="7"/>
  <c r="C958" i="7"/>
  <c r="C957" i="7"/>
  <c r="H957" i="7" s="1"/>
  <c r="C956" i="7"/>
  <c r="H955" i="7"/>
  <c r="G955" i="7"/>
  <c r="C955" i="7"/>
  <c r="C954" i="7"/>
  <c r="C953" i="7"/>
  <c r="H952" i="7"/>
  <c r="G952" i="7"/>
  <c r="C952" i="7"/>
  <c r="G951" i="7"/>
  <c r="C951" i="7"/>
  <c r="H951" i="7" s="1"/>
  <c r="G950" i="7"/>
  <c r="C950" i="7"/>
  <c r="H950" i="7" s="1"/>
  <c r="G949" i="7"/>
  <c r="C949" i="7"/>
  <c r="H949" i="7" s="1"/>
  <c r="G948" i="7"/>
  <c r="C948" i="7"/>
  <c r="H948" i="7" s="1"/>
  <c r="H947" i="7"/>
  <c r="C947" i="7"/>
  <c r="G947" i="7" s="1"/>
  <c r="H946" i="7"/>
  <c r="C946" i="7"/>
  <c r="G946" i="7" s="1"/>
  <c r="G945" i="7"/>
  <c r="C945" i="7"/>
  <c r="H945" i="7" s="1"/>
  <c r="H944" i="7"/>
  <c r="G944" i="7"/>
  <c r="C944" i="7"/>
  <c r="C943" i="7"/>
  <c r="H943" i="7" s="1"/>
  <c r="H942" i="7"/>
  <c r="G942" i="7"/>
  <c r="C942" i="7"/>
  <c r="C941" i="7"/>
  <c r="H940" i="7"/>
  <c r="G940" i="7"/>
  <c r="C940" i="7"/>
  <c r="G939" i="7"/>
  <c r="C939" i="7"/>
  <c r="H939" i="7" s="1"/>
  <c r="H938" i="7"/>
  <c r="C938" i="7"/>
  <c r="G938" i="7" s="1"/>
  <c r="C937" i="7"/>
  <c r="H936" i="7"/>
  <c r="G936" i="7"/>
  <c r="C936" i="7"/>
  <c r="H935" i="7"/>
  <c r="G935" i="7"/>
  <c r="C935" i="7"/>
  <c r="G934" i="7"/>
  <c r="C934" i="7"/>
  <c r="H934" i="7" s="1"/>
  <c r="G933" i="7"/>
  <c r="C933" i="7"/>
  <c r="H933" i="7" s="1"/>
  <c r="G932" i="7"/>
  <c r="C932" i="7"/>
  <c r="H932" i="7" s="1"/>
  <c r="G931" i="7"/>
  <c r="C931" i="7"/>
  <c r="H931" i="7" s="1"/>
  <c r="G930" i="7"/>
  <c r="C930" i="7"/>
  <c r="H930" i="7" s="1"/>
  <c r="G929" i="7"/>
  <c r="C929" i="7"/>
  <c r="H929" i="7" s="1"/>
  <c r="G928" i="7"/>
  <c r="C928" i="7"/>
  <c r="H928" i="7" s="1"/>
  <c r="H927" i="7"/>
  <c r="C927" i="7"/>
  <c r="G927" i="7" s="1"/>
  <c r="H926" i="7"/>
  <c r="G926" i="7"/>
  <c r="C926" i="7"/>
  <c r="G925" i="7"/>
  <c r="C925" i="7"/>
  <c r="H925" i="7" s="1"/>
  <c r="H924" i="7"/>
  <c r="C924" i="7"/>
  <c r="G924" i="7" s="1"/>
  <c r="H923" i="7"/>
  <c r="C923" i="7"/>
  <c r="G923" i="7" s="1"/>
  <c r="H922" i="7"/>
  <c r="G922" i="7"/>
  <c r="C922" i="7"/>
  <c r="G921" i="7"/>
  <c r="C921" i="7"/>
  <c r="H921" i="7" s="1"/>
  <c r="H920" i="7"/>
  <c r="G920" i="7"/>
  <c r="C920" i="7"/>
  <c r="C919" i="7"/>
  <c r="H918" i="7"/>
  <c r="C918" i="7"/>
  <c r="G918" i="7" s="1"/>
  <c r="G917" i="7"/>
  <c r="C917" i="7"/>
  <c r="H917" i="7" s="1"/>
  <c r="G916" i="7"/>
  <c r="C916" i="7"/>
  <c r="H916" i="7" s="1"/>
  <c r="G915" i="7"/>
  <c r="C915" i="7"/>
  <c r="H915" i="7" s="1"/>
  <c r="C914" i="7"/>
  <c r="G914" i="7" s="1"/>
  <c r="G913" i="7"/>
  <c r="C913" i="7"/>
  <c r="H913" i="7" s="1"/>
  <c r="H912" i="7"/>
  <c r="G912" i="7"/>
  <c r="C912" i="7"/>
  <c r="H911" i="7"/>
  <c r="C911" i="7"/>
  <c r="G911" i="7" s="1"/>
  <c r="H910" i="7"/>
  <c r="C910" i="7"/>
  <c r="G910" i="7" s="1"/>
  <c r="G909" i="7"/>
  <c r="C909" i="7"/>
  <c r="H909" i="7" s="1"/>
  <c r="H908" i="7"/>
  <c r="G908" i="7"/>
  <c r="C908" i="7"/>
  <c r="H907" i="7"/>
  <c r="G907" i="7"/>
  <c r="C907" i="7"/>
  <c r="H906" i="7"/>
  <c r="G906" i="7"/>
  <c r="C906" i="7"/>
  <c r="C905" i="7"/>
  <c r="C904" i="7"/>
  <c r="H903" i="7"/>
  <c r="G903" i="7"/>
  <c r="C903" i="7"/>
  <c r="C902" i="7"/>
  <c r="G901" i="7"/>
  <c r="C901" i="7"/>
  <c r="H901" i="7" s="1"/>
  <c r="H900" i="7"/>
  <c r="G900" i="7"/>
  <c r="C900" i="7"/>
  <c r="C899" i="7"/>
  <c r="H898" i="7"/>
  <c r="C898" i="7"/>
  <c r="G898" i="7" s="1"/>
  <c r="C897" i="7"/>
  <c r="C896" i="7"/>
  <c r="H895" i="7"/>
  <c r="G895" i="7"/>
  <c r="C895" i="7"/>
  <c r="H894" i="7"/>
  <c r="G894" i="7"/>
  <c r="C894" i="7"/>
  <c r="C893" i="7"/>
  <c r="H892" i="7"/>
  <c r="G892" i="7"/>
  <c r="C892" i="7"/>
  <c r="H891" i="7"/>
  <c r="G891" i="7"/>
  <c r="C891" i="7"/>
  <c r="C890" i="7"/>
  <c r="G890" i="7" s="1"/>
  <c r="C889" i="7"/>
  <c r="G888" i="7"/>
  <c r="C888" i="7"/>
  <c r="H888" i="7" s="1"/>
  <c r="H887" i="7"/>
  <c r="C887" i="7"/>
  <c r="G887" i="7" s="1"/>
  <c r="C886" i="7"/>
  <c r="G886" i="7" s="1"/>
  <c r="G885" i="7"/>
  <c r="C885" i="7"/>
  <c r="H885" i="7" s="1"/>
  <c r="C884" i="7"/>
  <c r="H883" i="7"/>
  <c r="G883" i="7"/>
  <c r="C883" i="7"/>
  <c r="H882" i="7"/>
  <c r="C882" i="7"/>
  <c r="G882" i="7" s="1"/>
  <c r="C881" i="7"/>
  <c r="C880" i="7"/>
  <c r="C879" i="7"/>
  <c r="C878" i="7"/>
  <c r="G878" i="7" s="1"/>
  <c r="C877" i="7"/>
  <c r="C876" i="7"/>
  <c r="H875" i="7"/>
  <c r="G875" i="7"/>
  <c r="C875" i="7"/>
  <c r="C874" i="7"/>
  <c r="G874" i="7" s="1"/>
  <c r="C873" i="7"/>
  <c r="H872" i="7"/>
  <c r="G872" i="7"/>
  <c r="C872" i="7"/>
  <c r="G871" i="7"/>
  <c r="C871" i="7"/>
  <c r="H871" i="7" s="1"/>
  <c r="G870" i="7"/>
  <c r="C870" i="7"/>
  <c r="H870" i="7" s="1"/>
  <c r="G869" i="7"/>
  <c r="C869" i="7"/>
  <c r="H869" i="7" s="1"/>
  <c r="C868" i="7"/>
  <c r="G867" i="7"/>
  <c r="C867" i="7"/>
  <c r="H867" i="7" s="1"/>
  <c r="H866" i="7"/>
  <c r="G866" i="7"/>
  <c r="C866" i="7"/>
  <c r="G865" i="7"/>
  <c r="C865" i="7"/>
  <c r="H865" i="7" s="1"/>
  <c r="H864" i="7"/>
  <c r="C864" i="7"/>
  <c r="G864" i="7" s="1"/>
  <c r="C863" i="7"/>
  <c r="G863" i="7" s="1"/>
  <c r="G862" i="7"/>
  <c r="C862" i="7"/>
  <c r="H862" i="7" s="1"/>
  <c r="G861" i="7"/>
  <c r="C861" i="7"/>
  <c r="H861" i="7" s="1"/>
  <c r="H860" i="7"/>
  <c r="G860" i="7"/>
  <c r="C860" i="7"/>
  <c r="H859" i="7"/>
  <c r="G859" i="7"/>
  <c r="C859" i="7"/>
  <c r="G858" i="7"/>
  <c r="C858" i="7"/>
  <c r="H858" i="7" s="1"/>
  <c r="G857" i="7"/>
  <c r="C857" i="7"/>
  <c r="H857" i="7" s="1"/>
  <c r="G856" i="7"/>
  <c r="C856" i="7"/>
  <c r="H856" i="7" s="1"/>
  <c r="H855" i="7"/>
  <c r="C855" i="7"/>
  <c r="G855" i="7" s="1"/>
  <c r="G854" i="7"/>
  <c r="C854" i="7"/>
  <c r="H854" i="7" s="1"/>
  <c r="C853" i="7"/>
  <c r="H853" i="7" s="1"/>
  <c r="H852" i="7"/>
  <c r="G852" i="7"/>
  <c r="C852" i="7"/>
  <c r="H851" i="7"/>
  <c r="G851" i="7"/>
  <c r="C851" i="7"/>
  <c r="C850" i="7"/>
  <c r="C849" i="7"/>
  <c r="C848" i="7"/>
  <c r="H848" i="7" s="1"/>
  <c r="C847" i="7"/>
  <c r="G847" i="7" s="1"/>
  <c r="H846" i="7"/>
  <c r="G846" i="7"/>
  <c r="C846" i="7"/>
  <c r="C845" i="7"/>
  <c r="H844" i="7"/>
  <c r="G844" i="7"/>
  <c r="C844" i="7"/>
  <c r="H843" i="7"/>
  <c r="G843" i="7"/>
  <c r="C843" i="7"/>
  <c r="H842" i="7"/>
  <c r="G842" i="7"/>
  <c r="C842" i="7"/>
  <c r="C841" i="7"/>
  <c r="H840" i="7"/>
  <c r="G840" i="7"/>
  <c r="C840" i="7"/>
  <c r="H839" i="7"/>
  <c r="C839" i="7"/>
  <c r="G839" i="7" s="1"/>
  <c r="H838" i="7"/>
  <c r="C838" i="7"/>
  <c r="G838" i="7" s="1"/>
  <c r="G837" i="7"/>
  <c r="C837" i="7"/>
  <c r="H837" i="7" s="1"/>
  <c r="C836" i="7"/>
  <c r="H835" i="7"/>
  <c r="G835" i="7"/>
  <c r="C835" i="7"/>
  <c r="H834" i="7"/>
  <c r="G834" i="7"/>
  <c r="C834" i="7"/>
  <c r="C833" i="7"/>
  <c r="H833" i="7" s="1"/>
  <c r="G832" i="7"/>
  <c r="C832" i="7"/>
  <c r="H832" i="7" s="1"/>
  <c r="H831" i="7"/>
  <c r="G831" i="7"/>
  <c r="C831" i="7"/>
  <c r="C830" i="7"/>
  <c r="G830" i="7" s="1"/>
  <c r="G829" i="7"/>
  <c r="C829" i="7"/>
  <c r="H829" i="7" s="1"/>
  <c r="H828" i="7"/>
  <c r="C828" i="7"/>
  <c r="G828" i="7" s="1"/>
  <c r="H827" i="7"/>
  <c r="C827" i="7"/>
  <c r="G827" i="7" s="1"/>
  <c r="H826" i="7"/>
  <c r="G826" i="7"/>
  <c r="C826" i="7"/>
  <c r="G825" i="7"/>
  <c r="C825" i="7"/>
  <c r="H825" i="7" s="1"/>
  <c r="H824" i="7"/>
  <c r="G824" i="7"/>
  <c r="C824" i="7"/>
  <c r="H823" i="7"/>
  <c r="G823" i="7"/>
  <c r="C823" i="7"/>
  <c r="C822" i="7"/>
  <c r="G822" i="7" s="1"/>
  <c r="C821" i="7"/>
  <c r="H820" i="7"/>
  <c r="G820" i="7"/>
  <c r="C820" i="7"/>
  <c r="C819" i="7"/>
  <c r="H819" i="7" s="1"/>
  <c r="C818" i="7"/>
  <c r="G817" i="7"/>
  <c r="C817" i="7"/>
  <c r="H817" i="7" s="1"/>
  <c r="C816" i="7"/>
  <c r="G816" i="7" s="1"/>
  <c r="H815" i="7"/>
  <c r="C815" i="7"/>
  <c r="G815" i="7" s="1"/>
  <c r="C814" i="7"/>
  <c r="H814" i="7" s="1"/>
  <c r="C813" i="7"/>
  <c r="H812" i="7"/>
  <c r="G812" i="7"/>
  <c r="C812" i="7"/>
  <c r="H811" i="7"/>
  <c r="G811" i="7"/>
  <c r="C811" i="7"/>
  <c r="G810" i="7"/>
  <c r="C810" i="7"/>
  <c r="H810" i="7" s="1"/>
  <c r="G809" i="7"/>
  <c r="C809" i="7"/>
  <c r="H809" i="7" s="1"/>
  <c r="C808" i="7"/>
  <c r="H808" i="7" s="1"/>
  <c r="H807" i="7"/>
  <c r="G807" i="7"/>
  <c r="C807" i="7"/>
  <c r="G806" i="7"/>
  <c r="C806" i="7"/>
  <c r="H806" i="7" s="1"/>
  <c r="G805" i="7"/>
  <c r="C805" i="7"/>
  <c r="H805" i="7" s="1"/>
  <c r="C804" i="7"/>
  <c r="C803" i="7"/>
  <c r="H803" i="7" s="1"/>
  <c r="C802" i="7"/>
  <c r="C801" i="7"/>
  <c r="G800" i="7"/>
  <c r="C800" i="7"/>
  <c r="H800" i="7" s="1"/>
  <c r="C799" i="7"/>
  <c r="H799" i="7" s="1"/>
  <c r="H798" i="7"/>
  <c r="G798" i="7"/>
  <c r="C798" i="7"/>
  <c r="C797" i="7"/>
  <c r="H796" i="7"/>
  <c r="G796" i="7"/>
  <c r="C796" i="7"/>
  <c r="H795" i="7"/>
  <c r="C795" i="7"/>
  <c r="G795" i="7" s="1"/>
  <c r="C794" i="7"/>
  <c r="H794" i="7" s="1"/>
  <c r="C793" i="7"/>
  <c r="C792" i="7"/>
  <c r="H791" i="7"/>
  <c r="G791" i="7"/>
  <c r="C791" i="7"/>
  <c r="G790" i="7"/>
  <c r="C790" i="7"/>
  <c r="H790" i="7" s="1"/>
  <c r="G789" i="7"/>
  <c r="C789" i="7"/>
  <c r="H789" i="7" s="1"/>
  <c r="G788" i="7"/>
  <c r="C788" i="7"/>
  <c r="H788" i="7" s="1"/>
  <c r="H787" i="7"/>
  <c r="G787" i="7"/>
  <c r="C787" i="7"/>
  <c r="H786" i="7"/>
  <c r="C786" i="7"/>
  <c r="G786" i="7" s="1"/>
  <c r="G785" i="7"/>
  <c r="C785" i="7"/>
  <c r="H785" i="7" s="1"/>
  <c r="C784" i="7"/>
  <c r="H784" i="7" s="1"/>
  <c r="G783" i="7"/>
  <c r="C783" i="7"/>
  <c r="H783" i="7" s="1"/>
  <c r="H782" i="7"/>
  <c r="G782" i="7"/>
  <c r="C782" i="7"/>
  <c r="C781" i="7"/>
  <c r="C780" i="7"/>
  <c r="C779" i="7"/>
  <c r="H778" i="7"/>
  <c r="G778" i="7"/>
  <c r="C778" i="7"/>
  <c r="C777" i="7"/>
  <c r="H776" i="7"/>
  <c r="G776" i="7"/>
  <c r="C776" i="7"/>
  <c r="H775" i="7"/>
  <c r="C775" i="7"/>
  <c r="G775" i="7" s="1"/>
  <c r="H774" i="7"/>
  <c r="C774" i="7"/>
  <c r="G774" i="7" s="1"/>
  <c r="G773" i="7"/>
  <c r="C773" i="7"/>
  <c r="H773" i="7" s="1"/>
  <c r="H772" i="7"/>
  <c r="C772" i="7"/>
  <c r="G772" i="7" s="1"/>
  <c r="G771" i="7"/>
  <c r="C771" i="7"/>
  <c r="H771" i="7" s="1"/>
  <c r="C770" i="7"/>
  <c r="G770" i="7" s="1"/>
  <c r="G769" i="7"/>
  <c r="C769" i="7"/>
  <c r="H769" i="7" s="1"/>
  <c r="H768" i="7"/>
  <c r="G768" i="7"/>
  <c r="C768" i="7"/>
  <c r="C767" i="7"/>
  <c r="H766" i="7"/>
  <c r="G766" i="7"/>
  <c r="C766" i="7"/>
  <c r="G765" i="7"/>
  <c r="C765" i="7"/>
  <c r="H765" i="7" s="1"/>
  <c r="C764" i="7"/>
  <c r="H764" i="7" s="1"/>
  <c r="H763" i="7"/>
  <c r="G763" i="7"/>
  <c r="C763" i="7"/>
  <c r="H762" i="7"/>
  <c r="C762" i="7"/>
  <c r="G762" i="7" s="1"/>
  <c r="C761" i="7"/>
  <c r="C760" i="7"/>
  <c r="H760" i="7" s="1"/>
  <c r="C759" i="7"/>
  <c r="H759" i="7" s="1"/>
  <c r="C758" i="7"/>
  <c r="G757" i="7"/>
  <c r="C757" i="7"/>
  <c r="H757" i="7" s="1"/>
  <c r="C756" i="7"/>
  <c r="G756" i="7" s="1"/>
  <c r="C755" i="7"/>
  <c r="H755" i="7" s="1"/>
  <c r="C754" i="7"/>
  <c r="G754" i="7" s="1"/>
  <c r="C753" i="7"/>
  <c r="G752" i="7"/>
  <c r="C752" i="7"/>
  <c r="H752" i="7" s="1"/>
  <c r="H751" i="7"/>
  <c r="C751" i="7"/>
  <c r="G751" i="7" s="1"/>
  <c r="H750" i="7"/>
  <c r="G750" i="7"/>
  <c r="C750" i="7"/>
  <c r="C749" i="7"/>
  <c r="G749" i="7" s="1"/>
  <c r="C748" i="7"/>
  <c r="G748" i="7" s="1"/>
  <c r="H747" i="7"/>
  <c r="G747" i="7"/>
  <c r="C747" i="7"/>
  <c r="H746" i="7"/>
  <c r="G746" i="7"/>
  <c r="C746" i="7"/>
  <c r="C745" i="7"/>
  <c r="G745" i="7" s="1"/>
  <c r="H744" i="7"/>
  <c r="G744" i="7"/>
  <c r="C744" i="7"/>
  <c r="C743" i="7"/>
  <c r="H742" i="7"/>
  <c r="G742" i="7"/>
  <c r="C742" i="7"/>
  <c r="C741" i="7"/>
  <c r="H740" i="7"/>
  <c r="G740" i="7"/>
  <c r="C740" i="7"/>
  <c r="G739" i="7"/>
  <c r="C739" i="7"/>
  <c r="H739" i="7" s="1"/>
  <c r="H738" i="7"/>
  <c r="G738" i="7"/>
  <c r="C738" i="7"/>
  <c r="C737" i="7"/>
  <c r="C736" i="7"/>
  <c r="G736" i="7" s="1"/>
  <c r="C735" i="7"/>
  <c r="G735" i="7" s="1"/>
  <c r="H734" i="7"/>
  <c r="G734" i="7"/>
  <c r="C734" i="7"/>
  <c r="H733" i="7"/>
  <c r="C733" i="7"/>
  <c r="G733" i="7" s="1"/>
  <c r="C732" i="7"/>
  <c r="H732" i="7" s="1"/>
  <c r="H731" i="7"/>
  <c r="G731" i="7"/>
  <c r="C731" i="7"/>
  <c r="H730" i="7"/>
  <c r="G730" i="7"/>
  <c r="C730" i="7"/>
  <c r="C729" i="7"/>
  <c r="C728" i="7"/>
  <c r="G727" i="7"/>
  <c r="C727" i="7"/>
  <c r="H727" i="7" s="1"/>
  <c r="H726" i="7"/>
  <c r="G726" i="7"/>
  <c r="C726" i="7"/>
  <c r="H725" i="7"/>
  <c r="C725" i="7"/>
  <c r="G725" i="7" s="1"/>
  <c r="H724" i="7"/>
  <c r="C724" i="7"/>
  <c r="G724" i="7" s="1"/>
  <c r="C723" i="7"/>
  <c r="H723" i="7" s="1"/>
  <c r="H722" i="7"/>
  <c r="G722" i="7"/>
  <c r="C722" i="7"/>
  <c r="C721" i="7"/>
  <c r="G720" i="7"/>
  <c r="C720" i="7"/>
  <c r="H720" i="7" s="1"/>
  <c r="G719" i="7"/>
  <c r="C719" i="7"/>
  <c r="H719" i="7" s="1"/>
  <c r="H718" i="7"/>
  <c r="G718" i="7"/>
  <c r="C718" i="7"/>
  <c r="H717" i="7"/>
  <c r="C717" i="7"/>
  <c r="G717" i="7" s="1"/>
  <c r="C716" i="7"/>
  <c r="C715" i="7"/>
  <c r="H715" i="7" s="1"/>
  <c r="H714" i="7"/>
  <c r="G714" i="7"/>
  <c r="C714" i="7"/>
  <c r="C713" i="7"/>
  <c r="H712" i="7"/>
  <c r="G712" i="7"/>
  <c r="C712" i="7"/>
  <c r="H711" i="7"/>
  <c r="C711" i="7"/>
  <c r="G711" i="7" s="1"/>
  <c r="H710" i="7"/>
  <c r="G710" i="7"/>
  <c r="C710" i="7"/>
  <c r="H709" i="7"/>
  <c r="C709" i="7"/>
  <c r="G709" i="7" s="1"/>
  <c r="C708" i="7"/>
  <c r="G708" i="7" s="1"/>
  <c r="G707" i="7"/>
  <c r="C707" i="7"/>
  <c r="H707" i="7" s="1"/>
  <c r="H706" i="7"/>
  <c r="G706" i="7"/>
  <c r="C706" i="7"/>
  <c r="H705" i="7"/>
  <c r="C705" i="7"/>
  <c r="G705" i="7" s="1"/>
  <c r="G704" i="7"/>
  <c r="C704" i="7"/>
  <c r="H704" i="7" s="1"/>
  <c r="H703" i="7"/>
  <c r="C703" i="7"/>
  <c r="G703" i="7" s="1"/>
  <c r="H702" i="7"/>
  <c r="G702" i="7"/>
  <c r="C702" i="7"/>
  <c r="H701" i="7"/>
  <c r="C701" i="7"/>
  <c r="G701" i="7" s="1"/>
  <c r="C700" i="7"/>
  <c r="H699" i="7"/>
  <c r="G699" i="7"/>
  <c r="C699" i="7"/>
  <c r="H698" i="7"/>
  <c r="G698" i="7"/>
  <c r="C698" i="7"/>
  <c r="C697" i="7"/>
  <c r="G697" i="7" s="1"/>
  <c r="H696" i="7"/>
  <c r="G696" i="7"/>
  <c r="C696" i="7"/>
  <c r="H695" i="7"/>
  <c r="C695" i="7"/>
  <c r="G695" i="7" s="1"/>
  <c r="H694" i="7"/>
  <c r="G694" i="7"/>
  <c r="C694" i="7"/>
  <c r="C693" i="7"/>
  <c r="G693" i="7" s="1"/>
  <c r="C692" i="7"/>
  <c r="H692" i="7" s="1"/>
  <c r="G691" i="7"/>
  <c r="C691" i="7"/>
  <c r="H691" i="7" s="1"/>
  <c r="H690" i="7"/>
  <c r="G690" i="7"/>
  <c r="C690" i="7"/>
  <c r="C689" i="7"/>
  <c r="H688" i="7"/>
  <c r="C688" i="7"/>
  <c r="G688" i="7" s="1"/>
  <c r="H687" i="7"/>
  <c r="C687" i="7"/>
  <c r="G687" i="7" s="1"/>
  <c r="H686" i="7"/>
  <c r="G686" i="7"/>
  <c r="C686" i="7"/>
  <c r="H685" i="7"/>
  <c r="C685" i="7"/>
  <c r="G685" i="7" s="1"/>
  <c r="C684" i="7"/>
  <c r="H683" i="7"/>
  <c r="G683" i="7"/>
  <c r="C683" i="7"/>
  <c r="H682" i="7"/>
  <c r="G682" i="7"/>
  <c r="C682" i="7"/>
  <c r="C681" i="7"/>
  <c r="G680" i="7"/>
  <c r="C680" i="7"/>
  <c r="H680" i="7" s="1"/>
  <c r="C679" i="7"/>
  <c r="H678" i="7"/>
  <c r="G678" i="7"/>
  <c r="C678" i="7"/>
  <c r="H677" i="7"/>
  <c r="C677" i="7"/>
  <c r="G677" i="7" s="1"/>
  <c r="H676" i="7"/>
  <c r="C676" i="7"/>
  <c r="G676" i="7" s="1"/>
  <c r="H675" i="7"/>
  <c r="C675" i="7"/>
  <c r="G675" i="7" s="1"/>
  <c r="H674" i="7"/>
  <c r="G674" i="7"/>
  <c r="C674" i="7"/>
  <c r="C673" i="7"/>
  <c r="G672" i="7"/>
  <c r="C672" i="7"/>
  <c r="H672" i="7" s="1"/>
  <c r="H671" i="7"/>
  <c r="G671" i="7"/>
  <c r="C671" i="7"/>
  <c r="H670" i="7"/>
  <c r="G670" i="7"/>
  <c r="C670" i="7"/>
  <c r="H669" i="7"/>
  <c r="C669" i="7"/>
  <c r="G669" i="7" s="1"/>
  <c r="C668" i="7"/>
  <c r="G668" i="7" s="1"/>
  <c r="C667" i="7"/>
  <c r="H667" i="7" s="1"/>
  <c r="H666" i="7"/>
  <c r="G666" i="7"/>
  <c r="C666" i="7"/>
  <c r="C665" i="7"/>
  <c r="H664" i="7"/>
  <c r="G664" i="7"/>
  <c r="C664" i="7"/>
  <c r="H663" i="7"/>
  <c r="C663" i="7"/>
  <c r="G663" i="7" s="1"/>
  <c r="H662" i="7"/>
  <c r="G662" i="7"/>
  <c r="C662" i="7"/>
  <c r="H661" i="7"/>
  <c r="C661" i="7"/>
  <c r="G661" i="7" s="1"/>
  <c r="C660" i="7"/>
  <c r="G659" i="7"/>
  <c r="C659" i="7"/>
  <c r="H659" i="7" s="1"/>
  <c r="H658" i="7"/>
  <c r="G658" i="7"/>
  <c r="C658" i="7"/>
  <c r="C657" i="7"/>
  <c r="G656" i="7"/>
  <c r="C656" i="7"/>
  <c r="H656" i="7" s="1"/>
  <c r="H655" i="7"/>
  <c r="C655" i="7"/>
  <c r="G655" i="7" s="1"/>
  <c r="H654" i="7"/>
  <c r="G654" i="7"/>
  <c r="C654" i="7"/>
  <c r="C653" i="7"/>
  <c r="C652" i="7"/>
  <c r="G652" i="7" s="1"/>
  <c r="H651" i="7"/>
  <c r="G651" i="7"/>
  <c r="C651" i="7"/>
  <c r="H650" i="7"/>
  <c r="G650" i="7"/>
  <c r="C650" i="7"/>
  <c r="C649" i="7"/>
  <c r="G649" i="7" s="1"/>
  <c r="H648" i="7"/>
  <c r="G648" i="7"/>
  <c r="C648" i="7"/>
  <c r="C647" i="7"/>
  <c r="H646" i="7"/>
  <c r="G646" i="7"/>
  <c r="C646" i="7"/>
  <c r="C645" i="7"/>
  <c r="H644" i="7"/>
  <c r="G644" i="7"/>
  <c r="C644" i="7"/>
  <c r="G643" i="7"/>
  <c r="C643" i="7"/>
  <c r="H643" i="7" s="1"/>
  <c r="H642" i="7"/>
  <c r="G642" i="7"/>
  <c r="C642" i="7"/>
  <c r="C641" i="7"/>
  <c r="C640" i="7"/>
  <c r="G640" i="7" s="1"/>
  <c r="C639" i="7"/>
  <c r="G639" i="7" s="1"/>
  <c r="H638" i="7"/>
  <c r="G638" i="7"/>
  <c r="C638" i="7"/>
  <c r="H637" i="7"/>
  <c r="C637" i="7"/>
  <c r="G637" i="7" s="1"/>
  <c r="H636" i="7"/>
  <c r="G636" i="7"/>
  <c r="C636" i="7"/>
  <c r="H635" i="7"/>
  <c r="G635" i="7"/>
  <c r="C635" i="7"/>
  <c r="H634" i="7"/>
  <c r="G634" i="7"/>
  <c r="C634" i="7"/>
  <c r="C633" i="7"/>
  <c r="C632" i="7"/>
  <c r="G631" i="7"/>
  <c r="C631" i="7"/>
  <c r="H631" i="7" s="1"/>
  <c r="H630" i="7"/>
  <c r="G630" i="7"/>
  <c r="C630" i="7"/>
  <c r="H629" i="7"/>
  <c r="C629" i="7"/>
  <c r="G629" i="7" s="1"/>
  <c r="H628" i="7"/>
  <c r="C628" i="7"/>
  <c r="G628" i="7" s="1"/>
  <c r="C627" i="7"/>
  <c r="H627" i="7" s="1"/>
  <c r="H626" i="7"/>
  <c r="G626" i="7"/>
  <c r="C626" i="7"/>
  <c r="C625" i="7"/>
  <c r="G624" i="7"/>
  <c r="C624" i="7"/>
  <c r="H624" i="7" s="1"/>
  <c r="G623" i="7"/>
  <c r="C623" i="7"/>
  <c r="H623" i="7" s="1"/>
  <c r="H622" i="7"/>
  <c r="G622" i="7"/>
  <c r="C622" i="7"/>
  <c r="H621" i="7"/>
  <c r="C621" i="7"/>
  <c r="G621" i="7" s="1"/>
  <c r="C620" i="7"/>
  <c r="C619" i="7"/>
  <c r="H619" i="7" s="1"/>
  <c r="H618" i="7"/>
  <c r="G618" i="7"/>
  <c r="C618" i="7"/>
  <c r="C617" i="7"/>
  <c r="H616" i="7"/>
  <c r="G616" i="7"/>
  <c r="C616" i="7"/>
  <c r="H615" i="7"/>
  <c r="C615" i="7"/>
  <c r="G615" i="7" s="1"/>
  <c r="H614" i="7"/>
  <c r="G614" i="7"/>
  <c r="C614" i="7"/>
  <c r="H613" i="7"/>
  <c r="C613" i="7"/>
  <c r="G613" i="7" s="1"/>
  <c r="C612" i="7"/>
  <c r="G611" i="7"/>
  <c r="C611" i="7"/>
  <c r="H611" i="7" s="1"/>
  <c r="H610" i="7"/>
  <c r="G610" i="7"/>
  <c r="C610" i="7"/>
  <c r="H609" i="7"/>
  <c r="C609" i="7"/>
  <c r="G609" i="7" s="1"/>
  <c r="H608" i="7"/>
  <c r="G608" i="7"/>
  <c r="C608" i="7"/>
  <c r="C607" i="7"/>
  <c r="H606" i="7"/>
  <c r="G606" i="7"/>
  <c r="C606" i="7"/>
  <c r="H605" i="7"/>
  <c r="C605" i="7"/>
  <c r="G605" i="7" s="1"/>
  <c r="H604" i="7"/>
  <c r="C604" i="7"/>
  <c r="G604" i="7" s="1"/>
  <c r="H603" i="7"/>
  <c r="G603" i="7"/>
  <c r="C603" i="7"/>
  <c r="H602" i="7"/>
  <c r="G602" i="7"/>
  <c r="C602" i="7"/>
  <c r="H601" i="7"/>
  <c r="C601" i="7"/>
  <c r="G601" i="7" s="1"/>
  <c r="H600" i="7"/>
  <c r="G600" i="7"/>
  <c r="C600" i="7"/>
  <c r="C599" i="7"/>
  <c r="G599" i="7" s="1"/>
  <c r="H598" i="7"/>
  <c r="G598" i="7"/>
  <c r="C598" i="7"/>
  <c r="H597" i="7"/>
  <c r="C597" i="7"/>
  <c r="G597" i="7" s="1"/>
  <c r="H596" i="7"/>
  <c r="G596" i="7"/>
  <c r="C596" i="7"/>
  <c r="H595" i="7"/>
  <c r="G595" i="7"/>
  <c r="C595" i="7"/>
  <c r="H594" i="7"/>
  <c r="G594" i="7"/>
  <c r="C594" i="7"/>
  <c r="C593" i="7"/>
  <c r="C592" i="7"/>
  <c r="H592" i="7" s="1"/>
  <c r="H591" i="7"/>
  <c r="C591" i="7"/>
  <c r="G591" i="7" s="1"/>
  <c r="H590" i="7"/>
  <c r="G590" i="7"/>
  <c r="C590" i="7"/>
  <c r="H589" i="7"/>
  <c r="C589" i="7"/>
  <c r="G589" i="7" s="1"/>
  <c r="C588" i="7"/>
  <c r="G588" i="7" s="1"/>
  <c r="H587" i="7"/>
  <c r="G587" i="7"/>
  <c r="C587" i="7"/>
  <c r="H586" i="7"/>
  <c r="G586" i="7"/>
  <c r="C586" i="7"/>
  <c r="C585" i="7"/>
  <c r="G584" i="7"/>
  <c r="C584" i="7"/>
  <c r="H584" i="7" s="1"/>
  <c r="H583" i="7"/>
  <c r="C583" i="7"/>
  <c r="G583" i="7" s="1"/>
  <c r="H582" i="7"/>
  <c r="G582" i="7"/>
  <c r="C582" i="7"/>
  <c r="H581" i="7"/>
  <c r="C581" i="7"/>
  <c r="G581" i="7" s="1"/>
  <c r="H580" i="7"/>
  <c r="C580" i="7"/>
  <c r="G580" i="7" s="1"/>
  <c r="C579" i="7"/>
  <c r="G579" i="7" s="1"/>
  <c r="H578" i="7"/>
  <c r="G578" i="7"/>
  <c r="C578" i="7"/>
  <c r="C577" i="7"/>
  <c r="G576" i="7"/>
  <c r="C576" i="7"/>
  <c r="H576" i="7" s="1"/>
  <c r="G575" i="7"/>
  <c r="C575" i="7"/>
  <c r="H575" i="7" s="1"/>
  <c r="H574" i="7"/>
  <c r="G574" i="7"/>
  <c r="C574" i="7"/>
  <c r="H573" i="7"/>
  <c r="C573" i="7"/>
  <c r="G573" i="7" s="1"/>
  <c r="H572" i="7"/>
  <c r="C572" i="7"/>
  <c r="G572" i="7" s="1"/>
  <c r="G571" i="7"/>
  <c r="C571" i="7"/>
  <c r="H571" i="7" s="1"/>
  <c r="H570" i="7"/>
  <c r="G570" i="7"/>
  <c r="C570" i="7"/>
  <c r="C569" i="7"/>
  <c r="H568" i="7"/>
  <c r="G568" i="7"/>
  <c r="C568" i="7"/>
  <c r="C567" i="7"/>
  <c r="H566" i="7"/>
  <c r="G566" i="7"/>
  <c r="C566" i="7"/>
  <c r="H565" i="7"/>
  <c r="C565" i="7"/>
  <c r="G565" i="7" s="1"/>
  <c r="C564" i="7"/>
  <c r="G563" i="7"/>
  <c r="C563" i="7"/>
  <c r="H563" i="7" s="1"/>
  <c r="H562" i="7"/>
  <c r="G562" i="7"/>
  <c r="C562" i="7"/>
  <c r="C561" i="7"/>
  <c r="G561" i="7" s="1"/>
  <c r="H560" i="7"/>
  <c r="G560" i="7"/>
  <c r="C560" i="7"/>
  <c r="C559" i="7"/>
  <c r="H558" i="7"/>
  <c r="G558" i="7"/>
  <c r="C558" i="7"/>
  <c r="C557" i="7"/>
  <c r="G557" i="7" s="1"/>
  <c r="C556" i="7"/>
  <c r="H555" i="7"/>
  <c r="G555" i="7"/>
  <c r="C555" i="7"/>
  <c r="H554" i="7"/>
  <c r="G554" i="7"/>
  <c r="C554" i="7"/>
  <c r="H553" i="7"/>
  <c r="C553" i="7"/>
  <c r="G553" i="7" s="1"/>
  <c r="H552" i="7"/>
  <c r="G552" i="7"/>
  <c r="C552" i="7"/>
  <c r="C551" i="7"/>
  <c r="G551" i="7" s="1"/>
  <c r="H550" i="7"/>
  <c r="G550" i="7"/>
  <c r="C550" i="7"/>
  <c r="H549" i="7"/>
  <c r="C549" i="7"/>
  <c r="G549" i="7" s="1"/>
  <c r="H548" i="7"/>
  <c r="C548" i="7"/>
  <c r="G548" i="7" s="1"/>
  <c r="H547" i="7"/>
  <c r="G547" i="7"/>
  <c r="C547" i="7"/>
  <c r="H546" i="7"/>
  <c r="G546" i="7"/>
  <c r="C546" i="7"/>
  <c r="C545" i="7"/>
  <c r="C544" i="7"/>
  <c r="G544" i="7" s="1"/>
  <c r="C543" i="7"/>
  <c r="H542" i="7"/>
  <c r="G542" i="7"/>
  <c r="C542" i="7"/>
  <c r="H541" i="7"/>
  <c r="C541" i="7"/>
  <c r="G541" i="7" s="1"/>
  <c r="C540" i="7"/>
  <c r="G540" i="7" s="1"/>
  <c r="H539" i="7"/>
  <c r="G539" i="7"/>
  <c r="C539" i="7"/>
  <c r="H538" i="7"/>
  <c r="G538" i="7"/>
  <c r="C538" i="7"/>
  <c r="C537" i="7"/>
  <c r="G536" i="7"/>
  <c r="C536" i="7"/>
  <c r="H536" i="7" s="1"/>
  <c r="C535" i="7"/>
  <c r="H534" i="7"/>
  <c r="G534" i="7"/>
  <c r="C534" i="7"/>
  <c r="H533" i="7"/>
  <c r="C533" i="7"/>
  <c r="G533" i="7" s="1"/>
  <c r="H532" i="7"/>
  <c r="C532" i="7"/>
  <c r="G532" i="7" s="1"/>
  <c r="C531" i="7"/>
  <c r="G531" i="7" s="1"/>
  <c r="H530" i="7"/>
  <c r="G530" i="7"/>
  <c r="C530" i="7"/>
  <c r="C529" i="7"/>
  <c r="G528" i="7"/>
  <c r="C528" i="7"/>
  <c r="H528" i="7" s="1"/>
  <c r="G527" i="7"/>
  <c r="C527" i="7"/>
  <c r="H527" i="7" s="1"/>
  <c r="H526" i="7"/>
  <c r="G526" i="7"/>
  <c r="C526" i="7"/>
  <c r="H525" i="7"/>
  <c r="C525" i="7"/>
  <c r="G525" i="7" s="1"/>
  <c r="C524" i="7"/>
  <c r="C523" i="7"/>
  <c r="H522" i="7"/>
  <c r="G522" i="7"/>
  <c r="C522" i="7"/>
  <c r="C521" i="7"/>
  <c r="H520" i="7"/>
  <c r="G520" i="7"/>
  <c r="C520" i="7"/>
  <c r="H519" i="7"/>
  <c r="C519" i="7"/>
  <c r="G519" i="7" s="1"/>
  <c r="H518" i="7"/>
  <c r="G518" i="7"/>
  <c r="C518" i="7"/>
  <c r="H517" i="7"/>
  <c r="C517" i="7"/>
  <c r="G517" i="7" s="1"/>
  <c r="C516" i="7"/>
  <c r="G516" i="7" s="1"/>
  <c r="G515" i="7"/>
  <c r="C515" i="7"/>
  <c r="H515" i="7" s="1"/>
  <c r="H514" i="7"/>
  <c r="G514" i="7"/>
  <c r="C514" i="7"/>
  <c r="H513" i="7"/>
  <c r="C513" i="7"/>
  <c r="G513" i="7" s="1"/>
  <c r="H512" i="7"/>
  <c r="G512" i="7"/>
  <c r="C512" i="7"/>
  <c r="C511" i="7"/>
  <c r="G511" i="7" s="1"/>
  <c r="H510" i="7"/>
  <c r="G510" i="7"/>
  <c r="C510" i="7"/>
  <c r="H509" i="7"/>
  <c r="C509" i="7"/>
  <c r="G509" i="7" s="1"/>
  <c r="H508" i="7"/>
  <c r="C508" i="7"/>
  <c r="G508" i="7" s="1"/>
  <c r="H507" i="7"/>
  <c r="G507" i="7"/>
  <c r="C507" i="7"/>
  <c r="H506" i="7"/>
  <c r="G506" i="7"/>
  <c r="C506" i="7"/>
  <c r="H505" i="7"/>
  <c r="C505" i="7"/>
  <c r="G505" i="7" s="1"/>
  <c r="H504" i="7"/>
  <c r="G504" i="7"/>
  <c r="C504" i="7"/>
  <c r="C503" i="7"/>
  <c r="H502" i="7"/>
  <c r="G502" i="7"/>
  <c r="C502" i="7"/>
  <c r="H501" i="7"/>
  <c r="C501" i="7"/>
  <c r="G501" i="7" s="1"/>
  <c r="H500" i="7"/>
  <c r="C500" i="7"/>
  <c r="G500" i="7" s="1"/>
  <c r="H499" i="7"/>
  <c r="G499" i="7"/>
  <c r="C499" i="7"/>
  <c r="H498" i="7"/>
  <c r="G498" i="7"/>
  <c r="C498" i="7"/>
  <c r="C497" i="7"/>
  <c r="H496" i="7"/>
  <c r="C496" i="7"/>
  <c r="G496" i="7" s="1"/>
  <c r="C495" i="7"/>
  <c r="H494" i="7"/>
  <c r="G494" i="7"/>
  <c r="C494" i="7"/>
  <c r="H493" i="7"/>
  <c r="C493" i="7"/>
  <c r="G493" i="7" s="1"/>
  <c r="C492" i="7"/>
  <c r="H492" i="7" s="1"/>
  <c r="G491" i="7"/>
  <c r="C491" i="7"/>
  <c r="H491" i="7" s="1"/>
  <c r="H490" i="7"/>
  <c r="G490" i="7"/>
  <c r="C490" i="7"/>
  <c r="C489" i="7"/>
  <c r="C488" i="7"/>
  <c r="H488" i="7" s="1"/>
  <c r="C487" i="7"/>
  <c r="H486" i="7"/>
  <c r="G486" i="7"/>
  <c r="C486" i="7"/>
  <c r="H485" i="7"/>
  <c r="C485" i="7"/>
  <c r="G485" i="7" s="1"/>
  <c r="H484" i="7"/>
  <c r="C484" i="7"/>
  <c r="G484" i="7" s="1"/>
  <c r="C483" i="7"/>
  <c r="H483" i="7" s="1"/>
  <c r="H482" i="7"/>
  <c r="G482" i="7"/>
  <c r="C482" i="7"/>
  <c r="H481" i="7"/>
  <c r="C481" i="7"/>
  <c r="G481" i="7" s="1"/>
  <c r="G480" i="7"/>
  <c r="C480" i="7"/>
  <c r="H480" i="7" s="1"/>
  <c r="H479" i="7"/>
  <c r="C479" i="7"/>
  <c r="G479" i="7" s="1"/>
  <c r="H478" i="7"/>
  <c r="G478" i="7"/>
  <c r="C478" i="7"/>
  <c r="H477" i="7"/>
  <c r="C477" i="7"/>
  <c r="G477" i="7" s="1"/>
  <c r="H476" i="7"/>
  <c r="C476" i="7"/>
  <c r="G476" i="7" s="1"/>
  <c r="G475" i="7"/>
  <c r="C475" i="7"/>
  <c r="H475" i="7" s="1"/>
  <c r="H474" i="7"/>
  <c r="G474" i="7"/>
  <c r="C474" i="7"/>
  <c r="C473" i="7"/>
  <c r="G473" i="7" s="1"/>
  <c r="H472" i="7"/>
  <c r="G472" i="7"/>
  <c r="C472" i="7"/>
  <c r="H471" i="7"/>
  <c r="C471" i="7"/>
  <c r="G471" i="7" s="1"/>
  <c r="H470" i="7"/>
  <c r="G470" i="7"/>
  <c r="C470" i="7"/>
  <c r="C469" i="7"/>
  <c r="C468" i="7"/>
  <c r="H468" i="7" s="1"/>
  <c r="G467" i="7"/>
  <c r="C467" i="7"/>
  <c r="H467" i="7" s="1"/>
  <c r="H466" i="7"/>
  <c r="G466" i="7"/>
  <c r="C466" i="7"/>
  <c r="C465" i="7"/>
  <c r="C464" i="7"/>
  <c r="H464" i="7" s="1"/>
  <c r="H463" i="7"/>
  <c r="C463" i="7"/>
  <c r="G463" i="7" s="1"/>
  <c r="H462" i="7"/>
  <c r="G462" i="7"/>
  <c r="C462" i="7"/>
  <c r="C461" i="7"/>
  <c r="G460" i="7"/>
  <c r="C460" i="7"/>
  <c r="H460" i="7" s="1"/>
  <c r="H459" i="7"/>
  <c r="G459" i="7"/>
  <c r="C459" i="7"/>
  <c r="H458" i="7"/>
  <c r="G458" i="7"/>
  <c r="C458" i="7"/>
  <c r="H457" i="7"/>
  <c r="C457" i="7"/>
  <c r="G457" i="7" s="1"/>
  <c r="C456" i="7"/>
  <c r="G456" i="7" s="1"/>
  <c r="C455" i="7"/>
  <c r="H455" i="7" s="1"/>
  <c r="H454" i="7"/>
  <c r="G454" i="7"/>
  <c r="C454" i="7"/>
  <c r="C453" i="7"/>
  <c r="H452" i="7"/>
  <c r="G452" i="7"/>
  <c r="C452" i="7"/>
  <c r="C451" i="7"/>
  <c r="G451" i="7" s="1"/>
  <c r="H450" i="7"/>
  <c r="G450" i="7"/>
  <c r="C450" i="7"/>
  <c r="G449" i="7"/>
  <c r="C449" i="7"/>
  <c r="H449" i="7" s="1"/>
  <c r="G448" i="7"/>
  <c r="C448" i="7"/>
  <c r="H448" i="7" s="1"/>
  <c r="G447" i="7"/>
  <c r="C447" i="7"/>
  <c r="H447" i="7" s="1"/>
  <c r="H446" i="7"/>
  <c r="G446" i="7"/>
  <c r="C446" i="7"/>
  <c r="C445" i="7"/>
  <c r="H445" i="7" s="1"/>
  <c r="G444" i="7"/>
  <c r="C444" i="7"/>
  <c r="H444" i="7" s="1"/>
  <c r="C443" i="7"/>
  <c r="G443" i="7" s="1"/>
  <c r="H442" i="7"/>
  <c r="G442" i="7"/>
  <c r="C442" i="7"/>
  <c r="C441" i="7"/>
  <c r="H441" i="7" s="1"/>
  <c r="C440" i="7"/>
  <c r="H439" i="7"/>
  <c r="G439" i="7"/>
  <c r="C439" i="7"/>
  <c r="H438" i="7"/>
  <c r="G438" i="7"/>
  <c r="C438" i="7"/>
  <c r="G437" i="7"/>
  <c r="C437" i="7"/>
  <c r="H437" i="7" s="1"/>
  <c r="H436" i="7"/>
  <c r="G436" i="7"/>
  <c r="C436" i="7"/>
  <c r="G435" i="7"/>
  <c r="C435" i="7"/>
  <c r="H435" i="7" s="1"/>
  <c r="H434" i="7"/>
  <c r="G434" i="7"/>
  <c r="C434" i="7"/>
  <c r="G433" i="7"/>
  <c r="C433" i="7"/>
  <c r="H433" i="7" s="1"/>
  <c r="C432" i="7"/>
  <c r="H432" i="7" s="1"/>
  <c r="C431" i="7"/>
  <c r="H430" i="7"/>
  <c r="G430" i="7"/>
  <c r="C430" i="7"/>
  <c r="C429" i="7"/>
  <c r="H428" i="7"/>
  <c r="G428" i="7"/>
  <c r="C428" i="7"/>
  <c r="C427" i="7"/>
  <c r="G427" i="7" s="1"/>
  <c r="H426" i="7"/>
  <c r="G426" i="7"/>
  <c r="C426" i="7"/>
  <c r="G425" i="7"/>
  <c r="C425" i="7"/>
  <c r="H425" i="7" s="1"/>
  <c r="C424" i="7"/>
  <c r="H424" i="7" s="1"/>
  <c r="H423" i="7"/>
  <c r="G423" i="7"/>
  <c r="C423" i="7"/>
  <c r="H422" i="7"/>
  <c r="G422" i="7"/>
  <c r="C422" i="7"/>
  <c r="C421" i="7"/>
  <c r="C420" i="7"/>
  <c r="H420" i="7" s="1"/>
  <c r="C419" i="7"/>
  <c r="H419" i="7" s="1"/>
  <c r="H418" i="7"/>
  <c r="G418" i="7"/>
  <c r="C418" i="7"/>
  <c r="G417" i="7"/>
  <c r="C417" i="7"/>
  <c r="H417" i="7" s="1"/>
  <c r="C416" i="7"/>
  <c r="H415" i="7"/>
  <c r="G415" i="7"/>
  <c r="C415" i="7"/>
  <c r="H414" i="7"/>
  <c r="G414" i="7"/>
  <c r="C414" i="7"/>
  <c r="G413" i="7"/>
  <c r="C413" i="7"/>
  <c r="H413" i="7" s="1"/>
  <c r="G412" i="7"/>
  <c r="C412" i="7"/>
  <c r="H412" i="7" s="1"/>
  <c r="G411" i="7"/>
  <c r="C411" i="7"/>
  <c r="H411" i="7" s="1"/>
  <c r="H410" i="7"/>
  <c r="G410" i="7"/>
  <c r="C410" i="7"/>
  <c r="G409" i="7"/>
  <c r="C409" i="7"/>
  <c r="H409" i="7" s="1"/>
  <c r="H408" i="7"/>
  <c r="C408" i="7"/>
  <c r="G408" i="7" s="1"/>
  <c r="G407" i="7"/>
  <c r="C407" i="7"/>
  <c r="H407" i="7" s="1"/>
  <c r="H406" i="7"/>
  <c r="G406" i="7"/>
  <c r="C406" i="7"/>
  <c r="C405" i="7"/>
  <c r="H404" i="7"/>
  <c r="G404" i="7"/>
  <c r="C404" i="7"/>
  <c r="H403" i="7"/>
  <c r="C403" i="7"/>
  <c r="G403" i="7" s="1"/>
  <c r="H402" i="7"/>
  <c r="G402" i="7"/>
  <c r="C402" i="7"/>
  <c r="G401" i="7"/>
  <c r="C401" i="7"/>
  <c r="H401" i="7" s="1"/>
  <c r="H400" i="7"/>
  <c r="G400" i="7"/>
  <c r="C400" i="7"/>
  <c r="G399" i="7"/>
  <c r="C399" i="7"/>
  <c r="H399" i="7" s="1"/>
  <c r="H398" i="7"/>
  <c r="G398" i="7"/>
  <c r="C398" i="7"/>
  <c r="G397" i="7"/>
  <c r="C397" i="7"/>
  <c r="H397" i="7" s="1"/>
  <c r="C396" i="7"/>
  <c r="H395" i="7"/>
  <c r="C395" i="7"/>
  <c r="G395" i="7" s="1"/>
  <c r="H394" i="7"/>
  <c r="G394" i="7"/>
  <c r="C394" i="7"/>
  <c r="G393" i="7"/>
  <c r="C393" i="7"/>
  <c r="H393" i="7" s="1"/>
  <c r="C392" i="7"/>
  <c r="G392" i="7" s="1"/>
  <c r="H391" i="7"/>
  <c r="G391" i="7"/>
  <c r="C391" i="7"/>
  <c r="H390" i="7"/>
  <c r="G390" i="7"/>
  <c r="C390" i="7"/>
  <c r="C389" i="7"/>
  <c r="H389" i="7" s="1"/>
  <c r="H388" i="7"/>
  <c r="G388" i="7"/>
  <c r="C388" i="7"/>
  <c r="C387" i="7"/>
  <c r="H387" i="7" s="1"/>
  <c r="H386" i="7"/>
  <c r="G386" i="7"/>
  <c r="C386" i="7"/>
  <c r="G385" i="7"/>
  <c r="C385" i="7"/>
  <c r="H385" i="7" s="1"/>
  <c r="H384" i="7"/>
  <c r="G384" i="7"/>
  <c r="C384" i="7"/>
  <c r="C383" i="7"/>
  <c r="H383" i="7" s="1"/>
  <c r="H382" i="7"/>
  <c r="G382" i="7"/>
  <c r="C382" i="7"/>
  <c r="C381" i="7"/>
  <c r="H380" i="7"/>
  <c r="G380" i="7"/>
  <c r="C380" i="7"/>
  <c r="H379" i="7"/>
  <c r="C379" i="7"/>
  <c r="G379" i="7" s="1"/>
  <c r="H378" i="7"/>
  <c r="G378" i="7"/>
  <c r="C378" i="7"/>
  <c r="G377" i="7"/>
  <c r="C377" i="7"/>
  <c r="H377" i="7" s="1"/>
  <c r="C376" i="7"/>
  <c r="G376" i="7" s="1"/>
  <c r="H375" i="7"/>
  <c r="G375" i="7"/>
  <c r="C375" i="7"/>
  <c r="H374" i="7"/>
  <c r="G374" i="7"/>
  <c r="C374" i="7"/>
  <c r="C373" i="7"/>
  <c r="C372" i="7"/>
  <c r="H372" i="7" s="1"/>
  <c r="H371" i="7"/>
  <c r="G371" i="7"/>
  <c r="C371" i="7"/>
  <c r="H370" i="7"/>
  <c r="G370" i="7"/>
  <c r="C370" i="7"/>
  <c r="G369" i="7"/>
  <c r="C369" i="7"/>
  <c r="H369" i="7" s="1"/>
  <c r="C368" i="7"/>
  <c r="G368" i="7" s="1"/>
  <c r="C367" i="7"/>
  <c r="H366" i="7"/>
  <c r="G366" i="7"/>
  <c r="C366" i="7"/>
  <c r="C365" i="7"/>
  <c r="H365" i="7" s="1"/>
  <c r="G364" i="7"/>
  <c r="C364" i="7"/>
  <c r="H364" i="7" s="1"/>
  <c r="G363" i="7"/>
  <c r="C363" i="7"/>
  <c r="H363" i="7" s="1"/>
  <c r="H362" i="7"/>
  <c r="G362" i="7"/>
  <c r="C362" i="7"/>
  <c r="G361" i="7"/>
  <c r="C361" i="7"/>
  <c r="H361" i="7" s="1"/>
  <c r="C360" i="7"/>
  <c r="G360" i="7" s="1"/>
  <c r="G359" i="7"/>
  <c r="C359" i="7"/>
  <c r="H359" i="7" s="1"/>
  <c r="H358" i="7"/>
  <c r="G358" i="7"/>
  <c r="C358" i="7"/>
  <c r="C357" i="7"/>
  <c r="H356" i="7"/>
  <c r="G356" i="7"/>
  <c r="C356" i="7"/>
  <c r="H355" i="7"/>
  <c r="C355" i="7"/>
  <c r="G355" i="7" s="1"/>
  <c r="H354" i="7"/>
  <c r="G354" i="7"/>
  <c r="C354" i="7"/>
  <c r="G353" i="7"/>
  <c r="C353" i="7"/>
  <c r="H353" i="7" s="1"/>
  <c r="C352" i="7"/>
  <c r="G351" i="7"/>
  <c r="C351" i="7"/>
  <c r="H351" i="7" s="1"/>
  <c r="H350" i="7"/>
  <c r="G350" i="7"/>
  <c r="C350" i="7"/>
  <c r="G349" i="7"/>
  <c r="C349" i="7"/>
  <c r="H349" i="7" s="1"/>
  <c r="C348" i="7"/>
  <c r="H348" i="7" s="1"/>
  <c r="C347" i="7"/>
  <c r="G347" i="7" s="1"/>
  <c r="H346" i="7"/>
  <c r="G346" i="7"/>
  <c r="C346" i="7"/>
  <c r="G345" i="7"/>
  <c r="C345" i="7"/>
  <c r="H345" i="7" s="1"/>
  <c r="H344" i="7"/>
  <c r="C344" i="7"/>
  <c r="G344" i="7" s="1"/>
  <c r="H343" i="7"/>
  <c r="G343" i="7"/>
  <c r="C343" i="7"/>
  <c r="H342" i="7"/>
  <c r="G342" i="7"/>
  <c r="C342" i="7"/>
  <c r="G341" i="7"/>
  <c r="C341" i="7"/>
  <c r="H341" i="7" s="1"/>
  <c r="H340" i="7"/>
  <c r="G340" i="7"/>
  <c r="C340" i="7"/>
  <c r="H339" i="7"/>
  <c r="G339" i="7"/>
  <c r="C339" i="7"/>
  <c r="H338" i="7"/>
  <c r="G338" i="7"/>
  <c r="C338" i="7"/>
  <c r="C337" i="7"/>
  <c r="H337" i="7" s="1"/>
  <c r="H336" i="7"/>
  <c r="G336" i="7"/>
  <c r="C336" i="7"/>
  <c r="G335" i="7"/>
  <c r="C335" i="7"/>
  <c r="H335" i="7" s="1"/>
  <c r="H334" i="7"/>
  <c r="G334" i="7"/>
  <c r="C334" i="7"/>
  <c r="C333" i="7"/>
  <c r="G332" i="7"/>
  <c r="C332" i="7"/>
  <c r="H332" i="7" s="1"/>
  <c r="H331" i="7"/>
  <c r="C331" i="7"/>
  <c r="G331" i="7" s="1"/>
  <c r="H330" i="7"/>
  <c r="G330" i="7"/>
  <c r="C330" i="7"/>
  <c r="G329" i="7"/>
  <c r="C329" i="7"/>
  <c r="H329" i="7" s="1"/>
  <c r="C328" i="7"/>
  <c r="H328" i="7" s="1"/>
  <c r="H327" i="7"/>
  <c r="G327" i="7"/>
  <c r="C327" i="7"/>
  <c r="H326" i="7"/>
  <c r="G326" i="7"/>
  <c r="C326" i="7"/>
  <c r="C325" i="7"/>
  <c r="G324" i="7"/>
  <c r="C324" i="7"/>
  <c r="H324" i="7" s="1"/>
  <c r="C323" i="7"/>
  <c r="H323" i="7" s="1"/>
  <c r="H322" i="7"/>
  <c r="G322" i="7"/>
  <c r="C322" i="7"/>
  <c r="G321" i="7"/>
  <c r="C321" i="7"/>
  <c r="H321" i="7" s="1"/>
  <c r="H320" i="7"/>
  <c r="C320" i="7"/>
  <c r="G320" i="7" s="1"/>
  <c r="C319" i="7"/>
  <c r="H319" i="7" s="1"/>
  <c r="H318" i="7"/>
  <c r="G318" i="7"/>
  <c r="C318" i="7"/>
  <c r="C317" i="7"/>
  <c r="H317" i="7" s="1"/>
  <c r="G316" i="7"/>
  <c r="C316" i="7"/>
  <c r="H316" i="7" s="1"/>
  <c r="H315" i="7"/>
  <c r="G315" i="7"/>
  <c r="C315" i="7"/>
  <c r="H314" i="7"/>
  <c r="G314" i="7"/>
  <c r="C314" i="7"/>
  <c r="C313" i="7"/>
  <c r="H312" i="7"/>
  <c r="C312" i="7"/>
  <c r="G312" i="7" s="1"/>
  <c r="G311" i="7"/>
  <c r="C311" i="7"/>
  <c r="H311" i="7" s="1"/>
  <c r="H310" i="7"/>
  <c r="G310" i="7"/>
  <c r="C310" i="7"/>
  <c r="C309" i="7"/>
  <c r="H308" i="7"/>
  <c r="G308" i="7"/>
  <c r="C308" i="7"/>
  <c r="H307" i="7"/>
  <c r="C307" i="7"/>
  <c r="G307" i="7" s="1"/>
  <c r="H306" i="7"/>
  <c r="G306" i="7"/>
  <c r="C306" i="7"/>
  <c r="G305" i="7"/>
  <c r="C305" i="7"/>
  <c r="H305" i="7" s="1"/>
  <c r="C304" i="7"/>
  <c r="H304" i="7" s="1"/>
  <c r="G303" i="7"/>
  <c r="C303" i="7"/>
  <c r="H303" i="7" s="1"/>
  <c r="H302" i="7"/>
  <c r="G302" i="7"/>
  <c r="C302" i="7"/>
  <c r="G301" i="7"/>
  <c r="C301" i="7"/>
  <c r="H301" i="7" s="1"/>
  <c r="G300" i="7"/>
  <c r="C300" i="7"/>
  <c r="H300" i="7" s="1"/>
  <c r="H299" i="7"/>
  <c r="C299" i="7"/>
  <c r="G299" i="7" s="1"/>
  <c r="H298" i="7"/>
  <c r="G298" i="7"/>
  <c r="C298" i="7"/>
  <c r="G297" i="7"/>
  <c r="C297" i="7"/>
  <c r="H297" i="7" s="1"/>
  <c r="H296" i="7"/>
  <c r="C296" i="7"/>
  <c r="G296" i="7" s="1"/>
  <c r="H295" i="7"/>
  <c r="G295" i="7"/>
  <c r="C295" i="7"/>
  <c r="H294" i="7"/>
  <c r="G294" i="7"/>
  <c r="C294" i="7"/>
  <c r="C293" i="7"/>
  <c r="H293" i="7" s="1"/>
  <c r="H292" i="7"/>
  <c r="G292" i="7"/>
  <c r="C292" i="7"/>
  <c r="C291" i="7"/>
  <c r="H291" i="7" s="1"/>
  <c r="H290" i="7"/>
  <c r="G290" i="7"/>
  <c r="C290" i="7"/>
  <c r="G289" i="7"/>
  <c r="C289" i="7"/>
  <c r="H289" i="7" s="1"/>
  <c r="C288" i="7"/>
  <c r="H288" i="7" s="1"/>
  <c r="G287" i="7"/>
  <c r="C287" i="7"/>
  <c r="H287" i="7" s="1"/>
  <c r="H286" i="7"/>
  <c r="G286" i="7"/>
  <c r="C286" i="7"/>
  <c r="C285" i="7"/>
  <c r="G284" i="7"/>
  <c r="C284" i="7"/>
  <c r="H284" i="7" s="1"/>
  <c r="C283" i="7"/>
  <c r="H282" i="7"/>
  <c r="G282" i="7"/>
  <c r="C282" i="7"/>
  <c r="G281" i="7"/>
  <c r="C281" i="7"/>
  <c r="H281" i="7" s="1"/>
  <c r="H280" i="7"/>
  <c r="G280" i="7"/>
  <c r="C280" i="7"/>
  <c r="H279" i="7"/>
  <c r="G279" i="7"/>
  <c r="C279" i="7"/>
  <c r="H278" i="7"/>
  <c r="G278" i="7"/>
  <c r="C278" i="7"/>
  <c r="C277" i="7"/>
  <c r="C276" i="7"/>
  <c r="H276" i="7" s="1"/>
  <c r="H275" i="7"/>
  <c r="G275" i="7"/>
  <c r="C275" i="7"/>
  <c r="H274" i="7"/>
  <c r="G274" i="7"/>
  <c r="C274" i="7"/>
  <c r="G273" i="7"/>
  <c r="C273" i="7"/>
  <c r="H273" i="7" s="1"/>
  <c r="H272" i="7"/>
  <c r="C272" i="7"/>
  <c r="G272" i="7" s="1"/>
  <c r="G271" i="7"/>
  <c r="C271" i="7"/>
  <c r="H271" i="7" s="1"/>
  <c r="H270" i="7"/>
  <c r="G270" i="7"/>
  <c r="C270" i="7"/>
  <c r="C269" i="7"/>
  <c r="H269" i="7" s="1"/>
  <c r="G268" i="7"/>
  <c r="C268" i="7"/>
  <c r="H268" i="7" s="1"/>
  <c r="H267" i="7"/>
  <c r="G267" i="7"/>
  <c r="C267" i="7"/>
  <c r="H266" i="7"/>
  <c r="G266" i="7"/>
  <c r="C266" i="7"/>
  <c r="C265" i="7"/>
  <c r="H265" i="7" s="1"/>
  <c r="C264" i="7"/>
  <c r="G264" i="7" s="1"/>
  <c r="C263" i="7"/>
  <c r="H263" i="7" s="1"/>
  <c r="H262" i="7"/>
  <c r="G262" i="7"/>
  <c r="C262" i="7"/>
  <c r="C261" i="7"/>
  <c r="H260" i="7"/>
  <c r="G260" i="7"/>
  <c r="C260" i="7"/>
  <c r="H259" i="7"/>
  <c r="C259" i="7"/>
  <c r="G259" i="7" s="1"/>
  <c r="H258" i="7"/>
  <c r="G258" i="7"/>
  <c r="C258" i="7"/>
  <c r="G257" i="7"/>
  <c r="C257" i="7"/>
  <c r="H257" i="7" s="1"/>
  <c r="G256" i="7"/>
  <c r="C256" i="7"/>
  <c r="H256" i="7" s="1"/>
  <c r="G255" i="7"/>
  <c r="C255" i="7"/>
  <c r="H255" i="7" s="1"/>
  <c r="H254" i="7"/>
  <c r="G254" i="7"/>
  <c r="C254" i="7"/>
  <c r="G253" i="7"/>
  <c r="C253" i="7"/>
  <c r="H253" i="7" s="1"/>
  <c r="G252" i="7"/>
  <c r="C252" i="7"/>
  <c r="H252" i="7" s="1"/>
  <c r="C251" i="7"/>
  <c r="G251" i="7" s="1"/>
  <c r="H250" i="7"/>
  <c r="G250" i="7"/>
  <c r="C250" i="7"/>
  <c r="C249" i="7"/>
  <c r="H249" i="7" s="1"/>
  <c r="C248" i="7"/>
  <c r="H247" i="7"/>
  <c r="G247" i="7"/>
  <c r="C247" i="7"/>
  <c r="H246" i="7"/>
  <c r="G246" i="7"/>
  <c r="C246" i="7"/>
  <c r="G245" i="7"/>
  <c r="C245" i="7"/>
  <c r="H245" i="7" s="1"/>
  <c r="H244" i="7"/>
  <c r="G244" i="7"/>
  <c r="C244" i="7"/>
  <c r="C243" i="7"/>
  <c r="G243" i="7" s="1"/>
  <c r="H242" i="7"/>
  <c r="G242" i="7"/>
  <c r="C242" i="7"/>
  <c r="G241" i="7"/>
  <c r="C241" i="7"/>
  <c r="H241" i="7" s="1"/>
  <c r="C240" i="7"/>
  <c r="H240" i="7" s="1"/>
  <c r="C239" i="7"/>
  <c r="H238" i="7"/>
  <c r="G238" i="7"/>
  <c r="C238" i="7"/>
  <c r="C237" i="7"/>
  <c r="H236" i="7"/>
  <c r="G236" i="7"/>
  <c r="C236" i="7"/>
  <c r="C235" i="7"/>
  <c r="G235" i="7" s="1"/>
  <c r="H234" i="7"/>
  <c r="G234" i="7"/>
  <c r="C234" i="7"/>
  <c r="G233" i="7"/>
  <c r="C233" i="7"/>
  <c r="H233" i="7" s="1"/>
  <c r="C232" i="7"/>
  <c r="H232" i="7" s="1"/>
  <c r="H231" i="7"/>
  <c r="G231" i="7"/>
  <c r="C231" i="7"/>
  <c r="H230" i="7"/>
  <c r="G230" i="7"/>
  <c r="C230" i="7"/>
  <c r="C229" i="7"/>
  <c r="C228" i="7"/>
  <c r="H228" i="7" s="1"/>
  <c r="C227" i="7"/>
  <c r="H227" i="7" s="1"/>
  <c r="H226" i="7"/>
  <c r="G226" i="7"/>
  <c r="C226" i="7"/>
  <c r="G225" i="7"/>
  <c r="C225" i="7"/>
  <c r="H225" i="7" s="1"/>
  <c r="C224" i="7"/>
  <c r="H223" i="7"/>
  <c r="G223" i="7"/>
  <c r="C223" i="7"/>
  <c r="H222" i="7"/>
  <c r="G222" i="7"/>
  <c r="C222" i="7"/>
  <c r="G221" i="7"/>
  <c r="C221" i="7"/>
  <c r="H221" i="7" s="1"/>
  <c r="G220" i="7"/>
  <c r="C220" i="7"/>
  <c r="H220" i="7" s="1"/>
  <c r="G219" i="7"/>
  <c r="C219" i="7"/>
  <c r="H219" i="7" s="1"/>
  <c r="H218" i="7"/>
  <c r="G218" i="7"/>
  <c r="C218" i="7"/>
  <c r="G217" i="7"/>
  <c r="C217" i="7"/>
  <c r="H217" i="7" s="1"/>
  <c r="H216" i="7"/>
  <c r="C216" i="7"/>
  <c r="G216" i="7" s="1"/>
  <c r="C215" i="7"/>
  <c r="H215" i="7" s="1"/>
  <c r="H214" i="7"/>
  <c r="G214" i="7"/>
  <c r="C214" i="7"/>
  <c r="C213" i="7"/>
  <c r="H212" i="7"/>
  <c r="G212" i="7"/>
  <c r="C212" i="7"/>
  <c r="H211" i="7"/>
  <c r="C211" i="7"/>
  <c r="G211" i="7" s="1"/>
  <c r="H210" i="7"/>
  <c r="G210" i="7"/>
  <c r="C210" i="7"/>
  <c r="G209" i="7"/>
  <c r="C209" i="7"/>
  <c r="H209" i="7" s="1"/>
  <c r="H208" i="7"/>
  <c r="G208" i="7"/>
  <c r="C208" i="7"/>
  <c r="G207" i="7"/>
  <c r="C207" i="7"/>
  <c r="H207" i="7" s="1"/>
  <c r="H206" i="7"/>
  <c r="G206" i="7"/>
  <c r="C206" i="7"/>
  <c r="C205" i="7"/>
  <c r="H205" i="7" s="1"/>
  <c r="C204" i="7"/>
  <c r="H203" i="7"/>
  <c r="C203" i="7"/>
  <c r="G203" i="7" s="1"/>
  <c r="H202" i="7"/>
  <c r="G202" i="7"/>
  <c r="C202" i="7"/>
  <c r="G201" i="7"/>
  <c r="C201" i="7"/>
  <c r="H201" i="7" s="1"/>
  <c r="C200" i="7"/>
  <c r="G200" i="7" s="1"/>
  <c r="H199" i="7"/>
  <c r="G199" i="7"/>
  <c r="C199" i="7"/>
  <c r="H198" i="7"/>
  <c r="G198" i="7"/>
  <c r="C198" i="7"/>
  <c r="C197" i="7"/>
  <c r="H197" i="7" s="1"/>
  <c r="H196" i="7"/>
  <c r="G196" i="7"/>
  <c r="C196" i="7"/>
  <c r="C195" i="7"/>
  <c r="H195" i="7" s="1"/>
  <c r="H194" i="7"/>
  <c r="G194" i="7"/>
  <c r="C194" i="7"/>
  <c r="G193" i="7"/>
  <c r="C193" i="7"/>
  <c r="H193" i="7" s="1"/>
  <c r="H192" i="7"/>
  <c r="G192" i="7"/>
  <c r="C192" i="7"/>
  <c r="C191" i="7"/>
  <c r="H191" i="7" s="1"/>
  <c r="H190" i="7"/>
  <c r="G190" i="7"/>
  <c r="C190" i="7"/>
  <c r="C189" i="7"/>
  <c r="H189" i="7" s="1"/>
  <c r="C188" i="7"/>
  <c r="H188" i="7" s="1"/>
  <c r="H187" i="7"/>
  <c r="C187" i="7"/>
  <c r="G187" i="7" s="1"/>
  <c r="H186" i="7"/>
  <c r="G186" i="7"/>
  <c r="C186" i="7"/>
  <c r="C185" i="7"/>
  <c r="H184" i="7"/>
  <c r="G184" i="7"/>
  <c r="C184" i="7"/>
  <c r="H183" i="7"/>
  <c r="G183" i="7"/>
  <c r="C183" i="7"/>
  <c r="H182" i="7"/>
  <c r="G182" i="7"/>
  <c r="C182" i="7"/>
  <c r="C181" i="7"/>
  <c r="G180" i="7"/>
  <c r="C180" i="7"/>
  <c r="H180" i="7" s="1"/>
  <c r="H179" i="7"/>
  <c r="G179" i="7"/>
  <c r="C179" i="7"/>
  <c r="H178" i="7"/>
  <c r="G178" i="7"/>
  <c r="C178" i="7"/>
  <c r="G177" i="7"/>
  <c r="C177" i="7"/>
  <c r="H177" i="7" s="1"/>
  <c r="C176" i="7"/>
  <c r="H175" i="7"/>
  <c r="G175" i="7"/>
  <c r="C175" i="7"/>
  <c r="H174" i="7"/>
  <c r="G174" i="7"/>
  <c r="C174" i="7"/>
  <c r="G173" i="7"/>
  <c r="C173" i="7"/>
  <c r="H173" i="7" s="1"/>
  <c r="G172" i="7"/>
  <c r="C172" i="7"/>
  <c r="H172" i="7" s="1"/>
  <c r="C171" i="7"/>
  <c r="H171" i="7" s="1"/>
  <c r="H170" i="7"/>
  <c r="G170" i="7"/>
  <c r="C170" i="7"/>
  <c r="G169" i="7"/>
  <c r="C169" i="7"/>
  <c r="H169" i="7" s="1"/>
  <c r="H168" i="7"/>
  <c r="C168" i="7"/>
  <c r="G168" i="7" s="1"/>
  <c r="C167" i="7"/>
  <c r="H167" i="7" s="1"/>
  <c r="H166" i="7"/>
  <c r="G166" i="7"/>
  <c r="C166" i="7"/>
  <c r="G165" i="7"/>
  <c r="C165" i="7"/>
  <c r="H165" i="7" s="1"/>
  <c r="H164" i="7"/>
  <c r="G164" i="7"/>
  <c r="C164" i="7"/>
  <c r="G163" i="7"/>
  <c r="C163" i="7"/>
  <c r="H163" i="7" s="1"/>
  <c r="H162" i="7"/>
  <c r="G162" i="7"/>
  <c r="C162" i="7"/>
  <c r="G161" i="7"/>
  <c r="C161" i="7"/>
  <c r="H161" i="7" s="1"/>
  <c r="G160" i="7"/>
  <c r="C160" i="7"/>
  <c r="H160" i="7" s="1"/>
  <c r="G159" i="7"/>
  <c r="C159" i="7"/>
  <c r="H159" i="7" s="1"/>
  <c r="H158" i="7"/>
  <c r="G158" i="7"/>
  <c r="C158" i="7"/>
  <c r="C157" i="7"/>
  <c r="H157" i="7" s="1"/>
  <c r="H156" i="7"/>
  <c r="G156" i="7"/>
  <c r="C156" i="7"/>
  <c r="H155" i="7"/>
  <c r="C155" i="7"/>
  <c r="G155" i="7" s="1"/>
  <c r="H154" i="7"/>
  <c r="G154" i="7"/>
  <c r="C154" i="7"/>
  <c r="C153" i="7"/>
  <c r="H153" i="7" s="1"/>
  <c r="C152" i="7"/>
  <c r="H152" i="7" s="1"/>
  <c r="H151" i="7"/>
  <c r="G151" i="7"/>
  <c r="C151" i="7"/>
  <c r="H150" i="7"/>
  <c r="G150" i="7"/>
  <c r="C150" i="7"/>
  <c r="G149" i="7"/>
  <c r="C149" i="7"/>
  <c r="H149" i="7" s="1"/>
  <c r="G148" i="7"/>
  <c r="C148" i="7"/>
  <c r="H148" i="7" s="1"/>
  <c r="H147" i="7"/>
  <c r="G147" i="7"/>
  <c r="C147" i="7"/>
  <c r="H146" i="7"/>
  <c r="G146" i="7"/>
  <c r="C146" i="7"/>
  <c r="C145" i="7"/>
  <c r="H145" i="7" s="1"/>
  <c r="C144" i="7"/>
  <c r="H143" i="7"/>
  <c r="G143" i="7"/>
  <c r="C143" i="7"/>
  <c r="H142" i="7"/>
  <c r="G142" i="7"/>
  <c r="C142" i="7"/>
  <c r="G141" i="7"/>
  <c r="C141" i="7"/>
  <c r="H141" i="7" s="1"/>
  <c r="C140" i="7"/>
  <c r="H140" i="7" s="1"/>
  <c r="C139" i="7"/>
  <c r="G139" i="7" s="1"/>
  <c r="H138" i="7"/>
  <c r="G138" i="7"/>
  <c r="C138" i="7"/>
  <c r="G137" i="7"/>
  <c r="C137" i="7"/>
  <c r="H137" i="7" s="1"/>
  <c r="G136" i="7"/>
  <c r="C136" i="7"/>
  <c r="H136" i="7" s="1"/>
  <c r="G135" i="7"/>
  <c r="C135" i="7"/>
  <c r="H135" i="7" s="1"/>
  <c r="H134" i="7"/>
  <c r="G134" i="7"/>
  <c r="C134" i="7"/>
  <c r="C133" i="7"/>
  <c r="H132" i="7"/>
  <c r="G132" i="7"/>
  <c r="C132" i="7"/>
  <c r="C131" i="7"/>
  <c r="H131" i="7" s="1"/>
  <c r="H130" i="7"/>
  <c r="G130" i="7"/>
  <c r="C130" i="7"/>
  <c r="G129" i="7"/>
  <c r="C129" i="7"/>
  <c r="H129" i="7" s="1"/>
  <c r="H128" i="7"/>
  <c r="G128" i="7"/>
  <c r="C128" i="7"/>
  <c r="G127" i="7"/>
  <c r="C127" i="7"/>
  <c r="H127" i="7" s="1"/>
  <c r="G126" i="7"/>
  <c r="C126" i="7"/>
  <c r="H126" i="7" s="1"/>
  <c r="G125" i="7"/>
  <c r="C125" i="7"/>
  <c r="H125" i="7" s="1"/>
  <c r="C124" i="7"/>
  <c r="H124" i="7" s="1"/>
  <c r="H123" i="7"/>
  <c r="G123" i="7"/>
  <c r="C123" i="7"/>
  <c r="C122" i="7"/>
  <c r="H122" i="7" s="1"/>
  <c r="G121" i="7"/>
  <c r="C121" i="7"/>
  <c r="H121" i="7" s="1"/>
  <c r="H120" i="7"/>
  <c r="C120" i="7"/>
  <c r="G120" i="7" s="1"/>
  <c r="C119" i="7"/>
  <c r="H119" i="7" s="1"/>
  <c r="H118" i="7"/>
  <c r="C118" i="7"/>
  <c r="G118" i="7" s="1"/>
  <c r="C117" i="7"/>
  <c r="H117" i="7" s="1"/>
  <c r="H116" i="7"/>
  <c r="G116" i="7"/>
  <c r="C116" i="7"/>
  <c r="H115" i="7"/>
  <c r="C115" i="7"/>
  <c r="G115" i="7" s="1"/>
  <c r="H114" i="7"/>
  <c r="G114" i="7"/>
  <c r="C114" i="7"/>
  <c r="G113" i="7"/>
  <c r="C113" i="7"/>
  <c r="H113" i="7" s="1"/>
  <c r="C112" i="7"/>
  <c r="H112" i="7" s="1"/>
  <c r="G111" i="7"/>
  <c r="C111" i="7"/>
  <c r="H111" i="7" s="1"/>
  <c r="C110" i="7"/>
  <c r="H110" i="7" s="1"/>
  <c r="G109" i="7"/>
  <c r="C109" i="7"/>
  <c r="H109" i="7" s="1"/>
  <c r="C108" i="7"/>
  <c r="H108" i="7" s="1"/>
  <c r="H107" i="7"/>
  <c r="C107" i="7"/>
  <c r="G107" i="7" s="1"/>
  <c r="H106" i="7"/>
  <c r="G106" i="7"/>
  <c r="C106" i="7"/>
  <c r="C105" i="7"/>
  <c r="H105" i="7" s="1"/>
  <c r="H104" i="7"/>
  <c r="C104" i="7"/>
  <c r="G104" i="7" s="1"/>
  <c r="H103" i="7"/>
  <c r="G103" i="7"/>
  <c r="C103" i="7"/>
  <c r="G102" i="7"/>
  <c r="C102" i="7"/>
  <c r="H102" i="7" s="1"/>
  <c r="C101" i="7"/>
  <c r="H101" i="7" s="1"/>
  <c r="H100" i="7"/>
  <c r="G100" i="7"/>
  <c r="C100" i="7"/>
  <c r="C99" i="7"/>
  <c r="H99" i="7" s="1"/>
  <c r="G98" i="7"/>
  <c r="C98" i="7"/>
  <c r="H98" i="7" s="1"/>
  <c r="C97" i="7"/>
  <c r="H97" i="7" s="1"/>
  <c r="C96" i="7"/>
  <c r="H96" i="7" s="1"/>
  <c r="H95" i="7"/>
  <c r="C95" i="7"/>
  <c r="G95" i="7" s="1"/>
  <c r="C94" i="7"/>
  <c r="G94" i="7" s="1"/>
  <c r="C93" i="7"/>
  <c r="H93" i="7" s="1"/>
  <c r="H92" i="7"/>
  <c r="G92" i="7"/>
  <c r="C92" i="7"/>
  <c r="H91" i="7"/>
  <c r="G91" i="7"/>
  <c r="C91" i="7"/>
  <c r="H90" i="7"/>
  <c r="G90" i="7"/>
  <c r="C90" i="7"/>
  <c r="C89" i="7"/>
  <c r="C88" i="7"/>
  <c r="H88" i="7" s="1"/>
  <c r="C87" i="7"/>
  <c r="H87" i="7" s="1"/>
  <c r="H86" i="7"/>
  <c r="C86" i="7"/>
  <c r="G86" i="7" s="1"/>
  <c r="C85" i="7"/>
  <c r="G84" i="7"/>
  <c r="C84" i="7"/>
  <c r="H84" i="7" s="1"/>
  <c r="H83" i="7"/>
  <c r="G83" i="7"/>
  <c r="C83" i="7"/>
  <c r="H82" i="7"/>
  <c r="G82" i="7"/>
  <c r="C82" i="7"/>
  <c r="G81" i="7"/>
  <c r="C81" i="7"/>
  <c r="H81" i="7" s="1"/>
  <c r="C80" i="7"/>
  <c r="H79" i="7"/>
  <c r="G79" i="7"/>
  <c r="C79" i="7"/>
  <c r="C78" i="7"/>
  <c r="H78" i="7" s="1"/>
  <c r="G77" i="7"/>
  <c r="C77" i="7"/>
  <c r="H77" i="7" s="1"/>
  <c r="G76" i="7"/>
  <c r="C76" i="7"/>
  <c r="H76" i="7" s="1"/>
  <c r="G75" i="7"/>
  <c r="C75" i="7"/>
  <c r="H75" i="7" s="1"/>
  <c r="H74" i="7"/>
  <c r="G74" i="7"/>
  <c r="C74" i="7"/>
  <c r="C73" i="7"/>
  <c r="H73" i="7" s="1"/>
  <c r="H72" i="7"/>
  <c r="C72" i="7"/>
  <c r="G72" i="7" s="1"/>
  <c r="C71" i="7"/>
  <c r="H71" i="7" s="1"/>
  <c r="C70" i="7"/>
  <c r="G70" i="7" s="1"/>
  <c r="G69" i="7"/>
  <c r="C69" i="7"/>
  <c r="H69" i="7" s="1"/>
  <c r="H68" i="7"/>
  <c r="G68" i="7"/>
  <c r="C68" i="7"/>
  <c r="G67" i="7"/>
  <c r="C67" i="7"/>
  <c r="H67" i="7" s="1"/>
  <c r="C66" i="7"/>
  <c r="H66" i="7" s="1"/>
  <c r="C65" i="7"/>
  <c r="H65" i="7" s="1"/>
  <c r="C64" i="7"/>
  <c r="H64" i="7" s="1"/>
  <c r="G63" i="7"/>
  <c r="C63" i="7"/>
  <c r="H63" i="7" s="1"/>
  <c r="C62" i="7"/>
  <c r="H62" i="7" s="1"/>
  <c r="C61" i="7"/>
  <c r="H61" i="7" s="1"/>
  <c r="H60" i="7"/>
  <c r="G60" i="7"/>
  <c r="C60" i="7"/>
  <c r="C59" i="7"/>
  <c r="G59" i="7" s="1"/>
  <c r="H58" i="7"/>
  <c r="C58" i="7"/>
  <c r="G58" i="7" s="1"/>
  <c r="C57" i="7"/>
  <c r="H57" i="7" s="1"/>
  <c r="H56" i="7"/>
  <c r="C56" i="7"/>
  <c r="G56" i="7" s="1"/>
  <c r="H55" i="7"/>
  <c r="G55" i="7"/>
  <c r="C55" i="7"/>
  <c r="H54" i="7"/>
  <c r="G54" i="7"/>
  <c r="C54" i="7"/>
  <c r="G53" i="7"/>
  <c r="C53" i="7"/>
  <c r="H53" i="7" s="1"/>
  <c r="C52" i="7"/>
  <c r="H52" i="7" s="1"/>
  <c r="H51" i="7"/>
  <c r="G51" i="7"/>
  <c r="C51" i="7"/>
  <c r="C50" i="7"/>
  <c r="H50" i="7" s="1"/>
  <c r="G49" i="7"/>
  <c r="C49" i="7"/>
  <c r="H49" i="7" s="1"/>
  <c r="C48" i="7"/>
  <c r="H48" i="7" s="1"/>
  <c r="C47" i="7"/>
  <c r="H47" i="7" s="1"/>
  <c r="H46" i="7"/>
  <c r="C46" i="7"/>
  <c r="G46" i="7" s="1"/>
  <c r="C45" i="7"/>
  <c r="H45" i="7" s="1"/>
  <c r="H44" i="7"/>
  <c r="C44" i="7"/>
  <c r="G44" i="7" s="1"/>
  <c r="C43" i="7"/>
  <c r="H42" i="7"/>
  <c r="G42" i="7"/>
  <c r="C42" i="7"/>
  <c r="C41" i="7"/>
  <c r="H41" i="7" s="1"/>
  <c r="H40" i="7"/>
  <c r="G40" i="7"/>
  <c r="C40" i="7"/>
  <c r="C39" i="7"/>
  <c r="H39" i="7" s="1"/>
  <c r="H38" i="7"/>
  <c r="G38" i="7"/>
  <c r="C38" i="7"/>
  <c r="C37" i="7"/>
  <c r="C36" i="7"/>
  <c r="H36" i="7" s="1"/>
  <c r="H35" i="7"/>
  <c r="C35" i="7"/>
  <c r="G35" i="7" s="1"/>
  <c r="C34" i="7"/>
  <c r="G33" i="7"/>
  <c r="C33" i="7"/>
  <c r="H33" i="7" s="1"/>
  <c r="H32" i="7"/>
  <c r="C32" i="7"/>
  <c r="G32" i="7" s="1"/>
  <c r="H31" i="7"/>
  <c r="G31" i="7"/>
  <c r="C31" i="7"/>
  <c r="C30" i="7"/>
  <c r="H30" i="7" s="1"/>
  <c r="G29" i="7"/>
  <c r="C29" i="7"/>
  <c r="H29" i="7" s="1"/>
  <c r="C28" i="7"/>
  <c r="H28" i="7" s="1"/>
  <c r="C27" i="7"/>
  <c r="H27" i="7" s="1"/>
  <c r="H26" i="7"/>
  <c r="C26" i="7"/>
  <c r="G26" i="7" s="1"/>
  <c r="C25" i="7"/>
  <c r="H25" i="7" s="1"/>
  <c r="C24" i="7"/>
  <c r="G24" i="7" s="1"/>
  <c r="H23" i="7"/>
  <c r="G23" i="7"/>
  <c r="C23" i="7"/>
  <c r="C22" i="7"/>
  <c r="G22" i="7" s="1"/>
  <c r="C21" i="7"/>
  <c r="H21" i="7" s="1"/>
  <c r="C20" i="7"/>
  <c r="C19" i="7"/>
  <c r="G19" i="7" s="1"/>
  <c r="C18" i="7"/>
  <c r="H18" i="7" s="1"/>
  <c r="G17" i="7"/>
  <c r="C17" i="7"/>
  <c r="H17" i="7" s="1"/>
  <c r="C16" i="7"/>
  <c r="H16" i="7" s="1"/>
  <c r="H15" i="7"/>
  <c r="G15" i="7"/>
  <c r="C15" i="7"/>
  <c r="H14" i="7"/>
  <c r="C14" i="7"/>
  <c r="G14" i="7" s="1"/>
  <c r="C13" i="7"/>
  <c r="H13" i="7" s="1"/>
  <c r="G12" i="7"/>
  <c r="C12" i="7"/>
  <c r="H12" i="7" s="1"/>
  <c r="G11" i="7"/>
  <c r="C11" i="7"/>
  <c r="H11" i="7" s="1"/>
  <c r="H10" i="7"/>
  <c r="G10" i="7"/>
  <c r="C10" i="7"/>
  <c r="C9" i="7"/>
  <c r="H9" i="7" s="1"/>
  <c r="H8" i="7"/>
  <c r="C8" i="7"/>
  <c r="G8" i="7" s="1"/>
  <c r="C7" i="7"/>
  <c r="C6" i="7"/>
  <c r="G6" i="7" s="1"/>
  <c r="C5" i="7"/>
  <c r="H5" i="7" s="1"/>
  <c r="H1666" i="7" l="1"/>
  <c r="G1666" i="7"/>
  <c r="H2915" i="7"/>
  <c r="G2915" i="7"/>
  <c r="H37" i="7"/>
  <c r="G37" i="7"/>
  <c r="G43" i="7"/>
  <c r="H43" i="7"/>
  <c r="G97" i="7"/>
  <c r="G144" i="7"/>
  <c r="H144" i="7"/>
  <c r="H139" i="7"/>
  <c r="G176" i="7"/>
  <c r="H176" i="7"/>
  <c r="H243" i="7"/>
  <c r="G248" i="7"/>
  <c r="H248" i="7"/>
  <c r="H376" i="7"/>
  <c r="G529" i="7"/>
  <c r="H529" i="7"/>
  <c r="G535" i="7"/>
  <c r="H535" i="7"/>
  <c r="G660" i="7"/>
  <c r="H660" i="7"/>
  <c r="H1014" i="7"/>
  <c r="G1014" i="7"/>
  <c r="G1316" i="7"/>
  <c r="H1316" i="7"/>
  <c r="G28" i="7"/>
  <c r="H313" i="7"/>
  <c r="G313" i="7"/>
  <c r="H396" i="7"/>
  <c r="G396" i="7"/>
  <c r="H24" i="7"/>
  <c r="G171" i="7"/>
  <c r="H204" i="7"/>
  <c r="G204" i="7"/>
  <c r="G288" i="7"/>
  <c r="G420" i="7"/>
  <c r="H523" i="7"/>
  <c r="G523" i="7"/>
  <c r="H801" i="7"/>
  <c r="G801" i="7"/>
  <c r="H1008" i="7"/>
  <c r="G1008" i="7"/>
  <c r="H1231" i="7"/>
  <c r="G1231" i="7"/>
  <c r="H367" i="7"/>
  <c r="G367" i="7"/>
  <c r="H405" i="7"/>
  <c r="G405" i="7"/>
  <c r="G503" i="7"/>
  <c r="H503" i="7"/>
  <c r="G884" i="7"/>
  <c r="H884" i="7"/>
  <c r="H897" i="7"/>
  <c r="G897" i="7"/>
  <c r="H914" i="7"/>
  <c r="H6" i="7"/>
  <c r="H19" i="7"/>
  <c r="G47" i="7"/>
  <c r="G65" i="7"/>
  <c r="H70" i="7"/>
  <c r="H89" i="7"/>
  <c r="G89" i="7"/>
  <c r="G152" i="7"/>
  <c r="G157" i="7"/>
  <c r="G189" i="7"/>
  <c r="G228" i="7"/>
  <c r="G317" i="7"/>
  <c r="G416" i="7"/>
  <c r="H416" i="7"/>
  <c r="G445" i="7"/>
  <c r="G492" i="7"/>
  <c r="G577" i="7"/>
  <c r="H577" i="7"/>
  <c r="H588" i="7"/>
  <c r="G732" i="7"/>
  <c r="H1631" i="7"/>
  <c r="G1631" i="7"/>
  <c r="H421" i="7"/>
  <c r="G421" i="7"/>
  <c r="H229" i="7"/>
  <c r="G229" i="7"/>
  <c r="G721" i="7"/>
  <c r="H721" i="7"/>
  <c r="G818" i="7"/>
  <c r="H818" i="7"/>
  <c r="H877" i="7"/>
  <c r="G877" i="7"/>
  <c r="H1181" i="7"/>
  <c r="G1181" i="7"/>
  <c r="H1606" i="7"/>
  <c r="G1606" i="7"/>
  <c r="G524" i="7"/>
  <c r="H524" i="7"/>
  <c r="G88" i="7"/>
  <c r="H239" i="7"/>
  <c r="G239" i="7"/>
  <c r="G283" i="7"/>
  <c r="H283" i="7"/>
  <c r="G455" i="7"/>
  <c r="H1226" i="7"/>
  <c r="G1226" i="7"/>
  <c r="G93" i="7"/>
  <c r="G263" i="7"/>
  <c r="G440" i="7"/>
  <c r="H440" i="7"/>
  <c r="G487" i="7"/>
  <c r="H487" i="7"/>
  <c r="H561" i="7"/>
  <c r="G567" i="7"/>
  <c r="H567" i="7"/>
  <c r="G716" i="7"/>
  <c r="H716" i="7"/>
  <c r="G819" i="7"/>
  <c r="H830" i="7"/>
  <c r="H1353" i="7"/>
  <c r="G1353" i="7"/>
  <c r="H1421" i="7"/>
  <c r="G1421" i="7"/>
  <c r="G497" i="7"/>
  <c r="H497" i="7"/>
  <c r="H3192" i="7"/>
  <c r="G3192" i="7"/>
  <c r="H3224" i="7"/>
  <c r="G3224" i="7"/>
  <c r="G52" i="7"/>
  <c r="G620" i="7"/>
  <c r="H620" i="7"/>
  <c r="G743" i="7"/>
  <c r="H743" i="7"/>
  <c r="G764" i="7"/>
  <c r="G66" i="7"/>
  <c r="H185" i="7"/>
  <c r="G185" i="7"/>
  <c r="H213" i="7"/>
  <c r="G213" i="7"/>
  <c r="G224" i="7"/>
  <c r="H224" i="7"/>
  <c r="H352" i="7"/>
  <c r="G352" i="7"/>
  <c r="H1120" i="7"/>
  <c r="G1120" i="7"/>
  <c r="H1327" i="7"/>
  <c r="G1327" i="7"/>
  <c r="G20" i="7"/>
  <c r="H20" i="7"/>
  <c r="G34" i="7"/>
  <c r="H34" i="7"/>
  <c r="H551" i="7"/>
  <c r="G556" i="7"/>
  <c r="H556" i="7"/>
  <c r="G647" i="7"/>
  <c r="H647" i="7"/>
  <c r="G653" i="7"/>
  <c r="H653" i="7"/>
  <c r="G1322" i="7"/>
  <c r="H1322" i="7"/>
  <c r="G1199" i="7"/>
  <c r="H1199" i="7"/>
  <c r="H1225" i="7"/>
  <c r="G1225" i="7"/>
  <c r="G112" i="7"/>
  <c r="G1656" i="7"/>
  <c r="H1656" i="7"/>
  <c r="G7" i="7"/>
  <c r="H7" i="7"/>
  <c r="G61" i="7"/>
  <c r="G80" i="7"/>
  <c r="H80" i="7"/>
  <c r="G337" i="7"/>
  <c r="H381" i="7"/>
  <c r="G381" i="7"/>
  <c r="H431" i="7"/>
  <c r="G431" i="7"/>
  <c r="H540" i="7"/>
  <c r="G665" i="7"/>
  <c r="H665" i="7"/>
  <c r="H781" i="7"/>
  <c r="G781" i="7"/>
  <c r="G9" i="7"/>
  <c r="G18" i="7"/>
  <c r="H22" i="7"/>
  <c r="G27" i="7"/>
  <c r="G36" i="7"/>
  <c r="G45" i="7"/>
  <c r="G50" i="7"/>
  <c r="H59" i="7"/>
  <c r="G64" i="7"/>
  <c r="G73" i="7"/>
  <c r="G78" i="7"/>
  <c r="G87" i="7"/>
  <c r="G96" i="7"/>
  <c r="G105" i="7"/>
  <c r="G110" i="7"/>
  <c r="G119" i="7"/>
  <c r="H133" i="7"/>
  <c r="G133" i="7"/>
  <c r="H261" i="7"/>
  <c r="G261" i="7"/>
  <c r="G453" i="7"/>
  <c r="H453" i="7"/>
  <c r="G495" i="7"/>
  <c r="H495" i="7"/>
  <c r="G521" i="7"/>
  <c r="H521" i="7"/>
  <c r="G5" i="7"/>
  <c r="G41" i="7"/>
  <c r="G101" i="7"/>
  <c r="G124" i="7"/>
  <c r="G188" i="7"/>
  <c r="G197" i="7"/>
  <c r="G227" i="7"/>
  <c r="G232" i="7"/>
  <c r="H237" i="7"/>
  <c r="G237" i="7"/>
  <c r="H251" i="7"/>
  <c r="G276" i="7"/>
  <c r="G291" i="7"/>
  <c r="H360" i="7"/>
  <c r="G365" i="7"/>
  <c r="G389" i="7"/>
  <c r="G419" i="7"/>
  <c r="G424" i="7"/>
  <c r="H429" i="7"/>
  <c r="G429" i="7"/>
  <c r="H443" i="7"/>
  <c r="G464" i="7"/>
  <c r="H511" i="7"/>
  <c r="H516" i="7"/>
  <c r="H544" i="7"/>
  <c r="G592" i="7"/>
  <c r="G607" i="7"/>
  <c r="H607" i="7"/>
  <c r="H640" i="7"/>
  <c r="G692" i="7"/>
  <c r="H697" i="7"/>
  <c r="H736" i="7"/>
  <c r="H779" i="7"/>
  <c r="G779" i="7"/>
  <c r="H919" i="7"/>
  <c r="G919" i="7"/>
  <c r="H1025" i="7"/>
  <c r="G1025" i="7"/>
  <c r="H1105" i="7"/>
  <c r="G1105" i="7"/>
  <c r="G1130" i="7"/>
  <c r="G1135" i="7"/>
  <c r="H277" i="7"/>
  <c r="G277" i="7"/>
  <c r="G465" i="7"/>
  <c r="H465" i="7"/>
  <c r="G625" i="7"/>
  <c r="H625" i="7"/>
  <c r="G641" i="7"/>
  <c r="H641" i="7"/>
  <c r="G737" i="7"/>
  <c r="H737" i="7"/>
  <c r="G780" i="7"/>
  <c r="H780" i="7"/>
  <c r="G792" i="7"/>
  <c r="H792" i="7"/>
  <c r="H845" i="7"/>
  <c r="G845" i="7"/>
  <c r="H989" i="7"/>
  <c r="G989" i="7"/>
  <c r="H1013" i="7"/>
  <c r="G1013" i="7"/>
  <c r="H1251" i="7"/>
  <c r="G1251" i="7"/>
  <c r="H357" i="7"/>
  <c r="G357" i="7"/>
  <c r="G461" i="7"/>
  <c r="H461" i="7"/>
  <c r="H1048" i="7"/>
  <c r="G1048" i="7"/>
  <c r="G1310" i="7"/>
  <c r="G1612" i="7"/>
  <c r="H1612" i="7"/>
  <c r="H1644" i="7"/>
  <c r="G1644" i="7"/>
  <c r="G16" i="7"/>
  <c r="G25" i="7"/>
  <c r="G30" i="7"/>
  <c r="G39" i="7"/>
  <c r="G48" i="7"/>
  <c r="G57" i="7"/>
  <c r="G62" i="7"/>
  <c r="G71" i="7"/>
  <c r="H85" i="7"/>
  <c r="G85" i="7"/>
  <c r="H94" i="7"/>
  <c r="G99" i="7"/>
  <c r="G108" i="7"/>
  <c r="G117" i="7"/>
  <c r="G122" i="7"/>
  <c r="G131" i="7"/>
  <c r="G140" i="7"/>
  <c r="G153" i="7"/>
  <c r="G167" i="7"/>
  <c r="H181" i="7"/>
  <c r="G181" i="7"/>
  <c r="G195" i="7"/>
  <c r="H264" i="7"/>
  <c r="G269" i="7"/>
  <c r="G293" i="7"/>
  <c r="G323" i="7"/>
  <c r="G328" i="7"/>
  <c r="H333" i="7"/>
  <c r="G333" i="7"/>
  <c r="H347" i="7"/>
  <c r="G372" i="7"/>
  <c r="G387" i="7"/>
  <c r="H456" i="7"/>
  <c r="G627" i="7"/>
  <c r="H632" i="7"/>
  <c r="G632" i="7"/>
  <c r="H728" i="7"/>
  <c r="G728" i="7"/>
  <c r="G759" i="7"/>
  <c r="H770" i="7"/>
  <c r="G808" i="7"/>
  <c r="H813" i="7"/>
  <c r="G813" i="7"/>
  <c r="H879" i="7"/>
  <c r="G879" i="7"/>
  <c r="H886" i="7"/>
  <c r="H899" i="7"/>
  <c r="G899" i="7"/>
  <c r="G1079" i="7"/>
  <c r="H1187" i="7"/>
  <c r="H1194" i="7"/>
  <c r="G1194" i="7"/>
  <c r="G1600" i="7"/>
  <c r="G2047" i="7"/>
  <c r="H2047" i="7"/>
  <c r="G2119" i="7"/>
  <c r="H2119" i="7"/>
  <c r="H1347" i="7"/>
  <c r="G1347" i="7"/>
  <c r="H878" i="7"/>
  <c r="G205" i="7"/>
  <c r="G240" i="7"/>
  <c r="G249" i="7"/>
  <c r="H684" i="7"/>
  <c r="G684" i="7"/>
  <c r="G700" i="7"/>
  <c r="H700" i="7"/>
  <c r="G723" i="7"/>
  <c r="G803" i="7"/>
  <c r="H880" i="7"/>
  <c r="G880" i="7"/>
  <c r="G1049" i="7"/>
  <c r="H1177" i="7"/>
  <c r="G1177" i="7"/>
  <c r="H1565" i="7"/>
  <c r="G1565" i="7"/>
  <c r="H1577" i="7"/>
  <c r="G1577" i="7"/>
  <c r="H904" i="7"/>
  <c r="G904" i="7"/>
  <c r="G2508" i="7"/>
  <c r="H2508" i="7"/>
  <c r="G967" i="7"/>
  <c r="H967" i="7"/>
  <c r="G215" i="7"/>
  <c r="H373" i="7"/>
  <c r="G373" i="7"/>
  <c r="G432" i="7"/>
  <c r="G441" i="7"/>
  <c r="H451" i="7"/>
  <c r="G483" i="7"/>
  <c r="H557" i="7"/>
  <c r="H579" i="7"/>
  <c r="G21" i="7"/>
  <c r="G145" i="7"/>
  <c r="G191" i="7"/>
  <c r="H200" i="7"/>
  <c r="H235" i="7"/>
  <c r="G265" i="7"/>
  <c r="G304" i="7"/>
  <c r="H309" i="7"/>
  <c r="G309" i="7"/>
  <c r="G319" i="7"/>
  <c r="G348" i="7"/>
  <c r="H368" i="7"/>
  <c r="G383" i="7"/>
  <c r="H392" i="7"/>
  <c r="H427" i="7"/>
  <c r="G468" i="7"/>
  <c r="H473" i="7"/>
  <c r="G488" i="7"/>
  <c r="H531" i="7"/>
  <c r="G537" i="7"/>
  <c r="H537" i="7"/>
  <c r="G667" i="7"/>
  <c r="G814" i="7"/>
  <c r="G957" i="7"/>
  <c r="G962" i="7"/>
  <c r="G974" i="7"/>
  <c r="G1030" i="7"/>
  <c r="H1030" i="7"/>
  <c r="H1171" i="7"/>
  <c r="H1370" i="7"/>
  <c r="G1370" i="7"/>
  <c r="H1390" i="7"/>
  <c r="H1059" i="7"/>
  <c r="G1059" i="7"/>
  <c r="H1085" i="7"/>
  <c r="G1085" i="7"/>
  <c r="H285" i="7"/>
  <c r="G285" i="7"/>
  <c r="G569" i="7"/>
  <c r="H569" i="7"/>
  <c r="H679" i="7"/>
  <c r="G679" i="7"/>
  <c r="H797" i="7"/>
  <c r="G797" i="7"/>
  <c r="G804" i="7"/>
  <c r="H804" i="7"/>
  <c r="H873" i="7"/>
  <c r="G873" i="7"/>
  <c r="H1017" i="7"/>
  <c r="G1017" i="7"/>
  <c r="H1074" i="7"/>
  <c r="G1074" i="7"/>
  <c r="H1172" i="7"/>
  <c r="G1172" i="7"/>
  <c r="H1267" i="7"/>
  <c r="G1292" i="7"/>
  <c r="H1292" i="7"/>
  <c r="G1391" i="7"/>
  <c r="H1391" i="7"/>
  <c r="G1518" i="7"/>
  <c r="H1518" i="7"/>
  <c r="G13" i="7"/>
  <c r="H325" i="7"/>
  <c r="G325" i="7"/>
  <c r="G469" i="7"/>
  <c r="H469" i="7"/>
  <c r="G543" i="7"/>
  <c r="H543" i="7"/>
  <c r="G564" i="7"/>
  <c r="H564" i="7"/>
  <c r="G617" i="7"/>
  <c r="H617" i="7"/>
  <c r="G645" i="7"/>
  <c r="H645" i="7"/>
  <c r="G657" i="7"/>
  <c r="H657" i="7"/>
  <c r="G741" i="7"/>
  <c r="H741" i="7"/>
  <c r="H753" i="7"/>
  <c r="G753" i="7"/>
  <c r="H1005" i="7"/>
  <c r="G1005" i="7"/>
  <c r="G559" i="7"/>
  <c r="H559" i="7"/>
  <c r="G612" i="7"/>
  <c r="H612" i="7"/>
  <c r="H868" i="7"/>
  <c r="G868" i="7"/>
  <c r="G1378" i="7"/>
  <c r="H1378" i="7"/>
  <c r="H1448" i="7"/>
  <c r="G1448" i="7"/>
  <c r="G1151" i="7"/>
  <c r="H1151" i="7"/>
  <c r="G1242" i="7"/>
  <c r="H1242" i="7"/>
  <c r="H1388" i="7"/>
  <c r="G1388" i="7"/>
  <c r="H1654" i="7"/>
  <c r="G1654" i="7"/>
  <c r="G1699" i="7"/>
  <c r="H1699" i="7"/>
  <c r="G681" i="7"/>
  <c r="H681" i="7"/>
  <c r="G802" i="7"/>
  <c r="H802" i="7"/>
  <c r="G896" i="7"/>
  <c r="H896" i="7"/>
  <c r="H902" i="7"/>
  <c r="G902" i="7"/>
  <c r="G956" i="7"/>
  <c r="H956" i="7"/>
  <c r="H1060" i="7"/>
  <c r="G1060" i="7"/>
  <c r="H1106" i="7"/>
  <c r="G1106" i="7"/>
  <c r="H1152" i="7"/>
  <c r="G1152" i="7"/>
  <c r="H1198" i="7"/>
  <c r="H1204" i="7"/>
  <c r="G1204" i="7"/>
  <c r="H1236" i="7"/>
  <c r="G1236" i="7"/>
  <c r="G1315" i="7"/>
  <c r="H1315" i="7"/>
  <c r="H1321" i="7"/>
  <c r="G1321" i="7"/>
  <c r="H1363" i="7"/>
  <c r="H1389" i="7"/>
  <c r="G1389" i="7"/>
  <c r="G1396" i="7"/>
  <c r="G1431" i="7"/>
  <c r="G1536" i="7"/>
  <c r="G673" i="7"/>
  <c r="H673" i="7"/>
  <c r="G713" i="7"/>
  <c r="H713" i="7"/>
  <c r="H836" i="7"/>
  <c r="G836" i="7"/>
  <c r="H881" i="7"/>
  <c r="G881" i="7"/>
  <c r="H893" i="7"/>
  <c r="G893" i="7"/>
  <c r="H941" i="7"/>
  <c r="G941" i="7"/>
  <c r="H964" i="7"/>
  <c r="G964" i="7"/>
  <c r="H1188" i="7"/>
  <c r="G1188" i="7"/>
  <c r="G1219" i="7"/>
  <c r="H1219" i="7"/>
  <c r="H1245" i="7"/>
  <c r="G1245" i="7"/>
  <c r="H1305" i="7"/>
  <c r="G1305" i="7"/>
  <c r="G1422" i="7"/>
  <c r="H1422" i="7"/>
  <c r="H1566" i="7"/>
  <c r="G1566" i="7"/>
  <c r="H2260" i="7"/>
  <c r="G2260" i="7"/>
  <c r="H2275" i="7"/>
  <c r="G2275" i="7"/>
  <c r="H2295" i="7"/>
  <c r="G2295" i="7"/>
  <c r="H2432" i="7"/>
  <c r="G2432" i="7"/>
  <c r="G489" i="7"/>
  <c r="H489" i="7"/>
  <c r="G593" i="7"/>
  <c r="H593" i="7"/>
  <c r="G633" i="7"/>
  <c r="H633" i="7"/>
  <c r="H652" i="7"/>
  <c r="H668" i="7"/>
  <c r="H693" i="7"/>
  <c r="H708" i="7"/>
  <c r="G729" i="7"/>
  <c r="H729" i="7"/>
  <c r="H748" i="7"/>
  <c r="H754" i="7"/>
  <c r="G760" i="7"/>
  <c r="H793" i="7"/>
  <c r="G793" i="7"/>
  <c r="H821" i="7"/>
  <c r="G821" i="7"/>
  <c r="H847" i="7"/>
  <c r="G853" i="7"/>
  <c r="H863" i="7"/>
  <c r="H874" i="7"/>
  <c r="H905" i="7"/>
  <c r="G905" i="7"/>
  <c r="G992" i="7"/>
  <c r="G997" i="7"/>
  <c r="H1033" i="7"/>
  <c r="G1033" i="7"/>
  <c r="H1080" i="7"/>
  <c r="G1080" i="7"/>
  <c r="G1131" i="7"/>
  <c r="G1178" i="7"/>
  <c r="G1214" i="7"/>
  <c r="G1257" i="7"/>
  <c r="H1293" i="7"/>
  <c r="G1293" i="7"/>
  <c r="G1299" i="7"/>
  <c r="H1354" i="7"/>
  <c r="G1354" i="7"/>
  <c r="G1406" i="7"/>
  <c r="H1411" i="7"/>
  <c r="H1417" i="7"/>
  <c r="G1417" i="7"/>
  <c r="H1601" i="7"/>
  <c r="G1601" i="7"/>
  <c r="H1998" i="7"/>
  <c r="G2091" i="7"/>
  <c r="H2091" i="7"/>
  <c r="G2311" i="7"/>
  <c r="G2316" i="7"/>
  <c r="H2316" i="7"/>
  <c r="H2372" i="7"/>
  <c r="G2372" i="7"/>
  <c r="H761" i="7"/>
  <c r="G761" i="7"/>
  <c r="H777" i="7"/>
  <c r="G777" i="7"/>
  <c r="H953" i="7"/>
  <c r="G953" i="7"/>
  <c r="H1034" i="7"/>
  <c r="G1034" i="7"/>
  <c r="G1068" i="7"/>
  <c r="H1068" i="7"/>
  <c r="G1246" i="7"/>
  <c r="G1348" i="7"/>
  <c r="G1470" i="7"/>
  <c r="G1590" i="7"/>
  <c r="G1602" i="7"/>
  <c r="H1602" i="7"/>
  <c r="G1735" i="7"/>
  <c r="H1735" i="7"/>
  <c r="G1751" i="7"/>
  <c r="H1751" i="7"/>
  <c r="H1768" i="7"/>
  <c r="H1780" i="7"/>
  <c r="G1780" i="7"/>
  <c r="G1943" i="7"/>
  <c r="H1943" i="7"/>
  <c r="H2003" i="7"/>
  <c r="H2027" i="7"/>
  <c r="G2086" i="7"/>
  <c r="H2086" i="7"/>
  <c r="G689" i="7"/>
  <c r="H689" i="7"/>
  <c r="H749" i="7"/>
  <c r="G755" i="7"/>
  <c r="G794" i="7"/>
  <c r="G799" i="7"/>
  <c r="H816" i="7"/>
  <c r="H822" i="7"/>
  <c r="G848" i="7"/>
  <c r="H889" i="7"/>
  <c r="G889" i="7"/>
  <c r="H954" i="7"/>
  <c r="G954" i="7"/>
  <c r="H1027" i="7"/>
  <c r="H1046" i="7"/>
  <c r="G1046" i="7"/>
  <c r="G1075" i="7"/>
  <c r="H1110" i="7"/>
  <c r="H1156" i="7"/>
  <c r="H1209" i="7"/>
  <c r="G1209" i="7"/>
  <c r="H1282" i="7"/>
  <c r="G1294" i="7"/>
  <c r="G1342" i="7"/>
  <c r="G1412" i="7"/>
  <c r="G1482" i="7"/>
  <c r="G1730" i="7"/>
  <c r="G1895" i="7"/>
  <c r="H1895" i="7"/>
  <c r="G1938" i="7"/>
  <c r="H1999" i="7"/>
  <c r="G767" i="7"/>
  <c r="H767" i="7"/>
  <c r="H849" i="7"/>
  <c r="G849" i="7"/>
  <c r="H937" i="7"/>
  <c r="G937" i="7"/>
  <c r="G1116" i="7"/>
  <c r="H1116" i="7"/>
  <c r="H1145" i="7"/>
  <c r="G1145" i="7"/>
  <c r="G1494" i="7"/>
  <c r="H1542" i="7"/>
  <c r="G1542" i="7"/>
  <c r="H1554" i="7"/>
  <c r="H1720" i="7"/>
  <c r="G1752" i="7"/>
  <c r="G1890" i="7"/>
  <c r="G545" i="7"/>
  <c r="H545" i="7"/>
  <c r="G585" i="7"/>
  <c r="H585" i="7"/>
  <c r="H599" i="7"/>
  <c r="G619" i="7"/>
  <c r="H639" i="7"/>
  <c r="H649" i="7"/>
  <c r="G715" i="7"/>
  <c r="H735" i="7"/>
  <c r="H745" i="7"/>
  <c r="H756" i="7"/>
  <c r="G784" i="7"/>
  <c r="G833" i="7"/>
  <c r="G850" i="7"/>
  <c r="H850" i="7"/>
  <c r="G876" i="7"/>
  <c r="H876" i="7"/>
  <c r="H890" i="7"/>
  <c r="G943" i="7"/>
  <c r="G988" i="7"/>
  <c r="G1028" i="7"/>
  <c r="H1070" i="7"/>
  <c r="G1070" i="7"/>
  <c r="G1111" i="7"/>
  <c r="G1157" i="7"/>
  <c r="H1197" i="7"/>
  <c r="G1197" i="7"/>
  <c r="G1277" i="7"/>
  <c r="G1343" i="7"/>
  <c r="H1343" i="7"/>
  <c r="G1401" i="7"/>
  <c r="H1465" i="7"/>
  <c r="G1465" i="7"/>
  <c r="G1483" i="7"/>
  <c r="H1529" i="7"/>
  <c r="G1529" i="7"/>
  <c r="H1676" i="7"/>
  <c r="G1676" i="7"/>
  <c r="G1747" i="7"/>
  <c r="H1747" i="7"/>
  <c r="H1175" i="7"/>
  <c r="G1175" i="7"/>
  <c r="H1271" i="7"/>
  <c r="G1271" i="7"/>
  <c r="H1446" i="7"/>
  <c r="G1446" i="7"/>
  <c r="G1510" i="7"/>
  <c r="H1510" i="7"/>
  <c r="H1690" i="7"/>
  <c r="G1690" i="7"/>
  <c r="H1778" i="7"/>
  <c r="G1778" i="7"/>
  <c r="G1811" i="7"/>
  <c r="H1811" i="7"/>
  <c r="H2106" i="7"/>
  <c r="G2106" i="7"/>
  <c r="G2172" i="7"/>
  <c r="H2172" i="7"/>
  <c r="H758" i="7"/>
  <c r="G758" i="7"/>
  <c r="G977" i="7"/>
  <c r="G1001" i="7"/>
  <c r="G1011" i="7"/>
  <c r="G1031" i="7"/>
  <c r="H1036" i="7"/>
  <c r="G1057" i="7"/>
  <c r="H1073" i="7"/>
  <c r="G1073" i="7"/>
  <c r="G1093" i="7"/>
  <c r="H1103" i="7"/>
  <c r="H1129" i="7"/>
  <c r="G1129" i="7"/>
  <c r="G1149" i="7"/>
  <c r="G1165" i="7"/>
  <c r="G1170" i="7"/>
  <c r="H1212" i="7"/>
  <c r="G1223" i="7"/>
  <c r="H1297" i="7"/>
  <c r="G1297" i="7"/>
  <c r="G1319" i="7"/>
  <c r="G1357" i="7"/>
  <c r="G1367" i="7"/>
  <c r="G1377" i="7"/>
  <c r="G1480" i="7"/>
  <c r="H1480" i="7"/>
  <c r="H1516" i="7"/>
  <c r="H1540" i="7"/>
  <c r="G1540" i="7"/>
  <c r="H1559" i="7"/>
  <c r="H1564" i="7"/>
  <c r="H1571" i="7"/>
  <c r="G1571" i="7"/>
  <c r="G1605" i="7"/>
  <c r="G1691" i="7"/>
  <c r="H1691" i="7"/>
  <c r="G2107" i="7"/>
  <c r="H2107" i="7"/>
  <c r="H2624" i="7"/>
  <c r="G2624" i="7"/>
  <c r="G2900" i="7"/>
  <c r="H2900" i="7"/>
  <c r="G3167" i="7"/>
  <c r="H3167" i="7"/>
  <c r="G2564" i="7"/>
  <c r="G2071" i="7"/>
  <c r="H2071" i="7"/>
  <c r="G2092" i="7"/>
  <c r="H2092" i="7"/>
  <c r="H1142" i="7"/>
  <c r="G1142" i="7"/>
  <c r="H1258" i="7"/>
  <c r="G1258" i="7"/>
  <c r="H1380" i="7"/>
  <c r="G1380" i="7"/>
  <c r="H1489" i="7"/>
  <c r="G1489" i="7"/>
  <c r="H1520" i="7"/>
  <c r="G1520" i="7"/>
  <c r="G1556" i="7"/>
  <c r="H1556" i="7"/>
  <c r="G1711" i="7"/>
  <c r="H1711" i="7"/>
  <c r="H1726" i="7"/>
  <c r="G1726" i="7"/>
  <c r="G1847" i="7"/>
  <c r="H1847" i="7"/>
  <c r="G1879" i="7"/>
  <c r="H1879" i="7"/>
  <c r="G1927" i="7"/>
  <c r="H1927" i="7"/>
  <c r="H1081" i="7"/>
  <c r="G1081" i="7"/>
  <c r="H1237" i="7"/>
  <c r="G1237" i="7"/>
  <c r="H1253" i="7"/>
  <c r="G1253" i="7"/>
  <c r="H1349" i="7"/>
  <c r="G1349" i="7"/>
  <c r="G1496" i="7"/>
  <c r="H1496" i="7"/>
  <c r="H1544" i="7"/>
  <c r="G1544" i="7"/>
  <c r="G1732" i="7"/>
  <c r="H1732" i="7"/>
  <c r="G1863" i="7"/>
  <c r="H1863" i="7"/>
  <c r="H1874" i="7"/>
  <c r="H1922" i="7"/>
  <c r="H985" i="7"/>
  <c r="G985" i="7"/>
  <c r="G1024" i="7"/>
  <c r="H1045" i="7"/>
  <c r="G1045" i="7"/>
  <c r="H1076" i="7"/>
  <c r="G1117" i="7"/>
  <c r="H1137" i="7"/>
  <c r="G1137" i="7"/>
  <c r="G1143" i="7"/>
  <c r="G1168" i="7"/>
  <c r="H1190" i="7"/>
  <c r="G1190" i="7"/>
  <c r="G1205" i="7"/>
  <c r="G1227" i="7"/>
  <c r="G1248" i="7"/>
  <c r="G1259" i="7"/>
  <c r="G1275" i="7"/>
  <c r="G1290" i="7"/>
  <c r="H1295" i="7"/>
  <c r="G1344" i="7"/>
  <c r="G1360" i="7"/>
  <c r="H1375" i="7"/>
  <c r="G1381" i="7"/>
  <c r="G1386" i="7"/>
  <c r="G1392" i="7"/>
  <c r="G1397" i="7"/>
  <c r="H1403" i="7"/>
  <c r="G1403" i="7"/>
  <c r="G1434" i="7"/>
  <c r="H1434" i="7"/>
  <c r="G1467" i="7"/>
  <c r="H1473" i="7"/>
  <c r="G1473" i="7"/>
  <c r="G1514" i="7"/>
  <c r="G1521" i="7"/>
  <c r="G1526" i="7"/>
  <c r="G1532" i="7"/>
  <c r="H1550" i="7"/>
  <c r="G1550" i="7"/>
  <c r="G1586" i="7"/>
  <c r="H1586" i="7"/>
  <c r="G1684" i="7"/>
  <c r="G1694" i="7"/>
  <c r="G1712" i="7"/>
  <c r="G1815" i="7"/>
  <c r="H1815" i="7"/>
  <c r="G1398" i="7"/>
  <c r="H1398" i="7"/>
  <c r="H1429" i="7"/>
  <c r="G1429" i="7"/>
  <c r="G1474" i="7"/>
  <c r="H1474" i="7"/>
  <c r="H1581" i="7"/>
  <c r="G1581" i="7"/>
  <c r="G1799" i="7"/>
  <c r="H1799" i="7"/>
  <c r="H1816" i="7"/>
  <c r="G1816" i="7"/>
  <c r="H1828" i="7"/>
  <c r="G1828" i="7"/>
  <c r="H1870" i="7"/>
  <c r="G1870" i="7"/>
  <c r="H976" i="7"/>
  <c r="G976" i="7"/>
  <c r="H1138" i="7"/>
  <c r="H1159" i="7"/>
  <c r="H1206" i="7"/>
  <c r="G1222" i="7"/>
  <c r="G1249" i="7"/>
  <c r="H1280" i="7"/>
  <c r="H1286" i="7"/>
  <c r="G1286" i="7"/>
  <c r="G1302" i="7"/>
  <c r="H1302" i="7"/>
  <c r="G1313" i="7"/>
  <c r="G1345" i="7"/>
  <c r="H1376" i="7"/>
  <c r="G1382" i="7"/>
  <c r="H1393" i="7"/>
  <c r="G1393" i="7"/>
  <c r="H1404" i="7"/>
  <c r="G1409" i="7"/>
  <c r="G1414" i="7"/>
  <c r="G1424" i="7"/>
  <c r="H1445" i="7"/>
  <c r="G1445" i="7"/>
  <c r="G1468" i="7"/>
  <c r="H1468" i="7"/>
  <c r="G1509" i="7"/>
  <c r="H1515" i="7"/>
  <c r="G1563" i="7"/>
  <c r="H1628" i="7"/>
  <c r="G1628" i="7"/>
  <c r="H1674" i="7"/>
  <c r="H841" i="7"/>
  <c r="G841" i="7"/>
  <c r="H1369" i="7"/>
  <c r="G1369" i="7"/>
  <c r="H1790" i="7"/>
  <c r="G1790" i="7"/>
  <c r="G1995" i="7"/>
  <c r="H1995" i="7"/>
  <c r="H2038" i="7"/>
  <c r="G2038" i="7"/>
  <c r="G2055" i="7"/>
  <c r="H2055" i="7"/>
  <c r="G2143" i="7"/>
  <c r="H2143" i="7"/>
  <c r="G2224" i="7"/>
  <c r="H2224" i="7"/>
  <c r="H1485" i="7"/>
  <c r="G1485" i="7"/>
  <c r="H1613" i="7"/>
  <c r="G1613" i="7"/>
  <c r="H1758" i="7"/>
  <c r="G1758" i="7"/>
  <c r="H1886" i="7"/>
  <c r="G1886" i="7"/>
  <c r="G1975" i="7"/>
  <c r="H1975" i="7"/>
  <c r="H2132" i="7"/>
  <c r="G2132" i="7"/>
  <c r="H2240" i="7"/>
  <c r="G2240" i="7"/>
  <c r="G2896" i="7"/>
  <c r="H2896" i="7"/>
  <c r="H1597" i="7"/>
  <c r="G1597" i="7"/>
  <c r="H1640" i="7"/>
  <c r="G1640" i="7"/>
  <c r="G1651" i="7"/>
  <c r="H1651" i="7"/>
  <c r="G1667" i="7"/>
  <c r="H1667" i="7"/>
  <c r="G1759" i="7"/>
  <c r="H1759" i="7"/>
  <c r="H1802" i="7"/>
  <c r="G1802" i="7"/>
  <c r="G1887" i="7"/>
  <c r="H1887" i="7"/>
  <c r="H1934" i="7"/>
  <c r="G1934" i="7"/>
  <c r="H2752" i="7"/>
  <c r="G2752" i="7"/>
  <c r="G1614" i="7"/>
  <c r="G1619" i="7"/>
  <c r="G1629" i="7"/>
  <c r="G1634" i="7"/>
  <c r="H1634" i="7"/>
  <c r="G1646" i="7"/>
  <c r="G1687" i="7"/>
  <c r="H1687" i="7"/>
  <c r="G1708" i="7"/>
  <c r="G1803" i="7"/>
  <c r="H1803" i="7"/>
  <c r="H1851" i="7"/>
  <c r="G1966" i="7"/>
  <c r="H1986" i="7"/>
  <c r="G1986" i="7"/>
  <c r="H2116" i="7"/>
  <c r="G2116" i="7"/>
  <c r="H2138" i="7"/>
  <c r="G2138" i="7"/>
  <c r="H2156" i="7"/>
  <c r="G2156" i="7"/>
  <c r="H2272" i="7"/>
  <c r="G2272" i="7"/>
  <c r="H2292" i="7"/>
  <c r="G2292" i="7"/>
  <c r="H1273" i="7"/>
  <c r="G1273" i="7"/>
  <c r="H1341" i="7"/>
  <c r="G1341" i="7"/>
  <c r="G1491" i="7"/>
  <c r="G1507" i="7"/>
  <c r="H1530" i="7"/>
  <c r="H1557" i="7"/>
  <c r="G1557" i="7"/>
  <c r="G1598" i="7"/>
  <c r="H1635" i="7"/>
  <c r="G1635" i="7"/>
  <c r="G1641" i="7"/>
  <c r="G1652" i="7"/>
  <c r="H1678" i="7"/>
  <c r="G1678" i="7"/>
  <c r="G1698" i="7"/>
  <c r="H1703" i="7"/>
  <c r="H1739" i="7"/>
  <c r="H1760" i="7"/>
  <c r="G1776" i="7"/>
  <c r="H1820" i="7"/>
  <c r="H1856" i="7"/>
  <c r="G1882" i="7"/>
  <c r="H1882" i="7"/>
  <c r="H1899" i="7"/>
  <c r="G2062" i="7"/>
  <c r="H1461" i="7"/>
  <c r="G1461" i="7"/>
  <c r="H1481" i="7"/>
  <c r="G1481" i="7"/>
  <c r="G1551" i="7"/>
  <c r="H1551" i="7"/>
  <c r="H1704" i="7"/>
  <c r="G1704" i="7"/>
  <c r="G2140" i="7"/>
  <c r="H2140" i="7"/>
  <c r="G2191" i="7"/>
  <c r="H2191" i="7"/>
  <c r="H2216" i="7"/>
  <c r="G2216" i="7"/>
  <c r="G1831" i="7"/>
  <c r="H1831" i="7"/>
  <c r="H2026" i="7"/>
  <c r="G2026" i="7"/>
  <c r="G2179" i="7"/>
  <c r="H2179" i="7"/>
  <c r="H2244" i="7"/>
  <c r="G2244" i="7"/>
  <c r="H2340" i="7"/>
  <c r="G2340" i="7"/>
  <c r="H2452" i="7"/>
  <c r="G2452" i="7"/>
  <c r="H2487" i="7"/>
  <c r="G2487" i="7"/>
  <c r="H2643" i="7"/>
  <c r="G2643" i="7"/>
  <c r="G2920" i="7"/>
  <c r="H2920" i="7"/>
  <c r="H1459" i="7"/>
  <c r="G1459" i="7"/>
  <c r="H1537" i="7"/>
  <c r="G1537" i="7"/>
  <c r="H1866" i="7"/>
  <c r="G1866" i="7"/>
  <c r="H1914" i="7"/>
  <c r="G1914" i="7"/>
  <c r="H1962" i="7"/>
  <c r="G1962" i="7"/>
  <c r="G2067" i="7"/>
  <c r="H2067" i="7"/>
  <c r="G2150" i="7"/>
  <c r="H2150" i="7"/>
  <c r="H2427" i="7"/>
  <c r="G2427" i="7"/>
  <c r="H2691" i="7"/>
  <c r="G2691" i="7"/>
  <c r="H1663" i="7"/>
  <c r="H1767" i="7"/>
  <c r="H1819" i="7"/>
  <c r="G1991" i="7"/>
  <c r="H1991" i="7"/>
  <c r="G2023" i="7"/>
  <c r="H2023" i="7"/>
  <c r="H2052" i="7"/>
  <c r="H2068" i="7"/>
  <c r="G2068" i="7"/>
  <c r="H2103" i="7"/>
  <c r="H2235" i="7"/>
  <c r="G2235" i="7"/>
  <c r="H2388" i="7"/>
  <c r="G2388" i="7"/>
  <c r="H2464" i="7"/>
  <c r="G2464" i="7"/>
  <c r="H2484" i="7"/>
  <c r="G2484" i="7"/>
  <c r="H2559" i="7"/>
  <c r="G2559" i="7"/>
  <c r="H2795" i="7"/>
  <c r="G2795" i="7"/>
  <c r="G2043" i="7"/>
  <c r="H2043" i="7"/>
  <c r="H2094" i="7"/>
  <c r="G2094" i="7"/>
  <c r="H2343" i="7"/>
  <c r="G2343" i="7"/>
  <c r="H2616" i="7"/>
  <c r="G2616" i="7"/>
  <c r="H2855" i="7"/>
  <c r="G2855" i="7"/>
  <c r="H1978" i="7"/>
  <c r="G1978" i="7"/>
  <c r="H2010" i="7"/>
  <c r="G2010" i="7"/>
  <c r="G2044" i="7"/>
  <c r="H2044" i="7"/>
  <c r="G2163" i="7"/>
  <c r="H2163" i="7"/>
  <c r="H2419" i="7"/>
  <c r="G2419" i="7"/>
  <c r="H2535" i="7"/>
  <c r="G2535" i="7"/>
  <c r="H2611" i="7"/>
  <c r="G2611" i="7"/>
  <c r="H1505" i="7"/>
  <c r="G1505" i="7"/>
  <c r="H1911" i="7"/>
  <c r="H1930" i="7"/>
  <c r="H1935" i="7"/>
  <c r="H1959" i="7"/>
  <c r="G2039" i="7"/>
  <c r="H2039" i="7"/>
  <c r="H2095" i="7"/>
  <c r="G2110" i="7"/>
  <c r="H2227" i="7"/>
  <c r="G2227" i="7"/>
  <c r="H2647" i="7"/>
  <c r="G2647" i="7"/>
  <c r="H2663" i="7"/>
  <c r="G2663" i="7"/>
  <c r="G2943" i="7"/>
  <c r="H2943" i="7"/>
  <c r="G3035" i="7"/>
  <c r="H3035" i="7"/>
  <c r="G1783" i="7"/>
  <c r="H1783" i="7"/>
  <c r="H1888" i="7"/>
  <c r="G1888" i="7"/>
  <c r="H1936" i="7"/>
  <c r="G1936" i="7"/>
  <c r="G2115" i="7"/>
  <c r="H2115" i="7"/>
  <c r="G2131" i="7"/>
  <c r="H2131" i="7"/>
  <c r="H2304" i="7"/>
  <c r="G2304" i="7"/>
  <c r="G2380" i="7"/>
  <c r="H2572" i="7"/>
  <c r="G2572" i="7"/>
  <c r="H2748" i="7"/>
  <c r="G2748" i="7"/>
  <c r="H1625" i="7"/>
  <c r="G1625" i="7"/>
  <c r="H2439" i="7"/>
  <c r="G2439" i="7"/>
  <c r="H2459" i="7"/>
  <c r="G2459" i="7"/>
  <c r="H2544" i="7"/>
  <c r="G2544" i="7"/>
  <c r="G2154" i="7"/>
  <c r="H2236" i="7"/>
  <c r="G2236" i="7"/>
  <c r="H2704" i="7"/>
  <c r="G2704" i="7"/>
  <c r="G2747" i="7"/>
  <c r="H2895" i="7"/>
  <c r="H2308" i="7"/>
  <c r="G2308" i="7"/>
  <c r="H2391" i="7"/>
  <c r="G2391" i="7"/>
  <c r="H2496" i="7"/>
  <c r="G2496" i="7"/>
  <c r="G2812" i="7"/>
  <c r="H2812" i="7"/>
  <c r="G2876" i="7"/>
  <c r="H2876" i="7"/>
  <c r="H3112" i="7"/>
  <c r="G3112" i="7"/>
  <c r="G3153" i="7"/>
  <c r="H3153" i="7"/>
  <c r="H2247" i="7"/>
  <c r="G2247" i="7"/>
  <c r="H2267" i="7"/>
  <c r="G2267" i="7"/>
  <c r="G2332" i="7"/>
  <c r="H2352" i="7"/>
  <c r="G2352" i="7"/>
  <c r="G2367" i="7"/>
  <c r="G2436" i="7"/>
  <c r="H2491" i="7"/>
  <c r="G2491" i="7"/>
  <c r="G2695" i="7"/>
  <c r="H2700" i="7"/>
  <c r="G2700" i="7"/>
  <c r="H2803" i="7"/>
  <c r="G2803" i="7"/>
  <c r="G3103" i="7"/>
  <c r="H3103" i="7"/>
  <c r="H3174" i="7"/>
  <c r="G3174" i="7"/>
  <c r="H2130" i="7"/>
  <c r="G2130" i="7"/>
  <c r="H2451" i="7"/>
  <c r="G2451" i="7"/>
  <c r="G3127" i="7"/>
  <c r="H3127" i="7"/>
  <c r="G3162" i="7"/>
  <c r="G3168" i="7"/>
  <c r="H3284" i="7"/>
  <c r="G3284" i="7"/>
  <c r="G2948" i="7"/>
  <c r="H2948" i="7"/>
  <c r="G3041" i="7"/>
  <c r="H3041" i="7"/>
  <c r="G2083" i="7"/>
  <c r="H2083" i="7"/>
  <c r="H2152" i="7"/>
  <c r="G2152" i="7"/>
  <c r="H2195" i="7"/>
  <c r="G2195" i="7"/>
  <c r="H2284" i="7"/>
  <c r="G2284" i="7"/>
  <c r="H2299" i="7"/>
  <c r="G2299" i="7"/>
  <c r="G2364" i="7"/>
  <c r="H2364" i="7"/>
  <c r="H2672" i="7"/>
  <c r="G2672" i="7"/>
  <c r="H2196" i="7"/>
  <c r="G2196" i="7"/>
  <c r="H2215" i="7"/>
  <c r="G2215" i="7"/>
  <c r="H2259" i="7"/>
  <c r="G2259" i="7"/>
  <c r="G2320" i="7"/>
  <c r="H2379" i="7"/>
  <c r="G2379" i="7"/>
  <c r="H2428" i="7"/>
  <c r="G2428" i="7"/>
  <c r="G2563" i="7"/>
  <c r="H2751" i="7"/>
  <c r="G2751" i="7"/>
  <c r="H2756" i="7"/>
  <c r="G2800" i="7"/>
  <c r="H2403" i="7"/>
  <c r="G2403" i="7"/>
  <c r="H2595" i="7"/>
  <c r="G2595" i="7"/>
  <c r="H2652" i="7"/>
  <c r="G2652" i="7"/>
  <c r="G2959" i="7"/>
  <c r="H2959" i="7"/>
  <c r="H2400" i="7"/>
  <c r="G2400" i="7"/>
  <c r="H2592" i="7"/>
  <c r="G2592" i="7"/>
  <c r="H2911" i="7"/>
  <c r="G2911" i="7"/>
  <c r="H3128" i="7"/>
  <c r="G3128" i="7"/>
  <c r="G3155" i="7"/>
  <c r="H3155" i="7"/>
  <c r="G3163" i="7"/>
  <c r="H3163" i="7"/>
  <c r="H2139" i="7"/>
  <c r="H2187" i="7"/>
  <c r="G2223" i="7"/>
  <c r="G2283" i="7"/>
  <c r="H2307" i="7"/>
  <c r="G2307" i="7"/>
  <c r="G2363" i="7"/>
  <c r="G2368" i="7"/>
  <c r="G2395" i="7"/>
  <c r="G2475" i="7"/>
  <c r="H2499" i="7"/>
  <c r="G2499" i="7"/>
  <c r="G2555" i="7"/>
  <c r="G2560" i="7"/>
  <c r="G2607" i="7"/>
  <c r="G2659" i="7"/>
  <c r="H2739" i="7"/>
  <c r="G2739" i="7"/>
  <c r="G2791" i="7"/>
  <c r="H2796" i="7"/>
  <c r="G2796" i="7"/>
  <c r="G2863" i="7"/>
  <c r="H2872" i="7"/>
  <c r="G3029" i="7"/>
  <c r="H3064" i="7"/>
  <c r="G3064" i="7"/>
  <c r="H3120" i="7"/>
  <c r="G3120" i="7"/>
  <c r="H2583" i="7"/>
  <c r="G2583" i="7"/>
  <c r="G3016" i="7"/>
  <c r="H3016" i="7"/>
  <c r="G3055" i="7"/>
  <c r="H3055" i="7"/>
  <c r="H2256" i="7"/>
  <c r="G2256" i="7"/>
  <c r="H2448" i="7"/>
  <c r="G2448" i="7"/>
  <c r="G2467" i="7"/>
  <c r="G2476" i="7"/>
  <c r="G2500" i="7"/>
  <c r="G2532" i="7"/>
  <c r="H2556" i="7"/>
  <c r="G2608" i="7"/>
  <c r="G2655" i="7"/>
  <c r="G2660" i="7"/>
  <c r="G2707" i="7"/>
  <c r="G2716" i="7"/>
  <c r="H2787" i="7"/>
  <c r="G2787" i="7"/>
  <c r="G2844" i="7"/>
  <c r="H2844" i="7"/>
  <c r="G2864" i="7"/>
  <c r="H2864" i="7"/>
  <c r="G2972" i="7"/>
  <c r="H2972" i="7"/>
  <c r="H3002" i="7"/>
  <c r="G3002" i="7"/>
  <c r="G3009" i="7"/>
  <c r="G3023" i="7"/>
  <c r="H3023" i="7"/>
  <c r="G3071" i="7"/>
  <c r="H3071" i="7"/>
  <c r="H2355" i="7"/>
  <c r="G2355" i="7"/>
  <c r="H2547" i="7"/>
  <c r="G2547" i="7"/>
  <c r="H2631" i="7"/>
  <c r="G2631" i="7"/>
  <c r="G2963" i="7"/>
  <c r="G3003" i="7"/>
  <c r="H3003" i="7"/>
  <c r="H2604" i="7"/>
  <c r="G2604" i="7"/>
  <c r="G2820" i="7"/>
  <c r="H2820" i="7"/>
  <c r="G2932" i="7"/>
  <c r="H2932" i="7"/>
  <c r="H2982" i="7"/>
  <c r="G2982" i="7"/>
  <c r="G3089" i="7"/>
  <c r="H3089" i="7"/>
  <c r="G3131" i="7"/>
  <c r="H3131" i="7"/>
  <c r="G2927" i="7"/>
  <c r="H2927" i="7"/>
  <c r="G3083" i="7"/>
  <c r="H3083" i="7"/>
  <c r="H3216" i="7"/>
  <c r="G3216" i="7"/>
  <c r="G2892" i="7"/>
  <c r="H2892" i="7"/>
  <c r="G3107" i="7"/>
  <c r="H3107" i="7"/>
  <c r="H3156" i="7"/>
  <c r="G3156" i="7"/>
  <c r="H3188" i="7"/>
  <c r="G3188" i="7"/>
  <c r="G3265" i="7"/>
  <c r="H3265" i="7"/>
  <c r="G2860" i="7"/>
  <c r="H2860" i="7"/>
  <c r="G2916" i="7"/>
  <c r="H2916" i="7"/>
  <c r="G2960" i="7"/>
  <c r="H2960" i="7"/>
  <c r="G3004" i="7"/>
  <c r="H3004" i="7"/>
  <c r="G3011" i="7"/>
  <c r="H3011" i="7"/>
  <c r="H3018" i="7"/>
  <c r="G3018" i="7"/>
  <c r="H3032" i="7"/>
  <c r="G3032" i="7"/>
  <c r="G3121" i="7"/>
  <c r="H3121" i="7"/>
  <c r="G3135" i="7"/>
  <c r="H3135" i="7"/>
  <c r="G2940" i="7"/>
  <c r="H2940" i="7"/>
  <c r="G3087" i="7"/>
  <c r="H3087" i="7"/>
  <c r="G3095" i="7"/>
  <c r="H3095" i="7"/>
  <c r="G2640" i="7"/>
  <c r="G2679" i="7"/>
  <c r="G2688" i="7"/>
  <c r="G2727" i="7"/>
  <c r="G2736" i="7"/>
  <c r="G2775" i="7"/>
  <c r="G2784" i="7"/>
  <c r="G2819" i="7"/>
  <c r="H2828" i="7"/>
  <c r="G2884" i="7"/>
  <c r="H2884" i="7"/>
  <c r="H2907" i="7"/>
  <c r="G2955" i="7"/>
  <c r="G2243" i="7"/>
  <c r="G2291" i="7"/>
  <c r="G2339" i="7"/>
  <c r="G2387" i="7"/>
  <c r="G2435" i="7"/>
  <c r="G2483" i="7"/>
  <c r="G2531" i="7"/>
  <c r="G2579" i="7"/>
  <c r="G2627" i="7"/>
  <c r="G2675" i="7"/>
  <c r="G2723" i="7"/>
  <c r="G2771" i="7"/>
  <c r="G2879" i="7"/>
  <c r="H2879" i="7"/>
  <c r="G2908" i="7"/>
  <c r="H2908" i="7"/>
  <c r="G2956" i="7"/>
  <c r="H2956" i="7"/>
  <c r="H2975" i="7"/>
  <c r="G2981" i="7"/>
  <c r="H2981" i="7"/>
  <c r="G2993" i="7"/>
  <c r="G3075" i="7"/>
  <c r="H3075" i="7"/>
  <c r="G3096" i="7"/>
  <c r="G3109" i="7"/>
  <c r="G3137" i="7"/>
  <c r="H3137" i="7"/>
  <c r="H3242" i="7"/>
  <c r="G3242" i="7"/>
  <c r="H2996" i="7"/>
  <c r="G2996" i="7"/>
  <c r="G3039" i="7"/>
  <c r="H3039" i="7"/>
  <c r="G3072" i="7"/>
  <c r="H3080" i="7"/>
  <c r="G3080" i="7"/>
  <c r="G3151" i="7"/>
  <c r="H3151" i="7"/>
  <c r="H3160" i="7"/>
  <c r="G3160" i="7"/>
  <c r="G3233" i="7"/>
  <c r="H3233" i="7"/>
  <c r="H3270" i="7"/>
  <c r="G3270" i="7"/>
  <c r="H3014" i="7"/>
  <c r="G3014" i="7"/>
  <c r="G3027" i="7"/>
  <c r="H3027" i="7"/>
  <c r="G3047" i="7"/>
  <c r="H3047" i="7"/>
  <c r="G3060" i="7"/>
  <c r="H3067" i="7"/>
  <c r="G3073" i="7"/>
  <c r="H3073" i="7"/>
  <c r="H3119" i="7"/>
  <c r="H3126" i="7"/>
  <c r="G3126" i="7"/>
  <c r="G3139" i="7"/>
  <c r="H3139" i="7"/>
  <c r="G3178" i="7"/>
  <c r="H3190" i="7"/>
  <c r="G3190" i="7"/>
  <c r="G3264" i="7"/>
  <c r="H3302" i="7"/>
  <c r="G3302" i="7"/>
  <c r="H3248" i="7"/>
  <c r="G3248" i="7"/>
  <c r="H3205" i="7"/>
  <c r="G3205" i="7"/>
  <c r="G3236" i="7"/>
  <c r="H3297" i="7"/>
  <c r="H3030" i="7"/>
  <c r="G3030" i="7"/>
  <c r="G3043" i="7"/>
  <c r="H3043" i="7"/>
  <c r="G3123" i="7"/>
  <c r="H3123" i="7"/>
  <c r="G3143" i="7"/>
  <c r="H3143" i="7"/>
  <c r="G3169" i="7"/>
  <c r="H3169" i="7"/>
  <c r="H3206" i="7"/>
  <c r="G3206" i="7"/>
  <c r="H3237" i="7"/>
  <c r="G3237" i="7"/>
  <c r="H3256" i="7"/>
  <c r="G3256" i="7"/>
  <c r="G3031" i="7"/>
  <c r="H3031" i="7"/>
  <c r="G3057" i="7"/>
  <c r="H3057" i="7"/>
  <c r="G3274" i="7"/>
  <c r="H3286" i="7"/>
  <c r="G3286" i="7"/>
  <c r="G3025" i="7"/>
  <c r="H3025" i="7"/>
  <c r="H3078" i="7"/>
  <c r="G3078" i="7"/>
  <c r="G3091" i="7"/>
  <c r="H3091" i="7"/>
  <c r="G3269" i="7"/>
  <c r="G3059" i="7"/>
  <c r="H3059" i="7"/>
  <c r="G3079" i="7"/>
  <c r="H3079" i="7"/>
  <c r="G3105" i="7"/>
  <c r="H3105" i="7"/>
  <c r="G3208" i="7"/>
  <c r="H3220" i="7"/>
  <c r="G3220" i="7"/>
  <c r="H3281" i="7"/>
  <c r="H3288" i="7"/>
  <c r="G3288" i="7"/>
  <c r="H2994" i="7"/>
  <c r="G2994" i="7"/>
  <c r="H3254" i="7"/>
  <c r="G3254" i="7"/>
  <c r="H3062" i="7"/>
  <c r="G3062" i="7"/>
  <c r="H3110" i="7"/>
  <c r="G3110" i="7"/>
  <c r="H3158" i="7"/>
  <c r="G3158" i="7"/>
  <c r="H2989" i="7"/>
  <c r="G2995" i="7"/>
  <c r="G3010" i="7"/>
  <c r="G3015" i="7"/>
  <c r="G3056" i="7"/>
  <c r="G3063" i="7"/>
  <c r="H3063" i="7"/>
  <c r="G3104" i="7"/>
  <c r="G3111" i="7"/>
  <c r="H3111" i="7"/>
  <c r="G3152" i="7"/>
  <c r="G3159" i="7"/>
  <c r="H3159" i="7"/>
  <c r="G3176" i="7"/>
  <c r="G3204" i="7"/>
  <c r="G3232" i="7"/>
  <c r="H3238" i="7"/>
  <c r="G3238" i="7"/>
  <c r="H3249" i="7"/>
  <c r="G3272" i="7"/>
  <c r="G3300" i="7"/>
  <c r="G3312" i="7"/>
  <c r="H3313" i="7"/>
  <c r="G3313" i="7"/>
  <c r="H3222" i="7"/>
  <c r="G3222" i="7"/>
  <c r="G3301" i="7"/>
  <c r="H3046" i="7"/>
  <c r="G3046" i="7"/>
  <c r="H3094" i="7"/>
  <c r="G3094" i="7"/>
  <c r="H3142" i="7"/>
  <c r="G3142" i="7"/>
  <c r="G3290" i="7"/>
  <c r="G3316" i="7"/>
  <c r="G3308" i="7"/>
  <c r="G3314" i="7"/>
</calcChain>
</file>

<file path=xl/sharedStrings.xml><?xml version="1.0" encoding="utf-8"?>
<sst xmlns="http://schemas.openxmlformats.org/spreadsheetml/2006/main" count="44714" uniqueCount="3507">
  <si>
    <t>Generic Comet (GC) TIMES Residential</t>
  </si>
  <si>
    <t>Sheet color</t>
  </si>
  <si>
    <t>Parameters</t>
  </si>
  <si>
    <t>City Dashboard</t>
  </si>
  <si>
    <t>GC Databases</t>
  </si>
  <si>
    <t>TIMES formatted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</si>
  <si>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</si>
  <si>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</si>
  <si>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</si>
  <si>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</si>
  <si>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</si>
  <si>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</si>
  <si>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</si>
  <si>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</si>
  <si>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</si>
  <si>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</si>
  <si>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</si>
  <si>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</si>
  <si>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</si>
  <si>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</si>
  <si>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</si>
  <si>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</si>
  <si>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</si>
  <si>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</si>
  <si>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</si>
  <si>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</si>
  <si>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</si>
  <si>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</si>
  <si>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</si>
  <si>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</si>
  <si>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</si>
  <si>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</si>
  <si>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</si>
  <si>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</si>
  <si>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</si>
  <si>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</si>
  <si>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</si>
  <si>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</si>
  <si>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</si>
  <si>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</si>
  <si>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</si>
  <si>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</si>
  <si>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</si>
  <si>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</si>
  <si>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</si>
  <si>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</si>
  <si>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</si>
  <si>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</si>
  <si>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</si>
  <si>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</si>
  <si>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</si>
  <si>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</si>
  <si>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</si>
  <si>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</si>
  <si>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</si>
  <si>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</si>
  <si>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</si>
  <si>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</si>
  <si>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</si>
  <si>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</si>
  <si>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</si>
  <si>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</si>
  <si>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</si>
  <si>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</si>
  <si>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</si>
  <si>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</si>
  <si>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</si>
  <si>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</si>
  <si>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</si>
  <si>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</si>
  <si>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</si>
  <si>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</si>
  <si>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</si>
  <si>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</si>
  <si>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</si>
  <si>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</si>
  <si>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</si>
  <si>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Class</t>
  </si>
  <si>
    <t>Energy</t>
  </si>
  <si>
    <t>First Year</t>
  </si>
  <si>
    <t>Description</t>
  </si>
  <si>
    <t>Input Label</t>
  </si>
  <si>
    <t>Output Label</t>
  </si>
  <si>
    <t>Technology Label</t>
  </si>
  <si>
    <t>To include</t>
  </si>
  <si>
    <t>First availability year</t>
  </si>
  <si>
    <t>CAPEX (2023 US$ / unit)</t>
  </si>
  <si>
    <t>Average size (MWs,PJa,Mlma / Thousands unit)</t>
  </si>
  <si>
    <t>Capacity Unit</t>
  </si>
  <si>
    <t>CAPEX (Thousands 2023 US$ / capacity)</t>
  </si>
  <si>
    <t>Efficiency</t>
  </si>
  <si>
    <t>Efficiency Unit</t>
  </si>
  <si>
    <t>Efficiency (%TJ)</t>
  </si>
  <si>
    <t>Min Lifetime</t>
  </si>
  <si>
    <t>Max Lifetime</t>
  </si>
  <si>
    <t>Average Lifetime (year)</t>
  </si>
  <si>
    <t>CFA</t>
  </si>
  <si>
    <t>C2A</t>
  </si>
  <si>
    <t>Residential</t>
  </si>
  <si>
    <t>Apartment</t>
  </si>
  <si>
    <t>Low Income</t>
  </si>
  <si>
    <t>Old</t>
  </si>
  <si>
    <t>Water heating</t>
  </si>
  <si>
    <t>1</t>
  </si>
  <si>
    <t>Natural gas</t>
  </si>
  <si>
    <t>Water heating  Class1 Natural gas 2016</t>
  </si>
  <si>
    <t>RESNGA</t>
  </si>
  <si>
    <t>RESAPALOOldWHEUE</t>
  </si>
  <si>
    <t>RESAPALOOldWH1NGA20</t>
  </si>
  <si>
    <t>MW</t>
  </si>
  <si>
    <t>UEF</t>
  </si>
  <si>
    <t>2</t>
  </si>
  <si>
    <t>Water heating  Class2 Natural gas 2016</t>
  </si>
  <si>
    <t>RESAPALOOldWH2NGA20</t>
  </si>
  <si>
    <t>3</t>
  </si>
  <si>
    <t>Water heating  Class3 Natural gas 2016</t>
  </si>
  <si>
    <t>RESAPALOOldWH3NGA20</t>
  </si>
  <si>
    <t>Water heating  Class3 Natural gas 2023</t>
  </si>
  <si>
    <t>RESAPALOOldWH3NGA23</t>
  </si>
  <si>
    <t>4</t>
  </si>
  <si>
    <t>Water heating  Class4 Natural gas 2016</t>
  </si>
  <si>
    <t>RESAPALOOldWH4NGA20</t>
  </si>
  <si>
    <t>Water heating  Class4 Natural gas 2018</t>
  </si>
  <si>
    <t>Water heating  Class4 Natural gas 2022</t>
  </si>
  <si>
    <t>RESAPALOOldWH4NGA22</t>
  </si>
  <si>
    <t>Electricity</t>
  </si>
  <si>
    <t>Water heating  Class1 Electricity 2016</t>
  </si>
  <si>
    <t>RESELC</t>
  </si>
  <si>
    <t>RESAPALOOldWH1ELC20</t>
  </si>
  <si>
    <t>Water heating  Class2 Electricity 2016</t>
  </si>
  <si>
    <t>RESAPALOOldWH2ELC20</t>
  </si>
  <si>
    <t>Water heating  Class4 Electricity 2016</t>
  </si>
  <si>
    <t>RESAPALOOldWH4ELC20</t>
  </si>
  <si>
    <t>5</t>
  </si>
  <si>
    <t>Water heating  Class5 Electricity 2016</t>
  </si>
  <si>
    <t>RESAPALOOldWH5ELC20</t>
  </si>
  <si>
    <t>Water heating  Class5 Electricity 2022</t>
  </si>
  <si>
    <t>RESAPALOOldWH5ELC22</t>
  </si>
  <si>
    <t>6</t>
  </si>
  <si>
    <t>Water heating  Class6 Electricity 2016</t>
  </si>
  <si>
    <t>RESAPALOOldWH6ELC20</t>
  </si>
  <si>
    <t>Water heating  Class6 Electricity 2022</t>
  </si>
  <si>
    <t>RESAPALOOldWH6ELC22</t>
  </si>
  <si>
    <t>7</t>
  </si>
  <si>
    <t>Water heating  Class7 Electricity 2016</t>
  </si>
  <si>
    <t>RESAPALOOldWH7ELC20</t>
  </si>
  <si>
    <t>Water heating  Class7 Electricity 2022</t>
  </si>
  <si>
    <t>RESAPALOOldWH7ELC22</t>
  </si>
  <si>
    <t>Fuel oil</t>
  </si>
  <si>
    <t>Water heating  Class1 Fuel oil 2016</t>
  </si>
  <si>
    <t>RESFOI</t>
  </si>
  <si>
    <t>RESAPALOOldWH1FOI20</t>
  </si>
  <si>
    <t>Water heating  Class2 Fuel oil 2016</t>
  </si>
  <si>
    <t>RESAPALOOldWH2FOI20</t>
  </si>
  <si>
    <t>Water heating  Class4 Fuel oil 2016</t>
  </si>
  <si>
    <t>RESAPALOOldWH4FOI20</t>
  </si>
  <si>
    <t>LPG</t>
  </si>
  <si>
    <t>Water heating  Class1 LPG 2016</t>
  </si>
  <si>
    <t>RESLPG</t>
  </si>
  <si>
    <t>RESAPALOOldWH1LPG20</t>
  </si>
  <si>
    <t>Water heating  Class2 LPG 2016</t>
  </si>
  <si>
    <t>RESAPALOOldWH2LPG20</t>
  </si>
  <si>
    <t>Water heating  Class3 LPG 2016</t>
  </si>
  <si>
    <t>RESAPALOOldWH3LPG20</t>
  </si>
  <si>
    <t>Water heating  Class3 LPG 2023</t>
  </si>
  <si>
    <t>RESAPALOOldWH3LPG23</t>
  </si>
  <si>
    <t>Water heating  Class4 LPG 2016</t>
  </si>
  <si>
    <t>RESAPALOOldWH4LPG20</t>
  </si>
  <si>
    <t>Water heating  Class4 LPG 2018</t>
  </si>
  <si>
    <t>Solar</t>
  </si>
  <si>
    <t>Water heating  Class2 Solar 2016</t>
  </si>
  <si>
    <t>RESSOL</t>
  </si>
  <si>
    <t>RESAPALOOldWH2SOL20</t>
  </si>
  <si>
    <t>SEF</t>
  </si>
  <si>
    <t>Water heating  Class2 Solar 2020</t>
  </si>
  <si>
    <t>Water heating  Class2 Solar 2023</t>
  </si>
  <si>
    <t>RESAPALOOldWH2SOL23</t>
  </si>
  <si>
    <t>Water heating  Class2 Solar 2024</t>
  </si>
  <si>
    <t>RESAPALOOldWH2SOL24</t>
  </si>
  <si>
    <t>Space heating</t>
  </si>
  <si>
    <t>Air HP</t>
  </si>
  <si>
    <t>Space heating Air HP Class1 Electricity 2016</t>
  </si>
  <si>
    <t>RESAPALOOldSHEUE</t>
  </si>
  <si>
    <t>RESAPALOOldSHAHP1ELC20</t>
  </si>
  <si>
    <t>COP</t>
  </si>
  <si>
    <t>Space heating Air HP Class1 Electricity 2023</t>
  </si>
  <si>
    <t>RESAPALOOldSHAHP1ELC23</t>
  </si>
  <si>
    <t>Space heating Air HP Class2 Electricity 2016</t>
  </si>
  <si>
    <t>RESAPALOOldSHAHP2ELC20</t>
  </si>
  <si>
    <t>Space heating Air HP Class2 Electricity 2023</t>
  </si>
  <si>
    <t>RESAPALOOldSHAHP2ELC23</t>
  </si>
  <si>
    <t>Space heating Air HP Class3 Electricity 2016</t>
  </si>
  <si>
    <t>RESAPALOOldSHAHP3ELC20</t>
  </si>
  <si>
    <t>Space heating Air HP Class3 Electricity 2022</t>
  </si>
  <si>
    <t>RESAPALOOldSHAHP3ELC22</t>
  </si>
  <si>
    <t>Space heating Air HP Class3 Electricity 2023</t>
  </si>
  <si>
    <t>RESAPALOOldSHAHP3ELC23</t>
  </si>
  <si>
    <t>Space heating Air HP Class4 Electricity 2016</t>
  </si>
  <si>
    <t>RESAPALOOldSHAHP4ELC20</t>
  </si>
  <si>
    <t>Space heating Air HP Class4 Electricity 2022</t>
  </si>
  <si>
    <t>RESAPALOOldSHAHP4ELC22</t>
  </si>
  <si>
    <t>Geothermal HP</t>
  </si>
  <si>
    <t>Space heating Geothermal HP Class1 Electricity 2016</t>
  </si>
  <si>
    <t>RESAPALOOldSHGHP1ELC20</t>
  </si>
  <si>
    <t>Space heating Geothermal HP Class2 Electricity 2016</t>
  </si>
  <si>
    <t>RESAPALOOldSHGHP2ELC20</t>
  </si>
  <si>
    <t>Space heating Geothermal HP Class3 Electricity 2016</t>
  </si>
  <si>
    <t>RESAPALOOldSHGHP3ELC20</t>
  </si>
  <si>
    <t>Space heating Geothermal HP Class3 Electricity 2020</t>
  </si>
  <si>
    <t>Space heating Geothermal HP Class3 Electricity 2022</t>
  </si>
  <si>
    <t>RESAPALOOldSHGHP3ELC22</t>
  </si>
  <si>
    <t>Space heating Geothermal HP Class3 Electricity 2023</t>
  </si>
  <si>
    <t>RESAPALOOldSHGHP3ELC23</t>
  </si>
  <si>
    <t>Space heating Geothermal HP Class3 Electricity 2024</t>
  </si>
  <si>
    <t>RESAPALOOldSHGHP3ELC24</t>
  </si>
  <si>
    <t>Space heating Geothermal HP Class4 Electricity 2016</t>
  </si>
  <si>
    <t>RESAPALOOldSHGHP4ELC20</t>
  </si>
  <si>
    <t>Space heating Geothermal HP Class4 Electricity 2020</t>
  </si>
  <si>
    <t>Space heating Geothermal HP Class4 Electricity 2022</t>
  </si>
  <si>
    <t>RESAPALOOldSHGHP4ELC22</t>
  </si>
  <si>
    <t>Space heating Geothermal HP Class4 Electricity 2023</t>
  </si>
  <si>
    <t>RESAPALOOldSHGHP4ELC23</t>
  </si>
  <si>
    <t>Space heating Geothermal HP Class4 Electricity 2024</t>
  </si>
  <si>
    <t>RESAPALOOldSHGHP4ELC24</t>
  </si>
  <si>
    <t>Radiant</t>
  </si>
  <si>
    <t>Space heating Radiant Class2 Electricity 2016</t>
  </si>
  <si>
    <t>RESAPALOOldSHRAD2ELC20</t>
  </si>
  <si>
    <t>AFUE</t>
  </si>
  <si>
    <t>Furnace</t>
  </si>
  <si>
    <t>Space heating Furnace Class1 Natural gas 2016</t>
  </si>
  <si>
    <t>RESAPALOOldSHFUR1NGA20</t>
  </si>
  <si>
    <t>Space heating Furnace Class2 Natural gas 2016</t>
  </si>
  <si>
    <t>RESAPALOOldSHFUR2NGA20</t>
  </si>
  <si>
    <t>Space heating Furnace Class2 Natural gas 2020</t>
  </si>
  <si>
    <t>Space heating Furnace Class3 Natural gas 2016</t>
  </si>
  <si>
    <t>RESAPALOOldSHFUR3NGA20</t>
  </si>
  <si>
    <t>Space heating Furnace Class3 Natural gas 2022</t>
  </si>
  <si>
    <t>RESAPALOOldSHFUR3NGA22</t>
  </si>
  <si>
    <t>Space heating Furnace Class4 Natural gas 2016</t>
  </si>
  <si>
    <t>RESAPALOOldSHFUR4NGA20</t>
  </si>
  <si>
    <t>Space heating Furnace Class4 Natural gas 2022</t>
  </si>
  <si>
    <t>RESAPALOOldSHFUR4NGA22</t>
  </si>
  <si>
    <t>Space heating Radiant Class1 Natural gas 2016</t>
  </si>
  <si>
    <t>RESAPALOOldSHRAD1NGA20</t>
  </si>
  <si>
    <t>Space heating Radiant Class1 Natural gas 2021</t>
  </si>
  <si>
    <t>RESAPALOOldSHRAD1NGA21</t>
  </si>
  <si>
    <t>Space heating Radiant Class2 Natural gas 2016</t>
  </si>
  <si>
    <t>RESAPALOOldSHRAD2NGA20</t>
  </si>
  <si>
    <t>Space heating Radiant Class2 Natural gas 2020</t>
  </si>
  <si>
    <t>Space heating Radiant Class3 Natural gas 2016</t>
  </si>
  <si>
    <t>RESAPALOOldSHRAD3NGA20</t>
  </si>
  <si>
    <t>Space heating Radiant Class4 Natural gas 2016</t>
  </si>
  <si>
    <t>RESAPALOOldSHRAD4NGA20</t>
  </si>
  <si>
    <t>Space heating Radiant Class4 Natural gas 2022</t>
  </si>
  <si>
    <t>RESAPALOOldSHRAD4NGA22</t>
  </si>
  <si>
    <t>Kerosene</t>
  </si>
  <si>
    <t>Space heating Furnace Class1 Kerosene 2016</t>
  </si>
  <si>
    <t>RESKER</t>
  </si>
  <si>
    <t>RESAPALOOldSHFUR1KER20</t>
  </si>
  <si>
    <t>Space heating Furnace Class2 Kerosene 2016</t>
  </si>
  <si>
    <t>RESAPALOOldSHFUR2KER20</t>
  </si>
  <si>
    <t>Space heating Furnace Class2 Kerosene 2020</t>
  </si>
  <si>
    <t>Space heating Furnace Class3 Kerosene 2016</t>
  </si>
  <si>
    <t>RESAPALOOldSHFUR3KER20</t>
  </si>
  <si>
    <t>Space heating Furnace Class4 Kerosene 2016</t>
  </si>
  <si>
    <t>RESAPALOOldSHFUR4KER20</t>
  </si>
  <si>
    <t>Space heating Furnace Class4 Kerosene 2020</t>
  </si>
  <si>
    <t>Space heating Furnace Class1 LPG 2016</t>
  </si>
  <si>
    <t>RESAPALOOldSHFUR1LPG20</t>
  </si>
  <si>
    <t>Space heating Furnace Class2 LPG 2016</t>
  </si>
  <si>
    <t>RESAPALOOldSHFUR2LPG20</t>
  </si>
  <si>
    <t>Space heating Furnace Class2 LPG 2020</t>
  </si>
  <si>
    <t>Space heating Furnace Class3 LPG 2016</t>
  </si>
  <si>
    <t>RESAPALOOldSHFUR3LPG20</t>
  </si>
  <si>
    <t>Space heating Furnace Class3 LPG 2022</t>
  </si>
  <si>
    <t>RESAPALOOldSHFUR3LPG22</t>
  </si>
  <si>
    <t>Space heating Furnace Class4 LPG 2016</t>
  </si>
  <si>
    <t>RESAPALOOldSHFUR4LPG20</t>
  </si>
  <si>
    <t>Space heating Furnace Class4 LPG 2022</t>
  </si>
  <si>
    <t>RESAPALOOldSHFUR4LPG22</t>
  </si>
  <si>
    <t>Space heating Furnace Class1 Fuel oil 2016</t>
  </si>
  <si>
    <t>RESAPALOOldSHFUR1FOI20</t>
  </si>
  <si>
    <t>Space heating Furnace Class2 Fuel oil 2016</t>
  </si>
  <si>
    <t>RESAPALOOldSHFUR2FOI20</t>
  </si>
  <si>
    <t>Space heating Furnace Class2 Fuel oil 2022</t>
  </si>
  <si>
    <t>RESAPALOOldSHFUR2FOI22</t>
  </si>
  <si>
    <t>Space heating Furnace Class3 Fuel oil 2016</t>
  </si>
  <si>
    <t>RESAPALOOldSHFUR3FOI20</t>
  </si>
  <si>
    <t>Space heating Furnace Class4 Fuel oil 2016</t>
  </si>
  <si>
    <t>RESAPALOOldSHFUR4FOI20</t>
  </si>
  <si>
    <t>Space heating Furnace Class4 Fuel oil 2022</t>
  </si>
  <si>
    <t>RESAPALOOldSHFUR4FOI22</t>
  </si>
  <si>
    <t>Space heating Radiant Class1 Fuel oil 2016</t>
  </si>
  <si>
    <t>RESAPALOOldSHRAD1FOI20</t>
  </si>
  <si>
    <t>Space heating Radiant Class1 Fuel oil 2022</t>
  </si>
  <si>
    <t>RESAPALOOldSHRAD1FOI22</t>
  </si>
  <si>
    <t>Space heating Radiant Class2 Fuel oil 2016</t>
  </si>
  <si>
    <t>RESAPALOOldSHRAD2FOI20</t>
  </si>
  <si>
    <t>Space heating Radiant Class2 Fuel oil 2022</t>
  </si>
  <si>
    <t>RESAPALOOldSHRAD2FOI22</t>
  </si>
  <si>
    <t>Space heating Radiant Class3 Fuel oil 2016</t>
  </si>
  <si>
    <t>RESAPALOOldSHRAD3FOI20</t>
  </si>
  <si>
    <t>Space heating Radiant Class4 Fuel oil 2016</t>
  </si>
  <si>
    <t>RESAPALOOldSHRAD4FOI20</t>
  </si>
  <si>
    <t>Space cooling</t>
  </si>
  <si>
    <t>Space cooling Air HP Class2 Natural gas 2016</t>
  </si>
  <si>
    <t>RESAPALOOldSCEUE</t>
  </si>
  <si>
    <t>RESAPALOOldSCAHP2NGA20</t>
  </si>
  <si>
    <t>Space cooling Air HP Class2 Natural gas 2020</t>
  </si>
  <si>
    <t>Space cooling Air HP Class1 Electricity 2016</t>
  </si>
  <si>
    <t>RESAPALOOldSCAHP1ELC20</t>
  </si>
  <si>
    <t>Space cooling Air HP Class1 Electricity 2023</t>
  </si>
  <si>
    <t>RESAPALOOldSCAHP1ELC23</t>
  </si>
  <si>
    <t>Space cooling Air HP Class2 Electricity 2016</t>
  </si>
  <si>
    <t>RESAPALOOldSCAHP2ELC20</t>
  </si>
  <si>
    <t>Space cooling Air HP Class2 Electricity 2023</t>
  </si>
  <si>
    <t>RESAPALOOldSCAHP2ELC23</t>
  </si>
  <si>
    <t>Space cooling Air HP Class3 Electricity 2016</t>
  </si>
  <si>
    <t>RESAPALOOldSCAHP3ELC20</t>
  </si>
  <si>
    <t>Space cooling Air HP Class3 Electricity 2022</t>
  </si>
  <si>
    <t>RESAPALOOldSCAHP3ELC22</t>
  </si>
  <si>
    <t>Space cooling Air HP Class3 Electricity 2023</t>
  </si>
  <si>
    <t>RESAPALOOldSCAHP3ELC23</t>
  </si>
  <si>
    <t>Space cooling Air HP Class4 Electricity 2016</t>
  </si>
  <si>
    <t>RESAPALOOldSCAHP4ELC20</t>
  </si>
  <si>
    <t>Space cooling Air HP Class4 Electricity 2022</t>
  </si>
  <si>
    <t>RESAPALOOldSCAHP4ELC22</t>
  </si>
  <si>
    <t>Space cooling Geothermal HP Class1 Electricity 2016</t>
  </si>
  <si>
    <t>RESAPALOOldSCGHP1ELC20</t>
  </si>
  <si>
    <t>EER</t>
  </si>
  <si>
    <t>Space cooling Geothermal HP Class2 Electricity 2016</t>
  </si>
  <si>
    <t>RESAPALOOldSCGHP2ELC20</t>
  </si>
  <si>
    <t>Space cooling Geothermal HP Class3 Electricity 2016</t>
  </si>
  <si>
    <t>RESAPALOOldSCGHP3ELC20</t>
  </si>
  <si>
    <t>Space cooling Geothermal HP Class3 Electricity 2020</t>
  </si>
  <si>
    <t>Space cooling Geothermal HP Class3 Electricity 2022</t>
  </si>
  <si>
    <t>RESAPALOOldSCGHP3ELC22</t>
  </si>
  <si>
    <t>Space cooling Geothermal HP Class3 Electricity 2023</t>
  </si>
  <si>
    <t>RESAPALOOldSCGHP3ELC23</t>
  </si>
  <si>
    <t>Space cooling Geothermal HP Class3 Electricity 2024</t>
  </si>
  <si>
    <t>RESAPALOOldSCGHP3ELC24</t>
  </si>
  <si>
    <t>Space cooling Geothermal HP Class4 Electricity 2016</t>
  </si>
  <si>
    <t>RESAPALOOldSCGHP4ELC20</t>
  </si>
  <si>
    <t>Space cooling Geothermal HP Class4 Electricity 2020</t>
  </si>
  <si>
    <t>Space cooling Geothermal HP Class4 Electricity 2022</t>
  </si>
  <si>
    <t>RESAPALOOldSCGHP4ELC22</t>
  </si>
  <si>
    <t>Space cooling Geothermal HP Class4 Electricity 2023</t>
  </si>
  <si>
    <t>RESAPALOOldSCGHP4ELC23</t>
  </si>
  <si>
    <t>Space cooling Geothermal HP Class4 Electricity 2024</t>
  </si>
  <si>
    <t>RESAPALOOldSCGHP4ELC24</t>
  </si>
  <si>
    <t>Room AC</t>
  </si>
  <si>
    <t>Space cooling Room AC Class1 Electricity 2016</t>
  </si>
  <si>
    <t>RESAPALOOldSCRAC1ELC20</t>
  </si>
  <si>
    <t>Space cooling Room AC Class2 Electricity 2016</t>
  </si>
  <si>
    <t>RESAPALOOldSCRAC2ELC20</t>
  </si>
  <si>
    <t>Space cooling Room AC Class2 Electricity 2030</t>
  </si>
  <si>
    <t>RESAPALOOldSCRAC2ELC30</t>
  </si>
  <si>
    <t>Space cooling Room AC Class2 Electricity 2040</t>
  </si>
  <si>
    <t>RESAPALOOldSCRAC2ELC40</t>
  </si>
  <si>
    <t>Space cooling Room AC Class3 Electricity 2016</t>
  </si>
  <si>
    <t>RESAPALOOldSCRAC3ELC20</t>
  </si>
  <si>
    <t>Space cooling Room AC Class4 Electricity 2016</t>
  </si>
  <si>
    <t>RESAPALOOldSCRAC4ELC20</t>
  </si>
  <si>
    <t>Space cooling Room AC Class4 Electricity 2022</t>
  </si>
  <si>
    <t>RESAPALOOldSCRAC4ELC22</t>
  </si>
  <si>
    <t>Space cooling Room AC Class4 Electricity 2030</t>
  </si>
  <si>
    <t>RESAPALOOldSCRAC4ELC30</t>
  </si>
  <si>
    <t>Space cooling Room AC Class4 Electricity 2040</t>
  </si>
  <si>
    <t>RESAPALOOldSCRAC4ELC40</t>
  </si>
  <si>
    <t>Central AC</t>
  </si>
  <si>
    <t>Space cooling Central AC Class1 Electricity 2016</t>
  </si>
  <si>
    <t>RESAPALOOldSCCAC1ELC20</t>
  </si>
  <si>
    <t>Space cooling Central AC Class1 Electricity 2023</t>
  </si>
  <si>
    <t>RESAPALOOldSCCAC1ELC23</t>
  </si>
  <si>
    <t>Space cooling Central AC Class2 Electricity 2016</t>
  </si>
  <si>
    <t>RESAPALOOldSCCAC2ELC20</t>
  </si>
  <si>
    <t>Space cooling Central AC Class2 Electricity 2023</t>
  </si>
  <si>
    <t>RESAPALOOldSCCAC2ELC23</t>
  </si>
  <si>
    <t>Space cooling Central AC Class3 Electricity 2016</t>
  </si>
  <si>
    <t>RESAPALOOldSCCAC3ELC20</t>
  </si>
  <si>
    <t>Space cooling Central AC Class3 Electricity 2023</t>
  </si>
  <si>
    <t>RESAPALOOldSCCAC3ELC23</t>
  </si>
  <si>
    <t>Space cooling Central AC Class4 Electricity 2016</t>
  </si>
  <si>
    <t>RESAPALOOldSCCAC4ELC20</t>
  </si>
  <si>
    <t>Space cooling Central AC Class4 Electricity 2022</t>
  </si>
  <si>
    <t>RESAPALOOldSCCAC4ELC22</t>
  </si>
  <si>
    <t>Refrigeration</t>
  </si>
  <si>
    <t>TF1</t>
  </si>
  <si>
    <t>Refrigeration  ClassTF1 Electricity 2016</t>
  </si>
  <si>
    <t>RESAPALOOldREEUE</t>
  </si>
  <si>
    <t>RESAPALOOldRETF1ELC20</t>
  </si>
  <si>
    <t>TJa</t>
  </si>
  <si>
    <t>kWh/yr</t>
  </si>
  <si>
    <t>TF2</t>
  </si>
  <si>
    <t>Refrigeration  ClassTF2 Electricity 2016</t>
  </si>
  <si>
    <t>RESAPALOOldRETF2ELC20</t>
  </si>
  <si>
    <t>TF3</t>
  </si>
  <si>
    <t>Refrigeration  ClassTF3 Electricity 2016</t>
  </si>
  <si>
    <t>RESAPALOOldRETF3ELC20</t>
  </si>
  <si>
    <t>TF4</t>
  </si>
  <si>
    <t>Refrigeration  ClassTF4 Electricity 2016</t>
  </si>
  <si>
    <t>RESAPALOOldRETF4ELC20</t>
  </si>
  <si>
    <t>SF1</t>
  </si>
  <si>
    <t>Refrigeration  ClassSF1 Electricity 2016</t>
  </si>
  <si>
    <t>RESAPALOOldRESF1ELC20</t>
  </si>
  <si>
    <t>SF2</t>
  </si>
  <si>
    <t>Refrigeration  ClassSF2 Electricity 2016</t>
  </si>
  <si>
    <t>RESAPALOOldRESF2ELC20</t>
  </si>
  <si>
    <t>SF3</t>
  </si>
  <si>
    <t>Refrigeration  ClassSF3 Electricity 2016</t>
  </si>
  <si>
    <t>RESAPALOOldRESF3ELC20</t>
  </si>
  <si>
    <t>SF4</t>
  </si>
  <si>
    <t>Refrigeration  ClassSF4 Electricity 2016</t>
  </si>
  <si>
    <t>RESAPALOOldRESF4ELC20</t>
  </si>
  <si>
    <t>BF1</t>
  </si>
  <si>
    <t>Refrigeration  ClassBF1 Electricity 2016</t>
  </si>
  <si>
    <t>RESAPALOOldREBF1ELC20</t>
  </si>
  <si>
    <t>BF2</t>
  </si>
  <si>
    <t>Refrigeration  ClassBF2 Electricity 2016</t>
  </si>
  <si>
    <t>RESAPALOOldREBF2ELC20</t>
  </si>
  <si>
    <t>BF3</t>
  </si>
  <si>
    <t>Refrigeration  ClassBF3 Electricity 2016</t>
  </si>
  <si>
    <t>RESAPALOOldREBF3ELC20</t>
  </si>
  <si>
    <t>BF4</t>
  </si>
  <si>
    <t>Refrigeration  ClassBF4 Electricity 2016</t>
  </si>
  <si>
    <t>RESAPALOOldREBF4ELC20</t>
  </si>
  <si>
    <t>Freezing</t>
  </si>
  <si>
    <t>C1</t>
  </si>
  <si>
    <t>Freezing  ClassC1 Electricity 2016</t>
  </si>
  <si>
    <t>RESAPALOOldFREUE</t>
  </si>
  <si>
    <t>RESAPALOOldFRC1ELC20</t>
  </si>
  <si>
    <t>C2</t>
  </si>
  <si>
    <t>Freezing  ClassC2 Electricity 2016</t>
  </si>
  <si>
    <t>RESAPALOOldFRC2ELC20</t>
  </si>
  <si>
    <t>C3</t>
  </si>
  <si>
    <t>Freezing  ClassC3 Electricity 2016</t>
  </si>
  <si>
    <t>RESAPALOOldFRC3ELC20</t>
  </si>
  <si>
    <t>C4</t>
  </si>
  <si>
    <t>Freezing  ClassC4 Electricity 2016</t>
  </si>
  <si>
    <t>RESAPALOOldFRC4ELC20</t>
  </si>
  <si>
    <t>U1</t>
  </si>
  <si>
    <t>Freezing  ClassU1 Electricity 2016</t>
  </si>
  <si>
    <t>RESAPALOOldFRU1ELC20</t>
  </si>
  <si>
    <t>U2</t>
  </si>
  <si>
    <t>Freezing  ClassU2 Electricity 2016</t>
  </si>
  <si>
    <t>RESAPALOOldFRU2ELC20</t>
  </si>
  <si>
    <t>U3</t>
  </si>
  <si>
    <t>Freezing  ClassU3 Electricity 2016</t>
  </si>
  <si>
    <t>RESAPALOOldFRU3ELC20</t>
  </si>
  <si>
    <t>U4</t>
  </si>
  <si>
    <t>Freezing  ClassU4 Electricity 2016</t>
  </si>
  <si>
    <t>RESAPALOOldFRU4ELC20</t>
  </si>
  <si>
    <t>Cooking</t>
  </si>
  <si>
    <t>Cooking  Class2 Natural gas 2016</t>
  </si>
  <si>
    <t>RESAPALOOldCKEUE</t>
  </si>
  <si>
    <t>RESAPALOOldCK2NGA20</t>
  </si>
  <si>
    <t>% efficiency</t>
  </si>
  <si>
    <t>Cooking  Class4 Natural gas 2016</t>
  </si>
  <si>
    <t>RESAPALOOldCK4NGA20</t>
  </si>
  <si>
    <t>Cooking  Class2 LPG 2016</t>
  </si>
  <si>
    <t>RESAPALOOldCK2LPG20</t>
  </si>
  <si>
    <t>Cooking  Class4 LPG 2016</t>
  </si>
  <si>
    <t>RESAPALOOldCK4LPG20</t>
  </si>
  <si>
    <t>Cooking  Class2 Electricity 2016</t>
  </si>
  <si>
    <t>RESAPALOOldCK2ELC20</t>
  </si>
  <si>
    <t>Clothes washing</t>
  </si>
  <si>
    <t>F4</t>
  </si>
  <si>
    <t>Clothes washing  ClassF4 Electricity 2030</t>
  </si>
  <si>
    <t>RESAPALOOldCWEUE</t>
  </si>
  <si>
    <t>RESAPALOOldCWF4ELC30</t>
  </si>
  <si>
    <t>kWh/cycle</t>
  </si>
  <si>
    <t>T1</t>
  </si>
  <si>
    <t>Clothes washing  ClassT1 Electricity 2016</t>
  </si>
  <si>
    <t>RESAPALOOldCWT1ELC20</t>
  </si>
  <si>
    <t>T2</t>
  </si>
  <si>
    <t>Clothes washing  ClassT2 Electricity 2016</t>
  </si>
  <si>
    <t>RESAPALOOldCWT2ELC20</t>
  </si>
  <si>
    <t>Clothes washing  ClassT2 Electricity 2020</t>
  </si>
  <si>
    <t>T3</t>
  </si>
  <si>
    <t>Clothes washing  ClassT3 Electricity 2016</t>
  </si>
  <si>
    <t>RESAPALOOldCWT3ELC20</t>
  </si>
  <si>
    <t>T4</t>
  </si>
  <si>
    <t>Clothes washing  ClassT4 Electricity 2016</t>
  </si>
  <si>
    <t>RESAPALOOldCWT4ELC20</t>
  </si>
  <si>
    <t>F1</t>
  </si>
  <si>
    <t>Clothes washing  ClassF1 Electricity 2016</t>
  </si>
  <si>
    <t>RESAPALOOldCWF1ELC20</t>
  </si>
  <si>
    <t>F2</t>
  </si>
  <si>
    <t>Clothes washing  ClassF2 Electricity 2016</t>
  </si>
  <si>
    <t>RESAPALOOldCWF2ELC20</t>
  </si>
  <si>
    <t>Clothes washing  ClassF2 Electricity 2030</t>
  </si>
  <si>
    <t>RESAPALOOldCWF2ELC30</t>
  </si>
  <si>
    <t>F3</t>
  </si>
  <si>
    <t>Clothes washing  ClassF3 Electricity 2016</t>
  </si>
  <si>
    <t>RESAPALOOldCWF3ELC20</t>
  </si>
  <si>
    <t>Clothes washing  ClassF4 Electricity 2016</t>
  </si>
  <si>
    <t>RESAPALOOldCWF4ELC20</t>
  </si>
  <si>
    <t>Clothes washing  ClassF4 Electricity 2020</t>
  </si>
  <si>
    <t>Clothes drying</t>
  </si>
  <si>
    <t>Clothes drying  Class1 Natural gas 2016</t>
  </si>
  <si>
    <t>RESAPALOOldCDEUE</t>
  </si>
  <si>
    <t>RESAPALOOldCD1NGA20</t>
  </si>
  <si>
    <t>CEF</t>
  </si>
  <si>
    <t>Clothes drying  Class2 Natural gas 2016</t>
  </si>
  <si>
    <t>RESAPALOOldCD2NGA20</t>
  </si>
  <si>
    <t>Clothes drying  Class3 Natural gas 2016</t>
  </si>
  <si>
    <t>RESAPALOOldCD3NGA20</t>
  </si>
  <si>
    <t>Clothes drying  Class4 Natural gas 2016</t>
  </si>
  <si>
    <t>RESAPALOOldCD4NGA20</t>
  </si>
  <si>
    <t>Clothes drying  Class4 Natural gas 2030</t>
  </si>
  <si>
    <t>RESAPALOOldCD4NGA30</t>
  </si>
  <si>
    <t>Clothes drying  Class1 Electricity 2016</t>
  </si>
  <si>
    <t>RESAPALOOldCD1ELC20</t>
  </si>
  <si>
    <t>Clothes drying  Class2 Electricity 2016</t>
  </si>
  <si>
    <t>RESAPALOOldCD2ELC20</t>
  </si>
  <si>
    <t>Clothes drying  Class3 Electricity 2016</t>
  </si>
  <si>
    <t>RESAPALOOldCD3ELC20</t>
  </si>
  <si>
    <t>Clothes drying  Class4 Electricity 2016</t>
  </si>
  <si>
    <t>RESAPALOOldCD4ELC20</t>
  </si>
  <si>
    <t>House</t>
  </si>
  <si>
    <t>RESHOULOOldWHEUE</t>
  </si>
  <si>
    <t>RESHOULOOldWH1NGA20</t>
  </si>
  <si>
    <t>RESHOULOOldWH2NGA20</t>
  </si>
  <si>
    <t>RESHOULOOldWH3NGA20</t>
  </si>
  <si>
    <t>RESHOULOOldWH3NGA23</t>
  </si>
  <si>
    <t>RESHOULOOldWH4NGA20</t>
  </si>
  <si>
    <t>RESHOULOOldWH4NGA22</t>
  </si>
  <si>
    <t>RESHOULOOldWH1ELC20</t>
  </si>
  <si>
    <t>RESHOULOOldWH2ELC20</t>
  </si>
  <si>
    <t>RESHOULOOldWH4ELC20</t>
  </si>
  <si>
    <t>RESHOULOOldWH5ELC20</t>
  </si>
  <si>
    <t>RESHOULOOldWH5ELC22</t>
  </si>
  <si>
    <t>RESHOULOOldWH6ELC20</t>
  </si>
  <si>
    <t>RESHOULOOldWH6ELC22</t>
  </si>
  <si>
    <t>RESHOULOOldWH7ELC20</t>
  </si>
  <si>
    <t>RESHOULOOldWH7ELC22</t>
  </si>
  <si>
    <t>RESHOULOOldWH1FOI20</t>
  </si>
  <si>
    <t>RESHOULOOldWH2FOI20</t>
  </si>
  <si>
    <t>RESHOULOOldWH4FOI20</t>
  </si>
  <si>
    <t>RESHOULOOldWH1LPG20</t>
  </si>
  <si>
    <t>RESHOULOOldWH2LPG20</t>
  </si>
  <si>
    <t>RESHOULOOldWH3LPG20</t>
  </si>
  <si>
    <t>RESHOULOOldWH3LPG23</t>
  </si>
  <si>
    <t>RESHOULOOldWH4LPG20</t>
  </si>
  <si>
    <t>RESHOULOOldWH2SOL20</t>
  </si>
  <si>
    <t>RESHOULOOldWH2SOL23</t>
  </si>
  <si>
    <t>RESHOULOOldWH2SOL24</t>
  </si>
  <si>
    <t>RESHOULOOldSHEUE</t>
  </si>
  <si>
    <t>RESHOULOOldSHAHP1ELC20</t>
  </si>
  <si>
    <t>RESHOULOOldSHAHP1ELC23</t>
  </si>
  <si>
    <t>RESHOULOOldSHAHP2ELC20</t>
  </si>
  <si>
    <t>RESHOULOOldSHAHP2ELC23</t>
  </si>
  <si>
    <t>RESHOULOOldSHAHP3ELC20</t>
  </si>
  <si>
    <t>RESHOULOOldSHAHP3ELC22</t>
  </si>
  <si>
    <t>RESHOULOOldSHAHP3ELC23</t>
  </si>
  <si>
    <t>RESHOULOOldSHAHP4ELC20</t>
  </si>
  <si>
    <t>RESHOULOOldSHAHP4ELC22</t>
  </si>
  <si>
    <t>RESHOULOOldSHGHP1ELC20</t>
  </si>
  <si>
    <t>RESHOULOOldSHGHP2ELC20</t>
  </si>
  <si>
    <t>RESHOULOOldSHGHP3ELC20</t>
  </si>
  <si>
    <t>RESHOULOOldSHGHP3ELC22</t>
  </si>
  <si>
    <t>RESHOULOOldSHGHP3ELC23</t>
  </si>
  <si>
    <t>RESHOULOOldSHGHP3ELC24</t>
  </si>
  <si>
    <t>RESHOULOOldSHGHP4ELC20</t>
  </si>
  <si>
    <t>RESHOULOOldSHGHP4ELC22</t>
  </si>
  <si>
    <t>RESHOULOOldSHGHP4ELC23</t>
  </si>
  <si>
    <t>RESHOULOOldSHGHP4ELC24</t>
  </si>
  <si>
    <t>RESHOULOOldSHRAD2ELC20</t>
  </si>
  <si>
    <t>RESHOULOOldSHFUR1NGA20</t>
  </si>
  <si>
    <t>RESHOULOOldSHFUR2NGA20</t>
  </si>
  <si>
    <t>RESHOULOOldSHFUR3NGA20</t>
  </si>
  <si>
    <t>RESHOULOOldSHFUR3NGA22</t>
  </si>
  <si>
    <t>RESHOULOOldSHFUR4NGA20</t>
  </si>
  <si>
    <t>RESHOULOOldSHFUR4NGA22</t>
  </si>
  <si>
    <t>RESHOULOOldSHRAD1NGA20</t>
  </si>
  <si>
    <t>RESHOULOOldSHRAD1NGA21</t>
  </si>
  <si>
    <t>RESHOULOOldSHRAD2NGA20</t>
  </si>
  <si>
    <t>RESHOULOOldSHRAD3NGA20</t>
  </si>
  <si>
    <t>RESHOULOOldSHRAD4NGA20</t>
  </si>
  <si>
    <t>RESHOULOOldSHRAD4NGA22</t>
  </si>
  <si>
    <t>RESHOULOOldSHFUR1KER20</t>
  </si>
  <si>
    <t>RESHOULOOldSHFUR2KER20</t>
  </si>
  <si>
    <t>RESHOULOOldSHFUR3KER20</t>
  </si>
  <si>
    <t>RESHOULOOldSHFUR4KER20</t>
  </si>
  <si>
    <t>RESHOULOOldSHFUR1LPG20</t>
  </si>
  <si>
    <t>RESHOULOOldSHFUR2LPG20</t>
  </si>
  <si>
    <t>RESHOULOOldSHFUR3LPG20</t>
  </si>
  <si>
    <t>RESHOULOOldSHFUR3LPG22</t>
  </si>
  <si>
    <t>RESHOULOOldSHFUR4LPG20</t>
  </si>
  <si>
    <t>RESHOULOOldSHFUR4LPG22</t>
  </si>
  <si>
    <t>RESHOULOOldSHFUR1FOI20</t>
  </si>
  <si>
    <t>RESHOULOOldSHFUR2FOI20</t>
  </si>
  <si>
    <t>RESHOULOOldSHFUR2FOI22</t>
  </si>
  <si>
    <t>RESHOULOOldSHFUR3FOI20</t>
  </si>
  <si>
    <t>RESHOULOOldSHFUR4FOI20</t>
  </si>
  <si>
    <t>RESHOULOOldSHFUR4FOI22</t>
  </si>
  <si>
    <t>RESHOULOOldSHRAD1FOI20</t>
  </si>
  <si>
    <t>RESHOULOOldSHRAD1FOI22</t>
  </si>
  <si>
    <t>RESHOULOOldSHRAD2FOI20</t>
  </si>
  <si>
    <t>RESHOULOOldSHRAD2FOI22</t>
  </si>
  <si>
    <t>RESHOULOOldSHRAD3FOI20</t>
  </si>
  <si>
    <t>RESHOULOOldSHRAD4FOI20</t>
  </si>
  <si>
    <t>RESHOULOOldSCEUE</t>
  </si>
  <si>
    <t>RESHOULOOldSCAHP2NGA20</t>
  </si>
  <si>
    <t>RESHOULOOldSCAHP1ELC20</t>
  </si>
  <si>
    <t>RESHOULOOldSCAHP1ELC23</t>
  </si>
  <si>
    <t>RESHOULOOldSCAHP2ELC20</t>
  </si>
  <si>
    <t>RESHOULOOldSCAHP2ELC23</t>
  </si>
  <si>
    <t>RESHOULOOldSCAHP3ELC20</t>
  </si>
  <si>
    <t>RESHOULOOldSCAHP3ELC22</t>
  </si>
  <si>
    <t>RESHOULOOldSCAHP3ELC23</t>
  </si>
  <si>
    <t>RESHOULOOldSCAHP4ELC20</t>
  </si>
  <si>
    <t>RESHOULOOldSCAHP4ELC22</t>
  </si>
  <si>
    <t>RESHOULOOldSCGHP1ELC20</t>
  </si>
  <si>
    <t>RESHOULOOldSCGHP2ELC20</t>
  </si>
  <si>
    <t>RESHOULOOldSCGHP3ELC20</t>
  </si>
  <si>
    <t>RESHOULOOldSCGHP3ELC22</t>
  </si>
  <si>
    <t>RESHOULOOldSCGHP3ELC23</t>
  </si>
  <si>
    <t>RESHOULOOldSCGHP3ELC24</t>
  </si>
  <si>
    <t>RESHOULOOldSCGHP4ELC20</t>
  </si>
  <si>
    <t>RESHOULOOldSCGHP4ELC22</t>
  </si>
  <si>
    <t>RESHOULOOldSCGHP4ELC23</t>
  </si>
  <si>
    <t>RESHOULOOldSCGHP4ELC24</t>
  </si>
  <si>
    <t>RESHOULOOldSCRAC1ELC20</t>
  </si>
  <si>
    <t>RESHOULOOldSCRAC2ELC20</t>
  </si>
  <si>
    <t>RESHOULOOldSCRAC2ELC30</t>
  </si>
  <si>
    <t>RESHOULOOldSCRAC2ELC40</t>
  </si>
  <si>
    <t>RESHOULOOldSCRAC3ELC20</t>
  </si>
  <si>
    <t>RESHOULOOldSCRAC4ELC20</t>
  </si>
  <si>
    <t>RESHOULOOldSCRAC4ELC22</t>
  </si>
  <si>
    <t>RESHOULOOldSCRAC4ELC30</t>
  </si>
  <si>
    <t>RESHOULOOldSCRAC4ELC40</t>
  </si>
  <si>
    <t>RESHOULOOldSCCAC1ELC20</t>
  </si>
  <si>
    <t>RESHOULOOldSCCAC1ELC23</t>
  </si>
  <si>
    <t>RESHOULOOldSCCAC2ELC20</t>
  </si>
  <si>
    <t>RESHOULOOldSCCAC2ELC23</t>
  </si>
  <si>
    <t>RESHOULOOldSCCAC3ELC20</t>
  </si>
  <si>
    <t>RESHOULOOldSCCAC3ELC23</t>
  </si>
  <si>
    <t>RESHOULOOldSCCAC4ELC20</t>
  </si>
  <si>
    <t>RESHOULOOldSCCAC4ELC22</t>
  </si>
  <si>
    <t>RESHOULOOldREEUE</t>
  </si>
  <si>
    <t>RESHOULOOldRETF1ELC20</t>
  </si>
  <si>
    <t>RESHOULOOldRETF2ELC20</t>
  </si>
  <si>
    <t>RESHOULOOldRETF3ELC20</t>
  </si>
  <si>
    <t>RESHOULOOldRETF4ELC20</t>
  </si>
  <si>
    <t>RESHOULOOldRESF1ELC20</t>
  </si>
  <si>
    <t>RESHOULOOldRESF2ELC20</t>
  </si>
  <si>
    <t>RESHOULOOldRESF3ELC20</t>
  </si>
  <si>
    <t>RESHOULOOldRESF4ELC20</t>
  </si>
  <si>
    <t>RESHOULOOldREBF1ELC20</t>
  </si>
  <si>
    <t>RESHOULOOldREBF2ELC20</t>
  </si>
  <si>
    <t>RESHOULOOldREBF3ELC20</t>
  </si>
  <si>
    <t>RESHOULOOldREBF4ELC20</t>
  </si>
  <si>
    <t>RESHOULOOldFREUE</t>
  </si>
  <si>
    <t>RESHOULOOldFRC1ELC20</t>
  </si>
  <si>
    <t>RESHOULOOldFRC2ELC20</t>
  </si>
  <si>
    <t>RESHOULOOldFRC3ELC20</t>
  </si>
  <si>
    <t>RESHOULOOldFRC4ELC20</t>
  </si>
  <si>
    <t>RESHOULOOldFRU1ELC20</t>
  </si>
  <si>
    <t>RESHOULOOldFRU2ELC20</t>
  </si>
  <si>
    <t>RESHOULOOldFRU3ELC20</t>
  </si>
  <si>
    <t>RESHOULOOldFRU4ELC20</t>
  </si>
  <si>
    <t>RESHOULOOldCKEUE</t>
  </si>
  <si>
    <t>RESHOULOOldCK2NGA20</t>
  </si>
  <si>
    <t>RESHOULOOldCK4NGA20</t>
  </si>
  <si>
    <t>RESHOULOOldCK2LPG20</t>
  </si>
  <si>
    <t>RESHOULOOldCK4LPG20</t>
  </si>
  <si>
    <t>RESHOULOOldCK2ELC20</t>
  </si>
  <si>
    <t>RESHOULOOldCWEUE</t>
  </si>
  <si>
    <t>RESHOULOOldCWF4ELC30</t>
  </si>
  <si>
    <t>RESHOULOOldCWT1ELC20</t>
  </si>
  <si>
    <t>RESHOULOOldCWT2ELC20</t>
  </si>
  <si>
    <t>RESHOULOOldCWT3ELC20</t>
  </si>
  <si>
    <t>RESHOULOOldCWT4ELC20</t>
  </si>
  <si>
    <t>RESHOULOOldCWF1ELC20</t>
  </si>
  <si>
    <t>RESHOULOOldCWF2ELC20</t>
  </si>
  <si>
    <t>RESHOULOOldCWF2ELC30</t>
  </si>
  <si>
    <t>RESHOULOOldCWF3ELC20</t>
  </si>
  <si>
    <t>RESHOULOOldCWF4ELC20</t>
  </si>
  <si>
    <t>RESHOULOOldCDEUE</t>
  </si>
  <si>
    <t>RESHOULOOldCD1NGA20</t>
  </si>
  <si>
    <t>RESHOULOOldCD2NGA20</t>
  </si>
  <si>
    <t>RESHOULOOldCD3NGA20</t>
  </si>
  <si>
    <t>RESHOULOOldCD4NGA20</t>
  </si>
  <si>
    <t>RESHOULOOldCD4NGA30</t>
  </si>
  <si>
    <t>RESHOULOOldCD1ELC20</t>
  </si>
  <si>
    <t>RESHOULOOldCD2ELC20</t>
  </si>
  <si>
    <t>RESHOULOOldCD3ELC20</t>
  </si>
  <si>
    <t>RESHOULOOldCD4ELC20</t>
  </si>
  <si>
    <t>Lower-middle Income</t>
  </si>
  <si>
    <t>RESAPALMOldWHEUE</t>
  </si>
  <si>
    <t>RESAPALMOldWH1NGA20</t>
  </si>
  <si>
    <t>RESAPALMOldWH2NGA20</t>
  </si>
  <si>
    <t>RESAPALMOldWH3NGA20</t>
  </si>
  <si>
    <t>RESAPALMOldWH3NGA23</t>
  </si>
  <si>
    <t>RESAPALMOldWH4NGA20</t>
  </si>
  <si>
    <t>RESAPALMOldWH4NGA22</t>
  </si>
  <si>
    <t>RESAPALMOldWH1ELC20</t>
  </si>
  <si>
    <t>RESAPALMOldWH2ELC20</t>
  </si>
  <si>
    <t>RESAPALMOldWH4ELC20</t>
  </si>
  <si>
    <t>RESAPALMOldWH5ELC20</t>
  </si>
  <si>
    <t>RESAPALMOldWH5ELC22</t>
  </si>
  <si>
    <t>RESAPALMOldWH6ELC20</t>
  </si>
  <si>
    <t>RESAPALMOldWH6ELC22</t>
  </si>
  <si>
    <t>RESAPALMOldWH7ELC20</t>
  </si>
  <si>
    <t>RESAPALMOldWH7ELC22</t>
  </si>
  <si>
    <t>RESAPALMOldWH1FOI20</t>
  </si>
  <si>
    <t>RESAPALMOldWH2FOI20</t>
  </si>
  <si>
    <t>RESAPALMOldWH4FOI20</t>
  </si>
  <si>
    <t>RESAPALMOldWH1LPG20</t>
  </si>
  <si>
    <t>RESAPALMOldWH2LPG20</t>
  </si>
  <si>
    <t>RESAPALMOldWH3LPG20</t>
  </si>
  <si>
    <t>RESAPALMOldWH3LPG23</t>
  </si>
  <si>
    <t>RESAPALMOldWH4LPG20</t>
  </si>
  <si>
    <t>RESAPALMOldWH2SOL20</t>
  </si>
  <si>
    <t>RESAPALMOldWH2SOL23</t>
  </si>
  <si>
    <t>RESAPALMOldWH2SOL24</t>
  </si>
  <si>
    <t>RESAPALMOldSHEUE</t>
  </si>
  <si>
    <t>RESAPALMOldSHAHP1ELC20</t>
  </si>
  <si>
    <t>RESAPALMOldSHAHP1ELC23</t>
  </si>
  <si>
    <t>RESAPALMOldSHAHP2ELC20</t>
  </si>
  <si>
    <t>RESAPALMOldSHAHP2ELC23</t>
  </si>
  <si>
    <t>RESAPALMOldSHAHP3ELC20</t>
  </si>
  <si>
    <t>RESAPALMOldSHAHP3ELC22</t>
  </si>
  <si>
    <t>RESAPALMOldSHAHP3ELC23</t>
  </si>
  <si>
    <t>RESAPALMOldSHAHP4ELC20</t>
  </si>
  <si>
    <t>RESAPALMOldSHAHP4ELC22</t>
  </si>
  <si>
    <t>RESAPALMOldSHGHP1ELC20</t>
  </si>
  <si>
    <t>RESAPALMOldSHGHP2ELC20</t>
  </si>
  <si>
    <t>RESAPALMOldSHGHP3ELC20</t>
  </si>
  <si>
    <t>RESAPALMOldSHGHP3ELC22</t>
  </si>
  <si>
    <t>RESAPALMOldSHGHP3ELC23</t>
  </si>
  <si>
    <t>RESAPALMOldSHGHP3ELC24</t>
  </si>
  <si>
    <t>RESAPALMOldSHGHP4ELC20</t>
  </si>
  <si>
    <t>RESAPALMOldSHGHP4ELC22</t>
  </si>
  <si>
    <t>RESAPALMOldSHGHP4ELC23</t>
  </si>
  <si>
    <t>RESAPALMOldSHGHP4ELC24</t>
  </si>
  <si>
    <t>RESAPALMOldSHRAD2ELC20</t>
  </si>
  <si>
    <t>RESAPALMOldSHFUR1NGA20</t>
  </si>
  <si>
    <t>RESAPALMOldSHFUR2NGA20</t>
  </si>
  <si>
    <t>RESAPALMOldSHFUR3NGA20</t>
  </si>
  <si>
    <t>RESAPALMOldSHFUR3NGA22</t>
  </si>
  <si>
    <t>RESAPALMOldSHFUR4NGA20</t>
  </si>
  <si>
    <t>RESAPALMOldSHFUR4NGA22</t>
  </si>
  <si>
    <t>RESAPALMOldSHRAD1NGA20</t>
  </si>
  <si>
    <t>RESAPALMOldSHRAD1NGA21</t>
  </si>
  <si>
    <t>RESAPALMOldSHRAD2NGA20</t>
  </si>
  <si>
    <t>RESAPALMOldSHRAD3NGA20</t>
  </si>
  <si>
    <t>RESAPALMOldSHRAD4NGA20</t>
  </si>
  <si>
    <t>RESAPALMOldSHRAD4NGA22</t>
  </si>
  <si>
    <t>RESAPALMOldSHFUR1KER20</t>
  </si>
  <si>
    <t>RESAPALMOldSHFUR2KER20</t>
  </si>
  <si>
    <t>RESAPALMOldSHFUR3KER20</t>
  </si>
  <si>
    <t>RESAPALMOldSHFUR4KER20</t>
  </si>
  <si>
    <t>RESAPALMOldSHFUR1LPG20</t>
  </si>
  <si>
    <t>RESAPALMOldSHFUR2LPG20</t>
  </si>
  <si>
    <t>RESAPALMOldSHFUR3LPG20</t>
  </si>
  <si>
    <t>RESAPALMOldSHFUR3LPG22</t>
  </si>
  <si>
    <t>RESAPALMOldSHFUR4LPG20</t>
  </si>
  <si>
    <t>RESAPALMOldSHFUR4LPG22</t>
  </si>
  <si>
    <t>RESAPALMOldSHFUR1FOI20</t>
  </si>
  <si>
    <t>RESAPALMOldSHFUR2FOI20</t>
  </si>
  <si>
    <t>RESAPALMOldSHFUR2FOI22</t>
  </si>
  <si>
    <t>RESAPALMOldSHFUR3FOI20</t>
  </si>
  <si>
    <t>RESAPALMOldSHFUR4FOI20</t>
  </si>
  <si>
    <t>RESAPALMOldSHFUR4FOI22</t>
  </si>
  <si>
    <t>RESAPALMOldSHRAD1FOI20</t>
  </si>
  <si>
    <t>RESAPALMOldSHRAD1FOI22</t>
  </si>
  <si>
    <t>RESAPALMOldSHRAD2FOI20</t>
  </si>
  <si>
    <t>RESAPALMOldSHRAD2FOI22</t>
  </si>
  <si>
    <t>RESAPALMOldSHRAD3FOI20</t>
  </si>
  <si>
    <t>RESAPALMOldSHRAD4FOI20</t>
  </si>
  <si>
    <t>RESAPALMOldSCEUE</t>
  </si>
  <si>
    <t>RESAPALMOldSCAHP2NGA20</t>
  </si>
  <si>
    <t>RESAPALMOldSCAHP1ELC20</t>
  </si>
  <si>
    <t>RESAPALMOldSCAHP1ELC23</t>
  </si>
  <si>
    <t>RESAPALMOldSCAHP2ELC20</t>
  </si>
  <si>
    <t>RESAPALMOldSCAHP2ELC23</t>
  </si>
  <si>
    <t>RESAPALMOldSCAHP3ELC20</t>
  </si>
  <si>
    <t>RESAPALMOldSCAHP3ELC22</t>
  </si>
  <si>
    <t>RESAPALMOldSCAHP3ELC23</t>
  </si>
  <si>
    <t>RESAPALMOldSCAHP4ELC20</t>
  </si>
  <si>
    <t>RESAPALMOldSCAHP4ELC22</t>
  </si>
  <si>
    <t>RESAPALMOldSCGHP1ELC20</t>
  </si>
  <si>
    <t>RESAPALMOldSCGHP2ELC20</t>
  </si>
  <si>
    <t>RESAPALMOldSCGHP3ELC20</t>
  </si>
  <si>
    <t>RESAPALMOldSCGHP3ELC22</t>
  </si>
  <si>
    <t>RESAPALMOldSCGHP3ELC23</t>
  </si>
  <si>
    <t>RESAPALMOldSCGHP3ELC24</t>
  </si>
  <si>
    <t>RESAPALMOldSCGHP4ELC20</t>
  </si>
  <si>
    <t>RESAPALMOldSCGHP4ELC22</t>
  </si>
  <si>
    <t>RESAPALMOldSCGHP4ELC23</t>
  </si>
  <si>
    <t>RESAPALMOldSCGHP4ELC24</t>
  </si>
  <si>
    <t>RESAPALMOldSCRAC1ELC20</t>
  </si>
  <si>
    <t>RESAPALMOldSCRAC2ELC20</t>
  </si>
  <si>
    <t>RESAPALMOldSCRAC2ELC30</t>
  </si>
  <si>
    <t>RESAPALMOldSCRAC2ELC40</t>
  </si>
  <si>
    <t>RESAPALMOldSCRAC3ELC20</t>
  </si>
  <si>
    <t>RESAPALMOldSCRAC4ELC20</t>
  </si>
  <si>
    <t>RESAPALMOldSCRAC4ELC22</t>
  </si>
  <si>
    <t>RESAPALMOldSCRAC4ELC30</t>
  </si>
  <si>
    <t>RESAPALMOldSCRAC4ELC40</t>
  </si>
  <si>
    <t>RESAPALMOldSCCAC1ELC20</t>
  </si>
  <si>
    <t>RESAPALMOldSCCAC1ELC23</t>
  </si>
  <si>
    <t>RESAPALMOldSCCAC2ELC20</t>
  </si>
  <si>
    <t>RESAPALMOldSCCAC2ELC23</t>
  </si>
  <si>
    <t>RESAPALMOldSCCAC3ELC20</t>
  </si>
  <si>
    <t>RESAPALMOldSCCAC3ELC23</t>
  </si>
  <si>
    <t>RESAPALMOldSCCAC4ELC20</t>
  </si>
  <si>
    <t>RESAPALMOldSCCAC4ELC22</t>
  </si>
  <si>
    <t>RESAPALMOldREEUE</t>
  </si>
  <si>
    <t>RESAPALMOldRETF1ELC20</t>
  </si>
  <si>
    <t>RESAPALMOldRETF2ELC20</t>
  </si>
  <si>
    <t>RESAPALMOldRETF3ELC20</t>
  </si>
  <si>
    <t>RESAPALMOldRETF4ELC20</t>
  </si>
  <si>
    <t>RESAPALMOldRESF1ELC20</t>
  </si>
  <si>
    <t>RESAPALMOldRESF2ELC20</t>
  </si>
  <si>
    <t>RESAPALMOldRESF3ELC20</t>
  </si>
  <si>
    <t>RESAPALMOldRESF4ELC20</t>
  </si>
  <si>
    <t>RESAPALMOldREBF1ELC20</t>
  </si>
  <si>
    <t>RESAPALMOldREBF2ELC20</t>
  </si>
  <si>
    <t>RESAPALMOldREBF3ELC20</t>
  </si>
  <si>
    <t>RESAPALMOldREBF4ELC20</t>
  </si>
  <si>
    <t>RESAPALMOldFREUE</t>
  </si>
  <si>
    <t>RESAPALMOldFRC1ELC20</t>
  </si>
  <si>
    <t>RESAPALMOldFRC2ELC20</t>
  </si>
  <si>
    <t>RESAPALMOldFRC3ELC20</t>
  </si>
  <si>
    <t>RESAPALMOldFRC4ELC20</t>
  </si>
  <si>
    <t>RESAPALMOldFRU1ELC20</t>
  </si>
  <si>
    <t>RESAPALMOldFRU2ELC20</t>
  </si>
  <si>
    <t>RESAPALMOldFRU3ELC20</t>
  </si>
  <si>
    <t>RESAPALMOldFRU4ELC20</t>
  </si>
  <si>
    <t>RESAPALMOldCKEUE</t>
  </si>
  <si>
    <t>RESAPALMOldCK2NGA20</t>
  </si>
  <si>
    <t>RESAPALMOldCK4NGA20</t>
  </si>
  <si>
    <t>RESAPALMOldCK2LPG20</t>
  </si>
  <si>
    <t>RESAPALMOldCK4LPG20</t>
  </si>
  <si>
    <t>RESAPALMOldCK2ELC20</t>
  </si>
  <si>
    <t>RESAPALMOldCWEUE</t>
  </si>
  <si>
    <t>RESAPALMOldCWF4ELC30</t>
  </si>
  <si>
    <t>RESAPALMOldCWT1ELC20</t>
  </si>
  <si>
    <t>RESAPALMOldCWT2ELC20</t>
  </si>
  <si>
    <t>RESAPALMOldCWT3ELC20</t>
  </si>
  <si>
    <t>RESAPALMOldCWT4ELC20</t>
  </si>
  <si>
    <t>RESAPALMOldCWF1ELC20</t>
  </si>
  <si>
    <t>RESAPALMOldCWF2ELC20</t>
  </si>
  <si>
    <t>RESAPALMOldCWF2ELC30</t>
  </si>
  <si>
    <t>RESAPALMOldCWF3ELC20</t>
  </si>
  <si>
    <t>RESAPALMOldCWF4ELC20</t>
  </si>
  <si>
    <t>RESAPALMOldCDEUE</t>
  </si>
  <si>
    <t>RESAPALMOldCD1NGA20</t>
  </si>
  <si>
    <t>RESAPALMOldCD2NGA20</t>
  </si>
  <si>
    <t>RESAPALMOldCD3NGA20</t>
  </si>
  <si>
    <t>RESAPALMOldCD4NGA20</t>
  </si>
  <si>
    <t>RESAPALMOldCD4NGA30</t>
  </si>
  <si>
    <t>RESAPALMOldCD1ELC20</t>
  </si>
  <si>
    <t>RESAPALMOldCD2ELC20</t>
  </si>
  <si>
    <t>RESAPALMOldCD3ELC20</t>
  </si>
  <si>
    <t>RESAPALMOldCD4ELC20</t>
  </si>
  <si>
    <t>RESHOULMOldWHEUE</t>
  </si>
  <si>
    <t>RESHOULMOldWH1NGA20</t>
  </si>
  <si>
    <t>RESHOULMOldWH2NGA20</t>
  </si>
  <si>
    <t>RESHOULMOldWH3NGA20</t>
  </si>
  <si>
    <t>RESHOULMOldWH3NGA23</t>
  </si>
  <si>
    <t>RESHOULMOldWH4NGA20</t>
  </si>
  <si>
    <t>RESHOULMOldWH4NGA22</t>
  </si>
  <si>
    <t>RESHOULMOldWH1ELC20</t>
  </si>
  <si>
    <t>RESHOULMOldWH2ELC20</t>
  </si>
  <si>
    <t>RESHOULMOldWH4ELC20</t>
  </si>
  <si>
    <t>RESHOULMOldWH5ELC20</t>
  </si>
  <si>
    <t>RESHOULMOldWH5ELC22</t>
  </si>
  <si>
    <t>RESHOULMOldWH6ELC20</t>
  </si>
  <si>
    <t>RESHOULMOldWH6ELC22</t>
  </si>
  <si>
    <t>RESHOULMOldWH7ELC20</t>
  </si>
  <si>
    <t>RESHOULMOldWH7ELC22</t>
  </si>
  <si>
    <t>RESHOULMOldWH1FOI20</t>
  </si>
  <si>
    <t>RESHOULMOldWH2FOI20</t>
  </si>
  <si>
    <t>RESHOULMOldWH4FOI20</t>
  </si>
  <si>
    <t>RESHOULMOldWH1LPG20</t>
  </si>
  <si>
    <t>RESHOULMOldWH2LPG20</t>
  </si>
  <si>
    <t>RESHOULMOldWH3LPG20</t>
  </si>
  <si>
    <t>RESHOULMOldWH3LPG23</t>
  </si>
  <si>
    <t>RESHOULMOldWH4LPG20</t>
  </si>
  <si>
    <t>RESHOULMOldWH2SOL20</t>
  </si>
  <si>
    <t>RESHOULMOldWH2SOL23</t>
  </si>
  <si>
    <t>RESHOULMOldWH2SOL24</t>
  </si>
  <si>
    <t>RESHOULMOldSHEUE</t>
  </si>
  <si>
    <t>RESHOULMOldSHAHP1ELC20</t>
  </si>
  <si>
    <t>RESHOULMOldSHAHP1ELC23</t>
  </si>
  <si>
    <t>RESHOULMOldSHAHP2ELC20</t>
  </si>
  <si>
    <t>RESHOULMOldSHAHP2ELC23</t>
  </si>
  <si>
    <t>RESHOULMOldSHAHP3ELC20</t>
  </si>
  <si>
    <t>RESHOULMOldSHAHP3ELC22</t>
  </si>
  <si>
    <t>RESHOULMOldSHAHP3ELC23</t>
  </si>
  <si>
    <t>RESHOULMOldSHAHP4ELC20</t>
  </si>
  <si>
    <t>RESHOULMOldSHAHP4ELC22</t>
  </si>
  <si>
    <t>RESHOULMOldSHGHP1ELC20</t>
  </si>
  <si>
    <t>RESHOULMOldSHGHP2ELC20</t>
  </si>
  <si>
    <t>RESHOULMOldSHGHP3ELC20</t>
  </si>
  <si>
    <t>RESHOULMOldSHGHP3ELC22</t>
  </si>
  <si>
    <t>RESHOULMOldSHGHP3ELC23</t>
  </si>
  <si>
    <t>RESHOULMOldSHGHP3ELC24</t>
  </si>
  <si>
    <t>RESHOULMOldSHGHP4ELC20</t>
  </si>
  <si>
    <t>RESHOULMOldSHGHP4ELC22</t>
  </si>
  <si>
    <t>RESHOULMOldSHGHP4ELC23</t>
  </si>
  <si>
    <t>RESHOULMOldSHGHP4ELC24</t>
  </si>
  <si>
    <t>RESHOULMOldSHRAD2ELC20</t>
  </si>
  <si>
    <t>RESHOULMOldSHFUR1NGA20</t>
  </si>
  <si>
    <t>RESHOULMOldSHFUR2NGA20</t>
  </si>
  <si>
    <t>RESHOULMOldSHFUR3NGA20</t>
  </si>
  <si>
    <t>RESHOULMOldSHFUR3NGA22</t>
  </si>
  <si>
    <t>RESHOULMOldSHFUR4NGA20</t>
  </si>
  <si>
    <t>RESHOULMOldSHFUR4NGA22</t>
  </si>
  <si>
    <t>RESHOULMOldSHRAD1NGA20</t>
  </si>
  <si>
    <t>RESHOULMOldSHRAD1NGA21</t>
  </si>
  <si>
    <t>RESHOULMOldSHRAD2NGA20</t>
  </si>
  <si>
    <t>RESHOULMOldSHRAD3NGA20</t>
  </si>
  <si>
    <t>RESHOULMOldSHRAD4NGA20</t>
  </si>
  <si>
    <t>RESHOULMOldSHRAD4NGA22</t>
  </si>
  <si>
    <t>RESHOULMOldSHFUR1KER20</t>
  </si>
  <si>
    <t>RESHOULMOldSHFUR2KER20</t>
  </si>
  <si>
    <t>RESHOULMOldSHFUR3KER20</t>
  </si>
  <si>
    <t>RESHOULMOldSHFUR4KER20</t>
  </si>
  <si>
    <t>RESHOULMOldSHFUR1LPG20</t>
  </si>
  <si>
    <t>RESHOULMOldSHFUR2LPG20</t>
  </si>
  <si>
    <t>RESHOULMOldSHFUR3LPG20</t>
  </si>
  <si>
    <t>RESHOULMOldSHFUR3LPG22</t>
  </si>
  <si>
    <t>RESHOULMOldSHFUR4LPG20</t>
  </si>
  <si>
    <t>RESHOULMOldSHFUR4LPG22</t>
  </si>
  <si>
    <t>RESHOULMOldSHFUR1FOI20</t>
  </si>
  <si>
    <t>RESHOULMOldSHFUR2FOI20</t>
  </si>
  <si>
    <t>RESHOULMOldSHFUR2FOI22</t>
  </si>
  <si>
    <t>RESHOULMOldSHFUR3FOI20</t>
  </si>
  <si>
    <t>RESHOULMOldSHFUR4FOI20</t>
  </si>
  <si>
    <t>RESHOULMOldSHFUR4FOI22</t>
  </si>
  <si>
    <t>RESHOULMOldSHRAD1FOI20</t>
  </si>
  <si>
    <t>RESHOULMOldSHRAD1FOI22</t>
  </si>
  <si>
    <t>RESHOULMOldSHRAD2FOI20</t>
  </si>
  <si>
    <t>RESHOULMOldSHRAD2FOI22</t>
  </si>
  <si>
    <t>RESHOULMOldSHRAD3FOI20</t>
  </si>
  <si>
    <t>RESHOULMOldSHRAD4FOI20</t>
  </si>
  <si>
    <t>RESHOULMOldSCEUE</t>
  </si>
  <si>
    <t>RESHOULMOldSCAHP2NGA20</t>
  </si>
  <si>
    <t>RESHOULMOldSCAHP1ELC20</t>
  </si>
  <si>
    <t>RESHOULMOldSCAHP1ELC23</t>
  </si>
  <si>
    <t>RESHOULMOldSCAHP2ELC20</t>
  </si>
  <si>
    <t>RESHOULMOldSCAHP2ELC23</t>
  </si>
  <si>
    <t>RESHOULMOldSCAHP3ELC20</t>
  </si>
  <si>
    <t>RESHOULMOldSCAHP3ELC22</t>
  </si>
  <si>
    <t>RESHOULMOldSCAHP3ELC23</t>
  </si>
  <si>
    <t>RESHOULMOldSCAHP4ELC20</t>
  </si>
  <si>
    <t>RESHOULMOldSCAHP4ELC22</t>
  </si>
  <si>
    <t>RESHOULMOldSCGHP1ELC20</t>
  </si>
  <si>
    <t>RESHOULMOldSCGHP2ELC20</t>
  </si>
  <si>
    <t>RESHOULMOldSCGHP3ELC20</t>
  </si>
  <si>
    <t>RESHOULMOldSCGHP3ELC22</t>
  </si>
  <si>
    <t>RESHOULMOldSCGHP3ELC23</t>
  </si>
  <si>
    <t>RESHOULMOldSCGHP3ELC24</t>
  </si>
  <si>
    <t>RESHOULMOldSCGHP4ELC20</t>
  </si>
  <si>
    <t>RESHOULMOldSCGHP4ELC22</t>
  </si>
  <si>
    <t>RESHOULMOldSCGHP4ELC23</t>
  </si>
  <si>
    <t>RESHOULMOldSCGHP4ELC24</t>
  </si>
  <si>
    <t>RESHOULMOldSCRAC1ELC20</t>
  </si>
  <si>
    <t>RESHOULMOldSCRAC2ELC20</t>
  </si>
  <si>
    <t>RESHOULMOldSCRAC2ELC30</t>
  </si>
  <si>
    <t>RESHOULMOldSCRAC2ELC40</t>
  </si>
  <si>
    <t>RESHOULMOldSCRAC3ELC20</t>
  </si>
  <si>
    <t>RESHOULMOldSCRAC4ELC20</t>
  </si>
  <si>
    <t>RESHOULMOldSCRAC4ELC22</t>
  </si>
  <si>
    <t>RESHOULMOldSCRAC4ELC30</t>
  </si>
  <si>
    <t>RESHOULMOldSCRAC4ELC40</t>
  </si>
  <si>
    <t>RESHOULMOldSCCAC1ELC20</t>
  </si>
  <si>
    <t>RESHOULMOldSCCAC1ELC23</t>
  </si>
  <si>
    <t>RESHOULMOldSCCAC2ELC20</t>
  </si>
  <si>
    <t>RESHOULMOldSCCAC2ELC23</t>
  </si>
  <si>
    <t>RESHOULMOldSCCAC3ELC20</t>
  </si>
  <si>
    <t>RESHOULMOldSCCAC3ELC23</t>
  </si>
  <si>
    <t>RESHOULMOldSCCAC4ELC20</t>
  </si>
  <si>
    <t>RESHOULMOldSCCAC4ELC22</t>
  </si>
  <si>
    <t>RESHOULMOldREEUE</t>
  </si>
  <si>
    <t>RESHOULMOldRETF1ELC20</t>
  </si>
  <si>
    <t>RESHOULMOldRETF2ELC20</t>
  </si>
  <si>
    <t>RESHOULMOldRETF3ELC20</t>
  </si>
  <si>
    <t>RESHOULMOldRETF4ELC20</t>
  </si>
  <si>
    <t>RESHOULMOldRESF1ELC20</t>
  </si>
  <si>
    <t>RESHOULMOldRESF2ELC20</t>
  </si>
  <si>
    <t>RESHOULMOldRESF3ELC20</t>
  </si>
  <si>
    <t>RESHOULMOldRESF4ELC20</t>
  </si>
  <si>
    <t>RESHOULMOldREBF1ELC20</t>
  </si>
  <si>
    <t>RESHOULMOldREBF2ELC20</t>
  </si>
  <si>
    <t>RESHOULMOldREBF3ELC20</t>
  </si>
  <si>
    <t>RESHOULMOldREBF4ELC20</t>
  </si>
  <si>
    <t>RESHOULMOldFREUE</t>
  </si>
  <si>
    <t>RESHOULMOldFRC1ELC20</t>
  </si>
  <si>
    <t>RESHOULMOldFRC2ELC20</t>
  </si>
  <si>
    <t>RESHOULMOldFRC3ELC20</t>
  </si>
  <si>
    <t>RESHOULMOldFRC4ELC20</t>
  </si>
  <si>
    <t>RESHOULMOldFRU1ELC20</t>
  </si>
  <si>
    <t>RESHOULMOldFRU2ELC20</t>
  </si>
  <si>
    <t>RESHOULMOldFRU3ELC20</t>
  </si>
  <si>
    <t>RESHOULMOldFRU4ELC20</t>
  </si>
  <si>
    <t>RESHOULMOldCKEUE</t>
  </si>
  <si>
    <t>RESHOULMOldCK2NGA20</t>
  </si>
  <si>
    <t>RESHOULMOldCK4NGA20</t>
  </si>
  <si>
    <t>RESHOULMOldCK2LPG20</t>
  </si>
  <si>
    <t>RESHOULMOldCK4LPG20</t>
  </si>
  <si>
    <t>RESHOULMOldCK2ELC20</t>
  </si>
  <si>
    <t>RESHOULMOldCWEUE</t>
  </si>
  <si>
    <t>RESHOULMOldCWF4ELC30</t>
  </si>
  <si>
    <t>RESHOULMOldCWT1ELC20</t>
  </si>
  <si>
    <t>RESHOULMOldCWT2ELC20</t>
  </si>
  <si>
    <t>RESHOULMOldCWT3ELC20</t>
  </si>
  <si>
    <t>RESHOULMOldCWT4ELC20</t>
  </si>
  <si>
    <t>RESHOULMOldCWF1ELC20</t>
  </si>
  <si>
    <t>RESHOULMOldCWF2ELC20</t>
  </si>
  <si>
    <t>RESHOULMOldCWF2ELC30</t>
  </si>
  <si>
    <t>RESHOULMOldCWF3ELC20</t>
  </si>
  <si>
    <t>RESHOULMOldCWF4ELC20</t>
  </si>
  <si>
    <t>RESHOULMOldCDEUE</t>
  </si>
  <si>
    <t>RESHOULMOldCD1NGA20</t>
  </si>
  <si>
    <t>RESHOULMOldCD2NGA20</t>
  </si>
  <si>
    <t>RESHOULMOldCD3NGA20</t>
  </si>
  <si>
    <t>RESHOULMOldCD4NGA20</t>
  </si>
  <si>
    <t>RESHOULMOldCD4NGA30</t>
  </si>
  <si>
    <t>RESHOULMOldCD1ELC20</t>
  </si>
  <si>
    <t>RESHOULMOldCD2ELC20</t>
  </si>
  <si>
    <t>RESHOULMOldCD3ELC20</t>
  </si>
  <si>
    <t>RESHOULMOldCD4ELC20</t>
  </si>
  <si>
    <t>Upper-middle Income</t>
  </si>
  <si>
    <t>RESAPAUMOldWHEUE</t>
  </si>
  <si>
    <t>RESAPAUMOldWH1NGA20</t>
  </si>
  <si>
    <t>RESAPAUMOldWH2NGA20</t>
  </si>
  <si>
    <t>RESAPAUMOldWH3NGA20</t>
  </si>
  <si>
    <t>RESAPAUMOldWH3NGA23</t>
  </si>
  <si>
    <t>RESAPAUMOldWH4NGA20</t>
  </si>
  <si>
    <t>RESAPAUMOldWH4NGA22</t>
  </si>
  <si>
    <t>RESAPAUMOldWH1ELC20</t>
  </si>
  <si>
    <t>RESAPAUMOldWH2ELC20</t>
  </si>
  <si>
    <t>RESAPAUMOldWH4ELC20</t>
  </si>
  <si>
    <t>RESAPAUMOldWH5ELC20</t>
  </si>
  <si>
    <t>RESAPAUMOldWH5ELC22</t>
  </si>
  <si>
    <t>RESAPAUMOldWH6ELC20</t>
  </si>
  <si>
    <t>RESAPAUMOldWH6ELC22</t>
  </si>
  <si>
    <t>RESAPAUMOldWH7ELC20</t>
  </si>
  <si>
    <t>RESAPAUMOldWH7ELC22</t>
  </si>
  <si>
    <t>RESAPAUMOldWH1FOI20</t>
  </si>
  <si>
    <t>RESAPAUMOldWH2FOI20</t>
  </si>
  <si>
    <t>RESAPAUMOldWH4FOI20</t>
  </si>
  <si>
    <t>RESAPAUMOldWH1LPG20</t>
  </si>
  <si>
    <t>RESAPAUMOldWH2LPG20</t>
  </si>
  <si>
    <t>RESAPAUMOldWH3LPG20</t>
  </si>
  <si>
    <t>RESAPAUMOldWH3LPG23</t>
  </si>
  <si>
    <t>RESAPAUMOldWH4LPG20</t>
  </si>
  <si>
    <t>RESAPAUMOldWH2SOL20</t>
  </si>
  <si>
    <t>RESAPAUMOldWH2SOL23</t>
  </si>
  <si>
    <t>RESAPAUMOldWH2SOL24</t>
  </si>
  <si>
    <t>RESAPAUMOldSHEUE</t>
  </si>
  <si>
    <t>RESAPAUMOldSHAHP1ELC20</t>
  </si>
  <si>
    <t>RESAPAUMOldSHAHP1ELC23</t>
  </si>
  <si>
    <t>RESAPAUMOldSHAHP2ELC20</t>
  </si>
  <si>
    <t>RESAPAUMOldSHAHP2ELC23</t>
  </si>
  <si>
    <t>RESAPAUMOldSHAHP3ELC20</t>
  </si>
  <si>
    <t>RESAPAUMOldSHAHP3ELC22</t>
  </si>
  <si>
    <t>RESAPAUMOldSHAHP3ELC23</t>
  </si>
  <si>
    <t>RESAPAUMOldSHAHP4ELC20</t>
  </si>
  <si>
    <t>RESAPAUMOldSHAHP4ELC22</t>
  </si>
  <si>
    <t>RESAPAUMOldSHGHP1ELC20</t>
  </si>
  <si>
    <t>RESAPAUMOldSHGHP2ELC20</t>
  </si>
  <si>
    <t>RESAPAUMOldSHGHP3ELC20</t>
  </si>
  <si>
    <t>RESAPAUMOldSHGHP3ELC22</t>
  </si>
  <si>
    <t>RESAPAUMOldSHGHP3ELC23</t>
  </si>
  <si>
    <t>RESAPAUMOldSHGHP3ELC24</t>
  </si>
  <si>
    <t>RESAPAUMOldSHGHP4ELC20</t>
  </si>
  <si>
    <t>RESAPAUMOldSHGHP4ELC22</t>
  </si>
  <si>
    <t>RESAPAUMOldSHGHP4ELC23</t>
  </si>
  <si>
    <t>RESAPAUMOldSHGHP4ELC24</t>
  </si>
  <si>
    <t>RESAPAUMOldSHRAD2ELC20</t>
  </si>
  <si>
    <t>RESAPAUMOldSHFUR1NGA20</t>
  </si>
  <si>
    <t>RESAPAUMOldSHFUR2NGA20</t>
  </si>
  <si>
    <t>RESAPAUMOldSHFUR3NGA20</t>
  </si>
  <si>
    <t>RESAPAUMOldSHFUR3NGA22</t>
  </si>
  <si>
    <t>RESAPAUMOldSHFUR4NGA20</t>
  </si>
  <si>
    <t>RESAPAUMOldSHFUR4NGA22</t>
  </si>
  <si>
    <t>RESAPAUMOldSHRAD1NGA20</t>
  </si>
  <si>
    <t>RESAPAUMOldSHRAD1NGA21</t>
  </si>
  <si>
    <t>RESAPAUMOldSHRAD2NGA20</t>
  </si>
  <si>
    <t>RESAPAUMOldSHRAD3NGA20</t>
  </si>
  <si>
    <t>RESAPAUMOldSHRAD4NGA20</t>
  </si>
  <si>
    <t>RESAPAUMOldSHRAD4NGA22</t>
  </si>
  <si>
    <t>RESAPAUMOldSHFUR1KER20</t>
  </si>
  <si>
    <t>RESAPAUMOldSHFUR2KER20</t>
  </si>
  <si>
    <t>RESAPAUMOldSHFUR3KER20</t>
  </si>
  <si>
    <t>RESAPAUMOldSHFUR4KER20</t>
  </si>
  <si>
    <t>RESAPAUMOldSHFUR1LPG20</t>
  </si>
  <si>
    <t>RESAPAUMOldSHFUR2LPG20</t>
  </si>
  <si>
    <t>RESAPAUMOldSHFUR3LPG20</t>
  </si>
  <si>
    <t>RESAPAUMOldSHFUR3LPG22</t>
  </si>
  <si>
    <t>RESAPAUMOldSHFUR4LPG20</t>
  </si>
  <si>
    <t>RESAPAUMOldSHFUR4LPG22</t>
  </si>
  <si>
    <t>RESAPAUMOldSHFUR1FOI20</t>
  </si>
  <si>
    <t>RESAPAUMOldSHFUR2FOI20</t>
  </si>
  <si>
    <t>RESAPAUMOldSHFUR2FOI22</t>
  </si>
  <si>
    <t>RESAPAUMOldSHFUR3FOI20</t>
  </si>
  <si>
    <t>RESAPAUMOldSHFUR4FOI20</t>
  </si>
  <si>
    <t>RESAPAUMOldSHFUR4FOI22</t>
  </si>
  <si>
    <t>RESAPAUMOldSHRAD1FOI20</t>
  </si>
  <si>
    <t>RESAPAUMOldSHRAD1FOI22</t>
  </si>
  <si>
    <t>RESAPAUMOldSHRAD2FOI20</t>
  </si>
  <si>
    <t>RESAPAUMOldSHRAD2FOI22</t>
  </si>
  <si>
    <t>RESAPAUMOldSHRAD3FOI20</t>
  </si>
  <si>
    <t>RESAPAUMOldSHRAD4FOI20</t>
  </si>
  <si>
    <t>RESAPAUMOldSCEUE</t>
  </si>
  <si>
    <t>RESAPAUMOldSCAHP2NGA20</t>
  </si>
  <si>
    <t>RESAPAUMOldSCAHP1ELC20</t>
  </si>
  <si>
    <t>RESAPAUMOldSCAHP1ELC23</t>
  </si>
  <si>
    <t>RESAPAUMOldSCAHP2ELC20</t>
  </si>
  <si>
    <t>RESAPAUMOldSCAHP2ELC23</t>
  </si>
  <si>
    <t>RESAPAUMOldSCAHP3ELC20</t>
  </si>
  <si>
    <t>RESAPAUMOldSCAHP3ELC22</t>
  </si>
  <si>
    <t>RESAPAUMOldSCAHP3ELC23</t>
  </si>
  <si>
    <t>RESAPAUMOldSCAHP4ELC20</t>
  </si>
  <si>
    <t>RESAPAUMOldSCAHP4ELC22</t>
  </si>
  <si>
    <t>RESAPAUMOldSCGHP1ELC20</t>
  </si>
  <si>
    <t>RESAPAUMOldSCGHP2ELC20</t>
  </si>
  <si>
    <t>RESAPAUMOldSCGHP3ELC20</t>
  </si>
  <si>
    <t>RESAPAUMOldSCGHP3ELC22</t>
  </si>
  <si>
    <t>RESAPAUMOldSCGHP3ELC23</t>
  </si>
  <si>
    <t>RESAPAUMOldSCGHP3ELC24</t>
  </si>
  <si>
    <t>RESAPAUMOldSCGHP4ELC20</t>
  </si>
  <si>
    <t>RESAPAUMOldSCGHP4ELC22</t>
  </si>
  <si>
    <t>RESAPAUMOldSCGHP4ELC23</t>
  </si>
  <si>
    <t>RESAPAUMOldSCGHP4ELC24</t>
  </si>
  <si>
    <t>RESAPAUMOldSCRAC1ELC20</t>
  </si>
  <si>
    <t>RESAPAUMOldSCRAC2ELC20</t>
  </si>
  <si>
    <t>RESAPAUMOldSCRAC2ELC30</t>
  </si>
  <si>
    <t>RESAPAUMOldSCRAC2ELC40</t>
  </si>
  <si>
    <t>RESAPAUMOldSCRAC3ELC20</t>
  </si>
  <si>
    <t>RESAPAUMOldSCRAC4ELC20</t>
  </si>
  <si>
    <t>RESAPAUMOldSCRAC4ELC22</t>
  </si>
  <si>
    <t>RESAPAUMOldSCRAC4ELC30</t>
  </si>
  <si>
    <t>RESAPAUMOldSCRAC4ELC40</t>
  </si>
  <si>
    <t>RESAPAUMOldSCCAC1ELC20</t>
  </si>
  <si>
    <t>RESAPAUMOldSCCAC1ELC23</t>
  </si>
  <si>
    <t>RESAPAUMOldSCCAC2ELC20</t>
  </si>
  <si>
    <t>RESAPAUMOldSCCAC2ELC23</t>
  </si>
  <si>
    <t>RESAPAUMOldSCCAC3ELC20</t>
  </si>
  <si>
    <t>RESAPAUMOldSCCAC3ELC23</t>
  </si>
  <si>
    <t>RESAPAUMOldSCCAC4ELC20</t>
  </si>
  <si>
    <t>RESAPAUMOldSCCAC4ELC22</t>
  </si>
  <si>
    <t>RESAPAUMOldREEUE</t>
  </si>
  <si>
    <t>RESAPAUMOldRETF1ELC20</t>
  </si>
  <si>
    <t>RESAPAUMOldRETF2ELC20</t>
  </si>
  <si>
    <t>RESAPAUMOldRETF3ELC20</t>
  </si>
  <si>
    <t>RESAPAUMOldRETF4ELC20</t>
  </si>
  <si>
    <t>RESAPAUMOldRESF1ELC20</t>
  </si>
  <si>
    <t>RESAPAUMOldRESF2ELC20</t>
  </si>
  <si>
    <t>RESAPAUMOldRESF3ELC20</t>
  </si>
  <si>
    <t>RESAPAUMOldRESF4ELC20</t>
  </si>
  <si>
    <t>RESAPAUMOldREBF1ELC20</t>
  </si>
  <si>
    <t>RESAPAUMOldREBF2ELC20</t>
  </si>
  <si>
    <t>RESAPAUMOldREBF3ELC20</t>
  </si>
  <si>
    <t>RESAPAUMOldREBF4ELC20</t>
  </si>
  <si>
    <t>RESAPAUMOldFREUE</t>
  </si>
  <si>
    <t>RESAPAUMOldFRC1ELC20</t>
  </si>
  <si>
    <t>RESAPAUMOldFRC2ELC20</t>
  </si>
  <si>
    <t>RESAPAUMOldFRC3ELC20</t>
  </si>
  <si>
    <t>RESAPAUMOldFRC4ELC20</t>
  </si>
  <si>
    <t>RESAPAUMOldFRU1ELC20</t>
  </si>
  <si>
    <t>RESAPAUMOldFRU2ELC20</t>
  </si>
  <si>
    <t>RESAPAUMOldFRU3ELC20</t>
  </si>
  <si>
    <t>RESAPAUMOldFRU4ELC20</t>
  </si>
  <si>
    <t>RESAPAUMOldCKEUE</t>
  </si>
  <si>
    <t>RESAPAUMOldCK2NGA20</t>
  </si>
  <si>
    <t>RESAPAUMOldCK4NGA20</t>
  </si>
  <si>
    <t>RESAPAUMOldCK2LPG20</t>
  </si>
  <si>
    <t>RESAPAUMOldCK4LPG20</t>
  </si>
  <si>
    <t>RESAPAUMOldCK2ELC20</t>
  </si>
  <si>
    <t>RESAPAUMOldCWEUE</t>
  </si>
  <si>
    <t>RESAPAUMOldCWF4ELC30</t>
  </si>
  <si>
    <t>RESAPAUMOldCWT1ELC20</t>
  </si>
  <si>
    <t>RESAPAUMOldCWT2ELC20</t>
  </si>
  <si>
    <t>RESAPAUMOldCWT3ELC20</t>
  </si>
  <si>
    <t>RESAPAUMOldCWT4ELC20</t>
  </si>
  <si>
    <t>RESAPAUMOldCWF1ELC20</t>
  </si>
  <si>
    <t>RESAPAUMOldCWF2ELC20</t>
  </si>
  <si>
    <t>RESAPAUMOldCWF2ELC30</t>
  </si>
  <si>
    <t>RESAPAUMOldCWF3ELC20</t>
  </si>
  <si>
    <t>RESAPAUMOldCWF4ELC20</t>
  </si>
  <si>
    <t>RESAPAUMOldCDEUE</t>
  </si>
  <si>
    <t>RESAPAUMOldCD1NGA20</t>
  </si>
  <si>
    <t>RESAPAUMOldCD2NGA20</t>
  </si>
  <si>
    <t>RESAPAUMOldCD3NGA20</t>
  </si>
  <si>
    <t>RESAPAUMOldCD4NGA20</t>
  </si>
  <si>
    <t>RESAPAUMOldCD4NGA30</t>
  </si>
  <si>
    <t>RESAPAUMOldCD1ELC20</t>
  </si>
  <si>
    <t>RESAPAUMOldCD2ELC20</t>
  </si>
  <si>
    <t>RESAPAUMOldCD3ELC20</t>
  </si>
  <si>
    <t>RESAPAUMOldCD4ELC20</t>
  </si>
  <si>
    <t>RESHOUUMOldWHEUE</t>
  </si>
  <si>
    <t>RESHOUUMOldWH1NGA20</t>
  </si>
  <si>
    <t>RESHOUUMOldWH2NGA20</t>
  </si>
  <si>
    <t>RESHOUUMOldWH3NGA20</t>
  </si>
  <si>
    <t>RESHOUUMOldWH3NGA23</t>
  </si>
  <si>
    <t>RESHOUUMOldWH4NGA20</t>
  </si>
  <si>
    <t>RESHOUUMOldWH4NGA22</t>
  </si>
  <si>
    <t>RESHOUUMOldWH1ELC20</t>
  </si>
  <si>
    <t>RESHOUUMOldWH2ELC20</t>
  </si>
  <si>
    <t>RESHOUUMOldWH4ELC20</t>
  </si>
  <si>
    <t>RESHOUUMOldWH5ELC20</t>
  </si>
  <si>
    <t>RESHOUUMOldWH5ELC22</t>
  </si>
  <si>
    <t>RESHOUUMOldWH6ELC20</t>
  </si>
  <si>
    <t>RESHOUUMOldWH6ELC22</t>
  </si>
  <si>
    <t>RESHOUUMOldWH7ELC20</t>
  </si>
  <si>
    <t>RESHOUUMOldWH7ELC22</t>
  </si>
  <si>
    <t>RESHOUUMOldWH1FOI20</t>
  </si>
  <si>
    <t>RESHOUUMOldWH2FOI20</t>
  </si>
  <si>
    <t>RESHOUUMOldWH4FOI20</t>
  </si>
  <si>
    <t>RESHOUUMOldWH1LPG20</t>
  </si>
  <si>
    <t>RESHOUUMOldWH2LPG20</t>
  </si>
  <si>
    <t>RESHOUUMOldWH3LPG20</t>
  </si>
  <si>
    <t>RESHOUUMOldWH3LPG23</t>
  </si>
  <si>
    <t>RESHOUUMOldWH4LPG20</t>
  </si>
  <si>
    <t>RESHOUUMOldWH2SOL20</t>
  </si>
  <si>
    <t>RESHOUUMOldWH2SOL23</t>
  </si>
  <si>
    <t>RESHOUUMOldWH2SOL24</t>
  </si>
  <si>
    <t>RESHOUUMOldSHEUE</t>
  </si>
  <si>
    <t>RESHOUUMOldSHAHP1ELC20</t>
  </si>
  <si>
    <t>RESHOUUMOldSHAHP1ELC23</t>
  </si>
  <si>
    <t>RESHOUUMOldSHAHP2ELC20</t>
  </si>
  <si>
    <t>RESHOUUMOldSHAHP2ELC23</t>
  </si>
  <si>
    <t>RESHOUUMOldSHAHP3ELC20</t>
  </si>
  <si>
    <t>RESHOUUMOldSHAHP3ELC22</t>
  </si>
  <si>
    <t>RESHOUUMOldSHAHP3ELC23</t>
  </si>
  <si>
    <t>RESHOUUMOldSHAHP4ELC20</t>
  </si>
  <si>
    <t>RESHOUUMOldSHAHP4ELC22</t>
  </si>
  <si>
    <t>RESHOUUMOldSHGHP1ELC20</t>
  </si>
  <si>
    <t>RESHOUUMOldSHGHP2ELC20</t>
  </si>
  <si>
    <t>RESHOUUMOldSHGHP3ELC20</t>
  </si>
  <si>
    <t>RESHOUUMOldSHGHP3ELC22</t>
  </si>
  <si>
    <t>RESHOUUMOldSHGHP3ELC23</t>
  </si>
  <si>
    <t>RESHOUUMOldSHGHP3ELC24</t>
  </si>
  <si>
    <t>RESHOUUMOldSHGHP4ELC20</t>
  </si>
  <si>
    <t>RESHOUUMOldSHGHP4ELC22</t>
  </si>
  <si>
    <t>RESHOUUMOldSHGHP4ELC23</t>
  </si>
  <si>
    <t>RESHOUUMOldSHGHP4ELC24</t>
  </si>
  <si>
    <t>RESHOUUMOldSHRAD2ELC20</t>
  </si>
  <si>
    <t>RESHOUUMOldSHFUR1NGA20</t>
  </si>
  <si>
    <t>RESHOUUMOldSHFUR2NGA20</t>
  </si>
  <si>
    <t>RESHOUUMOldSHFUR3NGA20</t>
  </si>
  <si>
    <t>RESHOUUMOldSHFUR3NGA22</t>
  </si>
  <si>
    <t>RESHOUUMOldSHFUR4NGA20</t>
  </si>
  <si>
    <t>RESHOUUMOldSHFUR4NGA22</t>
  </si>
  <si>
    <t>RESHOUUMOldSHRAD1NGA20</t>
  </si>
  <si>
    <t>RESHOUUMOldSHRAD1NGA21</t>
  </si>
  <si>
    <t>RESHOUUMOldSHRAD2NGA20</t>
  </si>
  <si>
    <t>RESHOUUMOldSHRAD3NGA20</t>
  </si>
  <si>
    <t>RESHOUUMOldSHRAD4NGA20</t>
  </si>
  <si>
    <t>RESHOUUMOldSHRAD4NGA22</t>
  </si>
  <si>
    <t>RESHOUUMOldSHFUR1KER20</t>
  </si>
  <si>
    <t>RESHOUUMOldSHFUR2KER20</t>
  </si>
  <si>
    <t>RESHOUUMOldSHFUR3KER20</t>
  </si>
  <si>
    <t>RESHOUUMOldSHFUR4KER20</t>
  </si>
  <si>
    <t>RESHOUUMOldSHFUR1LPG20</t>
  </si>
  <si>
    <t>RESHOUUMOldSHFUR2LPG20</t>
  </si>
  <si>
    <t>RESHOUUMOldSHFUR3LPG20</t>
  </si>
  <si>
    <t>RESHOUUMOldSHFUR3LPG22</t>
  </si>
  <si>
    <t>RESHOUUMOldSHFUR4LPG20</t>
  </si>
  <si>
    <t>RESHOUUMOldSHFUR4LPG22</t>
  </si>
  <si>
    <t>RESHOUUMOldSHFUR1FOI20</t>
  </si>
  <si>
    <t>RESHOUUMOldSHFUR2FOI20</t>
  </si>
  <si>
    <t>RESHOUUMOldSHFUR2FOI22</t>
  </si>
  <si>
    <t>RESHOUUMOldSHFUR3FOI20</t>
  </si>
  <si>
    <t>RESHOUUMOldSHFUR4FOI20</t>
  </si>
  <si>
    <t>RESHOUUMOldSHFUR4FOI22</t>
  </si>
  <si>
    <t>RESHOUUMOldSHRAD1FOI20</t>
  </si>
  <si>
    <t>RESHOUUMOldSHRAD1FOI22</t>
  </si>
  <si>
    <t>RESHOUUMOldSHRAD2FOI20</t>
  </si>
  <si>
    <t>RESHOUUMOldSHRAD2FOI22</t>
  </si>
  <si>
    <t>RESHOUUMOldSHRAD3FOI20</t>
  </si>
  <si>
    <t>RESHOUUMOldSHRAD4FOI20</t>
  </si>
  <si>
    <t>RESHOUUMOldSCEUE</t>
  </si>
  <si>
    <t>RESHOUUMOldSCAHP2NGA20</t>
  </si>
  <si>
    <t>RESHOUUMOldSCAHP1ELC20</t>
  </si>
  <si>
    <t>RESHOUUMOldSCAHP1ELC23</t>
  </si>
  <si>
    <t>RESHOUUMOldSCAHP2ELC20</t>
  </si>
  <si>
    <t>RESHOUUMOldSCAHP2ELC23</t>
  </si>
  <si>
    <t>RESHOUUMOldSCAHP3ELC20</t>
  </si>
  <si>
    <t>RESHOUUMOldSCAHP3ELC22</t>
  </si>
  <si>
    <t>RESHOUUMOldSCAHP3ELC23</t>
  </si>
  <si>
    <t>RESHOUUMOldSCAHP4ELC20</t>
  </si>
  <si>
    <t>RESHOUUMOldSCAHP4ELC22</t>
  </si>
  <si>
    <t>RESHOUUMOldSCGHP1ELC20</t>
  </si>
  <si>
    <t>RESHOUUMOldSCGHP2ELC20</t>
  </si>
  <si>
    <t>RESHOUUMOldSCGHP3ELC20</t>
  </si>
  <si>
    <t>RESHOUUMOldSCGHP3ELC22</t>
  </si>
  <si>
    <t>RESHOUUMOldSCGHP3ELC23</t>
  </si>
  <si>
    <t>RESHOUUMOldSCGHP3ELC24</t>
  </si>
  <si>
    <t>RESHOUUMOldSCGHP4ELC20</t>
  </si>
  <si>
    <t>RESHOUUMOldSCGHP4ELC22</t>
  </si>
  <si>
    <t>RESHOUUMOldSCGHP4ELC23</t>
  </si>
  <si>
    <t>RESHOUUMOldSCGHP4ELC24</t>
  </si>
  <si>
    <t>RESHOUUMOldSCRAC1ELC20</t>
  </si>
  <si>
    <t>RESHOUUMOldSCRAC2ELC20</t>
  </si>
  <si>
    <t>RESHOUUMOldSCRAC2ELC30</t>
  </si>
  <si>
    <t>RESHOUUMOldSCRAC2ELC40</t>
  </si>
  <si>
    <t>RESHOUUMOldSCRAC3ELC20</t>
  </si>
  <si>
    <t>RESHOUUMOldSCRAC4ELC20</t>
  </si>
  <si>
    <t>RESHOUUMOldSCRAC4ELC22</t>
  </si>
  <si>
    <t>RESHOUUMOldSCRAC4ELC30</t>
  </si>
  <si>
    <t>RESHOUUMOldSCRAC4ELC40</t>
  </si>
  <si>
    <t>RESHOUUMOldSCCAC1ELC20</t>
  </si>
  <si>
    <t>RESHOUUMOldSCCAC1ELC23</t>
  </si>
  <si>
    <t>RESHOUUMOldSCCAC2ELC20</t>
  </si>
  <si>
    <t>RESHOUUMOldSCCAC2ELC23</t>
  </si>
  <si>
    <t>RESHOUUMOldSCCAC3ELC20</t>
  </si>
  <si>
    <t>RESHOUUMOldSCCAC3ELC23</t>
  </si>
  <si>
    <t>RESHOUUMOldSCCAC4ELC20</t>
  </si>
  <si>
    <t>RESHOUUMOldSCCAC4ELC22</t>
  </si>
  <si>
    <t>RESHOUUMOldREEUE</t>
  </si>
  <si>
    <t>RESHOUUMOldRETF1ELC20</t>
  </si>
  <si>
    <t>RESHOUUMOldRETF2ELC20</t>
  </si>
  <si>
    <t>RESHOUUMOldRETF3ELC20</t>
  </si>
  <si>
    <t>RESHOUUMOldRETF4ELC20</t>
  </si>
  <si>
    <t>RESHOUUMOldRESF1ELC20</t>
  </si>
  <si>
    <t>RESHOUUMOldRESF2ELC20</t>
  </si>
  <si>
    <t>RESHOUUMOldRESF3ELC20</t>
  </si>
  <si>
    <t>RESHOUUMOldRESF4ELC20</t>
  </si>
  <si>
    <t>RESHOUUMOldREBF1ELC20</t>
  </si>
  <si>
    <t>RESHOUUMOldREBF2ELC20</t>
  </si>
  <si>
    <t>RESHOUUMOldREBF3ELC20</t>
  </si>
  <si>
    <t>RESHOUUMOldREBF4ELC20</t>
  </si>
  <si>
    <t>RESHOUUMOldFREUE</t>
  </si>
  <si>
    <t>RESHOUUMOldFRC1ELC20</t>
  </si>
  <si>
    <t>RESHOUUMOldFRC2ELC20</t>
  </si>
  <si>
    <t>RESHOUUMOldFRC3ELC20</t>
  </si>
  <si>
    <t>RESHOUUMOldFRC4ELC20</t>
  </si>
  <si>
    <t>RESHOUUMOldFRU1ELC20</t>
  </si>
  <si>
    <t>RESHOUUMOldFRU2ELC20</t>
  </si>
  <si>
    <t>RESHOUUMOldFRU3ELC20</t>
  </si>
  <si>
    <t>RESHOUUMOldFRU4ELC20</t>
  </si>
  <si>
    <t>RESHOUUMOldCKEUE</t>
  </si>
  <si>
    <t>RESHOUUMOldCK2NGA20</t>
  </si>
  <si>
    <t>RESHOUUMOldCK4NGA20</t>
  </si>
  <si>
    <t>RESHOUUMOldCK2LPG20</t>
  </si>
  <si>
    <t>RESHOUUMOldCK4LPG20</t>
  </si>
  <si>
    <t>RESHOUUMOldCK2ELC20</t>
  </si>
  <si>
    <t>RESHOUUMOldCWEUE</t>
  </si>
  <si>
    <t>RESHOUUMOldCWF4ELC30</t>
  </si>
  <si>
    <t>RESHOUUMOldCWT1ELC20</t>
  </si>
  <si>
    <t>RESHOUUMOldCWT2ELC20</t>
  </si>
  <si>
    <t>RESHOUUMOldCWT3ELC20</t>
  </si>
  <si>
    <t>RESHOUUMOldCWT4ELC20</t>
  </si>
  <si>
    <t>RESHOUUMOldCWF1ELC20</t>
  </si>
  <si>
    <t>RESHOUUMOldCWF2ELC20</t>
  </si>
  <si>
    <t>RESHOUUMOldCWF2ELC30</t>
  </si>
  <si>
    <t>RESHOUUMOldCWF3ELC20</t>
  </si>
  <si>
    <t>RESHOUUMOldCWF4ELC20</t>
  </si>
  <si>
    <t>RESHOUUMOldCDEUE</t>
  </si>
  <si>
    <t>RESHOUUMOldCD1NGA20</t>
  </si>
  <si>
    <t>RESHOUUMOldCD2NGA20</t>
  </si>
  <si>
    <t>RESHOUUMOldCD3NGA20</t>
  </si>
  <si>
    <t>RESHOUUMOldCD4NGA20</t>
  </si>
  <si>
    <t>RESHOUUMOldCD4NGA30</t>
  </si>
  <si>
    <t>RESHOUUMOldCD1ELC20</t>
  </si>
  <si>
    <t>RESHOUUMOldCD2ELC20</t>
  </si>
  <si>
    <t>RESHOUUMOldCD3ELC20</t>
  </si>
  <si>
    <t>RESHOUUMOldCD4ELC20</t>
  </si>
  <si>
    <t>High Income</t>
  </si>
  <si>
    <t>RESAPAHIOldWHEUE</t>
  </si>
  <si>
    <t>RESAPAHIOldWH1NGA20</t>
  </si>
  <si>
    <t>RESAPAHIOldWH2NGA20</t>
  </si>
  <si>
    <t>RESAPAHIOldWH3NGA20</t>
  </si>
  <si>
    <t>RESAPAHIOldWH3NGA23</t>
  </si>
  <si>
    <t>RESAPAHIOldWH4NGA20</t>
  </si>
  <si>
    <t>RESAPAHIOldWH4NGA22</t>
  </si>
  <si>
    <t>RESAPAHIOldWH1ELC20</t>
  </si>
  <si>
    <t>RESAPAHIOldWH2ELC20</t>
  </si>
  <si>
    <t>RESAPAHIOldWH4ELC20</t>
  </si>
  <si>
    <t>RESAPAHIOldWH5ELC20</t>
  </si>
  <si>
    <t>RESAPAHIOldWH5ELC22</t>
  </si>
  <si>
    <t>RESAPAHIOldWH6ELC20</t>
  </si>
  <si>
    <t>RESAPAHIOldWH6ELC22</t>
  </si>
  <si>
    <t>RESAPAHIOldWH7ELC20</t>
  </si>
  <si>
    <t>RESAPAHIOldWH7ELC22</t>
  </si>
  <si>
    <t>RESAPAHIOldWH1FOI20</t>
  </si>
  <si>
    <t>RESAPAHIOldWH2FOI20</t>
  </si>
  <si>
    <t>RESAPAHIOldWH4FOI20</t>
  </si>
  <si>
    <t>RESAPAHIOldWH1LPG20</t>
  </si>
  <si>
    <t>RESAPAHIOldWH2LPG20</t>
  </si>
  <si>
    <t>RESAPAHIOldWH3LPG20</t>
  </si>
  <si>
    <t>RESAPAHIOldWH3LPG23</t>
  </si>
  <si>
    <t>RESAPAHIOldWH4LPG20</t>
  </si>
  <si>
    <t>RESAPAHIOldWH2SOL20</t>
  </si>
  <si>
    <t>RESAPAHIOldWH2SOL23</t>
  </si>
  <si>
    <t>RESAPAHIOldWH2SOL24</t>
  </si>
  <si>
    <t>RESAPAHIOldSHEUE</t>
  </si>
  <si>
    <t>RESAPAHIOldSHAHP1ELC20</t>
  </si>
  <si>
    <t>RESAPAHIOldSHAHP1ELC23</t>
  </si>
  <si>
    <t>RESAPAHIOldSHAHP2ELC20</t>
  </si>
  <si>
    <t>RESAPAHIOldSHAHP2ELC23</t>
  </si>
  <si>
    <t>RESAPAHIOldSHAHP3ELC20</t>
  </si>
  <si>
    <t>RESAPAHIOldSHAHP3ELC22</t>
  </si>
  <si>
    <t>RESAPAHIOldSHAHP3ELC23</t>
  </si>
  <si>
    <t>RESAPAHIOldSHAHP4ELC20</t>
  </si>
  <si>
    <t>RESAPAHIOldSHAHP4ELC22</t>
  </si>
  <si>
    <t>RESAPAHIOldSHGHP1ELC20</t>
  </si>
  <si>
    <t>RESAPAHIOldSHGHP2ELC20</t>
  </si>
  <si>
    <t>RESAPAHIOldSHGHP3ELC20</t>
  </si>
  <si>
    <t>RESAPAHIOldSHGHP3ELC22</t>
  </si>
  <si>
    <t>RESAPAHIOldSHGHP3ELC23</t>
  </si>
  <si>
    <t>RESAPAHIOldSHGHP3ELC24</t>
  </si>
  <si>
    <t>RESAPAHIOldSHGHP4ELC20</t>
  </si>
  <si>
    <t>RESAPAHIOldSHGHP4ELC22</t>
  </si>
  <si>
    <t>RESAPAHIOldSHGHP4ELC23</t>
  </si>
  <si>
    <t>RESAPAHIOldSHGHP4ELC24</t>
  </si>
  <si>
    <t>RESAPAHIOldSHRAD2ELC20</t>
  </si>
  <si>
    <t>RESAPAHIOldSHFUR1NGA20</t>
  </si>
  <si>
    <t>RESAPAHIOldSHFUR2NGA20</t>
  </si>
  <si>
    <t>RESAPAHIOldSHFUR3NGA20</t>
  </si>
  <si>
    <t>RESAPAHIOldSHFUR3NGA22</t>
  </si>
  <si>
    <t>RESAPAHIOldSHFUR4NGA20</t>
  </si>
  <si>
    <t>RESAPAHIOldSHFUR4NGA22</t>
  </si>
  <si>
    <t>RESAPAHIOldSHRAD1NGA20</t>
  </si>
  <si>
    <t>RESAPAHIOldSHRAD1NGA21</t>
  </si>
  <si>
    <t>RESAPAHIOldSHRAD2NGA20</t>
  </si>
  <si>
    <t>RESAPAHIOldSHRAD3NGA20</t>
  </si>
  <si>
    <t>RESAPAHIOldSHRAD4NGA20</t>
  </si>
  <si>
    <t>RESAPAHIOldSHRAD4NGA22</t>
  </si>
  <si>
    <t>RESAPAHIOldSHFUR1KER20</t>
  </si>
  <si>
    <t>RESAPAHIOldSHFUR2KER20</t>
  </si>
  <si>
    <t>RESAPAHIOldSHFUR3KER20</t>
  </si>
  <si>
    <t>RESAPAHIOldSHFUR4KER20</t>
  </si>
  <si>
    <t>RESAPAHIOldSHFUR1LPG20</t>
  </si>
  <si>
    <t>RESAPAHIOldSHFUR2LPG20</t>
  </si>
  <si>
    <t>RESAPAHIOldSHFUR3LPG20</t>
  </si>
  <si>
    <t>RESAPAHIOldSHFUR3LPG22</t>
  </si>
  <si>
    <t>RESAPAHIOldSHFUR4LPG20</t>
  </si>
  <si>
    <t>RESAPAHIOldSHFUR4LPG22</t>
  </si>
  <si>
    <t>RESAPAHIOldSHFUR1FOI20</t>
  </si>
  <si>
    <t>RESAPAHIOldSHFUR2FOI20</t>
  </si>
  <si>
    <t>RESAPAHIOldSHFUR2FOI22</t>
  </si>
  <si>
    <t>RESAPAHIOldSHFUR3FOI20</t>
  </si>
  <si>
    <t>RESAPAHIOldSHFUR4FOI20</t>
  </si>
  <si>
    <t>RESAPAHIOldSHFUR4FOI22</t>
  </si>
  <si>
    <t>RESAPAHIOldSHRAD1FOI20</t>
  </si>
  <si>
    <t>RESAPAHIOldSHRAD1FOI22</t>
  </si>
  <si>
    <t>RESAPAHIOldSHRAD2FOI20</t>
  </si>
  <si>
    <t>RESAPAHIOldSHRAD2FOI22</t>
  </si>
  <si>
    <t>RESAPAHIOldSHRAD3FOI20</t>
  </si>
  <si>
    <t>RESAPAHIOldSHRAD4FOI20</t>
  </si>
  <si>
    <t>RESAPAHIOldSCEUE</t>
  </si>
  <si>
    <t>RESAPAHIOldSCAHP2NGA20</t>
  </si>
  <si>
    <t>RESAPAHIOldSCAHP1ELC20</t>
  </si>
  <si>
    <t>RESAPAHIOldSCAHP1ELC23</t>
  </si>
  <si>
    <t>RESAPAHIOldSCAHP2ELC20</t>
  </si>
  <si>
    <t>RESAPAHIOldSCAHP2ELC23</t>
  </si>
  <si>
    <t>RESAPAHIOldSCAHP3ELC20</t>
  </si>
  <si>
    <t>RESAPAHIOldSCAHP3ELC22</t>
  </si>
  <si>
    <t>RESAPAHIOldSCAHP3ELC23</t>
  </si>
  <si>
    <t>RESAPAHIOldSCAHP4ELC20</t>
  </si>
  <si>
    <t>RESAPAHIOldSCAHP4ELC22</t>
  </si>
  <si>
    <t>RESAPAHIOldSCGHP1ELC20</t>
  </si>
  <si>
    <t>RESAPAHIOldSCGHP2ELC20</t>
  </si>
  <si>
    <t>RESAPAHIOldSCGHP3ELC20</t>
  </si>
  <si>
    <t>RESAPAHIOldSCGHP3ELC22</t>
  </si>
  <si>
    <t>RESAPAHIOldSCGHP3ELC23</t>
  </si>
  <si>
    <t>RESAPAHIOldSCGHP3ELC24</t>
  </si>
  <si>
    <t>RESAPAHIOldSCGHP4ELC20</t>
  </si>
  <si>
    <t>RESAPAHIOldSCGHP4ELC22</t>
  </si>
  <si>
    <t>RESAPAHIOldSCGHP4ELC23</t>
  </si>
  <si>
    <t>RESAPAHIOldSCGHP4ELC24</t>
  </si>
  <si>
    <t>RESAPAHIOldSCRAC1ELC20</t>
  </si>
  <si>
    <t>RESAPAHIOldSCRAC2ELC20</t>
  </si>
  <si>
    <t>RESAPAHIOldSCRAC2ELC30</t>
  </si>
  <si>
    <t>RESAPAHIOldSCRAC2ELC40</t>
  </si>
  <si>
    <t>RESAPAHIOldSCRAC3ELC20</t>
  </si>
  <si>
    <t>RESAPAHIOldSCRAC4ELC20</t>
  </si>
  <si>
    <t>RESAPAHIOldSCRAC4ELC22</t>
  </si>
  <si>
    <t>RESAPAHIOldSCRAC4ELC30</t>
  </si>
  <si>
    <t>RESAPAHIOldSCRAC4ELC40</t>
  </si>
  <si>
    <t>RESAPAHIOldSCCAC1ELC20</t>
  </si>
  <si>
    <t>RESAPAHIOldSCCAC1ELC23</t>
  </si>
  <si>
    <t>RESAPAHIOldSCCAC2ELC20</t>
  </si>
  <si>
    <t>RESAPAHIOldSCCAC2ELC23</t>
  </si>
  <si>
    <t>RESAPAHIOldSCCAC3ELC20</t>
  </si>
  <si>
    <t>RESAPAHIOldSCCAC3ELC23</t>
  </si>
  <si>
    <t>RESAPAHIOldSCCAC4ELC20</t>
  </si>
  <si>
    <t>RESAPAHIOldSCCAC4ELC22</t>
  </si>
  <si>
    <t>RESAPAHIOldREEUE</t>
  </si>
  <si>
    <t>RESAPAHIOldRETF1ELC20</t>
  </si>
  <si>
    <t>RESAPAHIOldRETF2ELC20</t>
  </si>
  <si>
    <t>RESAPAHIOldRETF3ELC20</t>
  </si>
  <si>
    <t>RESAPAHIOldRETF4ELC20</t>
  </si>
  <si>
    <t>RESAPAHIOldRESF1ELC20</t>
  </si>
  <si>
    <t>RESAPAHIOldRESF2ELC20</t>
  </si>
  <si>
    <t>RESAPAHIOldRESF3ELC20</t>
  </si>
  <si>
    <t>RESAPAHIOldRESF4ELC20</t>
  </si>
  <si>
    <t>RESAPAHIOldREBF1ELC20</t>
  </si>
  <si>
    <t>RESAPAHIOldREBF2ELC20</t>
  </si>
  <si>
    <t>RESAPAHIOldREBF3ELC20</t>
  </si>
  <si>
    <t>RESAPAHIOldREBF4ELC20</t>
  </si>
  <si>
    <t>RESAPAHIOldFREUE</t>
  </si>
  <si>
    <t>RESAPAHIOldFRC1ELC20</t>
  </si>
  <si>
    <t>RESAPAHIOldFRC2ELC20</t>
  </si>
  <si>
    <t>RESAPAHIOldFRC3ELC20</t>
  </si>
  <si>
    <t>RESAPAHIOldFRC4ELC20</t>
  </si>
  <si>
    <t>RESAPAHIOldFRU1ELC20</t>
  </si>
  <si>
    <t>RESAPAHIOldFRU2ELC20</t>
  </si>
  <si>
    <t>RESAPAHIOldFRU3ELC20</t>
  </si>
  <si>
    <t>RESAPAHIOldFRU4ELC20</t>
  </si>
  <si>
    <t>RESAPAHIOldCKEUE</t>
  </si>
  <si>
    <t>RESAPAHIOldCK2NGA20</t>
  </si>
  <si>
    <t>RESAPAHIOldCK4NGA20</t>
  </si>
  <si>
    <t>RESAPAHIOldCK2LPG20</t>
  </si>
  <si>
    <t>RESAPAHIOldCK4LPG20</t>
  </si>
  <si>
    <t>RESAPAHIOldCK2ELC20</t>
  </si>
  <si>
    <t>RESAPAHIOldCWEUE</t>
  </si>
  <si>
    <t>RESAPAHIOldCWF4ELC30</t>
  </si>
  <si>
    <t>RESAPAHIOldCWT1ELC20</t>
  </si>
  <si>
    <t>RESAPAHIOldCWT2ELC20</t>
  </si>
  <si>
    <t>RESAPAHIOldCWT3ELC20</t>
  </si>
  <si>
    <t>RESAPAHIOldCWT4ELC20</t>
  </si>
  <si>
    <t>RESAPAHIOldCWF1ELC20</t>
  </si>
  <si>
    <t>RESAPAHIOldCWF2ELC20</t>
  </si>
  <si>
    <t>RESAPAHIOldCWF2ELC30</t>
  </si>
  <si>
    <t>RESAPAHIOldCWF3ELC20</t>
  </si>
  <si>
    <t>RESAPAHIOldCWF4ELC20</t>
  </si>
  <si>
    <t>RESAPAHIOldCDEUE</t>
  </si>
  <si>
    <t>RESAPAHIOldCD1NGA20</t>
  </si>
  <si>
    <t>RESAPAHIOldCD2NGA20</t>
  </si>
  <si>
    <t>RESAPAHIOldCD3NGA20</t>
  </si>
  <si>
    <t>RESAPAHIOldCD4NGA20</t>
  </si>
  <si>
    <t>RESAPAHIOldCD4NGA30</t>
  </si>
  <si>
    <t>RESAPAHIOldCD1ELC20</t>
  </si>
  <si>
    <t>RESAPAHIOldCD2ELC20</t>
  </si>
  <si>
    <t>RESAPAHIOldCD3ELC20</t>
  </si>
  <si>
    <t>RESAPAHIOldCD4ELC20</t>
  </si>
  <si>
    <t>RESHOUHIOldWHEUE</t>
  </si>
  <si>
    <t>RESHOUHIOldWH1NGA20</t>
  </si>
  <si>
    <t>RESHOUHIOldWH2NGA20</t>
  </si>
  <si>
    <t>RESHOUHIOldWH3NGA20</t>
  </si>
  <si>
    <t>RESHOUHIOldWH3NGA23</t>
  </si>
  <si>
    <t>RESHOUHIOldWH4NGA20</t>
  </si>
  <si>
    <t>RESHOUHIOldWH4NGA22</t>
  </si>
  <si>
    <t>RESHOUHIOldWH1ELC20</t>
  </si>
  <si>
    <t>RESHOUHIOldWH2ELC20</t>
  </si>
  <si>
    <t>RESHOUHIOldWH4ELC20</t>
  </si>
  <si>
    <t>RESHOUHIOldWH5ELC20</t>
  </si>
  <si>
    <t>RESHOUHIOldWH5ELC22</t>
  </si>
  <si>
    <t>RESHOUHIOldWH6ELC20</t>
  </si>
  <si>
    <t>RESHOUHIOldWH6ELC22</t>
  </si>
  <si>
    <t>RESHOUHIOldWH7ELC20</t>
  </si>
  <si>
    <t>RESHOUHIOldWH7ELC22</t>
  </si>
  <si>
    <t>RESHOUHIOldWH1FOI20</t>
  </si>
  <si>
    <t>RESHOUHIOldWH2FOI20</t>
  </si>
  <si>
    <t>RESHOUHIOldWH4FOI20</t>
  </si>
  <si>
    <t>RESHOUHIOldWH1LPG20</t>
  </si>
  <si>
    <t>RESHOUHIOldWH2LPG20</t>
  </si>
  <si>
    <t>RESHOUHIOldWH3LPG20</t>
  </si>
  <si>
    <t>RESHOUHIOldWH3LPG23</t>
  </si>
  <si>
    <t>RESHOUHIOldWH4LPG20</t>
  </si>
  <si>
    <t>RESHOUHIOldWH2SOL20</t>
  </si>
  <si>
    <t>RESHOUHIOldWH2SOL23</t>
  </si>
  <si>
    <t>RESHOUHIOldWH2SOL24</t>
  </si>
  <si>
    <t>RESHOUHIOldSHEUE</t>
  </si>
  <si>
    <t>RESHOUHIOldSHAHP1ELC20</t>
  </si>
  <si>
    <t>RESHOUHIOldSHAHP1ELC23</t>
  </si>
  <si>
    <t>RESHOUHIOldSHAHP2ELC20</t>
  </si>
  <si>
    <t>RESHOUHIOldSHAHP2ELC23</t>
  </si>
  <si>
    <t>RESHOUHIOldSHAHP3ELC20</t>
  </si>
  <si>
    <t>RESHOUHIOldSHAHP3ELC22</t>
  </si>
  <si>
    <t>RESHOUHIOldSHAHP3ELC23</t>
  </si>
  <si>
    <t>RESHOUHIOldSHAHP4ELC20</t>
  </si>
  <si>
    <t>RESHOUHIOldSHAHP4ELC22</t>
  </si>
  <si>
    <t>RESHOUHIOldSHGHP1ELC20</t>
  </si>
  <si>
    <t>RESHOUHIOldSHGHP2ELC20</t>
  </si>
  <si>
    <t>RESHOUHIOldSHGHP3ELC20</t>
  </si>
  <si>
    <t>RESHOUHIOldSHGHP3ELC22</t>
  </si>
  <si>
    <t>RESHOUHIOldSHGHP3ELC23</t>
  </si>
  <si>
    <t>RESHOUHIOldSHGHP3ELC24</t>
  </si>
  <si>
    <t>RESHOUHIOldSHGHP4ELC20</t>
  </si>
  <si>
    <t>RESHOUHIOldSHGHP4ELC22</t>
  </si>
  <si>
    <t>RESHOUHIOldSHGHP4ELC23</t>
  </si>
  <si>
    <t>RESHOUHIOldSHGHP4ELC24</t>
  </si>
  <si>
    <t>RESHOUHIOldSHRAD2ELC20</t>
  </si>
  <si>
    <t>RESHOUHIOldSHFUR1NGA20</t>
  </si>
  <si>
    <t>RESHOUHIOldSHFUR2NGA20</t>
  </si>
  <si>
    <t>RESHOUHIOldSHFUR3NGA20</t>
  </si>
  <si>
    <t>RESHOUHIOldSHFUR3NGA22</t>
  </si>
  <si>
    <t>RESHOUHIOldSHFUR4NGA20</t>
  </si>
  <si>
    <t>RESHOUHIOldSHFUR4NGA22</t>
  </si>
  <si>
    <t>RESHOUHIOldSHRAD1NGA20</t>
  </si>
  <si>
    <t>RESHOUHIOldSHRAD1NGA21</t>
  </si>
  <si>
    <t>RESHOUHIOldSHRAD2NGA20</t>
  </si>
  <si>
    <t>RESHOUHIOldSHRAD3NGA20</t>
  </si>
  <si>
    <t>RESHOUHIOldSHRAD4NGA20</t>
  </si>
  <si>
    <t>RESHOUHIOldSHRAD4NGA22</t>
  </si>
  <si>
    <t>RESHOUHIOldSHFUR1KER20</t>
  </si>
  <si>
    <t>RESHOUHIOldSHFUR2KER20</t>
  </si>
  <si>
    <t>RESHOUHIOldSHFUR3KER20</t>
  </si>
  <si>
    <t>RESHOUHIOldSHFUR4KER20</t>
  </si>
  <si>
    <t>RESHOUHIOldSHFUR1LPG20</t>
  </si>
  <si>
    <t>RESHOUHIOldSHFUR2LPG20</t>
  </si>
  <si>
    <t>RESHOUHIOldSHFUR3LPG20</t>
  </si>
  <si>
    <t>RESHOUHIOldSHFUR3LPG22</t>
  </si>
  <si>
    <t>RESHOUHIOldSHFUR4LPG20</t>
  </si>
  <si>
    <t>RESHOUHIOldSHFUR4LPG22</t>
  </si>
  <si>
    <t>RESHOUHIOldSHFUR1FOI20</t>
  </si>
  <si>
    <t>RESHOUHIOldSHFUR2FOI20</t>
  </si>
  <si>
    <t>RESHOUHIOldSHFUR2FOI22</t>
  </si>
  <si>
    <t>RESHOUHIOldSHFUR3FOI20</t>
  </si>
  <si>
    <t>RESHOUHIOldSHFUR4FOI20</t>
  </si>
  <si>
    <t>RESHOUHIOldSHFUR4FOI22</t>
  </si>
  <si>
    <t>RESHOUHIOldSHRAD1FOI20</t>
  </si>
  <si>
    <t>RESHOUHIOldSHRAD1FOI22</t>
  </si>
  <si>
    <t>RESHOUHIOldSHRAD2FOI20</t>
  </si>
  <si>
    <t>RESHOUHIOldSHRAD2FOI22</t>
  </si>
  <si>
    <t>RESHOUHIOldSHRAD3FOI20</t>
  </si>
  <si>
    <t>RESHOUHIOldSHRAD4FOI20</t>
  </si>
  <si>
    <t>RESHOUHIOldSCEUE</t>
  </si>
  <si>
    <t>RESHOUHIOldSCAHP2NGA20</t>
  </si>
  <si>
    <t>RESHOUHIOldSCAHP1ELC20</t>
  </si>
  <si>
    <t>RESHOUHIOldSCAHP1ELC23</t>
  </si>
  <si>
    <t>RESHOUHIOldSCAHP2ELC20</t>
  </si>
  <si>
    <t>RESHOUHIOldSCAHP2ELC23</t>
  </si>
  <si>
    <t>RESHOUHIOldSCAHP3ELC20</t>
  </si>
  <si>
    <t>RESHOUHIOldSCAHP3ELC22</t>
  </si>
  <si>
    <t>RESHOUHIOldSCAHP3ELC23</t>
  </si>
  <si>
    <t>RESHOUHIOldSCAHP4ELC20</t>
  </si>
  <si>
    <t>RESHOUHIOldSCAHP4ELC22</t>
  </si>
  <si>
    <t>RESHOUHIOldSCGHP1ELC20</t>
  </si>
  <si>
    <t>RESHOUHIOldSCGHP2ELC20</t>
  </si>
  <si>
    <t>RESHOUHIOldSCGHP3ELC20</t>
  </si>
  <si>
    <t>RESHOUHIOldSCGHP3ELC22</t>
  </si>
  <si>
    <t>RESHOUHIOldSCGHP3ELC23</t>
  </si>
  <si>
    <t>RESHOUHIOldSCGHP3ELC24</t>
  </si>
  <si>
    <t>RESHOUHIOldSCGHP4ELC20</t>
  </si>
  <si>
    <t>RESHOUHIOldSCGHP4ELC22</t>
  </si>
  <si>
    <t>RESHOUHIOldSCGHP4ELC23</t>
  </si>
  <si>
    <t>RESHOUHIOldSCGHP4ELC24</t>
  </si>
  <si>
    <t>RESHOUHIOldSCRAC1ELC20</t>
  </si>
  <si>
    <t>RESHOUHIOldSCRAC2ELC20</t>
  </si>
  <si>
    <t>RESHOUHIOldSCRAC2ELC30</t>
  </si>
  <si>
    <t>RESHOUHIOldSCRAC2ELC40</t>
  </si>
  <si>
    <t>RESHOUHIOldSCRAC3ELC20</t>
  </si>
  <si>
    <t>RESHOUHIOldSCRAC4ELC20</t>
  </si>
  <si>
    <t>RESHOUHIOldSCRAC4ELC22</t>
  </si>
  <si>
    <t>RESHOUHIOldSCRAC4ELC30</t>
  </si>
  <si>
    <t>RESHOUHIOldSCRAC4ELC40</t>
  </si>
  <si>
    <t>RESHOUHIOldSCCAC1ELC20</t>
  </si>
  <si>
    <t>RESHOUHIOldSCCAC1ELC23</t>
  </si>
  <si>
    <t>RESHOUHIOldSCCAC2ELC20</t>
  </si>
  <si>
    <t>RESHOUHIOldSCCAC2ELC23</t>
  </si>
  <si>
    <t>RESHOUHIOldSCCAC3ELC20</t>
  </si>
  <si>
    <t>RESHOUHIOldSCCAC3ELC23</t>
  </si>
  <si>
    <t>RESHOUHIOldSCCAC4ELC20</t>
  </si>
  <si>
    <t>RESHOUHIOldSCCAC4ELC22</t>
  </si>
  <si>
    <t>RESHOUHIOldREEUE</t>
  </si>
  <si>
    <t>RESHOUHIOldRETF1ELC20</t>
  </si>
  <si>
    <t>RESHOUHIOldRETF2ELC20</t>
  </si>
  <si>
    <t>RESHOUHIOldRETF3ELC20</t>
  </si>
  <si>
    <t>RESHOUHIOldRETF4ELC20</t>
  </si>
  <si>
    <t>RESHOUHIOldRESF1ELC20</t>
  </si>
  <si>
    <t>RESHOUHIOldRESF2ELC20</t>
  </si>
  <si>
    <t>RESHOUHIOldRESF3ELC20</t>
  </si>
  <si>
    <t>RESHOUHIOldRESF4ELC20</t>
  </si>
  <si>
    <t>RESHOUHIOldREBF1ELC20</t>
  </si>
  <si>
    <t>RESHOUHIOldREBF2ELC20</t>
  </si>
  <si>
    <t>RESHOUHIOldREBF3ELC20</t>
  </si>
  <si>
    <t>RESHOUHIOldREBF4ELC20</t>
  </si>
  <si>
    <t>RESHOUHIOldFREUE</t>
  </si>
  <si>
    <t>RESHOUHIOldFRC1ELC20</t>
  </si>
  <si>
    <t>RESHOUHIOldFRC2ELC20</t>
  </si>
  <si>
    <t>RESHOUHIOldFRC3ELC20</t>
  </si>
  <si>
    <t>RESHOUHIOldFRC4ELC20</t>
  </si>
  <si>
    <t>RESHOUHIOldFRU1ELC20</t>
  </si>
  <si>
    <t>RESHOUHIOldFRU2ELC20</t>
  </si>
  <si>
    <t>RESHOUHIOldFRU3ELC20</t>
  </si>
  <si>
    <t>RESHOUHIOldFRU4ELC20</t>
  </si>
  <si>
    <t>RESHOUHIOldCKEUE</t>
  </si>
  <si>
    <t>RESHOUHIOldCK2NGA20</t>
  </si>
  <si>
    <t>RESHOUHIOldCK4NGA20</t>
  </si>
  <si>
    <t>RESHOUHIOldCK2LPG20</t>
  </si>
  <si>
    <t>RESHOUHIOldCK4LPG20</t>
  </si>
  <si>
    <t>RESHOUHIOldCK2ELC20</t>
  </si>
  <si>
    <t>RESHOUHIOldCWEUE</t>
  </si>
  <si>
    <t>RESHOUHIOldCWF4ELC30</t>
  </si>
  <si>
    <t>RESHOUHIOldCWT1ELC20</t>
  </si>
  <si>
    <t>RESHOUHIOldCWT2ELC20</t>
  </si>
  <si>
    <t>RESHOUHIOldCWT3ELC20</t>
  </si>
  <si>
    <t>RESHOUHIOldCWT4ELC20</t>
  </si>
  <si>
    <t>RESHOUHIOldCWF1ELC20</t>
  </si>
  <si>
    <t>RESHOUHIOldCWF2ELC20</t>
  </si>
  <si>
    <t>RESHOUHIOldCWF2ELC30</t>
  </si>
  <si>
    <t>RESHOUHIOldCWF3ELC20</t>
  </si>
  <si>
    <t>RESHOUHIOldCWF4ELC20</t>
  </si>
  <si>
    <t>RESHOUHIOldCDEUE</t>
  </si>
  <si>
    <t>RESHOUHIOldCD1NGA20</t>
  </si>
  <si>
    <t>RESHOUHIOldCD2NGA20</t>
  </si>
  <si>
    <t>RESHOUHIOldCD3NGA20</t>
  </si>
  <si>
    <t>RESHOUHIOldCD4NGA20</t>
  </si>
  <si>
    <t>RESHOUHIOldCD4NGA30</t>
  </si>
  <si>
    <t>RESHOUHIOldCD1ELC20</t>
  </si>
  <si>
    <t>RESHOUHIOldCD2ELC20</t>
  </si>
  <si>
    <t>RESHOUHIOldCD3ELC20</t>
  </si>
  <si>
    <t>RESHOUHIOldCD4ELC20</t>
  </si>
  <si>
    <t>*</t>
  </si>
  <si>
    <t>New</t>
  </si>
  <si>
    <t>RESAPALONewWHEUE</t>
  </si>
  <si>
    <t>RESAPALONewWH1NGA20</t>
  </si>
  <si>
    <t>RESAPALONewWH2NGA20</t>
  </si>
  <si>
    <t>RESAPALONewWH3NGA20</t>
  </si>
  <si>
    <t>RESAPALONewWH3NGA23</t>
  </si>
  <si>
    <t>RESAPALONewWH4NGA20</t>
  </si>
  <si>
    <t>RESAPALONewWH4NGA22</t>
  </si>
  <si>
    <t>RESAPALONewWH1ELC20</t>
  </si>
  <si>
    <t>RESAPALONewWH2ELC20</t>
  </si>
  <si>
    <t>RESAPALONewWH4ELC20</t>
  </si>
  <si>
    <t>RESAPALONewWH5ELC20</t>
  </si>
  <si>
    <t>RESAPALONewWH5ELC22</t>
  </si>
  <si>
    <t>RESAPALONewWH6ELC20</t>
  </si>
  <si>
    <t>RESAPALONewWH6ELC22</t>
  </si>
  <si>
    <t>RESAPALONewWH7ELC20</t>
  </si>
  <si>
    <t>RESAPALONewWH7ELC22</t>
  </si>
  <si>
    <t>RESAPALONewWH1FOI20</t>
  </si>
  <si>
    <t>RESAPALONewWH2FOI20</t>
  </si>
  <si>
    <t>RESAPALONewWH4FOI20</t>
  </si>
  <si>
    <t>RESAPALONewWH1LPG20</t>
  </si>
  <si>
    <t>RESAPALONewWH2LPG20</t>
  </si>
  <si>
    <t>RESAPALONewWH3LPG20</t>
  </si>
  <si>
    <t>RESAPALONewWH3LPG23</t>
  </si>
  <si>
    <t>RESAPALONewWH4LPG20</t>
  </si>
  <si>
    <t>RESAPALONewWH2SOL20</t>
  </si>
  <si>
    <t>RESAPALONewWH2SOL23</t>
  </si>
  <si>
    <t>RESAPALONewWH2SOL24</t>
  </si>
  <si>
    <t>RESAPALONewSHEUE</t>
  </si>
  <si>
    <t>RESAPALONewSHAHP1ELC20</t>
  </si>
  <si>
    <t>RESAPALONewSHAHP1ELC23</t>
  </si>
  <si>
    <t>RESAPALONewSHAHP2ELC20</t>
  </si>
  <si>
    <t>RESAPALONewSHAHP2ELC23</t>
  </si>
  <si>
    <t>RESAPALONewSHAHP3ELC20</t>
  </si>
  <si>
    <t>RESAPALONewSHAHP3ELC22</t>
  </si>
  <si>
    <t>RESAPALONewSHAHP3ELC23</t>
  </si>
  <si>
    <t>RESAPALONewSHAHP4ELC20</t>
  </si>
  <si>
    <t>RESAPALONewSHAHP4ELC22</t>
  </si>
  <si>
    <t>RESAPALONewSHGHP1ELC20</t>
  </si>
  <si>
    <t>RESAPALONewSHGHP2ELC20</t>
  </si>
  <si>
    <t>RESAPALONewSHGHP3ELC20</t>
  </si>
  <si>
    <t>RESAPALONewSHGHP3ELC22</t>
  </si>
  <si>
    <t>RESAPALONewSHGHP3ELC23</t>
  </si>
  <si>
    <t>RESAPALONewSHGHP3ELC24</t>
  </si>
  <si>
    <t>RESAPALONewSHGHP4ELC20</t>
  </si>
  <si>
    <t>RESAPALONewSHGHP4ELC22</t>
  </si>
  <si>
    <t>RESAPALONewSHGHP4ELC23</t>
  </si>
  <si>
    <t>RESAPALONewSHGHP4ELC24</t>
  </si>
  <si>
    <t>RESAPALONewSHRAD2ELC20</t>
  </si>
  <si>
    <t>RESAPALONewSHFUR1NGA20</t>
  </si>
  <si>
    <t>RESAPALONewSHFUR2NGA20</t>
  </si>
  <si>
    <t>RESAPALONewSHFUR3NGA20</t>
  </si>
  <si>
    <t>RESAPALONewSHFUR3NGA22</t>
  </si>
  <si>
    <t>RESAPALONewSHFUR4NGA20</t>
  </si>
  <si>
    <t>RESAPALONewSHFUR4NGA22</t>
  </si>
  <si>
    <t>RESAPALONewSHRAD1NGA20</t>
  </si>
  <si>
    <t>RESAPALONewSHRAD1NGA21</t>
  </si>
  <si>
    <t>RESAPALONewSHRAD2NGA20</t>
  </si>
  <si>
    <t>RESAPALONewSHRAD3NGA20</t>
  </si>
  <si>
    <t>RESAPALONewSHRAD4NGA20</t>
  </si>
  <si>
    <t>RESAPALONewSHRAD4NGA22</t>
  </si>
  <si>
    <t>RESAPALONewSHFUR1KER20</t>
  </si>
  <si>
    <t>RESAPALONewSHFUR2KER20</t>
  </si>
  <si>
    <t>RESAPALONewSHFUR3KER20</t>
  </si>
  <si>
    <t>RESAPALONewSHFUR4KER20</t>
  </si>
  <si>
    <t>RESAPALONewSHFUR1LPG20</t>
  </si>
  <si>
    <t>RESAPALONewSHFUR2LPG20</t>
  </si>
  <si>
    <t>RESAPALONewSHFUR3LPG20</t>
  </si>
  <si>
    <t>RESAPALONewSHFUR3LPG22</t>
  </si>
  <si>
    <t>RESAPALONewSHFUR4LPG20</t>
  </si>
  <si>
    <t>RESAPALONewSHFUR4LPG22</t>
  </si>
  <si>
    <t>RESAPALONewSHFUR1FOI20</t>
  </si>
  <si>
    <t>RESAPALONewSHFUR2FOI20</t>
  </si>
  <si>
    <t>RESAPALONewSHFUR2FOI22</t>
  </si>
  <si>
    <t>RESAPALONewSHFUR3FOI20</t>
  </si>
  <si>
    <t>RESAPALONewSHFUR4FOI20</t>
  </si>
  <si>
    <t>RESAPALONewSHFUR4FOI22</t>
  </si>
  <si>
    <t>RESAPALONewSHRAD1FOI20</t>
  </si>
  <si>
    <t>RESAPALONewSHRAD1FOI22</t>
  </si>
  <si>
    <t>RESAPALONewSHRAD2FOI20</t>
  </si>
  <si>
    <t>RESAPALONewSHRAD2FOI22</t>
  </si>
  <si>
    <t>RESAPALONewSHRAD3FOI20</t>
  </si>
  <si>
    <t>RESAPALONewSHRAD4FOI20</t>
  </si>
  <si>
    <t>RESAPALONewSCEUE</t>
  </si>
  <si>
    <t>RESAPALONewSCAHP2NGA20</t>
  </si>
  <si>
    <t>RESAPALONewSCAHP1ELC20</t>
  </si>
  <si>
    <t>RESAPALONewSCAHP1ELC23</t>
  </si>
  <si>
    <t>RESAPALONewSCAHP2ELC20</t>
  </si>
  <si>
    <t>RESAPALONewSCAHP2ELC23</t>
  </si>
  <si>
    <t>RESAPALONewSCAHP3ELC20</t>
  </si>
  <si>
    <t>RESAPALONewSCAHP3ELC22</t>
  </si>
  <si>
    <t>RESAPALONewSCAHP3ELC23</t>
  </si>
  <si>
    <t>RESAPALONewSCAHP4ELC20</t>
  </si>
  <si>
    <t>RESAPALONewSCAHP4ELC22</t>
  </si>
  <si>
    <t>RESAPALONewSCGHP1ELC20</t>
  </si>
  <si>
    <t>RESAPALONewSCGHP2ELC20</t>
  </si>
  <si>
    <t>RESAPALONewSCGHP3ELC20</t>
  </si>
  <si>
    <t>RESAPALONewSCGHP3ELC22</t>
  </si>
  <si>
    <t>RESAPALONewSCGHP3ELC23</t>
  </si>
  <si>
    <t>RESAPALONewSCGHP3ELC24</t>
  </si>
  <si>
    <t>RESAPALONewSCGHP4ELC20</t>
  </si>
  <si>
    <t>RESAPALONewSCGHP4ELC22</t>
  </si>
  <si>
    <t>RESAPALONewSCGHP4ELC23</t>
  </si>
  <si>
    <t>RESAPALONewSCGHP4ELC24</t>
  </si>
  <si>
    <t>RESAPALONewSCRAC1ELC20</t>
  </si>
  <si>
    <t>RESAPALONewSCRAC2ELC20</t>
  </si>
  <si>
    <t>RESAPALONewSCRAC2ELC30</t>
  </si>
  <si>
    <t>RESAPALONewSCRAC2ELC40</t>
  </si>
  <si>
    <t>RESAPALONewSCRAC3ELC20</t>
  </si>
  <si>
    <t>RESAPALONewSCRAC4ELC20</t>
  </si>
  <si>
    <t>RESAPALONewSCRAC4ELC22</t>
  </si>
  <si>
    <t>RESAPALONewSCRAC4ELC30</t>
  </si>
  <si>
    <t>RESAPALONewSCRAC4ELC40</t>
  </si>
  <si>
    <t>RESAPALONewSCCAC1ELC20</t>
  </si>
  <si>
    <t>RESAPALONewSCCAC1ELC23</t>
  </si>
  <si>
    <t>RESAPALONewSCCAC2ELC20</t>
  </si>
  <si>
    <t>RESAPALONewSCCAC2ELC23</t>
  </si>
  <si>
    <t>RESAPALONewSCCAC3ELC20</t>
  </si>
  <si>
    <t>RESAPALONewSCCAC3ELC23</t>
  </si>
  <si>
    <t>RESAPALONewSCCAC4ELC20</t>
  </si>
  <si>
    <t>RESAPALONewSCCAC4ELC22</t>
  </si>
  <si>
    <t>RESAPALONewREEUE</t>
  </si>
  <si>
    <t>RESAPALONewRETF1ELC20</t>
  </si>
  <si>
    <t>RESAPALONewRETF2ELC20</t>
  </si>
  <si>
    <t>RESAPALONewRETF3ELC20</t>
  </si>
  <si>
    <t>RESAPALONewRETF4ELC20</t>
  </si>
  <si>
    <t>RESAPALONewRESF1ELC20</t>
  </si>
  <si>
    <t>RESAPALONewRESF2ELC20</t>
  </si>
  <si>
    <t>RESAPALONewRESF3ELC20</t>
  </si>
  <si>
    <t>RESAPALONewRESF4ELC20</t>
  </si>
  <si>
    <t>RESAPALONewREBF1ELC20</t>
  </si>
  <si>
    <t>RESAPALONewREBF2ELC20</t>
  </si>
  <si>
    <t>RESAPALONewREBF3ELC20</t>
  </si>
  <si>
    <t>RESAPALONewREBF4ELC20</t>
  </si>
  <si>
    <t>RESAPALONewFREUE</t>
  </si>
  <si>
    <t>RESAPALONewFRC1ELC20</t>
  </si>
  <si>
    <t>RESAPALONewFRC2ELC20</t>
  </si>
  <si>
    <t>RESAPALONewFRC3ELC20</t>
  </si>
  <si>
    <t>RESAPALONewFRC4ELC20</t>
  </si>
  <si>
    <t>RESAPALONewFRU1ELC20</t>
  </si>
  <si>
    <t>RESAPALONewFRU2ELC20</t>
  </si>
  <si>
    <t>RESAPALONewFRU3ELC20</t>
  </si>
  <si>
    <t>RESAPALONewFRU4ELC20</t>
  </si>
  <si>
    <t>RESAPALONewCKEUE</t>
  </si>
  <si>
    <t>RESAPALONewCK2NGA20</t>
  </si>
  <si>
    <t>RESAPALONewCK4NGA20</t>
  </si>
  <si>
    <t>RESAPALONewCK2LPG20</t>
  </si>
  <si>
    <t>RESAPALONewCK4LPG20</t>
  </si>
  <si>
    <t>RESAPALONewCK2ELC20</t>
  </si>
  <si>
    <t>RESAPALONewCWEUE</t>
  </si>
  <si>
    <t>RESAPALONewCWF4ELC30</t>
  </si>
  <si>
    <t>RESAPALONewCWT1ELC20</t>
  </si>
  <si>
    <t>RESAPALONewCWT2ELC20</t>
  </si>
  <si>
    <t>RESAPALONewCWT3ELC20</t>
  </si>
  <si>
    <t>RESAPALONewCWT4ELC20</t>
  </si>
  <si>
    <t>RESAPALONewCWF1ELC20</t>
  </si>
  <si>
    <t>RESAPALONewCWF2ELC20</t>
  </si>
  <si>
    <t>RESAPALONewCWF2ELC30</t>
  </si>
  <si>
    <t>RESAPALONewCWF3ELC20</t>
  </si>
  <si>
    <t>RESAPALONewCWF4ELC20</t>
  </si>
  <si>
    <t>RESAPALONewCDEUE</t>
  </si>
  <si>
    <t>RESAPALONewCD1NGA20</t>
  </si>
  <si>
    <t>RESAPALONewCD2NGA20</t>
  </si>
  <si>
    <t>RESAPALONewCD3NGA20</t>
  </si>
  <si>
    <t>RESAPALONewCD4NGA20</t>
  </si>
  <si>
    <t>RESAPALONewCD4NGA30</t>
  </si>
  <si>
    <t>RESAPALONewCD1ELC20</t>
  </si>
  <si>
    <t>RESAPALONewCD2ELC20</t>
  </si>
  <si>
    <t>RESAPALONewCD3ELC20</t>
  </si>
  <si>
    <t>RESAPALONewCD4ELC20</t>
  </si>
  <si>
    <t>RESHOULONewWHEUE</t>
  </si>
  <si>
    <t>RESHOULONewWH1NGA20</t>
  </si>
  <si>
    <t>RESHOULONewWH2NGA20</t>
  </si>
  <si>
    <t>RESHOULONewWH3NGA20</t>
  </si>
  <si>
    <t>RESHOULONewWH3NGA23</t>
  </si>
  <si>
    <t>RESHOULONewWH4NGA20</t>
  </si>
  <si>
    <t>RESHOULONewWH4NGA22</t>
  </si>
  <si>
    <t>RESHOULONewWH1ELC20</t>
  </si>
  <si>
    <t>RESHOULONewWH2ELC20</t>
  </si>
  <si>
    <t>RESHOULONewWH4ELC20</t>
  </si>
  <si>
    <t>RESHOULONewWH5ELC20</t>
  </si>
  <si>
    <t>RESHOULONewWH5ELC22</t>
  </si>
  <si>
    <t>RESHOULONewWH6ELC20</t>
  </si>
  <si>
    <t>RESHOULONewWH6ELC22</t>
  </si>
  <si>
    <t>RESHOULONewWH7ELC20</t>
  </si>
  <si>
    <t>RESHOULONewWH7ELC22</t>
  </si>
  <si>
    <t>RESHOULONewWH1FOI20</t>
  </si>
  <si>
    <t>RESHOULONewWH2FOI20</t>
  </si>
  <si>
    <t>RESHOULONewWH4FOI20</t>
  </si>
  <si>
    <t>RESHOULONewWH1LPG20</t>
  </si>
  <si>
    <t>RESHOULONewWH2LPG20</t>
  </si>
  <si>
    <t>RESHOULONewWH3LPG20</t>
  </si>
  <si>
    <t>RESHOULONewWH3LPG23</t>
  </si>
  <si>
    <t>RESHOULONewWH4LPG20</t>
  </si>
  <si>
    <t>RESHOULONewWH2SOL20</t>
  </si>
  <si>
    <t>RESHOULONewWH2SOL23</t>
  </si>
  <si>
    <t>RESHOULONewWH2SOL24</t>
  </si>
  <si>
    <t>RESHOULONewSHEUE</t>
  </si>
  <si>
    <t>RESHOULONewSHAHP1ELC20</t>
  </si>
  <si>
    <t>RESHOULONewSHAHP1ELC23</t>
  </si>
  <si>
    <t>RESHOULONewSHAHP2ELC20</t>
  </si>
  <si>
    <t>RESHOULONewSHAHP2ELC23</t>
  </si>
  <si>
    <t>RESHOULONewSHAHP3ELC20</t>
  </si>
  <si>
    <t>RESHOULONewSHAHP3ELC22</t>
  </si>
  <si>
    <t>RESHOULONewSHAHP3ELC23</t>
  </si>
  <si>
    <t>RESHOULONewSHAHP4ELC20</t>
  </si>
  <si>
    <t>RESHOULONewSHAHP4ELC22</t>
  </si>
  <si>
    <t>RESHOULONewSHGHP1ELC20</t>
  </si>
  <si>
    <t>RESHOULONewSHGHP2ELC20</t>
  </si>
  <si>
    <t>RESHOULONewSHGHP3ELC20</t>
  </si>
  <si>
    <t>RESHOULONewSHGHP3ELC22</t>
  </si>
  <si>
    <t>RESHOULONewSHGHP3ELC23</t>
  </si>
  <si>
    <t>RESHOULONewSHGHP3ELC24</t>
  </si>
  <si>
    <t>RESHOULONewSHGHP4ELC20</t>
  </si>
  <si>
    <t>RESHOULONewSHGHP4ELC22</t>
  </si>
  <si>
    <t>RESHOULONewSHGHP4ELC23</t>
  </si>
  <si>
    <t>RESHOULONewSHGHP4ELC24</t>
  </si>
  <si>
    <t>RESHOULONewSHRAD2ELC20</t>
  </si>
  <si>
    <t>RESHOULONewSHFUR1NGA20</t>
  </si>
  <si>
    <t>RESHOULONewSHFUR2NGA20</t>
  </si>
  <si>
    <t>RESHOULONewSHFUR3NGA20</t>
  </si>
  <si>
    <t>RESHOULONewSHFUR3NGA22</t>
  </si>
  <si>
    <t>RESHOULONewSHFUR4NGA20</t>
  </si>
  <si>
    <t>RESHOULONewSHFUR4NGA22</t>
  </si>
  <si>
    <t>RESHOULONewSHRAD1NGA20</t>
  </si>
  <si>
    <t>RESHOULONewSHRAD1NGA21</t>
  </si>
  <si>
    <t>RESHOULONewSHRAD2NGA20</t>
  </si>
  <si>
    <t>RESHOULONewSHRAD3NGA20</t>
  </si>
  <si>
    <t>RESHOULONewSHRAD4NGA20</t>
  </si>
  <si>
    <t>RESHOULONewSHRAD4NGA22</t>
  </si>
  <si>
    <t>RESHOULONewSHFUR1KER20</t>
  </si>
  <si>
    <t>RESHOULONewSHFUR2KER20</t>
  </si>
  <si>
    <t>RESHOULONewSHFUR3KER20</t>
  </si>
  <si>
    <t>RESHOULONewSHFUR4KER20</t>
  </si>
  <si>
    <t>RESHOULONewSHFUR1LPG20</t>
  </si>
  <si>
    <t>RESHOULONewSHFUR2LPG20</t>
  </si>
  <si>
    <t>RESHOULONewSHFUR3LPG20</t>
  </si>
  <si>
    <t>RESHOULONewSHFUR3LPG22</t>
  </si>
  <si>
    <t>RESHOULONewSHFUR4LPG20</t>
  </si>
  <si>
    <t>RESHOULONewSHFUR4LPG22</t>
  </si>
  <si>
    <t>RESHOULONewSHFUR1FOI20</t>
  </si>
  <si>
    <t>RESHOULONewSHFUR2FOI20</t>
  </si>
  <si>
    <t>RESHOULONewSHFUR2FOI22</t>
  </si>
  <si>
    <t>RESHOULONewSHFUR3FOI20</t>
  </si>
  <si>
    <t>RESHOULONewSHFUR4FOI20</t>
  </si>
  <si>
    <t>RESHOULONewSHFUR4FOI22</t>
  </si>
  <si>
    <t>RESHOULONewSHRAD1FOI20</t>
  </si>
  <si>
    <t>RESHOULONewSHRAD1FOI22</t>
  </si>
  <si>
    <t>RESHOULONewSHRAD2FOI20</t>
  </si>
  <si>
    <t>RESHOULONewSHRAD2FOI22</t>
  </si>
  <si>
    <t>RESHOULONewSHRAD3FOI20</t>
  </si>
  <si>
    <t>RESHOULONewSHRAD4FOI20</t>
  </si>
  <si>
    <t>RESHOULONewSCEUE</t>
  </si>
  <si>
    <t>RESHOULONewSCAHP2NGA20</t>
  </si>
  <si>
    <t>RESHOULONewSCAHP1ELC20</t>
  </si>
  <si>
    <t>RESHOULONewSCAHP1ELC23</t>
  </si>
  <si>
    <t>RESHOULONewSCAHP2ELC20</t>
  </si>
  <si>
    <t>RESHOULONewSCAHP2ELC23</t>
  </si>
  <si>
    <t>RESHOULONewSCAHP3ELC20</t>
  </si>
  <si>
    <t>RESHOULONewSCAHP3ELC22</t>
  </si>
  <si>
    <t>RESHOULONewSCAHP3ELC23</t>
  </si>
  <si>
    <t>RESHOULONewSCAHP4ELC20</t>
  </si>
  <si>
    <t>RESHOULONewSCAHP4ELC22</t>
  </si>
  <si>
    <t>RESHOULONewSCGHP1ELC20</t>
  </si>
  <si>
    <t>RESHOULONewSCGHP2ELC20</t>
  </si>
  <si>
    <t>RESHOULONewSCGHP3ELC20</t>
  </si>
  <si>
    <t>RESHOULONewSCGHP3ELC22</t>
  </si>
  <si>
    <t>RESHOULONewSCGHP3ELC23</t>
  </si>
  <si>
    <t>RESHOULONewSCGHP3ELC24</t>
  </si>
  <si>
    <t>RESHOULONewSCGHP4ELC20</t>
  </si>
  <si>
    <t>RESHOULONewSCGHP4ELC22</t>
  </si>
  <si>
    <t>RESHOULONewSCGHP4ELC23</t>
  </si>
  <si>
    <t>RESHOULONewSCGHP4ELC24</t>
  </si>
  <si>
    <t>RESHOULONewSCRAC1ELC20</t>
  </si>
  <si>
    <t>RESHOULONewSCRAC2ELC20</t>
  </si>
  <si>
    <t>RESHOULONewSCRAC2ELC30</t>
  </si>
  <si>
    <t>RESHOULONewSCRAC2ELC40</t>
  </si>
  <si>
    <t>RESHOULONewSCRAC3ELC20</t>
  </si>
  <si>
    <t>RESHOULONewSCRAC4ELC20</t>
  </si>
  <si>
    <t>RESHOULONewSCRAC4ELC22</t>
  </si>
  <si>
    <t>RESHOULONewSCRAC4ELC30</t>
  </si>
  <si>
    <t>RESHOULONewSCRAC4ELC40</t>
  </si>
  <si>
    <t>RESHOULONewSCCAC1ELC20</t>
  </si>
  <si>
    <t>RESHOULONewSCCAC1ELC23</t>
  </si>
  <si>
    <t>RESHOULONewSCCAC2ELC20</t>
  </si>
  <si>
    <t>RESHOULONewSCCAC2ELC23</t>
  </si>
  <si>
    <t>RESHOULONewSCCAC3ELC20</t>
  </si>
  <si>
    <t>RESHOULONewSCCAC3ELC23</t>
  </si>
  <si>
    <t>RESHOULONewSCCAC4ELC20</t>
  </si>
  <si>
    <t>RESHOULONewSCCAC4ELC22</t>
  </si>
  <si>
    <t>RESHOULONewREEUE</t>
  </si>
  <si>
    <t>RESHOULONewRETF1ELC20</t>
  </si>
  <si>
    <t>RESHOULONewRETF2ELC20</t>
  </si>
  <si>
    <t>RESHOULONewRETF3ELC20</t>
  </si>
  <si>
    <t>RESHOULONewRETF4ELC20</t>
  </si>
  <si>
    <t>RESHOULONewRESF1ELC20</t>
  </si>
  <si>
    <t>RESHOULONewRESF2ELC20</t>
  </si>
  <si>
    <t>RESHOULONewRESF3ELC20</t>
  </si>
  <si>
    <t>RESHOULONewRESF4ELC20</t>
  </si>
  <si>
    <t>RESHOULONewREBF1ELC20</t>
  </si>
  <si>
    <t>RESHOULONewREBF2ELC20</t>
  </si>
  <si>
    <t>RESHOULONewREBF3ELC20</t>
  </si>
  <si>
    <t>RESHOULONewREBF4ELC20</t>
  </si>
  <si>
    <t>RESHOULONewFREUE</t>
  </si>
  <si>
    <t>RESHOULONewFRC1ELC20</t>
  </si>
  <si>
    <t>RESHOULONewFRC2ELC20</t>
  </si>
  <si>
    <t>RESHOULONewFRC3ELC20</t>
  </si>
  <si>
    <t>RESHOULONewFRC4ELC20</t>
  </si>
  <si>
    <t>RESHOULONewFRU1ELC20</t>
  </si>
  <si>
    <t>RESHOULONewFRU2ELC20</t>
  </si>
  <si>
    <t>RESHOULONewFRU3ELC20</t>
  </si>
  <si>
    <t>RESHOULONewFRU4ELC20</t>
  </si>
  <si>
    <t>RESHOULONewCKEUE</t>
  </si>
  <si>
    <t>RESHOULONewCK2NGA20</t>
  </si>
  <si>
    <t>RESHOULONewCK4NGA20</t>
  </si>
  <si>
    <t>RESHOULONewCK2LPG20</t>
  </si>
  <si>
    <t>RESHOULONewCK4LPG20</t>
  </si>
  <si>
    <t>RESHOULONewCK2ELC20</t>
  </si>
  <si>
    <t>RESHOULONewCWEUE</t>
  </si>
  <si>
    <t>RESHOULONewCWF4ELC30</t>
  </si>
  <si>
    <t>RESHOULONewCWT1ELC20</t>
  </si>
  <si>
    <t>RESHOULONewCWT2ELC20</t>
  </si>
  <si>
    <t>RESHOULONewCWT3ELC20</t>
  </si>
  <si>
    <t>RESHOULONewCWT4ELC20</t>
  </si>
  <si>
    <t>RESHOULONewCWF1ELC20</t>
  </si>
  <si>
    <t>RESHOULONewCWF2ELC20</t>
  </si>
  <si>
    <t>RESHOULONewCWF2ELC30</t>
  </si>
  <si>
    <t>RESHOULONewCWF3ELC20</t>
  </si>
  <si>
    <t>RESHOULONewCWF4ELC20</t>
  </si>
  <si>
    <t>RESHOULONewCDEUE</t>
  </si>
  <si>
    <t>RESHOULONewCD1NGA20</t>
  </si>
  <si>
    <t>RESHOULONewCD2NGA20</t>
  </si>
  <si>
    <t>RESHOULONewCD3NGA20</t>
  </si>
  <si>
    <t>RESHOULONewCD4NGA20</t>
  </si>
  <si>
    <t>RESHOULONewCD4NGA30</t>
  </si>
  <si>
    <t>RESHOULONewCD1ELC20</t>
  </si>
  <si>
    <t>RESHOULONewCD2ELC20</t>
  </si>
  <si>
    <t>RESHOULONewCD3ELC20</t>
  </si>
  <si>
    <t>RESHOULONewCD4ELC20</t>
  </si>
  <si>
    <t>RESAPALMNewWHEUE</t>
  </si>
  <si>
    <t>RESAPALMNewWH1NGA20</t>
  </si>
  <si>
    <t>RESAPALMNewWH2NGA20</t>
  </si>
  <si>
    <t>RESAPALMNewWH3NGA20</t>
  </si>
  <si>
    <t>RESAPALMNewWH3NGA23</t>
  </si>
  <si>
    <t>RESAPALMNewWH4NGA20</t>
  </si>
  <si>
    <t>RESAPALMNewWH4NGA22</t>
  </si>
  <si>
    <t>RESAPALMNewWH1ELC20</t>
  </si>
  <si>
    <t>RESAPALMNewWH2ELC20</t>
  </si>
  <si>
    <t>RESAPALMNewWH4ELC20</t>
  </si>
  <si>
    <t>RESAPALMNewWH5ELC20</t>
  </si>
  <si>
    <t>RESAPALMNewWH5ELC22</t>
  </si>
  <si>
    <t>RESAPALMNewWH6ELC20</t>
  </si>
  <si>
    <t>RESAPALMNewWH6ELC22</t>
  </si>
  <si>
    <t>RESAPALMNewWH7ELC20</t>
  </si>
  <si>
    <t>RESAPALMNewWH7ELC22</t>
  </si>
  <si>
    <t>RESAPALMNewWH1FOI20</t>
  </si>
  <si>
    <t>RESAPALMNewWH2FOI20</t>
  </si>
  <si>
    <t>RESAPALMNewWH4FOI20</t>
  </si>
  <si>
    <t>RESAPALMNewWH1LPG20</t>
  </si>
  <si>
    <t>RESAPALMNewWH2LPG20</t>
  </si>
  <si>
    <t>RESAPALMNewWH3LPG20</t>
  </si>
  <si>
    <t>RESAPALMNewWH3LPG23</t>
  </si>
  <si>
    <t>RESAPALMNewWH4LPG20</t>
  </si>
  <si>
    <t>RESAPALMNewWH2SOL20</t>
  </si>
  <si>
    <t>RESAPALMNewWH2SOL23</t>
  </si>
  <si>
    <t>RESAPALMNewWH2SOL24</t>
  </si>
  <si>
    <t>RESAPALMNewSHEUE</t>
  </si>
  <si>
    <t>RESAPALMNewSHAHP1ELC20</t>
  </si>
  <si>
    <t>RESAPALMNewSHAHP1ELC23</t>
  </si>
  <si>
    <t>RESAPALMNewSHAHP2ELC20</t>
  </si>
  <si>
    <t>RESAPALMNewSHAHP2ELC23</t>
  </si>
  <si>
    <t>RESAPALMNewSHAHP3ELC20</t>
  </si>
  <si>
    <t>RESAPALMNewSHAHP3ELC22</t>
  </si>
  <si>
    <t>RESAPALMNewSHAHP3ELC23</t>
  </si>
  <si>
    <t>RESAPALMNewSHAHP4ELC20</t>
  </si>
  <si>
    <t>RESAPALMNewSHAHP4ELC22</t>
  </si>
  <si>
    <t>RESAPALMNewSHGHP1ELC20</t>
  </si>
  <si>
    <t>RESAPALMNewSHGHP2ELC20</t>
  </si>
  <si>
    <t>RESAPALMNewSHGHP3ELC20</t>
  </si>
  <si>
    <t>RESAPALMNewSHGHP3ELC22</t>
  </si>
  <si>
    <t>RESAPALMNewSHGHP3ELC23</t>
  </si>
  <si>
    <t>RESAPALMNewSHGHP3ELC24</t>
  </si>
  <si>
    <t>RESAPALMNewSHGHP4ELC20</t>
  </si>
  <si>
    <t>RESAPALMNewSHGHP4ELC22</t>
  </si>
  <si>
    <t>RESAPALMNewSHGHP4ELC23</t>
  </si>
  <si>
    <t>RESAPALMNewSHGHP4ELC24</t>
  </si>
  <si>
    <t>RESAPALMNewSHRAD2ELC20</t>
  </si>
  <si>
    <t>RESAPALMNewSHFUR1NGA20</t>
  </si>
  <si>
    <t>RESAPALMNewSHFUR2NGA20</t>
  </si>
  <si>
    <t>RESAPALMNewSHFUR3NGA20</t>
  </si>
  <si>
    <t>RESAPALMNewSHFUR3NGA22</t>
  </si>
  <si>
    <t>RESAPALMNewSHFUR4NGA20</t>
  </si>
  <si>
    <t>RESAPALMNewSHFUR4NGA22</t>
  </si>
  <si>
    <t>RESAPALMNewSHRAD1NGA20</t>
  </si>
  <si>
    <t>RESAPALMNewSHRAD1NGA21</t>
  </si>
  <si>
    <t>RESAPALMNewSHRAD2NGA20</t>
  </si>
  <si>
    <t>RESAPALMNewSHRAD3NGA20</t>
  </si>
  <si>
    <t>RESAPALMNewSHRAD4NGA20</t>
  </si>
  <si>
    <t>RESAPALMNewSHRAD4NGA22</t>
  </si>
  <si>
    <t>RESAPALMNewSHFUR1KER20</t>
  </si>
  <si>
    <t>RESAPALMNewSHFUR2KER20</t>
  </si>
  <si>
    <t>RESAPALMNewSHFUR3KER20</t>
  </si>
  <si>
    <t>RESAPALMNewSHFUR4KER20</t>
  </si>
  <si>
    <t>RESAPALMNewSHFUR1LPG20</t>
  </si>
  <si>
    <t>RESAPALMNewSHFUR2LPG20</t>
  </si>
  <si>
    <t>RESAPALMNewSHFUR3LPG20</t>
  </si>
  <si>
    <t>RESAPALMNewSHFUR3LPG22</t>
  </si>
  <si>
    <t>RESAPALMNewSHFUR4LPG20</t>
  </si>
  <si>
    <t>RESAPALMNewSHFUR4LPG22</t>
  </si>
  <si>
    <t>RESAPALMNewSHFUR1FOI20</t>
  </si>
  <si>
    <t>RESAPALMNewSHFUR2FOI20</t>
  </si>
  <si>
    <t>RESAPALMNewSHFUR2FOI22</t>
  </si>
  <si>
    <t>RESAPALMNewSHFUR3FOI20</t>
  </si>
  <si>
    <t>RESAPALMNewSHFUR4FOI20</t>
  </si>
  <si>
    <t>RESAPALMNewSHFUR4FOI22</t>
  </si>
  <si>
    <t>RESAPALMNewSHRAD1FOI20</t>
  </si>
  <si>
    <t>RESAPALMNewSHRAD1FOI22</t>
  </si>
  <si>
    <t>RESAPALMNewSHRAD2FOI20</t>
  </si>
  <si>
    <t>RESAPALMNewSHRAD2FOI22</t>
  </si>
  <si>
    <t>RESAPALMNewSHRAD3FOI20</t>
  </si>
  <si>
    <t>RESAPALMNewSHRAD4FOI20</t>
  </si>
  <si>
    <t>RESAPALMNewSCEUE</t>
  </si>
  <si>
    <t>RESAPALMNewSCAHP2NGA20</t>
  </si>
  <si>
    <t>RESAPALMNewSCAHP1ELC20</t>
  </si>
  <si>
    <t>RESAPALMNewSCAHP1ELC23</t>
  </si>
  <si>
    <t>RESAPALMNewSCAHP2ELC20</t>
  </si>
  <si>
    <t>RESAPALMNewSCAHP2ELC23</t>
  </si>
  <si>
    <t>RESAPALMNewSCAHP3ELC20</t>
  </si>
  <si>
    <t>RESAPALMNewSCAHP3ELC22</t>
  </si>
  <si>
    <t>RESAPALMNewSCAHP3ELC23</t>
  </si>
  <si>
    <t>RESAPALMNewSCAHP4ELC20</t>
  </si>
  <si>
    <t>RESAPALMNewSCAHP4ELC22</t>
  </si>
  <si>
    <t>RESAPALMNewSCGHP1ELC20</t>
  </si>
  <si>
    <t>RESAPALMNewSCGHP2ELC20</t>
  </si>
  <si>
    <t>RESAPALMNewSCGHP3ELC20</t>
  </si>
  <si>
    <t>RESAPALMNewSCGHP3ELC22</t>
  </si>
  <si>
    <t>RESAPALMNewSCGHP3ELC23</t>
  </si>
  <si>
    <t>RESAPALMNewSCGHP3ELC24</t>
  </si>
  <si>
    <t>RESAPALMNewSCGHP4ELC20</t>
  </si>
  <si>
    <t>RESAPALMNewSCGHP4ELC22</t>
  </si>
  <si>
    <t>RESAPALMNewSCGHP4ELC23</t>
  </si>
  <si>
    <t>RESAPALMNewSCGHP4ELC24</t>
  </si>
  <si>
    <t>RESAPALMNewSCRAC1ELC20</t>
  </si>
  <si>
    <t>RESAPALMNewSCRAC2ELC20</t>
  </si>
  <si>
    <t>RESAPALMNewSCRAC2ELC30</t>
  </si>
  <si>
    <t>RESAPALMNewSCRAC2ELC40</t>
  </si>
  <si>
    <t>RESAPALMNewSCRAC3ELC20</t>
  </si>
  <si>
    <t>RESAPALMNewSCRAC4ELC20</t>
  </si>
  <si>
    <t>RESAPALMNewSCRAC4ELC22</t>
  </si>
  <si>
    <t>RESAPALMNewSCRAC4ELC30</t>
  </si>
  <si>
    <t>RESAPALMNewSCRAC4ELC40</t>
  </si>
  <si>
    <t>RESAPALMNewSCCAC1ELC20</t>
  </si>
  <si>
    <t>RESAPALMNewSCCAC1ELC23</t>
  </si>
  <si>
    <t>RESAPALMNewSCCAC2ELC20</t>
  </si>
  <si>
    <t>RESAPALMNewSCCAC2ELC23</t>
  </si>
  <si>
    <t>RESAPALMNewSCCAC3ELC20</t>
  </si>
  <si>
    <t>RESAPALMNewSCCAC3ELC23</t>
  </si>
  <si>
    <t>RESAPALMNewSCCAC4ELC20</t>
  </si>
  <si>
    <t>RESAPALMNewSCCAC4ELC22</t>
  </si>
  <si>
    <t>RESAPALMNewREEUE</t>
  </si>
  <si>
    <t>RESAPALMNewRETF1ELC20</t>
  </si>
  <si>
    <t>RESAPALMNewRETF2ELC20</t>
  </si>
  <si>
    <t>RESAPALMNewRETF3ELC20</t>
  </si>
  <si>
    <t>RESAPALMNewRETF4ELC20</t>
  </si>
  <si>
    <t>RESAPALMNewRESF1ELC20</t>
  </si>
  <si>
    <t>RESAPALMNewRESF2ELC20</t>
  </si>
  <si>
    <t>RESAPALMNewRESF3ELC20</t>
  </si>
  <si>
    <t>RESAPALMNewRESF4ELC20</t>
  </si>
  <si>
    <t>RESAPALMNewREBF1ELC20</t>
  </si>
  <si>
    <t>RESAPALMNewREBF2ELC20</t>
  </si>
  <si>
    <t>RESAPALMNewREBF3ELC20</t>
  </si>
  <si>
    <t>RESAPALMNewREBF4ELC20</t>
  </si>
  <si>
    <t>RESAPALMNewFREUE</t>
  </si>
  <si>
    <t>RESAPALMNewFRC1ELC20</t>
  </si>
  <si>
    <t>RESAPALMNewFRC2ELC20</t>
  </si>
  <si>
    <t>RESAPALMNewFRC3ELC20</t>
  </si>
  <si>
    <t>RESAPALMNewFRC4ELC20</t>
  </si>
  <si>
    <t>RESAPALMNewFRU1ELC20</t>
  </si>
  <si>
    <t>RESAPALMNewFRU2ELC20</t>
  </si>
  <si>
    <t>RESAPALMNewFRU3ELC20</t>
  </si>
  <si>
    <t>RESAPALMNewFRU4ELC20</t>
  </si>
  <si>
    <t>RESAPALMNewCKEUE</t>
  </si>
  <si>
    <t>RESAPALMNewCK2NGA20</t>
  </si>
  <si>
    <t>RESAPALMNewCK4NGA20</t>
  </si>
  <si>
    <t>RESAPALMNewCK2LPG20</t>
  </si>
  <si>
    <t>RESAPALMNewCK4LPG20</t>
  </si>
  <si>
    <t>RESAPALMNewCK2ELC20</t>
  </si>
  <si>
    <t>RESAPALMNewCWEUE</t>
  </si>
  <si>
    <t>RESAPALMNewCWF4ELC30</t>
  </si>
  <si>
    <t>RESAPALMNewCWT1ELC20</t>
  </si>
  <si>
    <t>RESAPALMNewCWT2ELC20</t>
  </si>
  <si>
    <t>RESAPALMNewCWT3ELC20</t>
  </si>
  <si>
    <t>RESAPALMNewCWT4ELC20</t>
  </si>
  <si>
    <t>RESAPALMNewCWF1ELC20</t>
  </si>
  <si>
    <t>RESAPALMNewCWF2ELC20</t>
  </si>
  <si>
    <t>RESAPALMNewCWF2ELC30</t>
  </si>
  <si>
    <t>RESAPALMNewCWF3ELC20</t>
  </si>
  <si>
    <t>RESAPALMNewCWF4ELC20</t>
  </si>
  <si>
    <t>RESAPALMNewCDEUE</t>
  </si>
  <si>
    <t>RESAPALMNewCD1NGA20</t>
  </si>
  <si>
    <t>RESAPALMNewCD2NGA20</t>
  </si>
  <si>
    <t>RESAPALMNewCD3NGA20</t>
  </si>
  <si>
    <t>RESAPALMNewCD4NGA20</t>
  </si>
  <si>
    <t>RESAPALMNewCD4NGA30</t>
  </si>
  <si>
    <t>RESAPALMNewCD1ELC20</t>
  </si>
  <si>
    <t>RESAPALMNewCD2ELC20</t>
  </si>
  <si>
    <t>RESAPALMNewCD3ELC20</t>
  </si>
  <si>
    <t>RESAPALMNewCD4ELC20</t>
  </si>
  <si>
    <t>RESHOULMNewWHEUE</t>
  </si>
  <si>
    <t>RESHOULMNewWH1NGA20</t>
  </si>
  <si>
    <t>RESHOULMNewWH2NGA20</t>
  </si>
  <si>
    <t>RESHOULMNewWH3NGA20</t>
  </si>
  <si>
    <t>RESHOULMNewWH3NGA23</t>
  </si>
  <si>
    <t>RESHOULMNewWH4NGA20</t>
  </si>
  <si>
    <t>RESHOULMNewWH4NGA22</t>
  </si>
  <si>
    <t>RESHOULMNewWH1ELC20</t>
  </si>
  <si>
    <t>RESHOULMNewWH2ELC20</t>
  </si>
  <si>
    <t>RESHOULMNewWH4ELC20</t>
  </si>
  <si>
    <t>RESHOULMNewWH5ELC20</t>
  </si>
  <si>
    <t>RESHOULMNewWH5ELC22</t>
  </si>
  <si>
    <t>RESHOULMNewWH6ELC20</t>
  </si>
  <si>
    <t>RESHOULMNewWH6ELC22</t>
  </si>
  <si>
    <t>RESHOULMNewWH7ELC20</t>
  </si>
  <si>
    <t>RESHOULMNewWH7ELC22</t>
  </si>
  <si>
    <t>RESHOULMNewWH1FOI20</t>
  </si>
  <si>
    <t>RESHOULMNewWH2FOI20</t>
  </si>
  <si>
    <t>RESHOULMNewWH4FOI20</t>
  </si>
  <si>
    <t>RESHOULMNewWH1LPG20</t>
  </si>
  <si>
    <t>RESHOULMNewWH2LPG20</t>
  </si>
  <si>
    <t>RESHOULMNewWH3LPG20</t>
  </si>
  <si>
    <t>RESHOULMNewWH3LPG23</t>
  </si>
  <si>
    <t>RESHOULMNewWH4LPG20</t>
  </si>
  <si>
    <t>RESHOULMNewWH2SOL20</t>
  </si>
  <si>
    <t>RESHOULMNewWH2SOL23</t>
  </si>
  <si>
    <t>RESHOULMNewWH2SOL24</t>
  </si>
  <si>
    <t>RESHOULMNewSHEUE</t>
  </si>
  <si>
    <t>RESHOULMNewSHAHP1ELC20</t>
  </si>
  <si>
    <t>RESHOULMNewSHAHP1ELC23</t>
  </si>
  <si>
    <t>RESHOULMNewSHAHP2ELC20</t>
  </si>
  <si>
    <t>RESHOULMNewSHAHP2ELC23</t>
  </si>
  <si>
    <t>RESHOULMNewSHAHP3ELC20</t>
  </si>
  <si>
    <t>RESHOULMNewSHAHP3ELC22</t>
  </si>
  <si>
    <t>RESHOULMNewSHAHP3ELC23</t>
  </si>
  <si>
    <t>RESHOULMNewSHAHP4ELC20</t>
  </si>
  <si>
    <t>RESHOULMNewSHAHP4ELC22</t>
  </si>
  <si>
    <t>RESHOULMNewSHGHP1ELC20</t>
  </si>
  <si>
    <t>RESHOULMNewSHGHP2ELC20</t>
  </si>
  <si>
    <t>RESHOULMNewSHGHP3ELC20</t>
  </si>
  <si>
    <t>RESHOULMNewSHGHP3ELC22</t>
  </si>
  <si>
    <t>RESHOULMNewSHGHP3ELC23</t>
  </si>
  <si>
    <t>RESHOULMNewSHGHP3ELC24</t>
  </si>
  <si>
    <t>RESHOULMNewSHGHP4ELC20</t>
  </si>
  <si>
    <t>RESHOULMNewSHGHP4ELC22</t>
  </si>
  <si>
    <t>RESHOULMNewSHGHP4ELC23</t>
  </si>
  <si>
    <t>RESHOULMNewSHGHP4ELC24</t>
  </si>
  <si>
    <t>RESHOULMNewSHRAD2ELC20</t>
  </si>
  <si>
    <t>RESHOULMNewSHFUR1NGA20</t>
  </si>
  <si>
    <t>RESHOULMNewSHFUR2NGA20</t>
  </si>
  <si>
    <t>RESHOULMNewSHFUR3NGA20</t>
  </si>
  <si>
    <t>RESHOULMNewSHFUR3NGA22</t>
  </si>
  <si>
    <t>RESHOULMNewSHFUR4NGA20</t>
  </si>
  <si>
    <t>RESHOULMNewSHFUR4NGA22</t>
  </si>
  <si>
    <t>RESHOULMNewSHRAD1NGA20</t>
  </si>
  <si>
    <t>RESHOULMNewSHRAD1NGA21</t>
  </si>
  <si>
    <t>RESHOULMNewSHRAD2NGA20</t>
  </si>
  <si>
    <t>RESHOULMNewSHRAD3NGA20</t>
  </si>
  <si>
    <t>RESHOULMNewSHRAD4NGA20</t>
  </si>
  <si>
    <t>RESHOULMNewSHRAD4NGA22</t>
  </si>
  <si>
    <t>RESHOULMNewSHFUR1KER20</t>
  </si>
  <si>
    <t>RESHOULMNewSHFUR2KER20</t>
  </si>
  <si>
    <t>RESHOULMNewSHFUR3KER20</t>
  </si>
  <si>
    <t>RESHOULMNewSHFUR4KER20</t>
  </si>
  <si>
    <t>RESHOULMNewSHFUR1LPG20</t>
  </si>
  <si>
    <t>RESHOULMNewSHFUR2LPG20</t>
  </si>
  <si>
    <t>RESHOULMNewSHFUR3LPG20</t>
  </si>
  <si>
    <t>RESHOULMNewSHFUR3LPG22</t>
  </si>
  <si>
    <t>RESHOULMNewSHFUR4LPG20</t>
  </si>
  <si>
    <t>RESHOULMNewSHFUR4LPG22</t>
  </si>
  <si>
    <t>RESHOULMNewSHFUR1FOI20</t>
  </si>
  <si>
    <t>RESHOULMNewSHFUR2FOI20</t>
  </si>
  <si>
    <t>RESHOULMNewSHFUR2FOI22</t>
  </si>
  <si>
    <t>RESHOULMNewSHFUR3FOI20</t>
  </si>
  <si>
    <t>RESHOULMNewSHFUR4FOI20</t>
  </si>
  <si>
    <t>RESHOULMNewSHFUR4FOI22</t>
  </si>
  <si>
    <t>RESHOULMNewSHRAD1FOI20</t>
  </si>
  <si>
    <t>RESHOULMNewSHRAD1FOI22</t>
  </si>
  <si>
    <t>RESHOULMNewSHRAD2FOI20</t>
  </si>
  <si>
    <t>RESHOULMNewSHRAD2FOI22</t>
  </si>
  <si>
    <t>RESHOULMNewSHRAD3FOI20</t>
  </si>
  <si>
    <t>RESHOULMNewSHRAD4FOI20</t>
  </si>
  <si>
    <t>RESHOULMNewSCEUE</t>
  </si>
  <si>
    <t>RESHOULMNewSCAHP2NGA20</t>
  </si>
  <si>
    <t>RESHOULMNewSCAHP1ELC20</t>
  </si>
  <si>
    <t>RESHOULMNewSCAHP1ELC23</t>
  </si>
  <si>
    <t>RESHOULMNewSCAHP2ELC20</t>
  </si>
  <si>
    <t>RESHOULMNewSCAHP2ELC23</t>
  </si>
  <si>
    <t>RESHOULMNewSCAHP3ELC20</t>
  </si>
  <si>
    <t>RESHOULMNewSCAHP3ELC22</t>
  </si>
  <si>
    <t>RESHOULMNewSCAHP3ELC23</t>
  </si>
  <si>
    <t>RESHOULMNewSCAHP4ELC20</t>
  </si>
  <si>
    <t>RESHOULMNewSCAHP4ELC22</t>
  </si>
  <si>
    <t>RESHOULMNewSCGHP1ELC20</t>
  </si>
  <si>
    <t>RESHOULMNewSCGHP2ELC20</t>
  </si>
  <si>
    <t>RESHOULMNewSCGHP3ELC20</t>
  </si>
  <si>
    <t>RESHOULMNewSCGHP3ELC22</t>
  </si>
  <si>
    <t>RESHOULMNewSCGHP3ELC23</t>
  </si>
  <si>
    <t>RESHOULMNewSCGHP3ELC24</t>
  </si>
  <si>
    <t>RESHOULMNewSCGHP4ELC20</t>
  </si>
  <si>
    <t>RESHOULMNewSCGHP4ELC22</t>
  </si>
  <si>
    <t>RESHOULMNewSCGHP4ELC23</t>
  </si>
  <si>
    <t>RESHOULMNewSCGHP4ELC24</t>
  </si>
  <si>
    <t>RESHOULMNewSCRAC1ELC20</t>
  </si>
  <si>
    <t>RESHOULMNewSCRAC2ELC20</t>
  </si>
  <si>
    <t>RESHOULMNewSCRAC2ELC30</t>
  </si>
  <si>
    <t>RESHOULMNewSCRAC2ELC40</t>
  </si>
  <si>
    <t>RESHOULMNewSCRAC3ELC20</t>
  </si>
  <si>
    <t>RESHOULMNewSCRAC4ELC20</t>
  </si>
  <si>
    <t>RESHOULMNewSCRAC4ELC22</t>
  </si>
  <si>
    <t>RESHOULMNewSCRAC4ELC30</t>
  </si>
  <si>
    <t>RESHOULMNewSCRAC4ELC40</t>
  </si>
  <si>
    <t>RESHOULMNewSCCAC1ELC20</t>
  </si>
  <si>
    <t>RESHOULMNewSCCAC1ELC23</t>
  </si>
  <si>
    <t>RESHOULMNewSCCAC2ELC20</t>
  </si>
  <si>
    <t>RESHOULMNewSCCAC2ELC23</t>
  </si>
  <si>
    <t>RESHOULMNewSCCAC3ELC20</t>
  </si>
  <si>
    <t>RESHOULMNewSCCAC3ELC23</t>
  </si>
  <si>
    <t>RESHOULMNewSCCAC4ELC20</t>
  </si>
  <si>
    <t>RESHOULMNewSCCAC4ELC22</t>
  </si>
  <si>
    <t>RESHOULMNewREEUE</t>
  </si>
  <si>
    <t>RESHOULMNewRETF1ELC20</t>
  </si>
  <si>
    <t>RESHOULMNewRETF2ELC20</t>
  </si>
  <si>
    <t>RESHOULMNewRETF3ELC20</t>
  </si>
  <si>
    <t>RESHOULMNewRETF4ELC20</t>
  </si>
  <si>
    <t>RESHOULMNewRESF1ELC20</t>
  </si>
  <si>
    <t>RESHOULMNewRESF2ELC20</t>
  </si>
  <si>
    <t>RESHOULMNewRESF3ELC20</t>
  </si>
  <si>
    <t>RESHOULMNewRESF4ELC20</t>
  </si>
  <si>
    <t>RESHOULMNewREBF1ELC20</t>
  </si>
  <si>
    <t>RESHOULMNewREBF2ELC20</t>
  </si>
  <si>
    <t>RESHOULMNewREBF3ELC20</t>
  </si>
  <si>
    <t>RESHOULMNewREBF4ELC20</t>
  </si>
  <si>
    <t>RESHOULMNewFREUE</t>
  </si>
  <si>
    <t>RESHOULMNewFRC1ELC20</t>
  </si>
  <si>
    <t>RESHOULMNewFRC2ELC20</t>
  </si>
  <si>
    <t>RESHOULMNewFRC3ELC20</t>
  </si>
  <si>
    <t>RESHOULMNewFRC4ELC20</t>
  </si>
  <si>
    <t>RESHOULMNewFRU1ELC20</t>
  </si>
  <si>
    <t>RESHOULMNewFRU2ELC20</t>
  </si>
  <si>
    <t>RESHOULMNewFRU3ELC20</t>
  </si>
  <si>
    <t>RESHOULMNewFRU4ELC20</t>
  </si>
  <si>
    <t>RESHOULMNewCKEUE</t>
  </si>
  <si>
    <t>RESHOULMNewCK2NGA20</t>
  </si>
  <si>
    <t>RESHOULMNewCK4NGA20</t>
  </si>
  <si>
    <t>RESHOULMNewCK2LPG20</t>
  </si>
  <si>
    <t>RESHOULMNewCK4LPG20</t>
  </si>
  <si>
    <t>RESHOULMNewCK2ELC20</t>
  </si>
  <si>
    <t>RESHOULMNewCWEUE</t>
  </si>
  <si>
    <t>RESHOULMNewCWF4ELC30</t>
  </si>
  <si>
    <t>RESHOULMNewCWT1ELC20</t>
  </si>
  <si>
    <t>RESHOULMNewCWT2ELC20</t>
  </si>
  <si>
    <t>RESHOULMNewCWT3ELC20</t>
  </si>
  <si>
    <t>RESHOULMNewCWT4ELC20</t>
  </si>
  <si>
    <t>RESHOULMNewCWF1ELC20</t>
  </si>
  <si>
    <t>RESHOULMNewCWF2ELC20</t>
  </si>
  <si>
    <t>RESHOULMNewCWF2ELC30</t>
  </si>
  <si>
    <t>RESHOULMNewCWF3ELC20</t>
  </si>
  <si>
    <t>RESHOULMNewCWF4ELC20</t>
  </si>
  <si>
    <t>RESHOULMNewCDEUE</t>
  </si>
  <si>
    <t>RESHOULMNewCD1NGA20</t>
  </si>
  <si>
    <t>RESHOULMNewCD2NGA20</t>
  </si>
  <si>
    <t>RESHOULMNewCD3NGA20</t>
  </si>
  <si>
    <t>RESHOULMNewCD4NGA20</t>
  </si>
  <si>
    <t>RESHOULMNewCD4NGA30</t>
  </si>
  <si>
    <t>RESHOULMNewCD1ELC20</t>
  </si>
  <si>
    <t>RESHOULMNewCD2ELC20</t>
  </si>
  <si>
    <t>RESHOULMNewCD3ELC20</t>
  </si>
  <si>
    <t>RESHOULMNewCD4ELC20</t>
  </si>
  <si>
    <t>RESAPAUMNewWHEUE</t>
  </si>
  <si>
    <t>RESAPAUMNewWH1NGA20</t>
  </si>
  <si>
    <t>RESAPAUMNewWH2NGA20</t>
  </si>
  <si>
    <t>RESAPAUMNewWH3NGA20</t>
  </si>
  <si>
    <t>RESAPAUMNewWH3NGA23</t>
  </si>
  <si>
    <t>RESAPAUMNewWH4NGA20</t>
  </si>
  <si>
    <t>RESAPAUMNewWH4NGA22</t>
  </si>
  <si>
    <t>RESAPAUMNewWH1ELC20</t>
  </si>
  <si>
    <t>RESAPAUMNewWH2ELC20</t>
  </si>
  <si>
    <t>RESAPAUMNewWH4ELC20</t>
  </si>
  <si>
    <t>RESAPAUMNewWH5ELC20</t>
  </si>
  <si>
    <t>RESAPAUMNewWH5ELC22</t>
  </si>
  <si>
    <t>RESAPAUMNewWH6ELC20</t>
  </si>
  <si>
    <t>RESAPAUMNewWH6ELC22</t>
  </si>
  <si>
    <t>RESAPAUMNewWH7ELC20</t>
  </si>
  <si>
    <t>RESAPAUMNewWH7ELC22</t>
  </si>
  <si>
    <t>RESAPAUMNewWH1FOI20</t>
  </si>
  <si>
    <t>RESAPAUMNewWH2FOI20</t>
  </si>
  <si>
    <t>RESAPAUMNewWH4FOI20</t>
  </si>
  <si>
    <t>RESAPAUMNewWH1LPG20</t>
  </si>
  <si>
    <t>RESAPAUMNewWH2LPG20</t>
  </si>
  <si>
    <t>RESAPAUMNewWH3LPG20</t>
  </si>
  <si>
    <t>RESAPAUMNewWH3LPG23</t>
  </si>
  <si>
    <t>RESAPAUMNewWH4LPG20</t>
  </si>
  <si>
    <t>RESAPAUMNewWH2SOL20</t>
  </si>
  <si>
    <t>RESAPAUMNewWH2SOL23</t>
  </si>
  <si>
    <t>RESAPAUMNewWH2SOL24</t>
  </si>
  <si>
    <t>RESAPAUMNewSHEUE</t>
  </si>
  <si>
    <t>RESAPAUMNewSHAHP1ELC20</t>
  </si>
  <si>
    <t>RESAPAUMNewSHAHP1ELC23</t>
  </si>
  <si>
    <t>RESAPAUMNewSHAHP2ELC20</t>
  </si>
  <si>
    <t>RESAPAUMNewSHAHP2ELC23</t>
  </si>
  <si>
    <t>RESAPAUMNewSHAHP3ELC20</t>
  </si>
  <si>
    <t>RESAPAUMNewSHAHP3ELC22</t>
  </si>
  <si>
    <t>RESAPAUMNewSHAHP3ELC23</t>
  </si>
  <si>
    <t>RESAPAUMNewSHAHP4ELC20</t>
  </si>
  <si>
    <t>RESAPAUMNewSHAHP4ELC22</t>
  </si>
  <si>
    <t>RESAPAUMNewSHGHP1ELC20</t>
  </si>
  <si>
    <t>RESAPAUMNewSHGHP2ELC20</t>
  </si>
  <si>
    <t>RESAPAUMNewSHGHP3ELC20</t>
  </si>
  <si>
    <t>RESAPAUMNewSHGHP3ELC22</t>
  </si>
  <si>
    <t>RESAPAUMNewSHGHP3ELC23</t>
  </si>
  <si>
    <t>RESAPAUMNewSHGHP3ELC24</t>
  </si>
  <si>
    <t>RESAPAUMNewSHGHP4ELC20</t>
  </si>
  <si>
    <t>RESAPAUMNewSHGHP4ELC22</t>
  </si>
  <si>
    <t>RESAPAUMNewSHGHP4ELC23</t>
  </si>
  <si>
    <t>RESAPAUMNewSHGHP4ELC24</t>
  </si>
  <si>
    <t>RESAPAUMNewSHRAD2ELC20</t>
  </si>
  <si>
    <t>RESAPAUMNewSHFUR1NGA20</t>
  </si>
  <si>
    <t>RESAPAUMNewSHFUR2NGA20</t>
  </si>
  <si>
    <t>RESAPAUMNewSHFUR3NGA20</t>
  </si>
  <si>
    <t>RESAPAUMNewSHFUR3NGA22</t>
  </si>
  <si>
    <t>RESAPAUMNewSHFUR4NGA20</t>
  </si>
  <si>
    <t>RESAPAUMNewSHFUR4NGA22</t>
  </si>
  <si>
    <t>RESAPAUMNewSHRAD1NGA20</t>
  </si>
  <si>
    <t>RESAPAUMNewSHRAD1NGA21</t>
  </si>
  <si>
    <t>RESAPAUMNewSHRAD2NGA20</t>
  </si>
  <si>
    <t>RESAPAUMNewSHRAD3NGA20</t>
  </si>
  <si>
    <t>RESAPAUMNewSHRAD4NGA20</t>
  </si>
  <si>
    <t>RESAPAUMNewSHRAD4NGA22</t>
  </si>
  <si>
    <t>RESAPAUMNewSHFUR1KER20</t>
  </si>
  <si>
    <t>RESAPAUMNewSHFUR2KER20</t>
  </si>
  <si>
    <t>RESAPAUMNewSHFUR3KER20</t>
  </si>
  <si>
    <t>RESAPAUMNewSHFUR4KER20</t>
  </si>
  <si>
    <t>RESAPAUMNewSHFUR1LPG20</t>
  </si>
  <si>
    <t>RESAPAUMNewSHFUR2LPG20</t>
  </si>
  <si>
    <t>RESAPAUMNewSHFUR3LPG20</t>
  </si>
  <si>
    <t>RESAPAUMNewSHFUR3LPG22</t>
  </si>
  <si>
    <t>RESAPAUMNewSHFUR4LPG20</t>
  </si>
  <si>
    <t>RESAPAUMNewSHFUR4LPG22</t>
  </si>
  <si>
    <t>RESAPAUMNewSHFUR1FOI20</t>
  </si>
  <si>
    <t>RESAPAUMNewSHFUR2FOI20</t>
  </si>
  <si>
    <t>RESAPAUMNewSHFUR2FOI22</t>
  </si>
  <si>
    <t>RESAPAUMNewSHFUR3FOI20</t>
  </si>
  <si>
    <t>RESAPAUMNewSHFUR4FOI20</t>
  </si>
  <si>
    <t>RESAPAUMNewSHFUR4FOI22</t>
  </si>
  <si>
    <t>RESAPAUMNewSHRAD1FOI20</t>
  </si>
  <si>
    <t>RESAPAUMNewSHRAD1FOI22</t>
  </si>
  <si>
    <t>RESAPAUMNewSHRAD2FOI20</t>
  </si>
  <si>
    <t>RESAPAUMNewSHRAD2FOI22</t>
  </si>
  <si>
    <t>RESAPAUMNewSHRAD3FOI20</t>
  </si>
  <si>
    <t>RESAPAUMNewSHRAD4FOI20</t>
  </si>
  <si>
    <t>RESAPAUMNewSCEUE</t>
  </si>
  <si>
    <t>RESAPAUMNewSCAHP2NGA20</t>
  </si>
  <si>
    <t>RESAPAUMNewSCAHP1ELC20</t>
  </si>
  <si>
    <t>RESAPAUMNewSCAHP1ELC23</t>
  </si>
  <si>
    <t>RESAPAUMNewSCAHP2ELC20</t>
  </si>
  <si>
    <t>RESAPAUMNewSCAHP2ELC23</t>
  </si>
  <si>
    <t>RESAPAUMNewSCAHP3ELC20</t>
  </si>
  <si>
    <t>RESAPAUMNewSCAHP3ELC22</t>
  </si>
  <si>
    <t>RESAPAUMNewSCAHP3ELC23</t>
  </si>
  <si>
    <t>RESAPAUMNewSCAHP4ELC20</t>
  </si>
  <si>
    <t>RESAPAUMNewSCAHP4ELC22</t>
  </si>
  <si>
    <t>RESAPAUMNewSCGHP1ELC20</t>
  </si>
  <si>
    <t>RESAPAUMNewSCGHP2ELC20</t>
  </si>
  <si>
    <t>RESAPAUMNewSCGHP3ELC20</t>
  </si>
  <si>
    <t>RESAPAUMNewSCGHP3ELC22</t>
  </si>
  <si>
    <t>RESAPAUMNewSCGHP3ELC23</t>
  </si>
  <si>
    <t>RESAPAUMNewSCGHP3ELC24</t>
  </si>
  <si>
    <t>RESAPAUMNewSCGHP4ELC20</t>
  </si>
  <si>
    <t>RESAPAUMNewSCGHP4ELC22</t>
  </si>
  <si>
    <t>RESAPAUMNewSCGHP4ELC23</t>
  </si>
  <si>
    <t>RESAPAUMNewSCGHP4ELC24</t>
  </si>
  <si>
    <t>RESAPAUMNewSCRAC1ELC20</t>
  </si>
  <si>
    <t>RESAPAUMNewSCRAC2ELC20</t>
  </si>
  <si>
    <t>RESAPAUMNewSCRAC2ELC30</t>
  </si>
  <si>
    <t>RESAPAUMNewSCRAC2ELC40</t>
  </si>
  <si>
    <t>RESAPAUMNewSCRAC3ELC20</t>
  </si>
  <si>
    <t>RESAPAUMNewSCRAC4ELC20</t>
  </si>
  <si>
    <t>RESAPAUMNewSCRAC4ELC22</t>
  </si>
  <si>
    <t>RESAPAUMNewSCRAC4ELC30</t>
  </si>
  <si>
    <t>RESAPAUMNewSCRAC4ELC40</t>
  </si>
  <si>
    <t>RESAPAUMNewSCCAC1ELC20</t>
  </si>
  <si>
    <t>RESAPAUMNewSCCAC1ELC23</t>
  </si>
  <si>
    <t>RESAPAUMNewSCCAC2ELC20</t>
  </si>
  <si>
    <t>RESAPAUMNewSCCAC2ELC23</t>
  </si>
  <si>
    <t>RESAPAUMNewSCCAC3ELC20</t>
  </si>
  <si>
    <t>RESAPAUMNewSCCAC3ELC23</t>
  </si>
  <si>
    <t>RESAPAUMNewSCCAC4ELC20</t>
  </si>
  <si>
    <t>RESAPAUMNewSCCAC4ELC22</t>
  </si>
  <si>
    <t>RESAPAUMNewREEUE</t>
  </si>
  <si>
    <t>RESAPAUMNewRETF1ELC20</t>
  </si>
  <si>
    <t>RESAPAUMNewRETF2ELC20</t>
  </si>
  <si>
    <t>RESAPAUMNewRETF3ELC20</t>
  </si>
  <si>
    <t>RESAPAUMNewRETF4ELC20</t>
  </si>
  <si>
    <t>RESAPAUMNewRESF1ELC20</t>
  </si>
  <si>
    <t>RESAPAUMNewRESF2ELC20</t>
  </si>
  <si>
    <t>RESAPAUMNewRESF3ELC20</t>
  </si>
  <si>
    <t>RESAPAUMNewRESF4ELC20</t>
  </si>
  <si>
    <t>RESAPAUMNewREBF1ELC20</t>
  </si>
  <si>
    <t>RESAPAUMNewREBF2ELC20</t>
  </si>
  <si>
    <t>RESAPAUMNewREBF3ELC20</t>
  </si>
  <si>
    <t>RESAPAUMNewREBF4ELC20</t>
  </si>
  <si>
    <t>RESAPAUMNewFREUE</t>
  </si>
  <si>
    <t>RESAPAUMNewFRC1ELC20</t>
  </si>
  <si>
    <t>RESAPAUMNewFRC2ELC20</t>
  </si>
  <si>
    <t>RESAPAUMNewFRC3ELC20</t>
  </si>
  <si>
    <t>RESAPAUMNewFRC4ELC20</t>
  </si>
  <si>
    <t>RESAPAUMNewFRU1ELC20</t>
  </si>
  <si>
    <t>RESAPAUMNewFRU2ELC20</t>
  </si>
  <si>
    <t>RESAPAUMNewFRU3ELC20</t>
  </si>
  <si>
    <t>RESAPAUMNewFRU4ELC20</t>
  </si>
  <si>
    <t>RESAPAUMNewCKEUE</t>
  </si>
  <si>
    <t>RESAPAUMNewCK2NGA20</t>
  </si>
  <si>
    <t>RESAPAUMNewCK4NGA20</t>
  </si>
  <si>
    <t>RESAPAUMNewCK2LPG20</t>
  </si>
  <si>
    <t>RESAPAUMNewCK4LPG20</t>
  </si>
  <si>
    <t>RESAPAUMNewCK2ELC20</t>
  </si>
  <si>
    <t>RESAPAUMNewCWEUE</t>
  </si>
  <si>
    <t>RESAPAUMNewCWF4ELC30</t>
  </si>
  <si>
    <t>RESAPAUMNewCWT1ELC20</t>
  </si>
  <si>
    <t>RESAPAUMNewCWT2ELC20</t>
  </si>
  <si>
    <t>RESAPAUMNewCWT3ELC20</t>
  </si>
  <si>
    <t>RESAPAUMNewCWT4ELC20</t>
  </si>
  <si>
    <t>RESAPAUMNewCWF1ELC20</t>
  </si>
  <si>
    <t>RESAPAUMNewCWF2ELC20</t>
  </si>
  <si>
    <t>RESAPAUMNewCWF2ELC30</t>
  </si>
  <si>
    <t>RESAPAUMNewCWF3ELC20</t>
  </si>
  <si>
    <t>RESAPAUMNewCWF4ELC20</t>
  </si>
  <si>
    <t>RESAPAUMNewCDEUE</t>
  </si>
  <si>
    <t>RESAPAUMNewCD1NGA20</t>
  </si>
  <si>
    <t>RESAPAUMNewCD2NGA20</t>
  </si>
  <si>
    <t>RESAPAUMNewCD3NGA20</t>
  </si>
  <si>
    <t>RESAPAUMNewCD4NGA20</t>
  </si>
  <si>
    <t>RESAPAUMNewCD4NGA30</t>
  </si>
  <si>
    <t>RESAPAUMNewCD1ELC20</t>
  </si>
  <si>
    <t>RESAPAUMNewCD2ELC20</t>
  </si>
  <si>
    <t>RESAPAUMNewCD3ELC20</t>
  </si>
  <si>
    <t>RESAPAUMNewCD4ELC20</t>
  </si>
  <si>
    <t>RESHOUUMNewWHEUE</t>
  </si>
  <si>
    <t>RESHOUUMNewWH1NGA20</t>
  </si>
  <si>
    <t>RESHOUUMNewWH2NGA20</t>
  </si>
  <si>
    <t>RESHOUUMNewWH3NGA20</t>
  </si>
  <si>
    <t>RESHOUUMNewWH3NGA23</t>
  </si>
  <si>
    <t>RESHOUUMNewWH4NGA20</t>
  </si>
  <si>
    <t>RESHOUUMNewWH4NGA22</t>
  </si>
  <si>
    <t>RESHOUUMNewWH1ELC20</t>
  </si>
  <si>
    <t>RESHOUUMNewWH2ELC20</t>
  </si>
  <si>
    <t>RESHOUUMNewWH4ELC20</t>
  </si>
  <si>
    <t>RESHOUUMNewWH5ELC20</t>
  </si>
  <si>
    <t>RESHOUUMNewWH5ELC22</t>
  </si>
  <si>
    <t>RESHOUUMNewWH6ELC20</t>
  </si>
  <si>
    <t>RESHOUUMNewWH6ELC22</t>
  </si>
  <si>
    <t>RESHOUUMNewWH7ELC20</t>
  </si>
  <si>
    <t>RESHOUUMNewWH7ELC22</t>
  </si>
  <si>
    <t>RESHOUUMNewWH1FOI20</t>
  </si>
  <si>
    <t>RESHOUUMNewWH2FOI20</t>
  </si>
  <si>
    <t>RESHOUUMNewWH4FOI20</t>
  </si>
  <si>
    <t>RESHOUUMNewWH1LPG20</t>
  </si>
  <si>
    <t>RESHOUUMNewWH2LPG20</t>
  </si>
  <si>
    <t>RESHOUUMNewWH3LPG20</t>
  </si>
  <si>
    <t>RESHOUUMNewWH3LPG23</t>
  </si>
  <si>
    <t>RESHOUUMNewWH4LPG20</t>
  </si>
  <si>
    <t>RESHOUUMNewWH2SOL20</t>
  </si>
  <si>
    <t>RESHOUUMNewWH2SOL23</t>
  </si>
  <si>
    <t>RESHOUUMNewWH2SOL24</t>
  </si>
  <si>
    <t>RESHOUUMNewSHEUE</t>
  </si>
  <si>
    <t>RESHOUUMNewSHAHP1ELC20</t>
  </si>
  <si>
    <t>RESHOUUMNewSHAHP1ELC23</t>
  </si>
  <si>
    <t>RESHOUUMNewSHAHP2ELC20</t>
  </si>
  <si>
    <t>RESHOUUMNewSHAHP2ELC23</t>
  </si>
  <si>
    <t>RESHOUUMNewSHAHP3ELC20</t>
  </si>
  <si>
    <t>RESHOUUMNewSHAHP3ELC22</t>
  </si>
  <si>
    <t>RESHOUUMNewSHAHP3ELC23</t>
  </si>
  <si>
    <t>RESHOUUMNewSHAHP4ELC20</t>
  </si>
  <si>
    <t>RESHOUUMNewSHAHP4ELC22</t>
  </si>
  <si>
    <t>RESHOUUMNewSHGHP1ELC20</t>
  </si>
  <si>
    <t>RESHOUUMNewSHGHP2ELC20</t>
  </si>
  <si>
    <t>RESHOUUMNewSHGHP3ELC20</t>
  </si>
  <si>
    <t>RESHOUUMNewSHGHP3ELC22</t>
  </si>
  <si>
    <t>RESHOUUMNewSHGHP3ELC23</t>
  </si>
  <si>
    <t>RESHOUUMNewSHGHP3ELC24</t>
  </si>
  <si>
    <t>RESHOUUMNewSHGHP4ELC20</t>
  </si>
  <si>
    <t>RESHOUUMNewSHGHP4ELC22</t>
  </si>
  <si>
    <t>RESHOUUMNewSHGHP4ELC23</t>
  </si>
  <si>
    <t>RESHOUUMNewSHGHP4ELC24</t>
  </si>
  <si>
    <t>RESHOUUMNewSHRAD2ELC20</t>
  </si>
  <si>
    <t>RESHOUUMNewSHFUR1NGA20</t>
  </si>
  <si>
    <t>RESHOUUMNewSHFUR2NGA20</t>
  </si>
  <si>
    <t>RESHOUUMNewSHFUR3NGA20</t>
  </si>
  <si>
    <t>RESHOUUMNewSHFUR3NGA22</t>
  </si>
  <si>
    <t>RESHOUUMNewSHFUR4NGA20</t>
  </si>
  <si>
    <t>RESHOUUMNewSHFUR4NGA22</t>
  </si>
  <si>
    <t>RESHOUUMNewSHRAD1NGA20</t>
  </si>
  <si>
    <t>RESHOUUMNewSHRAD1NGA21</t>
  </si>
  <si>
    <t>RESHOUUMNewSHRAD2NGA20</t>
  </si>
  <si>
    <t>RESHOUUMNewSHRAD3NGA20</t>
  </si>
  <si>
    <t>RESHOUUMNewSHRAD4NGA20</t>
  </si>
  <si>
    <t>RESHOUUMNewSHRAD4NGA22</t>
  </si>
  <si>
    <t>RESHOUUMNewSHFUR1KER20</t>
  </si>
  <si>
    <t>RESHOUUMNewSHFUR2KER20</t>
  </si>
  <si>
    <t>RESHOUUMNewSHFUR3KER20</t>
  </si>
  <si>
    <t>RESHOUUMNewSHFUR4KER20</t>
  </si>
  <si>
    <t>RESHOUUMNewSHFUR1LPG20</t>
  </si>
  <si>
    <t>RESHOUUMNewSHFUR2LPG20</t>
  </si>
  <si>
    <t>RESHOUUMNewSHFUR3LPG20</t>
  </si>
  <si>
    <t>RESHOUUMNewSHFUR3LPG22</t>
  </si>
  <si>
    <t>RESHOUUMNewSHFUR4LPG20</t>
  </si>
  <si>
    <t>RESHOUUMNewSHFUR4LPG22</t>
  </si>
  <si>
    <t>RESHOUUMNewSHFUR1FOI20</t>
  </si>
  <si>
    <t>RESHOUUMNewSHFUR2FOI20</t>
  </si>
  <si>
    <t>RESHOUUMNewSHFUR2FOI22</t>
  </si>
  <si>
    <t>RESHOUUMNewSHFUR3FOI20</t>
  </si>
  <si>
    <t>RESHOUUMNewSHFUR4FOI20</t>
  </si>
  <si>
    <t>RESHOUUMNewSHFUR4FOI22</t>
  </si>
  <si>
    <t>RESHOUUMNewSHRAD1FOI20</t>
  </si>
  <si>
    <t>RESHOUUMNewSHRAD1FOI22</t>
  </si>
  <si>
    <t>RESHOUUMNewSHRAD2FOI20</t>
  </si>
  <si>
    <t>RESHOUUMNewSHRAD2FOI22</t>
  </si>
  <si>
    <t>RESHOUUMNewSHRAD3FOI20</t>
  </si>
  <si>
    <t>RESHOUUMNewSHRAD4FOI20</t>
  </si>
  <si>
    <t>RESHOUUMNewSCEUE</t>
  </si>
  <si>
    <t>RESHOUUMNewSCAHP2NGA20</t>
  </si>
  <si>
    <t>RESHOUUMNewSCAHP1ELC20</t>
  </si>
  <si>
    <t>RESHOUUMNewSCAHP1ELC23</t>
  </si>
  <si>
    <t>RESHOUUMNewSCAHP2ELC20</t>
  </si>
  <si>
    <t>RESHOUUMNewSCAHP2ELC23</t>
  </si>
  <si>
    <t>RESHOUUMNewSCAHP3ELC20</t>
  </si>
  <si>
    <t>RESHOUUMNewSCAHP3ELC22</t>
  </si>
  <si>
    <t>RESHOUUMNewSCAHP3ELC23</t>
  </si>
  <si>
    <t>RESHOUUMNewSCAHP4ELC20</t>
  </si>
  <si>
    <t>RESHOUUMNewSCAHP4ELC22</t>
  </si>
  <si>
    <t>RESHOUUMNewSCGHP1ELC20</t>
  </si>
  <si>
    <t>RESHOUUMNewSCGHP2ELC20</t>
  </si>
  <si>
    <t>RESHOUUMNewSCGHP3ELC20</t>
  </si>
  <si>
    <t>RESHOUUMNewSCGHP3ELC22</t>
  </si>
  <si>
    <t>RESHOUUMNewSCGHP3ELC23</t>
  </si>
  <si>
    <t>RESHOUUMNewSCGHP3ELC24</t>
  </si>
  <si>
    <t>RESHOUUMNewSCGHP4ELC20</t>
  </si>
  <si>
    <t>RESHOUUMNewSCGHP4ELC22</t>
  </si>
  <si>
    <t>RESHOUUMNewSCGHP4ELC23</t>
  </si>
  <si>
    <t>RESHOUUMNewSCGHP4ELC24</t>
  </si>
  <si>
    <t>RESHOUUMNewSCRAC1ELC20</t>
  </si>
  <si>
    <t>RESHOUUMNewSCRAC2ELC20</t>
  </si>
  <si>
    <t>RESHOUUMNewSCRAC2ELC30</t>
  </si>
  <si>
    <t>RESHOUUMNewSCRAC2ELC40</t>
  </si>
  <si>
    <t>RESHOUUMNewSCRAC3ELC20</t>
  </si>
  <si>
    <t>RESHOUUMNewSCRAC4ELC20</t>
  </si>
  <si>
    <t>RESHOUUMNewSCRAC4ELC22</t>
  </si>
  <si>
    <t>RESHOUUMNewSCRAC4ELC30</t>
  </si>
  <si>
    <t>RESHOUUMNewSCRAC4ELC40</t>
  </si>
  <si>
    <t>RESHOUUMNewSCCAC1ELC20</t>
  </si>
  <si>
    <t>RESHOUUMNewSCCAC1ELC23</t>
  </si>
  <si>
    <t>RESHOUUMNewSCCAC2ELC20</t>
  </si>
  <si>
    <t>RESHOUUMNewSCCAC2ELC23</t>
  </si>
  <si>
    <t>RESHOUUMNewSCCAC3ELC20</t>
  </si>
  <si>
    <t>RESHOUUMNewSCCAC3ELC23</t>
  </si>
  <si>
    <t>RESHOUUMNewSCCAC4ELC20</t>
  </si>
  <si>
    <t>RESHOUUMNewSCCAC4ELC22</t>
  </si>
  <si>
    <t>RESHOUUMNewREEUE</t>
  </si>
  <si>
    <t>RESHOUUMNewRETF1ELC20</t>
  </si>
  <si>
    <t>RESHOUUMNewRETF2ELC20</t>
  </si>
  <si>
    <t>RESHOUUMNewRETF3ELC20</t>
  </si>
  <si>
    <t>RESHOUUMNewRETF4ELC20</t>
  </si>
  <si>
    <t>RESHOUUMNewRESF1ELC20</t>
  </si>
  <si>
    <t>RESHOUUMNewRESF2ELC20</t>
  </si>
  <si>
    <t>RESHOUUMNewRESF3ELC20</t>
  </si>
  <si>
    <t>RESHOUUMNewRESF4ELC20</t>
  </si>
  <si>
    <t>RESHOUUMNewREBF1ELC20</t>
  </si>
  <si>
    <t>RESHOUUMNewREBF2ELC20</t>
  </si>
  <si>
    <t>RESHOUUMNewREBF3ELC20</t>
  </si>
  <si>
    <t>RESHOUUMNewREBF4ELC20</t>
  </si>
  <si>
    <t>RESHOUUMNewFREUE</t>
  </si>
  <si>
    <t>RESHOUUMNewFRC1ELC20</t>
  </si>
  <si>
    <t>RESHOUUMNewFRC2ELC20</t>
  </si>
  <si>
    <t>RESHOUUMNewFRC3ELC20</t>
  </si>
  <si>
    <t>RESHOUUMNewFRC4ELC20</t>
  </si>
  <si>
    <t>RESHOUUMNewFRU1ELC20</t>
  </si>
  <si>
    <t>RESHOUUMNewFRU2ELC20</t>
  </si>
  <si>
    <t>RESHOUUMNewFRU3ELC20</t>
  </si>
  <si>
    <t>RESHOUUMNewFRU4ELC20</t>
  </si>
  <si>
    <t>RESHOUUMNewCKEUE</t>
  </si>
  <si>
    <t>RESHOUUMNewCK2NGA20</t>
  </si>
  <si>
    <t>RESHOUUMNewCK4NGA20</t>
  </si>
  <si>
    <t>RESHOUUMNewCK2LPG20</t>
  </si>
  <si>
    <t>RESHOUUMNewCK4LPG20</t>
  </si>
  <si>
    <t>RESHOUUMNewCK2ELC20</t>
  </si>
  <si>
    <t>RESHOUUMNewCWEUE</t>
  </si>
  <si>
    <t>RESHOUUMNewCWF4ELC30</t>
  </si>
  <si>
    <t>RESHOUUMNewCWT1ELC20</t>
  </si>
  <si>
    <t>RESHOUUMNewCWT2ELC20</t>
  </si>
  <si>
    <t>RESHOUUMNewCWT3ELC20</t>
  </si>
  <si>
    <t>RESHOUUMNewCWT4ELC20</t>
  </si>
  <si>
    <t>RESHOUUMNewCWF1ELC20</t>
  </si>
  <si>
    <t>RESHOUUMNewCWF2ELC20</t>
  </si>
  <si>
    <t>RESHOUUMNewCWF2ELC30</t>
  </si>
  <si>
    <t>RESHOUUMNewCWF3ELC20</t>
  </si>
  <si>
    <t>RESHOUUMNewCWF4ELC20</t>
  </si>
  <si>
    <t>RESHOUUMNewCDEUE</t>
  </si>
  <si>
    <t>RESHOUUMNewCD1NGA20</t>
  </si>
  <si>
    <t>RESHOUUMNewCD2NGA20</t>
  </si>
  <si>
    <t>RESHOUUMNewCD3NGA20</t>
  </si>
  <si>
    <t>RESHOUUMNewCD4NGA20</t>
  </si>
  <si>
    <t>RESHOUUMNewCD4NGA30</t>
  </si>
  <si>
    <t>RESHOUUMNewCD1ELC20</t>
  </si>
  <si>
    <t>RESHOUUMNewCD2ELC20</t>
  </si>
  <si>
    <t>RESHOUUMNewCD3ELC20</t>
  </si>
  <si>
    <t>RESHOUUMNewCD4ELC20</t>
  </si>
  <si>
    <t>RESAPAHINewWHEUE</t>
  </si>
  <si>
    <t>RESAPAHINewWH1NGA20</t>
  </si>
  <si>
    <t>RESAPAHINewWH2NGA20</t>
  </si>
  <si>
    <t>RESAPAHINewWH3NGA20</t>
  </si>
  <si>
    <t>RESAPAHINewWH3NGA23</t>
  </si>
  <si>
    <t>RESAPAHINewWH4NGA20</t>
  </si>
  <si>
    <t>RESAPAHINewWH4NGA22</t>
  </si>
  <si>
    <t>RESAPAHINewWH1ELC20</t>
  </si>
  <si>
    <t>RESAPAHINewWH2ELC20</t>
  </si>
  <si>
    <t>RESAPAHINewWH4ELC20</t>
  </si>
  <si>
    <t>RESAPAHINewWH5ELC20</t>
  </si>
  <si>
    <t>RESAPAHINewWH5ELC22</t>
  </si>
  <si>
    <t>RESAPAHINewWH6ELC20</t>
  </si>
  <si>
    <t>RESAPAHINewWH6ELC22</t>
  </si>
  <si>
    <t>RESAPAHINewWH7ELC20</t>
  </si>
  <si>
    <t>RESAPAHINewWH7ELC22</t>
  </si>
  <si>
    <t>RESAPAHINewWH1FOI20</t>
  </si>
  <si>
    <t>RESAPAHINewWH2FOI20</t>
  </si>
  <si>
    <t>RESAPAHINewWH4FOI20</t>
  </si>
  <si>
    <t>RESAPAHINewWH1LPG20</t>
  </si>
  <si>
    <t>RESAPAHINewWH2LPG20</t>
  </si>
  <si>
    <t>RESAPAHINewWH3LPG20</t>
  </si>
  <si>
    <t>RESAPAHINewWH3LPG23</t>
  </si>
  <si>
    <t>RESAPAHINewWH4LPG20</t>
  </si>
  <si>
    <t>RESAPAHINewWH2SOL20</t>
  </si>
  <si>
    <t>RESAPAHINewWH2SOL23</t>
  </si>
  <si>
    <t>RESAPAHINewWH2SOL24</t>
  </si>
  <si>
    <t>RESAPAHINewSHEUE</t>
  </si>
  <si>
    <t>RESAPAHINewSHAHP1ELC20</t>
  </si>
  <si>
    <t>RESAPAHINewSHAHP1ELC23</t>
  </si>
  <si>
    <t>RESAPAHINewSHAHP2ELC20</t>
  </si>
  <si>
    <t>RESAPAHINewSHAHP2ELC23</t>
  </si>
  <si>
    <t>RESAPAHINewSHAHP3ELC20</t>
  </si>
  <si>
    <t>RESAPAHINewSHAHP3ELC22</t>
  </si>
  <si>
    <t>RESAPAHINewSHAHP3ELC23</t>
  </si>
  <si>
    <t>RESAPAHINewSHAHP4ELC20</t>
  </si>
  <si>
    <t>RESAPAHINewSHAHP4ELC22</t>
  </si>
  <si>
    <t>RESAPAHINewSHGHP1ELC20</t>
  </si>
  <si>
    <t>RESAPAHINewSHGHP2ELC20</t>
  </si>
  <si>
    <t>RESAPAHINewSHGHP3ELC20</t>
  </si>
  <si>
    <t>RESAPAHINewSHGHP3ELC22</t>
  </si>
  <si>
    <t>RESAPAHINewSHGHP3ELC23</t>
  </si>
  <si>
    <t>RESAPAHINewSHGHP3ELC24</t>
  </si>
  <si>
    <t>RESAPAHINewSHGHP4ELC20</t>
  </si>
  <si>
    <t>RESAPAHINewSHGHP4ELC22</t>
  </si>
  <si>
    <t>RESAPAHINewSHGHP4ELC23</t>
  </si>
  <si>
    <t>RESAPAHINewSHGHP4ELC24</t>
  </si>
  <si>
    <t>RESAPAHINewSHRAD2ELC20</t>
  </si>
  <si>
    <t>RESAPAHINewSHFUR1NGA20</t>
  </si>
  <si>
    <t>RESAPAHINewSHFUR2NGA20</t>
  </si>
  <si>
    <t>RESAPAHINewSHFUR3NGA20</t>
  </si>
  <si>
    <t>RESAPAHINewSHFUR3NGA22</t>
  </si>
  <si>
    <t>RESAPAHINewSHFUR4NGA20</t>
  </si>
  <si>
    <t>RESAPAHINewSHFUR4NGA22</t>
  </si>
  <si>
    <t>RESAPAHINewSHRAD1NGA20</t>
  </si>
  <si>
    <t>RESAPAHINewSHRAD1NGA21</t>
  </si>
  <si>
    <t>RESAPAHINewSHRAD2NGA20</t>
  </si>
  <si>
    <t>RESAPAHINewSHRAD3NGA20</t>
  </si>
  <si>
    <t>RESAPAHINewSHRAD4NGA20</t>
  </si>
  <si>
    <t>RESAPAHINewSHRAD4NGA22</t>
  </si>
  <si>
    <t>RESAPAHINewSHFUR1KER20</t>
  </si>
  <si>
    <t>RESAPAHINewSHFUR2KER20</t>
  </si>
  <si>
    <t>RESAPAHINewSHFUR3KER20</t>
  </si>
  <si>
    <t>RESAPAHINewSHFUR4KER20</t>
  </si>
  <si>
    <t>RESAPAHINewSHFUR1LPG20</t>
  </si>
  <si>
    <t>RESAPAHINewSHFUR2LPG20</t>
  </si>
  <si>
    <t>RESAPAHINewSHFUR3LPG20</t>
  </si>
  <si>
    <t>RESAPAHINewSHFUR3LPG22</t>
  </si>
  <si>
    <t>RESAPAHINewSHFUR4LPG20</t>
  </si>
  <si>
    <t>RESAPAHINewSHFUR4LPG22</t>
  </si>
  <si>
    <t>RESAPAHINewSHFUR1FOI20</t>
  </si>
  <si>
    <t>RESAPAHINewSHFUR2FOI20</t>
  </si>
  <si>
    <t>RESAPAHINewSHFUR2FOI22</t>
  </si>
  <si>
    <t>RESAPAHINewSHFUR3FOI20</t>
  </si>
  <si>
    <t>RESAPAHINewSHFUR4FOI20</t>
  </si>
  <si>
    <t>RESAPAHINewSHFUR4FOI22</t>
  </si>
  <si>
    <t>RESAPAHINewSHRAD1FOI20</t>
  </si>
  <si>
    <t>RESAPAHINewSHRAD1FOI22</t>
  </si>
  <si>
    <t>RESAPAHINewSHRAD2FOI20</t>
  </si>
  <si>
    <t>RESAPAHINewSHRAD2FOI22</t>
  </si>
  <si>
    <t>RESAPAHINewSHRAD3FOI20</t>
  </si>
  <si>
    <t>RESAPAHINewSHRAD4FOI20</t>
  </si>
  <si>
    <t>RESAPAHINewSCEUE</t>
  </si>
  <si>
    <t>RESAPAHINewSCAHP2NGA20</t>
  </si>
  <si>
    <t>RESAPAHINewSCAHP1ELC20</t>
  </si>
  <si>
    <t>RESAPAHINewSCAHP1ELC23</t>
  </si>
  <si>
    <t>RESAPAHINewSCAHP2ELC20</t>
  </si>
  <si>
    <t>RESAPAHINewSCAHP2ELC23</t>
  </si>
  <si>
    <t>RESAPAHINewSCAHP3ELC20</t>
  </si>
  <si>
    <t>RESAPAHINewSCAHP3ELC22</t>
  </si>
  <si>
    <t>RESAPAHINewSCAHP3ELC23</t>
  </si>
  <si>
    <t>RESAPAHINewSCAHP4ELC20</t>
  </si>
  <si>
    <t>RESAPAHINewSCAHP4ELC22</t>
  </si>
  <si>
    <t>RESAPAHINewSCGHP1ELC20</t>
  </si>
  <si>
    <t>RESAPAHINewSCGHP2ELC20</t>
  </si>
  <si>
    <t>RESAPAHINewSCGHP3ELC20</t>
  </si>
  <si>
    <t>RESAPAHINewSCGHP3ELC22</t>
  </si>
  <si>
    <t>RESAPAHINewSCGHP3ELC23</t>
  </si>
  <si>
    <t>RESAPAHINewSCGHP3ELC24</t>
  </si>
  <si>
    <t>RESAPAHINewSCGHP4ELC20</t>
  </si>
  <si>
    <t>RESAPAHINewSCGHP4ELC22</t>
  </si>
  <si>
    <t>RESAPAHINewSCGHP4ELC23</t>
  </si>
  <si>
    <t>RESAPAHINewSCGHP4ELC24</t>
  </si>
  <si>
    <t>RESAPAHINewSCRAC1ELC20</t>
  </si>
  <si>
    <t>RESAPAHINewSCRAC2ELC20</t>
  </si>
  <si>
    <t>RESAPAHINewSCRAC2ELC30</t>
  </si>
  <si>
    <t>RESAPAHINewSCRAC2ELC40</t>
  </si>
  <si>
    <t>RESAPAHINewSCRAC3ELC20</t>
  </si>
  <si>
    <t>RESAPAHINewSCRAC4ELC20</t>
  </si>
  <si>
    <t>RESAPAHINewSCRAC4ELC22</t>
  </si>
  <si>
    <t>RESAPAHINewSCRAC4ELC30</t>
  </si>
  <si>
    <t>RESAPAHINewSCRAC4ELC40</t>
  </si>
  <si>
    <t>RESAPAHINewSCCAC1ELC20</t>
  </si>
  <si>
    <t>RESAPAHINewSCCAC1ELC23</t>
  </si>
  <si>
    <t>RESAPAHINewSCCAC2ELC20</t>
  </si>
  <si>
    <t>RESAPAHINewSCCAC2ELC23</t>
  </si>
  <si>
    <t>RESAPAHINewSCCAC3ELC20</t>
  </si>
  <si>
    <t>RESAPAHINewSCCAC3ELC23</t>
  </si>
  <si>
    <t>RESAPAHINewSCCAC4ELC20</t>
  </si>
  <si>
    <t>RESAPAHINewSCCAC4ELC22</t>
  </si>
  <si>
    <t>RESAPAHINewREEUE</t>
  </si>
  <si>
    <t>RESAPAHINewRETF1ELC20</t>
  </si>
  <si>
    <t>RESAPAHINewRETF2ELC20</t>
  </si>
  <si>
    <t>RESAPAHINewRETF3ELC20</t>
  </si>
  <si>
    <t>RESAPAHINewRETF4ELC20</t>
  </si>
  <si>
    <t>RESAPAHINewRESF1ELC20</t>
  </si>
  <si>
    <t>RESAPAHINewRESF2ELC20</t>
  </si>
  <si>
    <t>RESAPAHINewRESF3ELC20</t>
  </si>
  <si>
    <t>RESAPAHINewRESF4ELC20</t>
  </si>
  <si>
    <t>RESAPAHINewREBF1ELC20</t>
  </si>
  <si>
    <t>RESAPAHINewREBF2ELC20</t>
  </si>
  <si>
    <t>RESAPAHINewREBF3ELC20</t>
  </si>
  <si>
    <t>RESAPAHINewREBF4ELC20</t>
  </si>
  <si>
    <t>RESAPAHINewFREUE</t>
  </si>
  <si>
    <t>RESAPAHINewFRC1ELC20</t>
  </si>
  <si>
    <t>RESAPAHINewFRC2ELC20</t>
  </si>
  <si>
    <t>RESAPAHINewFRC3ELC20</t>
  </si>
  <si>
    <t>RESAPAHINewFRC4ELC20</t>
  </si>
  <si>
    <t>RESAPAHINewFRU1ELC20</t>
  </si>
  <si>
    <t>RESAPAHINewFRU2ELC20</t>
  </si>
  <si>
    <t>RESAPAHINewFRU3ELC20</t>
  </si>
  <si>
    <t>RESAPAHINewFRU4ELC20</t>
  </si>
  <si>
    <t>RESAPAHINewCKEUE</t>
  </si>
  <si>
    <t>RESAPAHINewCK2NGA20</t>
  </si>
  <si>
    <t>RESAPAHINewCK4NGA20</t>
  </si>
  <si>
    <t>RESAPAHINewCK2LPG20</t>
  </si>
  <si>
    <t>RESAPAHINewCK4LPG20</t>
  </si>
  <si>
    <t>RESAPAHINewCK2ELC20</t>
  </si>
  <si>
    <t>RESAPAHINewCWEUE</t>
  </si>
  <si>
    <t>RESAPAHINewCWF4ELC30</t>
  </si>
  <si>
    <t>RESAPAHINewCWT1ELC20</t>
  </si>
  <si>
    <t>RESAPAHINewCWT2ELC20</t>
  </si>
  <si>
    <t>RESAPAHINewCWT3ELC20</t>
  </si>
  <si>
    <t>RESAPAHINewCWT4ELC20</t>
  </si>
  <si>
    <t>RESAPAHINewCWF1ELC20</t>
  </si>
  <si>
    <t>RESAPAHINewCWF2ELC20</t>
  </si>
  <si>
    <t>RESAPAHINewCWF2ELC30</t>
  </si>
  <si>
    <t>RESAPAHINewCWF3ELC20</t>
  </si>
  <si>
    <t>RESAPAHINewCWF4ELC20</t>
  </si>
  <si>
    <t>RESAPAHINewCDEUE</t>
  </si>
  <si>
    <t>RESAPAHINewCD1NGA20</t>
  </si>
  <si>
    <t>RESAPAHINewCD2NGA20</t>
  </si>
  <si>
    <t>RESAPAHINewCD3NGA20</t>
  </si>
  <si>
    <t>RESAPAHINewCD4NGA20</t>
  </si>
  <si>
    <t>RESAPAHINewCD4NGA30</t>
  </si>
  <si>
    <t>RESAPAHINewCD1ELC20</t>
  </si>
  <si>
    <t>RESAPAHINewCD2ELC20</t>
  </si>
  <si>
    <t>RESAPAHINewCD3ELC20</t>
  </si>
  <si>
    <t>RESAPAHINewCD4ELC20</t>
  </si>
  <si>
    <t>RESHOUHINewWHEUE</t>
  </si>
  <si>
    <t>RESHOUHINewWH1NGA20</t>
  </si>
  <si>
    <t>RESHOUHINewWH2NGA20</t>
  </si>
  <si>
    <t>RESHOUHINewWH3NGA20</t>
  </si>
  <si>
    <t>RESHOUHINewWH3NGA23</t>
  </si>
  <si>
    <t>RESHOUHINewWH4NGA20</t>
  </si>
  <si>
    <t>RESHOUHINewWH4NGA22</t>
  </si>
  <si>
    <t>RESHOUHINewWH1ELC20</t>
  </si>
  <si>
    <t>RESHOUHINewWH2ELC20</t>
  </si>
  <si>
    <t>RESHOUHINewWH4ELC20</t>
  </si>
  <si>
    <t>RESHOUHINewWH5ELC20</t>
  </si>
  <si>
    <t>RESHOUHINewWH5ELC22</t>
  </si>
  <si>
    <t>RESHOUHINewWH6ELC20</t>
  </si>
  <si>
    <t>RESHOUHINewWH6ELC22</t>
  </si>
  <si>
    <t>RESHOUHINewWH7ELC20</t>
  </si>
  <si>
    <t>RESHOUHINewWH7ELC22</t>
  </si>
  <si>
    <t>RESHOUHINewWH1FOI20</t>
  </si>
  <si>
    <t>RESHOUHINewWH2FOI20</t>
  </si>
  <si>
    <t>RESHOUHINewWH4FOI20</t>
  </si>
  <si>
    <t>RESHOUHINewWH1LPG20</t>
  </si>
  <si>
    <t>RESHOUHINewWH2LPG20</t>
  </si>
  <si>
    <t>RESHOUHINewWH3LPG20</t>
  </si>
  <si>
    <t>RESHOUHINewWH3LPG23</t>
  </si>
  <si>
    <t>RESHOUHINewWH4LPG20</t>
  </si>
  <si>
    <t>RESHOUHINewWH2SOL20</t>
  </si>
  <si>
    <t>RESHOUHINewWH2SOL23</t>
  </si>
  <si>
    <t>RESHOUHINewWH2SOL24</t>
  </si>
  <si>
    <t>RESHOUHINewSHEUE</t>
  </si>
  <si>
    <t>RESHOUHINewSHAHP1ELC20</t>
  </si>
  <si>
    <t>RESHOUHINewSHAHP1ELC23</t>
  </si>
  <si>
    <t>RESHOUHINewSHAHP2ELC20</t>
  </si>
  <si>
    <t>RESHOUHINewSHAHP2ELC23</t>
  </si>
  <si>
    <t>RESHOUHINewSHAHP3ELC20</t>
  </si>
  <si>
    <t>RESHOUHINewSHAHP3ELC22</t>
  </si>
  <si>
    <t>RESHOUHINewSHAHP3ELC23</t>
  </si>
  <si>
    <t>RESHOUHINewSHAHP4ELC20</t>
  </si>
  <si>
    <t>RESHOUHINewSHAHP4ELC22</t>
  </si>
  <si>
    <t>RESHOUHINewSHGHP1ELC20</t>
  </si>
  <si>
    <t>RESHOUHINewSHGHP2ELC20</t>
  </si>
  <si>
    <t>RESHOUHINewSHGHP3ELC20</t>
  </si>
  <si>
    <t>RESHOUHINewSHGHP3ELC22</t>
  </si>
  <si>
    <t>RESHOUHINewSHGHP3ELC23</t>
  </si>
  <si>
    <t>RESHOUHINewSHGHP3ELC24</t>
  </si>
  <si>
    <t>RESHOUHINewSHGHP4ELC20</t>
  </si>
  <si>
    <t>RESHOUHINewSHGHP4ELC22</t>
  </si>
  <si>
    <t>RESHOUHINewSHGHP4ELC23</t>
  </si>
  <si>
    <t>RESHOUHINewSHGHP4ELC24</t>
  </si>
  <si>
    <t>RESHOUHINewSHRAD2ELC20</t>
  </si>
  <si>
    <t>RESHOUHINewSHFUR1NGA20</t>
  </si>
  <si>
    <t>RESHOUHINewSHFUR2NGA20</t>
  </si>
  <si>
    <t>RESHOUHINewSHFUR3NGA20</t>
  </si>
  <si>
    <t>RESHOUHINewSHFUR3NGA22</t>
  </si>
  <si>
    <t>RESHOUHINewSHFUR4NGA20</t>
  </si>
  <si>
    <t>RESHOUHINewSHFUR4NGA22</t>
  </si>
  <si>
    <t>RESHOUHINewSHRAD1NGA20</t>
  </si>
  <si>
    <t>RESHOUHINewSHRAD1NGA21</t>
  </si>
  <si>
    <t>RESHOUHINewSHRAD2NGA20</t>
  </si>
  <si>
    <t>RESHOUHINewSHRAD3NGA20</t>
  </si>
  <si>
    <t>RESHOUHINewSHRAD4NGA20</t>
  </si>
  <si>
    <t>RESHOUHINewSHRAD4NGA22</t>
  </si>
  <si>
    <t>RESHOUHINewSHFUR1KER20</t>
  </si>
  <si>
    <t>RESHOUHINewSHFUR2KER20</t>
  </si>
  <si>
    <t>RESHOUHINewSHFUR3KER20</t>
  </si>
  <si>
    <t>RESHOUHINewSHFUR4KER20</t>
  </si>
  <si>
    <t>RESHOUHINewSHFUR1LPG20</t>
  </si>
  <si>
    <t>RESHOUHINewSHFUR2LPG20</t>
  </si>
  <si>
    <t>RESHOUHINewSHFUR3LPG20</t>
  </si>
  <si>
    <t>RESHOUHINewSHFUR3LPG22</t>
  </si>
  <si>
    <t>RESHOUHINewSHFUR4LPG20</t>
  </si>
  <si>
    <t>RESHOUHINewSHFUR4LPG22</t>
  </si>
  <si>
    <t>RESHOUHINewSHFUR1FOI20</t>
  </si>
  <si>
    <t>RESHOUHINewSHFUR2FOI20</t>
  </si>
  <si>
    <t>RESHOUHINewSHFUR2FOI22</t>
  </si>
  <si>
    <t>RESHOUHINewSHFUR3FOI20</t>
  </si>
  <si>
    <t>RESHOUHINewSHFUR4FOI20</t>
  </si>
  <si>
    <t>RESHOUHINewSHFUR4FOI22</t>
  </si>
  <si>
    <t>RESHOUHINewSHRAD1FOI20</t>
  </si>
  <si>
    <t>RESHOUHINewSHRAD1FOI22</t>
  </si>
  <si>
    <t>RESHOUHINewSHRAD2FOI20</t>
  </si>
  <si>
    <t>RESHOUHINewSHRAD2FOI22</t>
  </si>
  <si>
    <t>RESHOUHINewSHRAD3FOI20</t>
  </si>
  <si>
    <t>RESHOUHINewSHRAD4FOI20</t>
  </si>
  <si>
    <t>RESHOUHINewSCEUE</t>
  </si>
  <si>
    <t>RESHOUHINewSCAHP2NGA20</t>
  </si>
  <si>
    <t>RESHOUHINewSCAHP1ELC20</t>
  </si>
  <si>
    <t>RESHOUHINewSCAHP1ELC23</t>
  </si>
  <si>
    <t>RESHOUHINewSCAHP2ELC20</t>
  </si>
  <si>
    <t>RESHOUHINewSCAHP2ELC23</t>
  </si>
  <si>
    <t>RESHOUHINewSCAHP3ELC20</t>
  </si>
  <si>
    <t>RESHOUHINewSCAHP3ELC22</t>
  </si>
  <si>
    <t>RESHOUHINewSCAHP3ELC23</t>
  </si>
  <si>
    <t>RESHOUHINewSCAHP4ELC20</t>
  </si>
  <si>
    <t>RESHOUHINewSCAHP4ELC22</t>
  </si>
  <si>
    <t>RESHOUHINewSCGHP1ELC20</t>
  </si>
  <si>
    <t>RESHOUHINewSCGHP2ELC20</t>
  </si>
  <si>
    <t>RESHOUHINewSCGHP3ELC20</t>
  </si>
  <si>
    <t>RESHOUHINewSCGHP3ELC22</t>
  </si>
  <si>
    <t>RESHOUHINewSCGHP3ELC23</t>
  </si>
  <si>
    <t>RESHOUHINewSCGHP3ELC24</t>
  </si>
  <si>
    <t>RESHOUHINewSCGHP4ELC20</t>
  </si>
  <si>
    <t>RESHOUHINewSCGHP4ELC22</t>
  </si>
  <si>
    <t>RESHOUHINewSCGHP4ELC23</t>
  </si>
  <si>
    <t>RESHOUHINewSCGHP4ELC24</t>
  </si>
  <si>
    <t>RESHOUHINewSCRAC1ELC20</t>
  </si>
  <si>
    <t>RESHOUHINewSCRAC2ELC20</t>
  </si>
  <si>
    <t>RESHOUHINewSCRAC2ELC30</t>
  </si>
  <si>
    <t>RESHOUHINewSCRAC2ELC40</t>
  </si>
  <si>
    <t>RESHOUHINewSCRAC3ELC20</t>
  </si>
  <si>
    <t>RESHOUHINewSCRAC4ELC20</t>
  </si>
  <si>
    <t>RESHOUHINewSCRAC4ELC22</t>
  </si>
  <si>
    <t>RESHOUHINewSCRAC4ELC30</t>
  </si>
  <si>
    <t>RESHOUHINewSCRAC4ELC40</t>
  </si>
  <si>
    <t>RESHOUHINewSCCAC1ELC20</t>
  </si>
  <si>
    <t>RESHOUHINewSCCAC1ELC23</t>
  </si>
  <si>
    <t>RESHOUHINewSCCAC2ELC20</t>
  </si>
  <si>
    <t>RESHOUHINewSCCAC2ELC23</t>
  </si>
  <si>
    <t>RESHOUHINewSCCAC3ELC20</t>
  </si>
  <si>
    <t>RESHOUHINewSCCAC3ELC23</t>
  </si>
  <si>
    <t>RESHOUHINewSCCAC4ELC20</t>
  </si>
  <si>
    <t>RESHOUHINewSCCAC4ELC22</t>
  </si>
  <si>
    <t>RESHOUHINewREEUE</t>
  </si>
  <si>
    <t>RESHOUHINewRETF1ELC20</t>
  </si>
  <si>
    <t>RESHOUHINewRETF2ELC20</t>
  </si>
  <si>
    <t>RESHOUHINewRETF3ELC20</t>
  </si>
  <si>
    <t>RESHOUHINewRETF4ELC20</t>
  </si>
  <si>
    <t>RESHOUHINewRESF1ELC20</t>
  </si>
  <si>
    <t>RESHOUHINewRESF2ELC20</t>
  </si>
  <si>
    <t>RESHOUHINewRESF3ELC20</t>
  </si>
  <si>
    <t>RESHOUHINewRESF4ELC20</t>
  </si>
  <si>
    <t>RESHOUHINewREBF1ELC20</t>
  </si>
  <si>
    <t>RESHOUHINewREBF2ELC20</t>
  </si>
  <si>
    <t>RESHOUHINewREBF3ELC20</t>
  </si>
  <si>
    <t>RESHOUHINewREBF4ELC20</t>
  </si>
  <si>
    <t>RESHOUHINewFREUE</t>
  </si>
  <si>
    <t>RESHOUHINewFRC1ELC20</t>
  </si>
  <si>
    <t>RESHOUHINewFRC2ELC20</t>
  </si>
  <si>
    <t>RESHOUHINewFRC3ELC20</t>
  </si>
  <si>
    <t>RESHOUHINewFRC4ELC20</t>
  </si>
  <si>
    <t>RESHOUHINewFRU1ELC20</t>
  </si>
  <si>
    <t>RESHOUHINewFRU2ELC20</t>
  </si>
  <si>
    <t>RESHOUHINewFRU3ELC20</t>
  </si>
  <si>
    <t>RESHOUHINewFRU4ELC20</t>
  </si>
  <si>
    <t>RESHOUHINewCKEUE</t>
  </si>
  <si>
    <t>RESHOUHINewCK2NGA20</t>
  </si>
  <si>
    <t>RESHOUHINewCK4NGA20</t>
  </si>
  <si>
    <t>RESHOUHINewCK2LPG20</t>
  </si>
  <si>
    <t>RESHOUHINewCK4LPG20</t>
  </si>
  <si>
    <t>RESHOUHINewCK2ELC20</t>
  </si>
  <si>
    <t>RESHOUHINewCWEUE</t>
  </si>
  <si>
    <t>RESHOUHINewCWF4ELC30</t>
  </si>
  <si>
    <t>RESHOUHINewCWT1ELC20</t>
  </si>
  <si>
    <t>RESHOUHINewCWT2ELC20</t>
  </si>
  <si>
    <t>RESHOUHINewCWT3ELC20</t>
  </si>
  <si>
    <t>RESHOUHINewCWT4ELC20</t>
  </si>
  <si>
    <t>RESHOUHINewCWF1ELC20</t>
  </si>
  <si>
    <t>RESHOUHINewCWF2ELC20</t>
  </si>
  <si>
    <t>RESHOUHINewCWF2ELC30</t>
  </si>
  <si>
    <t>RESHOUHINewCWF3ELC20</t>
  </si>
  <si>
    <t>RESHOUHINewCWF4ELC20</t>
  </si>
  <si>
    <t>RESHOUHINewCDEUE</t>
  </si>
  <si>
    <t>RESHOUHINewCD1NGA20</t>
  </si>
  <si>
    <t>RESHOUHINewCD2NGA20</t>
  </si>
  <si>
    <t>RESHOUHINewCD3NGA20</t>
  </si>
  <si>
    <t>RESHOUHINewCD4NGA20</t>
  </si>
  <si>
    <t>RESHOUHINewCD4NGA30</t>
  </si>
  <si>
    <t>RESHOUHINewCD1ELC20</t>
  </si>
  <si>
    <t>RESHOUHINewCD2ELC20</t>
  </si>
  <si>
    <t>RESHOUHINewCD3ELC20</t>
  </si>
  <si>
    <t>RESHOUHINewCD4ELC20</t>
  </si>
  <si>
    <t>Lighting</t>
  </si>
  <si>
    <t>Halogen</t>
  </si>
  <si>
    <t>Lighting Halogen Class Electricity 2015</t>
  </si>
  <si>
    <t>RESAPALOOldLTEUE</t>
  </si>
  <si>
    <t>RESAPALOOldLTHALELC20</t>
  </si>
  <si>
    <t>Mlma</t>
  </si>
  <si>
    <t>Lm/W</t>
  </si>
  <si>
    <t>Lighting Halogen Class Electricity 2020</t>
  </si>
  <si>
    <t>Lighting Halogen Class Electricity 2022</t>
  </si>
  <si>
    <t>RESAPALOOldLTHALELC22</t>
  </si>
  <si>
    <t>Compact Fluorescent</t>
  </si>
  <si>
    <t>Lighting Compact Fluorescent Class Electricity 2015</t>
  </si>
  <si>
    <t>RESAPALOOldLTCFLELCELC20</t>
  </si>
  <si>
    <t>Lighting Compact Fluorescent Class Electricity 2020</t>
  </si>
  <si>
    <t>Lighting Compact Fluorescent Class Electricity 2022</t>
  </si>
  <si>
    <t>RESAPALOOldLTCFLELCELC22</t>
  </si>
  <si>
    <t>Lighting Compact Fluorescent Class Electricity 2030</t>
  </si>
  <si>
    <t>RESAPALOOldLTCFLELCELC30</t>
  </si>
  <si>
    <t>Lighting Compact Fluorescent Class Electricity 2040</t>
  </si>
  <si>
    <t>RESAPALOOldLTCFLELCELC40</t>
  </si>
  <si>
    <t>LED</t>
  </si>
  <si>
    <t>Lighting LED Class Electricity 2015</t>
  </si>
  <si>
    <t>RESAPALOOldLTLEDELCELC20</t>
  </si>
  <si>
    <t>Lighting LED Class Electricity 2016</t>
  </si>
  <si>
    <t>Lighting LED Class Electricity 2017</t>
  </si>
  <si>
    <t>Lighting LED Class Electricity 2018</t>
  </si>
  <si>
    <t>Lighting LED Class Electricity 2019</t>
  </si>
  <si>
    <t>Lighting LED Class Electricity 2020</t>
  </si>
  <si>
    <t>Lighting LED Class Electricity 2021</t>
  </si>
  <si>
    <t>RESAPALOOldLTLEDELCELC21</t>
  </si>
  <si>
    <t>Lighting LED Class Electricity 2022</t>
  </si>
  <si>
    <t>RESAPALOOldLTLEDELCELC22</t>
  </si>
  <si>
    <t>Lighting LED Class Electricity 2023</t>
  </si>
  <si>
    <t>RESAPALOOldLTLEDELCELC23</t>
  </si>
  <si>
    <t>Lighting LED Class Electricity 2024</t>
  </si>
  <si>
    <t>RESAPALOOldLTLEDELCELC24</t>
  </si>
  <si>
    <t>Lighting LED Class Electricity 2025</t>
  </si>
  <si>
    <t>RESAPALOOldLTLEDELCELC25</t>
  </si>
  <si>
    <t>Lighting LED Class Electricity 2030</t>
  </si>
  <si>
    <t>RESAPALOOldLTLEDELCELC30</t>
  </si>
  <si>
    <t>Lighting LED Class Electricity 2040</t>
  </si>
  <si>
    <t>RESAPALOOldLTLEDELCELC40</t>
  </si>
  <si>
    <t>Incandescent</t>
  </si>
  <si>
    <t>Lighting Incandescent Class Electricity 2015</t>
  </si>
  <si>
    <t>RESAPALOOldLTINCELCELC20</t>
  </si>
  <si>
    <t>Lighting Incandescent Class Electricity 2022</t>
  </si>
  <si>
    <t>RESAPALOOldLTINCELCELC22</t>
  </si>
  <si>
    <t>T12 Fluorescent</t>
  </si>
  <si>
    <t>Lighting T12 Fluorescent Class Electricity 2015</t>
  </si>
  <si>
    <t>RESAPALOOldLTFLUT12ELC20</t>
  </si>
  <si>
    <t>T-8 Fluorescent</t>
  </si>
  <si>
    <t>Lighting T-8 Fluorescent Class Electricity 2015</t>
  </si>
  <si>
    <t>RESAPALOOldLTFLUT8ELC20</t>
  </si>
  <si>
    <t>Lighting T-8 Fluorescent Class Electricity 2020</t>
  </si>
  <si>
    <t>Lighting T-8 Fluorescent Class Electricity 2022</t>
  </si>
  <si>
    <t>RESAPALOOldLTFLUT8ELC22</t>
  </si>
  <si>
    <t>Lighting T-8 Fluorescent Class Electricity 2030</t>
  </si>
  <si>
    <t>RESAPALOOldLTFLUT8ELC30</t>
  </si>
  <si>
    <t>Lighting T-8 Fluorescent Class Electricity 2040</t>
  </si>
  <si>
    <t>RESAPALOOldLTFLUT8ELC40</t>
  </si>
  <si>
    <t>RESHOULOOldLTEUE</t>
  </si>
  <si>
    <t>RESHOULOOldLTHALELC20</t>
  </si>
  <si>
    <t>RESHOULOOldLTHALELC22</t>
  </si>
  <si>
    <t>RESHOULOOldLTCFLELCELC20</t>
  </si>
  <si>
    <t>RESHOULOOldLTCFLELCELC22</t>
  </si>
  <si>
    <t>RESHOULOOldLTCFLELCELC30</t>
  </si>
  <si>
    <t>RESHOULOOldLTCFLELCELC40</t>
  </si>
  <si>
    <t>RESHOULOOldLTLEDELCELC20</t>
  </si>
  <si>
    <t>RESHOULOOldLTLEDELCELC21</t>
  </si>
  <si>
    <t>RESHOULOOldLTLEDELCELC22</t>
  </si>
  <si>
    <t>RESHOULOOldLTLEDELCELC23</t>
  </si>
  <si>
    <t>RESHOULOOldLTLEDELCELC24</t>
  </si>
  <si>
    <t>RESHOULOOldLTLEDELCELC25</t>
  </si>
  <si>
    <t>RESHOULOOldLTLEDELCELC30</t>
  </si>
  <si>
    <t>RESHOULOOldLTLEDELCELC40</t>
  </si>
  <si>
    <t>RESHOULOOldLTINCELCELC20</t>
  </si>
  <si>
    <t>RESHOULOOldLTINCELCELC22</t>
  </si>
  <si>
    <t>RESHOULOOldLTFLUT12ELC20</t>
  </si>
  <si>
    <t>RESHOULOOldLTFLUT8ELC20</t>
  </si>
  <si>
    <t>RESHOULOOldLTFLUT8ELC22</t>
  </si>
  <si>
    <t>RESHOULOOldLTFLUT8ELC30</t>
  </si>
  <si>
    <t>RESHOULOOldLTFLUT8ELC40</t>
  </si>
  <si>
    <t>RESAPALMOldLTEUE</t>
  </si>
  <si>
    <t>RESAPALMOldLTHALELC20</t>
  </si>
  <si>
    <t>RESAPALMOldLTHALELC22</t>
  </si>
  <si>
    <t>RESAPALMOldLTCFLELCELC20</t>
  </si>
  <si>
    <t>RESAPALMOldLTCFLELCELC22</t>
  </si>
  <si>
    <t>RESAPALMOldLTCFLELCELC30</t>
  </si>
  <si>
    <t>RESAPALMOldLTCFLELCELC40</t>
  </si>
  <si>
    <t>RESAPALMOldLTLEDELCELC20</t>
  </si>
  <si>
    <t>RESAPALMOldLTLEDELCELC21</t>
  </si>
  <si>
    <t>RESAPALMOldLTLEDELCELC22</t>
  </si>
  <si>
    <t>RESAPALMOldLTLEDELCELC23</t>
  </si>
  <si>
    <t>RESAPALMOldLTLEDELCELC24</t>
  </si>
  <si>
    <t>RESAPALMOldLTLEDELCELC25</t>
  </si>
  <si>
    <t>RESAPALMOldLTLEDELCELC30</t>
  </si>
  <si>
    <t>RESAPALMOldLTLEDELCELC40</t>
  </si>
  <si>
    <t>RESAPALMOldLTINCELCELC20</t>
  </si>
  <si>
    <t>RESAPALMOldLTINCELCELC22</t>
  </si>
  <si>
    <t>RESAPALMOldLTFLUT12ELC20</t>
  </si>
  <si>
    <t>RESAPALMOldLTFLUT8ELC20</t>
  </si>
  <si>
    <t>RESAPALMOldLTFLUT8ELC22</t>
  </si>
  <si>
    <t>RESAPALMOldLTFLUT8ELC30</t>
  </si>
  <si>
    <t>RESAPALMOldLTFLUT8ELC40</t>
  </si>
  <si>
    <t>RESHOULMOldLTEUE</t>
  </si>
  <si>
    <t>RESHOULMOldLTHALELC20</t>
  </si>
  <si>
    <t>RESHOULMOldLTHALELC22</t>
  </si>
  <si>
    <t>RESHOULMOldLTCFLELCELC20</t>
  </si>
  <si>
    <t>RESHOULMOldLTCFLELCELC22</t>
  </si>
  <si>
    <t>RESHOULMOldLTCFLELCELC30</t>
  </si>
  <si>
    <t>RESHOULMOldLTCFLELCELC40</t>
  </si>
  <si>
    <t>RESHOULMOldLTLEDELCELC20</t>
  </si>
  <si>
    <t>RESHOULMOldLTLEDELCELC21</t>
  </si>
  <si>
    <t>RESHOULMOldLTLEDELCELC22</t>
  </si>
  <si>
    <t>RESHOULMOldLTLEDELCELC23</t>
  </si>
  <si>
    <t>RESHOULMOldLTLEDELCELC24</t>
  </si>
  <si>
    <t>RESHOULMOldLTLEDELCELC25</t>
  </si>
  <si>
    <t>RESHOULMOldLTLEDELCELC30</t>
  </si>
  <si>
    <t>RESHOULMOldLTLEDELCELC40</t>
  </si>
  <si>
    <t>RESHOULMOldLTINCELCELC20</t>
  </si>
  <si>
    <t>RESHOULMOldLTINCELCELC22</t>
  </si>
  <si>
    <t>RESHOULMOldLTFLUT12ELC20</t>
  </si>
  <si>
    <t>RESHOULMOldLTFLUT8ELC20</t>
  </si>
  <si>
    <t>RESHOULMOldLTFLUT8ELC22</t>
  </si>
  <si>
    <t>RESHOULMOldLTFLUT8ELC30</t>
  </si>
  <si>
    <t>RESHOULMOldLTFLUT8ELC40</t>
  </si>
  <si>
    <t>RESAPAUMOldLTEUE</t>
  </si>
  <si>
    <t>RESAPAUMOldLTHALELC20</t>
  </si>
  <si>
    <t>RESAPAUMOldLTHALELC22</t>
  </si>
  <si>
    <t>RESAPAUMOldLTCFLELCELC20</t>
  </si>
  <si>
    <t>RESAPAUMOldLTCFLELCELC22</t>
  </si>
  <si>
    <t>RESAPAUMOldLTCFLELCELC30</t>
  </si>
  <si>
    <t>RESAPAUMOldLTCFLELCELC40</t>
  </si>
  <si>
    <t>RESAPAUMOldLTLEDELCELC20</t>
  </si>
  <si>
    <t>RESAPAUMOldLTLEDELCELC21</t>
  </si>
  <si>
    <t>RESAPAUMOldLTLEDELCELC22</t>
  </si>
  <si>
    <t>RESAPAUMOldLTLEDELCELC23</t>
  </si>
  <si>
    <t>RESAPAUMOldLTLEDELCELC24</t>
  </si>
  <si>
    <t>RESAPAUMOldLTLEDELCELC25</t>
  </si>
  <si>
    <t>RESAPAUMOldLTLEDELCELC30</t>
  </si>
  <si>
    <t>RESAPAUMOldLTLEDELCELC40</t>
  </si>
  <si>
    <t>RESAPAUMOldLTINCELCELC20</t>
  </si>
  <si>
    <t>RESAPAUMOldLTINCELCELC22</t>
  </si>
  <si>
    <t>RESAPAUMOldLTFLUT12ELC20</t>
  </si>
  <si>
    <t>RESAPAUMOldLTFLUT8ELC20</t>
  </si>
  <si>
    <t>RESAPAUMOldLTFLUT8ELC22</t>
  </si>
  <si>
    <t>RESAPAUMOldLTFLUT8ELC30</t>
  </si>
  <si>
    <t>RESAPAUMOldLTFLUT8ELC40</t>
  </si>
  <si>
    <t>RESHOUUMOldLTEUE</t>
  </si>
  <si>
    <t>RESHOUUMOldLTHALELC20</t>
  </si>
  <si>
    <t>RESHOUUMOldLTHALELC22</t>
  </si>
  <si>
    <t>RESHOUUMOldLTCFLELCELC20</t>
  </si>
  <si>
    <t>RESHOUUMOldLTCFLELCELC22</t>
  </si>
  <si>
    <t>RESHOUUMOldLTCFLELCELC30</t>
  </si>
  <si>
    <t>RESHOUUMOldLTCFLELCELC40</t>
  </si>
  <si>
    <t>RESHOUUMOldLTLEDELCELC20</t>
  </si>
  <si>
    <t>RESHOUUMOldLTLEDELCELC21</t>
  </si>
  <si>
    <t>RESHOUUMOldLTLEDELCELC22</t>
  </si>
  <si>
    <t>RESHOUUMOldLTLEDELCELC23</t>
  </si>
  <si>
    <t>RESHOUUMOldLTLEDELCELC24</t>
  </si>
  <si>
    <t>RESHOUUMOldLTLEDELCELC25</t>
  </si>
  <si>
    <t>RESHOUUMOldLTLEDELCELC30</t>
  </si>
  <si>
    <t>RESHOUUMOldLTLEDELCELC40</t>
  </si>
  <si>
    <t>RESHOUUMOldLTINCELCELC20</t>
  </si>
  <si>
    <t>RESHOUUMOldLTINCELCELC22</t>
  </si>
  <si>
    <t>RESHOUUMOldLTFLUT12ELC20</t>
  </si>
  <si>
    <t>RESHOUUMOldLTFLUT8ELC20</t>
  </si>
  <si>
    <t>RESHOUUMOldLTFLUT8ELC22</t>
  </si>
  <si>
    <t>RESHOUUMOldLTFLUT8ELC30</t>
  </si>
  <si>
    <t>RESHOUUMOldLTFLUT8ELC40</t>
  </si>
  <si>
    <t>RESAPAHIOldLTEUE</t>
  </si>
  <si>
    <t>RESAPAHIOldLTHALELC20</t>
  </si>
  <si>
    <t>RESAPAHIOldLTHALELC22</t>
  </si>
  <si>
    <t>RESAPAHIOldLTCFLELCELC20</t>
  </si>
  <si>
    <t>RESAPAHIOldLTCFLELCELC22</t>
  </si>
  <si>
    <t>RESAPAHIOldLTCFLELCELC30</t>
  </si>
  <si>
    <t>RESAPAHIOldLTCFLELCELC40</t>
  </si>
  <si>
    <t>RESAPAHIOldLTLEDELCELC20</t>
  </si>
  <si>
    <t>RESAPAHIOldLTLEDELCELC21</t>
  </si>
  <si>
    <t>RESAPAHIOldLTLEDELCELC22</t>
  </si>
  <si>
    <t>RESAPAHIOldLTLEDELCELC23</t>
  </si>
  <si>
    <t>RESAPAHIOldLTLEDELCELC24</t>
  </si>
  <si>
    <t>RESAPAHIOldLTLEDELCELC25</t>
  </si>
  <si>
    <t>RESAPAHIOldLTLEDELCELC30</t>
  </si>
  <si>
    <t>RESAPAHIOldLTLEDELCELC40</t>
  </si>
  <si>
    <t>RESAPAHIOldLTINCELCELC20</t>
  </si>
  <si>
    <t>RESAPAHIOldLTINCELCELC22</t>
  </si>
  <si>
    <t>RESAPAHIOldLTFLUT12ELC20</t>
  </si>
  <si>
    <t>RESAPAHIOldLTFLUT8ELC20</t>
  </si>
  <si>
    <t>RESAPAHIOldLTFLUT8ELC22</t>
  </si>
  <si>
    <t>RESAPAHIOldLTFLUT8ELC30</t>
  </si>
  <si>
    <t>RESAPAHIOldLTFLUT8ELC40</t>
  </si>
  <si>
    <t>RESHOUHIOldLTEUE</t>
  </si>
  <si>
    <t>RESHOUHIOldLTHALELC20</t>
  </si>
  <si>
    <t>RESHOUHIOldLTHALELC22</t>
  </si>
  <si>
    <t>RESHOUHIOldLTCFLELCELC20</t>
  </si>
  <si>
    <t>RESHOUHIOldLTCFLELCELC22</t>
  </si>
  <si>
    <t>RESHOUHIOldLTCFLELCELC30</t>
  </si>
  <si>
    <t>RESHOUHIOldLTCFLELCELC40</t>
  </si>
  <si>
    <t>RESHOUHIOldLTLEDELCELC20</t>
  </si>
  <si>
    <t>RESHOUHIOldLTLEDELCELC21</t>
  </si>
  <si>
    <t>RESHOUHIOldLTLEDELCELC22</t>
  </si>
  <si>
    <t>RESHOUHIOldLTLEDELCELC23</t>
  </si>
  <si>
    <t>RESHOUHIOldLTLEDELCELC24</t>
  </si>
  <si>
    <t>RESHOUHIOldLTLEDELCELC25</t>
  </si>
  <si>
    <t>RESHOUHIOldLTLEDELCELC30</t>
  </si>
  <si>
    <t>RESHOUHIOldLTLEDELCELC40</t>
  </si>
  <si>
    <t>RESHOUHIOldLTINCELCELC20</t>
  </si>
  <si>
    <t>RESHOUHIOldLTINCELCELC22</t>
  </si>
  <si>
    <t>RESHOUHIOldLTFLUT12ELC20</t>
  </si>
  <si>
    <t>RESHOUHIOldLTFLUT8ELC20</t>
  </si>
  <si>
    <t>RESHOUHIOldLTFLUT8ELC22</t>
  </si>
  <si>
    <t>RESHOUHIOldLTFLUT8ELC30</t>
  </si>
  <si>
    <t>RESHOUHIOldLTFLUT8ELC40</t>
  </si>
  <si>
    <t>RESAPALONewLTEUE</t>
  </si>
  <si>
    <t>RESAPALONewLTHALELC20</t>
  </si>
  <si>
    <t>RESAPALONewLTHALELC22</t>
  </si>
  <si>
    <t>RESAPALONewLTCFLELCELC20</t>
  </si>
  <si>
    <t>RESAPALONewLTCFLELCELC22</t>
  </si>
  <si>
    <t>RESAPALONewLTCFLELCELC30</t>
  </si>
  <si>
    <t>RESAPALONewLTCFLELCELC40</t>
  </si>
  <si>
    <t>RESAPALONewLTLEDELCELC20</t>
  </si>
  <si>
    <t>RESAPALONewLTLEDELCELC21</t>
  </si>
  <si>
    <t>RESAPALONewLTLEDELCELC22</t>
  </si>
  <si>
    <t>RESAPALONewLTLEDELCELC23</t>
  </si>
  <si>
    <t>RESAPALONewLTLEDELCELC24</t>
  </si>
  <si>
    <t>RESAPALONewLTLEDELCELC25</t>
  </si>
  <si>
    <t>RESAPALONewLTLEDELCELC30</t>
  </si>
  <si>
    <t>RESAPALONewLTLEDELCELC40</t>
  </si>
  <si>
    <t>RESAPALONewLTINCELCELC20</t>
  </si>
  <si>
    <t>RESAPALONewLTINCELCELC22</t>
  </si>
  <si>
    <t>RESAPALONewLTFLUT12ELC20</t>
  </si>
  <si>
    <t>RESAPALONewLTFLUT8ELC20</t>
  </si>
  <si>
    <t>RESAPALONewLTFLUT8ELC22</t>
  </si>
  <si>
    <t>RESAPALONewLTFLUT8ELC30</t>
  </si>
  <si>
    <t>RESAPALONewLTFLUT8ELC40</t>
  </si>
  <si>
    <t>RESHOULONewLTEUE</t>
  </si>
  <si>
    <t>RESHOULONewLTHALELC20</t>
  </si>
  <si>
    <t>RESHOULONewLTHALELC22</t>
  </si>
  <si>
    <t>RESHOULONewLTCFLELCELC20</t>
  </si>
  <si>
    <t>RESHOULONewLTCFLELCELC22</t>
  </si>
  <si>
    <t>RESHOULONewLTCFLELCELC30</t>
  </si>
  <si>
    <t>RESHOULONewLTCFLELCELC40</t>
  </si>
  <si>
    <t>RESHOULONewLTLEDELCELC20</t>
  </si>
  <si>
    <t>RESHOULONewLTLEDELCELC21</t>
  </si>
  <si>
    <t>RESHOULONewLTLEDELCELC22</t>
  </si>
  <si>
    <t>RESHOULONewLTLEDELCELC23</t>
  </si>
  <si>
    <t>RESHOULONewLTLEDELCELC24</t>
  </si>
  <si>
    <t>RESHOULONewLTLEDELCELC25</t>
  </si>
  <si>
    <t>RESHOULONewLTLEDELCELC30</t>
  </si>
  <si>
    <t>RESHOULONewLTLEDELCELC40</t>
  </si>
  <si>
    <t>RESHOULONewLTINCELCELC20</t>
  </si>
  <si>
    <t>RESHOULONewLTINCELCELC22</t>
  </si>
  <si>
    <t>RESHOULONewLTFLUT12ELC20</t>
  </si>
  <si>
    <t>RESHOULONewLTFLUT8ELC20</t>
  </si>
  <si>
    <t>RESHOULONewLTFLUT8ELC22</t>
  </si>
  <si>
    <t>RESHOULONewLTFLUT8ELC30</t>
  </si>
  <si>
    <t>RESHOULONewLTFLUT8ELC40</t>
  </si>
  <si>
    <t>RESAPALMNewLTEUE</t>
  </si>
  <si>
    <t>RESAPALMNewLTHALELC20</t>
  </si>
  <si>
    <t>RESAPALMNewLTHALELC22</t>
  </si>
  <si>
    <t>RESAPALMNewLTCFLELCELC20</t>
  </si>
  <si>
    <t>RESAPALMNewLTCFLELCELC22</t>
  </si>
  <si>
    <t>RESAPALMNewLTCFLELCELC30</t>
  </si>
  <si>
    <t>RESAPALMNewLTCFLELCELC40</t>
  </si>
  <si>
    <t>RESAPALMNewLTLEDELCELC20</t>
  </si>
  <si>
    <t>RESAPALMNewLTLEDELCELC21</t>
  </si>
  <si>
    <t>RESAPALMNewLTLEDELCELC22</t>
  </si>
  <si>
    <t>RESAPALMNewLTLEDELCELC23</t>
  </si>
  <si>
    <t>RESAPALMNewLTLEDELCELC24</t>
  </si>
  <si>
    <t>RESAPALMNewLTLEDELCELC25</t>
  </si>
  <si>
    <t>RESAPALMNewLTLEDELCELC30</t>
  </si>
  <si>
    <t>RESAPALMNewLTLEDELCELC40</t>
  </si>
  <si>
    <t>RESAPALMNewLTINCELCELC20</t>
  </si>
  <si>
    <t>RESAPALMNewLTINCELCELC22</t>
  </si>
  <si>
    <t>RESAPALMNewLTFLUT12ELC20</t>
  </si>
  <si>
    <t>RESAPALMNewLTFLUT8ELC20</t>
  </si>
  <si>
    <t>RESAPALMNewLTFLUT8ELC22</t>
  </si>
  <si>
    <t>RESAPALMNewLTFLUT8ELC30</t>
  </si>
  <si>
    <t>RESAPALMNewLTFLUT8ELC40</t>
  </si>
  <si>
    <t>RESHOULMNewLTEUE</t>
  </si>
  <si>
    <t>RESHOULMNewLTHALELC20</t>
  </si>
  <si>
    <t>RESHOULMNewLTHALELC22</t>
  </si>
  <si>
    <t>RESHOULMNewLTCFLELCELC20</t>
  </si>
  <si>
    <t>RESHOULMNewLTCFLELCELC22</t>
  </si>
  <si>
    <t>RESHOULMNewLTCFLELCELC30</t>
  </si>
  <si>
    <t>RESHOULMNewLTCFLELCELC40</t>
  </si>
  <si>
    <t>RESHOULMNewLTLEDELCELC20</t>
  </si>
  <si>
    <t>RESHOULMNewLTLEDELCELC21</t>
  </si>
  <si>
    <t>RESHOULMNewLTLEDELCELC22</t>
  </si>
  <si>
    <t>RESHOULMNewLTLEDELCELC23</t>
  </si>
  <si>
    <t>RESHOULMNewLTLEDELCELC24</t>
  </si>
  <si>
    <t>RESHOULMNewLTLEDELCELC25</t>
  </si>
  <si>
    <t>RESHOULMNewLTLEDELCELC30</t>
  </si>
  <si>
    <t>RESHOULMNewLTLEDELCELC40</t>
  </si>
  <si>
    <t>RESHOULMNewLTINCELCELC20</t>
  </si>
  <si>
    <t>RESHOULMNewLTINCELCELC22</t>
  </si>
  <si>
    <t>RESHOULMNewLTFLUT12ELC20</t>
  </si>
  <si>
    <t>RESHOULMNewLTFLUT8ELC20</t>
  </si>
  <si>
    <t>RESHOULMNewLTFLUT8ELC22</t>
  </si>
  <si>
    <t>RESHOULMNewLTFLUT8ELC30</t>
  </si>
  <si>
    <t>RESHOULMNewLTFLUT8ELC40</t>
  </si>
  <si>
    <t>RESAPAUMNewLTEUE</t>
  </si>
  <si>
    <t>RESAPAUMNewLTHALELC20</t>
  </si>
  <si>
    <t>RESAPAUMNewLTHALELC22</t>
  </si>
  <si>
    <t>RESAPAUMNewLTCFLELCELC20</t>
  </si>
  <si>
    <t>RESAPAUMNewLTCFLELCELC22</t>
  </si>
  <si>
    <t>RESAPAUMNewLTCFLELCELC30</t>
  </si>
  <si>
    <t>RESAPAUMNewLTCFLELCELC40</t>
  </si>
  <si>
    <t>RESAPAUMNewLTLEDELCELC20</t>
  </si>
  <si>
    <t>RESAPAUMNewLTLEDELCELC21</t>
  </si>
  <si>
    <t>RESAPAUMNewLTLEDELCELC22</t>
  </si>
  <si>
    <t>RESAPAUMNewLTLEDELCELC23</t>
  </si>
  <si>
    <t>RESAPAUMNewLTLEDELCELC24</t>
  </si>
  <si>
    <t>RESAPAUMNewLTLEDELCELC25</t>
  </si>
  <si>
    <t>RESAPAUMNewLTLEDELCELC30</t>
  </si>
  <si>
    <t>RESAPAUMNewLTLEDELCELC40</t>
  </si>
  <si>
    <t>RESAPAUMNewLTINCELCELC20</t>
  </si>
  <si>
    <t>RESAPAUMNewLTINCELCELC22</t>
  </si>
  <si>
    <t>RESAPAUMNewLTFLUT12ELC20</t>
  </si>
  <si>
    <t>RESAPAUMNewLTFLUT8ELC20</t>
  </si>
  <si>
    <t>RESAPAUMNewLTFLUT8ELC22</t>
  </si>
  <si>
    <t>RESAPAUMNewLTFLUT8ELC30</t>
  </si>
  <si>
    <t>RESAPAUMNewLTFLUT8ELC40</t>
  </si>
  <si>
    <t>RESHOUUMNewLTEUE</t>
  </si>
  <si>
    <t>RESHOUUMNewLTHALELC20</t>
  </si>
  <si>
    <t>RESHOUUMNewLTHALELC22</t>
  </si>
  <si>
    <t>RESHOUUMNewLTCFLELCELC20</t>
  </si>
  <si>
    <t>RESHOUUMNewLTCFLELCELC22</t>
  </si>
  <si>
    <t>RESHOUUMNewLTCFLELCELC30</t>
  </si>
  <si>
    <t>RESHOUUMNewLTCFLELCELC40</t>
  </si>
  <si>
    <t>RESHOUUMNewLTLEDELCELC20</t>
  </si>
  <si>
    <t>RESHOUUMNewLTLEDELCELC21</t>
  </si>
  <si>
    <t>RESHOUUMNewLTLEDELCELC22</t>
  </si>
  <si>
    <t>RESHOUUMNewLTLEDELCELC23</t>
  </si>
  <si>
    <t>RESHOUUMNewLTLEDELCELC24</t>
  </si>
  <si>
    <t>RESHOUUMNewLTLEDELCELC25</t>
  </si>
  <si>
    <t>RESHOUUMNewLTLEDELCELC30</t>
  </si>
  <si>
    <t>RESHOUUMNewLTLEDELCELC40</t>
  </si>
  <si>
    <t>RESHOUUMNewLTINCELCELC20</t>
  </si>
  <si>
    <t>RESHOUUMNewLTINCELCELC22</t>
  </si>
  <si>
    <t>RESHOUUMNewLTFLUT12ELC20</t>
  </si>
  <si>
    <t>RESHOUUMNewLTFLUT8ELC20</t>
  </si>
  <si>
    <t>RESHOUUMNewLTFLUT8ELC22</t>
  </si>
  <si>
    <t>RESHOUUMNewLTFLUT8ELC30</t>
  </si>
  <si>
    <t>RESHOUUMNewLTFLUT8ELC40</t>
  </si>
  <si>
    <t>RESAPAHINewLTEUE</t>
  </si>
  <si>
    <t>RESAPAHINewLTHALELC20</t>
  </si>
  <si>
    <t>RESAPAHINewLTHALELC22</t>
  </si>
  <si>
    <t>RESAPAHINewLTCFLELCELC20</t>
  </si>
  <si>
    <t>RESAPAHINewLTCFLELCELC22</t>
  </si>
  <si>
    <t>RESAPAHINewLTCFLELCELC30</t>
  </si>
  <si>
    <t>RESAPAHINewLTCFLELCELC40</t>
  </si>
  <si>
    <t>RESAPAHINewLTLEDELCELC20</t>
  </si>
  <si>
    <t>RESAPAHINewLTLEDELCELC21</t>
  </si>
  <si>
    <t>RESAPAHINewLTLEDELCELC22</t>
  </si>
  <si>
    <t>RESAPAHINewLTLEDELCELC23</t>
  </si>
  <si>
    <t>RESAPAHINewLTLEDELCELC24</t>
  </si>
  <si>
    <t>RESAPAHINewLTLEDELCELC25</t>
  </si>
  <si>
    <t>RESAPAHINewLTLEDELCELC30</t>
  </si>
  <si>
    <t>RESAPAHINewLTLEDELCELC40</t>
  </si>
  <si>
    <t>RESAPAHINewLTINCELCELC20</t>
  </si>
  <si>
    <t>RESAPAHINewLTINCELCELC22</t>
  </si>
  <si>
    <t>RESAPAHINewLTFLUT12ELC20</t>
  </si>
  <si>
    <t>RESAPAHINewLTFLUT8ELC20</t>
  </si>
  <si>
    <t>RESAPAHINewLTFLUT8ELC22</t>
  </si>
  <si>
    <t>RESAPAHINewLTFLUT8ELC30</t>
  </si>
  <si>
    <t>RESAPAHINewLTFLUT8ELC40</t>
  </si>
  <si>
    <t>RESHOUHINewLTEUE</t>
  </si>
  <si>
    <t>RESHOUHINewLTHALELC20</t>
  </si>
  <si>
    <t>RESHOUHINewLTHALELC22</t>
  </si>
  <si>
    <t>RESHOUHINewLTCFLELCELC20</t>
  </si>
  <si>
    <t>RESHOUHINewLTCFLELCELC22</t>
  </si>
  <si>
    <t>RESHOUHINewLTCFLELCELC30</t>
  </si>
  <si>
    <t>RESHOUHINewLTCFLELCELC40</t>
  </si>
  <si>
    <t>RESHOUHINewLTLEDELCELC20</t>
  </si>
  <si>
    <t>RESHOUHINewLTLEDELCELC21</t>
  </si>
  <si>
    <t>RESHOUHINewLTLEDELCELC22</t>
  </si>
  <si>
    <t>RESHOUHINewLTLEDELCELC23</t>
  </si>
  <si>
    <t>RESHOUHINewLTLEDELCELC24</t>
  </si>
  <si>
    <t>RESHOUHINewLTLEDELCELC25</t>
  </si>
  <si>
    <t>RESHOUHINewLTLEDELCELC30</t>
  </si>
  <si>
    <t>RESHOUHINewLTLEDELCELC40</t>
  </si>
  <si>
    <t>RESHOUHINewLTINCELCELC20</t>
  </si>
  <si>
    <t>RESHOUHINewLTINCELCELC22</t>
  </si>
  <si>
    <t>RESHOUHINewLTFLUT12ELC20</t>
  </si>
  <si>
    <t>RESHOUHINewLTFLUT8ELC20</t>
  </si>
  <si>
    <t>RESHOUHINewLTFLUT8ELC22</t>
  </si>
  <si>
    <t>RESHOUHINewLTFLUT8ELC30</t>
  </si>
  <si>
    <t>RESHOUHINewLTFLUT8ELC40</t>
  </si>
  <si>
    <t>Other end use</t>
  </si>
  <si>
    <t>RESAPALOOldOEEUE</t>
  </si>
  <si>
    <t>RESAPALOOldOEELC20</t>
  </si>
  <si>
    <t>RESHOULOOldOEEUE</t>
  </si>
  <si>
    <t>RESHOULOOldOEELC20</t>
  </si>
  <si>
    <t>RESAPALMOldOEEUE</t>
  </si>
  <si>
    <t>RESAPALMOldOEELC20</t>
  </si>
  <si>
    <t>RESHOULMOldOEEUE</t>
  </si>
  <si>
    <t>RESHOULMOldOEELC20</t>
  </si>
  <si>
    <t>RESAPAUMOldOEEUE</t>
  </si>
  <si>
    <t>RESAPAUMOldOEELC20</t>
  </si>
  <si>
    <t>RESHOUUMOldOEEUE</t>
  </si>
  <si>
    <t>RESHOUUMOldOEELC20</t>
  </si>
  <si>
    <t>RESAPAHIOldOEEUE</t>
  </si>
  <si>
    <t>RESAPAHIOldOEELC20</t>
  </si>
  <si>
    <t>RESHOUHIOldOEEUE</t>
  </si>
  <si>
    <t>RESHOUHIOldOEELC20</t>
  </si>
  <si>
    <t>RESAPALONewOEEUE</t>
  </si>
  <si>
    <t>RESAPALONewOEELC20</t>
  </si>
  <si>
    <t>RESHOULONewOEEUE</t>
  </si>
  <si>
    <t>RESHOULONewOEELC20</t>
  </si>
  <si>
    <t>RESAPALMNewOEEUE</t>
  </si>
  <si>
    <t>RESAPALMNewOEELC20</t>
  </si>
  <si>
    <t>RESHOULMNewOEEUE</t>
  </si>
  <si>
    <t>RESHOULMNewOEELC20</t>
  </si>
  <si>
    <t>RESAPAUMNewOEEUE</t>
  </si>
  <si>
    <t>RESAPAUMNewOEELC20</t>
  </si>
  <si>
    <t>RESHOUUMNewOEEUE</t>
  </si>
  <si>
    <t>RESHOUUMNewOEELC20</t>
  </si>
  <si>
    <t>RESAPAHINewOEEUE</t>
  </si>
  <si>
    <t>RESAPAHINewOEELC20</t>
  </si>
  <si>
    <t>RESHOUHINewOEEUE</t>
  </si>
  <si>
    <t>RESHOUHINewOEELC20</t>
  </si>
  <si>
    <t>RESAPALOOldOENGA20</t>
  </si>
  <si>
    <t>RESHOULOOldOENGA20</t>
  </si>
  <si>
    <t>RESAPALMOldOENGA20</t>
  </si>
  <si>
    <t>RESHOULMOldOENGA20</t>
  </si>
  <si>
    <t>RESAPAUMOldOENGA20</t>
  </si>
  <si>
    <t>RESHOUUMOldOENGA20</t>
  </si>
  <si>
    <t>RESAPAHIOldOENGA20</t>
  </si>
  <si>
    <t>RESHOUHIOldOENGA20</t>
  </si>
  <si>
    <t>RESAPALONewOENGA20</t>
  </si>
  <si>
    <t>RESHOULONewOENGA20</t>
  </si>
  <si>
    <t>RESAPALMNewOENGA20</t>
  </si>
  <si>
    <t>RESHOULMNewOENGA20</t>
  </si>
  <si>
    <t>RESAPAUMNewOENGA20</t>
  </si>
  <si>
    <t>RESHOUUMNewOENGA20</t>
  </si>
  <si>
    <t>RESAPAHINewOENGA20</t>
  </si>
  <si>
    <t>RESHOUHINewOENGA20</t>
  </si>
  <si>
    <t>~TFM_AVA</t>
  </si>
  <si>
    <t>PSET_SET</t>
  </si>
  <si>
    <t>PSET_PN</t>
  </si>
  <si>
    <t>PSET_PD</t>
  </si>
  <si>
    <t>PSET_CO</t>
  </si>
  <si>
    <t>PSET_CI</t>
  </si>
  <si>
    <t>CITY</t>
  </si>
  <si>
    <t>EGRID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</si>
</sst>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/>
    <xf numFmtId="0" fontId="3" fillId="0" borderId="0"/>
  </cellStyleXfs>
  <cellXfs count="13">
    <xf numFmtId="0" fontId="0" fillId="0" borderId="0" xfId="0"/>
    <xf numFmtId="0" fontId="4" fillId="0" borderId="0" xfId="2" applyFont="1"/>
    <xf numFmtId="0" fontId="5" fillId="2" borderId="1" xfId="0" applyFont="1" applyFill="1" applyBorder="1"/>
    <xf numFmtId="0" fontId="3" fillId="3" borderId="2" xfId="2" applyFill="1" applyBorder="1" applyAlignment="1">
      <alignment horizontal="left" wrapText="1"/>
    </xf>
    <xf numFmtId="43" fontId="0" fillId="0" borderId="0" xfId="1" applyFont="1"/>
    <xf numFmtId="0" fontId="6" fillId="4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</cellXfs>
  <cellStyles count="3">
    <cellStyle name="Comma" xfId="1" builtinId="3"/>
    <cellStyle name="Normal" xfId="0" builtinId="0"/>
    <cellStyle name="Normal 1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26" width="8.85546875" style="6" customWidth="1"/>
    <col min="27" max="16384" width="8.85546875" style="6"/>
  </cols>
  <sheetData>
    <row r="1" spans="1:3" s="5" customFormat="1" ht="23.45" customHeight="1" x14ac:dyDescent="0.35">
      <c r="A1" s="5" t="s">
        <v>0</v>
      </c>
    </row>
    <row r="2" spans="1:3" s="5" customFormat="1" ht="23.45" customHeight="1" x14ac:dyDescent="0.35"/>
    <row r="3" spans="1:3" x14ac:dyDescent="0.25">
      <c r="B3" s="7" t="s">
        <v>1</v>
      </c>
    </row>
    <row r="4" spans="1:3" x14ac:dyDescent="0.25">
      <c r="B4" s="8"/>
      <c r="C4" s="6" t="s">
        <v>2</v>
      </c>
    </row>
    <row r="6" spans="1:3" x14ac:dyDescent="0.25">
      <c r="B6" s="9"/>
      <c r="C6" s="6" t="s">
        <v>3</v>
      </c>
    </row>
    <row r="8" spans="1:3" x14ac:dyDescent="0.25">
      <c r="B8" s="10"/>
      <c r="C8" s="6" t="s">
        <v>4</v>
      </c>
    </row>
    <row r="10" spans="1:3" x14ac:dyDescent="0.25">
      <c r="B10" s="11"/>
      <c r="C10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 x14ac:dyDescent="0.25"/>
  <cols>
    <col min="1" max="1" width="8.85546875" style="6" customWidth="1"/>
    <col min="2" max="2" width="47.7109375" style="6" customWidth="1"/>
    <col min="3" max="3" width="26.140625" style="6" customWidth="1"/>
    <col min="4" max="4" width="14.42578125" style="6" customWidth="1"/>
    <col min="5" max="13" width="10.85546875" style="6" customWidth="1"/>
    <col min="14" max="39" width="8.85546875" style="6" customWidth="1"/>
    <col min="40" max="16384" width="8.85546875" style="6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3318"/>
  <sheetViews>
    <sheetView topLeftCell="A2564" zoomScale="85" zoomScaleNormal="85" workbookViewId="0">
      <selection activeCell="M2633" sqref="M2633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28515625" bestFit="1" customWidth="1"/>
    <col min="6" max="6" width="18.42578125" bestFit="1" customWidth="1"/>
    <col min="7" max="7" width="10.28515625" bestFit="1" customWidth="1"/>
    <col min="8" max="8" width="10.28515625" customWidth="1"/>
    <col min="9" max="9" width="20.85546875" bestFit="1" customWidth="1"/>
    <col min="10" max="10" width="25.42578125" bestFit="1" customWidth="1"/>
    <col min="11" max="11" width="14" style="12" customWidth="1"/>
    <col min="12" max="12" width="31.28515625" style="12" customWidth="1"/>
    <col min="13" max="13" width="29.5703125" style="12" bestFit="1" customWidth="1"/>
    <col min="14" max="15" width="29.5703125" style="12" customWidth="1"/>
    <col min="16" max="20" width="14" style="12" customWidth="1"/>
    <col min="21" max="22" width="17.28515625" customWidth="1"/>
    <col min="23" max="25" width="14" style="12" customWidth="1"/>
    <col min="26" max="26" width="11.85546875" bestFit="1" customWidth="1"/>
  </cols>
  <sheetData>
    <row r="2" spans="1:27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</row>
    <row r="3" spans="1:27" x14ac:dyDescent="0.25">
      <c r="A3" t="s">
        <v>98</v>
      </c>
      <c r="B3" t="s">
        <v>99</v>
      </c>
      <c r="C3" t="s">
        <v>100</v>
      </c>
      <c r="D3" t="s">
        <v>101</v>
      </c>
      <c r="E3" t="s">
        <v>102</v>
      </c>
      <c r="G3" t="s">
        <v>103</v>
      </c>
      <c r="H3" t="s">
        <v>104</v>
      </c>
      <c r="I3">
        <v>2016</v>
      </c>
      <c r="J3" t="s">
        <v>105</v>
      </c>
      <c r="K3" t="s">
        <v>106</v>
      </c>
      <c r="L3" t="s">
        <v>107</v>
      </c>
      <c r="M3" t="s">
        <v>108</v>
      </c>
      <c r="N3">
        <v>1</v>
      </c>
      <c r="O3">
        <v>2020</v>
      </c>
      <c r="P3">
        <v>2225.3303113170941</v>
      </c>
      <c r="Q3">
        <v>1.8010645099426681</v>
      </c>
      <c r="R3" t="s">
        <v>109</v>
      </c>
      <c r="S3">
        <v>1235.5639118045419</v>
      </c>
      <c r="T3">
        <v>0.61014999999999997</v>
      </c>
      <c r="U3" t="s">
        <v>110</v>
      </c>
      <c r="V3">
        <v>0.61014999999999997</v>
      </c>
      <c r="W3">
        <v>6</v>
      </c>
      <c r="X3">
        <v>20</v>
      </c>
      <c r="Y3">
        <v>14</v>
      </c>
      <c r="Z3">
        <v>0.24</v>
      </c>
      <c r="AA3">
        <v>31.536000000000001</v>
      </c>
    </row>
    <row r="4" spans="1:27" x14ac:dyDescent="0.25">
      <c r="A4" t="s">
        <v>98</v>
      </c>
      <c r="B4" t="s">
        <v>99</v>
      </c>
      <c r="C4" t="s">
        <v>100</v>
      </c>
      <c r="D4" t="s">
        <v>101</v>
      </c>
      <c r="E4" t="s">
        <v>102</v>
      </c>
      <c r="G4" t="s">
        <v>111</v>
      </c>
      <c r="H4" t="s">
        <v>104</v>
      </c>
      <c r="I4">
        <v>2016</v>
      </c>
      <c r="J4" t="s">
        <v>112</v>
      </c>
      <c r="K4" t="s">
        <v>106</v>
      </c>
      <c r="L4" t="s">
        <v>107</v>
      </c>
      <c r="M4" t="s">
        <v>113</v>
      </c>
      <c r="N4">
        <v>1</v>
      </c>
      <c r="O4">
        <v>2020</v>
      </c>
      <c r="P4">
        <v>2347.266218786523</v>
      </c>
      <c r="Q4">
        <v>1.8010645099426681</v>
      </c>
      <c r="R4" t="s">
        <v>109</v>
      </c>
      <c r="S4">
        <v>1303.266043958216</v>
      </c>
      <c r="T4">
        <v>0.63</v>
      </c>
      <c r="U4" t="s">
        <v>110</v>
      </c>
      <c r="V4">
        <v>0.63</v>
      </c>
      <c r="W4">
        <v>6</v>
      </c>
      <c r="X4">
        <v>20</v>
      </c>
      <c r="Y4">
        <v>14</v>
      </c>
      <c r="Z4">
        <v>0.24</v>
      </c>
      <c r="AA4">
        <v>31.536000000000001</v>
      </c>
    </row>
    <row r="5" spans="1:27" x14ac:dyDescent="0.25">
      <c r="A5" t="s">
        <v>98</v>
      </c>
      <c r="B5" t="s">
        <v>99</v>
      </c>
      <c r="C5" t="s">
        <v>100</v>
      </c>
      <c r="D5" t="s">
        <v>101</v>
      </c>
      <c r="E5" t="s">
        <v>102</v>
      </c>
      <c r="G5" t="s">
        <v>114</v>
      </c>
      <c r="H5" t="s">
        <v>104</v>
      </c>
      <c r="I5">
        <v>2016</v>
      </c>
      <c r="J5" t="s">
        <v>115</v>
      </c>
      <c r="K5" t="s">
        <v>106</v>
      </c>
      <c r="L5" t="s">
        <v>107</v>
      </c>
      <c r="M5" t="s">
        <v>116</v>
      </c>
      <c r="N5">
        <v>1</v>
      </c>
      <c r="O5">
        <v>2020</v>
      </c>
      <c r="P5">
        <v>2469.2021262559529</v>
      </c>
      <c r="Q5">
        <v>1.8010645099426681</v>
      </c>
      <c r="R5" t="s">
        <v>109</v>
      </c>
      <c r="S5">
        <v>1370.9681761118891</v>
      </c>
      <c r="T5">
        <v>0.66</v>
      </c>
      <c r="U5" t="s">
        <v>110</v>
      </c>
      <c r="V5">
        <v>0.66</v>
      </c>
      <c r="W5">
        <v>6</v>
      </c>
      <c r="X5">
        <v>20</v>
      </c>
      <c r="Y5">
        <v>14</v>
      </c>
      <c r="Z5">
        <v>0.24</v>
      </c>
      <c r="AA5">
        <v>31.536000000000001</v>
      </c>
    </row>
    <row r="6" spans="1:27" x14ac:dyDescent="0.25">
      <c r="A6" t="s">
        <v>98</v>
      </c>
      <c r="B6" t="s">
        <v>99</v>
      </c>
      <c r="C6" t="s">
        <v>100</v>
      </c>
      <c r="D6" t="s">
        <v>101</v>
      </c>
      <c r="E6" t="s">
        <v>102</v>
      </c>
      <c r="G6" t="s">
        <v>114</v>
      </c>
      <c r="H6" t="s">
        <v>104</v>
      </c>
      <c r="I6">
        <v>2023</v>
      </c>
      <c r="J6" t="s">
        <v>117</v>
      </c>
      <c r="K6" t="s">
        <v>106</v>
      </c>
      <c r="L6" t="s">
        <v>107</v>
      </c>
      <c r="M6" t="s">
        <v>118</v>
      </c>
      <c r="N6">
        <v>1</v>
      </c>
      <c r="O6">
        <v>2023</v>
      </c>
      <c r="P6">
        <v>3865.2553631628971</v>
      </c>
      <c r="Q6">
        <v>1.8010645099426681</v>
      </c>
      <c r="R6" t="s">
        <v>109</v>
      </c>
      <c r="S6">
        <v>2146.09490211205</v>
      </c>
      <c r="T6">
        <v>0.83499999999999996</v>
      </c>
      <c r="U6" t="s">
        <v>110</v>
      </c>
      <c r="V6">
        <v>0.83499999999999996</v>
      </c>
      <c r="W6">
        <v>6</v>
      </c>
      <c r="X6">
        <v>20</v>
      </c>
      <c r="Y6">
        <v>14</v>
      </c>
      <c r="Z6">
        <v>0.24</v>
      </c>
      <c r="AA6">
        <v>31.536000000000001</v>
      </c>
    </row>
    <row r="7" spans="1:27" x14ac:dyDescent="0.25">
      <c r="A7" t="s">
        <v>98</v>
      </c>
      <c r="B7" t="s">
        <v>99</v>
      </c>
      <c r="C7" t="s">
        <v>100</v>
      </c>
      <c r="D7" t="s">
        <v>101</v>
      </c>
      <c r="E7" t="s">
        <v>102</v>
      </c>
      <c r="G7" t="s">
        <v>119</v>
      </c>
      <c r="H7" t="s">
        <v>104</v>
      </c>
      <c r="I7">
        <v>2016</v>
      </c>
      <c r="J7" t="s">
        <v>120</v>
      </c>
      <c r="K7" t="s">
        <v>106</v>
      </c>
      <c r="L7" t="s">
        <v>107</v>
      </c>
      <c r="M7" t="s">
        <v>121</v>
      </c>
      <c r="N7">
        <v>0</v>
      </c>
      <c r="O7">
        <v>2020</v>
      </c>
      <c r="P7">
        <v>3749.5291546849662</v>
      </c>
      <c r="Q7">
        <v>1.8010645099426681</v>
      </c>
      <c r="R7" t="s">
        <v>109</v>
      </c>
      <c r="S7">
        <v>2081.8405637254609</v>
      </c>
      <c r="T7">
        <v>0.81</v>
      </c>
      <c r="U7" t="s">
        <v>110</v>
      </c>
      <c r="V7">
        <v>0.81</v>
      </c>
      <c r="W7">
        <v>6</v>
      </c>
      <c r="X7">
        <v>20</v>
      </c>
      <c r="Y7">
        <v>14</v>
      </c>
      <c r="Z7">
        <v>0.24</v>
      </c>
      <c r="AA7">
        <v>31.536000000000001</v>
      </c>
    </row>
    <row r="8" spans="1:27" x14ac:dyDescent="0.25">
      <c r="A8" t="s">
        <v>98</v>
      </c>
      <c r="B8" t="s">
        <v>99</v>
      </c>
      <c r="C8" t="s">
        <v>100</v>
      </c>
      <c r="D8" t="s">
        <v>101</v>
      </c>
      <c r="E8" t="s">
        <v>102</v>
      </c>
      <c r="G8" t="s">
        <v>119</v>
      </c>
      <c r="H8" t="s">
        <v>104</v>
      </c>
      <c r="I8">
        <v>2018</v>
      </c>
      <c r="J8" t="s">
        <v>122</v>
      </c>
      <c r="K8" t="s">
        <v>106</v>
      </c>
      <c r="L8" t="s">
        <v>107</v>
      </c>
      <c r="M8" t="s">
        <v>121</v>
      </c>
      <c r="N8">
        <v>1</v>
      </c>
      <c r="O8">
        <v>2020</v>
      </c>
      <c r="P8">
        <v>3749.5291546849662</v>
      </c>
      <c r="Q8">
        <v>1.8010645099426681</v>
      </c>
      <c r="R8" t="s">
        <v>109</v>
      </c>
      <c r="S8">
        <v>2081.8405637254609</v>
      </c>
      <c r="T8">
        <v>0.81</v>
      </c>
      <c r="U8" t="s">
        <v>110</v>
      </c>
      <c r="V8">
        <v>0.81</v>
      </c>
      <c r="W8">
        <v>6</v>
      </c>
      <c r="X8">
        <v>20</v>
      </c>
      <c r="Y8">
        <v>14</v>
      </c>
      <c r="Z8">
        <v>0.24</v>
      </c>
      <c r="AA8">
        <v>31.536000000000001</v>
      </c>
    </row>
    <row r="9" spans="1:27" x14ac:dyDescent="0.25">
      <c r="A9" t="s">
        <v>98</v>
      </c>
      <c r="B9" t="s">
        <v>99</v>
      </c>
      <c r="C9" t="s">
        <v>100</v>
      </c>
      <c r="D9" t="s">
        <v>101</v>
      </c>
      <c r="E9" t="s">
        <v>102</v>
      </c>
      <c r="G9" t="s">
        <v>119</v>
      </c>
      <c r="H9" t="s">
        <v>104</v>
      </c>
      <c r="I9">
        <v>2022</v>
      </c>
      <c r="J9" t="s">
        <v>123</v>
      </c>
      <c r="K9" t="s">
        <v>106</v>
      </c>
      <c r="L9" t="s">
        <v>107</v>
      </c>
      <c r="M9" t="s">
        <v>124</v>
      </c>
      <c r="N9">
        <v>1</v>
      </c>
      <c r="O9">
        <v>2022</v>
      </c>
      <c r="P9">
        <v>3749.5291546849662</v>
      </c>
      <c r="Q9">
        <v>1.8010645099426681</v>
      </c>
      <c r="R9" t="s">
        <v>109</v>
      </c>
      <c r="S9">
        <v>2081.8405637254609</v>
      </c>
      <c r="T9">
        <v>0.81</v>
      </c>
      <c r="U9" t="s">
        <v>110</v>
      </c>
      <c r="V9">
        <v>0.81</v>
      </c>
      <c r="W9">
        <v>6</v>
      </c>
      <c r="X9">
        <v>20</v>
      </c>
      <c r="Y9">
        <v>14</v>
      </c>
      <c r="Z9">
        <v>0.24</v>
      </c>
      <c r="AA9">
        <v>31.536000000000001</v>
      </c>
    </row>
    <row r="10" spans="1:27" x14ac:dyDescent="0.25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G10" t="s">
        <v>103</v>
      </c>
      <c r="H10" t="s">
        <v>125</v>
      </c>
      <c r="I10">
        <v>2016</v>
      </c>
      <c r="J10" t="s">
        <v>126</v>
      </c>
      <c r="K10" t="s">
        <v>127</v>
      </c>
      <c r="L10" t="s">
        <v>107</v>
      </c>
      <c r="M10" t="s">
        <v>128</v>
      </c>
      <c r="N10">
        <v>1</v>
      </c>
      <c r="O10">
        <v>2020</v>
      </c>
      <c r="P10">
        <v>945.00328288808089</v>
      </c>
      <c r="Q10">
        <v>1.8010645099426681</v>
      </c>
      <c r="R10" t="s">
        <v>109</v>
      </c>
      <c r="S10">
        <v>524.69152419096986</v>
      </c>
      <c r="T10">
        <v>0.91554999999999997</v>
      </c>
      <c r="U10" t="s">
        <v>110</v>
      </c>
      <c r="V10">
        <v>0.91554999999999997</v>
      </c>
      <c r="W10">
        <v>6</v>
      </c>
      <c r="X10">
        <v>20</v>
      </c>
      <c r="Y10">
        <v>14</v>
      </c>
      <c r="Z10">
        <v>0.24</v>
      </c>
      <c r="AA10">
        <v>31.536000000000001</v>
      </c>
    </row>
    <row r="11" spans="1:27" x14ac:dyDescent="0.25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G11" t="s">
        <v>111</v>
      </c>
      <c r="H11" t="s">
        <v>125</v>
      </c>
      <c r="I11">
        <v>2016</v>
      </c>
      <c r="J11" t="s">
        <v>129</v>
      </c>
      <c r="K11" t="s">
        <v>127</v>
      </c>
      <c r="L11" t="s">
        <v>107</v>
      </c>
      <c r="M11" t="s">
        <v>130</v>
      </c>
      <c r="N11">
        <v>1</v>
      </c>
      <c r="O11">
        <v>2020</v>
      </c>
      <c r="P11">
        <v>1036.455213490153</v>
      </c>
      <c r="Q11">
        <v>1.8010645099426681</v>
      </c>
      <c r="R11" t="s">
        <v>109</v>
      </c>
      <c r="S11">
        <v>575.46812330622504</v>
      </c>
      <c r="T11">
        <v>0.93</v>
      </c>
      <c r="U11" t="s">
        <v>110</v>
      </c>
      <c r="V11">
        <v>0.93</v>
      </c>
      <c r="W11">
        <v>6</v>
      </c>
      <c r="X11">
        <v>20</v>
      </c>
      <c r="Y11">
        <v>14</v>
      </c>
      <c r="Z11">
        <v>0.24</v>
      </c>
      <c r="AA11">
        <v>31.536000000000001</v>
      </c>
    </row>
    <row r="12" spans="1:27" x14ac:dyDescent="0.25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G12" t="s">
        <v>119</v>
      </c>
      <c r="H12" t="s">
        <v>125</v>
      </c>
      <c r="I12">
        <v>2016</v>
      </c>
      <c r="J12" t="s">
        <v>131</v>
      </c>
      <c r="K12" t="s">
        <v>127</v>
      </c>
      <c r="L12" t="s">
        <v>107</v>
      </c>
      <c r="M12" t="s">
        <v>132</v>
      </c>
      <c r="N12">
        <v>1</v>
      </c>
      <c r="O12">
        <v>2020</v>
      </c>
      <c r="P12">
        <v>1493.714866500515</v>
      </c>
      <c r="Q12">
        <v>1.8010645099426681</v>
      </c>
      <c r="R12" t="s">
        <v>109</v>
      </c>
      <c r="S12">
        <v>829.35111888250083</v>
      </c>
      <c r="T12">
        <v>0.95</v>
      </c>
      <c r="U12" t="s">
        <v>110</v>
      </c>
      <c r="V12">
        <v>0.95</v>
      </c>
      <c r="W12">
        <v>6</v>
      </c>
      <c r="X12">
        <v>20</v>
      </c>
      <c r="Y12">
        <v>14</v>
      </c>
      <c r="Z12">
        <v>0.24</v>
      </c>
      <c r="AA12">
        <v>31.536000000000001</v>
      </c>
    </row>
    <row r="13" spans="1:27" x14ac:dyDescent="0.25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G13" t="s">
        <v>133</v>
      </c>
      <c r="H13" t="s">
        <v>125</v>
      </c>
      <c r="I13">
        <v>2016</v>
      </c>
      <c r="J13" t="s">
        <v>134</v>
      </c>
      <c r="K13" t="s">
        <v>127</v>
      </c>
      <c r="L13" t="s">
        <v>107</v>
      </c>
      <c r="M13" t="s">
        <v>135</v>
      </c>
      <c r="N13">
        <v>1</v>
      </c>
      <c r="O13">
        <v>2020</v>
      </c>
      <c r="P13">
        <v>2530.170079990668</v>
      </c>
      <c r="Q13">
        <v>1.8010645099426681</v>
      </c>
      <c r="R13" t="s">
        <v>109</v>
      </c>
      <c r="S13">
        <v>1404.8192421887261</v>
      </c>
      <c r="T13">
        <v>3.28</v>
      </c>
      <c r="U13" t="s">
        <v>110</v>
      </c>
      <c r="V13">
        <v>3.28</v>
      </c>
      <c r="W13">
        <v>6</v>
      </c>
      <c r="X13">
        <v>20</v>
      </c>
      <c r="Y13">
        <v>14</v>
      </c>
      <c r="Z13">
        <v>0.24</v>
      </c>
      <c r="AA13">
        <v>31.536000000000001</v>
      </c>
    </row>
    <row r="14" spans="1:27" x14ac:dyDescent="0.25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G14" t="s">
        <v>133</v>
      </c>
      <c r="H14" t="s">
        <v>125</v>
      </c>
      <c r="I14">
        <v>2022</v>
      </c>
      <c r="J14" t="s">
        <v>136</v>
      </c>
      <c r="K14" t="s">
        <v>127</v>
      </c>
      <c r="L14" t="s">
        <v>107</v>
      </c>
      <c r="M14" t="s">
        <v>137</v>
      </c>
      <c r="N14">
        <v>1</v>
      </c>
      <c r="O14">
        <v>2022</v>
      </c>
      <c r="P14">
        <v>2530.170079990668</v>
      </c>
      <c r="Q14">
        <v>1.8010645099426681</v>
      </c>
      <c r="R14" t="s">
        <v>109</v>
      </c>
      <c r="S14">
        <v>1404.8192421887261</v>
      </c>
      <c r="T14">
        <v>3.28</v>
      </c>
      <c r="U14" t="s">
        <v>110</v>
      </c>
      <c r="V14">
        <v>3.28</v>
      </c>
      <c r="W14">
        <v>6</v>
      </c>
      <c r="X14">
        <v>20</v>
      </c>
      <c r="Y14">
        <v>14</v>
      </c>
      <c r="Z14">
        <v>0.24</v>
      </c>
      <c r="AA14">
        <v>31.536000000000001</v>
      </c>
    </row>
    <row r="15" spans="1:27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G15" t="s">
        <v>138</v>
      </c>
      <c r="H15" t="s">
        <v>125</v>
      </c>
      <c r="I15">
        <v>2016</v>
      </c>
      <c r="J15" t="s">
        <v>139</v>
      </c>
      <c r="K15" t="s">
        <v>127</v>
      </c>
      <c r="L15" t="s">
        <v>107</v>
      </c>
      <c r="M15" t="s">
        <v>140</v>
      </c>
      <c r="N15">
        <v>1</v>
      </c>
      <c r="O15">
        <v>2020</v>
      </c>
      <c r="P15">
        <v>2316.7822419191662</v>
      </c>
      <c r="Q15">
        <v>1.8010645099426681</v>
      </c>
      <c r="R15" t="s">
        <v>109</v>
      </c>
      <c r="S15">
        <v>1286.340510919797</v>
      </c>
      <c r="T15">
        <v>2</v>
      </c>
      <c r="U15" t="s">
        <v>110</v>
      </c>
      <c r="V15">
        <v>2</v>
      </c>
      <c r="W15">
        <v>6</v>
      </c>
      <c r="X15">
        <v>20</v>
      </c>
      <c r="Y15">
        <v>14</v>
      </c>
      <c r="Z15">
        <v>0.24</v>
      </c>
      <c r="AA15">
        <v>31.536000000000001</v>
      </c>
    </row>
    <row r="16" spans="1:27" x14ac:dyDescent="0.25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G16" t="s">
        <v>138</v>
      </c>
      <c r="H16" t="s">
        <v>125</v>
      </c>
      <c r="I16">
        <v>2022</v>
      </c>
      <c r="J16" t="s">
        <v>141</v>
      </c>
      <c r="K16" t="s">
        <v>127</v>
      </c>
      <c r="L16" t="s">
        <v>107</v>
      </c>
      <c r="M16" t="s">
        <v>142</v>
      </c>
      <c r="N16">
        <v>1</v>
      </c>
      <c r="O16">
        <v>2022</v>
      </c>
      <c r="P16">
        <v>2805.3845753706141</v>
      </c>
      <c r="Q16">
        <v>1.8010645099426681</v>
      </c>
      <c r="R16" t="s">
        <v>109</v>
      </c>
      <c r="S16">
        <v>1557.625815113038</v>
      </c>
      <c r="T16">
        <v>3.3</v>
      </c>
      <c r="U16" t="s">
        <v>110</v>
      </c>
      <c r="V16">
        <v>3.3</v>
      </c>
      <c r="W16">
        <v>6</v>
      </c>
      <c r="X16">
        <v>20</v>
      </c>
      <c r="Y16">
        <v>14</v>
      </c>
      <c r="Z16">
        <v>0.24</v>
      </c>
      <c r="AA16">
        <v>31.536000000000001</v>
      </c>
    </row>
    <row r="17" spans="1:27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G17" t="s">
        <v>143</v>
      </c>
      <c r="H17" t="s">
        <v>125</v>
      </c>
      <c r="I17">
        <v>2016</v>
      </c>
      <c r="J17" t="s">
        <v>144</v>
      </c>
      <c r="K17" t="s">
        <v>127</v>
      </c>
      <c r="L17" t="s">
        <v>107</v>
      </c>
      <c r="M17" t="s">
        <v>145</v>
      </c>
      <c r="N17">
        <v>1</v>
      </c>
      <c r="O17">
        <v>2020</v>
      </c>
      <c r="P17">
        <v>3017.9137098683868</v>
      </c>
      <c r="Q17">
        <v>1.8010645099426681</v>
      </c>
      <c r="R17" t="s">
        <v>109</v>
      </c>
      <c r="S17">
        <v>1675.6277708034199</v>
      </c>
      <c r="T17">
        <v>3.55</v>
      </c>
      <c r="U17" t="s">
        <v>110</v>
      </c>
      <c r="V17">
        <v>3.55</v>
      </c>
      <c r="W17">
        <v>6</v>
      </c>
      <c r="X17">
        <v>20</v>
      </c>
      <c r="Y17">
        <v>14</v>
      </c>
      <c r="Z17">
        <v>0.24</v>
      </c>
      <c r="AA17">
        <v>31.536000000000001</v>
      </c>
    </row>
    <row r="18" spans="1:27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G18" t="s">
        <v>143</v>
      </c>
      <c r="H18" t="s">
        <v>125</v>
      </c>
      <c r="I18">
        <v>2022</v>
      </c>
      <c r="J18" t="s">
        <v>146</v>
      </c>
      <c r="K18" t="s">
        <v>127</v>
      </c>
      <c r="L18" t="s">
        <v>107</v>
      </c>
      <c r="M18" t="s">
        <v>147</v>
      </c>
      <c r="N18">
        <v>1</v>
      </c>
      <c r="O18">
        <v>2022</v>
      </c>
      <c r="P18">
        <v>3017.9137098683868</v>
      </c>
      <c r="Q18">
        <v>1.8010645099426681</v>
      </c>
      <c r="R18" t="s">
        <v>109</v>
      </c>
      <c r="S18">
        <v>1675.6277708034199</v>
      </c>
      <c r="T18">
        <v>3.55</v>
      </c>
      <c r="U18" t="s">
        <v>110</v>
      </c>
      <c r="V18">
        <v>3.55</v>
      </c>
      <c r="W18">
        <v>6</v>
      </c>
      <c r="X18">
        <v>20</v>
      </c>
      <c r="Y18">
        <v>14</v>
      </c>
      <c r="Z18">
        <v>0.24</v>
      </c>
      <c r="AA18">
        <v>31.536000000000001</v>
      </c>
    </row>
    <row r="19" spans="1:27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G19" t="s">
        <v>103</v>
      </c>
      <c r="H19" t="s">
        <v>148</v>
      </c>
      <c r="I19">
        <v>2016</v>
      </c>
      <c r="J19" t="s">
        <v>149</v>
      </c>
      <c r="K19" t="s">
        <v>150</v>
      </c>
      <c r="L19" t="s">
        <v>107</v>
      </c>
      <c r="M19" t="s">
        <v>151</v>
      </c>
      <c r="N19">
        <v>1</v>
      </c>
      <c r="O19">
        <v>2020</v>
      </c>
      <c r="P19">
        <v>2926.4617792663148</v>
      </c>
      <c r="Q19">
        <v>1.8010645099426681</v>
      </c>
      <c r="R19" t="s">
        <v>109</v>
      </c>
      <c r="S19">
        <v>1624.8511716881651</v>
      </c>
      <c r="T19">
        <v>0.63670000000000004</v>
      </c>
      <c r="U19" t="s">
        <v>110</v>
      </c>
      <c r="V19">
        <v>0.63670000000000004</v>
      </c>
      <c r="W19">
        <v>6</v>
      </c>
      <c r="X19">
        <v>20</v>
      </c>
      <c r="Y19">
        <v>14</v>
      </c>
      <c r="Z19">
        <v>0.24</v>
      </c>
      <c r="AA19">
        <v>31.536000000000001</v>
      </c>
    </row>
    <row r="20" spans="1:27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G20" t="s">
        <v>111</v>
      </c>
      <c r="H20" t="s">
        <v>148</v>
      </c>
      <c r="I20">
        <v>2016</v>
      </c>
      <c r="J20" t="s">
        <v>152</v>
      </c>
      <c r="K20" t="s">
        <v>150</v>
      </c>
      <c r="L20" t="s">
        <v>107</v>
      </c>
      <c r="M20" t="s">
        <v>153</v>
      </c>
      <c r="N20">
        <v>1</v>
      </c>
      <c r="O20">
        <v>2020</v>
      </c>
      <c r="P20">
        <v>3109.3656404704602</v>
      </c>
      <c r="Q20">
        <v>1.8010645099426681</v>
      </c>
      <c r="R20" t="s">
        <v>109</v>
      </c>
      <c r="S20">
        <v>1726.404369918675</v>
      </c>
      <c r="T20">
        <v>0.67</v>
      </c>
      <c r="U20" t="s">
        <v>110</v>
      </c>
      <c r="V20">
        <v>0.67</v>
      </c>
      <c r="W20">
        <v>6</v>
      </c>
      <c r="X20">
        <v>20</v>
      </c>
      <c r="Y20">
        <v>14</v>
      </c>
      <c r="Z20">
        <v>0.24</v>
      </c>
      <c r="AA20">
        <v>31.536000000000001</v>
      </c>
    </row>
    <row r="21" spans="1:27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G21" t="s">
        <v>119</v>
      </c>
      <c r="H21" t="s">
        <v>148</v>
      </c>
      <c r="I21">
        <v>2016</v>
      </c>
      <c r="J21" t="s">
        <v>154</v>
      </c>
      <c r="K21" t="s">
        <v>150</v>
      </c>
      <c r="L21" t="s">
        <v>107</v>
      </c>
      <c r="M21" t="s">
        <v>155</v>
      </c>
      <c r="N21">
        <v>1</v>
      </c>
      <c r="O21">
        <v>2020</v>
      </c>
      <c r="P21">
        <v>3078.881663603102</v>
      </c>
      <c r="Q21">
        <v>1.8010645099426681</v>
      </c>
      <c r="R21" t="s">
        <v>109</v>
      </c>
      <c r="S21">
        <v>1709.4788368802569</v>
      </c>
      <c r="T21">
        <v>0.69</v>
      </c>
      <c r="U21" t="s">
        <v>110</v>
      </c>
      <c r="V21">
        <v>0.69</v>
      </c>
      <c r="W21">
        <v>6</v>
      </c>
      <c r="X21">
        <v>20</v>
      </c>
      <c r="Y21">
        <v>14</v>
      </c>
      <c r="Z21">
        <v>0.24</v>
      </c>
      <c r="AA21">
        <v>31.536000000000001</v>
      </c>
    </row>
    <row r="22" spans="1:27" x14ac:dyDescent="0.25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G22" t="s">
        <v>103</v>
      </c>
      <c r="H22" t="s">
        <v>156</v>
      </c>
      <c r="I22">
        <v>2016</v>
      </c>
      <c r="J22" t="s">
        <v>157</v>
      </c>
      <c r="K22" t="s">
        <v>158</v>
      </c>
      <c r="L22" t="s">
        <v>107</v>
      </c>
      <c r="M22" t="s">
        <v>159</v>
      </c>
      <c r="N22">
        <v>1</v>
      </c>
      <c r="O22">
        <v>2020</v>
      </c>
      <c r="P22">
        <v>2225.3303113170941</v>
      </c>
      <c r="Q22">
        <v>1.8010645099426681</v>
      </c>
      <c r="R22" t="s">
        <v>109</v>
      </c>
      <c r="S22">
        <v>1235.5639118045419</v>
      </c>
      <c r="T22">
        <v>0.61014999999999997</v>
      </c>
      <c r="U22" t="s">
        <v>110</v>
      </c>
      <c r="V22">
        <v>0.61014999999999997</v>
      </c>
      <c r="W22">
        <v>6</v>
      </c>
      <c r="X22">
        <v>20</v>
      </c>
      <c r="Y22">
        <v>14</v>
      </c>
      <c r="Z22">
        <v>0.24</v>
      </c>
      <c r="AA22">
        <v>31.536000000000001</v>
      </c>
    </row>
    <row r="23" spans="1:27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G23" t="s">
        <v>111</v>
      </c>
      <c r="H23" t="s">
        <v>156</v>
      </c>
      <c r="I23">
        <v>2016</v>
      </c>
      <c r="J23" t="s">
        <v>160</v>
      </c>
      <c r="K23" t="s">
        <v>158</v>
      </c>
      <c r="L23" t="s">
        <v>107</v>
      </c>
      <c r="M23" t="s">
        <v>161</v>
      </c>
      <c r="N23">
        <v>1</v>
      </c>
      <c r="O23">
        <v>2020</v>
      </c>
      <c r="P23">
        <v>2347.266218786523</v>
      </c>
      <c r="Q23">
        <v>1.8010645099426681</v>
      </c>
      <c r="R23" t="s">
        <v>109</v>
      </c>
      <c r="S23">
        <v>1303.266043958216</v>
      </c>
      <c r="T23">
        <v>0.63</v>
      </c>
      <c r="U23" t="s">
        <v>110</v>
      </c>
      <c r="V23">
        <v>0.63</v>
      </c>
      <c r="W23">
        <v>6</v>
      </c>
      <c r="X23">
        <v>20</v>
      </c>
      <c r="Y23">
        <v>14</v>
      </c>
      <c r="Z23">
        <v>0.24</v>
      </c>
      <c r="AA23">
        <v>31.536000000000001</v>
      </c>
    </row>
    <row r="24" spans="1:27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G24" t="s">
        <v>114</v>
      </c>
      <c r="H24" t="s">
        <v>156</v>
      </c>
      <c r="I24">
        <v>2016</v>
      </c>
      <c r="J24" t="s">
        <v>162</v>
      </c>
      <c r="K24" t="s">
        <v>158</v>
      </c>
      <c r="L24" t="s">
        <v>107</v>
      </c>
      <c r="M24" t="s">
        <v>163</v>
      </c>
      <c r="N24">
        <v>1</v>
      </c>
      <c r="O24">
        <v>2020</v>
      </c>
      <c r="P24">
        <v>2469.2021262559529</v>
      </c>
      <c r="Q24">
        <v>1.8010645099426681</v>
      </c>
      <c r="R24" t="s">
        <v>109</v>
      </c>
      <c r="S24">
        <v>1370.9681761118891</v>
      </c>
      <c r="T24">
        <v>0.66</v>
      </c>
      <c r="U24" t="s">
        <v>110</v>
      </c>
      <c r="V24">
        <v>0.66</v>
      </c>
      <c r="W24">
        <v>6</v>
      </c>
      <c r="X24">
        <v>20</v>
      </c>
      <c r="Y24">
        <v>14</v>
      </c>
      <c r="Z24">
        <v>0.24</v>
      </c>
      <c r="AA24">
        <v>31.536000000000001</v>
      </c>
    </row>
    <row r="25" spans="1:27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G25" t="s">
        <v>114</v>
      </c>
      <c r="H25" t="s">
        <v>156</v>
      </c>
      <c r="I25">
        <v>2023</v>
      </c>
      <c r="J25" t="s">
        <v>164</v>
      </c>
      <c r="K25" t="s">
        <v>158</v>
      </c>
      <c r="L25" t="s">
        <v>107</v>
      </c>
      <c r="M25" t="s">
        <v>165</v>
      </c>
      <c r="N25">
        <v>1</v>
      </c>
      <c r="O25">
        <v>2023</v>
      </c>
      <c r="P25">
        <v>3865.2553631628971</v>
      </c>
      <c r="Q25">
        <v>1.8010645099426681</v>
      </c>
      <c r="R25" t="s">
        <v>109</v>
      </c>
      <c r="S25">
        <v>2146.09490211205</v>
      </c>
      <c r="T25">
        <v>0.83499999999999996</v>
      </c>
      <c r="U25" t="s">
        <v>110</v>
      </c>
      <c r="V25">
        <v>0.83499999999999996</v>
      </c>
      <c r="W25">
        <v>6</v>
      </c>
      <c r="X25">
        <v>20</v>
      </c>
      <c r="Y25">
        <v>14</v>
      </c>
      <c r="Z25">
        <v>0.24</v>
      </c>
      <c r="AA25">
        <v>31.536000000000001</v>
      </c>
    </row>
    <row r="26" spans="1:27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G26" t="s">
        <v>119</v>
      </c>
      <c r="H26" t="s">
        <v>156</v>
      </c>
      <c r="I26">
        <v>2016</v>
      </c>
      <c r="J26" t="s">
        <v>166</v>
      </c>
      <c r="K26" t="s">
        <v>158</v>
      </c>
      <c r="L26" t="s">
        <v>107</v>
      </c>
      <c r="M26" t="s">
        <v>167</v>
      </c>
      <c r="N26">
        <v>0</v>
      </c>
      <c r="O26">
        <v>2020</v>
      </c>
      <c r="P26">
        <v>3749.5291546849662</v>
      </c>
      <c r="Q26">
        <v>1.8010645099426681</v>
      </c>
      <c r="R26" t="s">
        <v>109</v>
      </c>
      <c r="S26">
        <v>2081.8405637254609</v>
      </c>
      <c r="T26">
        <v>0.81</v>
      </c>
      <c r="U26" t="s">
        <v>110</v>
      </c>
      <c r="V26">
        <v>0.81</v>
      </c>
      <c r="W26">
        <v>6</v>
      </c>
      <c r="X26">
        <v>20</v>
      </c>
      <c r="Y26">
        <v>14</v>
      </c>
      <c r="Z26">
        <v>0.24</v>
      </c>
      <c r="AA26">
        <v>31.536000000000001</v>
      </c>
    </row>
    <row r="27" spans="1:27" x14ac:dyDescent="0.25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G27" t="s">
        <v>119</v>
      </c>
      <c r="H27" t="s">
        <v>156</v>
      </c>
      <c r="I27">
        <v>2018</v>
      </c>
      <c r="J27" t="s">
        <v>168</v>
      </c>
      <c r="K27" t="s">
        <v>158</v>
      </c>
      <c r="L27" t="s">
        <v>107</v>
      </c>
      <c r="M27" t="s">
        <v>167</v>
      </c>
      <c r="N27">
        <v>1</v>
      </c>
      <c r="O27">
        <v>2020</v>
      </c>
      <c r="P27">
        <v>3749.5291546849662</v>
      </c>
      <c r="Q27">
        <v>1.8010645099426681</v>
      </c>
      <c r="R27" t="s">
        <v>109</v>
      </c>
      <c r="S27">
        <v>2081.8405637254609</v>
      </c>
      <c r="T27">
        <v>0.81</v>
      </c>
      <c r="U27" t="s">
        <v>110</v>
      </c>
      <c r="V27">
        <v>0.81</v>
      </c>
      <c r="W27">
        <v>6</v>
      </c>
      <c r="X27">
        <v>20</v>
      </c>
      <c r="Y27">
        <v>14</v>
      </c>
      <c r="Z27">
        <v>0.24</v>
      </c>
      <c r="AA27">
        <v>31.536000000000001</v>
      </c>
    </row>
    <row r="28" spans="1:27" x14ac:dyDescent="0.25">
      <c r="A28" t="s">
        <v>98</v>
      </c>
      <c r="B28" t="s">
        <v>99</v>
      </c>
      <c r="C28" t="s">
        <v>100</v>
      </c>
      <c r="D28" t="s">
        <v>101</v>
      </c>
      <c r="E28" t="s">
        <v>102</v>
      </c>
      <c r="G28" t="s">
        <v>111</v>
      </c>
      <c r="H28" t="s">
        <v>169</v>
      </c>
      <c r="I28">
        <v>2016</v>
      </c>
      <c r="J28" t="s">
        <v>170</v>
      </c>
      <c r="K28" t="s">
        <v>171</v>
      </c>
      <c r="L28" t="s">
        <v>107</v>
      </c>
      <c r="M28" t="s">
        <v>172</v>
      </c>
      <c r="N28">
        <v>0</v>
      </c>
      <c r="O28">
        <v>2020</v>
      </c>
      <c r="P28">
        <v>13412.949821637279</v>
      </c>
      <c r="Q28">
        <v>1.8010645099426681</v>
      </c>
      <c r="R28" t="s">
        <v>109</v>
      </c>
      <c r="S28">
        <v>7447.2345369040904</v>
      </c>
      <c r="T28">
        <v>1</v>
      </c>
      <c r="U28" t="s">
        <v>173</v>
      </c>
      <c r="V28">
        <v>1</v>
      </c>
      <c r="W28">
        <v>15</v>
      </c>
      <c r="X28">
        <v>30</v>
      </c>
      <c r="Y28">
        <v>23</v>
      </c>
      <c r="Z28">
        <v>0.24</v>
      </c>
      <c r="AA28">
        <v>31.536000000000001</v>
      </c>
    </row>
    <row r="29" spans="1:27" x14ac:dyDescent="0.25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G29" t="s">
        <v>111</v>
      </c>
      <c r="H29" t="s">
        <v>169</v>
      </c>
      <c r="I29">
        <v>2020</v>
      </c>
      <c r="J29" t="s">
        <v>174</v>
      </c>
      <c r="K29" t="s">
        <v>171</v>
      </c>
      <c r="L29" t="s">
        <v>107</v>
      </c>
      <c r="M29" t="s">
        <v>172</v>
      </c>
      <c r="N29">
        <v>1</v>
      </c>
      <c r="O29">
        <v>2020</v>
      </c>
      <c r="P29">
        <v>13412.949821637279</v>
      </c>
      <c r="Q29">
        <v>1.8010645099426681</v>
      </c>
      <c r="R29" t="s">
        <v>109</v>
      </c>
      <c r="S29">
        <v>7447.2345369040904</v>
      </c>
      <c r="T29">
        <v>1</v>
      </c>
      <c r="U29" t="s">
        <v>173</v>
      </c>
      <c r="V29">
        <v>1</v>
      </c>
      <c r="W29">
        <v>15</v>
      </c>
      <c r="X29">
        <v>30</v>
      </c>
      <c r="Y29">
        <v>23</v>
      </c>
      <c r="Z29">
        <v>0.24</v>
      </c>
      <c r="AA29">
        <v>31.536000000000001</v>
      </c>
    </row>
    <row r="30" spans="1:27" x14ac:dyDescent="0.25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G30" t="s">
        <v>111</v>
      </c>
      <c r="H30" t="s">
        <v>169</v>
      </c>
      <c r="I30">
        <v>2023</v>
      </c>
      <c r="J30" t="s">
        <v>175</v>
      </c>
      <c r="K30" t="s">
        <v>171</v>
      </c>
      <c r="L30" t="s">
        <v>107</v>
      </c>
      <c r="M30" t="s">
        <v>176</v>
      </c>
      <c r="N30">
        <v>1</v>
      </c>
      <c r="O30">
        <v>2023</v>
      </c>
      <c r="P30">
        <v>13412.949821637279</v>
      </c>
      <c r="Q30">
        <v>1.8010645099426681</v>
      </c>
      <c r="R30" t="s">
        <v>109</v>
      </c>
      <c r="S30">
        <v>7447.2345369040904</v>
      </c>
      <c r="T30">
        <v>1</v>
      </c>
      <c r="U30" t="s">
        <v>173</v>
      </c>
      <c r="V30">
        <v>1</v>
      </c>
      <c r="W30">
        <v>15</v>
      </c>
      <c r="X30">
        <v>30</v>
      </c>
      <c r="Y30">
        <v>23</v>
      </c>
      <c r="Z30">
        <v>0.24</v>
      </c>
      <c r="AA30">
        <v>31.536000000000001</v>
      </c>
    </row>
    <row r="31" spans="1:27" x14ac:dyDescent="0.25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G31" t="s">
        <v>111</v>
      </c>
      <c r="H31" t="s">
        <v>169</v>
      </c>
      <c r="I31">
        <v>2024</v>
      </c>
      <c r="J31" t="s">
        <v>177</v>
      </c>
      <c r="K31" t="s">
        <v>171</v>
      </c>
      <c r="L31" t="s">
        <v>107</v>
      </c>
      <c r="M31" t="s">
        <v>178</v>
      </c>
      <c r="N31">
        <v>1</v>
      </c>
      <c r="O31">
        <v>2024</v>
      </c>
      <c r="P31">
        <v>13412.949821637279</v>
      </c>
      <c r="Q31">
        <v>1.8010645099426681</v>
      </c>
      <c r="R31" t="s">
        <v>109</v>
      </c>
      <c r="S31">
        <v>7447.2345369040904</v>
      </c>
      <c r="T31">
        <v>1</v>
      </c>
      <c r="U31" t="s">
        <v>173</v>
      </c>
      <c r="V31">
        <v>1</v>
      </c>
      <c r="W31">
        <v>15</v>
      </c>
      <c r="X31">
        <v>30</v>
      </c>
      <c r="Y31">
        <v>23</v>
      </c>
      <c r="Z31">
        <v>0.24</v>
      </c>
      <c r="AA31">
        <v>31.536000000000001</v>
      </c>
    </row>
    <row r="32" spans="1:27" x14ac:dyDescent="0.25">
      <c r="A32" t="s">
        <v>98</v>
      </c>
      <c r="B32" t="s">
        <v>99</v>
      </c>
      <c r="C32" t="s">
        <v>100</v>
      </c>
      <c r="D32" t="s">
        <v>101</v>
      </c>
      <c r="E32" t="s">
        <v>179</v>
      </c>
      <c r="F32" t="s">
        <v>180</v>
      </c>
      <c r="G32" t="s">
        <v>103</v>
      </c>
      <c r="H32" t="s">
        <v>125</v>
      </c>
      <c r="I32">
        <v>2016</v>
      </c>
      <c r="J32" t="s">
        <v>181</v>
      </c>
      <c r="K32" t="s">
        <v>127</v>
      </c>
      <c r="L32" t="s">
        <v>182</v>
      </c>
      <c r="M32" t="s">
        <v>183</v>
      </c>
      <c r="N32">
        <v>1</v>
      </c>
      <c r="O32">
        <v>2020</v>
      </c>
      <c r="P32">
        <v>2956.9457561336731</v>
      </c>
      <c r="Q32">
        <v>3.9515087003088269</v>
      </c>
      <c r="R32" t="s">
        <v>109</v>
      </c>
      <c r="S32">
        <v>748.30804646908018</v>
      </c>
      <c r="T32">
        <v>2.4032825322391562</v>
      </c>
      <c r="U32" t="s">
        <v>184</v>
      </c>
      <c r="V32">
        <v>2.4032825322391562</v>
      </c>
      <c r="W32">
        <v>9</v>
      </c>
      <c r="X32">
        <v>22</v>
      </c>
      <c r="Y32">
        <v>16</v>
      </c>
      <c r="Z32">
        <v>9.8628146588536497E-2</v>
      </c>
      <c r="AA32">
        <v>31.536000000000001</v>
      </c>
    </row>
    <row r="33" spans="1:27" x14ac:dyDescent="0.25">
      <c r="A33" t="s">
        <v>98</v>
      </c>
      <c r="B33" t="s">
        <v>99</v>
      </c>
      <c r="C33" t="s">
        <v>100</v>
      </c>
      <c r="D33" t="s">
        <v>101</v>
      </c>
      <c r="E33" t="s">
        <v>179</v>
      </c>
      <c r="F33" t="s">
        <v>180</v>
      </c>
      <c r="G33" t="s">
        <v>103</v>
      </c>
      <c r="H33" t="s">
        <v>125</v>
      </c>
      <c r="I33">
        <v>2023</v>
      </c>
      <c r="J33" t="s">
        <v>185</v>
      </c>
      <c r="K33" t="s">
        <v>127</v>
      </c>
      <c r="L33" t="s">
        <v>182</v>
      </c>
      <c r="M33" t="s">
        <v>186</v>
      </c>
      <c r="N33">
        <v>1</v>
      </c>
      <c r="O33">
        <v>2023</v>
      </c>
      <c r="P33">
        <v>2956.9457561336731</v>
      </c>
      <c r="Q33">
        <v>3.9515087003088269</v>
      </c>
      <c r="R33" t="s">
        <v>109</v>
      </c>
      <c r="S33">
        <v>748.30804646908018</v>
      </c>
      <c r="T33">
        <v>2.4032825322391562</v>
      </c>
      <c r="U33" t="s">
        <v>184</v>
      </c>
      <c r="V33">
        <v>2.4032825322391562</v>
      </c>
      <c r="W33">
        <v>9</v>
      </c>
      <c r="X33">
        <v>22</v>
      </c>
      <c r="Y33">
        <v>16</v>
      </c>
      <c r="Z33">
        <v>9.8628146588536497E-2</v>
      </c>
      <c r="AA33">
        <v>31.536000000000001</v>
      </c>
    </row>
    <row r="34" spans="1:27" x14ac:dyDescent="0.25">
      <c r="A34" t="s">
        <v>98</v>
      </c>
      <c r="B34" t="s">
        <v>99</v>
      </c>
      <c r="C34" t="s">
        <v>100</v>
      </c>
      <c r="D34" t="s">
        <v>101</v>
      </c>
      <c r="E34" t="s">
        <v>179</v>
      </c>
      <c r="F34" t="s">
        <v>180</v>
      </c>
      <c r="G34" t="s">
        <v>111</v>
      </c>
      <c r="H34" t="s">
        <v>125</v>
      </c>
      <c r="I34">
        <v>2016</v>
      </c>
      <c r="J34" t="s">
        <v>187</v>
      </c>
      <c r="K34" t="s">
        <v>127</v>
      </c>
      <c r="L34" t="s">
        <v>182</v>
      </c>
      <c r="M34" t="s">
        <v>188</v>
      </c>
      <c r="N34">
        <v>1</v>
      </c>
      <c r="O34">
        <v>2020</v>
      </c>
      <c r="P34">
        <v>3109.3656404704602</v>
      </c>
      <c r="Q34">
        <v>3.9515087003088269</v>
      </c>
      <c r="R34" t="s">
        <v>109</v>
      </c>
      <c r="S34">
        <v>786.88062618398124</v>
      </c>
      <c r="T34">
        <v>2.5205158264947238</v>
      </c>
      <c r="U34" t="s">
        <v>184</v>
      </c>
      <c r="V34">
        <v>2.5205158264947238</v>
      </c>
      <c r="W34">
        <v>9</v>
      </c>
      <c r="X34">
        <v>22</v>
      </c>
      <c r="Y34">
        <v>16</v>
      </c>
      <c r="Z34">
        <v>9.8628146588536497E-2</v>
      </c>
      <c r="AA34">
        <v>31.536000000000001</v>
      </c>
    </row>
    <row r="35" spans="1:27" x14ac:dyDescent="0.25">
      <c r="A35" t="s">
        <v>98</v>
      </c>
      <c r="B35" t="s">
        <v>99</v>
      </c>
      <c r="C35" t="s">
        <v>100</v>
      </c>
      <c r="D35" t="s">
        <v>101</v>
      </c>
      <c r="E35" t="s">
        <v>179</v>
      </c>
      <c r="F35" t="s">
        <v>180</v>
      </c>
      <c r="G35" t="s">
        <v>111</v>
      </c>
      <c r="H35" t="s">
        <v>125</v>
      </c>
      <c r="I35">
        <v>2023</v>
      </c>
      <c r="J35" t="s">
        <v>189</v>
      </c>
      <c r="K35" t="s">
        <v>127</v>
      </c>
      <c r="L35" t="s">
        <v>182</v>
      </c>
      <c r="M35" t="s">
        <v>190</v>
      </c>
      <c r="N35">
        <v>1</v>
      </c>
      <c r="O35">
        <v>2023</v>
      </c>
      <c r="P35">
        <v>3139.8496173378171</v>
      </c>
      <c r="Q35">
        <v>3.9515087003088269</v>
      </c>
      <c r="R35" t="s">
        <v>109</v>
      </c>
      <c r="S35">
        <v>794.59514212696138</v>
      </c>
      <c r="T35">
        <v>2.5791324736225092</v>
      </c>
      <c r="U35" t="s">
        <v>184</v>
      </c>
      <c r="V35">
        <v>2.5791324736225092</v>
      </c>
      <c r="W35">
        <v>9</v>
      </c>
      <c r="X35">
        <v>22</v>
      </c>
      <c r="Y35">
        <v>16</v>
      </c>
      <c r="Z35">
        <v>9.8628146588536497E-2</v>
      </c>
      <c r="AA35">
        <v>31.536000000000001</v>
      </c>
    </row>
    <row r="36" spans="1:27" x14ac:dyDescent="0.25">
      <c r="A36" t="s">
        <v>98</v>
      </c>
      <c r="B36" t="s">
        <v>99</v>
      </c>
      <c r="C36" t="s">
        <v>100</v>
      </c>
      <c r="D36" t="s">
        <v>101</v>
      </c>
      <c r="E36" t="s">
        <v>179</v>
      </c>
      <c r="F36" t="s">
        <v>180</v>
      </c>
      <c r="G36" t="s">
        <v>114</v>
      </c>
      <c r="H36" t="s">
        <v>125</v>
      </c>
      <c r="I36">
        <v>2016</v>
      </c>
      <c r="J36" t="s">
        <v>191</v>
      </c>
      <c r="K36" t="s">
        <v>127</v>
      </c>
      <c r="L36" t="s">
        <v>182</v>
      </c>
      <c r="M36" t="s">
        <v>192</v>
      </c>
      <c r="N36">
        <v>1</v>
      </c>
      <c r="O36">
        <v>2020</v>
      </c>
      <c r="P36">
        <v>3017.9137098683868</v>
      </c>
      <c r="Q36">
        <v>3.9515087003088269</v>
      </c>
      <c r="R36" t="s">
        <v>109</v>
      </c>
      <c r="S36">
        <v>763.73707835504058</v>
      </c>
      <c r="T36">
        <v>2.4912075029308318</v>
      </c>
      <c r="U36" t="s">
        <v>184</v>
      </c>
      <c r="V36">
        <v>2.4912075029308318</v>
      </c>
      <c r="W36">
        <v>9</v>
      </c>
      <c r="X36">
        <v>22</v>
      </c>
      <c r="Y36">
        <v>16</v>
      </c>
      <c r="Z36">
        <v>9.8628146588536497E-2</v>
      </c>
      <c r="AA36">
        <v>31.536000000000001</v>
      </c>
    </row>
    <row r="37" spans="1:27" x14ac:dyDescent="0.25">
      <c r="A37" t="s">
        <v>98</v>
      </c>
      <c r="B37" t="s">
        <v>99</v>
      </c>
      <c r="C37" t="s">
        <v>100</v>
      </c>
      <c r="D37" t="s">
        <v>101</v>
      </c>
      <c r="E37" t="s">
        <v>179</v>
      </c>
      <c r="F37" t="s">
        <v>180</v>
      </c>
      <c r="G37" t="s">
        <v>114</v>
      </c>
      <c r="H37" t="s">
        <v>125</v>
      </c>
      <c r="I37">
        <v>2022</v>
      </c>
      <c r="J37" t="s">
        <v>193</v>
      </c>
      <c r="K37" t="s">
        <v>127</v>
      </c>
      <c r="L37" t="s">
        <v>182</v>
      </c>
      <c r="M37" t="s">
        <v>194</v>
      </c>
      <c r="N37">
        <v>1</v>
      </c>
      <c r="O37">
        <v>2022</v>
      </c>
      <c r="P37">
        <v>3017.9137098683868</v>
      </c>
      <c r="Q37">
        <v>3.9515087003088269</v>
      </c>
      <c r="R37" t="s">
        <v>109</v>
      </c>
      <c r="S37">
        <v>763.73707835504058</v>
      </c>
      <c r="T37">
        <v>2.4912075029308318</v>
      </c>
      <c r="U37" t="s">
        <v>184</v>
      </c>
      <c r="V37">
        <v>2.4912075029308318</v>
      </c>
      <c r="W37">
        <v>9</v>
      </c>
      <c r="X37">
        <v>22</v>
      </c>
      <c r="Y37">
        <v>16</v>
      </c>
      <c r="Z37">
        <v>9.8628146588536497E-2</v>
      </c>
      <c r="AA37">
        <v>31.536000000000001</v>
      </c>
    </row>
    <row r="38" spans="1:27" x14ac:dyDescent="0.25">
      <c r="A38" t="s">
        <v>98</v>
      </c>
      <c r="B38" t="s">
        <v>99</v>
      </c>
      <c r="C38" t="s">
        <v>100</v>
      </c>
      <c r="D38" t="s">
        <v>101</v>
      </c>
      <c r="E38" t="s">
        <v>179</v>
      </c>
      <c r="F38" t="s">
        <v>180</v>
      </c>
      <c r="G38" t="s">
        <v>114</v>
      </c>
      <c r="H38" t="s">
        <v>125</v>
      </c>
      <c r="I38">
        <v>2023</v>
      </c>
      <c r="J38" t="s">
        <v>195</v>
      </c>
      <c r="K38" t="s">
        <v>127</v>
      </c>
      <c r="L38" t="s">
        <v>182</v>
      </c>
      <c r="M38" t="s">
        <v>196</v>
      </c>
      <c r="N38">
        <v>1</v>
      </c>
      <c r="O38">
        <v>2023</v>
      </c>
      <c r="P38">
        <v>3266.447780092843</v>
      </c>
      <c r="Q38">
        <v>3.9515087003088269</v>
      </c>
      <c r="R38" t="s">
        <v>109</v>
      </c>
      <c r="S38">
        <v>826.63307304310263</v>
      </c>
      <c r="T38">
        <v>2.6963657678780768</v>
      </c>
      <c r="U38" t="s">
        <v>184</v>
      </c>
      <c r="V38">
        <v>2.6963657678780768</v>
      </c>
      <c r="W38">
        <v>9</v>
      </c>
      <c r="X38">
        <v>22</v>
      </c>
      <c r="Y38">
        <v>16</v>
      </c>
      <c r="Z38">
        <v>9.8628146588536497E-2</v>
      </c>
      <c r="AA38">
        <v>31.536000000000001</v>
      </c>
    </row>
    <row r="39" spans="1:27" x14ac:dyDescent="0.25">
      <c r="A39" t="s">
        <v>98</v>
      </c>
      <c r="B39" t="s">
        <v>99</v>
      </c>
      <c r="C39" t="s">
        <v>100</v>
      </c>
      <c r="D39" t="s">
        <v>101</v>
      </c>
      <c r="E39" t="s">
        <v>179</v>
      </c>
      <c r="F39" t="s">
        <v>180</v>
      </c>
      <c r="G39" t="s">
        <v>119</v>
      </c>
      <c r="H39" t="s">
        <v>125</v>
      </c>
      <c r="I39">
        <v>2016</v>
      </c>
      <c r="J39" t="s">
        <v>197</v>
      </c>
      <c r="K39" t="s">
        <v>127</v>
      </c>
      <c r="L39" t="s">
        <v>182</v>
      </c>
      <c r="M39" t="s">
        <v>198</v>
      </c>
      <c r="N39">
        <v>1</v>
      </c>
      <c r="O39">
        <v>2020</v>
      </c>
      <c r="P39">
        <v>3719.0451778176089</v>
      </c>
      <c r="Q39">
        <v>3.9515087003088269</v>
      </c>
      <c r="R39" t="s">
        <v>109</v>
      </c>
      <c r="S39">
        <v>941.17094504358533</v>
      </c>
      <c r="T39">
        <v>2.6377491207502932</v>
      </c>
      <c r="U39" t="s">
        <v>184</v>
      </c>
      <c r="V39">
        <v>2.6377491207502932</v>
      </c>
      <c r="W39">
        <v>9</v>
      </c>
      <c r="X39">
        <v>22</v>
      </c>
      <c r="Y39">
        <v>16</v>
      </c>
      <c r="Z39">
        <v>9.8628146588536497E-2</v>
      </c>
      <c r="AA39">
        <v>31.536000000000001</v>
      </c>
    </row>
    <row r="40" spans="1:27" x14ac:dyDescent="0.25">
      <c r="A40" t="s">
        <v>98</v>
      </c>
      <c r="B40" t="s">
        <v>99</v>
      </c>
      <c r="C40" t="s">
        <v>100</v>
      </c>
      <c r="D40" t="s">
        <v>101</v>
      </c>
      <c r="E40" t="s">
        <v>179</v>
      </c>
      <c r="F40" t="s">
        <v>180</v>
      </c>
      <c r="G40" t="s">
        <v>119</v>
      </c>
      <c r="H40" t="s">
        <v>125</v>
      </c>
      <c r="I40">
        <v>2022</v>
      </c>
      <c r="J40" t="s">
        <v>199</v>
      </c>
      <c r="K40" t="s">
        <v>127</v>
      </c>
      <c r="L40" t="s">
        <v>182</v>
      </c>
      <c r="M40" t="s">
        <v>200</v>
      </c>
      <c r="N40">
        <v>1</v>
      </c>
      <c r="O40">
        <v>2022</v>
      </c>
      <c r="P40">
        <v>3914.784397702746</v>
      </c>
      <c r="Q40">
        <v>3.9515087003088269</v>
      </c>
      <c r="R40" t="s">
        <v>109</v>
      </c>
      <c r="S40">
        <v>990.70625794061618</v>
      </c>
      <c r="T40">
        <v>2.9308323563892151</v>
      </c>
      <c r="U40" t="s">
        <v>184</v>
      </c>
      <c r="V40">
        <v>2.9308323563892151</v>
      </c>
      <c r="W40">
        <v>9</v>
      </c>
      <c r="X40">
        <v>22</v>
      </c>
      <c r="Y40">
        <v>16</v>
      </c>
      <c r="Z40">
        <v>9.8628146588536497E-2</v>
      </c>
      <c r="AA40">
        <v>31.536000000000001</v>
      </c>
    </row>
    <row r="41" spans="1:27" x14ac:dyDescent="0.25">
      <c r="A41" t="s">
        <v>98</v>
      </c>
      <c r="B41" t="s">
        <v>99</v>
      </c>
      <c r="C41" t="s">
        <v>100</v>
      </c>
      <c r="D41" t="s">
        <v>101</v>
      </c>
      <c r="E41" t="s">
        <v>179</v>
      </c>
      <c r="F41" t="s">
        <v>201</v>
      </c>
      <c r="G41" t="s">
        <v>103</v>
      </c>
      <c r="H41" t="s">
        <v>125</v>
      </c>
      <c r="I41">
        <v>2016</v>
      </c>
      <c r="J41" t="s">
        <v>202</v>
      </c>
      <c r="K41" t="s">
        <v>127</v>
      </c>
      <c r="L41" t="s">
        <v>182</v>
      </c>
      <c r="M41" t="s">
        <v>203</v>
      </c>
      <c r="N41">
        <v>1</v>
      </c>
      <c r="O41">
        <v>2020</v>
      </c>
      <c r="P41">
        <v>9511.0007826155233</v>
      </c>
      <c r="Q41">
        <v>3.9515087003088269</v>
      </c>
      <c r="R41" t="s">
        <v>109</v>
      </c>
      <c r="S41">
        <v>2406.928974209824</v>
      </c>
      <c r="T41">
        <v>3.2</v>
      </c>
      <c r="U41" t="s">
        <v>184</v>
      </c>
      <c r="V41">
        <v>3.2</v>
      </c>
      <c r="W41">
        <v>8</v>
      </c>
      <c r="X41">
        <v>20.8</v>
      </c>
      <c r="Y41">
        <v>15</v>
      </c>
      <c r="Z41">
        <v>9.8628146588536497E-2</v>
      </c>
      <c r="AA41">
        <v>31.536000000000001</v>
      </c>
    </row>
    <row r="42" spans="1:27" x14ac:dyDescent="0.25">
      <c r="A42" t="s">
        <v>98</v>
      </c>
      <c r="B42" t="s">
        <v>99</v>
      </c>
      <c r="C42" t="s">
        <v>100</v>
      </c>
      <c r="D42" t="s">
        <v>101</v>
      </c>
      <c r="E42" t="s">
        <v>179</v>
      </c>
      <c r="F42" t="s">
        <v>201</v>
      </c>
      <c r="G42" t="s">
        <v>111</v>
      </c>
      <c r="H42" t="s">
        <v>125</v>
      </c>
      <c r="I42">
        <v>2016</v>
      </c>
      <c r="J42" t="s">
        <v>204</v>
      </c>
      <c r="K42" t="s">
        <v>127</v>
      </c>
      <c r="L42" t="s">
        <v>182</v>
      </c>
      <c r="M42" t="s">
        <v>205</v>
      </c>
      <c r="N42">
        <v>1</v>
      </c>
      <c r="O42">
        <v>2020</v>
      </c>
      <c r="P42">
        <v>9846.3245281564559</v>
      </c>
      <c r="Q42">
        <v>3.9515087003088269</v>
      </c>
      <c r="R42" t="s">
        <v>109</v>
      </c>
      <c r="S42">
        <v>2491.7886495826069</v>
      </c>
      <c r="T42">
        <v>3.7</v>
      </c>
      <c r="U42" t="s">
        <v>184</v>
      </c>
      <c r="V42">
        <v>3.7</v>
      </c>
      <c r="W42">
        <v>8</v>
      </c>
      <c r="X42">
        <v>20.8</v>
      </c>
      <c r="Y42">
        <v>15</v>
      </c>
      <c r="Z42">
        <v>9.8628146588536497E-2</v>
      </c>
      <c r="AA42">
        <v>31.536000000000001</v>
      </c>
    </row>
    <row r="43" spans="1:27" x14ac:dyDescent="0.25">
      <c r="A43" t="s">
        <v>98</v>
      </c>
      <c r="B43" t="s">
        <v>99</v>
      </c>
      <c r="C43" t="s">
        <v>100</v>
      </c>
      <c r="D43" t="s">
        <v>101</v>
      </c>
      <c r="E43" t="s">
        <v>179</v>
      </c>
      <c r="F43" t="s">
        <v>201</v>
      </c>
      <c r="G43" t="s">
        <v>114</v>
      </c>
      <c r="H43" t="s">
        <v>125</v>
      </c>
      <c r="I43">
        <v>2016</v>
      </c>
      <c r="J43" t="s">
        <v>206</v>
      </c>
      <c r="K43" t="s">
        <v>127</v>
      </c>
      <c r="L43" t="s">
        <v>182</v>
      </c>
      <c r="M43" t="s">
        <v>207</v>
      </c>
      <c r="N43">
        <v>0</v>
      </c>
      <c r="O43">
        <v>2020</v>
      </c>
      <c r="P43">
        <v>9846.3245281564559</v>
      </c>
      <c r="Q43">
        <v>3.9515087003088269</v>
      </c>
      <c r="R43" t="s">
        <v>109</v>
      </c>
      <c r="S43">
        <v>2491.7886495826069</v>
      </c>
      <c r="T43">
        <v>3.6</v>
      </c>
      <c r="U43" t="s">
        <v>184</v>
      </c>
      <c r="V43">
        <v>3.6</v>
      </c>
      <c r="W43">
        <v>8</v>
      </c>
      <c r="X43">
        <v>20.8</v>
      </c>
      <c r="Y43">
        <v>15</v>
      </c>
      <c r="Z43">
        <v>9.8628146588536497E-2</v>
      </c>
      <c r="AA43">
        <v>31.536000000000001</v>
      </c>
    </row>
    <row r="44" spans="1:27" x14ac:dyDescent="0.25">
      <c r="A44" t="s">
        <v>98</v>
      </c>
      <c r="B44" t="s">
        <v>99</v>
      </c>
      <c r="C44" t="s">
        <v>100</v>
      </c>
      <c r="D44" t="s">
        <v>101</v>
      </c>
      <c r="E44" t="s">
        <v>179</v>
      </c>
      <c r="F44" t="s">
        <v>201</v>
      </c>
      <c r="G44" t="s">
        <v>114</v>
      </c>
      <c r="H44" t="s">
        <v>125</v>
      </c>
      <c r="I44">
        <v>2020</v>
      </c>
      <c r="J44" t="s">
        <v>208</v>
      </c>
      <c r="K44" t="s">
        <v>127</v>
      </c>
      <c r="L44" t="s">
        <v>182</v>
      </c>
      <c r="M44" t="s">
        <v>207</v>
      </c>
      <c r="N44">
        <v>1</v>
      </c>
      <c r="O44">
        <v>2020</v>
      </c>
      <c r="P44">
        <v>9846.3245281564559</v>
      </c>
      <c r="Q44">
        <v>3.9515087003088269</v>
      </c>
      <c r="R44" t="s">
        <v>109</v>
      </c>
      <c r="S44">
        <v>2491.7886495826069</v>
      </c>
      <c r="T44">
        <v>3.6</v>
      </c>
      <c r="U44" t="s">
        <v>184</v>
      </c>
      <c r="V44">
        <v>3.6</v>
      </c>
      <c r="W44">
        <v>8</v>
      </c>
      <c r="X44">
        <v>20.8</v>
      </c>
      <c r="Y44">
        <v>15</v>
      </c>
      <c r="Z44">
        <v>9.8628146588536497E-2</v>
      </c>
      <c r="AA44">
        <v>31.536000000000001</v>
      </c>
    </row>
    <row r="45" spans="1:27" x14ac:dyDescent="0.25">
      <c r="A45" t="s">
        <v>98</v>
      </c>
      <c r="B45" t="s">
        <v>99</v>
      </c>
      <c r="C45" t="s">
        <v>100</v>
      </c>
      <c r="D45" t="s">
        <v>101</v>
      </c>
      <c r="E45" t="s">
        <v>179</v>
      </c>
      <c r="F45" t="s">
        <v>201</v>
      </c>
      <c r="G45" t="s">
        <v>114</v>
      </c>
      <c r="H45" t="s">
        <v>125</v>
      </c>
      <c r="I45">
        <v>2022</v>
      </c>
      <c r="J45" t="s">
        <v>209</v>
      </c>
      <c r="K45" t="s">
        <v>127</v>
      </c>
      <c r="L45" t="s">
        <v>182</v>
      </c>
      <c r="M45" t="s">
        <v>210</v>
      </c>
      <c r="N45">
        <v>1</v>
      </c>
      <c r="O45">
        <v>2022</v>
      </c>
      <c r="P45">
        <v>9846.3245281564559</v>
      </c>
      <c r="Q45">
        <v>3.9515087003088269</v>
      </c>
      <c r="R45" t="s">
        <v>109</v>
      </c>
      <c r="S45">
        <v>2491.7886495826069</v>
      </c>
      <c r="T45">
        <v>3.6</v>
      </c>
      <c r="U45" t="s">
        <v>184</v>
      </c>
      <c r="V45">
        <v>3.6</v>
      </c>
      <c r="W45">
        <v>8</v>
      </c>
      <c r="X45">
        <v>20.8</v>
      </c>
      <c r="Y45">
        <v>15</v>
      </c>
      <c r="Z45">
        <v>9.8628146588536497E-2</v>
      </c>
      <c r="AA45">
        <v>31.536000000000001</v>
      </c>
    </row>
    <row r="46" spans="1:27" x14ac:dyDescent="0.25">
      <c r="A46" t="s">
        <v>98</v>
      </c>
      <c r="B46" t="s">
        <v>99</v>
      </c>
      <c r="C46" t="s">
        <v>100</v>
      </c>
      <c r="D46" t="s">
        <v>101</v>
      </c>
      <c r="E46" t="s">
        <v>179</v>
      </c>
      <c r="F46" t="s">
        <v>201</v>
      </c>
      <c r="G46" t="s">
        <v>114</v>
      </c>
      <c r="H46" t="s">
        <v>125</v>
      </c>
      <c r="I46">
        <v>2023</v>
      </c>
      <c r="J46" t="s">
        <v>211</v>
      </c>
      <c r="K46" t="s">
        <v>127</v>
      </c>
      <c r="L46" t="s">
        <v>182</v>
      </c>
      <c r="M46" t="s">
        <v>212</v>
      </c>
      <c r="N46">
        <v>1</v>
      </c>
      <c r="O46">
        <v>2023</v>
      </c>
      <c r="P46">
        <v>9846.3245281564559</v>
      </c>
      <c r="Q46">
        <v>3.9515087003088269</v>
      </c>
      <c r="R46" t="s">
        <v>109</v>
      </c>
      <c r="S46">
        <v>2491.7886495826069</v>
      </c>
      <c r="T46">
        <v>3.6</v>
      </c>
      <c r="U46" t="s">
        <v>184</v>
      </c>
      <c r="V46">
        <v>3.6</v>
      </c>
      <c r="W46">
        <v>8</v>
      </c>
      <c r="X46">
        <v>20.8</v>
      </c>
      <c r="Y46">
        <v>15</v>
      </c>
      <c r="Z46">
        <v>9.8628146588536497E-2</v>
      </c>
      <c r="AA46">
        <v>31.536000000000001</v>
      </c>
    </row>
    <row r="47" spans="1:27" x14ac:dyDescent="0.25">
      <c r="A47" t="s">
        <v>98</v>
      </c>
      <c r="B47" t="s">
        <v>99</v>
      </c>
      <c r="C47" t="s">
        <v>100</v>
      </c>
      <c r="D47" t="s">
        <v>101</v>
      </c>
      <c r="E47" t="s">
        <v>179</v>
      </c>
      <c r="F47" t="s">
        <v>201</v>
      </c>
      <c r="G47" t="s">
        <v>114</v>
      </c>
      <c r="H47" t="s">
        <v>125</v>
      </c>
      <c r="I47">
        <v>2024</v>
      </c>
      <c r="J47" t="s">
        <v>213</v>
      </c>
      <c r="K47" t="s">
        <v>127</v>
      </c>
      <c r="L47" t="s">
        <v>182</v>
      </c>
      <c r="M47" t="s">
        <v>214</v>
      </c>
      <c r="N47">
        <v>1</v>
      </c>
      <c r="O47">
        <v>2024</v>
      </c>
      <c r="P47">
        <v>9846.3245281564559</v>
      </c>
      <c r="Q47">
        <v>3.9515087003088269</v>
      </c>
      <c r="R47" t="s">
        <v>109</v>
      </c>
      <c r="S47">
        <v>2491.7886495826069</v>
      </c>
      <c r="T47">
        <v>3.6</v>
      </c>
      <c r="U47" t="s">
        <v>184</v>
      </c>
      <c r="V47">
        <v>3.6</v>
      </c>
      <c r="W47">
        <v>8</v>
      </c>
      <c r="X47">
        <v>20.8</v>
      </c>
      <c r="Y47">
        <v>15</v>
      </c>
      <c r="Z47">
        <v>9.8628146588536497E-2</v>
      </c>
      <c r="AA47">
        <v>31.536000000000001</v>
      </c>
    </row>
    <row r="48" spans="1:27" x14ac:dyDescent="0.25">
      <c r="A48" t="s">
        <v>98</v>
      </c>
      <c r="B48" t="s">
        <v>99</v>
      </c>
      <c r="C48" t="s">
        <v>100</v>
      </c>
      <c r="D48" t="s">
        <v>101</v>
      </c>
      <c r="E48" t="s">
        <v>179</v>
      </c>
      <c r="F48" t="s">
        <v>201</v>
      </c>
      <c r="G48" t="s">
        <v>119</v>
      </c>
      <c r="H48" t="s">
        <v>125</v>
      </c>
      <c r="I48">
        <v>2016</v>
      </c>
      <c r="J48" t="s">
        <v>215</v>
      </c>
      <c r="K48" t="s">
        <v>127</v>
      </c>
      <c r="L48" t="s">
        <v>182</v>
      </c>
      <c r="M48" t="s">
        <v>216</v>
      </c>
      <c r="N48">
        <v>0</v>
      </c>
      <c r="O48">
        <v>2020</v>
      </c>
      <c r="P48">
        <v>10395.03611176889</v>
      </c>
      <c r="Q48">
        <v>3.9515087003088269</v>
      </c>
      <c r="R48" t="s">
        <v>109</v>
      </c>
      <c r="S48">
        <v>2630.6499365562509</v>
      </c>
      <c r="T48">
        <v>4.5</v>
      </c>
      <c r="U48" t="s">
        <v>184</v>
      </c>
      <c r="V48">
        <v>4.5</v>
      </c>
      <c r="W48">
        <v>8</v>
      </c>
      <c r="X48">
        <v>20.8</v>
      </c>
      <c r="Y48">
        <v>15</v>
      </c>
      <c r="Z48">
        <v>9.8628146588536497E-2</v>
      </c>
      <c r="AA48">
        <v>31.536000000000001</v>
      </c>
    </row>
    <row r="49" spans="1:27" x14ac:dyDescent="0.25">
      <c r="A49" t="s">
        <v>98</v>
      </c>
      <c r="B49" t="s">
        <v>99</v>
      </c>
      <c r="C49" t="s">
        <v>100</v>
      </c>
      <c r="D49" t="s">
        <v>101</v>
      </c>
      <c r="E49" t="s">
        <v>179</v>
      </c>
      <c r="F49" t="s">
        <v>201</v>
      </c>
      <c r="G49" t="s">
        <v>119</v>
      </c>
      <c r="H49" t="s">
        <v>125</v>
      </c>
      <c r="I49">
        <v>2020</v>
      </c>
      <c r="J49" t="s">
        <v>217</v>
      </c>
      <c r="K49" t="s">
        <v>127</v>
      </c>
      <c r="L49" t="s">
        <v>182</v>
      </c>
      <c r="M49" t="s">
        <v>216</v>
      </c>
      <c r="N49">
        <v>1</v>
      </c>
      <c r="O49">
        <v>2020</v>
      </c>
      <c r="P49">
        <v>10395.03611176889</v>
      </c>
      <c r="Q49">
        <v>3.9515087003088269</v>
      </c>
      <c r="R49" t="s">
        <v>109</v>
      </c>
      <c r="S49">
        <v>2630.6499365562509</v>
      </c>
      <c r="T49">
        <v>4.5</v>
      </c>
      <c r="U49" t="s">
        <v>184</v>
      </c>
      <c r="V49">
        <v>4.5</v>
      </c>
      <c r="W49">
        <v>8</v>
      </c>
      <c r="X49">
        <v>20.8</v>
      </c>
      <c r="Y49">
        <v>15</v>
      </c>
      <c r="Z49">
        <v>9.8628146588536497E-2</v>
      </c>
      <c r="AA49">
        <v>31.536000000000001</v>
      </c>
    </row>
    <row r="50" spans="1:27" x14ac:dyDescent="0.25">
      <c r="A50" t="s">
        <v>98</v>
      </c>
      <c r="B50" t="s">
        <v>99</v>
      </c>
      <c r="C50" t="s">
        <v>100</v>
      </c>
      <c r="D50" t="s">
        <v>101</v>
      </c>
      <c r="E50" t="s">
        <v>179</v>
      </c>
      <c r="F50" t="s">
        <v>201</v>
      </c>
      <c r="G50" t="s">
        <v>119</v>
      </c>
      <c r="H50" t="s">
        <v>125</v>
      </c>
      <c r="I50">
        <v>2022</v>
      </c>
      <c r="J50" t="s">
        <v>218</v>
      </c>
      <c r="K50" t="s">
        <v>127</v>
      </c>
      <c r="L50" t="s">
        <v>182</v>
      </c>
      <c r="M50" t="s">
        <v>219</v>
      </c>
      <c r="N50">
        <v>1</v>
      </c>
      <c r="O50">
        <v>2022</v>
      </c>
      <c r="P50">
        <v>10395.03611176889</v>
      </c>
      <c r="Q50">
        <v>3.9515087003088269</v>
      </c>
      <c r="R50" t="s">
        <v>109</v>
      </c>
      <c r="S50">
        <v>2630.6499365562509</v>
      </c>
      <c r="T50">
        <v>4.5</v>
      </c>
      <c r="U50" t="s">
        <v>184</v>
      </c>
      <c r="V50">
        <v>4.5</v>
      </c>
      <c r="W50">
        <v>8</v>
      </c>
      <c r="X50">
        <v>20.8</v>
      </c>
      <c r="Y50">
        <v>15</v>
      </c>
      <c r="Z50">
        <v>9.8628146588536497E-2</v>
      </c>
      <c r="AA50">
        <v>31.536000000000001</v>
      </c>
    </row>
    <row r="51" spans="1:27" x14ac:dyDescent="0.25">
      <c r="A51" t="s">
        <v>98</v>
      </c>
      <c r="B51" t="s">
        <v>99</v>
      </c>
      <c r="C51" t="s">
        <v>100</v>
      </c>
      <c r="D51" t="s">
        <v>101</v>
      </c>
      <c r="E51" t="s">
        <v>179</v>
      </c>
      <c r="F51" t="s">
        <v>201</v>
      </c>
      <c r="G51" t="s">
        <v>119</v>
      </c>
      <c r="H51" t="s">
        <v>125</v>
      </c>
      <c r="I51">
        <v>2023</v>
      </c>
      <c r="J51" t="s">
        <v>220</v>
      </c>
      <c r="K51" t="s">
        <v>127</v>
      </c>
      <c r="L51" t="s">
        <v>182</v>
      </c>
      <c r="M51" t="s">
        <v>221</v>
      </c>
      <c r="N51">
        <v>1</v>
      </c>
      <c r="O51">
        <v>2023</v>
      </c>
      <c r="P51">
        <v>10395.03611176889</v>
      </c>
      <c r="Q51">
        <v>3.9515087003088269</v>
      </c>
      <c r="R51" t="s">
        <v>109</v>
      </c>
      <c r="S51">
        <v>2630.6499365562509</v>
      </c>
      <c r="T51">
        <v>4.5</v>
      </c>
      <c r="U51" t="s">
        <v>184</v>
      </c>
      <c r="V51">
        <v>4.5</v>
      </c>
      <c r="W51">
        <v>8</v>
      </c>
      <c r="X51">
        <v>20.8</v>
      </c>
      <c r="Y51">
        <v>15</v>
      </c>
      <c r="Z51">
        <v>9.8628146588536497E-2</v>
      </c>
      <c r="AA51">
        <v>31.536000000000001</v>
      </c>
    </row>
    <row r="52" spans="1:27" x14ac:dyDescent="0.25">
      <c r="A52" t="s">
        <v>98</v>
      </c>
      <c r="B52" t="s">
        <v>99</v>
      </c>
      <c r="C52" t="s">
        <v>100</v>
      </c>
      <c r="D52" t="s">
        <v>101</v>
      </c>
      <c r="E52" t="s">
        <v>179</v>
      </c>
      <c r="F52" t="s">
        <v>201</v>
      </c>
      <c r="G52" t="s">
        <v>119</v>
      </c>
      <c r="H52" t="s">
        <v>125</v>
      </c>
      <c r="I52">
        <v>2024</v>
      </c>
      <c r="J52" t="s">
        <v>222</v>
      </c>
      <c r="K52" t="s">
        <v>127</v>
      </c>
      <c r="L52" t="s">
        <v>182</v>
      </c>
      <c r="M52" t="s">
        <v>223</v>
      </c>
      <c r="N52">
        <v>1</v>
      </c>
      <c r="O52">
        <v>2024</v>
      </c>
      <c r="P52">
        <v>10395.03611176889</v>
      </c>
      <c r="Q52">
        <v>3.9515087003088269</v>
      </c>
      <c r="R52" t="s">
        <v>109</v>
      </c>
      <c r="S52">
        <v>2630.6499365562509</v>
      </c>
      <c r="T52">
        <v>4.5</v>
      </c>
      <c r="U52" t="s">
        <v>184</v>
      </c>
      <c r="V52">
        <v>4.5</v>
      </c>
      <c r="W52">
        <v>8</v>
      </c>
      <c r="X52">
        <v>20.8</v>
      </c>
      <c r="Y52">
        <v>15</v>
      </c>
      <c r="Z52">
        <v>9.8628146588536497E-2</v>
      </c>
      <c r="AA52">
        <v>31.536000000000001</v>
      </c>
    </row>
    <row r="53" spans="1:27" x14ac:dyDescent="0.25">
      <c r="A53" t="s">
        <v>98</v>
      </c>
      <c r="B53" t="s">
        <v>99</v>
      </c>
      <c r="C53" t="s">
        <v>100</v>
      </c>
      <c r="D53" t="s">
        <v>101</v>
      </c>
      <c r="E53" t="s">
        <v>179</v>
      </c>
      <c r="F53" t="s">
        <v>224</v>
      </c>
      <c r="G53" t="s">
        <v>111</v>
      </c>
      <c r="H53" t="s">
        <v>125</v>
      </c>
      <c r="I53">
        <v>2016</v>
      </c>
      <c r="J53" t="s">
        <v>225</v>
      </c>
      <c r="K53" t="s">
        <v>127</v>
      </c>
      <c r="L53" t="s">
        <v>182</v>
      </c>
      <c r="M53" t="s">
        <v>226</v>
      </c>
      <c r="N53">
        <v>1</v>
      </c>
      <c r="O53">
        <v>2020</v>
      </c>
      <c r="P53">
        <v>1341.294982163728</v>
      </c>
      <c r="Q53">
        <v>3.9515087003088269</v>
      </c>
      <c r="R53" t="s">
        <v>109</v>
      </c>
      <c r="S53">
        <v>339.43870149112922</v>
      </c>
      <c r="T53">
        <v>0.98</v>
      </c>
      <c r="U53" t="s">
        <v>227</v>
      </c>
      <c r="V53">
        <v>0.98</v>
      </c>
      <c r="W53">
        <v>15</v>
      </c>
      <c r="X53">
        <v>30</v>
      </c>
      <c r="Y53">
        <v>23</v>
      </c>
      <c r="Z53">
        <v>9.8628146588536497E-2</v>
      </c>
      <c r="AA53">
        <v>31.536000000000001</v>
      </c>
    </row>
    <row r="54" spans="1:27" x14ac:dyDescent="0.25">
      <c r="A54" t="s">
        <v>98</v>
      </c>
      <c r="B54" t="s">
        <v>99</v>
      </c>
      <c r="C54" t="s">
        <v>100</v>
      </c>
      <c r="D54" t="s">
        <v>101</v>
      </c>
      <c r="E54" t="s">
        <v>179</v>
      </c>
      <c r="F54" t="s">
        <v>228</v>
      </c>
      <c r="G54" t="s">
        <v>103</v>
      </c>
      <c r="H54" t="s">
        <v>104</v>
      </c>
      <c r="I54">
        <v>2016</v>
      </c>
      <c r="J54" t="s">
        <v>229</v>
      </c>
      <c r="K54" t="s">
        <v>106</v>
      </c>
      <c r="L54" t="s">
        <v>182</v>
      </c>
      <c r="M54" t="s">
        <v>230</v>
      </c>
      <c r="N54">
        <v>1</v>
      </c>
      <c r="O54">
        <v>2020</v>
      </c>
      <c r="P54">
        <v>2499.6861031233111</v>
      </c>
      <c r="Q54">
        <v>3.9515087003088269</v>
      </c>
      <c r="R54" t="s">
        <v>109</v>
      </c>
      <c r="S54">
        <v>632.59030732437702</v>
      </c>
      <c r="T54">
        <v>0.8</v>
      </c>
      <c r="U54" t="s">
        <v>227</v>
      </c>
      <c r="V54">
        <v>0.8</v>
      </c>
      <c r="W54">
        <v>16</v>
      </c>
      <c r="X54">
        <v>27</v>
      </c>
      <c r="Y54">
        <v>22</v>
      </c>
      <c r="Z54">
        <v>9.8628146588536497E-2</v>
      </c>
      <c r="AA54">
        <v>31.536000000000001</v>
      </c>
    </row>
    <row r="55" spans="1:27" x14ac:dyDescent="0.25">
      <c r="A55" t="s">
        <v>98</v>
      </c>
      <c r="B55" t="s">
        <v>99</v>
      </c>
      <c r="C55" t="s">
        <v>100</v>
      </c>
      <c r="D55" t="s">
        <v>101</v>
      </c>
      <c r="E55" t="s">
        <v>179</v>
      </c>
      <c r="F55" t="s">
        <v>228</v>
      </c>
      <c r="G55" t="s">
        <v>111</v>
      </c>
      <c r="H55" t="s">
        <v>104</v>
      </c>
      <c r="I55">
        <v>2016</v>
      </c>
      <c r="J55" t="s">
        <v>231</v>
      </c>
      <c r="K55" t="s">
        <v>106</v>
      </c>
      <c r="L55" t="s">
        <v>182</v>
      </c>
      <c r="M55" t="s">
        <v>232</v>
      </c>
      <c r="N55">
        <v>0</v>
      </c>
      <c r="O55">
        <v>2020</v>
      </c>
      <c r="P55">
        <v>3182.5271849521182</v>
      </c>
      <c r="Q55">
        <v>3.9515087003088269</v>
      </c>
      <c r="R55" t="s">
        <v>109</v>
      </c>
      <c r="S55">
        <v>805.39546444713369</v>
      </c>
      <c r="T55">
        <v>0.92</v>
      </c>
      <c r="U55" t="s">
        <v>227</v>
      </c>
      <c r="V55">
        <v>0.92</v>
      </c>
      <c r="W55">
        <v>16</v>
      </c>
      <c r="X55">
        <v>27</v>
      </c>
      <c r="Y55">
        <v>22</v>
      </c>
      <c r="Z55">
        <v>9.8628146588536497E-2</v>
      </c>
      <c r="AA55">
        <v>31.536000000000001</v>
      </c>
    </row>
    <row r="56" spans="1:27" x14ac:dyDescent="0.25">
      <c r="A56" t="s">
        <v>98</v>
      </c>
      <c r="B56" t="s">
        <v>99</v>
      </c>
      <c r="C56" t="s">
        <v>100</v>
      </c>
      <c r="D56" t="s">
        <v>101</v>
      </c>
      <c r="E56" t="s">
        <v>179</v>
      </c>
      <c r="F56" t="s">
        <v>228</v>
      </c>
      <c r="G56" t="s">
        <v>111</v>
      </c>
      <c r="H56" t="s">
        <v>104</v>
      </c>
      <c r="I56">
        <v>2020</v>
      </c>
      <c r="J56" t="s">
        <v>233</v>
      </c>
      <c r="K56" t="s">
        <v>106</v>
      </c>
      <c r="L56" t="s">
        <v>182</v>
      </c>
      <c r="M56" t="s">
        <v>232</v>
      </c>
      <c r="N56">
        <v>1</v>
      </c>
      <c r="O56">
        <v>2020</v>
      </c>
      <c r="P56">
        <v>3365.4310461562618</v>
      </c>
      <c r="Q56">
        <v>3.9515087003088269</v>
      </c>
      <c r="R56" t="s">
        <v>109</v>
      </c>
      <c r="S56">
        <v>851.68256010501489</v>
      </c>
      <c r="T56">
        <v>0.92</v>
      </c>
      <c r="U56" t="s">
        <v>227</v>
      </c>
      <c r="V56">
        <v>0.92</v>
      </c>
      <c r="W56">
        <v>16</v>
      </c>
      <c r="X56">
        <v>27</v>
      </c>
      <c r="Y56">
        <v>22</v>
      </c>
      <c r="Z56">
        <v>9.8628146588536497E-2</v>
      </c>
      <c r="AA56">
        <v>31.536000000000001</v>
      </c>
    </row>
    <row r="57" spans="1:27" x14ac:dyDescent="0.25">
      <c r="A57" t="s">
        <v>98</v>
      </c>
      <c r="B57" t="s">
        <v>99</v>
      </c>
      <c r="C57" t="s">
        <v>100</v>
      </c>
      <c r="D57" t="s">
        <v>101</v>
      </c>
      <c r="E57" t="s">
        <v>179</v>
      </c>
      <c r="F57" t="s">
        <v>228</v>
      </c>
      <c r="G57" t="s">
        <v>114</v>
      </c>
      <c r="H57" t="s">
        <v>104</v>
      </c>
      <c r="I57">
        <v>2016</v>
      </c>
      <c r="J57" t="s">
        <v>234</v>
      </c>
      <c r="K57" t="s">
        <v>106</v>
      </c>
      <c r="L57" t="s">
        <v>182</v>
      </c>
      <c r="M57" t="s">
        <v>235</v>
      </c>
      <c r="N57">
        <v>1</v>
      </c>
      <c r="O57">
        <v>2020</v>
      </c>
      <c r="P57">
        <v>3341.043864662377</v>
      </c>
      <c r="Q57">
        <v>3.9515087003088269</v>
      </c>
      <c r="R57" t="s">
        <v>109</v>
      </c>
      <c r="S57">
        <v>845.51094735063077</v>
      </c>
      <c r="T57">
        <v>0.95</v>
      </c>
      <c r="U57" t="s">
        <v>227</v>
      </c>
      <c r="V57">
        <v>0.95</v>
      </c>
      <c r="W57">
        <v>16</v>
      </c>
      <c r="X57">
        <v>27</v>
      </c>
      <c r="Y57">
        <v>22</v>
      </c>
      <c r="Z57">
        <v>9.8628146588536497E-2</v>
      </c>
      <c r="AA57">
        <v>31.536000000000001</v>
      </c>
    </row>
    <row r="58" spans="1:27" x14ac:dyDescent="0.25">
      <c r="A58" t="s">
        <v>98</v>
      </c>
      <c r="B58" t="s">
        <v>99</v>
      </c>
      <c r="C58" t="s">
        <v>100</v>
      </c>
      <c r="D58" t="s">
        <v>101</v>
      </c>
      <c r="E58" t="s">
        <v>179</v>
      </c>
      <c r="F58" t="s">
        <v>228</v>
      </c>
      <c r="G58" t="s">
        <v>114</v>
      </c>
      <c r="H58" t="s">
        <v>104</v>
      </c>
      <c r="I58">
        <v>2022</v>
      </c>
      <c r="J58" t="s">
        <v>236</v>
      </c>
      <c r="K58" t="s">
        <v>106</v>
      </c>
      <c r="L58" t="s">
        <v>182</v>
      </c>
      <c r="M58" t="s">
        <v>237</v>
      </c>
      <c r="N58">
        <v>1</v>
      </c>
      <c r="O58">
        <v>2022</v>
      </c>
      <c r="P58">
        <v>3341.043864662377</v>
      </c>
      <c r="Q58">
        <v>3.9515087003088269</v>
      </c>
      <c r="R58" t="s">
        <v>109</v>
      </c>
      <c r="S58">
        <v>845.51094735063077</v>
      </c>
      <c r="T58">
        <v>0.95</v>
      </c>
      <c r="U58" t="s">
        <v>227</v>
      </c>
      <c r="V58">
        <v>0.95</v>
      </c>
      <c r="W58">
        <v>16</v>
      </c>
      <c r="X58">
        <v>27</v>
      </c>
      <c r="Y58">
        <v>22</v>
      </c>
      <c r="Z58">
        <v>9.8628146588536497E-2</v>
      </c>
      <c r="AA58">
        <v>31.536000000000001</v>
      </c>
    </row>
    <row r="59" spans="1:27" x14ac:dyDescent="0.25">
      <c r="A59" t="s">
        <v>98</v>
      </c>
      <c r="B59" t="s">
        <v>99</v>
      </c>
      <c r="C59" t="s">
        <v>100</v>
      </c>
      <c r="D59" t="s">
        <v>101</v>
      </c>
      <c r="E59" t="s">
        <v>179</v>
      </c>
      <c r="F59" t="s">
        <v>228</v>
      </c>
      <c r="G59" t="s">
        <v>119</v>
      </c>
      <c r="H59" t="s">
        <v>104</v>
      </c>
      <c r="I59">
        <v>2016</v>
      </c>
      <c r="J59" t="s">
        <v>238</v>
      </c>
      <c r="K59" t="s">
        <v>106</v>
      </c>
      <c r="L59" t="s">
        <v>182</v>
      </c>
      <c r="M59" t="s">
        <v>239</v>
      </c>
      <c r="N59">
        <v>1</v>
      </c>
      <c r="O59">
        <v>2020</v>
      </c>
      <c r="P59">
        <v>3706.851587070666</v>
      </c>
      <c r="Q59">
        <v>3.9515087003088269</v>
      </c>
      <c r="R59" t="s">
        <v>109</v>
      </c>
      <c r="S59">
        <v>938.08513866639316</v>
      </c>
      <c r="T59">
        <v>0.99</v>
      </c>
      <c r="U59" t="s">
        <v>227</v>
      </c>
      <c r="V59">
        <v>0.99</v>
      </c>
      <c r="W59">
        <v>16</v>
      </c>
      <c r="X59">
        <v>27</v>
      </c>
      <c r="Y59">
        <v>22</v>
      </c>
      <c r="Z59">
        <v>9.8628146588536497E-2</v>
      </c>
      <c r="AA59">
        <v>31.536000000000001</v>
      </c>
    </row>
    <row r="60" spans="1:27" x14ac:dyDescent="0.25">
      <c r="A60" t="s">
        <v>98</v>
      </c>
      <c r="B60" t="s">
        <v>99</v>
      </c>
      <c r="C60" t="s">
        <v>100</v>
      </c>
      <c r="D60" t="s">
        <v>101</v>
      </c>
      <c r="E60" t="s">
        <v>179</v>
      </c>
      <c r="F60" t="s">
        <v>228</v>
      </c>
      <c r="G60" t="s">
        <v>119</v>
      </c>
      <c r="H60" t="s">
        <v>104</v>
      </c>
      <c r="I60">
        <v>2022</v>
      </c>
      <c r="J60" t="s">
        <v>240</v>
      </c>
      <c r="K60" t="s">
        <v>106</v>
      </c>
      <c r="L60" t="s">
        <v>182</v>
      </c>
      <c r="M60" t="s">
        <v>241</v>
      </c>
      <c r="N60">
        <v>1</v>
      </c>
      <c r="O60">
        <v>2022</v>
      </c>
      <c r="P60">
        <v>3706.851587070666</v>
      </c>
      <c r="Q60">
        <v>3.9515087003088269</v>
      </c>
      <c r="R60" t="s">
        <v>109</v>
      </c>
      <c r="S60">
        <v>938.08513866639316</v>
      </c>
      <c r="T60">
        <v>0.99</v>
      </c>
      <c r="U60" t="s">
        <v>227</v>
      </c>
      <c r="V60">
        <v>0.99</v>
      </c>
      <c r="W60">
        <v>16</v>
      </c>
      <c r="X60">
        <v>27</v>
      </c>
      <c r="Y60">
        <v>22</v>
      </c>
      <c r="Z60">
        <v>9.8628146588536497E-2</v>
      </c>
      <c r="AA60">
        <v>31.536000000000001</v>
      </c>
    </row>
    <row r="61" spans="1:27" x14ac:dyDescent="0.25">
      <c r="A61" t="s">
        <v>98</v>
      </c>
      <c r="B61" t="s">
        <v>99</v>
      </c>
      <c r="C61" t="s">
        <v>100</v>
      </c>
      <c r="D61" t="s">
        <v>101</v>
      </c>
      <c r="E61" t="s">
        <v>179</v>
      </c>
      <c r="F61" t="s">
        <v>224</v>
      </c>
      <c r="G61" t="s">
        <v>103</v>
      </c>
      <c r="H61" t="s">
        <v>104</v>
      </c>
      <c r="I61">
        <v>2016</v>
      </c>
      <c r="J61" t="s">
        <v>242</v>
      </c>
      <c r="K61" t="s">
        <v>106</v>
      </c>
      <c r="L61" t="s">
        <v>182</v>
      </c>
      <c r="M61" t="s">
        <v>243</v>
      </c>
      <c r="N61">
        <v>1</v>
      </c>
      <c r="O61">
        <v>2020</v>
      </c>
      <c r="P61">
        <v>8748.901360931588</v>
      </c>
      <c r="Q61">
        <v>3.9515087003088269</v>
      </c>
      <c r="R61" t="s">
        <v>109</v>
      </c>
      <c r="S61">
        <v>2214.06607563532</v>
      </c>
      <c r="T61">
        <v>0.82</v>
      </c>
      <c r="U61" t="s">
        <v>227</v>
      </c>
      <c r="V61">
        <v>0.82</v>
      </c>
      <c r="W61">
        <v>20</v>
      </c>
      <c r="X61">
        <v>30</v>
      </c>
      <c r="Y61">
        <v>26</v>
      </c>
      <c r="Z61">
        <v>9.8628146588536497E-2</v>
      </c>
      <c r="AA61">
        <v>31.536000000000001</v>
      </c>
    </row>
    <row r="62" spans="1:27" x14ac:dyDescent="0.25">
      <c r="A62" t="s">
        <v>98</v>
      </c>
      <c r="B62" t="s">
        <v>99</v>
      </c>
      <c r="C62" t="s">
        <v>100</v>
      </c>
      <c r="D62" t="s">
        <v>101</v>
      </c>
      <c r="E62" t="s">
        <v>179</v>
      </c>
      <c r="F62" t="s">
        <v>224</v>
      </c>
      <c r="G62" t="s">
        <v>103</v>
      </c>
      <c r="H62" t="s">
        <v>104</v>
      </c>
      <c r="I62">
        <v>2021</v>
      </c>
      <c r="J62" t="s">
        <v>244</v>
      </c>
      <c r="K62" t="s">
        <v>106</v>
      </c>
      <c r="L62" t="s">
        <v>182</v>
      </c>
      <c r="M62" t="s">
        <v>245</v>
      </c>
      <c r="N62">
        <v>1</v>
      </c>
      <c r="O62">
        <v>2021</v>
      </c>
      <c r="P62">
        <v>8962.2891990030894</v>
      </c>
      <c r="Q62">
        <v>3.9515087003088269</v>
      </c>
      <c r="R62" t="s">
        <v>109</v>
      </c>
      <c r="S62">
        <v>2268.067687236181</v>
      </c>
      <c r="T62">
        <v>0.84</v>
      </c>
      <c r="U62" t="s">
        <v>227</v>
      </c>
      <c r="V62">
        <v>0.84</v>
      </c>
      <c r="W62">
        <v>20</v>
      </c>
      <c r="X62">
        <v>30</v>
      </c>
      <c r="Y62">
        <v>26</v>
      </c>
      <c r="Z62">
        <v>9.8628146588536497E-2</v>
      </c>
      <c r="AA62">
        <v>31.536000000000001</v>
      </c>
    </row>
    <row r="63" spans="1:27" x14ac:dyDescent="0.25">
      <c r="A63" t="s">
        <v>98</v>
      </c>
      <c r="B63" t="s">
        <v>99</v>
      </c>
      <c r="C63" t="s">
        <v>100</v>
      </c>
      <c r="D63" t="s">
        <v>101</v>
      </c>
      <c r="E63" t="s">
        <v>179</v>
      </c>
      <c r="F63" t="s">
        <v>224</v>
      </c>
      <c r="G63" t="s">
        <v>111</v>
      </c>
      <c r="H63" t="s">
        <v>104</v>
      </c>
      <c r="I63">
        <v>2016</v>
      </c>
      <c r="J63" t="s">
        <v>246</v>
      </c>
      <c r="K63" t="s">
        <v>106</v>
      </c>
      <c r="L63" t="s">
        <v>182</v>
      </c>
      <c r="M63" t="s">
        <v>247</v>
      </c>
      <c r="N63">
        <v>0</v>
      </c>
      <c r="O63">
        <v>2020</v>
      </c>
      <c r="P63">
        <v>8748.901360931588</v>
      </c>
      <c r="Q63">
        <v>3.9515087003088269</v>
      </c>
      <c r="R63" t="s">
        <v>109</v>
      </c>
      <c r="S63">
        <v>2214.06607563532</v>
      </c>
      <c r="T63">
        <v>0.82</v>
      </c>
      <c r="U63" t="s">
        <v>227</v>
      </c>
      <c r="V63">
        <v>0.82</v>
      </c>
      <c r="W63">
        <v>20</v>
      </c>
      <c r="X63">
        <v>30</v>
      </c>
      <c r="Y63">
        <v>26</v>
      </c>
      <c r="Z63">
        <v>9.8628146588536497E-2</v>
      </c>
      <c r="AA63">
        <v>31.536000000000001</v>
      </c>
    </row>
    <row r="64" spans="1:27" x14ac:dyDescent="0.25">
      <c r="A64" t="s">
        <v>98</v>
      </c>
      <c r="B64" t="s">
        <v>99</v>
      </c>
      <c r="C64" t="s">
        <v>100</v>
      </c>
      <c r="D64" t="s">
        <v>101</v>
      </c>
      <c r="E64" t="s">
        <v>179</v>
      </c>
      <c r="F64" t="s">
        <v>224</v>
      </c>
      <c r="G64" t="s">
        <v>111</v>
      </c>
      <c r="H64" t="s">
        <v>104</v>
      </c>
      <c r="I64">
        <v>2020</v>
      </c>
      <c r="J64" t="s">
        <v>248</v>
      </c>
      <c r="K64" t="s">
        <v>106</v>
      </c>
      <c r="L64" t="s">
        <v>182</v>
      </c>
      <c r="M64" t="s">
        <v>247</v>
      </c>
      <c r="N64">
        <v>1</v>
      </c>
      <c r="O64">
        <v>2020</v>
      </c>
      <c r="P64">
        <v>9602.4527132175954</v>
      </c>
      <c r="Q64">
        <v>3.9515087003088269</v>
      </c>
      <c r="R64" t="s">
        <v>109</v>
      </c>
      <c r="S64">
        <v>2430.0725220387649</v>
      </c>
      <c r="T64">
        <v>0.9</v>
      </c>
      <c r="U64" t="s">
        <v>227</v>
      </c>
      <c r="V64">
        <v>0.9</v>
      </c>
      <c r="W64">
        <v>20</v>
      </c>
      <c r="X64">
        <v>30</v>
      </c>
      <c r="Y64">
        <v>26</v>
      </c>
      <c r="Z64">
        <v>9.8628146588536497E-2</v>
      </c>
      <c r="AA64">
        <v>31.536000000000001</v>
      </c>
    </row>
    <row r="65" spans="1:27" x14ac:dyDescent="0.25">
      <c r="A65" t="s">
        <v>98</v>
      </c>
      <c r="B65" t="s">
        <v>99</v>
      </c>
      <c r="C65" t="s">
        <v>100</v>
      </c>
      <c r="D65" t="s">
        <v>101</v>
      </c>
      <c r="E65" t="s">
        <v>179</v>
      </c>
      <c r="F65" t="s">
        <v>224</v>
      </c>
      <c r="G65" t="s">
        <v>114</v>
      </c>
      <c r="H65" t="s">
        <v>104</v>
      </c>
      <c r="I65">
        <v>2016</v>
      </c>
      <c r="J65" t="s">
        <v>249</v>
      </c>
      <c r="K65" t="s">
        <v>106</v>
      </c>
      <c r="L65" t="s">
        <v>182</v>
      </c>
      <c r="M65" t="s">
        <v>250</v>
      </c>
      <c r="N65">
        <v>1</v>
      </c>
      <c r="O65">
        <v>2020</v>
      </c>
      <c r="P65">
        <v>9602.4527132175954</v>
      </c>
      <c r="Q65">
        <v>3.9515087003088269</v>
      </c>
      <c r="R65" t="s">
        <v>109</v>
      </c>
      <c r="S65">
        <v>2430.0725220387649</v>
      </c>
      <c r="T65">
        <v>0.9</v>
      </c>
      <c r="U65" t="s">
        <v>227</v>
      </c>
      <c r="V65">
        <v>0.9</v>
      </c>
      <c r="W65">
        <v>20</v>
      </c>
      <c r="X65">
        <v>30</v>
      </c>
      <c r="Y65">
        <v>26</v>
      </c>
      <c r="Z65">
        <v>9.8628146588536497E-2</v>
      </c>
      <c r="AA65">
        <v>31.536000000000001</v>
      </c>
    </row>
    <row r="66" spans="1:27" x14ac:dyDescent="0.25">
      <c r="A66" t="s">
        <v>98</v>
      </c>
      <c r="B66" t="s">
        <v>99</v>
      </c>
      <c r="C66" t="s">
        <v>100</v>
      </c>
      <c r="D66" t="s">
        <v>101</v>
      </c>
      <c r="E66" t="s">
        <v>179</v>
      </c>
      <c r="F66" t="s">
        <v>224</v>
      </c>
      <c r="G66" t="s">
        <v>119</v>
      </c>
      <c r="H66" t="s">
        <v>104</v>
      </c>
      <c r="I66">
        <v>2016</v>
      </c>
      <c r="J66" t="s">
        <v>251</v>
      </c>
      <c r="K66" t="s">
        <v>106</v>
      </c>
      <c r="L66" t="s">
        <v>182</v>
      </c>
      <c r="M66" t="s">
        <v>252</v>
      </c>
      <c r="N66">
        <v>1</v>
      </c>
      <c r="O66">
        <v>2020</v>
      </c>
      <c r="P66">
        <v>10882.779741646609</v>
      </c>
      <c r="Q66">
        <v>3.9515087003088269</v>
      </c>
      <c r="R66" t="s">
        <v>109</v>
      </c>
      <c r="S66">
        <v>2754.082191643934</v>
      </c>
      <c r="T66">
        <v>0.97</v>
      </c>
      <c r="U66" t="s">
        <v>227</v>
      </c>
      <c r="V66">
        <v>0.97</v>
      </c>
      <c r="W66">
        <v>20</v>
      </c>
      <c r="X66">
        <v>30</v>
      </c>
      <c r="Y66">
        <v>26</v>
      </c>
      <c r="Z66">
        <v>9.8628146588536497E-2</v>
      </c>
      <c r="AA66">
        <v>31.536000000000001</v>
      </c>
    </row>
    <row r="67" spans="1:27" x14ac:dyDescent="0.25">
      <c r="A67" t="s">
        <v>98</v>
      </c>
      <c r="B67" t="s">
        <v>99</v>
      </c>
      <c r="C67" t="s">
        <v>100</v>
      </c>
      <c r="D67" t="s">
        <v>101</v>
      </c>
      <c r="E67" t="s">
        <v>179</v>
      </c>
      <c r="F67" t="s">
        <v>224</v>
      </c>
      <c r="G67" t="s">
        <v>119</v>
      </c>
      <c r="H67" t="s">
        <v>104</v>
      </c>
      <c r="I67">
        <v>2022</v>
      </c>
      <c r="J67" t="s">
        <v>253</v>
      </c>
      <c r="K67" t="s">
        <v>106</v>
      </c>
      <c r="L67" t="s">
        <v>182</v>
      </c>
      <c r="M67" t="s">
        <v>254</v>
      </c>
      <c r="N67">
        <v>1</v>
      </c>
      <c r="O67">
        <v>2022</v>
      </c>
      <c r="P67">
        <v>10882.779741646609</v>
      </c>
      <c r="Q67">
        <v>3.9515087003088269</v>
      </c>
      <c r="R67" t="s">
        <v>109</v>
      </c>
      <c r="S67">
        <v>2754.082191643934</v>
      </c>
      <c r="T67">
        <v>0.97</v>
      </c>
      <c r="U67" t="s">
        <v>227</v>
      </c>
      <c r="V67">
        <v>0.97</v>
      </c>
      <c r="W67">
        <v>20</v>
      </c>
      <c r="X67">
        <v>30</v>
      </c>
      <c r="Y67">
        <v>26</v>
      </c>
      <c r="Z67">
        <v>9.8628146588536497E-2</v>
      </c>
      <c r="AA67">
        <v>31.536000000000001</v>
      </c>
    </row>
    <row r="68" spans="1:27" x14ac:dyDescent="0.25">
      <c r="A68" t="s">
        <v>98</v>
      </c>
      <c r="B68" t="s">
        <v>99</v>
      </c>
      <c r="C68" t="s">
        <v>100</v>
      </c>
      <c r="D68" t="s">
        <v>101</v>
      </c>
      <c r="E68" t="s">
        <v>179</v>
      </c>
      <c r="F68" t="s">
        <v>228</v>
      </c>
      <c r="G68" t="s">
        <v>103</v>
      </c>
      <c r="H68" t="s">
        <v>255</v>
      </c>
      <c r="I68">
        <v>2016</v>
      </c>
      <c r="J68" t="s">
        <v>256</v>
      </c>
      <c r="K68" t="s">
        <v>257</v>
      </c>
      <c r="L68" t="s">
        <v>182</v>
      </c>
      <c r="M68" t="s">
        <v>258</v>
      </c>
      <c r="N68">
        <v>1</v>
      </c>
      <c r="O68">
        <v>2020</v>
      </c>
      <c r="P68">
        <v>5029.8561831139787</v>
      </c>
      <c r="Q68">
        <v>3.9515087003088269</v>
      </c>
      <c r="R68" t="s">
        <v>109</v>
      </c>
      <c r="S68">
        <v>1272.895130591734</v>
      </c>
      <c r="T68">
        <v>0.83</v>
      </c>
      <c r="U68" t="s">
        <v>227</v>
      </c>
      <c r="V68">
        <v>0.83</v>
      </c>
      <c r="W68">
        <v>19.7</v>
      </c>
      <c r="X68">
        <v>33.1</v>
      </c>
      <c r="Y68">
        <v>27</v>
      </c>
      <c r="Z68">
        <v>9.8628146588536497E-2</v>
      </c>
      <c r="AA68">
        <v>31.536000000000001</v>
      </c>
    </row>
    <row r="69" spans="1:27" x14ac:dyDescent="0.25">
      <c r="A69" t="s">
        <v>98</v>
      </c>
      <c r="B69" t="s">
        <v>99</v>
      </c>
      <c r="C69" t="s">
        <v>100</v>
      </c>
      <c r="D69" t="s">
        <v>101</v>
      </c>
      <c r="E69" t="s">
        <v>179</v>
      </c>
      <c r="F69" t="s">
        <v>228</v>
      </c>
      <c r="G69" t="s">
        <v>111</v>
      </c>
      <c r="H69" t="s">
        <v>255</v>
      </c>
      <c r="I69">
        <v>2016</v>
      </c>
      <c r="J69" t="s">
        <v>259</v>
      </c>
      <c r="K69" t="s">
        <v>257</v>
      </c>
      <c r="L69" t="s">
        <v>182</v>
      </c>
      <c r="M69" t="s">
        <v>260</v>
      </c>
      <c r="N69">
        <v>0</v>
      </c>
      <c r="O69">
        <v>2020</v>
      </c>
      <c r="P69">
        <v>5029.8561831139787</v>
      </c>
      <c r="Q69">
        <v>3.9515087003088269</v>
      </c>
      <c r="R69" t="s">
        <v>109</v>
      </c>
      <c r="S69">
        <v>1272.895130591734</v>
      </c>
      <c r="T69">
        <v>0.83</v>
      </c>
      <c r="U69" t="s">
        <v>227</v>
      </c>
      <c r="V69">
        <v>0.83</v>
      </c>
      <c r="W69">
        <v>19.7</v>
      </c>
      <c r="X69">
        <v>33.1</v>
      </c>
      <c r="Y69">
        <v>27</v>
      </c>
      <c r="Z69">
        <v>9.8628146588536497E-2</v>
      </c>
      <c r="AA69">
        <v>31.536000000000001</v>
      </c>
    </row>
    <row r="70" spans="1:27" x14ac:dyDescent="0.25">
      <c r="A70" t="s">
        <v>98</v>
      </c>
      <c r="B70" t="s">
        <v>99</v>
      </c>
      <c r="C70" t="s">
        <v>100</v>
      </c>
      <c r="D70" t="s">
        <v>101</v>
      </c>
      <c r="E70" t="s">
        <v>179</v>
      </c>
      <c r="F70" t="s">
        <v>228</v>
      </c>
      <c r="G70" t="s">
        <v>111</v>
      </c>
      <c r="H70" t="s">
        <v>255</v>
      </c>
      <c r="I70">
        <v>2020</v>
      </c>
      <c r="J70" t="s">
        <v>261</v>
      </c>
      <c r="K70" t="s">
        <v>257</v>
      </c>
      <c r="L70" t="s">
        <v>182</v>
      </c>
      <c r="M70" t="s">
        <v>260</v>
      </c>
      <c r="N70">
        <v>1</v>
      </c>
      <c r="O70">
        <v>2020</v>
      </c>
      <c r="P70">
        <v>5151.7920905834089</v>
      </c>
      <c r="Q70">
        <v>3.9515087003088269</v>
      </c>
      <c r="R70" t="s">
        <v>109</v>
      </c>
      <c r="S70">
        <v>1303.753194363655</v>
      </c>
      <c r="T70">
        <v>0.84</v>
      </c>
      <c r="U70" t="s">
        <v>227</v>
      </c>
      <c r="V70">
        <v>0.84</v>
      </c>
      <c r="W70">
        <v>19.7</v>
      </c>
      <c r="X70">
        <v>33.1</v>
      </c>
      <c r="Y70">
        <v>27</v>
      </c>
      <c r="Z70">
        <v>9.8628146588536497E-2</v>
      </c>
      <c r="AA70">
        <v>31.536000000000001</v>
      </c>
    </row>
    <row r="71" spans="1:27" x14ac:dyDescent="0.25">
      <c r="A71" t="s">
        <v>98</v>
      </c>
      <c r="B71" t="s">
        <v>99</v>
      </c>
      <c r="C71" t="s">
        <v>100</v>
      </c>
      <c r="D71" t="s">
        <v>101</v>
      </c>
      <c r="E71" t="s">
        <v>179</v>
      </c>
      <c r="F71" t="s">
        <v>228</v>
      </c>
      <c r="G71" t="s">
        <v>114</v>
      </c>
      <c r="H71" t="s">
        <v>255</v>
      </c>
      <c r="I71">
        <v>2016</v>
      </c>
      <c r="J71" t="s">
        <v>262</v>
      </c>
      <c r="K71" t="s">
        <v>257</v>
      </c>
      <c r="L71" t="s">
        <v>182</v>
      </c>
      <c r="M71" t="s">
        <v>263</v>
      </c>
      <c r="N71">
        <v>1</v>
      </c>
      <c r="O71">
        <v>2020</v>
      </c>
      <c r="P71">
        <v>5304.2119749201956</v>
      </c>
      <c r="Q71">
        <v>3.9515087003088269</v>
      </c>
      <c r="R71" t="s">
        <v>109</v>
      </c>
      <c r="S71">
        <v>1342.3257740785559</v>
      </c>
      <c r="T71">
        <v>0.85</v>
      </c>
      <c r="U71" t="s">
        <v>227</v>
      </c>
      <c r="V71">
        <v>0.85</v>
      </c>
      <c r="W71">
        <v>19.7</v>
      </c>
      <c r="X71">
        <v>33.1</v>
      </c>
      <c r="Y71">
        <v>27</v>
      </c>
      <c r="Z71">
        <v>9.8628146588536497E-2</v>
      </c>
      <c r="AA71">
        <v>31.536000000000001</v>
      </c>
    </row>
    <row r="72" spans="1:27" x14ac:dyDescent="0.25">
      <c r="A72" t="s">
        <v>98</v>
      </c>
      <c r="B72" t="s">
        <v>99</v>
      </c>
      <c r="C72" t="s">
        <v>100</v>
      </c>
      <c r="D72" t="s">
        <v>101</v>
      </c>
      <c r="E72" t="s">
        <v>179</v>
      </c>
      <c r="F72" t="s">
        <v>228</v>
      </c>
      <c r="G72" t="s">
        <v>119</v>
      </c>
      <c r="H72" t="s">
        <v>255</v>
      </c>
      <c r="I72">
        <v>2016</v>
      </c>
      <c r="J72" t="s">
        <v>264</v>
      </c>
      <c r="K72" t="s">
        <v>257</v>
      </c>
      <c r="L72" t="s">
        <v>182</v>
      </c>
      <c r="M72" t="s">
        <v>265</v>
      </c>
      <c r="N72">
        <v>0</v>
      </c>
      <c r="O72">
        <v>2020</v>
      </c>
      <c r="P72">
        <v>7864.8660317782214</v>
      </c>
      <c r="Q72">
        <v>3.9515087003088269</v>
      </c>
      <c r="R72" t="s">
        <v>109</v>
      </c>
      <c r="S72">
        <v>1990.345113288894</v>
      </c>
      <c r="T72">
        <v>0.97</v>
      </c>
      <c r="U72" t="s">
        <v>227</v>
      </c>
      <c r="V72">
        <v>0.97</v>
      </c>
      <c r="W72">
        <v>19.7</v>
      </c>
      <c r="X72">
        <v>33.1</v>
      </c>
      <c r="Y72">
        <v>27</v>
      </c>
      <c r="Z72">
        <v>9.8628146588536497E-2</v>
      </c>
      <c r="AA72">
        <v>31.536000000000001</v>
      </c>
    </row>
    <row r="73" spans="1:27" x14ac:dyDescent="0.25">
      <c r="A73" t="s">
        <v>98</v>
      </c>
      <c r="B73" t="s">
        <v>99</v>
      </c>
      <c r="C73" t="s">
        <v>100</v>
      </c>
      <c r="D73" t="s">
        <v>101</v>
      </c>
      <c r="E73" t="s">
        <v>179</v>
      </c>
      <c r="F73" t="s">
        <v>228</v>
      </c>
      <c r="G73" t="s">
        <v>119</v>
      </c>
      <c r="H73" t="s">
        <v>255</v>
      </c>
      <c r="I73">
        <v>2020</v>
      </c>
      <c r="J73" t="s">
        <v>266</v>
      </c>
      <c r="K73" t="s">
        <v>257</v>
      </c>
      <c r="L73" t="s">
        <v>182</v>
      </c>
      <c r="M73" t="s">
        <v>265</v>
      </c>
      <c r="N73">
        <v>1</v>
      </c>
      <c r="O73">
        <v>2020</v>
      </c>
      <c r="P73">
        <v>7864.8660317782214</v>
      </c>
      <c r="Q73">
        <v>3.9515087003088269</v>
      </c>
      <c r="R73" t="s">
        <v>109</v>
      </c>
      <c r="S73">
        <v>1990.345113288894</v>
      </c>
      <c r="T73">
        <v>0.97</v>
      </c>
      <c r="U73" t="s">
        <v>227</v>
      </c>
      <c r="V73">
        <v>0.97</v>
      </c>
      <c r="W73">
        <v>19.7</v>
      </c>
      <c r="X73">
        <v>33.1</v>
      </c>
      <c r="Y73">
        <v>27</v>
      </c>
      <c r="Z73">
        <v>9.8628146588536497E-2</v>
      </c>
      <c r="AA73">
        <v>31.536000000000001</v>
      </c>
    </row>
    <row r="74" spans="1:27" x14ac:dyDescent="0.25">
      <c r="A74" t="s">
        <v>98</v>
      </c>
      <c r="B74" t="s">
        <v>99</v>
      </c>
      <c r="C74" t="s">
        <v>100</v>
      </c>
      <c r="D74" t="s">
        <v>101</v>
      </c>
      <c r="E74" t="s">
        <v>179</v>
      </c>
      <c r="F74" t="s">
        <v>228</v>
      </c>
      <c r="G74" t="s">
        <v>103</v>
      </c>
      <c r="H74" t="s">
        <v>156</v>
      </c>
      <c r="I74">
        <v>2016</v>
      </c>
      <c r="J74" t="s">
        <v>267</v>
      </c>
      <c r="K74" t="s">
        <v>158</v>
      </c>
      <c r="L74" t="s">
        <v>182</v>
      </c>
      <c r="M74" t="s">
        <v>268</v>
      </c>
      <c r="N74">
        <v>1</v>
      </c>
      <c r="O74">
        <v>2020</v>
      </c>
      <c r="P74">
        <v>2499.6861031233111</v>
      </c>
      <c r="Q74">
        <v>3.9515087003088269</v>
      </c>
      <c r="R74" t="s">
        <v>109</v>
      </c>
      <c r="S74">
        <v>632.59030732437702</v>
      </c>
      <c r="T74">
        <v>0.8</v>
      </c>
      <c r="U74" t="s">
        <v>227</v>
      </c>
      <c r="V74">
        <v>0.8</v>
      </c>
      <c r="W74">
        <v>16</v>
      </c>
      <c r="X74">
        <v>27</v>
      </c>
      <c r="Y74">
        <v>22</v>
      </c>
      <c r="Z74">
        <v>9.8628146588536497E-2</v>
      </c>
      <c r="AA74">
        <v>31.536000000000001</v>
      </c>
    </row>
    <row r="75" spans="1:27" x14ac:dyDescent="0.25">
      <c r="A75" t="s">
        <v>98</v>
      </c>
      <c r="B75" t="s">
        <v>99</v>
      </c>
      <c r="C75" t="s">
        <v>100</v>
      </c>
      <c r="D75" t="s">
        <v>101</v>
      </c>
      <c r="E75" t="s">
        <v>179</v>
      </c>
      <c r="F75" t="s">
        <v>228</v>
      </c>
      <c r="G75" t="s">
        <v>111</v>
      </c>
      <c r="H75" t="s">
        <v>156</v>
      </c>
      <c r="I75">
        <v>2016</v>
      </c>
      <c r="J75" t="s">
        <v>269</v>
      </c>
      <c r="K75" t="s">
        <v>158</v>
      </c>
      <c r="L75" t="s">
        <v>182</v>
      </c>
      <c r="M75" t="s">
        <v>270</v>
      </c>
      <c r="N75">
        <v>0</v>
      </c>
      <c r="O75">
        <v>2020</v>
      </c>
      <c r="P75">
        <v>3182.5271849521182</v>
      </c>
      <c r="Q75">
        <v>3.9515087003088269</v>
      </c>
      <c r="R75" t="s">
        <v>109</v>
      </c>
      <c r="S75">
        <v>805.39546444713369</v>
      </c>
      <c r="T75">
        <v>0.92</v>
      </c>
      <c r="U75" t="s">
        <v>227</v>
      </c>
      <c r="V75">
        <v>0.92</v>
      </c>
      <c r="W75">
        <v>16</v>
      </c>
      <c r="X75">
        <v>27</v>
      </c>
      <c r="Y75">
        <v>22</v>
      </c>
      <c r="Z75">
        <v>9.8628146588536497E-2</v>
      </c>
      <c r="AA75">
        <v>31.536000000000001</v>
      </c>
    </row>
    <row r="76" spans="1:27" x14ac:dyDescent="0.25">
      <c r="A76" t="s">
        <v>98</v>
      </c>
      <c r="B76" t="s">
        <v>99</v>
      </c>
      <c r="C76" t="s">
        <v>100</v>
      </c>
      <c r="D76" t="s">
        <v>101</v>
      </c>
      <c r="E76" t="s">
        <v>179</v>
      </c>
      <c r="F76" t="s">
        <v>228</v>
      </c>
      <c r="G76" t="s">
        <v>111</v>
      </c>
      <c r="H76" t="s">
        <v>156</v>
      </c>
      <c r="I76">
        <v>2020</v>
      </c>
      <c r="J76" t="s">
        <v>271</v>
      </c>
      <c r="K76" t="s">
        <v>158</v>
      </c>
      <c r="L76" t="s">
        <v>182</v>
      </c>
      <c r="M76" t="s">
        <v>270</v>
      </c>
      <c r="N76">
        <v>1</v>
      </c>
      <c r="O76">
        <v>2020</v>
      </c>
      <c r="P76">
        <v>3365.4310461562618</v>
      </c>
      <c r="Q76">
        <v>3.9515087003088269</v>
      </c>
      <c r="R76" t="s">
        <v>109</v>
      </c>
      <c r="S76">
        <v>851.68256010501489</v>
      </c>
      <c r="T76">
        <v>0.92</v>
      </c>
      <c r="U76" t="s">
        <v>227</v>
      </c>
      <c r="V76">
        <v>0.92</v>
      </c>
      <c r="W76">
        <v>16</v>
      </c>
      <c r="X76">
        <v>27</v>
      </c>
      <c r="Y76">
        <v>22</v>
      </c>
      <c r="Z76">
        <v>9.8628146588536497E-2</v>
      </c>
      <c r="AA76">
        <v>31.536000000000001</v>
      </c>
    </row>
    <row r="77" spans="1:27" x14ac:dyDescent="0.25">
      <c r="A77" t="s">
        <v>98</v>
      </c>
      <c r="B77" t="s">
        <v>99</v>
      </c>
      <c r="C77" t="s">
        <v>100</v>
      </c>
      <c r="D77" t="s">
        <v>101</v>
      </c>
      <c r="E77" t="s">
        <v>179</v>
      </c>
      <c r="F77" t="s">
        <v>228</v>
      </c>
      <c r="G77" t="s">
        <v>114</v>
      </c>
      <c r="H77" t="s">
        <v>156</v>
      </c>
      <c r="I77">
        <v>2016</v>
      </c>
      <c r="J77" t="s">
        <v>272</v>
      </c>
      <c r="K77" t="s">
        <v>158</v>
      </c>
      <c r="L77" t="s">
        <v>182</v>
      </c>
      <c r="M77" t="s">
        <v>273</v>
      </c>
      <c r="N77">
        <v>1</v>
      </c>
      <c r="O77">
        <v>2020</v>
      </c>
      <c r="P77">
        <v>3341.043864662377</v>
      </c>
      <c r="Q77">
        <v>3.9515087003088269</v>
      </c>
      <c r="R77" t="s">
        <v>109</v>
      </c>
      <c r="S77">
        <v>845.51094735063077</v>
      </c>
      <c r="T77">
        <v>0.95</v>
      </c>
      <c r="U77" t="s">
        <v>227</v>
      </c>
      <c r="V77">
        <v>0.95</v>
      </c>
      <c r="W77">
        <v>16</v>
      </c>
      <c r="X77">
        <v>27</v>
      </c>
      <c r="Y77">
        <v>22</v>
      </c>
      <c r="Z77">
        <v>9.8628146588536497E-2</v>
      </c>
      <c r="AA77">
        <v>31.536000000000001</v>
      </c>
    </row>
    <row r="78" spans="1:27" x14ac:dyDescent="0.25">
      <c r="A78" t="s">
        <v>98</v>
      </c>
      <c r="B78" t="s">
        <v>99</v>
      </c>
      <c r="C78" t="s">
        <v>100</v>
      </c>
      <c r="D78" t="s">
        <v>101</v>
      </c>
      <c r="E78" t="s">
        <v>179</v>
      </c>
      <c r="F78" t="s">
        <v>228</v>
      </c>
      <c r="G78" t="s">
        <v>114</v>
      </c>
      <c r="H78" t="s">
        <v>156</v>
      </c>
      <c r="I78">
        <v>2022</v>
      </c>
      <c r="J78" t="s">
        <v>274</v>
      </c>
      <c r="K78" t="s">
        <v>158</v>
      </c>
      <c r="L78" t="s">
        <v>182</v>
      </c>
      <c r="M78" t="s">
        <v>275</v>
      </c>
      <c r="N78">
        <v>1</v>
      </c>
      <c r="O78">
        <v>2022</v>
      </c>
      <c r="P78">
        <v>3341.043864662377</v>
      </c>
      <c r="Q78">
        <v>3.9515087003088269</v>
      </c>
      <c r="R78" t="s">
        <v>109</v>
      </c>
      <c r="S78">
        <v>845.51094735063077</v>
      </c>
      <c r="T78">
        <v>0.95</v>
      </c>
      <c r="U78" t="s">
        <v>227</v>
      </c>
      <c r="V78">
        <v>0.95</v>
      </c>
      <c r="W78">
        <v>16</v>
      </c>
      <c r="X78">
        <v>27</v>
      </c>
      <c r="Y78">
        <v>22</v>
      </c>
      <c r="Z78">
        <v>9.8628146588536497E-2</v>
      </c>
      <c r="AA78">
        <v>31.536000000000001</v>
      </c>
    </row>
    <row r="79" spans="1:27" x14ac:dyDescent="0.25">
      <c r="A79" t="s">
        <v>98</v>
      </c>
      <c r="B79" t="s">
        <v>99</v>
      </c>
      <c r="C79" t="s">
        <v>100</v>
      </c>
      <c r="D79" t="s">
        <v>101</v>
      </c>
      <c r="E79" t="s">
        <v>179</v>
      </c>
      <c r="F79" t="s">
        <v>228</v>
      </c>
      <c r="G79" t="s">
        <v>119</v>
      </c>
      <c r="H79" t="s">
        <v>156</v>
      </c>
      <c r="I79">
        <v>2016</v>
      </c>
      <c r="J79" t="s">
        <v>276</v>
      </c>
      <c r="K79" t="s">
        <v>158</v>
      </c>
      <c r="L79" t="s">
        <v>182</v>
      </c>
      <c r="M79" t="s">
        <v>277</v>
      </c>
      <c r="N79">
        <v>1</v>
      </c>
      <c r="O79">
        <v>2020</v>
      </c>
      <c r="P79">
        <v>3706.851587070666</v>
      </c>
      <c r="Q79">
        <v>3.9515087003088269</v>
      </c>
      <c r="R79" t="s">
        <v>109</v>
      </c>
      <c r="S79">
        <v>938.08513866639316</v>
      </c>
      <c r="T79">
        <v>0.99</v>
      </c>
      <c r="U79" t="s">
        <v>227</v>
      </c>
      <c r="V79">
        <v>0.99</v>
      </c>
      <c r="W79">
        <v>16</v>
      </c>
      <c r="X79">
        <v>27</v>
      </c>
      <c r="Y79">
        <v>22</v>
      </c>
      <c r="Z79">
        <v>9.8628146588536497E-2</v>
      </c>
      <c r="AA79">
        <v>31.536000000000001</v>
      </c>
    </row>
    <row r="80" spans="1:27" x14ac:dyDescent="0.25">
      <c r="A80" t="s">
        <v>98</v>
      </c>
      <c r="B80" t="s">
        <v>99</v>
      </c>
      <c r="C80" t="s">
        <v>100</v>
      </c>
      <c r="D80" t="s">
        <v>101</v>
      </c>
      <c r="E80" t="s">
        <v>179</v>
      </c>
      <c r="F80" t="s">
        <v>228</v>
      </c>
      <c r="G80" t="s">
        <v>119</v>
      </c>
      <c r="H80" t="s">
        <v>156</v>
      </c>
      <c r="I80">
        <v>2022</v>
      </c>
      <c r="J80" t="s">
        <v>278</v>
      </c>
      <c r="K80" t="s">
        <v>158</v>
      </c>
      <c r="L80" t="s">
        <v>182</v>
      </c>
      <c r="M80" t="s">
        <v>279</v>
      </c>
      <c r="N80">
        <v>1</v>
      </c>
      <c r="O80">
        <v>2022</v>
      </c>
      <c r="P80">
        <v>3706.851587070666</v>
      </c>
      <c r="Q80">
        <v>3.9515087003088269</v>
      </c>
      <c r="R80" t="s">
        <v>109</v>
      </c>
      <c r="S80">
        <v>938.08513866639316</v>
      </c>
      <c r="T80">
        <v>0.99</v>
      </c>
      <c r="U80" t="s">
        <v>227</v>
      </c>
      <c r="V80">
        <v>0.99</v>
      </c>
      <c r="W80">
        <v>16</v>
      </c>
      <c r="X80">
        <v>27</v>
      </c>
      <c r="Y80">
        <v>22</v>
      </c>
      <c r="Z80">
        <v>9.8628146588536497E-2</v>
      </c>
      <c r="AA80">
        <v>31.536000000000001</v>
      </c>
    </row>
    <row r="81" spans="1:27" x14ac:dyDescent="0.25">
      <c r="A81" t="s">
        <v>98</v>
      </c>
      <c r="B81" t="s">
        <v>99</v>
      </c>
      <c r="C81" t="s">
        <v>100</v>
      </c>
      <c r="D81" t="s">
        <v>101</v>
      </c>
      <c r="E81" t="s">
        <v>179</v>
      </c>
      <c r="F81" t="s">
        <v>228</v>
      </c>
      <c r="G81" t="s">
        <v>103</v>
      </c>
      <c r="H81" t="s">
        <v>148</v>
      </c>
      <c r="I81">
        <v>2016</v>
      </c>
      <c r="J81" t="s">
        <v>280</v>
      </c>
      <c r="K81" t="s">
        <v>150</v>
      </c>
      <c r="L81" t="s">
        <v>182</v>
      </c>
      <c r="M81" t="s">
        <v>281</v>
      </c>
      <c r="N81">
        <v>1</v>
      </c>
      <c r="O81">
        <v>2020</v>
      </c>
      <c r="P81">
        <v>5029.8561831139787</v>
      </c>
      <c r="Q81">
        <v>3.9515087003088269</v>
      </c>
      <c r="R81" t="s">
        <v>109</v>
      </c>
      <c r="S81">
        <v>1272.895130591734</v>
      </c>
      <c r="T81">
        <v>0.83</v>
      </c>
      <c r="U81" t="s">
        <v>227</v>
      </c>
      <c r="V81">
        <v>0.83</v>
      </c>
      <c r="W81">
        <v>19.7</v>
      </c>
      <c r="X81">
        <v>33.1</v>
      </c>
      <c r="Y81">
        <v>27</v>
      </c>
      <c r="Z81">
        <v>9.8628146588536497E-2</v>
      </c>
      <c r="AA81">
        <v>31.536000000000001</v>
      </c>
    </row>
    <row r="82" spans="1:27" x14ac:dyDescent="0.25">
      <c r="A82" t="s">
        <v>98</v>
      </c>
      <c r="B82" t="s">
        <v>99</v>
      </c>
      <c r="C82" t="s">
        <v>100</v>
      </c>
      <c r="D82" t="s">
        <v>101</v>
      </c>
      <c r="E82" t="s">
        <v>179</v>
      </c>
      <c r="F82" t="s">
        <v>228</v>
      </c>
      <c r="G82" t="s">
        <v>111</v>
      </c>
      <c r="H82" t="s">
        <v>148</v>
      </c>
      <c r="I82">
        <v>2016</v>
      </c>
      <c r="J82" t="s">
        <v>282</v>
      </c>
      <c r="K82" t="s">
        <v>150</v>
      </c>
      <c r="L82" t="s">
        <v>182</v>
      </c>
      <c r="M82" t="s">
        <v>283</v>
      </c>
      <c r="N82">
        <v>1</v>
      </c>
      <c r="O82">
        <v>2020</v>
      </c>
      <c r="P82">
        <v>5029.8561831139787</v>
      </c>
      <c r="Q82">
        <v>3.9515087003088269</v>
      </c>
      <c r="R82" t="s">
        <v>109</v>
      </c>
      <c r="S82">
        <v>1272.895130591734</v>
      </c>
      <c r="T82">
        <v>0.83</v>
      </c>
      <c r="U82" t="s">
        <v>227</v>
      </c>
      <c r="V82">
        <v>0.83</v>
      </c>
      <c r="W82">
        <v>19.7</v>
      </c>
      <c r="X82">
        <v>33.1</v>
      </c>
      <c r="Y82">
        <v>27</v>
      </c>
      <c r="Z82">
        <v>9.8628146588536497E-2</v>
      </c>
      <c r="AA82">
        <v>31.536000000000001</v>
      </c>
    </row>
    <row r="83" spans="1:27" x14ac:dyDescent="0.25">
      <c r="A83" t="s">
        <v>98</v>
      </c>
      <c r="B83" t="s">
        <v>99</v>
      </c>
      <c r="C83" t="s">
        <v>100</v>
      </c>
      <c r="D83" t="s">
        <v>101</v>
      </c>
      <c r="E83" t="s">
        <v>179</v>
      </c>
      <c r="F83" t="s">
        <v>228</v>
      </c>
      <c r="G83" t="s">
        <v>111</v>
      </c>
      <c r="H83" t="s">
        <v>148</v>
      </c>
      <c r="I83">
        <v>2022</v>
      </c>
      <c r="J83" t="s">
        <v>284</v>
      </c>
      <c r="K83" t="s">
        <v>150</v>
      </c>
      <c r="L83" t="s">
        <v>182</v>
      </c>
      <c r="M83" t="s">
        <v>285</v>
      </c>
      <c r="N83">
        <v>1</v>
      </c>
      <c r="O83">
        <v>2022</v>
      </c>
      <c r="P83">
        <v>5151.7920905834089</v>
      </c>
      <c r="Q83">
        <v>3.9515087003088269</v>
      </c>
      <c r="R83" t="s">
        <v>109</v>
      </c>
      <c r="S83">
        <v>1303.753194363655</v>
      </c>
      <c r="T83">
        <v>0.84</v>
      </c>
      <c r="U83" t="s">
        <v>227</v>
      </c>
      <c r="V83">
        <v>0.84</v>
      </c>
      <c r="W83">
        <v>19.7</v>
      </c>
      <c r="X83">
        <v>33.1</v>
      </c>
      <c r="Y83">
        <v>27</v>
      </c>
      <c r="Z83">
        <v>9.8628146588536497E-2</v>
      </c>
      <c r="AA83">
        <v>31.536000000000001</v>
      </c>
    </row>
    <row r="84" spans="1:27" x14ac:dyDescent="0.25">
      <c r="A84" t="s">
        <v>98</v>
      </c>
      <c r="B84" t="s">
        <v>99</v>
      </c>
      <c r="C84" t="s">
        <v>100</v>
      </c>
      <c r="D84" t="s">
        <v>101</v>
      </c>
      <c r="E84" t="s">
        <v>179</v>
      </c>
      <c r="F84" t="s">
        <v>228</v>
      </c>
      <c r="G84" t="s">
        <v>114</v>
      </c>
      <c r="H84" t="s">
        <v>148</v>
      </c>
      <c r="I84">
        <v>2016</v>
      </c>
      <c r="J84" t="s">
        <v>286</v>
      </c>
      <c r="K84" t="s">
        <v>150</v>
      </c>
      <c r="L84" t="s">
        <v>182</v>
      </c>
      <c r="M84" t="s">
        <v>287</v>
      </c>
      <c r="N84">
        <v>1</v>
      </c>
      <c r="O84">
        <v>2020</v>
      </c>
      <c r="P84">
        <v>5304.2119749201956</v>
      </c>
      <c r="Q84">
        <v>3.9515087003088269</v>
      </c>
      <c r="R84" t="s">
        <v>109</v>
      </c>
      <c r="S84">
        <v>1342.3257740785559</v>
      </c>
      <c r="T84">
        <v>0.85</v>
      </c>
      <c r="U84" t="s">
        <v>227</v>
      </c>
      <c r="V84">
        <v>0.85</v>
      </c>
      <c r="W84">
        <v>19.7</v>
      </c>
      <c r="X84">
        <v>33.1</v>
      </c>
      <c r="Y84">
        <v>27</v>
      </c>
      <c r="Z84">
        <v>9.8628146588536497E-2</v>
      </c>
      <c r="AA84">
        <v>31.536000000000001</v>
      </c>
    </row>
    <row r="85" spans="1:27" x14ac:dyDescent="0.25">
      <c r="A85" t="s">
        <v>98</v>
      </c>
      <c r="B85" t="s">
        <v>99</v>
      </c>
      <c r="C85" t="s">
        <v>100</v>
      </c>
      <c r="D85" t="s">
        <v>101</v>
      </c>
      <c r="E85" t="s">
        <v>179</v>
      </c>
      <c r="F85" t="s">
        <v>228</v>
      </c>
      <c r="G85" t="s">
        <v>119</v>
      </c>
      <c r="H85" t="s">
        <v>148</v>
      </c>
      <c r="I85">
        <v>2016</v>
      </c>
      <c r="J85" t="s">
        <v>288</v>
      </c>
      <c r="K85" t="s">
        <v>150</v>
      </c>
      <c r="L85" t="s">
        <v>182</v>
      </c>
      <c r="M85" t="s">
        <v>289</v>
      </c>
      <c r="N85">
        <v>1</v>
      </c>
      <c r="O85">
        <v>2020</v>
      </c>
      <c r="P85">
        <v>7864.8660317782214</v>
      </c>
      <c r="Q85">
        <v>3.9515087003088269</v>
      </c>
      <c r="R85" t="s">
        <v>109</v>
      </c>
      <c r="S85">
        <v>1990.345113288894</v>
      </c>
      <c r="T85">
        <v>0.97</v>
      </c>
      <c r="U85" t="s">
        <v>227</v>
      </c>
      <c r="V85">
        <v>0.97</v>
      </c>
      <c r="W85">
        <v>19.7</v>
      </c>
      <c r="X85">
        <v>33.1</v>
      </c>
      <c r="Y85">
        <v>27</v>
      </c>
      <c r="Z85">
        <v>9.8628146588536497E-2</v>
      </c>
      <c r="AA85">
        <v>31.536000000000001</v>
      </c>
    </row>
    <row r="86" spans="1:27" x14ac:dyDescent="0.25">
      <c r="A86" t="s">
        <v>98</v>
      </c>
      <c r="B86" t="s">
        <v>99</v>
      </c>
      <c r="C86" t="s">
        <v>100</v>
      </c>
      <c r="D86" t="s">
        <v>101</v>
      </c>
      <c r="E86" t="s">
        <v>179</v>
      </c>
      <c r="F86" t="s">
        <v>228</v>
      </c>
      <c r="G86" t="s">
        <v>119</v>
      </c>
      <c r="H86" t="s">
        <v>148</v>
      </c>
      <c r="I86">
        <v>2022</v>
      </c>
      <c r="J86" t="s">
        <v>290</v>
      </c>
      <c r="K86" t="s">
        <v>150</v>
      </c>
      <c r="L86" t="s">
        <v>182</v>
      </c>
      <c r="M86" t="s">
        <v>291</v>
      </c>
      <c r="N86">
        <v>1</v>
      </c>
      <c r="O86">
        <v>2022</v>
      </c>
      <c r="P86">
        <v>7864.8660317782214</v>
      </c>
      <c r="Q86">
        <v>3.9515087003088269</v>
      </c>
      <c r="R86" t="s">
        <v>109</v>
      </c>
      <c r="S86">
        <v>1990.345113288894</v>
      </c>
      <c r="T86">
        <v>0.97</v>
      </c>
      <c r="U86" t="s">
        <v>227</v>
      </c>
      <c r="V86">
        <v>0.97</v>
      </c>
      <c r="W86">
        <v>19.7</v>
      </c>
      <c r="X86">
        <v>33.1</v>
      </c>
      <c r="Y86">
        <v>27</v>
      </c>
      <c r="Z86">
        <v>9.8628146588536497E-2</v>
      </c>
      <c r="AA86">
        <v>31.536000000000001</v>
      </c>
    </row>
    <row r="87" spans="1:27" x14ac:dyDescent="0.25">
      <c r="A87" t="s">
        <v>98</v>
      </c>
      <c r="B87" t="s">
        <v>99</v>
      </c>
      <c r="C87" t="s">
        <v>100</v>
      </c>
      <c r="D87" t="s">
        <v>101</v>
      </c>
      <c r="E87" t="s">
        <v>179</v>
      </c>
      <c r="F87" t="s">
        <v>224</v>
      </c>
      <c r="G87" t="s">
        <v>103</v>
      </c>
      <c r="H87" t="s">
        <v>148</v>
      </c>
      <c r="I87">
        <v>2016</v>
      </c>
      <c r="J87" t="s">
        <v>292</v>
      </c>
      <c r="K87" t="s">
        <v>150</v>
      </c>
      <c r="L87" t="s">
        <v>182</v>
      </c>
      <c r="M87" t="s">
        <v>293</v>
      </c>
      <c r="N87">
        <v>1</v>
      </c>
      <c r="O87">
        <v>2020</v>
      </c>
      <c r="P87">
        <v>11126.65155658547</v>
      </c>
      <c r="Q87">
        <v>3.9515087003088269</v>
      </c>
      <c r="R87" t="s">
        <v>109</v>
      </c>
      <c r="S87">
        <v>2815.7983191877761</v>
      </c>
      <c r="T87">
        <v>0.84</v>
      </c>
      <c r="U87" t="s">
        <v>227</v>
      </c>
      <c r="V87">
        <v>0.84</v>
      </c>
      <c r="W87">
        <v>18</v>
      </c>
      <c r="X87">
        <v>28</v>
      </c>
      <c r="Y87">
        <v>24</v>
      </c>
      <c r="Z87">
        <v>9.8628146588536497E-2</v>
      </c>
      <c r="AA87">
        <v>31.536000000000001</v>
      </c>
    </row>
    <row r="88" spans="1:27" x14ac:dyDescent="0.25">
      <c r="A88" t="s">
        <v>98</v>
      </c>
      <c r="B88" t="s">
        <v>99</v>
      </c>
      <c r="C88" t="s">
        <v>100</v>
      </c>
      <c r="D88" t="s">
        <v>101</v>
      </c>
      <c r="E88" t="s">
        <v>179</v>
      </c>
      <c r="F88" t="s">
        <v>224</v>
      </c>
      <c r="G88" t="s">
        <v>103</v>
      </c>
      <c r="H88" t="s">
        <v>148</v>
      </c>
      <c r="I88">
        <v>2022</v>
      </c>
      <c r="J88" t="s">
        <v>294</v>
      </c>
      <c r="K88" t="s">
        <v>150</v>
      </c>
      <c r="L88" t="s">
        <v>182</v>
      </c>
      <c r="M88" t="s">
        <v>295</v>
      </c>
      <c r="N88">
        <v>1</v>
      </c>
      <c r="O88">
        <v>2022</v>
      </c>
      <c r="P88">
        <v>11492.45927899376</v>
      </c>
      <c r="Q88">
        <v>3.9515087003088269</v>
      </c>
      <c r="R88" t="s">
        <v>109</v>
      </c>
      <c r="S88">
        <v>2908.3725105035378</v>
      </c>
      <c r="T88">
        <v>0.86</v>
      </c>
      <c r="U88" t="s">
        <v>227</v>
      </c>
      <c r="V88">
        <v>0.86</v>
      </c>
      <c r="W88">
        <v>18</v>
      </c>
      <c r="X88">
        <v>28</v>
      </c>
      <c r="Y88">
        <v>24</v>
      </c>
      <c r="Z88">
        <v>9.8628146588536497E-2</v>
      </c>
      <c r="AA88">
        <v>31.536000000000001</v>
      </c>
    </row>
    <row r="89" spans="1:27" x14ac:dyDescent="0.25">
      <c r="A89" t="s">
        <v>98</v>
      </c>
      <c r="B89" t="s">
        <v>99</v>
      </c>
      <c r="C89" t="s">
        <v>100</v>
      </c>
      <c r="D89" t="s">
        <v>101</v>
      </c>
      <c r="E89" t="s">
        <v>179</v>
      </c>
      <c r="F89" t="s">
        <v>224</v>
      </c>
      <c r="G89" t="s">
        <v>111</v>
      </c>
      <c r="H89" t="s">
        <v>148</v>
      </c>
      <c r="I89">
        <v>2016</v>
      </c>
      <c r="J89" t="s">
        <v>296</v>
      </c>
      <c r="K89" t="s">
        <v>150</v>
      </c>
      <c r="L89" t="s">
        <v>182</v>
      </c>
      <c r="M89" t="s">
        <v>297</v>
      </c>
      <c r="N89">
        <v>1</v>
      </c>
      <c r="O89">
        <v>2020</v>
      </c>
      <c r="P89">
        <v>11126.65155658547</v>
      </c>
      <c r="Q89">
        <v>3.9515087003088269</v>
      </c>
      <c r="R89" t="s">
        <v>109</v>
      </c>
      <c r="S89">
        <v>2815.7983191877761</v>
      </c>
      <c r="T89">
        <v>0.84</v>
      </c>
      <c r="U89" t="s">
        <v>227</v>
      </c>
      <c r="V89">
        <v>0.84</v>
      </c>
      <c r="W89">
        <v>18</v>
      </c>
      <c r="X89">
        <v>28</v>
      </c>
      <c r="Y89">
        <v>24</v>
      </c>
      <c r="Z89">
        <v>9.8628146588536497E-2</v>
      </c>
      <c r="AA89">
        <v>31.536000000000001</v>
      </c>
    </row>
    <row r="90" spans="1:27" x14ac:dyDescent="0.25">
      <c r="A90" t="s">
        <v>98</v>
      </c>
      <c r="B90" t="s">
        <v>99</v>
      </c>
      <c r="C90" t="s">
        <v>100</v>
      </c>
      <c r="D90" t="s">
        <v>101</v>
      </c>
      <c r="E90" t="s">
        <v>179</v>
      </c>
      <c r="F90" t="s">
        <v>224</v>
      </c>
      <c r="G90" t="s">
        <v>111</v>
      </c>
      <c r="H90" t="s">
        <v>148</v>
      </c>
      <c r="I90">
        <v>2022</v>
      </c>
      <c r="J90" t="s">
        <v>298</v>
      </c>
      <c r="K90" t="s">
        <v>150</v>
      </c>
      <c r="L90" t="s">
        <v>182</v>
      </c>
      <c r="M90" t="s">
        <v>299</v>
      </c>
      <c r="N90">
        <v>1</v>
      </c>
      <c r="O90">
        <v>2022</v>
      </c>
      <c r="P90">
        <v>11492.45927899376</v>
      </c>
      <c r="Q90">
        <v>3.9515087003088269</v>
      </c>
      <c r="R90" t="s">
        <v>109</v>
      </c>
      <c r="S90">
        <v>2908.3725105035378</v>
      </c>
      <c r="T90">
        <v>0.86</v>
      </c>
      <c r="U90" t="s">
        <v>227</v>
      </c>
      <c r="V90">
        <v>0.86</v>
      </c>
      <c r="W90">
        <v>18</v>
      </c>
      <c r="X90">
        <v>28</v>
      </c>
      <c r="Y90">
        <v>24</v>
      </c>
      <c r="Z90">
        <v>9.8628146588536497E-2</v>
      </c>
      <c r="AA90">
        <v>31.536000000000001</v>
      </c>
    </row>
    <row r="91" spans="1:27" x14ac:dyDescent="0.25">
      <c r="A91" t="s">
        <v>98</v>
      </c>
      <c r="B91" t="s">
        <v>99</v>
      </c>
      <c r="C91" t="s">
        <v>100</v>
      </c>
      <c r="D91" t="s">
        <v>101</v>
      </c>
      <c r="E91" t="s">
        <v>179</v>
      </c>
      <c r="F91" t="s">
        <v>224</v>
      </c>
      <c r="G91" t="s">
        <v>114</v>
      </c>
      <c r="H91" t="s">
        <v>148</v>
      </c>
      <c r="I91">
        <v>2016</v>
      </c>
      <c r="J91" t="s">
        <v>300</v>
      </c>
      <c r="K91" t="s">
        <v>150</v>
      </c>
      <c r="L91" t="s">
        <v>182</v>
      </c>
      <c r="M91" t="s">
        <v>301</v>
      </c>
      <c r="N91">
        <v>1</v>
      </c>
      <c r="O91">
        <v>2020</v>
      </c>
      <c r="P91">
        <v>11492.45927899376</v>
      </c>
      <c r="Q91">
        <v>3.9515087003088269</v>
      </c>
      <c r="R91" t="s">
        <v>109</v>
      </c>
      <c r="S91">
        <v>2908.3725105035378</v>
      </c>
      <c r="T91">
        <v>0.87</v>
      </c>
      <c r="U91" t="s">
        <v>227</v>
      </c>
      <c r="V91">
        <v>0.87</v>
      </c>
      <c r="W91">
        <v>18</v>
      </c>
      <c r="X91">
        <v>28</v>
      </c>
      <c r="Y91">
        <v>24</v>
      </c>
      <c r="Z91">
        <v>9.8628146588536497E-2</v>
      </c>
      <c r="AA91">
        <v>31.536000000000001</v>
      </c>
    </row>
    <row r="92" spans="1:27" x14ac:dyDescent="0.25">
      <c r="A92" t="s">
        <v>98</v>
      </c>
      <c r="B92" t="s">
        <v>99</v>
      </c>
      <c r="C92" t="s">
        <v>100</v>
      </c>
      <c r="D92" t="s">
        <v>101</v>
      </c>
      <c r="E92" t="s">
        <v>179</v>
      </c>
      <c r="F92" t="s">
        <v>224</v>
      </c>
      <c r="G92" t="s">
        <v>119</v>
      </c>
      <c r="H92" t="s">
        <v>148</v>
      </c>
      <c r="I92">
        <v>2016</v>
      </c>
      <c r="J92" t="s">
        <v>302</v>
      </c>
      <c r="K92" t="s">
        <v>150</v>
      </c>
      <c r="L92" t="s">
        <v>182</v>
      </c>
      <c r="M92" t="s">
        <v>303</v>
      </c>
      <c r="N92">
        <v>1</v>
      </c>
      <c r="O92">
        <v>2020</v>
      </c>
      <c r="P92">
        <v>13961.66140524971</v>
      </c>
      <c r="Q92">
        <v>3.9515087003088269</v>
      </c>
      <c r="R92" t="s">
        <v>109</v>
      </c>
      <c r="S92">
        <v>3533.2483018849348</v>
      </c>
      <c r="T92">
        <v>0.9</v>
      </c>
      <c r="U92" t="s">
        <v>227</v>
      </c>
      <c r="V92">
        <v>0.9</v>
      </c>
      <c r="W92">
        <v>18</v>
      </c>
      <c r="X92">
        <v>28</v>
      </c>
      <c r="Y92">
        <v>24</v>
      </c>
      <c r="Z92">
        <v>9.8628146588536497E-2</v>
      </c>
      <c r="AA92">
        <v>31.536000000000001</v>
      </c>
    </row>
    <row r="93" spans="1:27" x14ac:dyDescent="0.25">
      <c r="A93" t="s">
        <v>98</v>
      </c>
      <c r="B93" t="s">
        <v>99</v>
      </c>
      <c r="C93" t="s">
        <v>100</v>
      </c>
      <c r="D93" t="s">
        <v>101</v>
      </c>
      <c r="E93" t="s">
        <v>304</v>
      </c>
      <c r="F93" t="s">
        <v>180</v>
      </c>
      <c r="G93" t="s">
        <v>111</v>
      </c>
      <c r="H93" t="s">
        <v>104</v>
      </c>
      <c r="I93">
        <v>2016</v>
      </c>
      <c r="J93" t="s">
        <v>305</v>
      </c>
      <c r="K93" t="s">
        <v>106</v>
      </c>
      <c r="L93" t="s">
        <v>306</v>
      </c>
      <c r="M93" t="s">
        <v>307</v>
      </c>
      <c r="N93">
        <v>0</v>
      </c>
      <c r="O93">
        <v>2020</v>
      </c>
      <c r="P93">
        <v>8291.641707921226</v>
      </c>
      <c r="Q93">
        <v>1.7409370701601361</v>
      </c>
      <c r="R93" t="s">
        <v>109</v>
      </c>
      <c r="S93">
        <v>4762.74636805714</v>
      </c>
      <c r="T93">
        <v>0.6</v>
      </c>
      <c r="U93" t="s">
        <v>184</v>
      </c>
      <c r="V93">
        <v>0.6</v>
      </c>
      <c r="W93">
        <v>12</v>
      </c>
      <c r="X93">
        <v>18</v>
      </c>
      <c r="Y93">
        <v>16</v>
      </c>
      <c r="Z93">
        <v>8.2748623405738631E-2</v>
      </c>
      <c r="AA93">
        <v>31.536000000000001</v>
      </c>
    </row>
    <row r="94" spans="1:27" x14ac:dyDescent="0.25">
      <c r="A94" t="s">
        <v>98</v>
      </c>
      <c r="B94" t="s">
        <v>99</v>
      </c>
      <c r="C94" t="s">
        <v>100</v>
      </c>
      <c r="D94" t="s">
        <v>101</v>
      </c>
      <c r="E94" t="s">
        <v>304</v>
      </c>
      <c r="F94" t="s">
        <v>180</v>
      </c>
      <c r="G94" t="s">
        <v>111</v>
      </c>
      <c r="H94" t="s">
        <v>104</v>
      </c>
      <c r="I94">
        <v>2020</v>
      </c>
      <c r="J94" t="s">
        <v>308</v>
      </c>
      <c r="K94" t="s">
        <v>106</v>
      </c>
      <c r="L94" t="s">
        <v>306</v>
      </c>
      <c r="M94" t="s">
        <v>307</v>
      </c>
      <c r="N94">
        <v>1</v>
      </c>
      <c r="O94">
        <v>2020</v>
      </c>
      <c r="P94">
        <v>8291.641707921226</v>
      </c>
      <c r="Q94">
        <v>1.7409370701601361</v>
      </c>
      <c r="R94" t="s">
        <v>109</v>
      </c>
      <c r="S94">
        <v>4762.74636805714</v>
      </c>
      <c r="T94">
        <v>0.7</v>
      </c>
      <c r="U94" t="s">
        <v>184</v>
      </c>
      <c r="V94">
        <v>0.7</v>
      </c>
      <c r="W94">
        <v>12</v>
      </c>
      <c r="X94">
        <v>18</v>
      </c>
      <c r="Y94">
        <v>16</v>
      </c>
      <c r="Z94">
        <v>8.2748623405738631E-2</v>
      </c>
      <c r="AA94">
        <v>31.536000000000001</v>
      </c>
    </row>
    <row r="95" spans="1:27" x14ac:dyDescent="0.25">
      <c r="A95" t="s">
        <v>98</v>
      </c>
      <c r="B95" t="s">
        <v>99</v>
      </c>
      <c r="C95" t="s">
        <v>100</v>
      </c>
      <c r="D95" t="s">
        <v>101</v>
      </c>
      <c r="E95" t="s">
        <v>304</v>
      </c>
      <c r="F95" t="s">
        <v>180</v>
      </c>
      <c r="G95" t="s">
        <v>103</v>
      </c>
      <c r="H95" t="s">
        <v>125</v>
      </c>
      <c r="I95">
        <v>2016</v>
      </c>
      <c r="J95" t="s">
        <v>309</v>
      </c>
      <c r="K95" t="s">
        <v>127</v>
      </c>
      <c r="L95" t="s">
        <v>306</v>
      </c>
      <c r="M95" t="s">
        <v>310</v>
      </c>
      <c r="N95">
        <v>1</v>
      </c>
      <c r="O95">
        <v>2020</v>
      </c>
      <c r="P95">
        <v>2956.9457561336731</v>
      </c>
      <c r="Q95">
        <v>1.7409370701601361</v>
      </c>
      <c r="R95" t="s">
        <v>109</v>
      </c>
      <c r="S95">
        <v>1698.4794033144949</v>
      </c>
      <c r="T95">
        <v>4.1031652989449006</v>
      </c>
      <c r="U95" t="s">
        <v>184</v>
      </c>
      <c r="V95">
        <v>4.1031652989449006</v>
      </c>
      <c r="W95">
        <v>9</v>
      </c>
      <c r="X95">
        <v>22</v>
      </c>
      <c r="Y95">
        <v>16</v>
      </c>
      <c r="Z95">
        <v>8.2748623405738631E-2</v>
      </c>
      <c r="AA95">
        <v>31.536000000000001</v>
      </c>
    </row>
    <row r="96" spans="1:27" x14ac:dyDescent="0.25">
      <c r="A96" t="s">
        <v>98</v>
      </c>
      <c r="B96" t="s">
        <v>99</v>
      </c>
      <c r="C96" t="s">
        <v>100</v>
      </c>
      <c r="D96" t="s">
        <v>101</v>
      </c>
      <c r="E96" t="s">
        <v>304</v>
      </c>
      <c r="F96" t="s">
        <v>180</v>
      </c>
      <c r="G96" t="s">
        <v>103</v>
      </c>
      <c r="H96" t="s">
        <v>125</v>
      </c>
      <c r="I96">
        <v>2023</v>
      </c>
      <c r="J96" t="s">
        <v>311</v>
      </c>
      <c r="K96" t="s">
        <v>127</v>
      </c>
      <c r="L96" t="s">
        <v>306</v>
      </c>
      <c r="M96" t="s">
        <v>312</v>
      </c>
      <c r="N96">
        <v>1</v>
      </c>
      <c r="O96">
        <v>2023</v>
      </c>
      <c r="P96">
        <v>2956.9457561336731</v>
      </c>
      <c r="Q96">
        <v>1.7409370701601361</v>
      </c>
      <c r="R96" t="s">
        <v>109</v>
      </c>
      <c r="S96">
        <v>1698.4794033144949</v>
      </c>
      <c r="T96">
        <v>4.1031652989449006</v>
      </c>
      <c r="U96" t="s">
        <v>184</v>
      </c>
      <c r="V96">
        <v>4.1031652989449006</v>
      </c>
      <c r="W96">
        <v>9</v>
      </c>
      <c r="X96">
        <v>22</v>
      </c>
      <c r="Y96">
        <v>16</v>
      </c>
      <c r="Z96">
        <v>8.2748623405738631E-2</v>
      </c>
      <c r="AA96">
        <v>31.536000000000001</v>
      </c>
    </row>
    <row r="97" spans="1:27" x14ac:dyDescent="0.25">
      <c r="A97" t="s">
        <v>98</v>
      </c>
      <c r="B97" t="s">
        <v>99</v>
      </c>
      <c r="C97" t="s">
        <v>100</v>
      </c>
      <c r="D97" t="s">
        <v>101</v>
      </c>
      <c r="E97" t="s">
        <v>304</v>
      </c>
      <c r="F97" t="s">
        <v>180</v>
      </c>
      <c r="G97" t="s">
        <v>111</v>
      </c>
      <c r="H97" t="s">
        <v>125</v>
      </c>
      <c r="I97">
        <v>2016</v>
      </c>
      <c r="J97" t="s">
        <v>313</v>
      </c>
      <c r="K97" t="s">
        <v>127</v>
      </c>
      <c r="L97" t="s">
        <v>306</v>
      </c>
      <c r="M97" t="s">
        <v>314</v>
      </c>
      <c r="N97">
        <v>1</v>
      </c>
      <c r="O97">
        <v>2020</v>
      </c>
      <c r="P97">
        <v>3109.3656404704602</v>
      </c>
      <c r="Q97">
        <v>1.7409370701601361</v>
      </c>
      <c r="R97" t="s">
        <v>109</v>
      </c>
      <c r="S97">
        <v>1786.029888021427</v>
      </c>
      <c r="T97">
        <v>4.484173505275499</v>
      </c>
      <c r="U97" t="s">
        <v>184</v>
      </c>
      <c r="V97">
        <v>4.484173505275499</v>
      </c>
      <c r="W97">
        <v>9</v>
      </c>
      <c r="X97">
        <v>22</v>
      </c>
      <c r="Y97">
        <v>16</v>
      </c>
      <c r="Z97">
        <v>8.2748623405738631E-2</v>
      </c>
      <c r="AA97">
        <v>31.536000000000001</v>
      </c>
    </row>
    <row r="98" spans="1:27" x14ac:dyDescent="0.25">
      <c r="A98" t="s">
        <v>98</v>
      </c>
      <c r="B98" t="s">
        <v>99</v>
      </c>
      <c r="C98" t="s">
        <v>100</v>
      </c>
      <c r="D98" t="s">
        <v>101</v>
      </c>
      <c r="E98" t="s">
        <v>304</v>
      </c>
      <c r="F98" t="s">
        <v>180</v>
      </c>
      <c r="G98" t="s">
        <v>111</v>
      </c>
      <c r="H98" t="s">
        <v>125</v>
      </c>
      <c r="I98">
        <v>2023</v>
      </c>
      <c r="J98" t="s">
        <v>315</v>
      </c>
      <c r="K98" t="s">
        <v>127</v>
      </c>
      <c r="L98" t="s">
        <v>306</v>
      </c>
      <c r="M98" t="s">
        <v>316</v>
      </c>
      <c r="N98">
        <v>1</v>
      </c>
      <c r="O98">
        <v>2023</v>
      </c>
      <c r="P98">
        <v>3139.8496173378171</v>
      </c>
      <c r="Q98">
        <v>1.7409370701601361</v>
      </c>
      <c r="R98" t="s">
        <v>109</v>
      </c>
      <c r="S98">
        <v>1803.5399849628141</v>
      </c>
      <c r="T98">
        <v>4.6307151230949586</v>
      </c>
      <c r="U98" t="s">
        <v>184</v>
      </c>
      <c r="V98">
        <v>4.6307151230949586</v>
      </c>
      <c r="W98">
        <v>9</v>
      </c>
      <c r="X98">
        <v>22</v>
      </c>
      <c r="Y98">
        <v>16</v>
      </c>
      <c r="Z98">
        <v>8.2748623405738631E-2</v>
      </c>
      <c r="AA98">
        <v>31.536000000000001</v>
      </c>
    </row>
    <row r="99" spans="1:27" x14ac:dyDescent="0.25">
      <c r="A99" t="s">
        <v>98</v>
      </c>
      <c r="B99" t="s">
        <v>99</v>
      </c>
      <c r="C99" t="s">
        <v>100</v>
      </c>
      <c r="D99" t="s">
        <v>101</v>
      </c>
      <c r="E99" t="s">
        <v>304</v>
      </c>
      <c r="F99" t="s">
        <v>180</v>
      </c>
      <c r="G99" t="s">
        <v>114</v>
      </c>
      <c r="H99" t="s">
        <v>125</v>
      </c>
      <c r="I99">
        <v>2016</v>
      </c>
      <c r="J99" t="s">
        <v>317</v>
      </c>
      <c r="K99" t="s">
        <v>127</v>
      </c>
      <c r="L99" t="s">
        <v>306</v>
      </c>
      <c r="M99" t="s">
        <v>318</v>
      </c>
      <c r="N99">
        <v>1</v>
      </c>
      <c r="O99">
        <v>2020</v>
      </c>
      <c r="P99">
        <v>3017.9137098683868</v>
      </c>
      <c r="Q99">
        <v>1.7409370701601361</v>
      </c>
      <c r="R99" t="s">
        <v>109</v>
      </c>
      <c r="S99">
        <v>1733.499597197268</v>
      </c>
      <c r="T99">
        <v>4.3962485345838216</v>
      </c>
      <c r="U99" t="s">
        <v>184</v>
      </c>
      <c r="V99">
        <v>4.3962485345838216</v>
      </c>
      <c r="W99">
        <v>9</v>
      </c>
      <c r="X99">
        <v>22</v>
      </c>
      <c r="Y99">
        <v>16</v>
      </c>
      <c r="Z99">
        <v>8.2748623405738631E-2</v>
      </c>
      <c r="AA99">
        <v>31.536000000000001</v>
      </c>
    </row>
    <row r="100" spans="1:27" x14ac:dyDescent="0.25">
      <c r="A100" t="s">
        <v>98</v>
      </c>
      <c r="B100" t="s">
        <v>99</v>
      </c>
      <c r="C100" t="s">
        <v>100</v>
      </c>
      <c r="D100" t="s">
        <v>101</v>
      </c>
      <c r="E100" t="s">
        <v>304</v>
      </c>
      <c r="F100" t="s">
        <v>180</v>
      </c>
      <c r="G100" t="s">
        <v>114</v>
      </c>
      <c r="H100" t="s">
        <v>125</v>
      </c>
      <c r="I100">
        <v>2022</v>
      </c>
      <c r="J100" t="s">
        <v>319</v>
      </c>
      <c r="K100" t="s">
        <v>127</v>
      </c>
      <c r="L100" t="s">
        <v>306</v>
      </c>
      <c r="M100" t="s">
        <v>320</v>
      </c>
      <c r="N100">
        <v>1</v>
      </c>
      <c r="O100">
        <v>2022</v>
      </c>
      <c r="P100">
        <v>3017.9137098683868</v>
      </c>
      <c r="Q100">
        <v>1.7409370701601361</v>
      </c>
      <c r="R100" t="s">
        <v>109</v>
      </c>
      <c r="S100">
        <v>1733.499597197268</v>
      </c>
      <c r="T100">
        <v>4.3962485345838216</v>
      </c>
      <c r="U100" t="s">
        <v>184</v>
      </c>
      <c r="V100">
        <v>4.3962485345838216</v>
      </c>
      <c r="W100">
        <v>9</v>
      </c>
      <c r="X100">
        <v>22</v>
      </c>
      <c r="Y100">
        <v>16</v>
      </c>
      <c r="Z100">
        <v>8.2748623405738631E-2</v>
      </c>
      <c r="AA100">
        <v>31.536000000000001</v>
      </c>
    </row>
    <row r="101" spans="1:27" x14ac:dyDescent="0.25">
      <c r="A101" t="s">
        <v>98</v>
      </c>
      <c r="B101" t="s">
        <v>99</v>
      </c>
      <c r="C101" t="s">
        <v>100</v>
      </c>
      <c r="D101" t="s">
        <v>101</v>
      </c>
      <c r="E101" t="s">
        <v>304</v>
      </c>
      <c r="F101" t="s">
        <v>180</v>
      </c>
      <c r="G101" t="s">
        <v>114</v>
      </c>
      <c r="H101" t="s">
        <v>125</v>
      </c>
      <c r="I101">
        <v>2023</v>
      </c>
      <c r="J101" t="s">
        <v>321</v>
      </c>
      <c r="K101" t="s">
        <v>127</v>
      </c>
      <c r="L101" t="s">
        <v>306</v>
      </c>
      <c r="M101" t="s">
        <v>322</v>
      </c>
      <c r="N101">
        <v>1</v>
      </c>
      <c r="O101">
        <v>2023</v>
      </c>
      <c r="P101">
        <v>3266.447780092843</v>
      </c>
      <c r="Q101">
        <v>1.7409370701601361</v>
      </c>
      <c r="R101" t="s">
        <v>109</v>
      </c>
      <c r="S101">
        <v>1876.25838755469</v>
      </c>
      <c r="T101">
        <v>4.6893317702227444</v>
      </c>
      <c r="U101" t="s">
        <v>184</v>
      </c>
      <c r="V101">
        <v>4.6893317702227444</v>
      </c>
      <c r="W101">
        <v>9</v>
      </c>
      <c r="X101">
        <v>22</v>
      </c>
      <c r="Y101">
        <v>16</v>
      </c>
      <c r="Z101">
        <v>8.2748623405738631E-2</v>
      </c>
      <c r="AA101">
        <v>31.536000000000001</v>
      </c>
    </row>
    <row r="102" spans="1:27" x14ac:dyDescent="0.25">
      <c r="A102" t="s">
        <v>98</v>
      </c>
      <c r="B102" t="s">
        <v>99</v>
      </c>
      <c r="C102" t="s">
        <v>100</v>
      </c>
      <c r="D102" t="s">
        <v>101</v>
      </c>
      <c r="E102" t="s">
        <v>304</v>
      </c>
      <c r="F102" t="s">
        <v>180</v>
      </c>
      <c r="G102" t="s">
        <v>119</v>
      </c>
      <c r="H102" t="s">
        <v>125</v>
      </c>
      <c r="I102">
        <v>2016</v>
      </c>
      <c r="J102" t="s">
        <v>323</v>
      </c>
      <c r="K102" t="s">
        <v>127</v>
      </c>
      <c r="L102" t="s">
        <v>306</v>
      </c>
      <c r="M102" t="s">
        <v>324</v>
      </c>
      <c r="N102">
        <v>1</v>
      </c>
      <c r="O102">
        <v>2020</v>
      </c>
      <c r="P102">
        <v>3719.0451778176089</v>
      </c>
      <c r="Q102">
        <v>1.7409370701601361</v>
      </c>
      <c r="R102" t="s">
        <v>109</v>
      </c>
      <c r="S102">
        <v>2136.231826849159</v>
      </c>
      <c r="T102">
        <v>5.5685814771395066</v>
      </c>
      <c r="U102" t="s">
        <v>184</v>
      </c>
      <c r="V102">
        <v>5.5685814771395066</v>
      </c>
      <c r="W102">
        <v>9</v>
      </c>
      <c r="X102">
        <v>22</v>
      </c>
      <c r="Y102">
        <v>16</v>
      </c>
      <c r="Z102">
        <v>8.2748623405738631E-2</v>
      </c>
      <c r="AA102">
        <v>31.536000000000001</v>
      </c>
    </row>
    <row r="103" spans="1:27" x14ac:dyDescent="0.25">
      <c r="A103" t="s">
        <v>98</v>
      </c>
      <c r="B103" t="s">
        <v>99</v>
      </c>
      <c r="C103" t="s">
        <v>100</v>
      </c>
      <c r="D103" t="s">
        <v>101</v>
      </c>
      <c r="E103" t="s">
        <v>304</v>
      </c>
      <c r="F103" t="s">
        <v>180</v>
      </c>
      <c r="G103" t="s">
        <v>119</v>
      </c>
      <c r="H103" t="s">
        <v>125</v>
      </c>
      <c r="I103">
        <v>2022</v>
      </c>
      <c r="J103" t="s">
        <v>325</v>
      </c>
      <c r="K103" t="s">
        <v>127</v>
      </c>
      <c r="L103" t="s">
        <v>306</v>
      </c>
      <c r="M103" t="s">
        <v>326</v>
      </c>
      <c r="N103">
        <v>1</v>
      </c>
      <c r="O103">
        <v>2022</v>
      </c>
      <c r="P103">
        <v>3914.784397702746</v>
      </c>
      <c r="Q103">
        <v>1.7409370701601361</v>
      </c>
      <c r="R103" t="s">
        <v>109</v>
      </c>
      <c r="S103">
        <v>2248.6650808938512</v>
      </c>
      <c r="T103">
        <v>5.8616647127784294</v>
      </c>
      <c r="U103" t="s">
        <v>184</v>
      </c>
      <c r="V103">
        <v>5.8616647127784294</v>
      </c>
      <c r="W103">
        <v>9</v>
      </c>
      <c r="X103">
        <v>22</v>
      </c>
      <c r="Y103">
        <v>16</v>
      </c>
      <c r="Z103">
        <v>8.2748623405738631E-2</v>
      </c>
      <c r="AA103">
        <v>31.536000000000001</v>
      </c>
    </row>
    <row r="104" spans="1:27" x14ac:dyDescent="0.25">
      <c r="A104" t="s">
        <v>98</v>
      </c>
      <c r="B104" t="s">
        <v>99</v>
      </c>
      <c r="C104" t="s">
        <v>100</v>
      </c>
      <c r="D104" t="s">
        <v>101</v>
      </c>
      <c r="E104" t="s">
        <v>304</v>
      </c>
      <c r="F104" t="s">
        <v>201</v>
      </c>
      <c r="G104" t="s">
        <v>103</v>
      </c>
      <c r="H104" t="s">
        <v>125</v>
      </c>
      <c r="I104">
        <v>2016</v>
      </c>
      <c r="J104" t="s">
        <v>327</v>
      </c>
      <c r="K104" t="s">
        <v>127</v>
      </c>
      <c r="L104" t="s">
        <v>306</v>
      </c>
      <c r="M104" t="s">
        <v>328</v>
      </c>
      <c r="N104">
        <v>1</v>
      </c>
      <c r="O104">
        <v>2020</v>
      </c>
      <c r="P104">
        <v>9511.0007826155233</v>
      </c>
      <c r="Q104">
        <v>1.7409370701601361</v>
      </c>
      <c r="R104" t="s">
        <v>109</v>
      </c>
      <c r="S104">
        <v>5463.1502457126007</v>
      </c>
      <c r="T104">
        <v>14.1</v>
      </c>
      <c r="U104" t="s">
        <v>329</v>
      </c>
      <c r="V104">
        <v>4.1348973607038122</v>
      </c>
      <c r="W104">
        <v>8</v>
      </c>
      <c r="X104">
        <v>20.8</v>
      </c>
      <c r="Y104">
        <v>15</v>
      </c>
      <c r="Z104">
        <v>8.2748623405738631E-2</v>
      </c>
      <c r="AA104">
        <v>31.536000000000001</v>
      </c>
    </row>
    <row r="105" spans="1:27" x14ac:dyDescent="0.25">
      <c r="A105" t="s">
        <v>98</v>
      </c>
      <c r="B105" t="s">
        <v>99</v>
      </c>
      <c r="C105" t="s">
        <v>100</v>
      </c>
      <c r="D105" t="s">
        <v>101</v>
      </c>
      <c r="E105" t="s">
        <v>304</v>
      </c>
      <c r="F105" t="s">
        <v>201</v>
      </c>
      <c r="G105" t="s">
        <v>111</v>
      </c>
      <c r="H105" t="s">
        <v>125</v>
      </c>
      <c r="I105">
        <v>2016</v>
      </c>
      <c r="J105" t="s">
        <v>330</v>
      </c>
      <c r="K105" t="s">
        <v>127</v>
      </c>
      <c r="L105" t="s">
        <v>306</v>
      </c>
      <c r="M105" t="s">
        <v>331</v>
      </c>
      <c r="N105">
        <v>1</v>
      </c>
      <c r="O105">
        <v>2020</v>
      </c>
      <c r="P105">
        <v>9846.3245281564559</v>
      </c>
      <c r="Q105">
        <v>1.7409370701601361</v>
      </c>
      <c r="R105" t="s">
        <v>109</v>
      </c>
      <c r="S105">
        <v>5655.7613120678534</v>
      </c>
      <c r="T105">
        <v>17.3</v>
      </c>
      <c r="U105" t="s">
        <v>329</v>
      </c>
      <c r="V105">
        <v>5.0733137829912023</v>
      </c>
      <c r="W105">
        <v>8</v>
      </c>
      <c r="X105">
        <v>20.8</v>
      </c>
      <c r="Y105">
        <v>15</v>
      </c>
      <c r="Z105">
        <v>8.2748623405738631E-2</v>
      </c>
      <c r="AA105">
        <v>31.536000000000001</v>
      </c>
    </row>
    <row r="106" spans="1:27" x14ac:dyDescent="0.25">
      <c r="A106" t="s">
        <v>98</v>
      </c>
      <c r="B106" t="s">
        <v>99</v>
      </c>
      <c r="C106" t="s">
        <v>100</v>
      </c>
      <c r="D106" t="s">
        <v>101</v>
      </c>
      <c r="E106" t="s">
        <v>304</v>
      </c>
      <c r="F106" t="s">
        <v>201</v>
      </c>
      <c r="G106" t="s">
        <v>114</v>
      </c>
      <c r="H106" t="s">
        <v>125</v>
      </c>
      <c r="I106">
        <v>2016</v>
      </c>
      <c r="J106" t="s">
        <v>332</v>
      </c>
      <c r="K106" t="s">
        <v>127</v>
      </c>
      <c r="L106" t="s">
        <v>306</v>
      </c>
      <c r="M106" t="s">
        <v>333</v>
      </c>
      <c r="N106">
        <v>0</v>
      </c>
      <c r="O106">
        <v>2020</v>
      </c>
      <c r="P106">
        <v>9846.3245281564559</v>
      </c>
      <c r="Q106">
        <v>1.7409370701601361</v>
      </c>
      <c r="R106" t="s">
        <v>109</v>
      </c>
      <c r="S106">
        <v>5655.7613120678534</v>
      </c>
      <c r="T106">
        <v>17.100000000000001</v>
      </c>
      <c r="U106" t="s">
        <v>329</v>
      </c>
      <c r="V106">
        <v>5.0146627565982396</v>
      </c>
      <c r="W106">
        <v>8</v>
      </c>
      <c r="X106">
        <v>20.8</v>
      </c>
      <c r="Y106">
        <v>15</v>
      </c>
      <c r="Z106">
        <v>8.2748623405738631E-2</v>
      </c>
      <c r="AA106">
        <v>31.536000000000001</v>
      </c>
    </row>
    <row r="107" spans="1:27" x14ac:dyDescent="0.25">
      <c r="A107" t="s">
        <v>98</v>
      </c>
      <c r="B107" t="s">
        <v>99</v>
      </c>
      <c r="C107" t="s">
        <v>100</v>
      </c>
      <c r="D107" t="s">
        <v>101</v>
      </c>
      <c r="E107" t="s">
        <v>304</v>
      </c>
      <c r="F107" t="s">
        <v>201</v>
      </c>
      <c r="G107" t="s">
        <v>114</v>
      </c>
      <c r="H107" t="s">
        <v>125</v>
      </c>
      <c r="I107">
        <v>2020</v>
      </c>
      <c r="J107" t="s">
        <v>334</v>
      </c>
      <c r="K107" t="s">
        <v>127</v>
      </c>
      <c r="L107" t="s">
        <v>306</v>
      </c>
      <c r="M107" t="s">
        <v>333</v>
      </c>
      <c r="N107">
        <v>1</v>
      </c>
      <c r="O107">
        <v>2020</v>
      </c>
      <c r="P107">
        <v>9846.3245281564559</v>
      </c>
      <c r="Q107">
        <v>1.7409370701601361</v>
      </c>
      <c r="R107" t="s">
        <v>109</v>
      </c>
      <c r="S107">
        <v>5655.7613120678534</v>
      </c>
      <c r="T107">
        <v>17.100000000000001</v>
      </c>
      <c r="U107" t="s">
        <v>329</v>
      </c>
      <c r="V107">
        <v>5.0146627565982396</v>
      </c>
      <c r="W107">
        <v>8</v>
      </c>
      <c r="X107">
        <v>20.8</v>
      </c>
      <c r="Y107">
        <v>15</v>
      </c>
      <c r="Z107">
        <v>8.2748623405738631E-2</v>
      </c>
      <c r="AA107">
        <v>31.536000000000001</v>
      </c>
    </row>
    <row r="108" spans="1:27" x14ac:dyDescent="0.25">
      <c r="A108" t="s">
        <v>98</v>
      </c>
      <c r="B108" t="s">
        <v>99</v>
      </c>
      <c r="C108" t="s">
        <v>100</v>
      </c>
      <c r="D108" t="s">
        <v>101</v>
      </c>
      <c r="E108" t="s">
        <v>304</v>
      </c>
      <c r="F108" t="s">
        <v>201</v>
      </c>
      <c r="G108" t="s">
        <v>114</v>
      </c>
      <c r="H108" t="s">
        <v>125</v>
      </c>
      <c r="I108">
        <v>2022</v>
      </c>
      <c r="J108" t="s">
        <v>335</v>
      </c>
      <c r="K108" t="s">
        <v>127</v>
      </c>
      <c r="L108" t="s">
        <v>306</v>
      </c>
      <c r="M108" t="s">
        <v>336</v>
      </c>
      <c r="N108">
        <v>1</v>
      </c>
      <c r="O108">
        <v>2022</v>
      </c>
      <c r="P108">
        <v>9846.3245281564559</v>
      </c>
      <c r="Q108">
        <v>1.7409370701601361</v>
      </c>
      <c r="R108" t="s">
        <v>109</v>
      </c>
      <c r="S108">
        <v>5655.7613120678534</v>
      </c>
      <c r="T108">
        <v>17.100000000000001</v>
      </c>
      <c r="U108" t="s">
        <v>329</v>
      </c>
      <c r="V108">
        <v>5.0146627565982396</v>
      </c>
      <c r="W108">
        <v>8</v>
      </c>
      <c r="X108">
        <v>20.8</v>
      </c>
      <c r="Y108">
        <v>15</v>
      </c>
      <c r="Z108">
        <v>8.2748623405738631E-2</v>
      </c>
      <c r="AA108">
        <v>31.536000000000001</v>
      </c>
    </row>
    <row r="109" spans="1:27" x14ac:dyDescent="0.25">
      <c r="A109" t="s">
        <v>98</v>
      </c>
      <c r="B109" t="s">
        <v>99</v>
      </c>
      <c r="C109" t="s">
        <v>100</v>
      </c>
      <c r="D109" t="s">
        <v>101</v>
      </c>
      <c r="E109" t="s">
        <v>304</v>
      </c>
      <c r="F109" t="s">
        <v>201</v>
      </c>
      <c r="G109" t="s">
        <v>114</v>
      </c>
      <c r="H109" t="s">
        <v>125</v>
      </c>
      <c r="I109">
        <v>2023</v>
      </c>
      <c r="J109" t="s">
        <v>337</v>
      </c>
      <c r="K109" t="s">
        <v>127</v>
      </c>
      <c r="L109" t="s">
        <v>306</v>
      </c>
      <c r="M109" t="s">
        <v>338</v>
      </c>
      <c r="N109">
        <v>1</v>
      </c>
      <c r="O109">
        <v>2023</v>
      </c>
      <c r="P109">
        <v>9846.3245281564559</v>
      </c>
      <c r="Q109">
        <v>1.7409370701601361</v>
      </c>
      <c r="R109" t="s">
        <v>109</v>
      </c>
      <c r="S109">
        <v>5655.7613120678534</v>
      </c>
      <c r="T109">
        <v>17.100000000000001</v>
      </c>
      <c r="U109" t="s">
        <v>329</v>
      </c>
      <c r="V109">
        <v>5.0146627565982396</v>
      </c>
      <c r="W109">
        <v>8</v>
      </c>
      <c r="X109">
        <v>20.8</v>
      </c>
      <c r="Y109">
        <v>15</v>
      </c>
      <c r="Z109">
        <v>8.2748623405738631E-2</v>
      </c>
      <c r="AA109">
        <v>31.536000000000001</v>
      </c>
    </row>
    <row r="110" spans="1:27" x14ac:dyDescent="0.25">
      <c r="A110" t="s">
        <v>98</v>
      </c>
      <c r="B110" t="s">
        <v>99</v>
      </c>
      <c r="C110" t="s">
        <v>100</v>
      </c>
      <c r="D110" t="s">
        <v>101</v>
      </c>
      <c r="E110" t="s">
        <v>304</v>
      </c>
      <c r="F110" t="s">
        <v>201</v>
      </c>
      <c r="G110" t="s">
        <v>114</v>
      </c>
      <c r="H110" t="s">
        <v>125</v>
      </c>
      <c r="I110">
        <v>2024</v>
      </c>
      <c r="J110" t="s">
        <v>339</v>
      </c>
      <c r="K110" t="s">
        <v>127</v>
      </c>
      <c r="L110" t="s">
        <v>306</v>
      </c>
      <c r="M110" t="s">
        <v>340</v>
      </c>
      <c r="N110">
        <v>1</v>
      </c>
      <c r="O110">
        <v>2024</v>
      </c>
      <c r="P110">
        <v>9846.3245281564559</v>
      </c>
      <c r="Q110">
        <v>1.7409370701601361</v>
      </c>
      <c r="R110" t="s">
        <v>109</v>
      </c>
      <c r="S110">
        <v>5655.7613120678534</v>
      </c>
      <c r="T110">
        <v>17.100000000000001</v>
      </c>
      <c r="U110" t="s">
        <v>329</v>
      </c>
      <c r="V110">
        <v>5.0146627565982396</v>
      </c>
      <c r="W110">
        <v>8</v>
      </c>
      <c r="X110">
        <v>20.8</v>
      </c>
      <c r="Y110">
        <v>15</v>
      </c>
      <c r="Z110">
        <v>8.2748623405738631E-2</v>
      </c>
      <c r="AA110">
        <v>31.536000000000001</v>
      </c>
    </row>
    <row r="111" spans="1:27" x14ac:dyDescent="0.25">
      <c r="A111" t="s">
        <v>98</v>
      </c>
      <c r="B111" t="s">
        <v>99</v>
      </c>
      <c r="C111" t="s">
        <v>100</v>
      </c>
      <c r="D111" t="s">
        <v>101</v>
      </c>
      <c r="E111" t="s">
        <v>304</v>
      </c>
      <c r="F111" t="s">
        <v>201</v>
      </c>
      <c r="G111" t="s">
        <v>119</v>
      </c>
      <c r="H111" t="s">
        <v>125</v>
      </c>
      <c r="I111">
        <v>2016</v>
      </c>
      <c r="J111" t="s">
        <v>341</v>
      </c>
      <c r="K111" t="s">
        <v>127</v>
      </c>
      <c r="L111" t="s">
        <v>306</v>
      </c>
      <c r="M111" t="s">
        <v>342</v>
      </c>
      <c r="N111">
        <v>0</v>
      </c>
      <c r="O111">
        <v>2020</v>
      </c>
      <c r="P111">
        <v>10395.03611176889</v>
      </c>
      <c r="Q111">
        <v>1.7409370701601361</v>
      </c>
      <c r="R111" t="s">
        <v>109</v>
      </c>
      <c r="S111">
        <v>5970.9430570128116</v>
      </c>
      <c r="T111">
        <v>22.4</v>
      </c>
      <c r="U111" t="s">
        <v>329</v>
      </c>
      <c r="V111">
        <v>6.5689149560117297</v>
      </c>
      <c r="W111">
        <v>8</v>
      </c>
      <c r="X111">
        <v>20.8</v>
      </c>
      <c r="Y111">
        <v>15</v>
      </c>
      <c r="Z111">
        <v>8.2748623405738631E-2</v>
      </c>
      <c r="AA111">
        <v>31.536000000000001</v>
      </c>
    </row>
    <row r="112" spans="1:27" x14ac:dyDescent="0.25">
      <c r="A112" t="s">
        <v>98</v>
      </c>
      <c r="B112" t="s">
        <v>99</v>
      </c>
      <c r="C112" t="s">
        <v>100</v>
      </c>
      <c r="D112" t="s">
        <v>101</v>
      </c>
      <c r="E112" t="s">
        <v>304</v>
      </c>
      <c r="F112" t="s">
        <v>201</v>
      </c>
      <c r="G112" t="s">
        <v>119</v>
      </c>
      <c r="H112" t="s">
        <v>125</v>
      </c>
      <c r="I112">
        <v>2020</v>
      </c>
      <c r="J112" t="s">
        <v>343</v>
      </c>
      <c r="K112" t="s">
        <v>127</v>
      </c>
      <c r="L112" t="s">
        <v>306</v>
      </c>
      <c r="M112" t="s">
        <v>342</v>
      </c>
      <c r="N112">
        <v>1</v>
      </c>
      <c r="O112">
        <v>2020</v>
      </c>
      <c r="P112">
        <v>10395.03611176889</v>
      </c>
      <c r="Q112">
        <v>1.7409370701601361</v>
      </c>
      <c r="R112" t="s">
        <v>109</v>
      </c>
      <c r="S112">
        <v>5970.9430570128116</v>
      </c>
      <c r="T112">
        <v>22.4</v>
      </c>
      <c r="U112" t="s">
        <v>329</v>
      </c>
      <c r="V112">
        <v>6.5689149560117297</v>
      </c>
      <c r="W112">
        <v>8</v>
      </c>
      <c r="X112">
        <v>20.8</v>
      </c>
      <c r="Y112">
        <v>15</v>
      </c>
      <c r="Z112">
        <v>8.2748623405738631E-2</v>
      </c>
      <c r="AA112">
        <v>31.536000000000001</v>
      </c>
    </row>
    <row r="113" spans="1:27" x14ac:dyDescent="0.25">
      <c r="A113" t="s">
        <v>98</v>
      </c>
      <c r="B113" t="s">
        <v>99</v>
      </c>
      <c r="C113" t="s">
        <v>100</v>
      </c>
      <c r="D113" t="s">
        <v>101</v>
      </c>
      <c r="E113" t="s">
        <v>304</v>
      </c>
      <c r="F113" t="s">
        <v>201</v>
      </c>
      <c r="G113" t="s">
        <v>119</v>
      </c>
      <c r="H113" t="s">
        <v>125</v>
      </c>
      <c r="I113">
        <v>2022</v>
      </c>
      <c r="J113" t="s">
        <v>344</v>
      </c>
      <c r="K113" t="s">
        <v>127</v>
      </c>
      <c r="L113" t="s">
        <v>306</v>
      </c>
      <c r="M113" t="s">
        <v>345</v>
      </c>
      <c r="N113">
        <v>1</v>
      </c>
      <c r="O113">
        <v>2022</v>
      </c>
      <c r="P113">
        <v>10395.03611176889</v>
      </c>
      <c r="Q113">
        <v>1.7409370701601361</v>
      </c>
      <c r="R113" t="s">
        <v>109</v>
      </c>
      <c r="S113">
        <v>5970.9430570128116</v>
      </c>
      <c r="T113">
        <v>22.4</v>
      </c>
      <c r="U113" t="s">
        <v>329</v>
      </c>
      <c r="V113">
        <v>6.5689149560117297</v>
      </c>
      <c r="W113">
        <v>8</v>
      </c>
      <c r="X113">
        <v>20.8</v>
      </c>
      <c r="Y113">
        <v>15</v>
      </c>
      <c r="Z113">
        <v>8.2748623405738631E-2</v>
      </c>
      <c r="AA113">
        <v>31.536000000000001</v>
      </c>
    </row>
    <row r="114" spans="1:27" x14ac:dyDescent="0.25">
      <c r="A114" t="s">
        <v>98</v>
      </c>
      <c r="B114" t="s">
        <v>99</v>
      </c>
      <c r="C114" t="s">
        <v>100</v>
      </c>
      <c r="D114" t="s">
        <v>101</v>
      </c>
      <c r="E114" t="s">
        <v>304</v>
      </c>
      <c r="F114" t="s">
        <v>201</v>
      </c>
      <c r="G114" t="s">
        <v>119</v>
      </c>
      <c r="H114" t="s">
        <v>125</v>
      </c>
      <c r="I114">
        <v>2023</v>
      </c>
      <c r="J114" t="s">
        <v>346</v>
      </c>
      <c r="K114" t="s">
        <v>127</v>
      </c>
      <c r="L114" t="s">
        <v>306</v>
      </c>
      <c r="M114" t="s">
        <v>347</v>
      </c>
      <c r="N114">
        <v>1</v>
      </c>
      <c r="O114">
        <v>2023</v>
      </c>
      <c r="P114">
        <v>10395.03611176889</v>
      </c>
      <c r="Q114">
        <v>1.7409370701601361</v>
      </c>
      <c r="R114" t="s">
        <v>109</v>
      </c>
      <c r="S114">
        <v>5970.9430570128116</v>
      </c>
      <c r="T114">
        <v>22.4</v>
      </c>
      <c r="U114" t="s">
        <v>329</v>
      </c>
      <c r="V114">
        <v>6.5689149560117297</v>
      </c>
      <c r="W114">
        <v>8</v>
      </c>
      <c r="X114">
        <v>20.8</v>
      </c>
      <c r="Y114">
        <v>15</v>
      </c>
      <c r="Z114">
        <v>8.2748623405738631E-2</v>
      </c>
      <c r="AA114">
        <v>31.536000000000001</v>
      </c>
    </row>
    <row r="115" spans="1:27" x14ac:dyDescent="0.25">
      <c r="A115" t="s">
        <v>98</v>
      </c>
      <c r="B115" t="s">
        <v>99</v>
      </c>
      <c r="C115" t="s">
        <v>100</v>
      </c>
      <c r="D115" t="s">
        <v>101</v>
      </c>
      <c r="E115" t="s">
        <v>304</v>
      </c>
      <c r="F115" t="s">
        <v>201</v>
      </c>
      <c r="G115" t="s">
        <v>119</v>
      </c>
      <c r="H115" t="s">
        <v>125</v>
      </c>
      <c r="I115">
        <v>2024</v>
      </c>
      <c r="J115" t="s">
        <v>348</v>
      </c>
      <c r="K115" t="s">
        <v>127</v>
      </c>
      <c r="L115" t="s">
        <v>306</v>
      </c>
      <c r="M115" t="s">
        <v>349</v>
      </c>
      <c r="N115">
        <v>1</v>
      </c>
      <c r="O115">
        <v>2024</v>
      </c>
      <c r="P115">
        <v>10395.03611176889</v>
      </c>
      <c r="Q115">
        <v>1.7409370701601361</v>
      </c>
      <c r="R115" t="s">
        <v>109</v>
      </c>
      <c r="S115">
        <v>5970.9430570128116</v>
      </c>
      <c r="T115">
        <v>22.4</v>
      </c>
      <c r="U115" t="s">
        <v>329</v>
      </c>
      <c r="V115">
        <v>6.5689149560117297</v>
      </c>
      <c r="W115">
        <v>8</v>
      </c>
      <c r="X115">
        <v>20.8</v>
      </c>
      <c r="Y115">
        <v>15</v>
      </c>
      <c r="Z115">
        <v>8.2748623405738631E-2</v>
      </c>
      <c r="AA115">
        <v>31.536000000000001</v>
      </c>
    </row>
    <row r="116" spans="1:27" x14ac:dyDescent="0.25">
      <c r="A116" t="s">
        <v>98</v>
      </c>
      <c r="B116" t="s">
        <v>99</v>
      </c>
      <c r="C116" t="s">
        <v>100</v>
      </c>
      <c r="D116" t="s">
        <v>101</v>
      </c>
      <c r="E116" t="s">
        <v>304</v>
      </c>
      <c r="F116" t="s">
        <v>350</v>
      </c>
      <c r="G116" t="s">
        <v>103</v>
      </c>
      <c r="H116" t="s">
        <v>125</v>
      </c>
      <c r="I116">
        <v>2016</v>
      </c>
      <c r="J116" t="s">
        <v>351</v>
      </c>
      <c r="K116" t="s">
        <v>127</v>
      </c>
      <c r="L116" t="s">
        <v>306</v>
      </c>
      <c r="M116" t="s">
        <v>352</v>
      </c>
      <c r="N116">
        <v>1</v>
      </c>
      <c r="O116">
        <v>2020</v>
      </c>
      <c r="P116">
        <v>756.00262631046473</v>
      </c>
      <c r="Q116">
        <v>1.7409370701601361</v>
      </c>
      <c r="R116" t="s">
        <v>109</v>
      </c>
      <c r="S116">
        <v>434.25040414638619</v>
      </c>
      <c r="T116">
        <v>3.1946072684642441</v>
      </c>
      <c r="U116" t="s">
        <v>184</v>
      </c>
      <c r="V116">
        <v>3.1946072684642441</v>
      </c>
      <c r="W116">
        <v>6</v>
      </c>
      <c r="X116">
        <v>13</v>
      </c>
      <c r="Y116">
        <v>10</v>
      </c>
      <c r="Z116">
        <v>8.2748623405738631E-2</v>
      </c>
      <c r="AA116">
        <v>31.536000000000001</v>
      </c>
    </row>
    <row r="117" spans="1:27" x14ac:dyDescent="0.25">
      <c r="A117" t="s">
        <v>98</v>
      </c>
      <c r="B117" t="s">
        <v>99</v>
      </c>
      <c r="C117" t="s">
        <v>100</v>
      </c>
      <c r="D117" t="s">
        <v>101</v>
      </c>
      <c r="E117" t="s">
        <v>304</v>
      </c>
      <c r="F117" t="s">
        <v>350</v>
      </c>
      <c r="G117" t="s">
        <v>111</v>
      </c>
      <c r="H117" t="s">
        <v>125</v>
      </c>
      <c r="I117">
        <v>2016</v>
      </c>
      <c r="J117" t="s">
        <v>353</v>
      </c>
      <c r="K117" t="s">
        <v>127</v>
      </c>
      <c r="L117" t="s">
        <v>306</v>
      </c>
      <c r="M117" t="s">
        <v>354</v>
      </c>
      <c r="N117">
        <v>1</v>
      </c>
      <c r="O117">
        <v>2020</v>
      </c>
      <c r="P117">
        <v>780.38980780435065</v>
      </c>
      <c r="Q117">
        <v>1.7409370701601361</v>
      </c>
      <c r="R117" t="s">
        <v>109</v>
      </c>
      <c r="S117">
        <v>448.25848169949552</v>
      </c>
      <c r="T117">
        <v>3.5169988276670581</v>
      </c>
      <c r="U117" t="s">
        <v>184</v>
      </c>
      <c r="V117">
        <v>3.5169988276670581</v>
      </c>
      <c r="W117">
        <v>6</v>
      </c>
      <c r="X117">
        <v>13</v>
      </c>
      <c r="Y117">
        <v>10</v>
      </c>
      <c r="Z117">
        <v>8.2748623405738631E-2</v>
      </c>
      <c r="AA117">
        <v>31.536000000000001</v>
      </c>
    </row>
    <row r="118" spans="1:27" x14ac:dyDescent="0.25">
      <c r="A118" t="s">
        <v>98</v>
      </c>
      <c r="B118" t="s">
        <v>99</v>
      </c>
      <c r="C118" t="s">
        <v>100</v>
      </c>
      <c r="D118" t="s">
        <v>101</v>
      </c>
      <c r="E118" t="s">
        <v>304</v>
      </c>
      <c r="F118" t="s">
        <v>350</v>
      </c>
      <c r="G118" t="s">
        <v>111</v>
      </c>
      <c r="H118" t="s">
        <v>125</v>
      </c>
      <c r="I118">
        <v>2030</v>
      </c>
      <c r="J118" t="s">
        <v>355</v>
      </c>
      <c r="K118" t="s">
        <v>127</v>
      </c>
      <c r="L118" t="s">
        <v>306</v>
      </c>
      <c r="M118" t="s">
        <v>356</v>
      </c>
      <c r="N118">
        <v>1</v>
      </c>
      <c r="O118">
        <v>2030</v>
      </c>
      <c r="P118">
        <v>780.38980780435065</v>
      </c>
      <c r="Q118">
        <v>1.7409370701601361</v>
      </c>
      <c r="R118" t="s">
        <v>109</v>
      </c>
      <c r="S118">
        <v>448.25848169949552</v>
      </c>
      <c r="T118">
        <v>3.5902696365767879</v>
      </c>
      <c r="U118" t="s">
        <v>184</v>
      </c>
      <c r="V118">
        <v>3.5902696365767879</v>
      </c>
      <c r="W118">
        <v>6</v>
      </c>
      <c r="X118">
        <v>13</v>
      </c>
      <c r="Y118">
        <v>10</v>
      </c>
      <c r="Z118">
        <v>8.2748623405738631E-2</v>
      </c>
      <c r="AA118">
        <v>31.536000000000001</v>
      </c>
    </row>
    <row r="119" spans="1:27" x14ac:dyDescent="0.25">
      <c r="A119" t="s">
        <v>98</v>
      </c>
      <c r="B119" t="s">
        <v>99</v>
      </c>
      <c r="C119" t="s">
        <v>100</v>
      </c>
      <c r="D119" t="s">
        <v>101</v>
      </c>
      <c r="E119" t="s">
        <v>304</v>
      </c>
      <c r="F119" t="s">
        <v>350</v>
      </c>
      <c r="G119" t="s">
        <v>111</v>
      </c>
      <c r="H119" t="s">
        <v>125</v>
      </c>
      <c r="I119">
        <v>2040</v>
      </c>
      <c r="J119" t="s">
        <v>357</v>
      </c>
      <c r="K119" t="s">
        <v>127</v>
      </c>
      <c r="L119" t="s">
        <v>306</v>
      </c>
      <c r="M119" t="s">
        <v>358</v>
      </c>
      <c r="N119">
        <v>1</v>
      </c>
      <c r="O119">
        <v>2040</v>
      </c>
      <c r="P119">
        <v>780.38980780435065</v>
      </c>
      <c r="Q119">
        <v>1.7409370701601361</v>
      </c>
      <c r="R119" t="s">
        <v>109</v>
      </c>
      <c r="S119">
        <v>448.25848169949552</v>
      </c>
      <c r="T119">
        <v>3.6635404454865181</v>
      </c>
      <c r="U119" t="s">
        <v>184</v>
      </c>
      <c r="V119">
        <v>3.6635404454865181</v>
      </c>
      <c r="W119">
        <v>6</v>
      </c>
      <c r="X119">
        <v>13</v>
      </c>
      <c r="Y119">
        <v>10</v>
      </c>
      <c r="Z119">
        <v>8.2748623405738631E-2</v>
      </c>
      <c r="AA119">
        <v>31.536000000000001</v>
      </c>
    </row>
    <row r="120" spans="1:27" x14ac:dyDescent="0.25">
      <c r="A120" t="s">
        <v>98</v>
      </c>
      <c r="B120" t="s">
        <v>99</v>
      </c>
      <c r="C120" t="s">
        <v>100</v>
      </c>
      <c r="D120" t="s">
        <v>101</v>
      </c>
      <c r="E120" t="s">
        <v>304</v>
      </c>
      <c r="F120" t="s">
        <v>350</v>
      </c>
      <c r="G120" t="s">
        <v>114</v>
      </c>
      <c r="H120" t="s">
        <v>125</v>
      </c>
      <c r="I120">
        <v>2016</v>
      </c>
      <c r="J120" t="s">
        <v>359</v>
      </c>
      <c r="K120" t="s">
        <v>127</v>
      </c>
      <c r="L120" t="s">
        <v>306</v>
      </c>
      <c r="M120" t="s">
        <v>360</v>
      </c>
      <c r="N120">
        <v>1</v>
      </c>
      <c r="O120">
        <v>2020</v>
      </c>
      <c r="P120">
        <v>780.38980780435065</v>
      </c>
      <c r="Q120">
        <v>1.7409370701601361</v>
      </c>
      <c r="R120" t="s">
        <v>109</v>
      </c>
      <c r="S120">
        <v>448.25848169949552</v>
      </c>
      <c r="T120">
        <v>3.5169988276670581</v>
      </c>
      <c r="U120" t="s">
        <v>184</v>
      </c>
      <c r="V120">
        <v>3.5169988276670581</v>
      </c>
      <c r="W120">
        <v>6</v>
      </c>
      <c r="X120">
        <v>13</v>
      </c>
      <c r="Y120">
        <v>10</v>
      </c>
      <c r="Z120">
        <v>8.2748623405738631E-2</v>
      </c>
      <c r="AA120">
        <v>31.536000000000001</v>
      </c>
    </row>
    <row r="121" spans="1:27" x14ac:dyDescent="0.25">
      <c r="A121" t="s">
        <v>98</v>
      </c>
      <c r="B121" t="s">
        <v>99</v>
      </c>
      <c r="C121" t="s">
        <v>100</v>
      </c>
      <c r="D121" t="s">
        <v>101</v>
      </c>
      <c r="E121" t="s">
        <v>304</v>
      </c>
      <c r="F121" t="s">
        <v>350</v>
      </c>
      <c r="G121" t="s">
        <v>119</v>
      </c>
      <c r="H121" t="s">
        <v>125</v>
      </c>
      <c r="I121">
        <v>2016</v>
      </c>
      <c r="J121" t="s">
        <v>361</v>
      </c>
      <c r="K121" t="s">
        <v>127</v>
      </c>
      <c r="L121" t="s">
        <v>306</v>
      </c>
      <c r="M121" t="s">
        <v>362</v>
      </c>
      <c r="N121">
        <v>1</v>
      </c>
      <c r="O121">
        <v>2020</v>
      </c>
      <c r="P121">
        <v>859.64814765948006</v>
      </c>
      <c r="Q121">
        <v>1.7409370701601361</v>
      </c>
      <c r="R121" t="s">
        <v>109</v>
      </c>
      <c r="S121">
        <v>493.78473374710052</v>
      </c>
      <c r="T121">
        <v>3.6049237983587341</v>
      </c>
      <c r="U121" t="s">
        <v>184</v>
      </c>
      <c r="V121">
        <v>3.6049237983587341</v>
      </c>
      <c r="W121">
        <v>6</v>
      </c>
      <c r="X121">
        <v>13</v>
      </c>
      <c r="Y121">
        <v>10</v>
      </c>
      <c r="Z121">
        <v>8.2748623405738631E-2</v>
      </c>
      <c r="AA121">
        <v>31.536000000000001</v>
      </c>
    </row>
    <row r="122" spans="1:27" x14ac:dyDescent="0.25">
      <c r="A122" t="s">
        <v>98</v>
      </c>
      <c r="B122" t="s">
        <v>99</v>
      </c>
      <c r="C122" t="s">
        <v>100</v>
      </c>
      <c r="D122" t="s">
        <v>101</v>
      </c>
      <c r="E122" t="s">
        <v>304</v>
      </c>
      <c r="F122" t="s">
        <v>350</v>
      </c>
      <c r="G122" t="s">
        <v>119</v>
      </c>
      <c r="H122" t="s">
        <v>125</v>
      </c>
      <c r="I122">
        <v>2022</v>
      </c>
      <c r="J122" t="s">
        <v>363</v>
      </c>
      <c r="K122" t="s">
        <v>127</v>
      </c>
      <c r="L122" t="s">
        <v>306</v>
      </c>
      <c r="M122" t="s">
        <v>364</v>
      </c>
      <c r="N122">
        <v>1</v>
      </c>
      <c r="O122">
        <v>2022</v>
      </c>
      <c r="P122">
        <v>859.64814765948006</v>
      </c>
      <c r="Q122">
        <v>1.7409370701601361</v>
      </c>
      <c r="R122" t="s">
        <v>109</v>
      </c>
      <c r="S122">
        <v>493.78473374710052</v>
      </c>
      <c r="T122">
        <v>3.6635404454865181</v>
      </c>
      <c r="U122" t="s">
        <v>184</v>
      </c>
      <c r="V122">
        <v>3.6635404454865181</v>
      </c>
      <c r="W122">
        <v>6</v>
      </c>
      <c r="X122">
        <v>13</v>
      </c>
      <c r="Y122">
        <v>10</v>
      </c>
      <c r="Z122">
        <v>8.2748623405738631E-2</v>
      </c>
      <c r="AA122">
        <v>31.536000000000001</v>
      </c>
    </row>
    <row r="123" spans="1:27" x14ac:dyDescent="0.25">
      <c r="A123" t="s">
        <v>98</v>
      </c>
      <c r="B123" t="s">
        <v>99</v>
      </c>
      <c r="C123" t="s">
        <v>100</v>
      </c>
      <c r="D123" t="s">
        <v>101</v>
      </c>
      <c r="E123" t="s">
        <v>304</v>
      </c>
      <c r="F123" t="s">
        <v>350</v>
      </c>
      <c r="G123" t="s">
        <v>119</v>
      </c>
      <c r="H123" t="s">
        <v>125</v>
      </c>
      <c r="I123">
        <v>2030</v>
      </c>
      <c r="J123" t="s">
        <v>365</v>
      </c>
      <c r="K123" t="s">
        <v>127</v>
      </c>
      <c r="L123" t="s">
        <v>306</v>
      </c>
      <c r="M123" t="s">
        <v>366</v>
      </c>
      <c r="N123">
        <v>1</v>
      </c>
      <c r="O123">
        <v>2030</v>
      </c>
      <c r="P123">
        <v>859.64814765948006</v>
      </c>
      <c r="Q123">
        <v>1.7409370701601361</v>
      </c>
      <c r="R123" t="s">
        <v>109</v>
      </c>
      <c r="S123">
        <v>493.78473374710052</v>
      </c>
      <c r="T123">
        <v>3.8100820633059791</v>
      </c>
      <c r="U123" t="s">
        <v>184</v>
      </c>
      <c r="V123">
        <v>3.8100820633059791</v>
      </c>
      <c r="W123">
        <v>6</v>
      </c>
      <c r="X123">
        <v>13</v>
      </c>
      <c r="Y123">
        <v>10</v>
      </c>
      <c r="Z123">
        <v>8.2748623405738631E-2</v>
      </c>
      <c r="AA123">
        <v>31.536000000000001</v>
      </c>
    </row>
    <row r="124" spans="1:27" x14ac:dyDescent="0.25">
      <c r="A124" t="s">
        <v>98</v>
      </c>
      <c r="B124" t="s">
        <v>99</v>
      </c>
      <c r="C124" t="s">
        <v>100</v>
      </c>
      <c r="D124" t="s">
        <v>101</v>
      </c>
      <c r="E124" t="s">
        <v>304</v>
      </c>
      <c r="F124" t="s">
        <v>350</v>
      </c>
      <c r="G124" t="s">
        <v>119</v>
      </c>
      <c r="H124" t="s">
        <v>125</v>
      </c>
      <c r="I124">
        <v>2040</v>
      </c>
      <c r="J124" t="s">
        <v>367</v>
      </c>
      <c r="K124" t="s">
        <v>127</v>
      </c>
      <c r="L124" t="s">
        <v>306</v>
      </c>
      <c r="M124" t="s">
        <v>368</v>
      </c>
      <c r="N124">
        <v>1</v>
      </c>
      <c r="O124">
        <v>2040</v>
      </c>
      <c r="P124">
        <v>859.64814765948006</v>
      </c>
      <c r="Q124">
        <v>1.7409370701601361</v>
      </c>
      <c r="R124" t="s">
        <v>109</v>
      </c>
      <c r="S124">
        <v>493.78473374710052</v>
      </c>
      <c r="T124">
        <v>3.9566236811254401</v>
      </c>
      <c r="U124" t="s">
        <v>184</v>
      </c>
      <c r="V124">
        <v>3.9566236811254401</v>
      </c>
      <c r="W124">
        <v>6</v>
      </c>
      <c r="X124">
        <v>13</v>
      </c>
      <c r="Y124">
        <v>10</v>
      </c>
      <c r="Z124">
        <v>8.2748623405738631E-2</v>
      </c>
      <c r="AA124">
        <v>31.536000000000001</v>
      </c>
    </row>
    <row r="125" spans="1:27" x14ac:dyDescent="0.25">
      <c r="A125" t="s">
        <v>98</v>
      </c>
      <c r="B125" t="s">
        <v>99</v>
      </c>
      <c r="C125" t="s">
        <v>100</v>
      </c>
      <c r="D125" t="s">
        <v>101</v>
      </c>
      <c r="E125" t="s">
        <v>304</v>
      </c>
      <c r="F125" t="s">
        <v>369</v>
      </c>
      <c r="G125" t="s">
        <v>103</v>
      </c>
      <c r="H125" t="s">
        <v>125</v>
      </c>
      <c r="I125">
        <v>2016</v>
      </c>
      <c r="J125" t="s">
        <v>370</v>
      </c>
      <c r="K125" t="s">
        <v>127</v>
      </c>
      <c r="L125" t="s">
        <v>306</v>
      </c>
      <c r="M125" t="s">
        <v>371</v>
      </c>
      <c r="N125">
        <v>1</v>
      </c>
      <c r="O125">
        <v>2020</v>
      </c>
      <c r="P125">
        <v>4328.724715164758</v>
      </c>
      <c r="Q125">
        <v>1.7409370701601361</v>
      </c>
      <c r="R125" t="s">
        <v>109</v>
      </c>
      <c r="S125">
        <v>2486.4337656768889</v>
      </c>
      <c r="T125">
        <v>3.8100820633059791</v>
      </c>
      <c r="U125" t="s">
        <v>184</v>
      </c>
      <c r="V125">
        <v>3.8100820633059791</v>
      </c>
      <c r="W125">
        <v>11</v>
      </c>
      <c r="X125">
        <v>25</v>
      </c>
      <c r="Y125">
        <v>19</v>
      </c>
      <c r="Z125">
        <v>8.2748623405738631E-2</v>
      </c>
      <c r="AA125">
        <v>31.536000000000001</v>
      </c>
    </row>
    <row r="126" spans="1:27" x14ac:dyDescent="0.25">
      <c r="A126" t="s">
        <v>98</v>
      </c>
      <c r="B126" t="s">
        <v>99</v>
      </c>
      <c r="C126" t="s">
        <v>100</v>
      </c>
      <c r="D126" t="s">
        <v>101</v>
      </c>
      <c r="E126" t="s">
        <v>304</v>
      </c>
      <c r="F126" t="s">
        <v>369</v>
      </c>
      <c r="G126" t="s">
        <v>103</v>
      </c>
      <c r="H126" t="s">
        <v>125</v>
      </c>
      <c r="I126">
        <v>2023</v>
      </c>
      <c r="J126" t="s">
        <v>372</v>
      </c>
      <c r="K126" t="s">
        <v>127</v>
      </c>
      <c r="L126" t="s">
        <v>306</v>
      </c>
      <c r="M126" t="s">
        <v>373</v>
      </c>
      <c r="N126">
        <v>1</v>
      </c>
      <c r="O126">
        <v>2023</v>
      </c>
      <c r="P126">
        <v>4328.724715164758</v>
      </c>
      <c r="Q126">
        <v>1.7409370701601361</v>
      </c>
      <c r="R126" t="s">
        <v>109</v>
      </c>
      <c r="S126">
        <v>2486.4337656768889</v>
      </c>
      <c r="T126">
        <v>3.8100820633059791</v>
      </c>
      <c r="U126" t="s">
        <v>184</v>
      </c>
      <c r="V126">
        <v>3.8100820633059791</v>
      </c>
      <c r="W126">
        <v>11</v>
      </c>
      <c r="X126">
        <v>25</v>
      </c>
      <c r="Y126">
        <v>19</v>
      </c>
      <c r="Z126">
        <v>8.2748623405738631E-2</v>
      </c>
      <c r="AA126">
        <v>31.536000000000001</v>
      </c>
    </row>
    <row r="127" spans="1:27" x14ac:dyDescent="0.25">
      <c r="A127" t="s">
        <v>98</v>
      </c>
      <c r="B127" t="s">
        <v>99</v>
      </c>
      <c r="C127" t="s">
        <v>100</v>
      </c>
      <c r="D127" t="s">
        <v>101</v>
      </c>
      <c r="E127" t="s">
        <v>304</v>
      </c>
      <c r="F127" t="s">
        <v>369</v>
      </c>
      <c r="G127" t="s">
        <v>111</v>
      </c>
      <c r="H127" t="s">
        <v>125</v>
      </c>
      <c r="I127">
        <v>2016</v>
      </c>
      <c r="J127" t="s">
        <v>374</v>
      </c>
      <c r="K127" t="s">
        <v>127</v>
      </c>
      <c r="L127" t="s">
        <v>306</v>
      </c>
      <c r="M127" t="s">
        <v>375</v>
      </c>
      <c r="N127">
        <v>1</v>
      </c>
      <c r="O127">
        <v>2020</v>
      </c>
      <c r="P127">
        <v>4450.6606226341873</v>
      </c>
      <c r="Q127">
        <v>1.7409370701601361</v>
      </c>
      <c r="R127" t="s">
        <v>109</v>
      </c>
      <c r="S127">
        <v>2556.4741534424352</v>
      </c>
      <c r="T127">
        <v>4.0738569753810081</v>
      </c>
      <c r="U127" t="s">
        <v>184</v>
      </c>
      <c r="V127">
        <v>4.0738569753810081</v>
      </c>
      <c r="W127">
        <v>11</v>
      </c>
      <c r="X127">
        <v>25</v>
      </c>
      <c r="Y127">
        <v>19</v>
      </c>
      <c r="Z127">
        <v>8.2748623405738631E-2</v>
      </c>
      <c r="AA127">
        <v>31.536000000000001</v>
      </c>
    </row>
    <row r="128" spans="1:27" x14ac:dyDescent="0.25">
      <c r="A128" t="s">
        <v>98</v>
      </c>
      <c r="B128" t="s">
        <v>99</v>
      </c>
      <c r="C128" t="s">
        <v>100</v>
      </c>
      <c r="D128" t="s">
        <v>101</v>
      </c>
      <c r="E128" t="s">
        <v>304</v>
      </c>
      <c r="F128" t="s">
        <v>369</v>
      </c>
      <c r="G128" t="s">
        <v>111</v>
      </c>
      <c r="H128" t="s">
        <v>125</v>
      </c>
      <c r="I128">
        <v>2023</v>
      </c>
      <c r="J128" t="s">
        <v>376</v>
      </c>
      <c r="K128" t="s">
        <v>127</v>
      </c>
      <c r="L128" t="s">
        <v>306</v>
      </c>
      <c r="M128" t="s">
        <v>377</v>
      </c>
      <c r="N128">
        <v>1</v>
      </c>
      <c r="O128">
        <v>2023</v>
      </c>
      <c r="P128">
        <v>4511.628576368902</v>
      </c>
      <c r="Q128">
        <v>1.7409370701601361</v>
      </c>
      <c r="R128" t="s">
        <v>109</v>
      </c>
      <c r="S128">
        <v>2591.4943473252079</v>
      </c>
      <c r="T128">
        <v>4.2203985932004704</v>
      </c>
      <c r="U128" t="s">
        <v>184</v>
      </c>
      <c r="V128">
        <v>4.2203985932004704</v>
      </c>
      <c r="W128">
        <v>11</v>
      </c>
      <c r="X128">
        <v>25</v>
      </c>
      <c r="Y128">
        <v>19</v>
      </c>
      <c r="Z128">
        <v>8.2748623405738631E-2</v>
      </c>
      <c r="AA128">
        <v>31.536000000000001</v>
      </c>
    </row>
    <row r="129" spans="1:27" x14ac:dyDescent="0.25">
      <c r="A129" t="s">
        <v>98</v>
      </c>
      <c r="B129" t="s">
        <v>99</v>
      </c>
      <c r="C129" t="s">
        <v>100</v>
      </c>
      <c r="D129" t="s">
        <v>101</v>
      </c>
      <c r="E129" t="s">
        <v>304</v>
      </c>
      <c r="F129" t="s">
        <v>369</v>
      </c>
      <c r="G129" t="s">
        <v>114</v>
      </c>
      <c r="H129" t="s">
        <v>125</v>
      </c>
      <c r="I129">
        <v>2016</v>
      </c>
      <c r="J129" t="s">
        <v>378</v>
      </c>
      <c r="K129" t="s">
        <v>127</v>
      </c>
      <c r="L129" t="s">
        <v>306</v>
      </c>
      <c r="M129" t="s">
        <v>379</v>
      </c>
      <c r="N129">
        <v>1</v>
      </c>
      <c r="O129">
        <v>2020</v>
      </c>
      <c r="P129">
        <v>4877.436298777192</v>
      </c>
      <c r="Q129">
        <v>1.7409370701601361</v>
      </c>
      <c r="R129" t="s">
        <v>109</v>
      </c>
      <c r="S129">
        <v>2801.6155106218471</v>
      </c>
      <c r="T129">
        <v>4.3962485345838216</v>
      </c>
      <c r="U129" t="s">
        <v>184</v>
      </c>
      <c r="V129">
        <v>4.3962485345838216</v>
      </c>
      <c r="W129">
        <v>11</v>
      </c>
      <c r="X129">
        <v>25</v>
      </c>
      <c r="Y129">
        <v>19</v>
      </c>
      <c r="Z129">
        <v>8.2748623405738631E-2</v>
      </c>
      <c r="AA129">
        <v>31.536000000000001</v>
      </c>
    </row>
    <row r="130" spans="1:27" x14ac:dyDescent="0.25">
      <c r="A130" t="s">
        <v>98</v>
      </c>
      <c r="B130" t="s">
        <v>99</v>
      </c>
      <c r="C130" t="s">
        <v>100</v>
      </c>
      <c r="D130" t="s">
        <v>101</v>
      </c>
      <c r="E130" t="s">
        <v>304</v>
      </c>
      <c r="F130" t="s">
        <v>369</v>
      </c>
      <c r="G130" t="s">
        <v>114</v>
      </c>
      <c r="H130" t="s">
        <v>125</v>
      </c>
      <c r="I130">
        <v>2023</v>
      </c>
      <c r="J130" t="s">
        <v>380</v>
      </c>
      <c r="K130" t="s">
        <v>127</v>
      </c>
      <c r="L130" t="s">
        <v>306</v>
      </c>
      <c r="M130" t="s">
        <v>381</v>
      </c>
      <c r="N130">
        <v>1</v>
      </c>
      <c r="O130">
        <v>2023</v>
      </c>
      <c r="P130">
        <v>5202.5987186956727</v>
      </c>
      <c r="Q130">
        <v>1.7409370701601361</v>
      </c>
      <c r="R130" t="s">
        <v>109</v>
      </c>
      <c r="S130">
        <v>2988.389877996638</v>
      </c>
      <c r="T130">
        <v>4.6893317702227444</v>
      </c>
      <c r="U130" t="s">
        <v>184</v>
      </c>
      <c r="V130">
        <v>4.6893317702227444</v>
      </c>
      <c r="W130">
        <v>11</v>
      </c>
      <c r="X130">
        <v>25</v>
      </c>
      <c r="Y130">
        <v>19</v>
      </c>
      <c r="Z130">
        <v>8.2748623405738631E-2</v>
      </c>
      <c r="AA130">
        <v>31.536000000000001</v>
      </c>
    </row>
    <row r="131" spans="1:27" x14ac:dyDescent="0.25">
      <c r="A131" t="s">
        <v>98</v>
      </c>
      <c r="B131" t="s">
        <v>99</v>
      </c>
      <c r="C131" t="s">
        <v>100</v>
      </c>
      <c r="D131" t="s">
        <v>101</v>
      </c>
      <c r="E131" t="s">
        <v>304</v>
      </c>
      <c r="F131" t="s">
        <v>369</v>
      </c>
      <c r="G131" t="s">
        <v>119</v>
      </c>
      <c r="H131" t="s">
        <v>125</v>
      </c>
      <c r="I131">
        <v>2016</v>
      </c>
      <c r="J131" t="s">
        <v>382</v>
      </c>
      <c r="K131" t="s">
        <v>127</v>
      </c>
      <c r="L131" t="s">
        <v>306</v>
      </c>
      <c r="M131" t="s">
        <v>383</v>
      </c>
      <c r="N131">
        <v>1</v>
      </c>
      <c r="O131">
        <v>2020</v>
      </c>
      <c r="P131">
        <v>5670.0196973284856</v>
      </c>
      <c r="Q131">
        <v>1.7409370701601361</v>
      </c>
      <c r="R131" t="s">
        <v>109</v>
      </c>
      <c r="S131">
        <v>3256.8780310978968</v>
      </c>
      <c r="T131">
        <v>4.835873388042204</v>
      </c>
      <c r="U131" t="s">
        <v>184</v>
      </c>
      <c r="V131">
        <v>4.835873388042204</v>
      </c>
      <c r="W131">
        <v>11</v>
      </c>
      <c r="X131">
        <v>25</v>
      </c>
      <c r="Y131">
        <v>19</v>
      </c>
      <c r="Z131">
        <v>8.2748623405738631E-2</v>
      </c>
      <c r="AA131">
        <v>31.536000000000001</v>
      </c>
    </row>
    <row r="132" spans="1:27" x14ac:dyDescent="0.25">
      <c r="A132" t="s">
        <v>98</v>
      </c>
      <c r="B132" t="s">
        <v>99</v>
      </c>
      <c r="C132" t="s">
        <v>100</v>
      </c>
      <c r="D132" t="s">
        <v>101</v>
      </c>
      <c r="E132" t="s">
        <v>304</v>
      </c>
      <c r="F132" t="s">
        <v>369</v>
      </c>
      <c r="G132" t="s">
        <v>119</v>
      </c>
      <c r="H132" t="s">
        <v>125</v>
      </c>
      <c r="I132">
        <v>2022</v>
      </c>
      <c r="J132" t="s">
        <v>384</v>
      </c>
      <c r="K132" t="s">
        <v>127</v>
      </c>
      <c r="L132" t="s">
        <v>306</v>
      </c>
      <c r="M132" t="s">
        <v>385</v>
      </c>
      <c r="N132">
        <v>1</v>
      </c>
      <c r="O132">
        <v>2022</v>
      </c>
      <c r="P132">
        <v>5670.0196973284856</v>
      </c>
      <c r="Q132">
        <v>1.7409370701601361</v>
      </c>
      <c r="R132" t="s">
        <v>109</v>
      </c>
      <c r="S132">
        <v>3256.8780310978968</v>
      </c>
      <c r="T132">
        <v>4.835873388042204</v>
      </c>
      <c r="U132" t="s">
        <v>184</v>
      </c>
      <c r="V132">
        <v>4.835873388042204</v>
      </c>
      <c r="W132">
        <v>11</v>
      </c>
      <c r="X132">
        <v>25</v>
      </c>
      <c r="Y132">
        <v>19</v>
      </c>
      <c r="Z132">
        <v>8.2748623405738631E-2</v>
      </c>
      <c r="AA132">
        <v>31.536000000000001</v>
      </c>
    </row>
    <row r="133" spans="1:27" x14ac:dyDescent="0.25">
      <c r="A133" t="s">
        <v>98</v>
      </c>
      <c r="B133" t="s">
        <v>99</v>
      </c>
      <c r="C133" t="s">
        <v>100</v>
      </c>
      <c r="D133" t="s">
        <v>101</v>
      </c>
      <c r="E133" t="s">
        <v>386</v>
      </c>
      <c r="G133" t="s">
        <v>387</v>
      </c>
      <c r="H133" t="s">
        <v>125</v>
      </c>
      <c r="I133">
        <v>2016</v>
      </c>
      <c r="J133" t="s">
        <v>388</v>
      </c>
      <c r="K133" t="s">
        <v>127</v>
      </c>
      <c r="L133" t="s">
        <v>389</v>
      </c>
      <c r="M133" t="s">
        <v>390</v>
      </c>
      <c r="N133">
        <v>1</v>
      </c>
      <c r="O133">
        <v>2020</v>
      </c>
      <c r="P133">
        <v>853.55135228600852</v>
      </c>
      <c r="Q133">
        <v>1.9035395180907011</v>
      </c>
      <c r="R133" t="s">
        <v>391</v>
      </c>
      <c r="S133">
        <v>448.40222342331111</v>
      </c>
      <c r="T133">
        <v>404.78399999999999</v>
      </c>
      <c r="U133" t="s">
        <v>392</v>
      </c>
      <c r="V133">
        <v>1.1306815642458099</v>
      </c>
      <c r="W133">
        <v>11.625999787885601</v>
      </c>
      <c r="X133">
        <v>21.895260974855479</v>
      </c>
      <c r="Y133">
        <v>17</v>
      </c>
      <c r="Z133">
        <v>0.65</v>
      </c>
      <c r="AA133">
        <v>1</v>
      </c>
    </row>
    <row r="134" spans="1:27" x14ac:dyDescent="0.25">
      <c r="A134" t="s">
        <v>98</v>
      </c>
      <c r="B134" t="s">
        <v>99</v>
      </c>
      <c r="C134" t="s">
        <v>100</v>
      </c>
      <c r="D134" t="s">
        <v>101</v>
      </c>
      <c r="E134" t="s">
        <v>386</v>
      </c>
      <c r="G134" t="s">
        <v>393</v>
      </c>
      <c r="H134" t="s">
        <v>125</v>
      </c>
      <c r="I134">
        <v>2016</v>
      </c>
      <c r="J134" t="s">
        <v>394</v>
      </c>
      <c r="K134" t="s">
        <v>127</v>
      </c>
      <c r="L134" t="s">
        <v>389</v>
      </c>
      <c r="M134" t="s">
        <v>395</v>
      </c>
      <c r="N134">
        <v>1</v>
      </c>
      <c r="O134">
        <v>2020</v>
      </c>
      <c r="P134">
        <v>914.51930602072343</v>
      </c>
      <c r="Q134">
        <v>1.9035395180907011</v>
      </c>
      <c r="R134" t="s">
        <v>391</v>
      </c>
      <c r="S134">
        <v>480.43095366783342</v>
      </c>
      <c r="T134">
        <v>389</v>
      </c>
      <c r="U134" t="s">
        <v>392</v>
      </c>
      <c r="V134">
        <v>1.08659217877095</v>
      </c>
      <c r="W134">
        <v>11.625999787885601</v>
      </c>
      <c r="X134">
        <v>21.895260974855479</v>
      </c>
      <c r="Y134">
        <v>17</v>
      </c>
      <c r="Z134">
        <v>0.65</v>
      </c>
      <c r="AA134">
        <v>1</v>
      </c>
    </row>
    <row r="135" spans="1:27" x14ac:dyDescent="0.25">
      <c r="A135" t="s">
        <v>98</v>
      </c>
      <c r="B135" t="s">
        <v>99</v>
      </c>
      <c r="C135" t="s">
        <v>100</v>
      </c>
      <c r="D135" t="s">
        <v>101</v>
      </c>
      <c r="E135" t="s">
        <v>386</v>
      </c>
      <c r="G135" t="s">
        <v>396</v>
      </c>
      <c r="H135" t="s">
        <v>125</v>
      </c>
      <c r="I135">
        <v>2016</v>
      </c>
      <c r="J135" t="s">
        <v>397</v>
      </c>
      <c r="K135" t="s">
        <v>127</v>
      </c>
      <c r="L135" t="s">
        <v>389</v>
      </c>
      <c r="M135" t="s">
        <v>398</v>
      </c>
      <c r="N135">
        <v>1</v>
      </c>
      <c r="O135">
        <v>2020</v>
      </c>
      <c r="P135">
        <v>1036.455213490153</v>
      </c>
      <c r="Q135">
        <v>1.9035395180907011</v>
      </c>
      <c r="R135" t="s">
        <v>391</v>
      </c>
      <c r="S135">
        <v>544.48841415687775</v>
      </c>
      <c r="T135">
        <v>364.30560000000003</v>
      </c>
      <c r="U135" t="s">
        <v>392</v>
      </c>
      <c r="V135">
        <v>1.0176134078212291</v>
      </c>
      <c r="W135">
        <v>11.625999787885601</v>
      </c>
      <c r="X135">
        <v>21.895260974855479</v>
      </c>
      <c r="Y135">
        <v>17</v>
      </c>
      <c r="Z135">
        <v>0.65</v>
      </c>
      <c r="AA135">
        <v>1</v>
      </c>
    </row>
    <row r="136" spans="1:27" x14ac:dyDescent="0.25">
      <c r="A136" t="s">
        <v>98</v>
      </c>
      <c r="B136" t="s">
        <v>99</v>
      </c>
      <c r="C136" t="s">
        <v>100</v>
      </c>
      <c r="D136" t="s">
        <v>101</v>
      </c>
      <c r="E136" t="s">
        <v>386</v>
      </c>
      <c r="G136" t="s">
        <v>399</v>
      </c>
      <c r="H136" t="s">
        <v>125</v>
      </c>
      <c r="I136">
        <v>2016</v>
      </c>
      <c r="J136" t="s">
        <v>400</v>
      </c>
      <c r="K136" t="s">
        <v>127</v>
      </c>
      <c r="L136" t="s">
        <v>389</v>
      </c>
      <c r="M136" t="s">
        <v>401</v>
      </c>
      <c r="N136">
        <v>1</v>
      </c>
      <c r="O136">
        <v>2020</v>
      </c>
      <c r="P136">
        <v>1073.035985730982</v>
      </c>
      <c r="Q136">
        <v>1.9035395180907011</v>
      </c>
      <c r="R136" t="s">
        <v>391</v>
      </c>
      <c r="S136">
        <v>563.70565230359114</v>
      </c>
      <c r="T136">
        <v>358</v>
      </c>
      <c r="U136" t="s">
        <v>392</v>
      </c>
      <c r="V136">
        <v>1</v>
      </c>
      <c r="W136">
        <v>11.625999787885601</v>
      </c>
      <c r="X136">
        <v>21.895260974855479</v>
      </c>
      <c r="Y136">
        <v>17</v>
      </c>
      <c r="Z136">
        <v>0.65</v>
      </c>
      <c r="AA136">
        <v>1</v>
      </c>
    </row>
    <row r="137" spans="1:27" x14ac:dyDescent="0.25">
      <c r="A137" t="s">
        <v>98</v>
      </c>
      <c r="B137" t="s">
        <v>99</v>
      </c>
      <c r="C137" t="s">
        <v>100</v>
      </c>
      <c r="D137" t="s">
        <v>101</v>
      </c>
      <c r="E137" t="s">
        <v>386</v>
      </c>
      <c r="G137" t="s">
        <v>402</v>
      </c>
      <c r="H137" t="s">
        <v>125</v>
      </c>
      <c r="I137">
        <v>2016</v>
      </c>
      <c r="J137" t="s">
        <v>403</v>
      </c>
      <c r="K137" t="s">
        <v>127</v>
      </c>
      <c r="L137" t="s">
        <v>389</v>
      </c>
      <c r="M137" t="s">
        <v>404</v>
      </c>
      <c r="N137">
        <v>1</v>
      </c>
      <c r="O137">
        <v>2020</v>
      </c>
      <c r="P137">
        <v>1597.3603878495301</v>
      </c>
      <c r="Q137">
        <v>1.9035395180907011</v>
      </c>
      <c r="R137" t="s">
        <v>391</v>
      </c>
      <c r="S137">
        <v>839.1527324064823</v>
      </c>
      <c r="T137">
        <v>705.226</v>
      </c>
      <c r="U137" t="s">
        <v>392</v>
      </c>
      <c r="V137">
        <v>1.9699050279329611</v>
      </c>
      <c r="W137">
        <v>11.625999787885601</v>
      </c>
      <c r="X137">
        <v>21.895260974855479</v>
      </c>
      <c r="Y137">
        <v>17</v>
      </c>
      <c r="Z137">
        <v>0.65</v>
      </c>
      <c r="AA137">
        <v>1</v>
      </c>
    </row>
    <row r="138" spans="1:27" x14ac:dyDescent="0.25">
      <c r="A138" t="s">
        <v>98</v>
      </c>
      <c r="B138" t="s">
        <v>99</v>
      </c>
      <c r="C138" t="s">
        <v>100</v>
      </c>
      <c r="D138" t="s">
        <v>101</v>
      </c>
      <c r="E138" t="s">
        <v>386</v>
      </c>
      <c r="G138" t="s">
        <v>405</v>
      </c>
      <c r="H138" t="s">
        <v>125</v>
      </c>
      <c r="I138">
        <v>2016</v>
      </c>
      <c r="J138" t="s">
        <v>406</v>
      </c>
      <c r="K138" t="s">
        <v>127</v>
      </c>
      <c r="L138" t="s">
        <v>389</v>
      </c>
      <c r="M138" t="s">
        <v>407</v>
      </c>
      <c r="N138">
        <v>1</v>
      </c>
      <c r="O138">
        <v>2020</v>
      </c>
      <c r="P138">
        <v>1731.489886065903</v>
      </c>
      <c r="Q138">
        <v>1.9035395180907011</v>
      </c>
      <c r="R138" t="s">
        <v>391</v>
      </c>
      <c r="S138">
        <v>909.61593894443115</v>
      </c>
      <c r="T138">
        <v>671</v>
      </c>
      <c r="U138" t="s">
        <v>392</v>
      </c>
      <c r="V138">
        <v>1.8743016759776541</v>
      </c>
      <c r="W138">
        <v>11.625999787885601</v>
      </c>
      <c r="X138">
        <v>21.895260974855479</v>
      </c>
      <c r="Y138">
        <v>17</v>
      </c>
      <c r="Z138">
        <v>0.65</v>
      </c>
      <c r="AA138">
        <v>1</v>
      </c>
    </row>
    <row r="139" spans="1:27" x14ac:dyDescent="0.25">
      <c r="A139" t="s">
        <v>98</v>
      </c>
      <c r="B139" t="s">
        <v>99</v>
      </c>
      <c r="C139" t="s">
        <v>100</v>
      </c>
      <c r="D139" t="s">
        <v>101</v>
      </c>
      <c r="E139" t="s">
        <v>386</v>
      </c>
      <c r="G139" t="s">
        <v>408</v>
      </c>
      <c r="H139" t="s">
        <v>125</v>
      </c>
      <c r="I139">
        <v>2016</v>
      </c>
      <c r="J139" t="s">
        <v>409</v>
      </c>
      <c r="K139" t="s">
        <v>127</v>
      </c>
      <c r="L139" t="s">
        <v>389</v>
      </c>
      <c r="M139" t="s">
        <v>410</v>
      </c>
      <c r="N139">
        <v>1</v>
      </c>
      <c r="O139">
        <v>2020</v>
      </c>
      <c r="P139">
        <v>1890.006565776162</v>
      </c>
      <c r="Q139">
        <v>1.9035395180907011</v>
      </c>
      <c r="R139" t="s">
        <v>391</v>
      </c>
      <c r="S139">
        <v>992.89063758018892</v>
      </c>
      <c r="T139">
        <v>634.70339999999999</v>
      </c>
      <c r="U139" t="s">
        <v>392</v>
      </c>
      <c r="V139">
        <v>1.772914525139665</v>
      </c>
      <c r="W139">
        <v>11.625999787885601</v>
      </c>
      <c r="X139">
        <v>21.895260974855479</v>
      </c>
      <c r="Y139">
        <v>17</v>
      </c>
      <c r="Z139">
        <v>0.65</v>
      </c>
      <c r="AA139">
        <v>1</v>
      </c>
    </row>
    <row r="140" spans="1:27" x14ac:dyDescent="0.25">
      <c r="A140" t="s">
        <v>98</v>
      </c>
      <c r="B140" t="s">
        <v>99</v>
      </c>
      <c r="C140" t="s">
        <v>100</v>
      </c>
      <c r="D140" t="s">
        <v>101</v>
      </c>
      <c r="E140" t="s">
        <v>386</v>
      </c>
      <c r="G140" t="s">
        <v>411</v>
      </c>
      <c r="H140" t="s">
        <v>125</v>
      </c>
      <c r="I140">
        <v>2016</v>
      </c>
      <c r="J140" t="s">
        <v>412</v>
      </c>
      <c r="K140" t="s">
        <v>127</v>
      </c>
      <c r="L140" t="s">
        <v>389</v>
      </c>
      <c r="M140" t="s">
        <v>413</v>
      </c>
      <c r="N140">
        <v>1</v>
      </c>
      <c r="O140">
        <v>2020</v>
      </c>
      <c r="P140">
        <v>2414.3309678947098</v>
      </c>
      <c r="Q140">
        <v>1.9035395180907011</v>
      </c>
      <c r="R140" t="s">
        <v>391</v>
      </c>
      <c r="S140">
        <v>1268.33771768308</v>
      </c>
      <c r="T140">
        <v>509</v>
      </c>
      <c r="U140" t="s">
        <v>392</v>
      </c>
      <c r="V140">
        <v>1.4217877094972069</v>
      </c>
      <c r="W140">
        <v>11.625999787885601</v>
      </c>
      <c r="X140">
        <v>21.895260974855479</v>
      </c>
      <c r="Y140">
        <v>17</v>
      </c>
      <c r="Z140">
        <v>0.65</v>
      </c>
      <c r="AA140">
        <v>1</v>
      </c>
    </row>
    <row r="141" spans="1:27" x14ac:dyDescent="0.25">
      <c r="A141" t="s">
        <v>98</v>
      </c>
      <c r="B141" t="s">
        <v>99</v>
      </c>
      <c r="C141" t="s">
        <v>100</v>
      </c>
      <c r="D141" t="s">
        <v>101</v>
      </c>
      <c r="E141" t="s">
        <v>386</v>
      </c>
      <c r="G141" t="s">
        <v>414</v>
      </c>
      <c r="H141" t="s">
        <v>125</v>
      </c>
      <c r="I141">
        <v>2016</v>
      </c>
      <c r="J141" t="s">
        <v>415</v>
      </c>
      <c r="K141" t="s">
        <v>127</v>
      </c>
      <c r="L141" t="s">
        <v>389</v>
      </c>
      <c r="M141" t="s">
        <v>416</v>
      </c>
      <c r="N141">
        <v>1</v>
      </c>
      <c r="O141">
        <v>2020</v>
      </c>
      <c r="P141">
        <v>1255.939846935127</v>
      </c>
      <c r="Q141">
        <v>1.9035395180907011</v>
      </c>
      <c r="R141" t="s">
        <v>391</v>
      </c>
      <c r="S141">
        <v>659.79184303715783</v>
      </c>
      <c r="T141">
        <v>520.54999999999995</v>
      </c>
      <c r="U141" t="s">
        <v>392</v>
      </c>
      <c r="V141">
        <v>1.4540502793296091</v>
      </c>
      <c r="W141">
        <v>11.625999787885601</v>
      </c>
      <c r="X141">
        <v>21.895260974855479</v>
      </c>
      <c r="Y141">
        <v>17</v>
      </c>
      <c r="Z141">
        <v>0.65</v>
      </c>
      <c r="AA141">
        <v>1</v>
      </c>
    </row>
    <row r="142" spans="1:27" x14ac:dyDescent="0.25">
      <c r="A142" t="s">
        <v>98</v>
      </c>
      <c r="B142" t="s">
        <v>99</v>
      </c>
      <c r="C142" t="s">
        <v>100</v>
      </c>
      <c r="D142" t="s">
        <v>101</v>
      </c>
      <c r="E142" t="s">
        <v>386</v>
      </c>
      <c r="G142" t="s">
        <v>417</v>
      </c>
      <c r="H142" t="s">
        <v>125</v>
      </c>
      <c r="I142">
        <v>2016</v>
      </c>
      <c r="J142" t="s">
        <v>418</v>
      </c>
      <c r="K142" t="s">
        <v>127</v>
      </c>
      <c r="L142" t="s">
        <v>389</v>
      </c>
      <c r="M142" t="s">
        <v>419</v>
      </c>
      <c r="N142">
        <v>1</v>
      </c>
      <c r="O142">
        <v>2020</v>
      </c>
      <c r="P142">
        <v>1365.682163657614</v>
      </c>
      <c r="Q142">
        <v>1.9035395180907011</v>
      </c>
      <c r="R142" t="s">
        <v>391</v>
      </c>
      <c r="S142">
        <v>717.44355747729787</v>
      </c>
      <c r="T142">
        <v>480</v>
      </c>
      <c r="U142" t="s">
        <v>392</v>
      </c>
      <c r="V142">
        <v>1.3407821229050281</v>
      </c>
      <c r="W142">
        <v>11.625999787885601</v>
      </c>
      <c r="X142">
        <v>21.895260974855479</v>
      </c>
      <c r="Y142">
        <v>17</v>
      </c>
      <c r="Z142">
        <v>0.65</v>
      </c>
      <c r="AA142">
        <v>1</v>
      </c>
    </row>
    <row r="143" spans="1:27" x14ac:dyDescent="0.25">
      <c r="A143" t="s">
        <v>98</v>
      </c>
      <c r="B143" t="s">
        <v>99</v>
      </c>
      <c r="C143" t="s">
        <v>100</v>
      </c>
      <c r="D143" t="s">
        <v>101</v>
      </c>
      <c r="E143" t="s">
        <v>386</v>
      </c>
      <c r="G143" t="s">
        <v>420</v>
      </c>
      <c r="H143" t="s">
        <v>125</v>
      </c>
      <c r="I143">
        <v>2016</v>
      </c>
      <c r="J143" t="s">
        <v>421</v>
      </c>
      <c r="K143" t="s">
        <v>127</v>
      </c>
      <c r="L143" t="s">
        <v>389</v>
      </c>
      <c r="M143" t="s">
        <v>422</v>
      </c>
      <c r="N143">
        <v>1</v>
      </c>
      <c r="O143">
        <v>2020</v>
      </c>
      <c r="P143">
        <v>1414.456526645386</v>
      </c>
      <c r="Q143">
        <v>1.9035395180907011</v>
      </c>
      <c r="R143" t="s">
        <v>391</v>
      </c>
      <c r="S143">
        <v>743.0665416729156</v>
      </c>
      <c r="T143">
        <v>469</v>
      </c>
      <c r="U143" t="s">
        <v>392</v>
      </c>
      <c r="V143">
        <v>1.310055865921788</v>
      </c>
      <c r="W143">
        <v>11.625999787885601</v>
      </c>
      <c r="X143">
        <v>21.895260974855479</v>
      </c>
      <c r="Y143">
        <v>17</v>
      </c>
      <c r="Z143">
        <v>0.65</v>
      </c>
      <c r="AA143">
        <v>1</v>
      </c>
    </row>
    <row r="144" spans="1:27" x14ac:dyDescent="0.25">
      <c r="A144" t="s">
        <v>98</v>
      </c>
      <c r="B144" t="s">
        <v>99</v>
      </c>
      <c r="C144" t="s">
        <v>100</v>
      </c>
      <c r="D144" t="s">
        <v>101</v>
      </c>
      <c r="E144" t="s">
        <v>386</v>
      </c>
      <c r="G144" t="s">
        <v>423</v>
      </c>
      <c r="H144" t="s">
        <v>125</v>
      </c>
      <c r="I144">
        <v>2016</v>
      </c>
      <c r="J144" t="s">
        <v>424</v>
      </c>
      <c r="K144" t="s">
        <v>127</v>
      </c>
      <c r="L144" t="s">
        <v>389</v>
      </c>
      <c r="M144" t="s">
        <v>425</v>
      </c>
      <c r="N144">
        <v>1</v>
      </c>
      <c r="O144">
        <v>2020</v>
      </c>
      <c r="P144">
        <v>1414.456526645386</v>
      </c>
      <c r="Q144">
        <v>1.9035395180907011</v>
      </c>
      <c r="R144" t="s">
        <v>391</v>
      </c>
      <c r="S144">
        <v>743.0665416729156</v>
      </c>
      <c r="T144">
        <v>469</v>
      </c>
      <c r="U144" t="s">
        <v>392</v>
      </c>
      <c r="V144">
        <v>1.310055865921788</v>
      </c>
      <c r="W144">
        <v>11.625999787885601</v>
      </c>
      <c r="X144">
        <v>21.895260974855479</v>
      </c>
      <c r="Y144">
        <v>17</v>
      </c>
      <c r="Z144">
        <v>0.65</v>
      </c>
      <c r="AA144">
        <v>1</v>
      </c>
    </row>
    <row r="145" spans="1:27" x14ac:dyDescent="0.25">
      <c r="A145" t="s">
        <v>98</v>
      </c>
      <c r="B145" t="s">
        <v>99</v>
      </c>
      <c r="C145" t="s">
        <v>100</v>
      </c>
      <c r="D145" t="s">
        <v>101</v>
      </c>
      <c r="E145" t="s">
        <v>426</v>
      </c>
      <c r="G145" t="s">
        <v>427</v>
      </c>
      <c r="H145" t="s">
        <v>125</v>
      </c>
      <c r="I145">
        <v>2016</v>
      </c>
      <c r="J145" t="s">
        <v>428</v>
      </c>
      <c r="K145" t="s">
        <v>127</v>
      </c>
      <c r="L145" t="s">
        <v>429</v>
      </c>
      <c r="M145" t="s">
        <v>430</v>
      </c>
      <c r="N145">
        <v>1</v>
      </c>
      <c r="O145">
        <v>2020</v>
      </c>
      <c r="P145">
        <v>609.67953734714899</v>
      </c>
      <c r="Q145">
        <v>0.20576820652852471</v>
      </c>
      <c r="R145" t="s">
        <v>391</v>
      </c>
      <c r="S145">
        <v>2962.9433411163641</v>
      </c>
      <c r="T145">
        <v>300.25599999999997</v>
      </c>
      <c r="U145" t="s">
        <v>392</v>
      </c>
      <c r="V145">
        <v>1.0918399999999999</v>
      </c>
      <c r="W145">
        <v>16.5973520403479</v>
      </c>
      <c r="X145">
        <v>27.331519839424129</v>
      </c>
      <c r="Y145">
        <v>22</v>
      </c>
      <c r="Z145">
        <v>0.65</v>
      </c>
      <c r="AA145">
        <v>1</v>
      </c>
    </row>
    <row r="146" spans="1:27" x14ac:dyDescent="0.25">
      <c r="A146" t="s">
        <v>98</v>
      </c>
      <c r="B146" t="s">
        <v>99</v>
      </c>
      <c r="C146" t="s">
        <v>100</v>
      </c>
      <c r="D146" t="s">
        <v>101</v>
      </c>
      <c r="E146" t="s">
        <v>426</v>
      </c>
      <c r="G146" t="s">
        <v>431</v>
      </c>
      <c r="H146" t="s">
        <v>125</v>
      </c>
      <c r="I146">
        <v>2016</v>
      </c>
      <c r="J146" t="s">
        <v>432</v>
      </c>
      <c r="K146" t="s">
        <v>127</v>
      </c>
      <c r="L146" t="s">
        <v>429</v>
      </c>
      <c r="M146" t="s">
        <v>433</v>
      </c>
      <c r="N146">
        <v>1</v>
      </c>
      <c r="O146">
        <v>2020</v>
      </c>
      <c r="P146">
        <v>609.67953734714899</v>
      </c>
      <c r="Q146">
        <v>0.20576820652852471</v>
      </c>
      <c r="R146" t="s">
        <v>391</v>
      </c>
      <c r="S146">
        <v>2962.9433411163641</v>
      </c>
      <c r="T146">
        <v>297</v>
      </c>
      <c r="U146" t="s">
        <v>392</v>
      </c>
      <c r="V146">
        <v>1.08</v>
      </c>
      <c r="W146">
        <v>16.5973520403479</v>
      </c>
      <c r="X146">
        <v>27.331519839424129</v>
      </c>
      <c r="Y146">
        <v>22</v>
      </c>
      <c r="Z146">
        <v>0.65</v>
      </c>
      <c r="AA146">
        <v>1</v>
      </c>
    </row>
    <row r="147" spans="1:27" x14ac:dyDescent="0.25">
      <c r="A147" t="s">
        <v>98</v>
      </c>
      <c r="B147" t="s">
        <v>99</v>
      </c>
      <c r="C147" t="s">
        <v>100</v>
      </c>
      <c r="D147" t="s">
        <v>101</v>
      </c>
      <c r="E147" t="s">
        <v>426</v>
      </c>
      <c r="G147" t="s">
        <v>434</v>
      </c>
      <c r="H147" t="s">
        <v>125</v>
      </c>
      <c r="I147">
        <v>2016</v>
      </c>
      <c r="J147" t="s">
        <v>435</v>
      </c>
      <c r="K147" t="s">
        <v>127</v>
      </c>
      <c r="L147" t="s">
        <v>429</v>
      </c>
      <c r="M147" t="s">
        <v>436</v>
      </c>
      <c r="N147">
        <v>1</v>
      </c>
      <c r="O147">
        <v>2020</v>
      </c>
      <c r="P147">
        <v>670.6474910818639</v>
      </c>
      <c r="Q147">
        <v>0.20576820652852471</v>
      </c>
      <c r="R147" t="s">
        <v>391</v>
      </c>
      <c r="S147">
        <v>3259.2376752280011</v>
      </c>
      <c r="T147">
        <v>277</v>
      </c>
      <c r="U147" t="s">
        <v>392</v>
      </c>
      <c r="V147">
        <v>1.0072727272727271</v>
      </c>
      <c r="W147">
        <v>16.5973520403479</v>
      </c>
      <c r="X147">
        <v>27.331519839424129</v>
      </c>
      <c r="Y147">
        <v>22</v>
      </c>
      <c r="Z147">
        <v>0.65</v>
      </c>
      <c r="AA147">
        <v>1</v>
      </c>
    </row>
    <row r="148" spans="1:27" x14ac:dyDescent="0.25">
      <c r="A148" t="s">
        <v>98</v>
      </c>
      <c r="B148" t="s">
        <v>99</v>
      </c>
      <c r="C148" t="s">
        <v>100</v>
      </c>
      <c r="D148" t="s">
        <v>101</v>
      </c>
      <c r="E148" t="s">
        <v>426</v>
      </c>
      <c r="G148" t="s">
        <v>437</v>
      </c>
      <c r="H148" t="s">
        <v>125</v>
      </c>
      <c r="I148">
        <v>2016</v>
      </c>
      <c r="J148" t="s">
        <v>438</v>
      </c>
      <c r="K148" t="s">
        <v>127</v>
      </c>
      <c r="L148" t="s">
        <v>429</v>
      </c>
      <c r="M148" t="s">
        <v>439</v>
      </c>
      <c r="N148">
        <v>1</v>
      </c>
      <c r="O148">
        <v>2020</v>
      </c>
      <c r="P148">
        <v>658.45390033492083</v>
      </c>
      <c r="Q148">
        <v>0.20576820652852471</v>
      </c>
      <c r="R148" t="s">
        <v>391</v>
      </c>
      <c r="S148">
        <v>3199.9788084056731</v>
      </c>
      <c r="T148">
        <v>275</v>
      </c>
      <c r="U148" t="s">
        <v>392</v>
      </c>
      <c r="V148">
        <v>1</v>
      </c>
      <c r="W148">
        <v>16.5973520403479</v>
      </c>
      <c r="X148">
        <v>27.331519839424129</v>
      </c>
      <c r="Y148">
        <v>22</v>
      </c>
      <c r="Z148">
        <v>0.65</v>
      </c>
      <c r="AA148">
        <v>1</v>
      </c>
    </row>
    <row r="149" spans="1:27" x14ac:dyDescent="0.25">
      <c r="A149" t="s">
        <v>98</v>
      </c>
      <c r="B149" t="s">
        <v>99</v>
      </c>
      <c r="C149" t="s">
        <v>100</v>
      </c>
      <c r="D149" t="s">
        <v>101</v>
      </c>
      <c r="E149" t="s">
        <v>426</v>
      </c>
      <c r="G149" t="s">
        <v>440</v>
      </c>
      <c r="H149" t="s">
        <v>125</v>
      </c>
      <c r="I149">
        <v>2016</v>
      </c>
      <c r="J149" t="s">
        <v>441</v>
      </c>
      <c r="K149" t="s">
        <v>127</v>
      </c>
      <c r="L149" t="s">
        <v>429</v>
      </c>
      <c r="M149" t="s">
        <v>442</v>
      </c>
      <c r="N149">
        <v>1</v>
      </c>
      <c r="O149">
        <v>2020</v>
      </c>
      <c r="P149">
        <v>841.35776153906556</v>
      </c>
      <c r="Q149">
        <v>0.20576820652852471</v>
      </c>
      <c r="R149" t="s">
        <v>391</v>
      </c>
      <c r="S149">
        <v>4088.8618107405819</v>
      </c>
      <c r="T149">
        <v>477.41800000000001</v>
      </c>
      <c r="U149" t="s">
        <v>392</v>
      </c>
      <c r="V149">
        <v>1.736065454545455</v>
      </c>
      <c r="W149">
        <v>16.5973520403479</v>
      </c>
      <c r="X149">
        <v>27.331519839424129</v>
      </c>
      <c r="Y149">
        <v>22</v>
      </c>
      <c r="Z149">
        <v>0.65</v>
      </c>
      <c r="AA149">
        <v>1</v>
      </c>
    </row>
    <row r="150" spans="1:27" x14ac:dyDescent="0.25">
      <c r="A150" t="s">
        <v>98</v>
      </c>
      <c r="B150" t="s">
        <v>99</v>
      </c>
      <c r="C150" t="s">
        <v>100</v>
      </c>
      <c r="D150" t="s">
        <v>101</v>
      </c>
      <c r="E150" t="s">
        <v>426</v>
      </c>
      <c r="G150" t="s">
        <v>443</v>
      </c>
      <c r="H150" t="s">
        <v>125</v>
      </c>
      <c r="I150">
        <v>2016</v>
      </c>
      <c r="J150" t="s">
        <v>444</v>
      </c>
      <c r="K150" t="s">
        <v>127</v>
      </c>
      <c r="L150" t="s">
        <v>429</v>
      </c>
      <c r="M150" t="s">
        <v>445</v>
      </c>
      <c r="N150">
        <v>1</v>
      </c>
      <c r="O150">
        <v>2020</v>
      </c>
      <c r="P150">
        <v>914.51930602072343</v>
      </c>
      <c r="Q150">
        <v>0.20576820652852471</v>
      </c>
      <c r="R150" t="s">
        <v>391</v>
      </c>
      <c r="S150">
        <v>4444.4150116745459</v>
      </c>
      <c r="T150">
        <v>446</v>
      </c>
      <c r="U150" t="s">
        <v>392</v>
      </c>
      <c r="V150">
        <v>1.621818181818182</v>
      </c>
      <c r="W150">
        <v>16.5973520403479</v>
      </c>
      <c r="X150">
        <v>27.331519839424129</v>
      </c>
      <c r="Y150">
        <v>22</v>
      </c>
      <c r="Z150">
        <v>0.65</v>
      </c>
      <c r="AA150">
        <v>1</v>
      </c>
    </row>
    <row r="151" spans="1:27" x14ac:dyDescent="0.25">
      <c r="A151" t="s">
        <v>98</v>
      </c>
      <c r="B151" t="s">
        <v>99</v>
      </c>
      <c r="C151" t="s">
        <v>100</v>
      </c>
      <c r="D151" t="s">
        <v>101</v>
      </c>
      <c r="E151" t="s">
        <v>426</v>
      </c>
      <c r="G151" t="s">
        <v>446</v>
      </c>
      <c r="H151" t="s">
        <v>125</v>
      </c>
      <c r="I151">
        <v>2016</v>
      </c>
      <c r="J151" t="s">
        <v>447</v>
      </c>
      <c r="K151" t="s">
        <v>127</v>
      </c>
      <c r="L151" t="s">
        <v>429</v>
      </c>
      <c r="M151" t="s">
        <v>448</v>
      </c>
      <c r="N151">
        <v>1</v>
      </c>
      <c r="O151">
        <v>2020</v>
      </c>
      <c r="P151">
        <v>963.29366900849539</v>
      </c>
      <c r="Q151">
        <v>0.20576820652852471</v>
      </c>
      <c r="R151" t="s">
        <v>391</v>
      </c>
      <c r="S151">
        <v>4681.4504789638559</v>
      </c>
      <c r="T151">
        <v>429.67619999999999</v>
      </c>
      <c r="U151" t="s">
        <v>392</v>
      </c>
      <c r="V151">
        <v>1.5624589090909089</v>
      </c>
      <c r="W151">
        <v>16.5973520403479</v>
      </c>
      <c r="X151">
        <v>27.331519839424129</v>
      </c>
      <c r="Y151">
        <v>22</v>
      </c>
      <c r="Z151">
        <v>0.65</v>
      </c>
      <c r="AA151">
        <v>1</v>
      </c>
    </row>
    <row r="152" spans="1:27" x14ac:dyDescent="0.25">
      <c r="A152" t="s">
        <v>98</v>
      </c>
      <c r="B152" t="s">
        <v>99</v>
      </c>
      <c r="C152" t="s">
        <v>100</v>
      </c>
      <c r="D152" t="s">
        <v>101</v>
      </c>
      <c r="E152" t="s">
        <v>426</v>
      </c>
      <c r="G152" t="s">
        <v>449</v>
      </c>
      <c r="H152" t="s">
        <v>125</v>
      </c>
      <c r="I152">
        <v>2016</v>
      </c>
      <c r="J152" t="s">
        <v>450</v>
      </c>
      <c r="K152" t="s">
        <v>127</v>
      </c>
      <c r="L152" t="s">
        <v>429</v>
      </c>
      <c r="M152" t="s">
        <v>451</v>
      </c>
      <c r="N152">
        <v>1</v>
      </c>
      <c r="O152">
        <v>2020</v>
      </c>
      <c r="P152">
        <v>987.6808505023813</v>
      </c>
      <c r="Q152">
        <v>0.20576820652852471</v>
      </c>
      <c r="R152" t="s">
        <v>391</v>
      </c>
      <c r="S152">
        <v>4799.9682126085099</v>
      </c>
      <c r="T152">
        <v>419</v>
      </c>
      <c r="U152" t="s">
        <v>392</v>
      </c>
      <c r="V152">
        <v>1.5236363636363639</v>
      </c>
      <c r="W152">
        <v>16.5973520403479</v>
      </c>
      <c r="X152">
        <v>27.331519839424129</v>
      </c>
      <c r="Y152">
        <v>22</v>
      </c>
      <c r="Z152">
        <v>0.65</v>
      </c>
      <c r="AA152">
        <v>1</v>
      </c>
    </row>
    <row r="153" spans="1:27" x14ac:dyDescent="0.25">
      <c r="A153" t="s">
        <v>98</v>
      </c>
      <c r="B153" t="s">
        <v>99</v>
      </c>
      <c r="C153" t="s">
        <v>100</v>
      </c>
      <c r="D153" t="s">
        <v>101</v>
      </c>
      <c r="E153" t="s">
        <v>452</v>
      </c>
      <c r="G153" t="s">
        <v>111</v>
      </c>
      <c r="H153" t="s">
        <v>104</v>
      </c>
      <c r="I153">
        <v>2016</v>
      </c>
      <c r="J153" t="s">
        <v>453</v>
      </c>
      <c r="K153" t="s">
        <v>106</v>
      </c>
      <c r="L153" t="s">
        <v>454</v>
      </c>
      <c r="M153" t="s">
        <v>455</v>
      </c>
      <c r="N153">
        <v>1</v>
      </c>
      <c r="O153">
        <v>2020</v>
      </c>
      <c r="P153">
        <v>451.16285763689018</v>
      </c>
      <c r="Q153">
        <v>14.300406602334011</v>
      </c>
      <c r="R153" t="s">
        <v>391</v>
      </c>
      <c r="S153">
        <v>31.548953129993841</v>
      </c>
      <c r="T153">
        <v>0.45</v>
      </c>
      <c r="U153" t="s">
        <v>456</v>
      </c>
      <c r="V153">
        <v>0.45</v>
      </c>
      <c r="W153">
        <v>9</v>
      </c>
      <c r="X153">
        <v>15</v>
      </c>
      <c r="Y153">
        <v>13</v>
      </c>
      <c r="Z153">
        <v>9.0000000000000011E-2</v>
      </c>
      <c r="AA153">
        <v>1</v>
      </c>
    </row>
    <row r="154" spans="1:27" x14ac:dyDescent="0.25">
      <c r="A154" t="s">
        <v>98</v>
      </c>
      <c r="B154" t="s">
        <v>99</v>
      </c>
      <c r="C154" t="s">
        <v>100</v>
      </c>
      <c r="D154" t="s">
        <v>101</v>
      </c>
      <c r="E154" t="s">
        <v>452</v>
      </c>
      <c r="G154" t="s">
        <v>119</v>
      </c>
      <c r="H154" t="s">
        <v>104</v>
      </c>
      <c r="I154">
        <v>2016</v>
      </c>
      <c r="J154" t="s">
        <v>457</v>
      </c>
      <c r="K154" t="s">
        <v>106</v>
      </c>
      <c r="L154" t="s">
        <v>454</v>
      </c>
      <c r="M154" t="s">
        <v>458</v>
      </c>
      <c r="N154">
        <v>1</v>
      </c>
      <c r="O154">
        <v>2020</v>
      </c>
      <c r="P154">
        <v>521.3437466026287</v>
      </c>
      <c r="Q154">
        <v>14.300406602334011</v>
      </c>
      <c r="R154" t="s">
        <v>391</v>
      </c>
      <c r="S154">
        <v>36.456568061326223</v>
      </c>
      <c r="T154">
        <v>0.52</v>
      </c>
      <c r="U154" t="s">
        <v>456</v>
      </c>
      <c r="V154">
        <v>0.52</v>
      </c>
      <c r="W154">
        <v>9</v>
      </c>
      <c r="X154">
        <v>15</v>
      </c>
      <c r="Y154">
        <v>13</v>
      </c>
      <c r="Z154">
        <v>9.0000000000000011E-2</v>
      </c>
      <c r="AA154">
        <v>1</v>
      </c>
    </row>
    <row r="155" spans="1:27" x14ac:dyDescent="0.25">
      <c r="A155" t="s">
        <v>98</v>
      </c>
      <c r="B155" t="s">
        <v>99</v>
      </c>
      <c r="C155" t="s">
        <v>100</v>
      </c>
      <c r="D155" t="s">
        <v>101</v>
      </c>
      <c r="E155" t="s">
        <v>452</v>
      </c>
      <c r="G155" t="s">
        <v>111</v>
      </c>
      <c r="H155" t="s">
        <v>156</v>
      </c>
      <c r="I155">
        <v>2016</v>
      </c>
      <c r="J155" t="s">
        <v>459</v>
      </c>
      <c r="K155" t="s">
        <v>158</v>
      </c>
      <c r="L155" t="s">
        <v>454</v>
      </c>
      <c r="M155" t="s">
        <v>460</v>
      </c>
      <c r="N155">
        <v>1</v>
      </c>
      <c r="O155">
        <v>2020</v>
      </c>
      <c r="P155">
        <v>451.16285763689018</v>
      </c>
      <c r="Q155">
        <v>14.300406602334011</v>
      </c>
      <c r="R155" t="s">
        <v>391</v>
      </c>
      <c r="S155">
        <v>31.548953129993841</v>
      </c>
      <c r="T155">
        <v>0.45</v>
      </c>
      <c r="U155" t="s">
        <v>456</v>
      </c>
      <c r="V155">
        <v>0.45</v>
      </c>
      <c r="W155">
        <v>9</v>
      </c>
      <c r="X155">
        <v>15</v>
      </c>
      <c r="Y155">
        <v>13</v>
      </c>
      <c r="Z155">
        <v>9.0000000000000011E-2</v>
      </c>
      <c r="AA155">
        <v>1</v>
      </c>
    </row>
    <row r="156" spans="1:27" x14ac:dyDescent="0.25">
      <c r="A156" t="s">
        <v>98</v>
      </c>
      <c r="B156" t="s">
        <v>99</v>
      </c>
      <c r="C156" t="s">
        <v>100</v>
      </c>
      <c r="D156" t="s">
        <v>101</v>
      </c>
      <c r="E156" t="s">
        <v>452</v>
      </c>
      <c r="G156" t="s">
        <v>119</v>
      </c>
      <c r="H156" t="s">
        <v>156</v>
      </c>
      <c r="I156">
        <v>2016</v>
      </c>
      <c r="J156" t="s">
        <v>461</v>
      </c>
      <c r="K156" t="s">
        <v>158</v>
      </c>
      <c r="L156" t="s">
        <v>454</v>
      </c>
      <c r="M156" t="s">
        <v>462</v>
      </c>
      <c r="N156">
        <v>1</v>
      </c>
      <c r="O156">
        <v>2020</v>
      </c>
      <c r="P156">
        <v>521.3437466026287</v>
      </c>
      <c r="Q156">
        <v>14.300406602334011</v>
      </c>
      <c r="R156" t="s">
        <v>391</v>
      </c>
      <c r="S156">
        <v>36.456568061326223</v>
      </c>
      <c r="T156">
        <v>0.52</v>
      </c>
      <c r="U156" t="s">
        <v>456</v>
      </c>
      <c r="V156">
        <v>0.52</v>
      </c>
      <c r="W156">
        <v>9</v>
      </c>
      <c r="X156">
        <v>15</v>
      </c>
      <c r="Y156">
        <v>13</v>
      </c>
      <c r="Z156">
        <v>9.0000000000000011E-2</v>
      </c>
      <c r="AA156">
        <v>1</v>
      </c>
    </row>
    <row r="157" spans="1:27" x14ac:dyDescent="0.25">
      <c r="A157" t="s">
        <v>98</v>
      </c>
      <c r="B157" t="s">
        <v>99</v>
      </c>
      <c r="C157" t="s">
        <v>100</v>
      </c>
      <c r="D157" t="s">
        <v>101</v>
      </c>
      <c r="E157" t="s">
        <v>452</v>
      </c>
      <c r="G157" t="s">
        <v>111</v>
      </c>
      <c r="H157" t="s">
        <v>125</v>
      </c>
      <c r="I157">
        <v>2016</v>
      </c>
      <c r="J157" t="s">
        <v>463</v>
      </c>
      <c r="K157" t="s">
        <v>127</v>
      </c>
      <c r="L157" t="s">
        <v>454</v>
      </c>
      <c r="M157" t="s">
        <v>464</v>
      </c>
      <c r="N157">
        <v>1</v>
      </c>
      <c r="O157">
        <v>2020</v>
      </c>
      <c r="P157">
        <v>938.90648751460947</v>
      </c>
      <c r="Q157">
        <v>14.300406602334011</v>
      </c>
      <c r="R157" t="s">
        <v>391</v>
      </c>
      <c r="S157">
        <v>65.655929486743943</v>
      </c>
      <c r="T157">
        <v>228.0913607809874</v>
      </c>
      <c r="U157" t="s">
        <v>392</v>
      </c>
      <c r="V157">
        <v>0.9</v>
      </c>
      <c r="W157">
        <v>10</v>
      </c>
      <c r="X157">
        <v>20</v>
      </c>
      <c r="Y157">
        <v>16</v>
      </c>
      <c r="Z157">
        <v>9.0000000000000011E-2</v>
      </c>
      <c r="AA157">
        <v>1</v>
      </c>
    </row>
    <row r="158" spans="1:27" x14ac:dyDescent="0.25">
      <c r="A158" t="s">
        <v>98</v>
      </c>
      <c r="B158" t="s">
        <v>99</v>
      </c>
      <c r="C158" t="s">
        <v>100</v>
      </c>
      <c r="D158" t="s">
        <v>101</v>
      </c>
      <c r="E158" t="s">
        <v>465</v>
      </c>
      <c r="G158" t="s">
        <v>466</v>
      </c>
      <c r="H158" t="s">
        <v>125</v>
      </c>
      <c r="I158">
        <v>2030</v>
      </c>
      <c r="J158" t="s">
        <v>467</v>
      </c>
      <c r="K158" t="s">
        <v>127</v>
      </c>
      <c r="L158" t="s">
        <v>468</v>
      </c>
      <c r="M158" t="s">
        <v>469</v>
      </c>
      <c r="N158">
        <v>1</v>
      </c>
      <c r="O158">
        <v>2030</v>
      </c>
      <c r="P158">
        <v>1646.1347508373019</v>
      </c>
      <c r="Q158">
        <v>1.7543545823700351</v>
      </c>
      <c r="R158" t="s">
        <v>391</v>
      </c>
      <c r="S158">
        <v>938.31359257685881</v>
      </c>
      <c r="T158">
        <v>0.28000000000000003</v>
      </c>
      <c r="U158" t="s">
        <v>470</v>
      </c>
      <c r="V158">
        <v>2.333333333333333</v>
      </c>
      <c r="W158">
        <v>6</v>
      </c>
      <c r="X158">
        <v>17</v>
      </c>
      <c r="Y158">
        <v>12</v>
      </c>
      <c r="Z158">
        <v>0.02</v>
      </c>
      <c r="AA158">
        <v>1</v>
      </c>
    </row>
    <row r="159" spans="1:27" x14ac:dyDescent="0.25">
      <c r="A159" t="s">
        <v>98</v>
      </c>
      <c r="B159" t="s">
        <v>99</v>
      </c>
      <c r="C159" t="s">
        <v>100</v>
      </c>
      <c r="D159" t="s">
        <v>101</v>
      </c>
      <c r="E159" t="s">
        <v>465</v>
      </c>
      <c r="G159" t="s">
        <v>471</v>
      </c>
      <c r="H159" t="s">
        <v>125</v>
      </c>
      <c r="I159">
        <v>2016</v>
      </c>
      <c r="J159" t="s">
        <v>472</v>
      </c>
      <c r="K159" t="s">
        <v>127</v>
      </c>
      <c r="L159" t="s">
        <v>468</v>
      </c>
      <c r="M159" t="s">
        <v>473</v>
      </c>
      <c r="N159">
        <v>1</v>
      </c>
      <c r="O159">
        <v>2020</v>
      </c>
      <c r="P159">
        <v>792.58339855129361</v>
      </c>
      <c r="Q159">
        <v>1.7543545823700351</v>
      </c>
      <c r="R159" t="s">
        <v>391</v>
      </c>
      <c r="S159">
        <v>451.78061864811718</v>
      </c>
      <c r="T159">
        <v>0.26</v>
      </c>
      <c r="U159" t="s">
        <v>470</v>
      </c>
      <c r="V159">
        <v>2.166666666666667</v>
      </c>
      <c r="W159">
        <v>6</v>
      </c>
      <c r="X159">
        <v>17</v>
      </c>
      <c r="Y159">
        <v>12</v>
      </c>
      <c r="Z159">
        <v>0.02</v>
      </c>
      <c r="AA159">
        <v>1</v>
      </c>
    </row>
    <row r="160" spans="1:27" x14ac:dyDescent="0.25">
      <c r="A160" t="s">
        <v>98</v>
      </c>
      <c r="B160" t="s">
        <v>99</v>
      </c>
      <c r="C160" t="s">
        <v>100</v>
      </c>
      <c r="D160" t="s">
        <v>101</v>
      </c>
      <c r="E160" t="s">
        <v>465</v>
      </c>
      <c r="G160" t="s">
        <v>474</v>
      </c>
      <c r="H160" t="s">
        <v>125</v>
      </c>
      <c r="I160">
        <v>2016</v>
      </c>
      <c r="J160" t="s">
        <v>475</v>
      </c>
      <c r="K160" t="s">
        <v>127</v>
      </c>
      <c r="L160" t="s">
        <v>468</v>
      </c>
      <c r="M160" t="s">
        <v>476</v>
      </c>
      <c r="N160">
        <v>0</v>
      </c>
      <c r="O160">
        <v>2020</v>
      </c>
      <c r="P160">
        <v>792.58339855129361</v>
      </c>
      <c r="Q160">
        <v>1.7543545823700351</v>
      </c>
      <c r="R160" t="s">
        <v>391</v>
      </c>
      <c r="S160">
        <v>451.78061864811718</v>
      </c>
      <c r="T160">
        <v>0.26</v>
      </c>
      <c r="U160" t="s">
        <v>470</v>
      </c>
      <c r="V160">
        <v>2.166666666666667</v>
      </c>
      <c r="W160">
        <v>6</v>
      </c>
      <c r="X160">
        <v>17</v>
      </c>
      <c r="Y160">
        <v>12</v>
      </c>
      <c r="Z160">
        <v>0.02</v>
      </c>
      <c r="AA160">
        <v>1</v>
      </c>
    </row>
    <row r="161" spans="1:27" x14ac:dyDescent="0.25">
      <c r="A161" t="s">
        <v>98</v>
      </c>
      <c r="B161" t="s">
        <v>99</v>
      </c>
      <c r="C161" t="s">
        <v>100</v>
      </c>
      <c r="D161" t="s">
        <v>101</v>
      </c>
      <c r="E161" t="s">
        <v>465</v>
      </c>
      <c r="G161" t="s">
        <v>474</v>
      </c>
      <c r="H161" t="s">
        <v>125</v>
      </c>
      <c r="I161">
        <v>2020</v>
      </c>
      <c r="J161" t="s">
        <v>477</v>
      </c>
      <c r="K161" t="s">
        <v>127</v>
      </c>
      <c r="L161" t="s">
        <v>468</v>
      </c>
      <c r="M161" t="s">
        <v>476</v>
      </c>
      <c r="N161">
        <v>1</v>
      </c>
      <c r="O161">
        <v>2020</v>
      </c>
      <c r="P161">
        <v>914.51930602072343</v>
      </c>
      <c r="Q161">
        <v>1.7543545823700351</v>
      </c>
      <c r="R161" t="s">
        <v>391</v>
      </c>
      <c r="S161">
        <v>521.28532920936607</v>
      </c>
      <c r="T161">
        <v>0.24</v>
      </c>
      <c r="U161" t="s">
        <v>470</v>
      </c>
      <c r="V161">
        <v>2</v>
      </c>
      <c r="W161">
        <v>6</v>
      </c>
      <c r="X161">
        <v>17</v>
      </c>
      <c r="Y161">
        <v>12</v>
      </c>
      <c r="Z161">
        <v>0.02</v>
      </c>
      <c r="AA161">
        <v>1</v>
      </c>
    </row>
    <row r="162" spans="1:27" x14ac:dyDescent="0.25">
      <c r="A162" t="s">
        <v>98</v>
      </c>
      <c r="B162" t="s">
        <v>99</v>
      </c>
      <c r="C162" t="s">
        <v>100</v>
      </c>
      <c r="D162" t="s">
        <v>101</v>
      </c>
      <c r="E162" t="s">
        <v>465</v>
      </c>
      <c r="G162" t="s">
        <v>478</v>
      </c>
      <c r="H162" t="s">
        <v>125</v>
      </c>
      <c r="I162">
        <v>2016</v>
      </c>
      <c r="J162" t="s">
        <v>479</v>
      </c>
      <c r="K162" t="s">
        <v>127</v>
      </c>
      <c r="L162" t="s">
        <v>468</v>
      </c>
      <c r="M162" t="s">
        <v>480</v>
      </c>
      <c r="N162">
        <v>1</v>
      </c>
      <c r="O162">
        <v>2020</v>
      </c>
      <c r="P162">
        <v>1158.3911209595831</v>
      </c>
      <c r="Q162">
        <v>1.7543545823700351</v>
      </c>
      <c r="R162" t="s">
        <v>391</v>
      </c>
      <c r="S162">
        <v>660.29475033186361</v>
      </c>
      <c r="T162">
        <v>0.15</v>
      </c>
      <c r="U162" t="s">
        <v>470</v>
      </c>
      <c r="V162">
        <v>1.25</v>
      </c>
      <c r="W162">
        <v>6</v>
      </c>
      <c r="X162">
        <v>17</v>
      </c>
      <c r="Y162">
        <v>12</v>
      </c>
      <c r="Z162">
        <v>0.02</v>
      </c>
      <c r="AA162">
        <v>1</v>
      </c>
    </row>
    <row r="163" spans="1:27" x14ac:dyDescent="0.25">
      <c r="A163" t="s">
        <v>98</v>
      </c>
      <c r="B163" t="s">
        <v>99</v>
      </c>
      <c r="C163" t="s">
        <v>100</v>
      </c>
      <c r="D163" t="s">
        <v>101</v>
      </c>
      <c r="E163" t="s">
        <v>465</v>
      </c>
      <c r="G163" t="s">
        <v>481</v>
      </c>
      <c r="H163" t="s">
        <v>125</v>
      </c>
      <c r="I163">
        <v>2016</v>
      </c>
      <c r="J163" t="s">
        <v>482</v>
      </c>
      <c r="K163" t="s">
        <v>127</v>
      </c>
      <c r="L163" t="s">
        <v>468</v>
      </c>
      <c r="M163" t="s">
        <v>483</v>
      </c>
      <c r="N163">
        <v>1</v>
      </c>
      <c r="O163">
        <v>2020</v>
      </c>
      <c r="P163">
        <v>1371.7789590310849</v>
      </c>
      <c r="Q163">
        <v>1.7543545823700351</v>
      </c>
      <c r="R163" t="s">
        <v>391</v>
      </c>
      <c r="S163">
        <v>781.92799381404905</v>
      </c>
      <c r="T163">
        <v>0.12</v>
      </c>
      <c r="U163" t="s">
        <v>470</v>
      </c>
      <c r="V163">
        <v>1</v>
      </c>
      <c r="W163">
        <v>6</v>
      </c>
      <c r="X163">
        <v>17</v>
      </c>
      <c r="Y163">
        <v>12</v>
      </c>
      <c r="Z163">
        <v>0.02</v>
      </c>
      <c r="AA163">
        <v>1</v>
      </c>
    </row>
    <row r="164" spans="1:27" x14ac:dyDescent="0.25">
      <c r="A164" t="s">
        <v>98</v>
      </c>
      <c r="B164" t="s">
        <v>99</v>
      </c>
      <c r="C164" t="s">
        <v>100</v>
      </c>
      <c r="D164" t="s">
        <v>101</v>
      </c>
      <c r="E164" t="s">
        <v>465</v>
      </c>
      <c r="G164" t="s">
        <v>484</v>
      </c>
      <c r="H164" t="s">
        <v>125</v>
      </c>
      <c r="I164">
        <v>2016</v>
      </c>
      <c r="J164" t="s">
        <v>485</v>
      </c>
      <c r="K164" t="s">
        <v>127</v>
      </c>
      <c r="L164" t="s">
        <v>468</v>
      </c>
      <c r="M164" t="s">
        <v>486</v>
      </c>
      <c r="N164">
        <v>1</v>
      </c>
      <c r="O164">
        <v>2020</v>
      </c>
      <c r="P164">
        <v>1158.3911209595831</v>
      </c>
      <c r="Q164">
        <v>1.7543545823700351</v>
      </c>
      <c r="R164" t="s">
        <v>391</v>
      </c>
      <c r="S164">
        <v>660.29475033186361</v>
      </c>
      <c r="T164">
        <v>0.15</v>
      </c>
      <c r="U164" t="s">
        <v>470</v>
      </c>
      <c r="V164">
        <v>1.25</v>
      </c>
      <c r="W164">
        <v>6</v>
      </c>
      <c r="X164">
        <v>17</v>
      </c>
      <c r="Y164">
        <v>12</v>
      </c>
      <c r="Z164">
        <v>0.02</v>
      </c>
      <c r="AA164">
        <v>1</v>
      </c>
    </row>
    <row r="165" spans="1:27" x14ac:dyDescent="0.25">
      <c r="A165" t="s">
        <v>98</v>
      </c>
      <c r="B165" t="s">
        <v>99</v>
      </c>
      <c r="C165" t="s">
        <v>100</v>
      </c>
      <c r="D165" t="s">
        <v>101</v>
      </c>
      <c r="E165" t="s">
        <v>465</v>
      </c>
      <c r="G165" t="s">
        <v>487</v>
      </c>
      <c r="H165" t="s">
        <v>125</v>
      </c>
      <c r="I165">
        <v>2016</v>
      </c>
      <c r="J165" t="s">
        <v>488</v>
      </c>
      <c r="K165" t="s">
        <v>127</v>
      </c>
      <c r="L165" t="s">
        <v>468</v>
      </c>
      <c r="M165" t="s">
        <v>489</v>
      </c>
      <c r="N165">
        <v>1</v>
      </c>
      <c r="O165">
        <v>2020</v>
      </c>
      <c r="P165">
        <v>1219.359074694298</v>
      </c>
      <c r="Q165">
        <v>1.7543545823700351</v>
      </c>
      <c r="R165" t="s">
        <v>391</v>
      </c>
      <c r="S165">
        <v>695.04710561248805</v>
      </c>
      <c r="T165">
        <v>0.21</v>
      </c>
      <c r="U165" t="s">
        <v>470</v>
      </c>
      <c r="V165">
        <v>1.75</v>
      </c>
      <c r="W165">
        <v>6</v>
      </c>
      <c r="X165">
        <v>17</v>
      </c>
      <c r="Y165">
        <v>12</v>
      </c>
      <c r="Z165">
        <v>0.02</v>
      </c>
      <c r="AA165">
        <v>1</v>
      </c>
    </row>
    <row r="166" spans="1:27" x14ac:dyDescent="0.25">
      <c r="A166" t="s">
        <v>98</v>
      </c>
      <c r="B166" t="s">
        <v>99</v>
      </c>
      <c r="C166" t="s">
        <v>100</v>
      </c>
      <c r="D166" t="s">
        <v>101</v>
      </c>
      <c r="E166" t="s">
        <v>465</v>
      </c>
      <c r="G166" t="s">
        <v>487</v>
      </c>
      <c r="H166" t="s">
        <v>125</v>
      </c>
      <c r="I166">
        <v>2030</v>
      </c>
      <c r="J166" t="s">
        <v>490</v>
      </c>
      <c r="K166" t="s">
        <v>127</v>
      </c>
      <c r="L166" t="s">
        <v>468</v>
      </c>
      <c r="M166" t="s">
        <v>491</v>
      </c>
      <c r="N166">
        <v>1</v>
      </c>
      <c r="O166">
        <v>2030</v>
      </c>
      <c r="P166">
        <v>1280.3270284290129</v>
      </c>
      <c r="Q166">
        <v>1.7543545823700351</v>
      </c>
      <c r="R166" t="s">
        <v>391</v>
      </c>
      <c r="S166">
        <v>729.7994608931125</v>
      </c>
      <c r="T166">
        <v>0.17</v>
      </c>
      <c r="U166" t="s">
        <v>470</v>
      </c>
      <c r="V166">
        <v>1.416666666666667</v>
      </c>
      <c r="W166">
        <v>6</v>
      </c>
      <c r="X166">
        <v>17</v>
      </c>
      <c r="Y166">
        <v>12</v>
      </c>
      <c r="Z166">
        <v>0.02</v>
      </c>
      <c r="AA166">
        <v>1</v>
      </c>
    </row>
    <row r="167" spans="1:27" x14ac:dyDescent="0.25">
      <c r="A167" t="s">
        <v>98</v>
      </c>
      <c r="B167" t="s">
        <v>99</v>
      </c>
      <c r="C167" t="s">
        <v>100</v>
      </c>
      <c r="D167" t="s">
        <v>101</v>
      </c>
      <c r="E167" t="s">
        <v>465</v>
      </c>
      <c r="G167" t="s">
        <v>492</v>
      </c>
      <c r="H167" t="s">
        <v>125</v>
      </c>
      <c r="I167">
        <v>2016</v>
      </c>
      <c r="J167" t="s">
        <v>493</v>
      </c>
      <c r="K167" t="s">
        <v>127</v>
      </c>
      <c r="L167" t="s">
        <v>468</v>
      </c>
      <c r="M167" t="s">
        <v>494</v>
      </c>
      <c r="N167">
        <v>1</v>
      </c>
      <c r="O167">
        <v>2020</v>
      </c>
      <c r="P167">
        <v>1158.3911209595831</v>
      </c>
      <c r="Q167">
        <v>1.7543545823700351</v>
      </c>
      <c r="R167" t="s">
        <v>391</v>
      </c>
      <c r="S167">
        <v>660.29475033186361</v>
      </c>
      <c r="T167">
        <v>0.28999999999999998</v>
      </c>
      <c r="U167" t="s">
        <v>470</v>
      </c>
      <c r="V167">
        <v>2.416666666666667</v>
      </c>
      <c r="W167">
        <v>6</v>
      </c>
      <c r="X167">
        <v>17</v>
      </c>
      <c r="Y167">
        <v>12</v>
      </c>
      <c r="Z167">
        <v>0.02</v>
      </c>
      <c r="AA167">
        <v>1</v>
      </c>
    </row>
    <row r="168" spans="1:27" x14ac:dyDescent="0.25">
      <c r="A168" t="s">
        <v>98</v>
      </c>
      <c r="B168" t="s">
        <v>99</v>
      </c>
      <c r="C168" t="s">
        <v>100</v>
      </c>
      <c r="D168" t="s">
        <v>101</v>
      </c>
      <c r="E168" t="s">
        <v>465</v>
      </c>
      <c r="G168" t="s">
        <v>466</v>
      </c>
      <c r="H168" t="s">
        <v>125</v>
      </c>
      <c r="I168">
        <v>2016</v>
      </c>
      <c r="J168" t="s">
        <v>495</v>
      </c>
      <c r="K168" t="s">
        <v>127</v>
      </c>
      <c r="L168" t="s">
        <v>468</v>
      </c>
      <c r="M168" t="s">
        <v>496</v>
      </c>
      <c r="N168">
        <v>0</v>
      </c>
      <c r="O168">
        <v>2020</v>
      </c>
      <c r="P168">
        <v>1280.3270284290129</v>
      </c>
      <c r="Q168">
        <v>1.7543545823700351</v>
      </c>
      <c r="R168" t="s">
        <v>391</v>
      </c>
      <c r="S168">
        <v>729.7994608931125</v>
      </c>
      <c r="T168">
        <v>0.17</v>
      </c>
      <c r="U168" t="s">
        <v>470</v>
      </c>
      <c r="V168">
        <v>1.416666666666667</v>
      </c>
      <c r="W168">
        <v>6</v>
      </c>
      <c r="X168">
        <v>17</v>
      </c>
      <c r="Y168">
        <v>12</v>
      </c>
      <c r="Z168">
        <v>0.02</v>
      </c>
      <c r="AA168">
        <v>1</v>
      </c>
    </row>
    <row r="169" spans="1:27" x14ac:dyDescent="0.25">
      <c r="A169" t="s">
        <v>98</v>
      </c>
      <c r="B169" t="s">
        <v>99</v>
      </c>
      <c r="C169" t="s">
        <v>100</v>
      </c>
      <c r="D169" t="s">
        <v>101</v>
      </c>
      <c r="E169" t="s">
        <v>465</v>
      </c>
      <c r="G169" t="s">
        <v>466</v>
      </c>
      <c r="H169" t="s">
        <v>125</v>
      </c>
      <c r="I169">
        <v>2020</v>
      </c>
      <c r="J169" t="s">
        <v>497</v>
      </c>
      <c r="K169" t="s">
        <v>127</v>
      </c>
      <c r="L169" t="s">
        <v>468</v>
      </c>
      <c r="M169" t="s">
        <v>496</v>
      </c>
      <c r="N169">
        <v>1</v>
      </c>
      <c r="O169">
        <v>2020</v>
      </c>
      <c r="P169">
        <v>1646.1347508373019</v>
      </c>
      <c r="Q169">
        <v>1.7543545823700351</v>
      </c>
      <c r="R169" t="s">
        <v>391</v>
      </c>
      <c r="S169">
        <v>938.31359257685881</v>
      </c>
      <c r="T169">
        <v>0.28000000000000003</v>
      </c>
      <c r="U169" t="s">
        <v>470</v>
      </c>
      <c r="V169">
        <v>2.333333333333333</v>
      </c>
      <c r="W169">
        <v>6</v>
      </c>
      <c r="X169">
        <v>17</v>
      </c>
      <c r="Y169">
        <v>12</v>
      </c>
      <c r="Z169">
        <v>0.02</v>
      </c>
      <c r="AA169">
        <v>1</v>
      </c>
    </row>
    <row r="170" spans="1:27" x14ac:dyDescent="0.25">
      <c r="A170" t="s">
        <v>98</v>
      </c>
      <c r="B170" t="s">
        <v>99</v>
      </c>
      <c r="C170" t="s">
        <v>100</v>
      </c>
      <c r="D170" t="s">
        <v>101</v>
      </c>
      <c r="E170" t="s">
        <v>498</v>
      </c>
      <c r="G170" t="s">
        <v>103</v>
      </c>
      <c r="H170" t="s">
        <v>104</v>
      </c>
      <c r="I170">
        <v>2016</v>
      </c>
      <c r="J170" t="s">
        <v>499</v>
      </c>
      <c r="K170" t="s">
        <v>106</v>
      </c>
      <c r="L170" t="s">
        <v>500</v>
      </c>
      <c r="M170" t="s">
        <v>501</v>
      </c>
      <c r="N170">
        <v>1</v>
      </c>
      <c r="O170">
        <v>2020</v>
      </c>
      <c r="P170">
        <v>792.58339855129361</v>
      </c>
      <c r="Q170">
        <v>14.45069547797033</v>
      </c>
      <c r="R170" t="s">
        <v>391</v>
      </c>
      <c r="S170">
        <v>54.847422379051856</v>
      </c>
      <c r="T170">
        <v>3.3</v>
      </c>
      <c r="U170" t="s">
        <v>502</v>
      </c>
      <c r="V170">
        <v>1</v>
      </c>
      <c r="W170">
        <v>8</v>
      </c>
      <c r="X170">
        <v>18</v>
      </c>
      <c r="Y170">
        <v>14</v>
      </c>
      <c r="Z170">
        <v>0.02</v>
      </c>
      <c r="AA170">
        <v>1</v>
      </c>
    </row>
    <row r="171" spans="1:27" x14ac:dyDescent="0.25">
      <c r="A171" t="s">
        <v>98</v>
      </c>
      <c r="B171" t="s">
        <v>99</v>
      </c>
      <c r="C171" t="s">
        <v>100</v>
      </c>
      <c r="D171" t="s">
        <v>101</v>
      </c>
      <c r="E171" t="s">
        <v>498</v>
      </c>
      <c r="G171" t="s">
        <v>111</v>
      </c>
      <c r="H171" t="s">
        <v>104</v>
      </c>
      <c r="I171">
        <v>2016</v>
      </c>
      <c r="J171" t="s">
        <v>503</v>
      </c>
      <c r="K171" t="s">
        <v>106</v>
      </c>
      <c r="L171" t="s">
        <v>500</v>
      </c>
      <c r="M171" t="s">
        <v>504</v>
      </c>
      <c r="N171">
        <v>1</v>
      </c>
      <c r="O171">
        <v>2020</v>
      </c>
      <c r="P171">
        <v>804.77698929823669</v>
      </c>
      <c r="Q171">
        <v>14.45069547797033</v>
      </c>
      <c r="R171" t="s">
        <v>391</v>
      </c>
      <c r="S171">
        <v>55.691228877191129</v>
      </c>
      <c r="T171">
        <v>3.32</v>
      </c>
      <c r="U171" t="s">
        <v>502</v>
      </c>
      <c r="V171">
        <v>1.0060606060606061</v>
      </c>
      <c r="W171">
        <v>8</v>
      </c>
      <c r="X171">
        <v>18</v>
      </c>
      <c r="Y171">
        <v>14</v>
      </c>
      <c r="Z171">
        <v>0.02</v>
      </c>
      <c r="AA171">
        <v>1</v>
      </c>
    </row>
    <row r="172" spans="1:27" x14ac:dyDescent="0.25">
      <c r="A172" t="s">
        <v>98</v>
      </c>
      <c r="B172" t="s">
        <v>99</v>
      </c>
      <c r="C172" t="s">
        <v>100</v>
      </c>
      <c r="D172" t="s">
        <v>101</v>
      </c>
      <c r="E172" t="s">
        <v>498</v>
      </c>
      <c r="G172" t="s">
        <v>114</v>
      </c>
      <c r="H172" t="s">
        <v>104</v>
      </c>
      <c r="I172">
        <v>2016</v>
      </c>
      <c r="J172" t="s">
        <v>505</v>
      </c>
      <c r="K172" t="s">
        <v>106</v>
      </c>
      <c r="L172" t="s">
        <v>500</v>
      </c>
      <c r="M172" t="s">
        <v>506</v>
      </c>
      <c r="N172">
        <v>1</v>
      </c>
      <c r="O172">
        <v>2020</v>
      </c>
      <c r="P172">
        <v>843.56142251742892</v>
      </c>
      <c r="Q172">
        <v>14.45069547797033</v>
      </c>
      <c r="R172" t="s">
        <v>391</v>
      </c>
      <c r="S172">
        <v>58.375143521875053</v>
      </c>
      <c r="T172">
        <v>3.48</v>
      </c>
      <c r="U172" t="s">
        <v>502</v>
      </c>
      <c r="V172">
        <v>1.0545454545454549</v>
      </c>
      <c r="W172">
        <v>8</v>
      </c>
      <c r="X172">
        <v>18</v>
      </c>
      <c r="Y172">
        <v>14</v>
      </c>
      <c r="Z172">
        <v>0.02</v>
      </c>
      <c r="AA172">
        <v>1</v>
      </c>
    </row>
    <row r="173" spans="1:27" x14ac:dyDescent="0.25">
      <c r="A173" t="s">
        <v>98</v>
      </c>
      <c r="B173" t="s">
        <v>99</v>
      </c>
      <c r="C173" t="s">
        <v>100</v>
      </c>
      <c r="D173" t="s">
        <v>101</v>
      </c>
      <c r="E173" t="s">
        <v>498</v>
      </c>
      <c r="G173" t="s">
        <v>119</v>
      </c>
      <c r="H173" t="s">
        <v>104</v>
      </c>
      <c r="I173">
        <v>2016</v>
      </c>
      <c r="J173" t="s">
        <v>507</v>
      </c>
      <c r="K173" t="s">
        <v>106</v>
      </c>
      <c r="L173" t="s">
        <v>500</v>
      </c>
      <c r="M173" t="s">
        <v>508</v>
      </c>
      <c r="N173">
        <v>1</v>
      </c>
      <c r="O173">
        <v>2020</v>
      </c>
      <c r="P173">
        <v>938.90648751460947</v>
      </c>
      <c r="Q173">
        <v>14.45069547797033</v>
      </c>
      <c r="R173" t="s">
        <v>391</v>
      </c>
      <c r="S173">
        <v>64.973100356722981</v>
      </c>
      <c r="T173">
        <v>3.49</v>
      </c>
      <c r="U173" t="s">
        <v>502</v>
      </c>
      <c r="V173">
        <v>1.0575757575757581</v>
      </c>
      <c r="W173">
        <v>8</v>
      </c>
      <c r="X173">
        <v>18</v>
      </c>
      <c r="Y173">
        <v>14</v>
      </c>
      <c r="Z173">
        <v>0.02</v>
      </c>
      <c r="AA173">
        <v>1</v>
      </c>
    </row>
    <row r="174" spans="1:27" x14ac:dyDescent="0.25">
      <c r="A174" t="s">
        <v>98</v>
      </c>
      <c r="B174" t="s">
        <v>99</v>
      </c>
      <c r="C174" t="s">
        <v>100</v>
      </c>
      <c r="D174" t="s">
        <v>101</v>
      </c>
      <c r="E174" t="s">
        <v>498</v>
      </c>
      <c r="G174" t="s">
        <v>119</v>
      </c>
      <c r="H174" t="s">
        <v>104</v>
      </c>
      <c r="I174">
        <v>2030</v>
      </c>
      <c r="J174" t="s">
        <v>509</v>
      </c>
      <c r="K174" t="s">
        <v>106</v>
      </c>
      <c r="L174" t="s">
        <v>500</v>
      </c>
      <c r="M174" t="s">
        <v>510</v>
      </c>
      <c r="N174">
        <v>1</v>
      </c>
      <c r="O174">
        <v>2030</v>
      </c>
      <c r="P174">
        <v>987.6808505023813</v>
      </c>
      <c r="Q174">
        <v>14.45069547797033</v>
      </c>
      <c r="R174" t="s">
        <v>391</v>
      </c>
      <c r="S174">
        <v>68.348326349280015</v>
      </c>
      <c r="T174">
        <v>3.61</v>
      </c>
      <c r="U174" t="s">
        <v>502</v>
      </c>
      <c r="V174">
        <v>1.093939393939394</v>
      </c>
      <c r="W174">
        <v>8</v>
      </c>
      <c r="X174">
        <v>18</v>
      </c>
      <c r="Y174">
        <v>14</v>
      </c>
      <c r="Z174">
        <v>0.02</v>
      </c>
      <c r="AA174">
        <v>1</v>
      </c>
    </row>
    <row r="175" spans="1:27" x14ac:dyDescent="0.25">
      <c r="A175" t="s">
        <v>98</v>
      </c>
      <c r="B175" t="s">
        <v>99</v>
      </c>
      <c r="C175" t="s">
        <v>100</v>
      </c>
      <c r="D175" t="s">
        <v>101</v>
      </c>
      <c r="E175" t="s">
        <v>498</v>
      </c>
      <c r="G175" t="s">
        <v>103</v>
      </c>
      <c r="H175" t="s">
        <v>125</v>
      </c>
      <c r="I175">
        <v>2016</v>
      </c>
      <c r="J175" t="s">
        <v>511</v>
      </c>
      <c r="K175" t="s">
        <v>127</v>
      </c>
      <c r="L175" t="s">
        <v>500</v>
      </c>
      <c r="M175" t="s">
        <v>512</v>
      </c>
      <c r="N175">
        <v>1</v>
      </c>
      <c r="O175">
        <v>2020</v>
      </c>
      <c r="P175">
        <v>646.26030958797787</v>
      </c>
      <c r="Q175">
        <v>14.45069547797033</v>
      </c>
      <c r="R175" t="s">
        <v>391</v>
      </c>
      <c r="S175">
        <v>44.721744401380747</v>
      </c>
      <c r="T175">
        <v>3.73</v>
      </c>
      <c r="U175" t="s">
        <v>502</v>
      </c>
      <c r="V175">
        <v>1.1303030303030299</v>
      </c>
      <c r="W175">
        <v>8</v>
      </c>
      <c r="X175">
        <v>18</v>
      </c>
      <c r="Y175">
        <v>14</v>
      </c>
      <c r="Z175">
        <v>0.02</v>
      </c>
      <c r="AA175">
        <v>1</v>
      </c>
    </row>
    <row r="176" spans="1:27" x14ac:dyDescent="0.25">
      <c r="A176" t="s">
        <v>98</v>
      </c>
      <c r="B176" t="s">
        <v>99</v>
      </c>
      <c r="C176" t="s">
        <v>100</v>
      </c>
      <c r="D176" t="s">
        <v>101</v>
      </c>
      <c r="E176" t="s">
        <v>498</v>
      </c>
      <c r="G176" t="s">
        <v>111</v>
      </c>
      <c r="H176" t="s">
        <v>125</v>
      </c>
      <c r="I176">
        <v>2016</v>
      </c>
      <c r="J176" t="s">
        <v>513</v>
      </c>
      <c r="K176" t="s">
        <v>127</v>
      </c>
      <c r="L176" t="s">
        <v>500</v>
      </c>
      <c r="M176" t="s">
        <v>514</v>
      </c>
      <c r="N176">
        <v>1</v>
      </c>
      <c r="O176">
        <v>2020</v>
      </c>
      <c r="P176">
        <v>658.45390033492083</v>
      </c>
      <c r="Q176">
        <v>14.45069547797033</v>
      </c>
      <c r="R176" t="s">
        <v>391</v>
      </c>
      <c r="S176">
        <v>45.565550899520012</v>
      </c>
      <c r="T176">
        <v>3.74</v>
      </c>
      <c r="U176" t="s">
        <v>502</v>
      </c>
      <c r="V176">
        <v>1.133333333333334</v>
      </c>
      <c r="W176">
        <v>8</v>
      </c>
      <c r="X176">
        <v>18</v>
      </c>
      <c r="Y176">
        <v>14</v>
      </c>
      <c r="Z176">
        <v>0.02</v>
      </c>
      <c r="AA176">
        <v>1</v>
      </c>
    </row>
    <row r="177" spans="1:27" x14ac:dyDescent="0.25">
      <c r="A177" t="s">
        <v>98</v>
      </c>
      <c r="B177" t="s">
        <v>99</v>
      </c>
      <c r="C177" t="s">
        <v>100</v>
      </c>
      <c r="D177" t="s">
        <v>101</v>
      </c>
      <c r="E177" t="s">
        <v>498</v>
      </c>
      <c r="G177" t="s">
        <v>114</v>
      </c>
      <c r="H177" t="s">
        <v>125</v>
      </c>
      <c r="I177">
        <v>2016</v>
      </c>
      <c r="J177" t="s">
        <v>515</v>
      </c>
      <c r="K177" t="s">
        <v>127</v>
      </c>
      <c r="L177" t="s">
        <v>500</v>
      </c>
      <c r="M177" t="s">
        <v>516</v>
      </c>
      <c r="N177">
        <v>1</v>
      </c>
      <c r="O177">
        <v>2020</v>
      </c>
      <c r="P177">
        <v>691.90476692947561</v>
      </c>
      <c r="Q177">
        <v>14.45069547797033</v>
      </c>
      <c r="R177" t="s">
        <v>391</v>
      </c>
      <c r="S177">
        <v>47.880378351634661</v>
      </c>
      <c r="T177">
        <v>3.93</v>
      </c>
      <c r="U177" t="s">
        <v>502</v>
      </c>
      <c r="V177">
        <v>1.1909090909090909</v>
      </c>
      <c r="W177">
        <v>8</v>
      </c>
      <c r="X177">
        <v>18</v>
      </c>
      <c r="Y177">
        <v>14</v>
      </c>
      <c r="Z177">
        <v>0.02</v>
      </c>
      <c r="AA177">
        <v>1</v>
      </c>
    </row>
    <row r="178" spans="1:27" x14ac:dyDescent="0.25">
      <c r="A178" t="s">
        <v>98</v>
      </c>
      <c r="B178" t="s">
        <v>99</v>
      </c>
      <c r="C178" t="s">
        <v>100</v>
      </c>
      <c r="D178" t="s">
        <v>101</v>
      </c>
      <c r="E178" t="s">
        <v>498</v>
      </c>
      <c r="G178" t="s">
        <v>119</v>
      </c>
      <c r="H178" t="s">
        <v>125</v>
      </c>
      <c r="I178">
        <v>2016</v>
      </c>
      <c r="J178" t="s">
        <v>517</v>
      </c>
      <c r="K178" t="s">
        <v>127</v>
      </c>
      <c r="L178" t="s">
        <v>500</v>
      </c>
      <c r="M178" t="s">
        <v>518</v>
      </c>
      <c r="N178">
        <v>1</v>
      </c>
      <c r="O178">
        <v>2020</v>
      </c>
      <c r="P178">
        <v>938.90648751460947</v>
      </c>
      <c r="Q178">
        <v>14.45069547797033</v>
      </c>
      <c r="R178" t="s">
        <v>391</v>
      </c>
      <c r="S178">
        <v>64.973100356722981</v>
      </c>
      <c r="T178">
        <v>4.5</v>
      </c>
      <c r="U178" t="s">
        <v>502</v>
      </c>
      <c r="V178">
        <v>1.363636363636364</v>
      </c>
      <c r="W178">
        <v>8</v>
      </c>
      <c r="X178">
        <v>18</v>
      </c>
      <c r="Y178">
        <v>14</v>
      </c>
      <c r="Z178">
        <v>0.02</v>
      </c>
      <c r="AA178">
        <v>1</v>
      </c>
    </row>
    <row r="179" spans="1:27" x14ac:dyDescent="0.25">
      <c r="A179" t="s">
        <v>98</v>
      </c>
      <c r="B179" t="s">
        <v>519</v>
      </c>
      <c r="C179" t="s">
        <v>100</v>
      </c>
      <c r="D179" t="s">
        <v>101</v>
      </c>
      <c r="E179" t="s">
        <v>102</v>
      </c>
      <c r="G179" t="s">
        <v>103</v>
      </c>
      <c r="H179" t="s">
        <v>104</v>
      </c>
      <c r="I179">
        <v>2016</v>
      </c>
      <c r="J179" t="s">
        <v>105</v>
      </c>
      <c r="K179" t="s">
        <v>106</v>
      </c>
      <c r="L179" t="s">
        <v>520</v>
      </c>
      <c r="M179" t="s">
        <v>521</v>
      </c>
      <c r="N179">
        <v>1</v>
      </c>
      <c r="O179">
        <v>2020</v>
      </c>
      <c r="P179">
        <v>2225.3303113170941</v>
      </c>
      <c r="Q179">
        <v>1.7376707260977911</v>
      </c>
      <c r="R179" t="s">
        <v>109</v>
      </c>
      <c r="S179">
        <v>1280.6398116140319</v>
      </c>
      <c r="T179">
        <v>0.61014999999999997</v>
      </c>
      <c r="U179" t="s">
        <v>110</v>
      </c>
      <c r="V179">
        <v>0.61014999999999997</v>
      </c>
      <c r="W179">
        <v>6</v>
      </c>
      <c r="X179">
        <v>20</v>
      </c>
      <c r="Y179">
        <v>14</v>
      </c>
      <c r="Z179">
        <v>0.24</v>
      </c>
      <c r="AA179">
        <v>31.536000000000001</v>
      </c>
    </row>
    <row r="180" spans="1:27" x14ac:dyDescent="0.25">
      <c r="A180" t="s">
        <v>98</v>
      </c>
      <c r="B180" t="s">
        <v>519</v>
      </c>
      <c r="C180" t="s">
        <v>100</v>
      </c>
      <c r="D180" t="s">
        <v>101</v>
      </c>
      <c r="E180" t="s">
        <v>102</v>
      </c>
      <c r="G180" t="s">
        <v>111</v>
      </c>
      <c r="H180" t="s">
        <v>104</v>
      </c>
      <c r="I180">
        <v>2016</v>
      </c>
      <c r="J180" t="s">
        <v>112</v>
      </c>
      <c r="K180" t="s">
        <v>106</v>
      </c>
      <c r="L180" t="s">
        <v>520</v>
      </c>
      <c r="M180" t="s">
        <v>522</v>
      </c>
      <c r="N180">
        <v>1</v>
      </c>
      <c r="O180">
        <v>2020</v>
      </c>
      <c r="P180">
        <v>2347.266218786523</v>
      </c>
      <c r="Q180">
        <v>1.7376707260977911</v>
      </c>
      <c r="R180" t="s">
        <v>109</v>
      </c>
      <c r="S180">
        <v>1350.8118560860339</v>
      </c>
      <c r="T180">
        <v>0.63</v>
      </c>
      <c r="U180" t="s">
        <v>110</v>
      </c>
      <c r="V180">
        <v>0.63</v>
      </c>
      <c r="W180">
        <v>6</v>
      </c>
      <c r="X180">
        <v>20</v>
      </c>
      <c r="Y180">
        <v>14</v>
      </c>
      <c r="Z180">
        <v>0.24</v>
      </c>
      <c r="AA180">
        <v>31.536000000000001</v>
      </c>
    </row>
    <row r="181" spans="1:27" x14ac:dyDescent="0.25">
      <c r="A181" t="s">
        <v>98</v>
      </c>
      <c r="B181" t="s">
        <v>519</v>
      </c>
      <c r="C181" t="s">
        <v>100</v>
      </c>
      <c r="D181" t="s">
        <v>101</v>
      </c>
      <c r="E181" t="s">
        <v>102</v>
      </c>
      <c r="G181" t="s">
        <v>114</v>
      </c>
      <c r="H181" t="s">
        <v>104</v>
      </c>
      <c r="I181">
        <v>2016</v>
      </c>
      <c r="J181" t="s">
        <v>115</v>
      </c>
      <c r="K181" t="s">
        <v>106</v>
      </c>
      <c r="L181" t="s">
        <v>520</v>
      </c>
      <c r="M181" t="s">
        <v>523</v>
      </c>
      <c r="N181">
        <v>1</v>
      </c>
      <c r="O181">
        <v>2020</v>
      </c>
      <c r="P181">
        <v>2469.2021262559529</v>
      </c>
      <c r="Q181">
        <v>1.7376707260977911</v>
      </c>
      <c r="R181" t="s">
        <v>109</v>
      </c>
      <c r="S181">
        <v>1420.9839005580361</v>
      </c>
      <c r="T181">
        <v>0.66</v>
      </c>
      <c r="U181" t="s">
        <v>110</v>
      </c>
      <c r="V181">
        <v>0.66</v>
      </c>
      <c r="W181">
        <v>6</v>
      </c>
      <c r="X181">
        <v>20</v>
      </c>
      <c r="Y181">
        <v>14</v>
      </c>
      <c r="Z181">
        <v>0.24</v>
      </c>
      <c r="AA181">
        <v>31.536000000000001</v>
      </c>
    </row>
    <row r="182" spans="1:27" x14ac:dyDescent="0.25">
      <c r="A182" t="s">
        <v>98</v>
      </c>
      <c r="B182" t="s">
        <v>519</v>
      </c>
      <c r="C182" t="s">
        <v>100</v>
      </c>
      <c r="D182" t="s">
        <v>101</v>
      </c>
      <c r="E182" t="s">
        <v>102</v>
      </c>
      <c r="G182" t="s">
        <v>114</v>
      </c>
      <c r="H182" t="s">
        <v>104</v>
      </c>
      <c r="I182">
        <v>2023</v>
      </c>
      <c r="J182" t="s">
        <v>117</v>
      </c>
      <c r="K182" t="s">
        <v>106</v>
      </c>
      <c r="L182" t="s">
        <v>520</v>
      </c>
      <c r="M182" t="s">
        <v>524</v>
      </c>
      <c r="N182">
        <v>1</v>
      </c>
      <c r="O182">
        <v>2023</v>
      </c>
      <c r="P182">
        <v>3865.2553631628971</v>
      </c>
      <c r="Q182">
        <v>1.7376707260977911</v>
      </c>
      <c r="R182" t="s">
        <v>109</v>
      </c>
      <c r="S182">
        <v>2224.3888356472039</v>
      </c>
      <c r="T182">
        <v>0.83499999999999996</v>
      </c>
      <c r="U182" t="s">
        <v>110</v>
      </c>
      <c r="V182">
        <v>0.83499999999999996</v>
      </c>
      <c r="W182">
        <v>6</v>
      </c>
      <c r="X182">
        <v>20</v>
      </c>
      <c r="Y182">
        <v>14</v>
      </c>
      <c r="Z182">
        <v>0.24</v>
      </c>
      <c r="AA182">
        <v>31.536000000000001</v>
      </c>
    </row>
    <row r="183" spans="1:27" x14ac:dyDescent="0.25">
      <c r="A183" t="s">
        <v>98</v>
      </c>
      <c r="B183" t="s">
        <v>519</v>
      </c>
      <c r="C183" t="s">
        <v>100</v>
      </c>
      <c r="D183" t="s">
        <v>101</v>
      </c>
      <c r="E183" t="s">
        <v>102</v>
      </c>
      <c r="G183" t="s">
        <v>119</v>
      </c>
      <c r="H183" t="s">
        <v>104</v>
      </c>
      <c r="I183">
        <v>2016</v>
      </c>
      <c r="J183" t="s">
        <v>120</v>
      </c>
      <c r="K183" t="s">
        <v>106</v>
      </c>
      <c r="L183" t="s">
        <v>520</v>
      </c>
      <c r="M183" t="s">
        <v>525</v>
      </c>
      <c r="N183">
        <v>0</v>
      </c>
      <c r="O183">
        <v>2020</v>
      </c>
      <c r="P183">
        <v>3749.5291546849662</v>
      </c>
      <c r="Q183">
        <v>1.7376707260977911</v>
      </c>
      <c r="R183" t="s">
        <v>109</v>
      </c>
      <c r="S183">
        <v>2157.7903675140542</v>
      </c>
      <c r="T183">
        <v>0.81</v>
      </c>
      <c r="U183" t="s">
        <v>110</v>
      </c>
      <c r="V183">
        <v>0.81</v>
      </c>
      <c r="W183">
        <v>6</v>
      </c>
      <c r="X183">
        <v>20</v>
      </c>
      <c r="Y183">
        <v>14</v>
      </c>
      <c r="Z183">
        <v>0.24</v>
      </c>
      <c r="AA183">
        <v>31.536000000000001</v>
      </c>
    </row>
    <row r="184" spans="1:27" x14ac:dyDescent="0.25">
      <c r="A184" t="s">
        <v>98</v>
      </c>
      <c r="B184" t="s">
        <v>519</v>
      </c>
      <c r="C184" t="s">
        <v>100</v>
      </c>
      <c r="D184" t="s">
        <v>101</v>
      </c>
      <c r="E184" t="s">
        <v>102</v>
      </c>
      <c r="G184" t="s">
        <v>119</v>
      </c>
      <c r="H184" t="s">
        <v>104</v>
      </c>
      <c r="I184">
        <v>2018</v>
      </c>
      <c r="J184" t="s">
        <v>122</v>
      </c>
      <c r="K184" t="s">
        <v>106</v>
      </c>
      <c r="L184" t="s">
        <v>520</v>
      </c>
      <c r="M184" t="s">
        <v>525</v>
      </c>
      <c r="N184">
        <v>1</v>
      </c>
      <c r="O184">
        <v>2020</v>
      </c>
      <c r="P184">
        <v>3749.5291546849662</v>
      </c>
      <c r="Q184">
        <v>1.7376707260977911</v>
      </c>
      <c r="R184" t="s">
        <v>109</v>
      </c>
      <c r="S184">
        <v>2157.7903675140542</v>
      </c>
      <c r="T184">
        <v>0.81</v>
      </c>
      <c r="U184" t="s">
        <v>110</v>
      </c>
      <c r="V184">
        <v>0.81</v>
      </c>
      <c r="W184">
        <v>6</v>
      </c>
      <c r="X184">
        <v>20</v>
      </c>
      <c r="Y184">
        <v>14</v>
      </c>
      <c r="Z184">
        <v>0.24</v>
      </c>
      <c r="AA184">
        <v>31.536000000000001</v>
      </c>
    </row>
    <row r="185" spans="1:27" x14ac:dyDescent="0.25">
      <c r="A185" t="s">
        <v>98</v>
      </c>
      <c r="B185" t="s">
        <v>519</v>
      </c>
      <c r="C185" t="s">
        <v>100</v>
      </c>
      <c r="D185" t="s">
        <v>101</v>
      </c>
      <c r="E185" t="s">
        <v>102</v>
      </c>
      <c r="G185" t="s">
        <v>119</v>
      </c>
      <c r="H185" t="s">
        <v>104</v>
      </c>
      <c r="I185">
        <v>2022</v>
      </c>
      <c r="J185" t="s">
        <v>123</v>
      </c>
      <c r="K185" t="s">
        <v>106</v>
      </c>
      <c r="L185" t="s">
        <v>520</v>
      </c>
      <c r="M185" t="s">
        <v>526</v>
      </c>
      <c r="N185">
        <v>1</v>
      </c>
      <c r="O185">
        <v>2022</v>
      </c>
      <c r="P185">
        <v>3749.5291546849662</v>
      </c>
      <c r="Q185">
        <v>1.7376707260977911</v>
      </c>
      <c r="R185" t="s">
        <v>109</v>
      </c>
      <c r="S185">
        <v>2157.7903675140542</v>
      </c>
      <c r="T185">
        <v>0.81</v>
      </c>
      <c r="U185" t="s">
        <v>110</v>
      </c>
      <c r="V185">
        <v>0.81</v>
      </c>
      <c r="W185">
        <v>6</v>
      </c>
      <c r="X185">
        <v>20</v>
      </c>
      <c r="Y185">
        <v>14</v>
      </c>
      <c r="Z185">
        <v>0.24</v>
      </c>
      <c r="AA185">
        <v>31.536000000000001</v>
      </c>
    </row>
    <row r="186" spans="1:27" x14ac:dyDescent="0.25">
      <c r="A186" t="s">
        <v>98</v>
      </c>
      <c r="B186" t="s">
        <v>519</v>
      </c>
      <c r="C186" t="s">
        <v>100</v>
      </c>
      <c r="D186" t="s">
        <v>101</v>
      </c>
      <c r="E186" t="s">
        <v>102</v>
      </c>
      <c r="G186" t="s">
        <v>103</v>
      </c>
      <c r="H186" t="s">
        <v>125</v>
      </c>
      <c r="I186">
        <v>2016</v>
      </c>
      <c r="J186" t="s">
        <v>126</v>
      </c>
      <c r="K186" t="s">
        <v>127</v>
      </c>
      <c r="L186" t="s">
        <v>520</v>
      </c>
      <c r="M186" t="s">
        <v>527</v>
      </c>
      <c r="N186">
        <v>1</v>
      </c>
      <c r="O186">
        <v>2020</v>
      </c>
      <c r="P186">
        <v>945.00328288808089</v>
      </c>
      <c r="Q186">
        <v>1.7376707260977911</v>
      </c>
      <c r="R186" t="s">
        <v>109</v>
      </c>
      <c r="S186">
        <v>543.83334465801363</v>
      </c>
      <c r="T186">
        <v>0.91554999999999997</v>
      </c>
      <c r="U186" t="s">
        <v>110</v>
      </c>
      <c r="V186">
        <v>0.91554999999999997</v>
      </c>
      <c r="W186">
        <v>6</v>
      </c>
      <c r="X186">
        <v>20</v>
      </c>
      <c r="Y186">
        <v>14</v>
      </c>
      <c r="Z186">
        <v>0.24</v>
      </c>
      <c r="AA186">
        <v>31.536000000000001</v>
      </c>
    </row>
    <row r="187" spans="1:27" x14ac:dyDescent="0.25">
      <c r="A187" t="s">
        <v>98</v>
      </c>
      <c r="B187" t="s">
        <v>519</v>
      </c>
      <c r="C187" t="s">
        <v>100</v>
      </c>
      <c r="D187" t="s">
        <v>101</v>
      </c>
      <c r="E187" t="s">
        <v>102</v>
      </c>
      <c r="G187" t="s">
        <v>111</v>
      </c>
      <c r="H187" t="s">
        <v>125</v>
      </c>
      <c r="I187">
        <v>2016</v>
      </c>
      <c r="J187" t="s">
        <v>129</v>
      </c>
      <c r="K187" t="s">
        <v>127</v>
      </c>
      <c r="L187" t="s">
        <v>520</v>
      </c>
      <c r="M187" t="s">
        <v>528</v>
      </c>
      <c r="N187">
        <v>1</v>
      </c>
      <c r="O187">
        <v>2020</v>
      </c>
      <c r="P187">
        <v>1036.455213490153</v>
      </c>
      <c r="Q187">
        <v>1.7376707260977911</v>
      </c>
      <c r="R187" t="s">
        <v>109</v>
      </c>
      <c r="S187">
        <v>596.46237801201505</v>
      </c>
      <c r="T187">
        <v>0.93</v>
      </c>
      <c r="U187" t="s">
        <v>110</v>
      </c>
      <c r="V187">
        <v>0.93</v>
      </c>
      <c r="W187">
        <v>6</v>
      </c>
      <c r="X187">
        <v>20</v>
      </c>
      <c r="Y187">
        <v>14</v>
      </c>
      <c r="Z187">
        <v>0.24</v>
      </c>
      <c r="AA187">
        <v>31.536000000000001</v>
      </c>
    </row>
    <row r="188" spans="1:27" x14ac:dyDescent="0.25">
      <c r="A188" t="s">
        <v>98</v>
      </c>
      <c r="B188" t="s">
        <v>519</v>
      </c>
      <c r="C188" t="s">
        <v>100</v>
      </c>
      <c r="D188" t="s">
        <v>101</v>
      </c>
      <c r="E188" t="s">
        <v>102</v>
      </c>
      <c r="G188" t="s">
        <v>119</v>
      </c>
      <c r="H188" t="s">
        <v>125</v>
      </c>
      <c r="I188">
        <v>2016</v>
      </c>
      <c r="J188" t="s">
        <v>131</v>
      </c>
      <c r="K188" t="s">
        <v>127</v>
      </c>
      <c r="L188" t="s">
        <v>520</v>
      </c>
      <c r="M188" t="s">
        <v>529</v>
      </c>
      <c r="N188">
        <v>1</v>
      </c>
      <c r="O188">
        <v>2020</v>
      </c>
      <c r="P188">
        <v>1493.714866500515</v>
      </c>
      <c r="Q188">
        <v>1.7376707260977911</v>
      </c>
      <c r="R188" t="s">
        <v>109</v>
      </c>
      <c r="S188">
        <v>859.60754478202159</v>
      </c>
      <c r="T188">
        <v>0.95</v>
      </c>
      <c r="U188" t="s">
        <v>110</v>
      </c>
      <c r="V188">
        <v>0.95</v>
      </c>
      <c r="W188">
        <v>6</v>
      </c>
      <c r="X188">
        <v>20</v>
      </c>
      <c r="Y188">
        <v>14</v>
      </c>
      <c r="Z188">
        <v>0.24</v>
      </c>
      <c r="AA188">
        <v>31.536000000000001</v>
      </c>
    </row>
    <row r="189" spans="1:27" x14ac:dyDescent="0.25">
      <c r="A189" t="s">
        <v>98</v>
      </c>
      <c r="B189" t="s">
        <v>519</v>
      </c>
      <c r="C189" t="s">
        <v>100</v>
      </c>
      <c r="D189" t="s">
        <v>101</v>
      </c>
      <c r="E189" t="s">
        <v>102</v>
      </c>
      <c r="G189" t="s">
        <v>133</v>
      </c>
      <c r="H189" t="s">
        <v>125</v>
      </c>
      <c r="I189">
        <v>2016</v>
      </c>
      <c r="J189" t="s">
        <v>134</v>
      </c>
      <c r="K189" t="s">
        <v>127</v>
      </c>
      <c r="L189" t="s">
        <v>520</v>
      </c>
      <c r="M189" t="s">
        <v>530</v>
      </c>
      <c r="N189">
        <v>1</v>
      </c>
      <c r="O189">
        <v>2020</v>
      </c>
      <c r="P189">
        <v>2530.170079990668</v>
      </c>
      <c r="Q189">
        <v>1.7376707260977911</v>
      </c>
      <c r="R189" t="s">
        <v>109</v>
      </c>
      <c r="S189">
        <v>1456.069922794037</v>
      </c>
      <c r="T189">
        <v>3.28</v>
      </c>
      <c r="U189" t="s">
        <v>110</v>
      </c>
      <c r="V189">
        <v>3.28</v>
      </c>
      <c r="W189">
        <v>6</v>
      </c>
      <c r="X189">
        <v>20</v>
      </c>
      <c r="Y189">
        <v>14</v>
      </c>
      <c r="Z189">
        <v>0.24</v>
      </c>
      <c r="AA189">
        <v>31.536000000000001</v>
      </c>
    </row>
    <row r="190" spans="1:27" x14ac:dyDescent="0.25">
      <c r="A190" t="s">
        <v>98</v>
      </c>
      <c r="B190" t="s">
        <v>519</v>
      </c>
      <c r="C190" t="s">
        <v>100</v>
      </c>
      <c r="D190" t="s">
        <v>101</v>
      </c>
      <c r="E190" t="s">
        <v>102</v>
      </c>
      <c r="G190" t="s">
        <v>133</v>
      </c>
      <c r="H190" t="s">
        <v>125</v>
      </c>
      <c r="I190">
        <v>2022</v>
      </c>
      <c r="J190" t="s">
        <v>136</v>
      </c>
      <c r="K190" t="s">
        <v>127</v>
      </c>
      <c r="L190" t="s">
        <v>520</v>
      </c>
      <c r="M190" t="s">
        <v>531</v>
      </c>
      <c r="N190">
        <v>1</v>
      </c>
      <c r="O190">
        <v>2022</v>
      </c>
      <c r="P190">
        <v>2530.170079990668</v>
      </c>
      <c r="Q190">
        <v>1.7376707260977911</v>
      </c>
      <c r="R190" t="s">
        <v>109</v>
      </c>
      <c r="S190">
        <v>1456.069922794037</v>
      </c>
      <c r="T190">
        <v>3.28</v>
      </c>
      <c r="U190" t="s">
        <v>110</v>
      </c>
      <c r="V190">
        <v>3.28</v>
      </c>
      <c r="W190">
        <v>6</v>
      </c>
      <c r="X190">
        <v>20</v>
      </c>
      <c r="Y190">
        <v>14</v>
      </c>
      <c r="Z190">
        <v>0.24</v>
      </c>
      <c r="AA190">
        <v>31.536000000000001</v>
      </c>
    </row>
    <row r="191" spans="1:27" x14ac:dyDescent="0.25">
      <c r="A191" t="s">
        <v>98</v>
      </c>
      <c r="B191" t="s">
        <v>519</v>
      </c>
      <c r="C191" t="s">
        <v>100</v>
      </c>
      <c r="D191" t="s">
        <v>101</v>
      </c>
      <c r="E191" t="s">
        <v>102</v>
      </c>
      <c r="G191" t="s">
        <v>138</v>
      </c>
      <c r="H191" t="s">
        <v>125</v>
      </c>
      <c r="I191">
        <v>2016</v>
      </c>
      <c r="J191" t="s">
        <v>139</v>
      </c>
      <c r="K191" t="s">
        <v>127</v>
      </c>
      <c r="L191" t="s">
        <v>520</v>
      </c>
      <c r="M191" t="s">
        <v>532</v>
      </c>
      <c r="N191">
        <v>1</v>
      </c>
      <c r="O191">
        <v>2020</v>
      </c>
      <c r="P191">
        <v>2316.7822419191662</v>
      </c>
      <c r="Q191">
        <v>1.7376707260977911</v>
      </c>
      <c r="R191" t="s">
        <v>109</v>
      </c>
      <c r="S191">
        <v>1333.268844968034</v>
      </c>
      <c r="T191">
        <v>2</v>
      </c>
      <c r="U191" t="s">
        <v>110</v>
      </c>
      <c r="V191">
        <v>2</v>
      </c>
      <c r="W191">
        <v>6</v>
      </c>
      <c r="X191">
        <v>20</v>
      </c>
      <c r="Y191">
        <v>14</v>
      </c>
      <c r="Z191">
        <v>0.24</v>
      </c>
      <c r="AA191">
        <v>31.536000000000001</v>
      </c>
    </row>
    <row r="192" spans="1:27" x14ac:dyDescent="0.25">
      <c r="A192" t="s">
        <v>98</v>
      </c>
      <c r="B192" t="s">
        <v>519</v>
      </c>
      <c r="C192" t="s">
        <v>100</v>
      </c>
      <c r="D192" t="s">
        <v>101</v>
      </c>
      <c r="E192" t="s">
        <v>102</v>
      </c>
      <c r="G192" t="s">
        <v>138</v>
      </c>
      <c r="H192" t="s">
        <v>125</v>
      </c>
      <c r="I192">
        <v>2022</v>
      </c>
      <c r="J192" t="s">
        <v>141</v>
      </c>
      <c r="K192" t="s">
        <v>127</v>
      </c>
      <c r="L192" t="s">
        <v>520</v>
      </c>
      <c r="M192" t="s">
        <v>533</v>
      </c>
      <c r="N192">
        <v>1</v>
      </c>
      <c r="O192">
        <v>2022</v>
      </c>
      <c r="P192">
        <v>2805.3845753706141</v>
      </c>
      <c r="Q192">
        <v>1.7376707260977911</v>
      </c>
      <c r="R192" t="s">
        <v>109</v>
      </c>
      <c r="S192">
        <v>1614.451192183308</v>
      </c>
      <c r="T192">
        <v>3.3</v>
      </c>
      <c r="U192" t="s">
        <v>110</v>
      </c>
      <c r="V192">
        <v>3.3</v>
      </c>
      <c r="W192">
        <v>6</v>
      </c>
      <c r="X192">
        <v>20</v>
      </c>
      <c r="Y192">
        <v>14</v>
      </c>
      <c r="Z192">
        <v>0.24</v>
      </c>
      <c r="AA192">
        <v>31.536000000000001</v>
      </c>
    </row>
    <row r="193" spans="1:27" x14ac:dyDescent="0.25">
      <c r="A193" t="s">
        <v>98</v>
      </c>
      <c r="B193" t="s">
        <v>519</v>
      </c>
      <c r="C193" t="s">
        <v>100</v>
      </c>
      <c r="D193" t="s">
        <v>101</v>
      </c>
      <c r="E193" t="s">
        <v>102</v>
      </c>
      <c r="G193" t="s">
        <v>143</v>
      </c>
      <c r="H193" t="s">
        <v>125</v>
      </c>
      <c r="I193">
        <v>2016</v>
      </c>
      <c r="J193" t="s">
        <v>144</v>
      </c>
      <c r="K193" t="s">
        <v>127</v>
      </c>
      <c r="L193" t="s">
        <v>520</v>
      </c>
      <c r="M193" t="s">
        <v>534</v>
      </c>
      <c r="N193">
        <v>1</v>
      </c>
      <c r="O193">
        <v>2020</v>
      </c>
      <c r="P193">
        <v>3017.9137098683868</v>
      </c>
      <c r="Q193">
        <v>1.7376707260977911</v>
      </c>
      <c r="R193" t="s">
        <v>109</v>
      </c>
      <c r="S193">
        <v>1736.758100682044</v>
      </c>
      <c r="T193">
        <v>3.55</v>
      </c>
      <c r="U193" t="s">
        <v>110</v>
      </c>
      <c r="V193">
        <v>3.55</v>
      </c>
      <c r="W193">
        <v>6</v>
      </c>
      <c r="X193">
        <v>20</v>
      </c>
      <c r="Y193">
        <v>14</v>
      </c>
      <c r="Z193">
        <v>0.24</v>
      </c>
      <c r="AA193">
        <v>31.536000000000001</v>
      </c>
    </row>
    <row r="194" spans="1:27" x14ac:dyDescent="0.25">
      <c r="A194" t="s">
        <v>98</v>
      </c>
      <c r="B194" t="s">
        <v>519</v>
      </c>
      <c r="C194" t="s">
        <v>100</v>
      </c>
      <c r="D194" t="s">
        <v>101</v>
      </c>
      <c r="E194" t="s">
        <v>102</v>
      </c>
      <c r="G194" t="s">
        <v>143</v>
      </c>
      <c r="H194" t="s">
        <v>125</v>
      </c>
      <c r="I194">
        <v>2022</v>
      </c>
      <c r="J194" t="s">
        <v>146</v>
      </c>
      <c r="K194" t="s">
        <v>127</v>
      </c>
      <c r="L194" t="s">
        <v>520</v>
      </c>
      <c r="M194" t="s">
        <v>535</v>
      </c>
      <c r="N194">
        <v>1</v>
      </c>
      <c r="O194">
        <v>2022</v>
      </c>
      <c r="P194">
        <v>3017.9137098683868</v>
      </c>
      <c r="Q194">
        <v>1.7376707260977911</v>
      </c>
      <c r="R194" t="s">
        <v>109</v>
      </c>
      <c r="S194">
        <v>1736.758100682044</v>
      </c>
      <c r="T194">
        <v>3.55</v>
      </c>
      <c r="U194" t="s">
        <v>110</v>
      </c>
      <c r="V194">
        <v>3.55</v>
      </c>
      <c r="W194">
        <v>6</v>
      </c>
      <c r="X194">
        <v>20</v>
      </c>
      <c r="Y194">
        <v>14</v>
      </c>
      <c r="Z194">
        <v>0.24</v>
      </c>
      <c r="AA194">
        <v>31.536000000000001</v>
      </c>
    </row>
    <row r="195" spans="1:27" x14ac:dyDescent="0.25">
      <c r="A195" t="s">
        <v>98</v>
      </c>
      <c r="B195" t="s">
        <v>519</v>
      </c>
      <c r="C195" t="s">
        <v>100</v>
      </c>
      <c r="D195" t="s">
        <v>101</v>
      </c>
      <c r="E195" t="s">
        <v>102</v>
      </c>
      <c r="G195" t="s">
        <v>103</v>
      </c>
      <c r="H195" t="s">
        <v>148</v>
      </c>
      <c r="I195">
        <v>2016</v>
      </c>
      <c r="J195" t="s">
        <v>149</v>
      </c>
      <c r="K195" t="s">
        <v>150</v>
      </c>
      <c r="L195" t="s">
        <v>520</v>
      </c>
      <c r="M195" t="s">
        <v>536</v>
      </c>
      <c r="N195">
        <v>1</v>
      </c>
      <c r="O195">
        <v>2020</v>
      </c>
      <c r="P195">
        <v>2926.4617792663148</v>
      </c>
      <c r="Q195">
        <v>1.7376707260977911</v>
      </c>
      <c r="R195" t="s">
        <v>109</v>
      </c>
      <c r="S195">
        <v>1684.129067328043</v>
      </c>
      <c r="T195">
        <v>0.63670000000000004</v>
      </c>
      <c r="U195" t="s">
        <v>110</v>
      </c>
      <c r="V195">
        <v>0.63670000000000004</v>
      </c>
      <c r="W195">
        <v>6</v>
      </c>
      <c r="X195">
        <v>20</v>
      </c>
      <c r="Y195">
        <v>14</v>
      </c>
      <c r="Z195">
        <v>0.24</v>
      </c>
      <c r="AA195">
        <v>31.536000000000001</v>
      </c>
    </row>
    <row r="196" spans="1:27" x14ac:dyDescent="0.25">
      <c r="A196" t="s">
        <v>98</v>
      </c>
      <c r="B196" t="s">
        <v>519</v>
      </c>
      <c r="C196" t="s">
        <v>100</v>
      </c>
      <c r="D196" t="s">
        <v>101</v>
      </c>
      <c r="E196" t="s">
        <v>102</v>
      </c>
      <c r="G196" t="s">
        <v>111</v>
      </c>
      <c r="H196" t="s">
        <v>148</v>
      </c>
      <c r="I196">
        <v>2016</v>
      </c>
      <c r="J196" t="s">
        <v>152</v>
      </c>
      <c r="K196" t="s">
        <v>150</v>
      </c>
      <c r="L196" t="s">
        <v>520</v>
      </c>
      <c r="M196" t="s">
        <v>537</v>
      </c>
      <c r="N196">
        <v>1</v>
      </c>
      <c r="O196">
        <v>2020</v>
      </c>
      <c r="P196">
        <v>3109.3656404704602</v>
      </c>
      <c r="Q196">
        <v>1.7376707260977911</v>
      </c>
      <c r="R196" t="s">
        <v>109</v>
      </c>
      <c r="S196">
        <v>1789.3871340360449</v>
      </c>
      <c r="T196">
        <v>0.67</v>
      </c>
      <c r="U196" t="s">
        <v>110</v>
      </c>
      <c r="V196">
        <v>0.67</v>
      </c>
      <c r="W196">
        <v>6</v>
      </c>
      <c r="X196">
        <v>20</v>
      </c>
      <c r="Y196">
        <v>14</v>
      </c>
      <c r="Z196">
        <v>0.24</v>
      </c>
      <c r="AA196">
        <v>31.536000000000001</v>
      </c>
    </row>
    <row r="197" spans="1:27" x14ac:dyDescent="0.25">
      <c r="A197" t="s">
        <v>98</v>
      </c>
      <c r="B197" t="s">
        <v>519</v>
      </c>
      <c r="C197" t="s">
        <v>100</v>
      </c>
      <c r="D197" t="s">
        <v>101</v>
      </c>
      <c r="E197" t="s">
        <v>102</v>
      </c>
      <c r="G197" t="s">
        <v>119</v>
      </c>
      <c r="H197" t="s">
        <v>148</v>
      </c>
      <c r="I197">
        <v>2016</v>
      </c>
      <c r="J197" t="s">
        <v>154</v>
      </c>
      <c r="K197" t="s">
        <v>150</v>
      </c>
      <c r="L197" t="s">
        <v>520</v>
      </c>
      <c r="M197" t="s">
        <v>538</v>
      </c>
      <c r="N197">
        <v>1</v>
      </c>
      <c r="O197">
        <v>2020</v>
      </c>
      <c r="P197">
        <v>3078.881663603102</v>
      </c>
      <c r="Q197">
        <v>1.7376707260977911</v>
      </c>
      <c r="R197" t="s">
        <v>109</v>
      </c>
      <c r="S197">
        <v>1771.8441229180451</v>
      </c>
      <c r="T197">
        <v>0.69</v>
      </c>
      <c r="U197" t="s">
        <v>110</v>
      </c>
      <c r="V197">
        <v>0.69</v>
      </c>
      <c r="W197">
        <v>6</v>
      </c>
      <c r="X197">
        <v>20</v>
      </c>
      <c r="Y197">
        <v>14</v>
      </c>
      <c r="Z197">
        <v>0.24</v>
      </c>
      <c r="AA197">
        <v>31.536000000000001</v>
      </c>
    </row>
    <row r="198" spans="1:27" x14ac:dyDescent="0.25">
      <c r="A198" t="s">
        <v>98</v>
      </c>
      <c r="B198" t="s">
        <v>519</v>
      </c>
      <c r="C198" t="s">
        <v>100</v>
      </c>
      <c r="D198" t="s">
        <v>101</v>
      </c>
      <c r="E198" t="s">
        <v>102</v>
      </c>
      <c r="G198" t="s">
        <v>103</v>
      </c>
      <c r="H198" t="s">
        <v>156</v>
      </c>
      <c r="I198">
        <v>2016</v>
      </c>
      <c r="J198" t="s">
        <v>157</v>
      </c>
      <c r="K198" t="s">
        <v>158</v>
      </c>
      <c r="L198" t="s">
        <v>520</v>
      </c>
      <c r="M198" t="s">
        <v>539</v>
      </c>
      <c r="N198">
        <v>1</v>
      </c>
      <c r="O198">
        <v>2020</v>
      </c>
      <c r="P198">
        <v>2225.3303113170941</v>
      </c>
      <c r="Q198">
        <v>1.7376707260977911</v>
      </c>
      <c r="R198" t="s">
        <v>109</v>
      </c>
      <c r="S198">
        <v>1280.6398116140319</v>
      </c>
      <c r="T198">
        <v>0.61014999999999997</v>
      </c>
      <c r="U198" t="s">
        <v>110</v>
      </c>
      <c r="V198">
        <v>0.61014999999999997</v>
      </c>
      <c r="W198">
        <v>6</v>
      </c>
      <c r="X198">
        <v>20</v>
      </c>
      <c r="Y198">
        <v>14</v>
      </c>
      <c r="Z198">
        <v>0.24</v>
      </c>
      <c r="AA198">
        <v>31.536000000000001</v>
      </c>
    </row>
    <row r="199" spans="1:27" x14ac:dyDescent="0.25">
      <c r="A199" t="s">
        <v>98</v>
      </c>
      <c r="B199" t="s">
        <v>519</v>
      </c>
      <c r="C199" t="s">
        <v>100</v>
      </c>
      <c r="D199" t="s">
        <v>101</v>
      </c>
      <c r="E199" t="s">
        <v>102</v>
      </c>
      <c r="G199" t="s">
        <v>111</v>
      </c>
      <c r="H199" t="s">
        <v>156</v>
      </c>
      <c r="I199">
        <v>2016</v>
      </c>
      <c r="J199" t="s">
        <v>160</v>
      </c>
      <c r="K199" t="s">
        <v>158</v>
      </c>
      <c r="L199" t="s">
        <v>520</v>
      </c>
      <c r="M199" t="s">
        <v>540</v>
      </c>
      <c r="N199">
        <v>1</v>
      </c>
      <c r="O199">
        <v>2020</v>
      </c>
      <c r="P199">
        <v>2347.266218786523</v>
      </c>
      <c r="Q199">
        <v>1.7376707260977911</v>
      </c>
      <c r="R199" t="s">
        <v>109</v>
      </c>
      <c r="S199">
        <v>1350.8118560860339</v>
      </c>
      <c r="T199">
        <v>0.63</v>
      </c>
      <c r="U199" t="s">
        <v>110</v>
      </c>
      <c r="V199">
        <v>0.63</v>
      </c>
      <c r="W199">
        <v>6</v>
      </c>
      <c r="X199">
        <v>20</v>
      </c>
      <c r="Y199">
        <v>14</v>
      </c>
      <c r="Z199">
        <v>0.24</v>
      </c>
      <c r="AA199">
        <v>31.536000000000001</v>
      </c>
    </row>
    <row r="200" spans="1:27" x14ac:dyDescent="0.25">
      <c r="A200" t="s">
        <v>98</v>
      </c>
      <c r="B200" t="s">
        <v>519</v>
      </c>
      <c r="C200" t="s">
        <v>100</v>
      </c>
      <c r="D200" t="s">
        <v>101</v>
      </c>
      <c r="E200" t="s">
        <v>102</v>
      </c>
      <c r="G200" t="s">
        <v>114</v>
      </c>
      <c r="H200" t="s">
        <v>156</v>
      </c>
      <c r="I200">
        <v>2016</v>
      </c>
      <c r="J200" t="s">
        <v>162</v>
      </c>
      <c r="K200" t="s">
        <v>158</v>
      </c>
      <c r="L200" t="s">
        <v>520</v>
      </c>
      <c r="M200" t="s">
        <v>541</v>
      </c>
      <c r="N200">
        <v>1</v>
      </c>
      <c r="O200">
        <v>2020</v>
      </c>
      <c r="P200">
        <v>2469.2021262559529</v>
      </c>
      <c r="Q200">
        <v>1.7376707260977911</v>
      </c>
      <c r="R200" t="s">
        <v>109</v>
      </c>
      <c r="S200">
        <v>1420.9839005580361</v>
      </c>
      <c r="T200">
        <v>0.66</v>
      </c>
      <c r="U200" t="s">
        <v>110</v>
      </c>
      <c r="V200">
        <v>0.66</v>
      </c>
      <c r="W200">
        <v>6</v>
      </c>
      <c r="X200">
        <v>20</v>
      </c>
      <c r="Y200">
        <v>14</v>
      </c>
      <c r="Z200">
        <v>0.24</v>
      </c>
      <c r="AA200">
        <v>31.536000000000001</v>
      </c>
    </row>
    <row r="201" spans="1:27" x14ac:dyDescent="0.25">
      <c r="A201" t="s">
        <v>98</v>
      </c>
      <c r="B201" t="s">
        <v>519</v>
      </c>
      <c r="C201" t="s">
        <v>100</v>
      </c>
      <c r="D201" t="s">
        <v>101</v>
      </c>
      <c r="E201" t="s">
        <v>102</v>
      </c>
      <c r="G201" t="s">
        <v>114</v>
      </c>
      <c r="H201" t="s">
        <v>156</v>
      </c>
      <c r="I201">
        <v>2023</v>
      </c>
      <c r="J201" t="s">
        <v>164</v>
      </c>
      <c r="K201" t="s">
        <v>158</v>
      </c>
      <c r="L201" t="s">
        <v>520</v>
      </c>
      <c r="M201" t="s">
        <v>542</v>
      </c>
      <c r="N201">
        <v>1</v>
      </c>
      <c r="O201">
        <v>2023</v>
      </c>
      <c r="P201">
        <v>3865.2553631628971</v>
      </c>
      <c r="Q201">
        <v>1.7376707260977911</v>
      </c>
      <c r="R201" t="s">
        <v>109</v>
      </c>
      <c r="S201">
        <v>2224.3888356472039</v>
      </c>
      <c r="T201">
        <v>0.83499999999999996</v>
      </c>
      <c r="U201" t="s">
        <v>110</v>
      </c>
      <c r="V201">
        <v>0.83499999999999996</v>
      </c>
      <c r="W201">
        <v>6</v>
      </c>
      <c r="X201">
        <v>20</v>
      </c>
      <c r="Y201">
        <v>14</v>
      </c>
      <c r="Z201">
        <v>0.24</v>
      </c>
      <c r="AA201">
        <v>31.536000000000001</v>
      </c>
    </row>
    <row r="202" spans="1:27" x14ac:dyDescent="0.25">
      <c r="A202" t="s">
        <v>98</v>
      </c>
      <c r="B202" t="s">
        <v>519</v>
      </c>
      <c r="C202" t="s">
        <v>100</v>
      </c>
      <c r="D202" t="s">
        <v>101</v>
      </c>
      <c r="E202" t="s">
        <v>102</v>
      </c>
      <c r="G202" t="s">
        <v>119</v>
      </c>
      <c r="H202" t="s">
        <v>156</v>
      </c>
      <c r="I202">
        <v>2016</v>
      </c>
      <c r="J202" t="s">
        <v>166</v>
      </c>
      <c r="K202" t="s">
        <v>158</v>
      </c>
      <c r="L202" t="s">
        <v>520</v>
      </c>
      <c r="M202" t="s">
        <v>543</v>
      </c>
      <c r="N202">
        <v>0</v>
      </c>
      <c r="O202">
        <v>2020</v>
      </c>
      <c r="P202">
        <v>3749.5291546849662</v>
      </c>
      <c r="Q202">
        <v>1.7376707260977911</v>
      </c>
      <c r="R202" t="s">
        <v>109</v>
      </c>
      <c r="S202">
        <v>2157.7903675140542</v>
      </c>
      <c r="T202">
        <v>0.81</v>
      </c>
      <c r="U202" t="s">
        <v>110</v>
      </c>
      <c r="V202">
        <v>0.81</v>
      </c>
      <c r="W202">
        <v>6</v>
      </c>
      <c r="X202">
        <v>20</v>
      </c>
      <c r="Y202">
        <v>14</v>
      </c>
      <c r="Z202">
        <v>0.24</v>
      </c>
      <c r="AA202">
        <v>31.536000000000001</v>
      </c>
    </row>
    <row r="203" spans="1:27" x14ac:dyDescent="0.25">
      <c r="A203" t="s">
        <v>98</v>
      </c>
      <c r="B203" t="s">
        <v>519</v>
      </c>
      <c r="C203" t="s">
        <v>100</v>
      </c>
      <c r="D203" t="s">
        <v>101</v>
      </c>
      <c r="E203" t="s">
        <v>102</v>
      </c>
      <c r="G203" t="s">
        <v>119</v>
      </c>
      <c r="H203" t="s">
        <v>156</v>
      </c>
      <c r="I203">
        <v>2018</v>
      </c>
      <c r="J203" t="s">
        <v>168</v>
      </c>
      <c r="K203" t="s">
        <v>158</v>
      </c>
      <c r="L203" t="s">
        <v>520</v>
      </c>
      <c r="M203" t="s">
        <v>543</v>
      </c>
      <c r="N203">
        <v>1</v>
      </c>
      <c r="O203">
        <v>2020</v>
      </c>
      <c r="P203">
        <v>3749.5291546849662</v>
      </c>
      <c r="Q203">
        <v>1.7376707260977911</v>
      </c>
      <c r="R203" t="s">
        <v>109</v>
      </c>
      <c r="S203">
        <v>2157.7903675140542</v>
      </c>
      <c r="T203">
        <v>0.81</v>
      </c>
      <c r="U203" t="s">
        <v>110</v>
      </c>
      <c r="V203">
        <v>0.81</v>
      </c>
      <c r="W203">
        <v>6</v>
      </c>
      <c r="X203">
        <v>20</v>
      </c>
      <c r="Y203">
        <v>14</v>
      </c>
      <c r="Z203">
        <v>0.24</v>
      </c>
      <c r="AA203">
        <v>31.536000000000001</v>
      </c>
    </row>
    <row r="204" spans="1:27" x14ac:dyDescent="0.25">
      <c r="A204" t="s">
        <v>98</v>
      </c>
      <c r="B204" t="s">
        <v>519</v>
      </c>
      <c r="C204" t="s">
        <v>100</v>
      </c>
      <c r="D204" t="s">
        <v>101</v>
      </c>
      <c r="E204" t="s">
        <v>102</v>
      </c>
      <c r="G204" t="s">
        <v>111</v>
      </c>
      <c r="H204" t="s">
        <v>169</v>
      </c>
      <c r="I204">
        <v>2016</v>
      </c>
      <c r="J204" t="s">
        <v>170</v>
      </c>
      <c r="K204" t="s">
        <v>171</v>
      </c>
      <c r="L204" t="s">
        <v>520</v>
      </c>
      <c r="M204" t="s">
        <v>544</v>
      </c>
      <c r="N204">
        <v>0</v>
      </c>
      <c r="O204">
        <v>2020</v>
      </c>
      <c r="P204">
        <v>13412.949821637279</v>
      </c>
      <c r="Q204">
        <v>1.7376707260977911</v>
      </c>
      <c r="R204" t="s">
        <v>109</v>
      </c>
      <c r="S204">
        <v>7718.9248919201946</v>
      </c>
      <c r="T204">
        <v>1</v>
      </c>
      <c r="U204" t="s">
        <v>173</v>
      </c>
      <c r="V204">
        <v>1</v>
      </c>
      <c r="W204">
        <v>15</v>
      </c>
      <c r="X204">
        <v>30</v>
      </c>
      <c r="Y204">
        <v>23</v>
      </c>
      <c r="Z204">
        <v>0.24</v>
      </c>
      <c r="AA204">
        <v>31.536000000000001</v>
      </c>
    </row>
    <row r="205" spans="1:27" x14ac:dyDescent="0.25">
      <c r="A205" t="s">
        <v>98</v>
      </c>
      <c r="B205" t="s">
        <v>519</v>
      </c>
      <c r="C205" t="s">
        <v>100</v>
      </c>
      <c r="D205" t="s">
        <v>101</v>
      </c>
      <c r="E205" t="s">
        <v>102</v>
      </c>
      <c r="G205" t="s">
        <v>111</v>
      </c>
      <c r="H205" t="s">
        <v>169</v>
      </c>
      <c r="I205">
        <v>2020</v>
      </c>
      <c r="J205" t="s">
        <v>174</v>
      </c>
      <c r="K205" t="s">
        <v>171</v>
      </c>
      <c r="L205" t="s">
        <v>520</v>
      </c>
      <c r="M205" t="s">
        <v>544</v>
      </c>
      <c r="N205">
        <v>1</v>
      </c>
      <c r="O205">
        <v>2020</v>
      </c>
      <c r="P205">
        <v>13412.949821637279</v>
      </c>
      <c r="Q205">
        <v>1.7376707260977911</v>
      </c>
      <c r="R205" t="s">
        <v>109</v>
      </c>
      <c r="S205">
        <v>7718.9248919201946</v>
      </c>
      <c r="T205">
        <v>1</v>
      </c>
      <c r="U205" t="s">
        <v>173</v>
      </c>
      <c r="V205">
        <v>1</v>
      </c>
      <c r="W205">
        <v>15</v>
      </c>
      <c r="X205">
        <v>30</v>
      </c>
      <c r="Y205">
        <v>23</v>
      </c>
      <c r="Z205">
        <v>0.24</v>
      </c>
      <c r="AA205">
        <v>31.536000000000001</v>
      </c>
    </row>
    <row r="206" spans="1:27" x14ac:dyDescent="0.25">
      <c r="A206" t="s">
        <v>98</v>
      </c>
      <c r="B206" t="s">
        <v>519</v>
      </c>
      <c r="C206" t="s">
        <v>100</v>
      </c>
      <c r="D206" t="s">
        <v>101</v>
      </c>
      <c r="E206" t="s">
        <v>102</v>
      </c>
      <c r="G206" t="s">
        <v>111</v>
      </c>
      <c r="H206" t="s">
        <v>169</v>
      </c>
      <c r="I206">
        <v>2023</v>
      </c>
      <c r="J206" t="s">
        <v>175</v>
      </c>
      <c r="K206" t="s">
        <v>171</v>
      </c>
      <c r="L206" t="s">
        <v>520</v>
      </c>
      <c r="M206" t="s">
        <v>545</v>
      </c>
      <c r="N206">
        <v>1</v>
      </c>
      <c r="O206">
        <v>2023</v>
      </c>
      <c r="P206">
        <v>13412.949821637279</v>
      </c>
      <c r="Q206">
        <v>1.7376707260977911</v>
      </c>
      <c r="R206" t="s">
        <v>109</v>
      </c>
      <c r="S206">
        <v>7718.9248919201946</v>
      </c>
      <c r="T206">
        <v>1</v>
      </c>
      <c r="U206" t="s">
        <v>173</v>
      </c>
      <c r="V206">
        <v>1</v>
      </c>
      <c r="W206">
        <v>15</v>
      </c>
      <c r="X206">
        <v>30</v>
      </c>
      <c r="Y206">
        <v>23</v>
      </c>
      <c r="Z206">
        <v>0.24</v>
      </c>
      <c r="AA206">
        <v>31.536000000000001</v>
      </c>
    </row>
    <row r="207" spans="1:27" x14ac:dyDescent="0.25">
      <c r="A207" t="s">
        <v>98</v>
      </c>
      <c r="B207" t="s">
        <v>519</v>
      </c>
      <c r="C207" t="s">
        <v>100</v>
      </c>
      <c r="D207" t="s">
        <v>101</v>
      </c>
      <c r="E207" t="s">
        <v>102</v>
      </c>
      <c r="G207" t="s">
        <v>111</v>
      </c>
      <c r="H207" t="s">
        <v>169</v>
      </c>
      <c r="I207">
        <v>2024</v>
      </c>
      <c r="J207" t="s">
        <v>177</v>
      </c>
      <c r="K207" t="s">
        <v>171</v>
      </c>
      <c r="L207" t="s">
        <v>520</v>
      </c>
      <c r="M207" t="s">
        <v>546</v>
      </c>
      <c r="N207">
        <v>1</v>
      </c>
      <c r="O207">
        <v>2024</v>
      </c>
      <c r="P207">
        <v>13412.949821637279</v>
      </c>
      <c r="Q207">
        <v>1.7376707260977911</v>
      </c>
      <c r="R207" t="s">
        <v>109</v>
      </c>
      <c r="S207">
        <v>7718.9248919201946</v>
      </c>
      <c r="T207">
        <v>1</v>
      </c>
      <c r="U207" t="s">
        <v>173</v>
      </c>
      <c r="V207">
        <v>1</v>
      </c>
      <c r="W207">
        <v>15</v>
      </c>
      <c r="X207">
        <v>30</v>
      </c>
      <c r="Y207">
        <v>23</v>
      </c>
      <c r="Z207">
        <v>0.24</v>
      </c>
      <c r="AA207">
        <v>31.536000000000001</v>
      </c>
    </row>
    <row r="208" spans="1:27" x14ac:dyDescent="0.25">
      <c r="A208" t="s">
        <v>98</v>
      </c>
      <c r="B208" t="s">
        <v>519</v>
      </c>
      <c r="C208" t="s">
        <v>100</v>
      </c>
      <c r="D208" t="s">
        <v>101</v>
      </c>
      <c r="E208" t="s">
        <v>179</v>
      </c>
      <c r="F208" t="s">
        <v>180</v>
      </c>
      <c r="G208" t="s">
        <v>103</v>
      </c>
      <c r="H208" t="s">
        <v>125</v>
      </c>
      <c r="I208">
        <v>2016</v>
      </c>
      <c r="J208" t="s">
        <v>181</v>
      </c>
      <c r="K208" t="s">
        <v>127</v>
      </c>
      <c r="L208" t="s">
        <v>547</v>
      </c>
      <c r="M208" t="s">
        <v>548</v>
      </c>
      <c r="N208">
        <v>1</v>
      </c>
      <c r="O208">
        <v>2020</v>
      </c>
      <c r="P208">
        <v>2956.9457561336731</v>
      </c>
      <c r="Q208">
        <v>15.04742874486676</v>
      </c>
      <c r="R208" t="s">
        <v>109</v>
      </c>
      <c r="S208">
        <v>196.50837403981049</v>
      </c>
      <c r="T208">
        <v>2.4032825322391562</v>
      </c>
      <c r="U208" t="s">
        <v>184</v>
      </c>
      <c r="V208">
        <v>2.4032825322391562</v>
      </c>
      <c r="W208">
        <v>9</v>
      </c>
      <c r="X208">
        <v>22</v>
      </c>
      <c r="Y208">
        <v>16</v>
      </c>
      <c r="Z208">
        <v>9.0305172134094655E-2</v>
      </c>
      <c r="AA208">
        <v>31.536000000000001</v>
      </c>
    </row>
    <row r="209" spans="1:27" x14ac:dyDescent="0.25">
      <c r="A209" t="s">
        <v>98</v>
      </c>
      <c r="B209" t="s">
        <v>519</v>
      </c>
      <c r="C209" t="s">
        <v>100</v>
      </c>
      <c r="D209" t="s">
        <v>101</v>
      </c>
      <c r="E209" t="s">
        <v>179</v>
      </c>
      <c r="F209" t="s">
        <v>180</v>
      </c>
      <c r="G209" t="s">
        <v>103</v>
      </c>
      <c r="H209" t="s">
        <v>125</v>
      </c>
      <c r="I209">
        <v>2023</v>
      </c>
      <c r="J209" t="s">
        <v>185</v>
      </c>
      <c r="K209" t="s">
        <v>127</v>
      </c>
      <c r="L209" t="s">
        <v>547</v>
      </c>
      <c r="M209" t="s">
        <v>549</v>
      </c>
      <c r="N209">
        <v>1</v>
      </c>
      <c r="O209">
        <v>2023</v>
      </c>
      <c r="P209">
        <v>2956.9457561336731</v>
      </c>
      <c r="Q209">
        <v>15.04742874486676</v>
      </c>
      <c r="R209" t="s">
        <v>109</v>
      </c>
      <c r="S209">
        <v>196.50837403981049</v>
      </c>
      <c r="T209">
        <v>2.4032825322391562</v>
      </c>
      <c r="U209" t="s">
        <v>184</v>
      </c>
      <c r="V209">
        <v>2.4032825322391562</v>
      </c>
      <c r="W209">
        <v>9</v>
      </c>
      <c r="X209">
        <v>22</v>
      </c>
      <c r="Y209">
        <v>16</v>
      </c>
      <c r="Z209">
        <v>9.0305172134094655E-2</v>
      </c>
      <c r="AA209">
        <v>31.536000000000001</v>
      </c>
    </row>
    <row r="210" spans="1:27" x14ac:dyDescent="0.25">
      <c r="A210" t="s">
        <v>98</v>
      </c>
      <c r="B210" t="s">
        <v>519</v>
      </c>
      <c r="C210" t="s">
        <v>100</v>
      </c>
      <c r="D210" t="s">
        <v>101</v>
      </c>
      <c r="E210" t="s">
        <v>179</v>
      </c>
      <c r="F210" t="s">
        <v>180</v>
      </c>
      <c r="G210" t="s">
        <v>111</v>
      </c>
      <c r="H210" t="s">
        <v>125</v>
      </c>
      <c r="I210">
        <v>2016</v>
      </c>
      <c r="J210" t="s">
        <v>187</v>
      </c>
      <c r="K210" t="s">
        <v>127</v>
      </c>
      <c r="L210" t="s">
        <v>547</v>
      </c>
      <c r="M210" t="s">
        <v>550</v>
      </c>
      <c r="N210">
        <v>1</v>
      </c>
      <c r="O210">
        <v>2020</v>
      </c>
      <c r="P210">
        <v>3109.3656404704602</v>
      </c>
      <c r="Q210">
        <v>15.04742874486676</v>
      </c>
      <c r="R210" t="s">
        <v>109</v>
      </c>
      <c r="S210">
        <v>206.63767167072851</v>
      </c>
      <c r="T210">
        <v>2.5205158264947238</v>
      </c>
      <c r="U210" t="s">
        <v>184</v>
      </c>
      <c r="V210">
        <v>2.5205158264947238</v>
      </c>
      <c r="W210">
        <v>9</v>
      </c>
      <c r="X210">
        <v>22</v>
      </c>
      <c r="Y210">
        <v>16</v>
      </c>
      <c r="Z210">
        <v>9.0305172134094655E-2</v>
      </c>
      <c r="AA210">
        <v>31.536000000000001</v>
      </c>
    </row>
    <row r="211" spans="1:27" x14ac:dyDescent="0.25">
      <c r="A211" t="s">
        <v>98</v>
      </c>
      <c r="B211" t="s">
        <v>519</v>
      </c>
      <c r="C211" t="s">
        <v>100</v>
      </c>
      <c r="D211" t="s">
        <v>101</v>
      </c>
      <c r="E211" t="s">
        <v>179</v>
      </c>
      <c r="F211" t="s">
        <v>180</v>
      </c>
      <c r="G211" t="s">
        <v>111</v>
      </c>
      <c r="H211" t="s">
        <v>125</v>
      </c>
      <c r="I211">
        <v>2023</v>
      </c>
      <c r="J211" t="s">
        <v>189</v>
      </c>
      <c r="K211" t="s">
        <v>127</v>
      </c>
      <c r="L211" t="s">
        <v>547</v>
      </c>
      <c r="M211" t="s">
        <v>551</v>
      </c>
      <c r="N211">
        <v>1</v>
      </c>
      <c r="O211">
        <v>2023</v>
      </c>
      <c r="P211">
        <v>3139.8496173378171</v>
      </c>
      <c r="Q211">
        <v>15.04742874486676</v>
      </c>
      <c r="R211" t="s">
        <v>109</v>
      </c>
      <c r="S211">
        <v>208.66353119691209</v>
      </c>
      <c r="T211">
        <v>2.5791324736225092</v>
      </c>
      <c r="U211" t="s">
        <v>184</v>
      </c>
      <c r="V211">
        <v>2.5791324736225092</v>
      </c>
      <c r="W211">
        <v>9</v>
      </c>
      <c r="X211">
        <v>22</v>
      </c>
      <c r="Y211">
        <v>16</v>
      </c>
      <c r="Z211">
        <v>9.0305172134094655E-2</v>
      </c>
      <c r="AA211">
        <v>31.536000000000001</v>
      </c>
    </row>
    <row r="212" spans="1:27" x14ac:dyDescent="0.25">
      <c r="A212" t="s">
        <v>98</v>
      </c>
      <c r="B212" t="s">
        <v>519</v>
      </c>
      <c r="C212" t="s">
        <v>100</v>
      </c>
      <c r="D212" t="s">
        <v>101</v>
      </c>
      <c r="E212" t="s">
        <v>179</v>
      </c>
      <c r="F212" t="s">
        <v>180</v>
      </c>
      <c r="G212" t="s">
        <v>114</v>
      </c>
      <c r="H212" t="s">
        <v>125</v>
      </c>
      <c r="I212">
        <v>2016</v>
      </c>
      <c r="J212" t="s">
        <v>191</v>
      </c>
      <c r="K212" t="s">
        <v>127</v>
      </c>
      <c r="L212" t="s">
        <v>547</v>
      </c>
      <c r="M212" t="s">
        <v>552</v>
      </c>
      <c r="N212">
        <v>1</v>
      </c>
      <c r="O212">
        <v>2020</v>
      </c>
      <c r="P212">
        <v>3017.9137098683868</v>
      </c>
      <c r="Q212">
        <v>15.04742874486676</v>
      </c>
      <c r="R212" t="s">
        <v>109</v>
      </c>
      <c r="S212">
        <v>200.56009309217771</v>
      </c>
      <c r="T212">
        <v>2.4912075029308318</v>
      </c>
      <c r="U212" t="s">
        <v>184</v>
      </c>
      <c r="V212">
        <v>2.4912075029308318</v>
      </c>
      <c r="W212">
        <v>9</v>
      </c>
      <c r="X212">
        <v>22</v>
      </c>
      <c r="Y212">
        <v>16</v>
      </c>
      <c r="Z212">
        <v>9.0305172134094655E-2</v>
      </c>
      <c r="AA212">
        <v>31.536000000000001</v>
      </c>
    </row>
    <row r="213" spans="1:27" x14ac:dyDescent="0.25">
      <c r="A213" t="s">
        <v>98</v>
      </c>
      <c r="B213" t="s">
        <v>519</v>
      </c>
      <c r="C213" t="s">
        <v>100</v>
      </c>
      <c r="D213" t="s">
        <v>101</v>
      </c>
      <c r="E213" t="s">
        <v>179</v>
      </c>
      <c r="F213" t="s">
        <v>180</v>
      </c>
      <c r="G213" t="s">
        <v>114</v>
      </c>
      <c r="H213" t="s">
        <v>125</v>
      </c>
      <c r="I213">
        <v>2022</v>
      </c>
      <c r="J213" t="s">
        <v>193</v>
      </c>
      <c r="K213" t="s">
        <v>127</v>
      </c>
      <c r="L213" t="s">
        <v>547</v>
      </c>
      <c r="M213" t="s">
        <v>553</v>
      </c>
      <c r="N213">
        <v>1</v>
      </c>
      <c r="O213">
        <v>2022</v>
      </c>
      <c r="P213">
        <v>3017.9137098683868</v>
      </c>
      <c r="Q213">
        <v>15.04742874486676</v>
      </c>
      <c r="R213" t="s">
        <v>109</v>
      </c>
      <c r="S213">
        <v>200.56009309217771</v>
      </c>
      <c r="T213">
        <v>2.4912075029308318</v>
      </c>
      <c r="U213" t="s">
        <v>184</v>
      </c>
      <c r="V213">
        <v>2.4912075029308318</v>
      </c>
      <c r="W213">
        <v>9</v>
      </c>
      <c r="X213">
        <v>22</v>
      </c>
      <c r="Y213">
        <v>16</v>
      </c>
      <c r="Z213">
        <v>9.0305172134094655E-2</v>
      </c>
      <c r="AA213">
        <v>31.536000000000001</v>
      </c>
    </row>
    <row r="214" spans="1:27" x14ac:dyDescent="0.25">
      <c r="A214" t="s">
        <v>98</v>
      </c>
      <c r="B214" t="s">
        <v>519</v>
      </c>
      <c r="C214" t="s">
        <v>100</v>
      </c>
      <c r="D214" t="s">
        <v>101</v>
      </c>
      <c r="E214" t="s">
        <v>179</v>
      </c>
      <c r="F214" t="s">
        <v>180</v>
      </c>
      <c r="G214" t="s">
        <v>114</v>
      </c>
      <c r="H214" t="s">
        <v>125</v>
      </c>
      <c r="I214">
        <v>2023</v>
      </c>
      <c r="J214" t="s">
        <v>195</v>
      </c>
      <c r="K214" t="s">
        <v>127</v>
      </c>
      <c r="L214" t="s">
        <v>547</v>
      </c>
      <c r="M214" t="s">
        <v>554</v>
      </c>
      <c r="N214">
        <v>1</v>
      </c>
      <c r="O214">
        <v>2023</v>
      </c>
      <c r="P214">
        <v>3266.447780092843</v>
      </c>
      <c r="Q214">
        <v>15.04742874486676</v>
      </c>
      <c r="R214" t="s">
        <v>109</v>
      </c>
      <c r="S214">
        <v>217.07680664094531</v>
      </c>
      <c r="T214">
        <v>2.6963657678780768</v>
      </c>
      <c r="U214" t="s">
        <v>184</v>
      </c>
      <c r="V214">
        <v>2.6963657678780768</v>
      </c>
      <c r="W214">
        <v>9</v>
      </c>
      <c r="X214">
        <v>22</v>
      </c>
      <c r="Y214">
        <v>16</v>
      </c>
      <c r="Z214">
        <v>9.0305172134094655E-2</v>
      </c>
      <c r="AA214">
        <v>31.536000000000001</v>
      </c>
    </row>
    <row r="215" spans="1:27" x14ac:dyDescent="0.25">
      <c r="A215" t="s">
        <v>98</v>
      </c>
      <c r="B215" t="s">
        <v>519</v>
      </c>
      <c r="C215" t="s">
        <v>100</v>
      </c>
      <c r="D215" t="s">
        <v>101</v>
      </c>
      <c r="E215" t="s">
        <v>179</v>
      </c>
      <c r="F215" t="s">
        <v>180</v>
      </c>
      <c r="G215" t="s">
        <v>119</v>
      </c>
      <c r="H215" t="s">
        <v>125</v>
      </c>
      <c r="I215">
        <v>2016</v>
      </c>
      <c r="J215" t="s">
        <v>197</v>
      </c>
      <c r="K215" t="s">
        <v>127</v>
      </c>
      <c r="L215" t="s">
        <v>547</v>
      </c>
      <c r="M215" t="s">
        <v>555</v>
      </c>
      <c r="N215">
        <v>1</v>
      </c>
      <c r="O215">
        <v>2020</v>
      </c>
      <c r="P215">
        <v>3719.0451778176089</v>
      </c>
      <c r="Q215">
        <v>15.04742874486676</v>
      </c>
      <c r="R215" t="s">
        <v>109</v>
      </c>
      <c r="S215">
        <v>247.15486219440081</v>
      </c>
      <c r="T215">
        <v>2.6377491207502932</v>
      </c>
      <c r="U215" t="s">
        <v>184</v>
      </c>
      <c r="V215">
        <v>2.6377491207502932</v>
      </c>
      <c r="W215">
        <v>9</v>
      </c>
      <c r="X215">
        <v>22</v>
      </c>
      <c r="Y215">
        <v>16</v>
      </c>
      <c r="Z215">
        <v>9.0305172134094655E-2</v>
      </c>
      <c r="AA215">
        <v>31.536000000000001</v>
      </c>
    </row>
    <row r="216" spans="1:27" x14ac:dyDescent="0.25">
      <c r="A216" t="s">
        <v>98</v>
      </c>
      <c r="B216" t="s">
        <v>519</v>
      </c>
      <c r="C216" t="s">
        <v>100</v>
      </c>
      <c r="D216" t="s">
        <v>101</v>
      </c>
      <c r="E216" t="s">
        <v>179</v>
      </c>
      <c r="F216" t="s">
        <v>180</v>
      </c>
      <c r="G216" t="s">
        <v>119</v>
      </c>
      <c r="H216" t="s">
        <v>125</v>
      </c>
      <c r="I216">
        <v>2022</v>
      </c>
      <c r="J216" t="s">
        <v>199</v>
      </c>
      <c r="K216" t="s">
        <v>127</v>
      </c>
      <c r="L216" t="s">
        <v>547</v>
      </c>
      <c r="M216" t="s">
        <v>556</v>
      </c>
      <c r="N216">
        <v>1</v>
      </c>
      <c r="O216">
        <v>2022</v>
      </c>
      <c r="P216">
        <v>3914.784397702746</v>
      </c>
      <c r="Q216">
        <v>15.04742874486676</v>
      </c>
      <c r="R216" t="s">
        <v>109</v>
      </c>
      <c r="S216">
        <v>260.16301283621141</v>
      </c>
      <c r="T216">
        <v>2.9308323563892151</v>
      </c>
      <c r="U216" t="s">
        <v>184</v>
      </c>
      <c r="V216">
        <v>2.9308323563892151</v>
      </c>
      <c r="W216">
        <v>9</v>
      </c>
      <c r="X216">
        <v>22</v>
      </c>
      <c r="Y216">
        <v>16</v>
      </c>
      <c r="Z216">
        <v>9.0305172134094655E-2</v>
      </c>
      <c r="AA216">
        <v>31.536000000000001</v>
      </c>
    </row>
    <row r="217" spans="1:27" x14ac:dyDescent="0.25">
      <c r="A217" t="s">
        <v>98</v>
      </c>
      <c r="B217" t="s">
        <v>519</v>
      </c>
      <c r="C217" t="s">
        <v>100</v>
      </c>
      <c r="D217" t="s">
        <v>101</v>
      </c>
      <c r="E217" t="s">
        <v>179</v>
      </c>
      <c r="F217" t="s">
        <v>201</v>
      </c>
      <c r="G217" t="s">
        <v>103</v>
      </c>
      <c r="H217" t="s">
        <v>125</v>
      </c>
      <c r="I217">
        <v>2016</v>
      </c>
      <c r="J217" t="s">
        <v>202</v>
      </c>
      <c r="K217" t="s">
        <v>127</v>
      </c>
      <c r="L217" t="s">
        <v>547</v>
      </c>
      <c r="M217" t="s">
        <v>557</v>
      </c>
      <c r="N217">
        <v>1</v>
      </c>
      <c r="O217">
        <v>2020</v>
      </c>
      <c r="P217">
        <v>9511.0007826155233</v>
      </c>
      <c r="Q217">
        <v>15.04742874486676</v>
      </c>
      <c r="R217" t="s">
        <v>109</v>
      </c>
      <c r="S217">
        <v>632.06817216928721</v>
      </c>
      <c r="T217">
        <v>3.2</v>
      </c>
      <c r="U217" t="s">
        <v>184</v>
      </c>
      <c r="V217">
        <v>3.2</v>
      </c>
      <c r="W217">
        <v>8</v>
      </c>
      <c r="X217">
        <v>20.8</v>
      </c>
      <c r="Y217">
        <v>15</v>
      </c>
      <c r="Z217">
        <v>9.0305172134094655E-2</v>
      </c>
      <c r="AA217">
        <v>31.536000000000001</v>
      </c>
    </row>
    <row r="218" spans="1:27" x14ac:dyDescent="0.25">
      <c r="A218" t="s">
        <v>98</v>
      </c>
      <c r="B218" t="s">
        <v>519</v>
      </c>
      <c r="C218" t="s">
        <v>100</v>
      </c>
      <c r="D218" t="s">
        <v>101</v>
      </c>
      <c r="E218" t="s">
        <v>179</v>
      </c>
      <c r="F218" t="s">
        <v>201</v>
      </c>
      <c r="G218" t="s">
        <v>111</v>
      </c>
      <c r="H218" t="s">
        <v>125</v>
      </c>
      <c r="I218">
        <v>2016</v>
      </c>
      <c r="J218" t="s">
        <v>204</v>
      </c>
      <c r="K218" t="s">
        <v>127</v>
      </c>
      <c r="L218" t="s">
        <v>547</v>
      </c>
      <c r="M218" t="s">
        <v>558</v>
      </c>
      <c r="N218">
        <v>1</v>
      </c>
      <c r="O218">
        <v>2020</v>
      </c>
      <c r="P218">
        <v>9846.3245281564559</v>
      </c>
      <c r="Q218">
        <v>15.04742874486676</v>
      </c>
      <c r="R218" t="s">
        <v>109</v>
      </c>
      <c r="S218">
        <v>654.35262695730705</v>
      </c>
      <c r="T218">
        <v>3.7</v>
      </c>
      <c r="U218" t="s">
        <v>184</v>
      </c>
      <c r="V218">
        <v>3.7</v>
      </c>
      <c r="W218">
        <v>8</v>
      </c>
      <c r="X218">
        <v>20.8</v>
      </c>
      <c r="Y218">
        <v>15</v>
      </c>
      <c r="Z218">
        <v>9.0305172134094655E-2</v>
      </c>
      <c r="AA218">
        <v>31.536000000000001</v>
      </c>
    </row>
    <row r="219" spans="1:27" x14ac:dyDescent="0.25">
      <c r="A219" t="s">
        <v>98</v>
      </c>
      <c r="B219" t="s">
        <v>519</v>
      </c>
      <c r="C219" t="s">
        <v>100</v>
      </c>
      <c r="D219" t="s">
        <v>101</v>
      </c>
      <c r="E219" t="s">
        <v>179</v>
      </c>
      <c r="F219" t="s">
        <v>201</v>
      </c>
      <c r="G219" t="s">
        <v>114</v>
      </c>
      <c r="H219" t="s">
        <v>125</v>
      </c>
      <c r="I219">
        <v>2016</v>
      </c>
      <c r="J219" t="s">
        <v>206</v>
      </c>
      <c r="K219" t="s">
        <v>127</v>
      </c>
      <c r="L219" t="s">
        <v>547</v>
      </c>
      <c r="M219" t="s">
        <v>559</v>
      </c>
      <c r="N219">
        <v>0</v>
      </c>
      <c r="O219">
        <v>2020</v>
      </c>
      <c r="P219">
        <v>9846.3245281564559</v>
      </c>
      <c r="Q219">
        <v>15.04742874486676</v>
      </c>
      <c r="R219" t="s">
        <v>109</v>
      </c>
      <c r="S219">
        <v>654.35262695730705</v>
      </c>
      <c r="T219">
        <v>3.6</v>
      </c>
      <c r="U219" t="s">
        <v>184</v>
      </c>
      <c r="V219">
        <v>3.6</v>
      </c>
      <c r="W219">
        <v>8</v>
      </c>
      <c r="X219">
        <v>20.8</v>
      </c>
      <c r="Y219">
        <v>15</v>
      </c>
      <c r="Z219">
        <v>9.0305172134094655E-2</v>
      </c>
      <c r="AA219">
        <v>31.536000000000001</v>
      </c>
    </row>
    <row r="220" spans="1:27" x14ac:dyDescent="0.25">
      <c r="A220" t="s">
        <v>98</v>
      </c>
      <c r="B220" t="s">
        <v>519</v>
      </c>
      <c r="C220" t="s">
        <v>100</v>
      </c>
      <c r="D220" t="s">
        <v>101</v>
      </c>
      <c r="E220" t="s">
        <v>179</v>
      </c>
      <c r="F220" t="s">
        <v>201</v>
      </c>
      <c r="G220" t="s">
        <v>114</v>
      </c>
      <c r="H220" t="s">
        <v>125</v>
      </c>
      <c r="I220">
        <v>2020</v>
      </c>
      <c r="J220" t="s">
        <v>208</v>
      </c>
      <c r="K220" t="s">
        <v>127</v>
      </c>
      <c r="L220" t="s">
        <v>547</v>
      </c>
      <c r="M220" t="s">
        <v>559</v>
      </c>
      <c r="N220">
        <v>1</v>
      </c>
      <c r="O220">
        <v>2020</v>
      </c>
      <c r="P220">
        <v>9846.3245281564559</v>
      </c>
      <c r="Q220">
        <v>15.04742874486676</v>
      </c>
      <c r="R220" t="s">
        <v>109</v>
      </c>
      <c r="S220">
        <v>654.35262695730705</v>
      </c>
      <c r="T220">
        <v>3.6</v>
      </c>
      <c r="U220" t="s">
        <v>184</v>
      </c>
      <c r="V220">
        <v>3.6</v>
      </c>
      <c r="W220">
        <v>8</v>
      </c>
      <c r="X220">
        <v>20.8</v>
      </c>
      <c r="Y220">
        <v>15</v>
      </c>
      <c r="Z220">
        <v>9.0305172134094655E-2</v>
      </c>
      <c r="AA220">
        <v>31.536000000000001</v>
      </c>
    </row>
    <row r="221" spans="1:27" x14ac:dyDescent="0.25">
      <c r="A221" t="s">
        <v>98</v>
      </c>
      <c r="B221" t="s">
        <v>519</v>
      </c>
      <c r="C221" t="s">
        <v>100</v>
      </c>
      <c r="D221" t="s">
        <v>101</v>
      </c>
      <c r="E221" t="s">
        <v>179</v>
      </c>
      <c r="F221" t="s">
        <v>201</v>
      </c>
      <c r="G221" t="s">
        <v>114</v>
      </c>
      <c r="H221" t="s">
        <v>125</v>
      </c>
      <c r="I221">
        <v>2022</v>
      </c>
      <c r="J221" t="s">
        <v>209</v>
      </c>
      <c r="K221" t="s">
        <v>127</v>
      </c>
      <c r="L221" t="s">
        <v>547</v>
      </c>
      <c r="M221" t="s">
        <v>560</v>
      </c>
      <c r="N221">
        <v>1</v>
      </c>
      <c r="O221">
        <v>2022</v>
      </c>
      <c r="P221">
        <v>9846.3245281564559</v>
      </c>
      <c r="Q221">
        <v>15.04742874486676</v>
      </c>
      <c r="R221" t="s">
        <v>109</v>
      </c>
      <c r="S221">
        <v>654.35262695730705</v>
      </c>
      <c r="T221">
        <v>3.6</v>
      </c>
      <c r="U221" t="s">
        <v>184</v>
      </c>
      <c r="V221">
        <v>3.6</v>
      </c>
      <c r="W221">
        <v>8</v>
      </c>
      <c r="X221">
        <v>20.8</v>
      </c>
      <c r="Y221">
        <v>15</v>
      </c>
      <c r="Z221">
        <v>9.0305172134094655E-2</v>
      </c>
      <c r="AA221">
        <v>31.536000000000001</v>
      </c>
    </row>
    <row r="222" spans="1:27" x14ac:dyDescent="0.25">
      <c r="A222" t="s">
        <v>98</v>
      </c>
      <c r="B222" t="s">
        <v>519</v>
      </c>
      <c r="C222" t="s">
        <v>100</v>
      </c>
      <c r="D222" t="s">
        <v>101</v>
      </c>
      <c r="E222" t="s">
        <v>179</v>
      </c>
      <c r="F222" t="s">
        <v>201</v>
      </c>
      <c r="G222" t="s">
        <v>114</v>
      </c>
      <c r="H222" t="s">
        <v>125</v>
      </c>
      <c r="I222">
        <v>2023</v>
      </c>
      <c r="J222" t="s">
        <v>211</v>
      </c>
      <c r="K222" t="s">
        <v>127</v>
      </c>
      <c r="L222" t="s">
        <v>547</v>
      </c>
      <c r="M222" t="s">
        <v>561</v>
      </c>
      <c r="N222">
        <v>1</v>
      </c>
      <c r="O222">
        <v>2023</v>
      </c>
      <c r="P222">
        <v>9846.3245281564559</v>
      </c>
      <c r="Q222">
        <v>15.04742874486676</v>
      </c>
      <c r="R222" t="s">
        <v>109</v>
      </c>
      <c r="S222">
        <v>654.35262695730705</v>
      </c>
      <c r="T222">
        <v>3.6</v>
      </c>
      <c r="U222" t="s">
        <v>184</v>
      </c>
      <c r="V222">
        <v>3.6</v>
      </c>
      <c r="W222">
        <v>8</v>
      </c>
      <c r="X222">
        <v>20.8</v>
      </c>
      <c r="Y222">
        <v>15</v>
      </c>
      <c r="Z222">
        <v>9.0305172134094655E-2</v>
      </c>
      <c r="AA222">
        <v>31.536000000000001</v>
      </c>
    </row>
    <row r="223" spans="1:27" x14ac:dyDescent="0.25">
      <c r="A223" t="s">
        <v>98</v>
      </c>
      <c r="B223" t="s">
        <v>519</v>
      </c>
      <c r="C223" t="s">
        <v>100</v>
      </c>
      <c r="D223" t="s">
        <v>101</v>
      </c>
      <c r="E223" t="s">
        <v>179</v>
      </c>
      <c r="F223" t="s">
        <v>201</v>
      </c>
      <c r="G223" t="s">
        <v>114</v>
      </c>
      <c r="H223" t="s">
        <v>125</v>
      </c>
      <c r="I223">
        <v>2024</v>
      </c>
      <c r="J223" t="s">
        <v>213</v>
      </c>
      <c r="K223" t="s">
        <v>127</v>
      </c>
      <c r="L223" t="s">
        <v>547</v>
      </c>
      <c r="M223" t="s">
        <v>562</v>
      </c>
      <c r="N223">
        <v>1</v>
      </c>
      <c r="O223">
        <v>2024</v>
      </c>
      <c r="P223">
        <v>9846.3245281564559</v>
      </c>
      <c r="Q223">
        <v>15.04742874486676</v>
      </c>
      <c r="R223" t="s">
        <v>109</v>
      </c>
      <c r="S223">
        <v>654.35262695730705</v>
      </c>
      <c r="T223">
        <v>3.6</v>
      </c>
      <c r="U223" t="s">
        <v>184</v>
      </c>
      <c r="V223">
        <v>3.6</v>
      </c>
      <c r="W223">
        <v>8</v>
      </c>
      <c r="X223">
        <v>20.8</v>
      </c>
      <c r="Y223">
        <v>15</v>
      </c>
      <c r="Z223">
        <v>9.0305172134094655E-2</v>
      </c>
      <c r="AA223">
        <v>31.536000000000001</v>
      </c>
    </row>
    <row r="224" spans="1:27" x14ac:dyDescent="0.25">
      <c r="A224" t="s">
        <v>98</v>
      </c>
      <c r="B224" t="s">
        <v>519</v>
      </c>
      <c r="C224" t="s">
        <v>100</v>
      </c>
      <c r="D224" t="s">
        <v>101</v>
      </c>
      <c r="E224" t="s">
        <v>179</v>
      </c>
      <c r="F224" t="s">
        <v>201</v>
      </c>
      <c r="G224" t="s">
        <v>119</v>
      </c>
      <c r="H224" t="s">
        <v>125</v>
      </c>
      <c r="I224">
        <v>2016</v>
      </c>
      <c r="J224" t="s">
        <v>215</v>
      </c>
      <c r="K224" t="s">
        <v>127</v>
      </c>
      <c r="L224" t="s">
        <v>547</v>
      </c>
      <c r="M224" t="s">
        <v>563</v>
      </c>
      <c r="N224">
        <v>0</v>
      </c>
      <c r="O224">
        <v>2020</v>
      </c>
      <c r="P224">
        <v>10395.03611176889</v>
      </c>
      <c r="Q224">
        <v>15.04742874486676</v>
      </c>
      <c r="R224" t="s">
        <v>109</v>
      </c>
      <c r="S224">
        <v>690.81809842861207</v>
      </c>
      <c r="T224">
        <v>4.5</v>
      </c>
      <c r="U224" t="s">
        <v>184</v>
      </c>
      <c r="V224">
        <v>4.5</v>
      </c>
      <c r="W224">
        <v>8</v>
      </c>
      <c r="X224">
        <v>20.8</v>
      </c>
      <c r="Y224">
        <v>15</v>
      </c>
      <c r="Z224">
        <v>9.0305172134094655E-2</v>
      </c>
      <c r="AA224">
        <v>31.536000000000001</v>
      </c>
    </row>
    <row r="225" spans="1:27" x14ac:dyDescent="0.25">
      <c r="A225" t="s">
        <v>98</v>
      </c>
      <c r="B225" t="s">
        <v>519</v>
      </c>
      <c r="C225" t="s">
        <v>100</v>
      </c>
      <c r="D225" t="s">
        <v>101</v>
      </c>
      <c r="E225" t="s">
        <v>179</v>
      </c>
      <c r="F225" t="s">
        <v>201</v>
      </c>
      <c r="G225" t="s">
        <v>119</v>
      </c>
      <c r="H225" t="s">
        <v>125</v>
      </c>
      <c r="I225">
        <v>2020</v>
      </c>
      <c r="J225" t="s">
        <v>217</v>
      </c>
      <c r="K225" t="s">
        <v>127</v>
      </c>
      <c r="L225" t="s">
        <v>547</v>
      </c>
      <c r="M225" t="s">
        <v>563</v>
      </c>
      <c r="N225">
        <v>1</v>
      </c>
      <c r="O225">
        <v>2020</v>
      </c>
      <c r="P225">
        <v>10395.03611176889</v>
      </c>
      <c r="Q225">
        <v>15.04742874486676</v>
      </c>
      <c r="R225" t="s">
        <v>109</v>
      </c>
      <c r="S225">
        <v>690.81809842861207</v>
      </c>
      <c r="T225">
        <v>4.5</v>
      </c>
      <c r="U225" t="s">
        <v>184</v>
      </c>
      <c r="V225">
        <v>4.5</v>
      </c>
      <c r="W225">
        <v>8</v>
      </c>
      <c r="X225">
        <v>20.8</v>
      </c>
      <c r="Y225">
        <v>15</v>
      </c>
      <c r="Z225">
        <v>9.0305172134094655E-2</v>
      </c>
      <c r="AA225">
        <v>31.536000000000001</v>
      </c>
    </row>
    <row r="226" spans="1:27" x14ac:dyDescent="0.25">
      <c r="A226" t="s">
        <v>98</v>
      </c>
      <c r="B226" t="s">
        <v>519</v>
      </c>
      <c r="C226" t="s">
        <v>100</v>
      </c>
      <c r="D226" t="s">
        <v>101</v>
      </c>
      <c r="E226" t="s">
        <v>179</v>
      </c>
      <c r="F226" t="s">
        <v>201</v>
      </c>
      <c r="G226" t="s">
        <v>119</v>
      </c>
      <c r="H226" t="s">
        <v>125</v>
      </c>
      <c r="I226">
        <v>2022</v>
      </c>
      <c r="J226" t="s">
        <v>218</v>
      </c>
      <c r="K226" t="s">
        <v>127</v>
      </c>
      <c r="L226" t="s">
        <v>547</v>
      </c>
      <c r="M226" t="s">
        <v>564</v>
      </c>
      <c r="N226">
        <v>1</v>
      </c>
      <c r="O226">
        <v>2022</v>
      </c>
      <c r="P226">
        <v>10395.03611176889</v>
      </c>
      <c r="Q226">
        <v>15.04742874486676</v>
      </c>
      <c r="R226" t="s">
        <v>109</v>
      </c>
      <c r="S226">
        <v>690.81809842861207</v>
      </c>
      <c r="T226">
        <v>4.5</v>
      </c>
      <c r="U226" t="s">
        <v>184</v>
      </c>
      <c r="V226">
        <v>4.5</v>
      </c>
      <c r="W226">
        <v>8</v>
      </c>
      <c r="X226">
        <v>20.8</v>
      </c>
      <c r="Y226">
        <v>15</v>
      </c>
      <c r="Z226">
        <v>9.0305172134094655E-2</v>
      </c>
      <c r="AA226">
        <v>31.536000000000001</v>
      </c>
    </row>
    <row r="227" spans="1:27" x14ac:dyDescent="0.25">
      <c r="A227" t="s">
        <v>98</v>
      </c>
      <c r="B227" t="s">
        <v>519</v>
      </c>
      <c r="C227" t="s">
        <v>100</v>
      </c>
      <c r="D227" t="s">
        <v>101</v>
      </c>
      <c r="E227" t="s">
        <v>179</v>
      </c>
      <c r="F227" t="s">
        <v>201</v>
      </c>
      <c r="G227" t="s">
        <v>119</v>
      </c>
      <c r="H227" t="s">
        <v>125</v>
      </c>
      <c r="I227">
        <v>2023</v>
      </c>
      <c r="J227" t="s">
        <v>220</v>
      </c>
      <c r="K227" t="s">
        <v>127</v>
      </c>
      <c r="L227" t="s">
        <v>547</v>
      </c>
      <c r="M227" t="s">
        <v>565</v>
      </c>
      <c r="N227">
        <v>1</v>
      </c>
      <c r="O227">
        <v>2023</v>
      </c>
      <c r="P227">
        <v>10395.03611176889</v>
      </c>
      <c r="Q227">
        <v>15.04742874486676</v>
      </c>
      <c r="R227" t="s">
        <v>109</v>
      </c>
      <c r="S227">
        <v>690.81809842861207</v>
      </c>
      <c r="T227">
        <v>4.5</v>
      </c>
      <c r="U227" t="s">
        <v>184</v>
      </c>
      <c r="V227">
        <v>4.5</v>
      </c>
      <c r="W227">
        <v>8</v>
      </c>
      <c r="X227">
        <v>20.8</v>
      </c>
      <c r="Y227">
        <v>15</v>
      </c>
      <c r="Z227">
        <v>9.0305172134094655E-2</v>
      </c>
      <c r="AA227">
        <v>31.536000000000001</v>
      </c>
    </row>
    <row r="228" spans="1:27" x14ac:dyDescent="0.25">
      <c r="A228" t="s">
        <v>98</v>
      </c>
      <c r="B228" t="s">
        <v>519</v>
      </c>
      <c r="C228" t="s">
        <v>100</v>
      </c>
      <c r="D228" t="s">
        <v>101</v>
      </c>
      <c r="E228" t="s">
        <v>179</v>
      </c>
      <c r="F228" t="s">
        <v>201</v>
      </c>
      <c r="G228" t="s">
        <v>119</v>
      </c>
      <c r="H228" t="s">
        <v>125</v>
      </c>
      <c r="I228">
        <v>2024</v>
      </c>
      <c r="J228" t="s">
        <v>222</v>
      </c>
      <c r="K228" t="s">
        <v>127</v>
      </c>
      <c r="L228" t="s">
        <v>547</v>
      </c>
      <c r="M228" t="s">
        <v>566</v>
      </c>
      <c r="N228">
        <v>1</v>
      </c>
      <c r="O228">
        <v>2024</v>
      </c>
      <c r="P228">
        <v>10395.03611176889</v>
      </c>
      <c r="Q228">
        <v>15.04742874486676</v>
      </c>
      <c r="R228" t="s">
        <v>109</v>
      </c>
      <c r="S228">
        <v>690.81809842861207</v>
      </c>
      <c r="T228">
        <v>4.5</v>
      </c>
      <c r="U228" t="s">
        <v>184</v>
      </c>
      <c r="V228">
        <v>4.5</v>
      </c>
      <c r="W228">
        <v>8</v>
      </c>
      <c r="X228">
        <v>20.8</v>
      </c>
      <c r="Y228">
        <v>15</v>
      </c>
      <c r="Z228">
        <v>9.0305172134094655E-2</v>
      </c>
      <c r="AA228">
        <v>31.536000000000001</v>
      </c>
    </row>
    <row r="229" spans="1:27" x14ac:dyDescent="0.25">
      <c r="A229" t="s">
        <v>98</v>
      </c>
      <c r="B229" t="s">
        <v>519</v>
      </c>
      <c r="C229" t="s">
        <v>100</v>
      </c>
      <c r="D229" t="s">
        <v>101</v>
      </c>
      <c r="E229" t="s">
        <v>179</v>
      </c>
      <c r="F229" t="s">
        <v>224</v>
      </c>
      <c r="G229" t="s">
        <v>111</v>
      </c>
      <c r="H229" t="s">
        <v>125</v>
      </c>
      <c r="I229">
        <v>2016</v>
      </c>
      <c r="J229" t="s">
        <v>225</v>
      </c>
      <c r="K229" t="s">
        <v>127</v>
      </c>
      <c r="L229" t="s">
        <v>547</v>
      </c>
      <c r="M229" t="s">
        <v>567</v>
      </c>
      <c r="N229">
        <v>1</v>
      </c>
      <c r="O229">
        <v>2020</v>
      </c>
      <c r="P229">
        <v>1341.294982163728</v>
      </c>
      <c r="Q229">
        <v>15.04742874486676</v>
      </c>
      <c r="R229" t="s">
        <v>109</v>
      </c>
      <c r="S229">
        <v>89.13781915207899</v>
      </c>
      <c r="T229">
        <v>0.98</v>
      </c>
      <c r="U229" t="s">
        <v>227</v>
      </c>
      <c r="V229">
        <v>0.98</v>
      </c>
      <c r="W229">
        <v>15</v>
      </c>
      <c r="X229">
        <v>30</v>
      </c>
      <c r="Y229">
        <v>23</v>
      </c>
      <c r="Z229">
        <v>9.0305172134094655E-2</v>
      </c>
      <c r="AA229">
        <v>31.536000000000001</v>
      </c>
    </row>
    <row r="230" spans="1:27" x14ac:dyDescent="0.25">
      <c r="A230" t="s">
        <v>98</v>
      </c>
      <c r="B230" t="s">
        <v>519</v>
      </c>
      <c r="C230" t="s">
        <v>100</v>
      </c>
      <c r="D230" t="s">
        <v>101</v>
      </c>
      <c r="E230" t="s">
        <v>179</v>
      </c>
      <c r="F230" t="s">
        <v>228</v>
      </c>
      <c r="G230" t="s">
        <v>103</v>
      </c>
      <c r="H230" t="s">
        <v>104</v>
      </c>
      <c r="I230">
        <v>2016</v>
      </c>
      <c r="J230" t="s">
        <v>229</v>
      </c>
      <c r="K230" t="s">
        <v>106</v>
      </c>
      <c r="L230" t="s">
        <v>547</v>
      </c>
      <c r="M230" t="s">
        <v>568</v>
      </c>
      <c r="N230">
        <v>1</v>
      </c>
      <c r="O230">
        <v>2020</v>
      </c>
      <c r="P230">
        <v>2499.6861031233111</v>
      </c>
      <c r="Q230">
        <v>15.04742874486676</v>
      </c>
      <c r="R230" t="s">
        <v>109</v>
      </c>
      <c r="S230">
        <v>166.1204811470563</v>
      </c>
      <c r="T230">
        <v>0.8</v>
      </c>
      <c r="U230" t="s">
        <v>227</v>
      </c>
      <c r="V230">
        <v>0.8</v>
      </c>
      <c r="W230">
        <v>16</v>
      </c>
      <c r="X230">
        <v>27</v>
      </c>
      <c r="Y230">
        <v>22</v>
      </c>
      <c r="Z230">
        <v>9.0305172134094655E-2</v>
      </c>
      <c r="AA230">
        <v>31.536000000000001</v>
      </c>
    </row>
    <row r="231" spans="1:27" x14ac:dyDescent="0.25">
      <c r="A231" t="s">
        <v>98</v>
      </c>
      <c r="B231" t="s">
        <v>519</v>
      </c>
      <c r="C231" t="s">
        <v>100</v>
      </c>
      <c r="D231" t="s">
        <v>101</v>
      </c>
      <c r="E231" t="s">
        <v>179</v>
      </c>
      <c r="F231" t="s">
        <v>228</v>
      </c>
      <c r="G231" t="s">
        <v>111</v>
      </c>
      <c r="H231" t="s">
        <v>104</v>
      </c>
      <c r="I231">
        <v>2016</v>
      </c>
      <c r="J231" t="s">
        <v>231</v>
      </c>
      <c r="K231" t="s">
        <v>106</v>
      </c>
      <c r="L231" t="s">
        <v>547</v>
      </c>
      <c r="M231" t="s">
        <v>569</v>
      </c>
      <c r="N231">
        <v>0</v>
      </c>
      <c r="O231">
        <v>2020</v>
      </c>
      <c r="P231">
        <v>3182.5271849521182</v>
      </c>
      <c r="Q231">
        <v>15.04742874486676</v>
      </c>
      <c r="R231" t="s">
        <v>109</v>
      </c>
      <c r="S231">
        <v>211.49973453356921</v>
      </c>
      <c r="T231">
        <v>0.92</v>
      </c>
      <c r="U231" t="s">
        <v>227</v>
      </c>
      <c r="V231">
        <v>0.92</v>
      </c>
      <c r="W231">
        <v>16</v>
      </c>
      <c r="X231">
        <v>27</v>
      </c>
      <c r="Y231">
        <v>22</v>
      </c>
      <c r="Z231">
        <v>9.0305172134094655E-2</v>
      </c>
      <c r="AA231">
        <v>31.536000000000001</v>
      </c>
    </row>
    <row r="232" spans="1:27" x14ac:dyDescent="0.25">
      <c r="A232" t="s">
        <v>98</v>
      </c>
      <c r="B232" t="s">
        <v>519</v>
      </c>
      <c r="C232" t="s">
        <v>100</v>
      </c>
      <c r="D232" t="s">
        <v>101</v>
      </c>
      <c r="E232" t="s">
        <v>179</v>
      </c>
      <c r="F232" t="s">
        <v>228</v>
      </c>
      <c r="G232" t="s">
        <v>111</v>
      </c>
      <c r="H232" t="s">
        <v>104</v>
      </c>
      <c r="I232">
        <v>2020</v>
      </c>
      <c r="J232" t="s">
        <v>233</v>
      </c>
      <c r="K232" t="s">
        <v>106</v>
      </c>
      <c r="L232" t="s">
        <v>547</v>
      </c>
      <c r="M232" t="s">
        <v>569</v>
      </c>
      <c r="N232">
        <v>1</v>
      </c>
      <c r="O232">
        <v>2020</v>
      </c>
      <c r="P232">
        <v>3365.4310461562618</v>
      </c>
      <c r="Q232">
        <v>15.04742874486676</v>
      </c>
      <c r="R232" t="s">
        <v>109</v>
      </c>
      <c r="S232">
        <v>223.65489169067089</v>
      </c>
      <c r="T232">
        <v>0.92</v>
      </c>
      <c r="U232" t="s">
        <v>227</v>
      </c>
      <c r="V232">
        <v>0.92</v>
      </c>
      <c r="W232">
        <v>16</v>
      </c>
      <c r="X232">
        <v>27</v>
      </c>
      <c r="Y232">
        <v>22</v>
      </c>
      <c r="Z232">
        <v>9.0305172134094655E-2</v>
      </c>
      <c r="AA232">
        <v>31.536000000000001</v>
      </c>
    </row>
    <row r="233" spans="1:27" x14ac:dyDescent="0.25">
      <c r="A233" t="s">
        <v>98</v>
      </c>
      <c r="B233" t="s">
        <v>519</v>
      </c>
      <c r="C233" t="s">
        <v>100</v>
      </c>
      <c r="D233" t="s">
        <v>101</v>
      </c>
      <c r="E233" t="s">
        <v>179</v>
      </c>
      <c r="F233" t="s">
        <v>228</v>
      </c>
      <c r="G233" t="s">
        <v>114</v>
      </c>
      <c r="H233" t="s">
        <v>104</v>
      </c>
      <c r="I233">
        <v>2016</v>
      </c>
      <c r="J233" t="s">
        <v>234</v>
      </c>
      <c r="K233" t="s">
        <v>106</v>
      </c>
      <c r="L233" t="s">
        <v>547</v>
      </c>
      <c r="M233" t="s">
        <v>570</v>
      </c>
      <c r="N233">
        <v>1</v>
      </c>
      <c r="O233">
        <v>2020</v>
      </c>
      <c r="P233">
        <v>3341.043864662377</v>
      </c>
      <c r="Q233">
        <v>15.04742874486676</v>
      </c>
      <c r="R233" t="s">
        <v>109</v>
      </c>
      <c r="S233">
        <v>222.03420406972401</v>
      </c>
      <c r="T233">
        <v>0.95</v>
      </c>
      <c r="U233" t="s">
        <v>227</v>
      </c>
      <c r="V233">
        <v>0.95</v>
      </c>
      <c r="W233">
        <v>16</v>
      </c>
      <c r="X233">
        <v>27</v>
      </c>
      <c r="Y233">
        <v>22</v>
      </c>
      <c r="Z233">
        <v>9.0305172134094655E-2</v>
      </c>
      <c r="AA233">
        <v>31.536000000000001</v>
      </c>
    </row>
    <row r="234" spans="1:27" x14ac:dyDescent="0.25">
      <c r="A234" t="s">
        <v>98</v>
      </c>
      <c r="B234" t="s">
        <v>519</v>
      </c>
      <c r="C234" t="s">
        <v>100</v>
      </c>
      <c r="D234" t="s">
        <v>101</v>
      </c>
      <c r="E234" t="s">
        <v>179</v>
      </c>
      <c r="F234" t="s">
        <v>228</v>
      </c>
      <c r="G234" t="s">
        <v>114</v>
      </c>
      <c r="H234" t="s">
        <v>104</v>
      </c>
      <c r="I234">
        <v>2022</v>
      </c>
      <c r="J234" t="s">
        <v>236</v>
      </c>
      <c r="K234" t="s">
        <v>106</v>
      </c>
      <c r="L234" t="s">
        <v>547</v>
      </c>
      <c r="M234" t="s">
        <v>571</v>
      </c>
      <c r="N234">
        <v>1</v>
      </c>
      <c r="O234">
        <v>2022</v>
      </c>
      <c r="P234">
        <v>3341.043864662377</v>
      </c>
      <c r="Q234">
        <v>15.04742874486676</v>
      </c>
      <c r="R234" t="s">
        <v>109</v>
      </c>
      <c r="S234">
        <v>222.03420406972401</v>
      </c>
      <c r="T234">
        <v>0.95</v>
      </c>
      <c r="U234" t="s">
        <v>227</v>
      </c>
      <c r="V234">
        <v>0.95</v>
      </c>
      <c r="W234">
        <v>16</v>
      </c>
      <c r="X234">
        <v>27</v>
      </c>
      <c r="Y234">
        <v>22</v>
      </c>
      <c r="Z234">
        <v>9.0305172134094655E-2</v>
      </c>
      <c r="AA234">
        <v>31.536000000000001</v>
      </c>
    </row>
    <row r="235" spans="1:27" x14ac:dyDescent="0.25">
      <c r="A235" t="s">
        <v>98</v>
      </c>
      <c r="B235" t="s">
        <v>519</v>
      </c>
      <c r="C235" t="s">
        <v>100</v>
      </c>
      <c r="D235" t="s">
        <v>101</v>
      </c>
      <c r="E235" t="s">
        <v>179</v>
      </c>
      <c r="F235" t="s">
        <v>228</v>
      </c>
      <c r="G235" t="s">
        <v>119</v>
      </c>
      <c r="H235" t="s">
        <v>104</v>
      </c>
      <c r="I235">
        <v>2016</v>
      </c>
      <c r="J235" t="s">
        <v>238</v>
      </c>
      <c r="K235" t="s">
        <v>106</v>
      </c>
      <c r="L235" t="s">
        <v>547</v>
      </c>
      <c r="M235" t="s">
        <v>572</v>
      </c>
      <c r="N235">
        <v>1</v>
      </c>
      <c r="O235">
        <v>2020</v>
      </c>
      <c r="P235">
        <v>3706.851587070666</v>
      </c>
      <c r="Q235">
        <v>15.04742874486676</v>
      </c>
      <c r="R235" t="s">
        <v>109</v>
      </c>
      <c r="S235">
        <v>246.34451838392741</v>
      </c>
      <c r="T235">
        <v>0.99</v>
      </c>
      <c r="U235" t="s">
        <v>227</v>
      </c>
      <c r="V235">
        <v>0.99</v>
      </c>
      <c r="W235">
        <v>16</v>
      </c>
      <c r="X235">
        <v>27</v>
      </c>
      <c r="Y235">
        <v>22</v>
      </c>
      <c r="Z235">
        <v>9.0305172134094655E-2</v>
      </c>
      <c r="AA235">
        <v>31.536000000000001</v>
      </c>
    </row>
    <row r="236" spans="1:27" x14ac:dyDescent="0.25">
      <c r="A236" t="s">
        <v>98</v>
      </c>
      <c r="B236" t="s">
        <v>519</v>
      </c>
      <c r="C236" t="s">
        <v>100</v>
      </c>
      <c r="D236" t="s">
        <v>101</v>
      </c>
      <c r="E236" t="s">
        <v>179</v>
      </c>
      <c r="F236" t="s">
        <v>228</v>
      </c>
      <c r="G236" t="s">
        <v>119</v>
      </c>
      <c r="H236" t="s">
        <v>104</v>
      </c>
      <c r="I236">
        <v>2022</v>
      </c>
      <c r="J236" t="s">
        <v>240</v>
      </c>
      <c r="K236" t="s">
        <v>106</v>
      </c>
      <c r="L236" t="s">
        <v>547</v>
      </c>
      <c r="M236" t="s">
        <v>573</v>
      </c>
      <c r="N236">
        <v>1</v>
      </c>
      <c r="O236">
        <v>2022</v>
      </c>
      <c r="P236">
        <v>3706.851587070666</v>
      </c>
      <c r="Q236">
        <v>15.04742874486676</v>
      </c>
      <c r="R236" t="s">
        <v>109</v>
      </c>
      <c r="S236">
        <v>246.34451838392741</v>
      </c>
      <c r="T236">
        <v>0.99</v>
      </c>
      <c r="U236" t="s">
        <v>227</v>
      </c>
      <c r="V236">
        <v>0.99</v>
      </c>
      <c r="W236">
        <v>16</v>
      </c>
      <c r="X236">
        <v>27</v>
      </c>
      <c r="Y236">
        <v>22</v>
      </c>
      <c r="Z236">
        <v>9.0305172134094655E-2</v>
      </c>
      <c r="AA236">
        <v>31.536000000000001</v>
      </c>
    </row>
    <row r="237" spans="1:27" x14ac:dyDescent="0.25">
      <c r="A237" t="s">
        <v>98</v>
      </c>
      <c r="B237" t="s">
        <v>519</v>
      </c>
      <c r="C237" t="s">
        <v>100</v>
      </c>
      <c r="D237" t="s">
        <v>101</v>
      </c>
      <c r="E237" t="s">
        <v>179</v>
      </c>
      <c r="F237" t="s">
        <v>224</v>
      </c>
      <c r="G237" t="s">
        <v>103</v>
      </c>
      <c r="H237" t="s">
        <v>104</v>
      </c>
      <c r="I237">
        <v>2016</v>
      </c>
      <c r="J237" t="s">
        <v>242</v>
      </c>
      <c r="K237" t="s">
        <v>106</v>
      </c>
      <c r="L237" t="s">
        <v>547</v>
      </c>
      <c r="M237" t="s">
        <v>574</v>
      </c>
      <c r="N237">
        <v>1</v>
      </c>
      <c r="O237">
        <v>2020</v>
      </c>
      <c r="P237">
        <v>8748.901360931588</v>
      </c>
      <c r="Q237">
        <v>15.04742874486676</v>
      </c>
      <c r="R237" t="s">
        <v>109</v>
      </c>
      <c r="S237">
        <v>581.42168401469701</v>
      </c>
      <c r="T237">
        <v>0.82</v>
      </c>
      <c r="U237" t="s">
        <v>227</v>
      </c>
      <c r="V237">
        <v>0.82</v>
      </c>
      <c r="W237">
        <v>20</v>
      </c>
      <c r="X237">
        <v>30</v>
      </c>
      <c r="Y237">
        <v>26</v>
      </c>
      <c r="Z237">
        <v>9.0305172134094655E-2</v>
      </c>
      <c r="AA237">
        <v>31.536000000000001</v>
      </c>
    </row>
    <row r="238" spans="1:27" x14ac:dyDescent="0.25">
      <c r="A238" t="s">
        <v>98</v>
      </c>
      <c r="B238" t="s">
        <v>519</v>
      </c>
      <c r="C238" t="s">
        <v>100</v>
      </c>
      <c r="D238" t="s">
        <v>101</v>
      </c>
      <c r="E238" t="s">
        <v>179</v>
      </c>
      <c r="F238" t="s">
        <v>224</v>
      </c>
      <c r="G238" t="s">
        <v>103</v>
      </c>
      <c r="H238" t="s">
        <v>104</v>
      </c>
      <c r="I238">
        <v>2021</v>
      </c>
      <c r="J238" t="s">
        <v>244</v>
      </c>
      <c r="K238" t="s">
        <v>106</v>
      </c>
      <c r="L238" t="s">
        <v>547</v>
      </c>
      <c r="M238" t="s">
        <v>575</v>
      </c>
      <c r="N238">
        <v>1</v>
      </c>
      <c r="O238">
        <v>2021</v>
      </c>
      <c r="P238">
        <v>8962.2891990030894</v>
      </c>
      <c r="Q238">
        <v>15.04742874486676</v>
      </c>
      <c r="R238" t="s">
        <v>109</v>
      </c>
      <c r="S238">
        <v>595.60270069798219</v>
      </c>
      <c r="T238">
        <v>0.84</v>
      </c>
      <c r="U238" t="s">
        <v>227</v>
      </c>
      <c r="V238">
        <v>0.84</v>
      </c>
      <c r="W238">
        <v>20</v>
      </c>
      <c r="X238">
        <v>30</v>
      </c>
      <c r="Y238">
        <v>26</v>
      </c>
      <c r="Z238">
        <v>9.0305172134094655E-2</v>
      </c>
      <c r="AA238">
        <v>31.536000000000001</v>
      </c>
    </row>
    <row r="239" spans="1:27" x14ac:dyDescent="0.25">
      <c r="A239" t="s">
        <v>98</v>
      </c>
      <c r="B239" t="s">
        <v>519</v>
      </c>
      <c r="C239" t="s">
        <v>100</v>
      </c>
      <c r="D239" t="s">
        <v>101</v>
      </c>
      <c r="E239" t="s">
        <v>179</v>
      </c>
      <c r="F239" t="s">
        <v>224</v>
      </c>
      <c r="G239" t="s">
        <v>111</v>
      </c>
      <c r="H239" t="s">
        <v>104</v>
      </c>
      <c r="I239">
        <v>2016</v>
      </c>
      <c r="J239" t="s">
        <v>246</v>
      </c>
      <c r="K239" t="s">
        <v>106</v>
      </c>
      <c r="L239" t="s">
        <v>547</v>
      </c>
      <c r="M239" t="s">
        <v>576</v>
      </c>
      <c r="N239">
        <v>0</v>
      </c>
      <c r="O239">
        <v>2020</v>
      </c>
      <c r="P239">
        <v>8748.901360931588</v>
      </c>
      <c r="Q239">
        <v>15.04742874486676</v>
      </c>
      <c r="R239" t="s">
        <v>109</v>
      </c>
      <c r="S239">
        <v>581.42168401469701</v>
      </c>
      <c r="T239">
        <v>0.82</v>
      </c>
      <c r="U239" t="s">
        <v>227</v>
      </c>
      <c r="V239">
        <v>0.82</v>
      </c>
      <c r="W239">
        <v>20</v>
      </c>
      <c r="X239">
        <v>30</v>
      </c>
      <c r="Y239">
        <v>26</v>
      </c>
      <c r="Z239">
        <v>9.0305172134094655E-2</v>
      </c>
      <c r="AA239">
        <v>31.536000000000001</v>
      </c>
    </row>
    <row r="240" spans="1:27" x14ac:dyDescent="0.25">
      <c r="A240" t="s">
        <v>98</v>
      </c>
      <c r="B240" t="s">
        <v>519</v>
      </c>
      <c r="C240" t="s">
        <v>100</v>
      </c>
      <c r="D240" t="s">
        <v>101</v>
      </c>
      <c r="E240" t="s">
        <v>179</v>
      </c>
      <c r="F240" t="s">
        <v>224</v>
      </c>
      <c r="G240" t="s">
        <v>111</v>
      </c>
      <c r="H240" t="s">
        <v>104</v>
      </c>
      <c r="I240">
        <v>2020</v>
      </c>
      <c r="J240" t="s">
        <v>248</v>
      </c>
      <c r="K240" t="s">
        <v>106</v>
      </c>
      <c r="L240" t="s">
        <v>547</v>
      </c>
      <c r="M240" t="s">
        <v>576</v>
      </c>
      <c r="N240">
        <v>1</v>
      </c>
      <c r="O240">
        <v>2020</v>
      </c>
      <c r="P240">
        <v>9602.4527132175954</v>
      </c>
      <c r="Q240">
        <v>15.04742874486676</v>
      </c>
      <c r="R240" t="s">
        <v>109</v>
      </c>
      <c r="S240">
        <v>638.14575074783806</v>
      </c>
      <c r="T240">
        <v>0.9</v>
      </c>
      <c r="U240" t="s">
        <v>227</v>
      </c>
      <c r="V240">
        <v>0.9</v>
      </c>
      <c r="W240">
        <v>20</v>
      </c>
      <c r="X240">
        <v>30</v>
      </c>
      <c r="Y240">
        <v>26</v>
      </c>
      <c r="Z240">
        <v>9.0305172134094655E-2</v>
      </c>
      <c r="AA240">
        <v>31.536000000000001</v>
      </c>
    </row>
    <row r="241" spans="1:27" x14ac:dyDescent="0.25">
      <c r="A241" t="s">
        <v>98</v>
      </c>
      <c r="B241" t="s">
        <v>519</v>
      </c>
      <c r="C241" t="s">
        <v>100</v>
      </c>
      <c r="D241" t="s">
        <v>101</v>
      </c>
      <c r="E241" t="s">
        <v>179</v>
      </c>
      <c r="F241" t="s">
        <v>224</v>
      </c>
      <c r="G241" t="s">
        <v>114</v>
      </c>
      <c r="H241" t="s">
        <v>104</v>
      </c>
      <c r="I241">
        <v>2016</v>
      </c>
      <c r="J241" t="s">
        <v>249</v>
      </c>
      <c r="K241" t="s">
        <v>106</v>
      </c>
      <c r="L241" t="s">
        <v>547</v>
      </c>
      <c r="M241" t="s">
        <v>577</v>
      </c>
      <c r="N241">
        <v>1</v>
      </c>
      <c r="O241">
        <v>2020</v>
      </c>
      <c r="P241">
        <v>9602.4527132175954</v>
      </c>
      <c r="Q241">
        <v>15.04742874486676</v>
      </c>
      <c r="R241" t="s">
        <v>109</v>
      </c>
      <c r="S241">
        <v>638.14575074783806</v>
      </c>
      <c r="T241">
        <v>0.9</v>
      </c>
      <c r="U241" t="s">
        <v>227</v>
      </c>
      <c r="V241">
        <v>0.9</v>
      </c>
      <c r="W241">
        <v>20</v>
      </c>
      <c r="X241">
        <v>30</v>
      </c>
      <c r="Y241">
        <v>26</v>
      </c>
      <c r="Z241">
        <v>9.0305172134094655E-2</v>
      </c>
      <c r="AA241">
        <v>31.536000000000001</v>
      </c>
    </row>
    <row r="242" spans="1:27" x14ac:dyDescent="0.25">
      <c r="A242" t="s">
        <v>98</v>
      </c>
      <c r="B242" t="s">
        <v>519</v>
      </c>
      <c r="C242" t="s">
        <v>100</v>
      </c>
      <c r="D242" t="s">
        <v>101</v>
      </c>
      <c r="E242" t="s">
        <v>179</v>
      </c>
      <c r="F242" t="s">
        <v>224</v>
      </c>
      <c r="G242" t="s">
        <v>119</v>
      </c>
      <c r="H242" t="s">
        <v>104</v>
      </c>
      <c r="I242">
        <v>2016</v>
      </c>
      <c r="J242" t="s">
        <v>251</v>
      </c>
      <c r="K242" t="s">
        <v>106</v>
      </c>
      <c r="L242" t="s">
        <v>547</v>
      </c>
      <c r="M242" t="s">
        <v>578</v>
      </c>
      <c r="N242">
        <v>1</v>
      </c>
      <c r="O242">
        <v>2020</v>
      </c>
      <c r="P242">
        <v>10882.779741646609</v>
      </c>
      <c r="Q242">
        <v>15.04742874486676</v>
      </c>
      <c r="R242" t="s">
        <v>109</v>
      </c>
      <c r="S242">
        <v>723.23185084754994</v>
      </c>
      <c r="T242">
        <v>0.97</v>
      </c>
      <c r="U242" t="s">
        <v>227</v>
      </c>
      <c r="V242">
        <v>0.97</v>
      </c>
      <c r="W242">
        <v>20</v>
      </c>
      <c r="X242">
        <v>30</v>
      </c>
      <c r="Y242">
        <v>26</v>
      </c>
      <c r="Z242">
        <v>9.0305172134094655E-2</v>
      </c>
      <c r="AA242">
        <v>31.536000000000001</v>
      </c>
    </row>
    <row r="243" spans="1:27" x14ac:dyDescent="0.25">
      <c r="A243" t="s">
        <v>98</v>
      </c>
      <c r="B243" t="s">
        <v>519</v>
      </c>
      <c r="C243" t="s">
        <v>100</v>
      </c>
      <c r="D243" t="s">
        <v>101</v>
      </c>
      <c r="E243" t="s">
        <v>179</v>
      </c>
      <c r="F243" t="s">
        <v>224</v>
      </c>
      <c r="G243" t="s">
        <v>119</v>
      </c>
      <c r="H243" t="s">
        <v>104</v>
      </c>
      <c r="I243">
        <v>2022</v>
      </c>
      <c r="J243" t="s">
        <v>253</v>
      </c>
      <c r="K243" t="s">
        <v>106</v>
      </c>
      <c r="L243" t="s">
        <v>547</v>
      </c>
      <c r="M243" t="s">
        <v>579</v>
      </c>
      <c r="N243">
        <v>1</v>
      </c>
      <c r="O243">
        <v>2022</v>
      </c>
      <c r="P243">
        <v>10882.779741646609</v>
      </c>
      <c r="Q243">
        <v>15.04742874486676</v>
      </c>
      <c r="R243" t="s">
        <v>109</v>
      </c>
      <c r="S243">
        <v>723.23185084754994</v>
      </c>
      <c r="T243">
        <v>0.97</v>
      </c>
      <c r="U243" t="s">
        <v>227</v>
      </c>
      <c r="V243">
        <v>0.97</v>
      </c>
      <c r="W243">
        <v>20</v>
      </c>
      <c r="X243">
        <v>30</v>
      </c>
      <c r="Y243">
        <v>26</v>
      </c>
      <c r="Z243">
        <v>9.0305172134094655E-2</v>
      </c>
      <c r="AA243">
        <v>31.536000000000001</v>
      </c>
    </row>
    <row r="244" spans="1:27" x14ac:dyDescent="0.25">
      <c r="A244" t="s">
        <v>98</v>
      </c>
      <c r="B244" t="s">
        <v>519</v>
      </c>
      <c r="C244" t="s">
        <v>100</v>
      </c>
      <c r="D244" t="s">
        <v>101</v>
      </c>
      <c r="E244" t="s">
        <v>179</v>
      </c>
      <c r="F244" t="s">
        <v>228</v>
      </c>
      <c r="G244" t="s">
        <v>103</v>
      </c>
      <c r="H244" t="s">
        <v>255</v>
      </c>
      <c r="I244">
        <v>2016</v>
      </c>
      <c r="J244" t="s">
        <v>256</v>
      </c>
      <c r="K244" t="s">
        <v>257</v>
      </c>
      <c r="L244" t="s">
        <v>547</v>
      </c>
      <c r="M244" t="s">
        <v>580</v>
      </c>
      <c r="N244">
        <v>1</v>
      </c>
      <c r="O244">
        <v>2020</v>
      </c>
      <c r="P244">
        <v>5029.8561831139787</v>
      </c>
      <c r="Q244">
        <v>15.04742874486676</v>
      </c>
      <c r="R244" t="s">
        <v>109</v>
      </c>
      <c r="S244">
        <v>334.26682182029617</v>
      </c>
      <c r="T244">
        <v>0.83</v>
      </c>
      <c r="U244" t="s">
        <v>227</v>
      </c>
      <c r="V244">
        <v>0.83</v>
      </c>
      <c r="W244">
        <v>19.7</v>
      </c>
      <c r="X244">
        <v>33.1</v>
      </c>
      <c r="Y244">
        <v>27</v>
      </c>
      <c r="Z244">
        <v>9.0305172134094655E-2</v>
      </c>
      <c r="AA244">
        <v>31.536000000000001</v>
      </c>
    </row>
    <row r="245" spans="1:27" x14ac:dyDescent="0.25">
      <c r="A245" t="s">
        <v>98</v>
      </c>
      <c r="B245" t="s">
        <v>519</v>
      </c>
      <c r="C245" t="s">
        <v>100</v>
      </c>
      <c r="D245" t="s">
        <v>101</v>
      </c>
      <c r="E245" t="s">
        <v>179</v>
      </c>
      <c r="F245" t="s">
        <v>228</v>
      </c>
      <c r="G245" t="s">
        <v>111</v>
      </c>
      <c r="H245" t="s">
        <v>255</v>
      </c>
      <c r="I245">
        <v>2016</v>
      </c>
      <c r="J245" t="s">
        <v>259</v>
      </c>
      <c r="K245" t="s">
        <v>257</v>
      </c>
      <c r="L245" t="s">
        <v>547</v>
      </c>
      <c r="M245" t="s">
        <v>581</v>
      </c>
      <c r="N245">
        <v>0</v>
      </c>
      <c r="O245">
        <v>2020</v>
      </c>
      <c r="P245">
        <v>5029.8561831139787</v>
      </c>
      <c r="Q245">
        <v>15.04742874486676</v>
      </c>
      <c r="R245" t="s">
        <v>109</v>
      </c>
      <c r="S245">
        <v>334.26682182029617</v>
      </c>
      <c r="T245">
        <v>0.83</v>
      </c>
      <c r="U245" t="s">
        <v>227</v>
      </c>
      <c r="V245">
        <v>0.83</v>
      </c>
      <c r="W245">
        <v>19.7</v>
      </c>
      <c r="X245">
        <v>33.1</v>
      </c>
      <c r="Y245">
        <v>27</v>
      </c>
      <c r="Z245">
        <v>9.0305172134094655E-2</v>
      </c>
      <c r="AA245">
        <v>31.536000000000001</v>
      </c>
    </row>
    <row r="246" spans="1:27" x14ac:dyDescent="0.25">
      <c r="A246" t="s">
        <v>98</v>
      </c>
      <c r="B246" t="s">
        <v>519</v>
      </c>
      <c r="C246" t="s">
        <v>100</v>
      </c>
      <c r="D246" t="s">
        <v>101</v>
      </c>
      <c r="E246" t="s">
        <v>179</v>
      </c>
      <c r="F246" t="s">
        <v>228</v>
      </c>
      <c r="G246" t="s">
        <v>111</v>
      </c>
      <c r="H246" t="s">
        <v>255</v>
      </c>
      <c r="I246">
        <v>2020</v>
      </c>
      <c r="J246" t="s">
        <v>261</v>
      </c>
      <c r="K246" t="s">
        <v>257</v>
      </c>
      <c r="L246" t="s">
        <v>547</v>
      </c>
      <c r="M246" t="s">
        <v>581</v>
      </c>
      <c r="N246">
        <v>1</v>
      </c>
      <c r="O246">
        <v>2020</v>
      </c>
      <c r="P246">
        <v>5151.7920905834089</v>
      </c>
      <c r="Q246">
        <v>15.04742874486676</v>
      </c>
      <c r="R246" t="s">
        <v>109</v>
      </c>
      <c r="S246">
        <v>342.37025992503061</v>
      </c>
      <c r="T246">
        <v>0.84</v>
      </c>
      <c r="U246" t="s">
        <v>227</v>
      </c>
      <c r="V246">
        <v>0.84</v>
      </c>
      <c r="W246">
        <v>19.7</v>
      </c>
      <c r="X246">
        <v>33.1</v>
      </c>
      <c r="Y246">
        <v>27</v>
      </c>
      <c r="Z246">
        <v>9.0305172134094655E-2</v>
      </c>
      <c r="AA246">
        <v>31.536000000000001</v>
      </c>
    </row>
    <row r="247" spans="1:27" x14ac:dyDescent="0.25">
      <c r="A247" t="s">
        <v>98</v>
      </c>
      <c r="B247" t="s">
        <v>519</v>
      </c>
      <c r="C247" t="s">
        <v>100</v>
      </c>
      <c r="D247" t="s">
        <v>101</v>
      </c>
      <c r="E247" t="s">
        <v>179</v>
      </c>
      <c r="F247" t="s">
        <v>228</v>
      </c>
      <c r="G247" t="s">
        <v>114</v>
      </c>
      <c r="H247" t="s">
        <v>255</v>
      </c>
      <c r="I247">
        <v>2016</v>
      </c>
      <c r="J247" t="s">
        <v>262</v>
      </c>
      <c r="K247" t="s">
        <v>257</v>
      </c>
      <c r="L247" t="s">
        <v>547</v>
      </c>
      <c r="M247" t="s">
        <v>582</v>
      </c>
      <c r="N247">
        <v>1</v>
      </c>
      <c r="O247">
        <v>2020</v>
      </c>
      <c r="P247">
        <v>5304.2119749201956</v>
      </c>
      <c r="Q247">
        <v>15.04742874486676</v>
      </c>
      <c r="R247" t="s">
        <v>109</v>
      </c>
      <c r="S247">
        <v>352.49955755594868</v>
      </c>
      <c r="T247">
        <v>0.85</v>
      </c>
      <c r="U247" t="s">
        <v>227</v>
      </c>
      <c r="V247">
        <v>0.85</v>
      </c>
      <c r="W247">
        <v>19.7</v>
      </c>
      <c r="X247">
        <v>33.1</v>
      </c>
      <c r="Y247">
        <v>27</v>
      </c>
      <c r="Z247">
        <v>9.0305172134094655E-2</v>
      </c>
      <c r="AA247">
        <v>31.536000000000001</v>
      </c>
    </row>
    <row r="248" spans="1:27" x14ac:dyDescent="0.25">
      <c r="A248" t="s">
        <v>98</v>
      </c>
      <c r="B248" t="s">
        <v>519</v>
      </c>
      <c r="C248" t="s">
        <v>100</v>
      </c>
      <c r="D248" t="s">
        <v>101</v>
      </c>
      <c r="E248" t="s">
        <v>179</v>
      </c>
      <c r="F248" t="s">
        <v>228</v>
      </c>
      <c r="G248" t="s">
        <v>119</v>
      </c>
      <c r="H248" t="s">
        <v>255</v>
      </c>
      <c r="I248">
        <v>2016</v>
      </c>
      <c r="J248" t="s">
        <v>264</v>
      </c>
      <c r="K248" t="s">
        <v>257</v>
      </c>
      <c r="L248" t="s">
        <v>547</v>
      </c>
      <c r="M248" t="s">
        <v>583</v>
      </c>
      <c r="N248">
        <v>0</v>
      </c>
      <c r="O248">
        <v>2020</v>
      </c>
      <c r="P248">
        <v>7864.8660317782214</v>
      </c>
      <c r="Q248">
        <v>15.04742874486676</v>
      </c>
      <c r="R248" t="s">
        <v>109</v>
      </c>
      <c r="S248">
        <v>522.67175775537214</v>
      </c>
      <c r="T248">
        <v>0.97</v>
      </c>
      <c r="U248" t="s">
        <v>227</v>
      </c>
      <c r="V248">
        <v>0.97</v>
      </c>
      <c r="W248">
        <v>19.7</v>
      </c>
      <c r="X248">
        <v>33.1</v>
      </c>
      <c r="Y248">
        <v>27</v>
      </c>
      <c r="Z248">
        <v>9.0305172134094655E-2</v>
      </c>
      <c r="AA248">
        <v>31.536000000000001</v>
      </c>
    </row>
    <row r="249" spans="1:27" x14ac:dyDescent="0.25">
      <c r="A249" t="s">
        <v>98</v>
      </c>
      <c r="B249" t="s">
        <v>519</v>
      </c>
      <c r="C249" t="s">
        <v>100</v>
      </c>
      <c r="D249" t="s">
        <v>101</v>
      </c>
      <c r="E249" t="s">
        <v>179</v>
      </c>
      <c r="F249" t="s">
        <v>228</v>
      </c>
      <c r="G249" t="s">
        <v>119</v>
      </c>
      <c r="H249" t="s">
        <v>255</v>
      </c>
      <c r="I249">
        <v>2020</v>
      </c>
      <c r="J249" t="s">
        <v>266</v>
      </c>
      <c r="K249" t="s">
        <v>257</v>
      </c>
      <c r="L249" t="s">
        <v>547</v>
      </c>
      <c r="M249" t="s">
        <v>583</v>
      </c>
      <c r="N249">
        <v>1</v>
      </c>
      <c r="O249">
        <v>2020</v>
      </c>
      <c r="P249">
        <v>7864.8660317782214</v>
      </c>
      <c r="Q249">
        <v>15.04742874486676</v>
      </c>
      <c r="R249" t="s">
        <v>109</v>
      </c>
      <c r="S249">
        <v>522.67175775537214</v>
      </c>
      <c r="T249">
        <v>0.97</v>
      </c>
      <c r="U249" t="s">
        <v>227</v>
      </c>
      <c r="V249">
        <v>0.97</v>
      </c>
      <c r="W249">
        <v>19.7</v>
      </c>
      <c r="X249">
        <v>33.1</v>
      </c>
      <c r="Y249">
        <v>27</v>
      </c>
      <c r="Z249">
        <v>9.0305172134094655E-2</v>
      </c>
      <c r="AA249">
        <v>31.536000000000001</v>
      </c>
    </row>
    <row r="250" spans="1:27" x14ac:dyDescent="0.25">
      <c r="A250" t="s">
        <v>98</v>
      </c>
      <c r="B250" t="s">
        <v>519</v>
      </c>
      <c r="C250" t="s">
        <v>100</v>
      </c>
      <c r="D250" t="s">
        <v>101</v>
      </c>
      <c r="E250" t="s">
        <v>179</v>
      </c>
      <c r="F250" t="s">
        <v>228</v>
      </c>
      <c r="G250" t="s">
        <v>103</v>
      </c>
      <c r="H250" t="s">
        <v>156</v>
      </c>
      <c r="I250">
        <v>2016</v>
      </c>
      <c r="J250" t="s">
        <v>267</v>
      </c>
      <c r="K250" t="s">
        <v>158</v>
      </c>
      <c r="L250" t="s">
        <v>547</v>
      </c>
      <c r="M250" t="s">
        <v>584</v>
      </c>
      <c r="N250">
        <v>1</v>
      </c>
      <c r="O250">
        <v>2020</v>
      </c>
      <c r="P250">
        <v>2499.6861031233111</v>
      </c>
      <c r="Q250">
        <v>15.04742874486676</v>
      </c>
      <c r="R250" t="s">
        <v>109</v>
      </c>
      <c r="S250">
        <v>166.1204811470563</v>
      </c>
      <c r="T250">
        <v>0.8</v>
      </c>
      <c r="U250" t="s">
        <v>227</v>
      </c>
      <c r="V250">
        <v>0.8</v>
      </c>
      <c r="W250">
        <v>16</v>
      </c>
      <c r="X250">
        <v>27</v>
      </c>
      <c r="Y250">
        <v>22</v>
      </c>
      <c r="Z250">
        <v>9.0305172134094655E-2</v>
      </c>
      <c r="AA250">
        <v>31.536000000000001</v>
      </c>
    </row>
    <row r="251" spans="1:27" x14ac:dyDescent="0.25">
      <c r="A251" t="s">
        <v>98</v>
      </c>
      <c r="B251" t="s">
        <v>519</v>
      </c>
      <c r="C251" t="s">
        <v>100</v>
      </c>
      <c r="D251" t="s">
        <v>101</v>
      </c>
      <c r="E251" t="s">
        <v>179</v>
      </c>
      <c r="F251" t="s">
        <v>228</v>
      </c>
      <c r="G251" t="s">
        <v>111</v>
      </c>
      <c r="H251" t="s">
        <v>156</v>
      </c>
      <c r="I251">
        <v>2016</v>
      </c>
      <c r="J251" t="s">
        <v>269</v>
      </c>
      <c r="K251" t="s">
        <v>158</v>
      </c>
      <c r="L251" t="s">
        <v>547</v>
      </c>
      <c r="M251" t="s">
        <v>585</v>
      </c>
      <c r="N251">
        <v>0</v>
      </c>
      <c r="O251">
        <v>2020</v>
      </c>
      <c r="P251">
        <v>3182.5271849521182</v>
      </c>
      <c r="Q251">
        <v>15.04742874486676</v>
      </c>
      <c r="R251" t="s">
        <v>109</v>
      </c>
      <c r="S251">
        <v>211.49973453356921</v>
      </c>
      <c r="T251">
        <v>0.92</v>
      </c>
      <c r="U251" t="s">
        <v>227</v>
      </c>
      <c r="V251">
        <v>0.92</v>
      </c>
      <c r="W251">
        <v>16</v>
      </c>
      <c r="X251">
        <v>27</v>
      </c>
      <c r="Y251">
        <v>22</v>
      </c>
      <c r="Z251">
        <v>9.0305172134094655E-2</v>
      </c>
      <c r="AA251">
        <v>31.536000000000001</v>
      </c>
    </row>
    <row r="252" spans="1:27" x14ac:dyDescent="0.25">
      <c r="A252" t="s">
        <v>98</v>
      </c>
      <c r="B252" t="s">
        <v>519</v>
      </c>
      <c r="C252" t="s">
        <v>100</v>
      </c>
      <c r="D252" t="s">
        <v>101</v>
      </c>
      <c r="E252" t="s">
        <v>179</v>
      </c>
      <c r="F252" t="s">
        <v>228</v>
      </c>
      <c r="G252" t="s">
        <v>111</v>
      </c>
      <c r="H252" t="s">
        <v>156</v>
      </c>
      <c r="I252">
        <v>2020</v>
      </c>
      <c r="J252" t="s">
        <v>271</v>
      </c>
      <c r="K252" t="s">
        <v>158</v>
      </c>
      <c r="L252" t="s">
        <v>547</v>
      </c>
      <c r="M252" t="s">
        <v>585</v>
      </c>
      <c r="N252">
        <v>1</v>
      </c>
      <c r="O252">
        <v>2020</v>
      </c>
      <c r="P252">
        <v>3365.4310461562618</v>
      </c>
      <c r="Q252">
        <v>15.04742874486676</v>
      </c>
      <c r="R252" t="s">
        <v>109</v>
      </c>
      <c r="S252">
        <v>223.65489169067089</v>
      </c>
      <c r="T252">
        <v>0.92</v>
      </c>
      <c r="U252" t="s">
        <v>227</v>
      </c>
      <c r="V252">
        <v>0.92</v>
      </c>
      <c r="W252">
        <v>16</v>
      </c>
      <c r="X252">
        <v>27</v>
      </c>
      <c r="Y252">
        <v>22</v>
      </c>
      <c r="Z252">
        <v>9.0305172134094655E-2</v>
      </c>
      <c r="AA252">
        <v>31.536000000000001</v>
      </c>
    </row>
    <row r="253" spans="1:27" x14ac:dyDescent="0.25">
      <c r="A253" t="s">
        <v>98</v>
      </c>
      <c r="B253" t="s">
        <v>519</v>
      </c>
      <c r="C253" t="s">
        <v>100</v>
      </c>
      <c r="D253" t="s">
        <v>101</v>
      </c>
      <c r="E253" t="s">
        <v>179</v>
      </c>
      <c r="F253" t="s">
        <v>228</v>
      </c>
      <c r="G253" t="s">
        <v>114</v>
      </c>
      <c r="H253" t="s">
        <v>156</v>
      </c>
      <c r="I253">
        <v>2016</v>
      </c>
      <c r="J253" t="s">
        <v>272</v>
      </c>
      <c r="K253" t="s">
        <v>158</v>
      </c>
      <c r="L253" t="s">
        <v>547</v>
      </c>
      <c r="M253" t="s">
        <v>586</v>
      </c>
      <c r="N253">
        <v>1</v>
      </c>
      <c r="O253">
        <v>2020</v>
      </c>
      <c r="P253">
        <v>3341.043864662377</v>
      </c>
      <c r="Q253">
        <v>15.04742874486676</v>
      </c>
      <c r="R253" t="s">
        <v>109</v>
      </c>
      <c r="S253">
        <v>222.03420406972401</v>
      </c>
      <c r="T253">
        <v>0.95</v>
      </c>
      <c r="U253" t="s">
        <v>227</v>
      </c>
      <c r="V253">
        <v>0.95</v>
      </c>
      <c r="W253">
        <v>16</v>
      </c>
      <c r="X253">
        <v>27</v>
      </c>
      <c r="Y253">
        <v>22</v>
      </c>
      <c r="Z253">
        <v>9.0305172134094655E-2</v>
      </c>
      <c r="AA253">
        <v>31.536000000000001</v>
      </c>
    </row>
    <row r="254" spans="1:27" x14ac:dyDescent="0.25">
      <c r="A254" t="s">
        <v>98</v>
      </c>
      <c r="B254" t="s">
        <v>519</v>
      </c>
      <c r="C254" t="s">
        <v>100</v>
      </c>
      <c r="D254" t="s">
        <v>101</v>
      </c>
      <c r="E254" t="s">
        <v>179</v>
      </c>
      <c r="F254" t="s">
        <v>228</v>
      </c>
      <c r="G254" t="s">
        <v>114</v>
      </c>
      <c r="H254" t="s">
        <v>156</v>
      </c>
      <c r="I254">
        <v>2022</v>
      </c>
      <c r="J254" t="s">
        <v>274</v>
      </c>
      <c r="K254" t="s">
        <v>158</v>
      </c>
      <c r="L254" t="s">
        <v>547</v>
      </c>
      <c r="M254" t="s">
        <v>587</v>
      </c>
      <c r="N254">
        <v>1</v>
      </c>
      <c r="O254">
        <v>2022</v>
      </c>
      <c r="P254">
        <v>3341.043864662377</v>
      </c>
      <c r="Q254">
        <v>15.04742874486676</v>
      </c>
      <c r="R254" t="s">
        <v>109</v>
      </c>
      <c r="S254">
        <v>222.03420406972401</v>
      </c>
      <c r="T254">
        <v>0.95</v>
      </c>
      <c r="U254" t="s">
        <v>227</v>
      </c>
      <c r="V254">
        <v>0.95</v>
      </c>
      <c r="W254">
        <v>16</v>
      </c>
      <c r="X254">
        <v>27</v>
      </c>
      <c r="Y254">
        <v>22</v>
      </c>
      <c r="Z254">
        <v>9.0305172134094655E-2</v>
      </c>
      <c r="AA254">
        <v>31.536000000000001</v>
      </c>
    </row>
    <row r="255" spans="1:27" x14ac:dyDescent="0.25">
      <c r="A255" t="s">
        <v>98</v>
      </c>
      <c r="B255" t="s">
        <v>519</v>
      </c>
      <c r="C255" t="s">
        <v>100</v>
      </c>
      <c r="D255" t="s">
        <v>101</v>
      </c>
      <c r="E255" t="s">
        <v>179</v>
      </c>
      <c r="F255" t="s">
        <v>228</v>
      </c>
      <c r="G255" t="s">
        <v>119</v>
      </c>
      <c r="H255" t="s">
        <v>156</v>
      </c>
      <c r="I255">
        <v>2016</v>
      </c>
      <c r="J255" t="s">
        <v>276</v>
      </c>
      <c r="K255" t="s">
        <v>158</v>
      </c>
      <c r="L255" t="s">
        <v>547</v>
      </c>
      <c r="M255" t="s">
        <v>588</v>
      </c>
      <c r="N255">
        <v>1</v>
      </c>
      <c r="O255">
        <v>2020</v>
      </c>
      <c r="P255">
        <v>3706.851587070666</v>
      </c>
      <c r="Q255">
        <v>15.04742874486676</v>
      </c>
      <c r="R255" t="s">
        <v>109</v>
      </c>
      <c r="S255">
        <v>246.34451838392741</v>
      </c>
      <c r="T255">
        <v>0.99</v>
      </c>
      <c r="U255" t="s">
        <v>227</v>
      </c>
      <c r="V255">
        <v>0.99</v>
      </c>
      <c r="W255">
        <v>16</v>
      </c>
      <c r="X255">
        <v>27</v>
      </c>
      <c r="Y255">
        <v>22</v>
      </c>
      <c r="Z255">
        <v>9.0305172134094655E-2</v>
      </c>
      <c r="AA255">
        <v>31.536000000000001</v>
      </c>
    </row>
    <row r="256" spans="1:27" x14ac:dyDescent="0.25">
      <c r="A256" t="s">
        <v>98</v>
      </c>
      <c r="B256" t="s">
        <v>519</v>
      </c>
      <c r="C256" t="s">
        <v>100</v>
      </c>
      <c r="D256" t="s">
        <v>101</v>
      </c>
      <c r="E256" t="s">
        <v>179</v>
      </c>
      <c r="F256" t="s">
        <v>228</v>
      </c>
      <c r="G256" t="s">
        <v>119</v>
      </c>
      <c r="H256" t="s">
        <v>156</v>
      </c>
      <c r="I256">
        <v>2022</v>
      </c>
      <c r="J256" t="s">
        <v>278</v>
      </c>
      <c r="K256" t="s">
        <v>158</v>
      </c>
      <c r="L256" t="s">
        <v>547</v>
      </c>
      <c r="M256" t="s">
        <v>589</v>
      </c>
      <c r="N256">
        <v>1</v>
      </c>
      <c r="O256">
        <v>2022</v>
      </c>
      <c r="P256">
        <v>3706.851587070666</v>
      </c>
      <c r="Q256">
        <v>15.04742874486676</v>
      </c>
      <c r="R256" t="s">
        <v>109</v>
      </c>
      <c r="S256">
        <v>246.34451838392741</v>
      </c>
      <c r="T256">
        <v>0.99</v>
      </c>
      <c r="U256" t="s">
        <v>227</v>
      </c>
      <c r="V256">
        <v>0.99</v>
      </c>
      <c r="W256">
        <v>16</v>
      </c>
      <c r="X256">
        <v>27</v>
      </c>
      <c r="Y256">
        <v>22</v>
      </c>
      <c r="Z256">
        <v>9.0305172134094655E-2</v>
      </c>
      <c r="AA256">
        <v>31.536000000000001</v>
      </c>
    </row>
    <row r="257" spans="1:27" x14ac:dyDescent="0.25">
      <c r="A257" t="s">
        <v>98</v>
      </c>
      <c r="B257" t="s">
        <v>519</v>
      </c>
      <c r="C257" t="s">
        <v>100</v>
      </c>
      <c r="D257" t="s">
        <v>101</v>
      </c>
      <c r="E257" t="s">
        <v>179</v>
      </c>
      <c r="F257" t="s">
        <v>228</v>
      </c>
      <c r="G257" t="s">
        <v>103</v>
      </c>
      <c r="H257" t="s">
        <v>148</v>
      </c>
      <c r="I257">
        <v>2016</v>
      </c>
      <c r="J257" t="s">
        <v>280</v>
      </c>
      <c r="K257" t="s">
        <v>150</v>
      </c>
      <c r="L257" t="s">
        <v>547</v>
      </c>
      <c r="M257" t="s">
        <v>590</v>
      </c>
      <c r="N257">
        <v>1</v>
      </c>
      <c r="O257">
        <v>2020</v>
      </c>
      <c r="P257">
        <v>5029.8561831139787</v>
      </c>
      <c r="Q257">
        <v>15.04742874486676</v>
      </c>
      <c r="R257" t="s">
        <v>109</v>
      </c>
      <c r="S257">
        <v>334.26682182029617</v>
      </c>
      <c r="T257">
        <v>0.83</v>
      </c>
      <c r="U257" t="s">
        <v>227</v>
      </c>
      <c r="V257">
        <v>0.83</v>
      </c>
      <c r="W257">
        <v>19.7</v>
      </c>
      <c r="X257">
        <v>33.1</v>
      </c>
      <c r="Y257">
        <v>27</v>
      </c>
      <c r="Z257">
        <v>9.0305172134094655E-2</v>
      </c>
      <c r="AA257">
        <v>31.536000000000001</v>
      </c>
    </row>
    <row r="258" spans="1:27" x14ac:dyDescent="0.25">
      <c r="A258" t="s">
        <v>98</v>
      </c>
      <c r="B258" t="s">
        <v>519</v>
      </c>
      <c r="C258" t="s">
        <v>100</v>
      </c>
      <c r="D258" t="s">
        <v>101</v>
      </c>
      <c r="E258" t="s">
        <v>179</v>
      </c>
      <c r="F258" t="s">
        <v>228</v>
      </c>
      <c r="G258" t="s">
        <v>111</v>
      </c>
      <c r="H258" t="s">
        <v>148</v>
      </c>
      <c r="I258">
        <v>2016</v>
      </c>
      <c r="J258" t="s">
        <v>282</v>
      </c>
      <c r="K258" t="s">
        <v>150</v>
      </c>
      <c r="L258" t="s">
        <v>547</v>
      </c>
      <c r="M258" t="s">
        <v>591</v>
      </c>
      <c r="N258">
        <v>1</v>
      </c>
      <c r="O258">
        <v>2020</v>
      </c>
      <c r="P258">
        <v>5029.8561831139787</v>
      </c>
      <c r="Q258">
        <v>15.04742874486676</v>
      </c>
      <c r="R258" t="s">
        <v>109</v>
      </c>
      <c r="S258">
        <v>334.26682182029617</v>
      </c>
      <c r="T258">
        <v>0.83</v>
      </c>
      <c r="U258" t="s">
        <v>227</v>
      </c>
      <c r="V258">
        <v>0.83</v>
      </c>
      <c r="W258">
        <v>19.7</v>
      </c>
      <c r="X258">
        <v>33.1</v>
      </c>
      <c r="Y258">
        <v>27</v>
      </c>
      <c r="Z258">
        <v>9.0305172134094655E-2</v>
      </c>
      <c r="AA258">
        <v>31.536000000000001</v>
      </c>
    </row>
    <row r="259" spans="1:27" x14ac:dyDescent="0.25">
      <c r="A259" t="s">
        <v>98</v>
      </c>
      <c r="B259" t="s">
        <v>519</v>
      </c>
      <c r="C259" t="s">
        <v>100</v>
      </c>
      <c r="D259" t="s">
        <v>101</v>
      </c>
      <c r="E259" t="s">
        <v>179</v>
      </c>
      <c r="F259" t="s">
        <v>228</v>
      </c>
      <c r="G259" t="s">
        <v>111</v>
      </c>
      <c r="H259" t="s">
        <v>148</v>
      </c>
      <c r="I259">
        <v>2022</v>
      </c>
      <c r="J259" t="s">
        <v>284</v>
      </c>
      <c r="K259" t="s">
        <v>150</v>
      </c>
      <c r="L259" t="s">
        <v>547</v>
      </c>
      <c r="M259" t="s">
        <v>592</v>
      </c>
      <c r="N259">
        <v>1</v>
      </c>
      <c r="O259">
        <v>2022</v>
      </c>
      <c r="P259">
        <v>5151.7920905834089</v>
      </c>
      <c r="Q259">
        <v>15.04742874486676</v>
      </c>
      <c r="R259" t="s">
        <v>109</v>
      </c>
      <c r="S259">
        <v>342.37025992503061</v>
      </c>
      <c r="T259">
        <v>0.84</v>
      </c>
      <c r="U259" t="s">
        <v>227</v>
      </c>
      <c r="V259">
        <v>0.84</v>
      </c>
      <c r="W259">
        <v>19.7</v>
      </c>
      <c r="X259">
        <v>33.1</v>
      </c>
      <c r="Y259">
        <v>27</v>
      </c>
      <c r="Z259">
        <v>9.0305172134094655E-2</v>
      </c>
      <c r="AA259">
        <v>31.536000000000001</v>
      </c>
    </row>
    <row r="260" spans="1:27" x14ac:dyDescent="0.25">
      <c r="A260" t="s">
        <v>98</v>
      </c>
      <c r="B260" t="s">
        <v>519</v>
      </c>
      <c r="C260" t="s">
        <v>100</v>
      </c>
      <c r="D260" t="s">
        <v>101</v>
      </c>
      <c r="E260" t="s">
        <v>179</v>
      </c>
      <c r="F260" t="s">
        <v>228</v>
      </c>
      <c r="G260" t="s">
        <v>114</v>
      </c>
      <c r="H260" t="s">
        <v>148</v>
      </c>
      <c r="I260">
        <v>2016</v>
      </c>
      <c r="J260" t="s">
        <v>286</v>
      </c>
      <c r="K260" t="s">
        <v>150</v>
      </c>
      <c r="L260" t="s">
        <v>547</v>
      </c>
      <c r="M260" t="s">
        <v>593</v>
      </c>
      <c r="N260">
        <v>1</v>
      </c>
      <c r="O260">
        <v>2020</v>
      </c>
      <c r="P260">
        <v>5304.2119749201956</v>
      </c>
      <c r="Q260">
        <v>15.04742874486676</v>
      </c>
      <c r="R260" t="s">
        <v>109</v>
      </c>
      <c r="S260">
        <v>352.49955755594868</v>
      </c>
      <c r="T260">
        <v>0.85</v>
      </c>
      <c r="U260" t="s">
        <v>227</v>
      </c>
      <c r="V260">
        <v>0.85</v>
      </c>
      <c r="W260">
        <v>19.7</v>
      </c>
      <c r="X260">
        <v>33.1</v>
      </c>
      <c r="Y260">
        <v>27</v>
      </c>
      <c r="Z260">
        <v>9.0305172134094655E-2</v>
      </c>
      <c r="AA260">
        <v>31.536000000000001</v>
      </c>
    </row>
    <row r="261" spans="1:27" x14ac:dyDescent="0.25">
      <c r="A261" t="s">
        <v>98</v>
      </c>
      <c r="B261" t="s">
        <v>519</v>
      </c>
      <c r="C261" t="s">
        <v>100</v>
      </c>
      <c r="D261" t="s">
        <v>101</v>
      </c>
      <c r="E261" t="s">
        <v>179</v>
      </c>
      <c r="F261" t="s">
        <v>228</v>
      </c>
      <c r="G261" t="s">
        <v>119</v>
      </c>
      <c r="H261" t="s">
        <v>148</v>
      </c>
      <c r="I261">
        <v>2016</v>
      </c>
      <c r="J261" t="s">
        <v>288</v>
      </c>
      <c r="K261" t="s">
        <v>150</v>
      </c>
      <c r="L261" t="s">
        <v>547</v>
      </c>
      <c r="M261" t="s">
        <v>594</v>
      </c>
      <c r="N261">
        <v>1</v>
      </c>
      <c r="O261">
        <v>2020</v>
      </c>
      <c r="P261">
        <v>7864.8660317782214</v>
      </c>
      <c r="Q261">
        <v>15.04742874486676</v>
      </c>
      <c r="R261" t="s">
        <v>109</v>
      </c>
      <c r="S261">
        <v>522.67175775537214</v>
      </c>
      <c r="T261">
        <v>0.97</v>
      </c>
      <c r="U261" t="s">
        <v>227</v>
      </c>
      <c r="V261">
        <v>0.97</v>
      </c>
      <c r="W261">
        <v>19.7</v>
      </c>
      <c r="X261">
        <v>33.1</v>
      </c>
      <c r="Y261">
        <v>27</v>
      </c>
      <c r="Z261">
        <v>9.0305172134094655E-2</v>
      </c>
      <c r="AA261">
        <v>31.536000000000001</v>
      </c>
    </row>
    <row r="262" spans="1:27" x14ac:dyDescent="0.25">
      <c r="A262" t="s">
        <v>98</v>
      </c>
      <c r="B262" t="s">
        <v>519</v>
      </c>
      <c r="C262" t="s">
        <v>100</v>
      </c>
      <c r="D262" t="s">
        <v>101</v>
      </c>
      <c r="E262" t="s">
        <v>179</v>
      </c>
      <c r="F262" t="s">
        <v>228</v>
      </c>
      <c r="G262" t="s">
        <v>119</v>
      </c>
      <c r="H262" t="s">
        <v>148</v>
      </c>
      <c r="I262">
        <v>2022</v>
      </c>
      <c r="J262" t="s">
        <v>290</v>
      </c>
      <c r="K262" t="s">
        <v>150</v>
      </c>
      <c r="L262" t="s">
        <v>547</v>
      </c>
      <c r="M262" t="s">
        <v>595</v>
      </c>
      <c r="N262">
        <v>1</v>
      </c>
      <c r="O262">
        <v>2022</v>
      </c>
      <c r="P262">
        <v>7864.8660317782214</v>
      </c>
      <c r="Q262">
        <v>15.04742874486676</v>
      </c>
      <c r="R262" t="s">
        <v>109</v>
      </c>
      <c r="S262">
        <v>522.67175775537214</v>
      </c>
      <c r="T262">
        <v>0.97</v>
      </c>
      <c r="U262" t="s">
        <v>227</v>
      </c>
      <c r="V262">
        <v>0.97</v>
      </c>
      <c r="W262">
        <v>19.7</v>
      </c>
      <c r="X262">
        <v>33.1</v>
      </c>
      <c r="Y262">
        <v>27</v>
      </c>
      <c r="Z262">
        <v>9.0305172134094655E-2</v>
      </c>
      <c r="AA262">
        <v>31.536000000000001</v>
      </c>
    </row>
    <row r="263" spans="1:27" x14ac:dyDescent="0.25">
      <c r="A263" t="s">
        <v>98</v>
      </c>
      <c r="B263" t="s">
        <v>519</v>
      </c>
      <c r="C263" t="s">
        <v>100</v>
      </c>
      <c r="D263" t="s">
        <v>101</v>
      </c>
      <c r="E263" t="s">
        <v>179</v>
      </c>
      <c r="F263" t="s">
        <v>224</v>
      </c>
      <c r="G263" t="s">
        <v>103</v>
      </c>
      <c r="H263" t="s">
        <v>148</v>
      </c>
      <c r="I263">
        <v>2016</v>
      </c>
      <c r="J263" t="s">
        <v>292</v>
      </c>
      <c r="K263" t="s">
        <v>150</v>
      </c>
      <c r="L263" t="s">
        <v>547</v>
      </c>
      <c r="M263" t="s">
        <v>596</v>
      </c>
      <c r="N263">
        <v>1</v>
      </c>
      <c r="O263">
        <v>2020</v>
      </c>
      <c r="P263">
        <v>11126.65155658547</v>
      </c>
      <c r="Q263">
        <v>15.04742874486676</v>
      </c>
      <c r="R263" t="s">
        <v>109</v>
      </c>
      <c r="S263">
        <v>739.4387270570187</v>
      </c>
      <c r="T263">
        <v>0.84</v>
      </c>
      <c r="U263" t="s">
        <v>227</v>
      </c>
      <c r="V263">
        <v>0.84</v>
      </c>
      <c r="W263">
        <v>18</v>
      </c>
      <c r="X263">
        <v>28</v>
      </c>
      <c r="Y263">
        <v>24</v>
      </c>
      <c r="Z263">
        <v>9.0305172134094655E-2</v>
      </c>
      <c r="AA263">
        <v>31.536000000000001</v>
      </c>
    </row>
    <row r="264" spans="1:27" x14ac:dyDescent="0.25">
      <c r="A264" t="s">
        <v>98</v>
      </c>
      <c r="B264" t="s">
        <v>519</v>
      </c>
      <c r="C264" t="s">
        <v>100</v>
      </c>
      <c r="D264" t="s">
        <v>101</v>
      </c>
      <c r="E264" t="s">
        <v>179</v>
      </c>
      <c r="F264" t="s">
        <v>224</v>
      </c>
      <c r="G264" t="s">
        <v>103</v>
      </c>
      <c r="H264" t="s">
        <v>148</v>
      </c>
      <c r="I264">
        <v>2022</v>
      </c>
      <c r="J264" t="s">
        <v>294</v>
      </c>
      <c r="K264" t="s">
        <v>150</v>
      </c>
      <c r="L264" t="s">
        <v>547</v>
      </c>
      <c r="M264" t="s">
        <v>597</v>
      </c>
      <c r="N264">
        <v>1</v>
      </c>
      <c r="O264">
        <v>2022</v>
      </c>
      <c r="P264">
        <v>11492.45927899376</v>
      </c>
      <c r="Q264">
        <v>15.04742874486676</v>
      </c>
      <c r="R264" t="s">
        <v>109</v>
      </c>
      <c r="S264">
        <v>763.74904137122212</v>
      </c>
      <c r="T264">
        <v>0.86</v>
      </c>
      <c r="U264" t="s">
        <v>227</v>
      </c>
      <c r="V264">
        <v>0.86</v>
      </c>
      <c r="W264">
        <v>18</v>
      </c>
      <c r="X264">
        <v>28</v>
      </c>
      <c r="Y264">
        <v>24</v>
      </c>
      <c r="Z264">
        <v>9.0305172134094655E-2</v>
      </c>
      <c r="AA264">
        <v>31.536000000000001</v>
      </c>
    </row>
    <row r="265" spans="1:27" x14ac:dyDescent="0.25">
      <c r="A265" t="s">
        <v>98</v>
      </c>
      <c r="B265" t="s">
        <v>519</v>
      </c>
      <c r="C265" t="s">
        <v>100</v>
      </c>
      <c r="D265" t="s">
        <v>101</v>
      </c>
      <c r="E265" t="s">
        <v>179</v>
      </c>
      <c r="F265" t="s">
        <v>224</v>
      </c>
      <c r="G265" t="s">
        <v>111</v>
      </c>
      <c r="H265" t="s">
        <v>148</v>
      </c>
      <c r="I265">
        <v>2016</v>
      </c>
      <c r="J265" t="s">
        <v>296</v>
      </c>
      <c r="K265" t="s">
        <v>150</v>
      </c>
      <c r="L265" t="s">
        <v>547</v>
      </c>
      <c r="M265" t="s">
        <v>598</v>
      </c>
      <c r="N265">
        <v>1</v>
      </c>
      <c r="O265">
        <v>2020</v>
      </c>
      <c r="P265">
        <v>11126.65155658547</v>
      </c>
      <c r="Q265">
        <v>15.04742874486676</v>
      </c>
      <c r="R265" t="s">
        <v>109</v>
      </c>
      <c r="S265">
        <v>739.4387270570187</v>
      </c>
      <c r="T265">
        <v>0.84</v>
      </c>
      <c r="U265" t="s">
        <v>227</v>
      </c>
      <c r="V265">
        <v>0.84</v>
      </c>
      <c r="W265">
        <v>18</v>
      </c>
      <c r="X265">
        <v>28</v>
      </c>
      <c r="Y265">
        <v>24</v>
      </c>
      <c r="Z265">
        <v>9.0305172134094655E-2</v>
      </c>
      <c r="AA265">
        <v>31.536000000000001</v>
      </c>
    </row>
    <row r="266" spans="1:27" x14ac:dyDescent="0.25">
      <c r="A266" t="s">
        <v>98</v>
      </c>
      <c r="B266" t="s">
        <v>519</v>
      </c>
      <c r="C266" t="s">
        <v>100</v>
      </c>
      <c r="D266" t="s">
        <v>101</v>
      </c>
      <c r="E266" t="s">
        <v>179</v>
      </c>
      <c r="F266" t="s">
        <v>224</v>
      </c>
      <c r="G266" t="s">
        <v>111</v>
      </c>
      <c r="H266" t="s">
        <v>148</v>
      </c>
      <c r="I266">
        <v>2022</v>
      </c>
      <c r="J266" t="s">
        <v>298</v>
      </c>
      <c r="K266" t="s">
        <v>150</v>
      </c>
      <c r="L266" t="s">
        <v>547</v>
      </c>
      <c r="M266" t="s">
        <v>599</v>
      </c>
      <c r="N266">
        <v>1</v>
      </c>
      <c r="O266">
        <v>2022</v>
      </c>
      <c r="P266">
        <v>11492.45927899376</v>
      </c>
      <c r="Q266">
        <v>15.04742874486676</v>
      </c>
      <c r="R266" t="s">
        <v>109</v>
      </c>
      <c r="S266">
        <v>763.74904137122212</v>
      </c>
      <c r="T266">
        <v>0.86</v>
      </c>
      <c r="U266" t="s">
        <v>227</v>
      </c>
      <c r="V266">
        <v>0.86</v>
      </c>
      <c r="W266">
        <v>18</v>
      </c>
      <c r="X266">
        <v>28</v>
      </c>
      <c r="Y266">
        <v>24</v>
      </c>
      <c r="Z266">
        <v>9.0305172134094655E-2</v>
      </c>
      <c r="AA266">
        <v>31.536000000000001</v>
      </c>
    </row>
    <row r="267" spans="1:27" x14ac:dyDescent="0.25">
      <c r="A267" t="s">
        <v>98</v>
      </c>
      <c r="B267" t="s">
        <v>519</v>
      </c>
      <c r="C267" t="s">
        <v>100</v>
      </c>
      <c r="D267" t="s">
        <v>101</v>
      </c>
      <c r="E267" t="s">
        <v>179</v>
      </c>
      <c r="F267" t="s">
        <v>224</v>
      </c>
      <c r="G267" t="s">
        <v>114</v>
      </c>
      <c r="H267" t="s">
        <v>148</v>
      </c>
      <c r="I267">
        <v>2016</v>
      </c>
      <c r="J267" t="s">
        <v>300</v>
      </c>
      <c r="K267" t="s">
        <v>150</v>
      </c>
      <c r="L267" t="s">
        <v>547</v>
      </c>
      <c r="M267" t="s">
        <v>600</v>
      </c>
      <c r="N267">
        <v>1</v>
      </c>
      <c r="O267">
        <v>2020</v>
      </c>
      <c r="P267">
        <v>11492.45927899376</v>
      </c>
      <c r="Q267">
        <v>15.04742874486676</v>
      </c>
      <c r="R267" t="s">
        <v>109</v>
      </c>
      <c r="S267">
        <v>763.74904137122212</v>
      </c>
      <c r="T267">
        <v>0.87</v>
      </c>
      <c r="U267" t="s">
        <v>227</v>
      </c>
      <c r="V267">
        <v>0.87</v>
      </c>
      <c r="W267">
        <v>18</v>
      </c>
      <c r="X267">
        <v>28</v>
      </c>
      <c r="Y267">
        <v>24</v>
      </c>
      <c r="Z267">
        <v>9.0305172134094655E-2</v>
      </c>
      <c r="AA267">
        <v>31.536000000000001</v>
      </c>
    </row>
    <row r="268" spans="1:27" x14ac:dyDescent="0.25">
      <c r="A268" t="s">
        <v>98</v>
      </c>
      <c r="B268" t="s">
        <v>519</v>
      </c>
      <c r="C268" t="s">
        <v>100</v>
      </c>
      <c r="D268" t="s">
        <v>101</v>
      </c>
      <c r="E268" t="s">
        <v>179</v>
      </c>
      <c r="F268" t="s">
        <v>224</v>
      </c>
      <c r="G268" t="s">
        <v>119</v>
      </c>
      <c r="H268" t="s">
        <v>148</v>
      </c>
      <c r="I268">
        <v>2016</v>
      </c>
      <c r="J268" t="s">
        <v>302</v>
      </c>
      <c r="K268" t="s">
        <v>150</v>
      </c>
      <c r="L268" t="s">
        <v>547</v>
      </c>
      <c r="M268" t="s">
        <v>601</v>
      </c>
      <c r="N268">
        <v>1</v>
      </c>
      <c r="O268">
        <v>2020</v>
      </c>
      <c r="P268">
        <v>13961.66140524971</v>
      </c>
      <c r="Q268">
        <v>15.04742874486676</v>
      </c>
      <c r="R268" t="s">
        <v>109</v>
      </c>
      <c r="S268">
        <v>927.84366299209478</v>
      </c>
      <c r="T268">
        <v>0.9</v>
      </c>
      <c r="U268" t="s">
        <v>227</v>
      </c>
      <c r="V268">
        <v>0.9</v>
      </c>
      <c r="W268">
        <v>18</v>
      </c>
      <c r="X268">
        <v>28</v>
      </c>
      <c r="Y268">
        <v>24</v>
      </c>
      <c r="Z268">
        <v>9.0305172134094655E-2</v>
      </c>
      <c r="AA268">
        <v>31.536000000000001</v>
      </c>
    </row>
    <row r="269" spans="1:27" x14ac:dyDescent="0.25">
      <c r="A269" t="s">
        <v>98</v>
      </c>
      <c r="B269" t="s">
        <v>519</v>
      </c>
      <c r="C269" t="s">
        <v>100</v>
      </c>
      <c r="D269" t="s">
        <v>101</v>
      </c>
      <c r="E269" t="s">
        <v>304</v>
      </c>
      <c r="F269" t="s">
        <v>180</v>
      </c>
      <c r="G269" t="s">
        <v>111</v>
      </c>
      <c r="H269" t="s">
        <v>104</v>
      </c>
      <c r="I269">
        <v>2016</v>
      </c>
      <c r="J269" t="s">
        <v>305</v>
      </c>
      <c r="K269" t="s">
        <v>106</v>
      </c>
      <c r="L269" t="s">
        <v>602</v>
      </c>
      <c r="M269" t="s">
        <v>603</v>
      </c>
      <c r="N269">
        <v>0</v>
      </c>
      <c r="O269">
        <v>2020</v>
      </c>
      <c r="P269">
        <v>8291.641707921226</v>
      </c>
      <c r="Q269">
        <v>3.6463116709824002</v>
      </c>
      <c r="R269" t="s">
        <v>109</v>
      </c>
      <c r="S269">
        <v>2273.9805195224212</v>
      </c>
      <c r="T269">
        <v>0.6</v>
      </c>
      <c r="U269" t="s">
        <v>184</v>
      </c>
      <c r="V269">
        <v>0.6</v>
      </c>
      <c r="W269">
        <v>12</v>
      </c>
      <c r="X269">
        <v>18</v>
      </c>
      <c r="Y269">
        <v>16</v>
      </c>
      <c r="Z269">
        <v>8.0981185647948012E-2</v>
      </c>
      <c r="AA269">
        <v>31.536000000000001</v>
      </c>
    </row>
    <row r="270" spans="1:27" x14ac:dyDescent="0.25">
      <c r="A270" t="s">
        <v>98</v>
      </c>
      <c r="B270" t="s">
        <v>519</v>
      </c>
      <c r="C270" t="s">
        <v>100</v>
      </c>
      <c r="D270" t="s">
        <v>101</v>
      </c>
      <c r="E270" t="s">
        <v>304</v>
      </c>
      <c r="F270" t="s">
        <v>180</v>
      </c>
      <c r="G270" t="s">
        <v>111</v>
      </c>
      <c r="H270" t="s">
        <v>104</v>
      </c>
      <c r="I270">
        <v>2020</v>
      </c>
      <c r="J270" t="s">
        <v>308</v>
      </c>
      <c r="K270" t="s">
        <v>106</v>
      </c>
      <c r="L270" t="s">
        <v>602</v>
      </c>
      <c r="M270" t="s">
        <v>603</v>
      </c>
      <c r="N270">
        <v>1</v>
      </c>
      <c r="O270">
        <v>2020</v>
      </c>
      <c r="P270">
        <v>8291.641707921226</v>
      </c>
      <c r="Q270">
        <v>3.6463116709824002</v>
      </c>
      <c r="R270" t="s">
        <v>109</v>
      </c>
      <c r="S270">
        <v>2273.9805195224212</v>
      </c>
      <c r="T270">
        <v>0.7</v>
      </c>
      <c r="U270" t="s">
        <v>184</v>
      </c>
      <c r="V270">
        <v>0.7</v>
      </c>
      <c r="W270">
        <v>12</v>
      </c>
      <c r="X270">
        <v>18</v>
      </c>
      <c r="Y270">
        <v>16</v>
      </c>
      <c r="Z270">
        <v>8.0981185647948012E-2</v>
      </c>
      <c r="AA270">
        <v>31.536000000000001</v>
      </c>
    </row>
    <row r="271" spans="1:27" x14ac:dyDescent="0.25">
      <c r="A271" t="s">
        <v>98</v>
      </c>
      <c r="B271" t="s">
        <v>519</v>
      </c>
      <c r="C271" t="s">
        <v>100</v>
      </c>
      <c r="D271" t="s">
        <v>101</v>
      </c>
      <c r="E271" t="s">
        <v>304</v>
      </c>
      <c r="F271" t="s">
        <v>180</v>
      </c>
      <c r="G271" t="s">
        <v>103</v>
      </c>
      <c r="H271" t="s">
        <v>125</v>
      </c>
      <c r="I271">
        <v>2016</v>
      </c>
      <c r="J271" t="s">
        <v>309</v>
      </c>
      <c r="K271" t="s">
        <v>127</v>
      </c>
      <c r="L271" t="s">
        <v>602</v>
      </c>
      <c r="M271" t="s">
        <v>604</v>
      </c>
      <c r="N271">
        <v>1</v>
      </c>
      <c r="O271">
        <v>2020</v>
      </c>
      <c r="P271">
        <v>2956.9457561336731</v>
      </c>
      <c r="Q271">
        <v>3.6463116709824002</v>
      </c>
      <c r="R271" t="s">
        <v>109</v>
      </c>
      <c r="S271">
        <v>810.94158232968698</v>
      </c>
      <c r="T271">
        <v>4.1031652989449006</v>
      </c>
      <c r="U271" t="s">
        <v>184</v>
      </c>
      <c r="V271">
        <v>4.1031652989449006</v>
      </c>
      <c r="W271">
        <v>9</v>
      </c>
      <c r="X271">
        <v>22</v>
      </c>
      <c r="Y271">
        <v>16</v>
      </c>
      <c r="Z271">
        <v>8.0981185647948012E-2</v>
      </c>
      <c r="AA271">
        <v>31.536000000000001</v>
      </c>
    </row>
    <row r="272" spans="1:27" x14ac:dyDescent="0.25">
      <c r="A272" t="s">
        <v>98</v>
      </c>
      <c r="B272" t="s">
        <v>519</v>
      </c>
      <c r="C272" t="s">
        <v>100</v>
      </c>
      <c r="D272" t="s">
        <v>101</v>
      </c>
      <c r="E272" t="s">
        <v>304</v>
      </c>
      <c r="F272" t="s">
        <v>180</v>
      </c>
      <c r="G272" t="s">
        <v>103</v>
      </c>
      <c r="H272" t="s">
        <v>125</v>
      </c>
      <c r="I272">
        <v>2023</v>
      </c>
      <c r="J272" t="s">
        <v>311</v>
      </c>
      <c r="K272" t="s">
        <v>127</v>
      </c>
      <c r="L272" t="s">
        <v>602</v>
      </c>
      <c r="M272" t="s">
        <v>605</v>
      </c>
      <c r="N272">
        <v>1</v>
      </c>
      <c r="O272">
        <v>2023</v>
      </c>
      <c r="P272">
        <v>2956.9457561336731</v>
      </c>
      <c r="Q272">
        <v>3.6463116709824002</v>
      </c>
      <c r="R272" t="s">
        <v>109</v>
      </c>
      <c r="S272">
        <v>810.94158232968698</v>
      </c>
      <c r="T272">
        <v>4.1031652989449006</v>
      </c>
      <c r="U272" t="s">
        <v>184</v>
      </c>
      <c r="V272">
        <v>4.1031652989449006</v>
      </c>
      <c r="W272">
        <v>9</v>
      </c>
      <c r="X272">
        <v>22</v>
      </c>
      <c r="Y272">
        <v>16</v>
      </c>
      <c r="Z272">
        <v>8.0981185647948012E-2</v>
      </c>
      <c r="AA272">
        <v>31.536000000000001</v>
      </c>
    </row>
    <row r="273" spans="1:27" x14ac:dyDescent="0.25">
      <c r="A273" t="s">
        <v>98</v>
      </c>
      <c r="B273" t="s">
        <v>519</v>
      </c>
      <c r="C273" t="s">
        <v>100</v>
      </c>
      <c r="D273" t="s">
        <v>101</v>
      </c>
      <c r="E273" t="s">
        <v>304</v>
      </c>
      <c r="F273" t="s">
        <v>180</v>
      </c>
      <c r="G273" t="s">
        <v>111</v>
      </c>
      <c r="H273" t="s">
        <v>125</v>
      </c>
      <c r="I273">
        <v>2016</v>
      </c>
      <c r="J273" t="s">
        <v>313</v>
      </c>
      <c r="K273" t="s">
        <v>127</v>
      </c>
      <c r="L273" t="s">
        <v>602</v>
      </c>
      <c r="M273" t="s">
        <v>606</v>
      </c>
      <c r="N273">
        <v>1</v>
      </c>
      <c r="O273">
        <v>2020</v>
      </c>
      <c r="P273">
        <v>3109.3656404704602</v>
      </c>
      <c r="Q273">
        <v>3.6463116709824002</v>
      </c>
      <c r="R273" t="s">
        <v>109</v>
      </c>
      <c r="S273">
        <v>852.7426948209079</v>
      </c>
      <c r="T273">
        <v>4.484173505275499</v>
      </c>
      <c r="U273" t="s">
        <v>184</v>
      </c>
      <c r="V273">
        <v>4.484173505275499</v>
      </c>
      <c r="W273">
        <v>9</v>
      </c>
      <c r="X273">
        <v>22</v>
      </c>
      <c r="Y273">
        <v>16</v>
      </c>
      <c r="Z273">
        <v>8.0981185647948012E-2</v>
      </c>
      <c r="AA273">
        <v>31.536000000000001</v>
      </c>
    </row>
    <row r="274" spans="1:27" x14ac:dyDescent="0.25">
      <c r="A274" t="s">
        <v>98</v>
      </c>
      <c r="B274" t="s">
        <v>519</v>
      </c>
      <c r="C274" t="s">
        <v>100</v>
      </c>
      <c r="D274" t="s">
        <v>101</v>
      </c>
      <c r="E274" t="s">
        <v>304</v>
      </c>
      <c r="F274" t="s">
        <v>180</v>
      </c>
      <c r="G274" t="s">
        <v>111</v>
      </c>
      <c r="H274" t="s">
        <v>125</v>
      </c>
      <c r="I274">
        <v>2023</v>
      </c>
      <c r="J274" t="s">
        <v>315</v>
      </c>
      <c r="K274" t="s">
        <v>127</v>
      </c>
      <c r="L274" t="s">
        <v>602</v>
      </c>
      <c r="M274" t="s">
        <v>607</v>
      </c>
      <c r="N274">
        <v>1</v>
      </c>
      <c r="O274">
        <v>2023</v>
      </c>
      <c r="P274">
        <v>3139.8496173378171</v>
      </c>
      <c r="Q274">
        <v>3.6463116709824002</v>
      </c>
      <c r="R274" t="s">
        <v>109</v>
      </c>
      <c r="S274">
        <v>861.10291731915208</v>
      </c>
      <c r="T274">
        <v>4.6307151230949586</v>
      </c>
      <c r="U274" t="s">
        <v>184</v>
      </c>
      <c r="V274">
        <v>4.6307151230949586</v>
      </c>
      <c r="W274">
        <v>9</v>
      </c>
      <c r="X274">
        <v>22</v>
      </c>
      <c r="Y274">
        <v>16</v>
      </c>
      <c r="Z274">
        <v>8.0981185647948012E-2</v>
      </c>
      <c r="AA274">
        <v>31.536000000000001</v>
      </c>
    </row>
    <row r="275" spans="1:27" x14ac:dyDescent="0.25">
      <c r="A275" t="s">
        <v>98</v>
      </c>
      <c r="B275" t="s">
        <v>519</v>
      </c>
      <c r="C275" t="s">
        <v>100</v>
      </c>
      <c r="D275" t="s">
        <v>101</v>
      </c>
      <c r="E275" t="s">
        <v>304</v>
      </c>
      <c r="F275" t="s">
        <v>180</v>
      </c>
      <c r="G275" t="s">
        <v>114</v>
      </c>
      <c r="H275" t="s">
        <v>125</v>
      </c>
      <c r="I275">
        <v>2016</v>
      </c>
      <c r="J275" t="s">
        <v>317</v>
      </c>
      <c r="K275" t="s">
        <v>127</v>
      </c>
      <c r="L275" t="s">
        <v>602</v>
      </c>
      <c r="M275" t="s">
        <v>608</v>
      </c>
      <c r="N275">
        <v>1</v>
      </c>
      <c r="O275">
        <v>2020</v>
      </c>
      <c r="P275">
        <v>3017.9137098683868</v>
      </c>
      <c r="Q275">
        <v>3.6463116709824002</v>
      </c>
      <c r="R275" t="s">
        <v>109</v>
      </c>
      <c r="S275">
        <v>827.66202732617535</v>
      </c>
      <c r="T275">
        <v>4.3962485345838216</v>
      </c>
      <c r="U275" t="s">
        <v>184</v>
      </c>
      <c r="V275">
        <v>4.3962485345838216</v>
      </c>
      <c r="W275">
        <v>9</v>
      </c>
      <c r="X275">
        <v>22</v>
      </c>
      <c r="Y275">
        <v>16</v>
      </c>
      <c r="Z275">
        <v>8.0981185647948012E-2</v>
      </c>
      <c r="AA275">
        <v>31.536000000000001</v>
      </c>
    </row>
    <row r="276" spans="1:27" x14ac:dyDescent="0.25">
      <c r="A276" t="s">
        <v>98</v>
      </c>
      <c r="B276" t="s">
        <v>519</v>
      </c>
      <c r="C276" t="s">
        <v>100</v>
      </c>
      <c r="D276" t="s">
        <v>101</v>
      </c>
      <c r="E276" t="s">
        <v>304</v>
      </c>
      <c r="F276" t="s">
        <v>180</v>
      </c>
      <c r="G276" t="s">
        <v>114</v>
      </c>
      <c r="H276" t="s">
        <v>125</v>
      </c>
      <c r="I276">
        <v>2022</v>
      </c>
      <c r="J276" t="s">
        <v>319</v>
      </c>
      <c r="K276" t="s">
        <v>127</v>
      </c>
      <c r="L276" t="s">
        <v>602</v>
      </c>
      <c r="M276" t="s">
        <v>609</v>
      </c>
      <c r="N276">
        <v>1</v>
      </c>
      <c r="O276">
        <v>2022</v>
      </c>
      <c r="P276">
        <v>3017.9137098683868</v>
      </c>
      <c r="Q276">
        <v>3.6463116709824002</v>
      </c>
      <c r="R276" t="s">
        <v>109</v>
      </c>
      <c r="S276">
        <v>827.66202732617535</v>
      </c>
      <c r="T276">
        <v>4.3962485345838216</v>
      </c>
      <c r="U276" t="s">
        <v>184</v>
      </c>
      <c r="V276">
        <v>4.3962485345838216</v>
      </c>
      <c r="W276">
        <v>9</v>
      </c>
      <c r="X276">
        <v>22</v>
      </c>
      <c r="Y276">
        <v>16</v>
      </c>
      <c r="Z276">
        <v>8.0981185647948012E-2</v>
      </c>
      <c r="AA276">
        <v>31.536000000000001</v>
      </c>
    </row>
    <row r="277" spans="1:27" x14ac:dyDescent="0.25">
      <c r="A277" t="s">
        <v>98</v>
      </c>
      <c r="B277" t="s">
        <v>519</v>
      </c>
      <c r="C277" t="s">
        <v>100</v>
      </c>
      <c r="D277" t="s">
        <v>101</v>
      </c>
      <c r="E277" t="s">
        <v>304</v>
      </c>
      <c r="F277" t="s">
        <v>180</v>
      </c>
      <c r="G277" t="s">
        <v>114</v>
      </c>
      <c r="H277" t="s">
        <v>125</v>
      </c>
      <c r="I277">
        <v>2023</v>
      </c>
      <c r="J277" t="s">
        <v>321</v>
      </c>
      <c r="K277" t="s">
        <v>127</v>
      </c>
      <c r="L277" t="s">
        <v>602</v>
      </c>
      <c r="M277" t="s">
        <v>610</v>
      </c>
      <c r="N277">
        <v>1</v>
      </c>
      <c r="O277">
        <v>2023</v>
      </c>
      <c r="P277">
        <v>3266.447780092843</v>
      </c>
      <c r="Q277">
        <v>3.6463116709824002</v>
      </c>
      <c r="R277" t="s">
        <v>109</v>
      </c>
      <c r="S277">
        <v>895.82242957656615</v>
      </c>
      <c r="T277">
        <v>4.6893317702227444</v>
      </c>
      <c r="U277" t="s">
        <v>184</v>
      </c>
      <c r="V277">
        <v>4.6893317702227444</v>
      </c>
      <c r="W277">
        <v>9</v>
      </c>
      <c r="X277">
        <v>22</v>
      </c>
      <c r="Y277">
        <v>16</v>
      </c>
      <c r="Z277">
        <v>8.0981185647948012E-2</v>
      </c>
      <c r="AA277">
        <v>31.536000000000001</v>
      </c>
    </row>
    <row r="278" spans="1:27" x14ac:dyDescent="0.25">
      <c r="A278" t="s">
        <v>98</v>
      </c>
      <c r="B278" t="s">
        <v>519</v>
      </c>
      <c r="C278" t="s">
        <v>100</v>
      </c>
      <c r="D278" t="s">
        <v>101</v>
      </c>
      <c r="E278" t="s">
        <v>304</v>
      </c>
      <c r="F278" t="s">
        <v>180</v>
      </c>
      <c r="G278" t="s">
        <v>119</v>
      </c>
      <c r="H278" t="s">
        <v>125</v>
      </c>
      <c r="I278">
        <v>2016</v>
      </c>
      <c r="J278" t="s">
        <v>323</v>
      </c>
      <c r="K278" t="s">
        <v>127</v>
      </c>
      <c r="L278" t="s">
        <v>602</v>
      </c>
      <c r="M278" t="s">
        <v>611</v>
      </c>
      <c r="N278">
        <v>1</v>
      </c>
      <c r="O278">
        <v>2020</v>
      </c>
      <c r="P278">
        <v>3719.0451778176089</v>
      </c>
      <c r="Q278">
        <v>3.6463116709824002</v>
      </c>
      <c r="R278" t="s">
        <v>109</v>
      </c>
      <c r="S278">
        <v>1019.947144785792</v>
      </c>
      <c r="T278">
        <v>5.5685814771395066</v>
      </c>
      <c r="U278" t="s">
        <v>184</v>
      </c>
      <c r="V278">
        <v>5.5685814771395066</v>
      </c>
      <c r="W278">
        <v>9</v>
      </c>
      <c r="X278">
        <v>22</v>
      </c>
      <c r="Y278">
        <v>16</v>
      </c>
      <c r="Z278">
        <v>8.0981185647948012E-2</v>
      </c>
      <c r="AA278">
        <v>31.536000000000001</v>
      </c>
    </row>
    <row r="279" spans="1:27" x14ac:dyDescent="0.25">
      <c r="A279" t="s">
        <v>98</v>
      </c>
      <c r="B279" t="s">
        <v>519</v>
      </c>
      <c r="C279" t="s">
        <v>100</v>
      </c>
      <c r="D279" t="s">
        <v>101</v>
      </c>
      <c r="E279" t="s">
        <v>304</v>
      </c>
      <c r="F279" t="s">
        <v>180</v>
      </c>
      <c r="G279" t="s">
        <v>119</v>
      </c>
      <c r="H279" t="s">
        <v>125</v>
      </c>
      <c r="I279">
        <v>2022</v>
      </c>
      <c r="J279" t="s">
        <v>325</v>
      </c>
      <c r="K279" t="s">
        <v>127</v>
      </c>
      <c r="L279" t="s">
        <v>602</v>
      </c>
      <c r="M279" t="s">
        <v>612</v>
      </c>
      <c r="N279">
        <v>1</v>
      </c>
      <c r="O279">
        <v>2022</v>
      </c>
      <c r="P279">
        <v>3914.784397702746</v>
      </c>
      <c r="Q279">
        <v>3.6463116709824002</v>
      </c>
      <c r="R279" t="s">
        <v>109</v>
      </c>
      <c r="S279">
        <v>1073.6285734587279</v>
      </c>
      <c r="T279">
        <v>5.8616647127784294</v>
      </c>
      <c r="U279" t="s">
        <v>184</v>
      </c>
      <c r="V279">
        <v>5.8616647127784294</v>
      </c>
      <c r="W279">
        <v>9</v>
      </c>
      <c r="X279">
        <v>22</v>
      </c>
      <c r="Y279">
        <v>16</v>
      </c>
      <c r="Z279">
        <v>8.0981185647948012E-2</v>
      </c>
      <c r="AA279">
        <v>31.536000000000001</v>
      </c>
    </row>
    <row r="280" spans="1:27" x14ac:dyDescent="0.25">
      <c r="A280" t="s">
        <v>98</v>
      </c>
      <c r="B280" t="s">
        <v>519</v>
      </c>
      <c r="C280" t="s">
        <v>100</v>
      </c>
      <c r="D280" t="s">
        <v>101</v>
      </c>
      <c r="E280" t="s">
        <v>304</v>
      </c>
      <c r="F280" t="s">
        <v>201</v>
      </c>
      <c r="G280" t="s">
        <v>103</v>
      </c>
      <c r="H280" t="s">
        <v>125</v>
      </c>
      <c r="I280">
        <v>2016</v>
      </c>
      <c r="J280" t="s">
        <v>327</v>
      </c>
      <c r="K280" t="s">
        <v>127</v>
      </c>
      <c r="L280" t="s">
        <v>602</v>
      </c>
      <c r="M280" t="s">
        <v>613</v>
      </c>
      <c r="N280">
        <v>1</v>
      </c>
      <c r="O280">
        <v>2020</v>
      </c>
      <c r="P280">
        <v>9511.0007826155233</v>
      </c>
      <c r="Q280">
        <v>3.6463116709824002</v>
      </c>
      <c r="R280" t="s">
        <v>109</v>
      </c>
      <c r="S280">
        <v>2608.389419452189</v>
      </c>
      <c r="T280">
        <v>14.1</v>
      </c>
      <c r="U280" t="s">
        <v>329</v>
      </c>
      <c r="V280">
        <v>4.1348973607038122</v>
      </c>
      <c r="W280">
        <v>8</v>
      </c>
      <c r="X280">
        <v>20.8</v>
      </c>
      <c r="Y280">
        <v>15</v>
      </c>
      <c r="Z280">
        <v>8.0981185647948012E-2</v>
      </c>
      <c r="AA280">
        <v>31.536000000000001</v>
      </c>
    </row>
    <row r="281" spans="1:27" x14ac:dyDescent="0.25">
      <c r="A281" t="s">
        <v>98</v>
      </c>
      <c r="B281" t="s">
        <v>519</v>
      </c>
      <c r="C281" t="s">
        <v>100</v>
      </c>
      <c r="D281" t="s">
        <v>101</v>
      </c>
      <c r="E281" t="s">
        <v>304</v>
      </c>
      <c r="F281" t="s">
        <v>201</v>
      </c>
      <c r="G281" t="s">
        <v>111</v>
      </c>
      <c r="H281" t="s">
        <v>125</v>
      </c>
      <c r="I281">
        <v>2016</v>
      </c>
      <c r="J281" t="s">
        <v>330</v>
      </c>
      <c r="K281" t="s">
        <v>127</v>
      </c>
      <c r="L281" t="s">
        <v>602</v>
      </c>
      <c r="M281" t="s">
        <v>614</v>
      </c>
      <c r="N281">
        <v>1</v>
      </c>
      <c r="O281">
        <v>2020</v>
      </c>
      <c r="P281">
        <v>9846.3245281564559</v>
      </c>
      <c r="Q281">
        <v>3.6463116709824002</v>
      </c>
      <c r="R281" t="s">
        <v>109</v>
      </c>
      <c r="S281">
        <v>2700.3518669328751</v>
      </c>
      <c r="T281">
        <v>17.3</v>
      </c>
      <c r="U281" t="s">
        <v>329</v>
      </c>
      <c r="V281">
        <v>5.0733137829912023</v>
      </c>
      <c r="W281">
        <v>8</v>
      </c>
      <c r="X281">
        <v>20.8</v>
      </c>
      <c r="Y281">
        <v>15</v>
      </c>
      <c r="Z281">
        <v>8.0981185647948012E-2</v>
      </c>
      <c r="AA281">
        <v>31.536000000000001</v>
      </c>
    </row>
    <row r="282" spans="1:27" x14ac:dyDescent="0.25">
      <c r="A282" t="s">
        <v>98</v>
      </c>
      <c r="B282" t="s">
        <v>519</v>
      </c>
      <c r="C282" t="s">
        <v>100</v>
      </c>
      <c r="D282" t="s">
        <v>101</v>
      </c>
      <c r="E282" t="s">
        <v>304</v>
      </c>
      <c r="F282" t="s">
        <v>201</v>
      </c>
      <c r="G282" t="s">
        <v>114</v>
      </c>
      <c r="H282" t="s">
        <v>125</v>
      </c>
      <c r="I282">
        <v>2016</v>
      </c>
      <c r="J282" t="s">
        <v>332</v>
      </c>
      <c r="K282" t="s">
        <v>127</v>
      </c>
      <c r="L282" t="s">
        <v>602</v>
      </c>
      <c r="M282" t="s">
        <v>615</v>
      </c>
      <c r="N282">
        <v>0</v>
      </c>
      <c r="O282">
        <v>2020</v>
      </c>
      <c r="P282">
        <v>9846.3245281564559</v>
      </c>
      <c r="Q282">
        <v>3.6463116709824002</v>
      </c>
      <c r="R282" t="s">
        <v>109</v>
      </c>
      <c r="S282">
        <v>2700.3518669328751</v>
      </c>
      <c r="T282">
        <v>17.100000000000001</v>
      </c>
      <c r="U282" t="s">
        <v>329</v>
      </c>
      <c r="V282">
        <v>5.0146627565982396</v>
      </c>
      <c r="W282">
        <v>8</v>
      </c>
      <c r="X282">
        <v>20.8</v>
      </c>
      <c r="Y282">
        <v>15</v>
      </c>
      <c r="Z282">
        <v>8.0981185647948012E-2</v>
      </c>
      <c r="AA282">
        <v>31.536000000000001</v>
      </c>
    </row>
    <row r="283" spans="1:27" x14ac:dyDescent="0.25">
      <c r="A283" t="s">
        <v>98</v>
      </c>
      <c r="B283" t="s">
        <v>519</v>
      </c>
      <c r="C283" t="s">
        <v>100</v>
      </c>
      <c r="D283" t="s">
        <v>101</v>
      </c>
      <c r="E283" t="s">
        <v>304</v>
      </c>
      <c r="F283" t="s">
        <v>201</v>
      </c>
      <c r="G283" t="s">
        <v>114</v>
      </c>
      <c r="H283" t="s">
        <v>125</v>
      </c>
      <c r="I283">
        <v>2020</v>
      </c>
      <c r="J283" t="s">
        <v>334</v>
      </c>
      <c r="K283" t="s">
        <v>127</v>
      </c>
      <c r="L283" t="s">
        <v>602</v>
      </c>
      <c r="M283" t="s">
        <v>615</v>
      </c>
      <c r="N283">
        <v>1</v>
      </c>
      <c r="O283">
        <v>2020</v>
      </c>
      <c r="P283">
        <v>9846.3245281564559</v>
      </c>
      <c r="Q283">
        <v>3.6463116709824002</v>
      </c>
      <c r="R283" t="s">
        <v>109</v>
      </c>
      <c r="S283">
        <v>2700.3518669328751</v>
      </c>
      <c r="T283">
        <v>17.100000000000001</v>
      </c>
      <c r="U283" t="s">
        <v>329</v>
      </c>
      <c r="V283">
        <v>5.0146627565982396</v>
      </c>
      <c r="W283">
        <v>8</v>
      </c>
      <c r="X283">
        <v>20.8</v>
      </c>
      <c r="Y283">
        <v>15</v>
      </c>
      <c r="Z283">
        <v>8.0981185647948012E-2</v>
      </c>
      <c r="AA283">
        <v>31.536000000000001</v>
      </c>
    </row>
    <row r="284" spans="1:27" x14ac:dyDescent="0.25">
      <c r="A284" t="s">
        <v>98</v>
      </c>
      <c r="B284" t="s">
        <v>519</v>
      </c>
      <c r="C284" t="s">
        <v>100</v>
      </c>
      <c r="D284" t="s">
        <v>101</v>
      </c>
      <c r="E284" t="s">
        <v>304</v>
      </c>
      <c r="F284" t="s">
        <v>201</v>
      </c>
      <c r="G284" t="s">
        <v>114</v>
      </c>
      <c r="H284" t="s">
        <v>125</v>
      </c>
      <c r="I284">
        <v>2022</v>
      </c>
      <c r="J284" t="s">
        <v>335</v>
      </c>
      <c r="K284" t="s">
        <v>127</v>
      </c>
      <c r="L284" t="s">
        <v>602</v>
      </c>
      <c r="M284" t="s">
        <v>616</v>
      </c>
      <c r="N284">
        <v>1</v>
      </c>
      <c r="O284">
        <v>2022</v>
      </c>
      <c r="P284">
        <v>9846.3245281564559</v>
      </c>
      <c r="Q284">
        <v>3.6463116709824002</v>
      </c>
      <c r="R284" t="s">
        <v>109</v>
      </c>
      <c r="S284">
        <v>2700.3518669328751</v>
      </c>
      <c r="T284">
        <v>17.100000000000001</v>
      </c>
      <c r="U284" t="s">
        <v>329</v>
      </c>
      <c r="V284">
        <v>5.0146627565982396</v>
      </c>
      <c r="W284">
        <v>8</v>
      </c>
      <c r="X284">
        <v>20.8</v>
      </c>
      <c r="Y284">
        <v>15</v>
      </c>
      <c r="Z284">
        <v>8.0981185647948012E-2</v>
      </c>
      <c r="AA284">
        <v>31.536000000000001</v>
      </c>
    </row>
    <row r="285" spans="1:27" x14ac:dyDescent="0.25">
      <c r="A285" t="s">
        <v>98</v>
      </c>
      <c r="B285" t="s">
        <v>519</v>
      </c>
      <c r="C285" t="s">
        <v>100</v>
      </c>
      <c r="D285" t="s">
        <v>101</v>
      </c>
      <c r="E285" t="s">
        <v>304</v>
      </c>
      <c r="F285" t="s">
        <v>201</v>
      </c>
      <c r="G285" t="s">
        <v>114</v>
      </c>
      <c r="H285" t="s">
        <v>125</v>
      </c>
      <c r="I285">
        <v>2023</v>
      </c>
      <c r="J285" t="s">
        <v>337</v>
      </c>
      <c r="K285" t="s">
        <v>127</v>
      </c>
      <c r="L285" t="s">
        <v>602</v>
      </c>
      <c r="M285" t="s">
        <v>617</v>
      </c>
      <c r="N285">
        <v>1</v>
      </c>
      <c r="O285">
        <v>2023</v>
      </c>
      <c r="P285">
        <v>9846.3245281564559</v>
      </c>
      <c r="Q285">
        <v>3.6463116709824002</v>
      </c>
      <c r="R285" t="s">
        <v>109</v>
      </c>
      <c r="S285">
        <v>2700.3518669328751</v>
      </c>
      <c r="T285">
        <v>17.100000000000001</v>
      </c>
      <c r="U285" t="s">
        <v>329</v>
      </c>
      <c r="V285">
        <v>5.0146627565982396</v>
      </c>
      <c r="W285">
        <v>8</v>
      </c>
      <c r="X285">
        <v>20.8</v>
      </c>
      <c r="Y285">
        <v>15</v>
      </c>
      <c r="Z285">
        <v>8.0981185647948012E-2</v>
      </c>
      <c r="AA285">
        <v>31.536000000000001</v>
      </c>
    </row>
    <row r="286" spans="1:27" x14ac:dyDescent="0.25">
      <c r="A286" t="s">
        <v>98</v>
      </c>
      <c r="B286" t="s">
        <v>519</v>
      </c>
      <c r="C286" t="s">
        <v>100</v>
      </c>
      <c r="D286" t="s">
        <v>101</v>
      </c>
      <c r="E286" t="s">
        <v>304</v>
      </c>
      <c r="F286" t="s">
        <v>201</v>
      </c>
      <c r="G286" t="s">
        <v>114</v>
      </c>
      <c r="H286" t="s">
        <v>125</v>
      </c>
      <c r="I286">
        <v>2024</v>
      </c>
      <c r="J286" t="s">
        <v>339</v>
      </c>
      <c r="K286" t="s">
        <v>127</v>
      </c>
      <c r="L286" t="s">
        <v>602</v>
      </c>
      <c r="M286" t="s">
        <v>618</v>
      </c>
      <c r="N286">
        <v>1</v>
      </c>
      <c r="O286">
        <v>2024</v>
      </c>
      <c r="P286">
        <v>9846.3245281564559</v>
      </c>
      <c r="Q286">
        <v>3.6463116709824002</v>
      </c>
      <c r="R286" t="s">
        <v>109</v>
      </c>
      <c r="S286">
        <v>2700.3518669328751</v>
      </c>
      <c r="T286">
        <v>17.100000000000001</v>
      </c>
      <c r="U286" t="s">
        <v>329</v>
      </c>
      <c r="V286">
        <v>5.0146627565982396</v>
      </c>
      <c r="W286">
        <v>8</v>
      </c>
      <c r="X286">
        <v>20.8</v>
      </c>
      <c r="Y286">
        <v>15</v>
      </c>
      <c r="Z286">
        <v>8.0981185647948012E-2</v>
      </c>
      <c r="AA286">
        <v>31.536000000000001</v>
      </c>
    </row>
    <row r="287" spans="1:27" x14ac:dyDescent="0.25">
      <c r="A287" t="s">
        <v>98</v>
      </c>
      <c r="B287" t="s">
        <v>519</v>
      </c>
      <c r="C287" t="s">
        <v>100</v>
      </c>
      <c r="D287" t="s">
        <v>101</v>
      </c>
      <c r="E287" t="s">
        <v>304</v>
      </c>
      <c r="F287" t="s">
        <v>201</v>
      </c>
      <c r="G287" t="s">
        <v>119</v>
      </c>
      <c r="H287" t="s">
        <v>125</v>
      </c>
      <c r="I287">
        <v>2016</v>
      </c>
      <c r="J287" t="s">
        <v>341</v>
      </c>
      <c r="K287" t="s">
        <v>127</v>
      </c>
      <c r="L287" t="s">
        <v>602</v>
      </c>
      <c r="M287" t="s">
        <v>619</v>
      </c>
      <c r="N287">
        <v>0</v>
      </c>
      <c r="O287">
        <v>2020</v>
      </c>
      <c r="P287">
        <v>10395.03611176889</v>
      </c>
      <c r="Q287">
        <v>3.6463116709824002</v>
      </c>
      <c r="R287" t="s">
        <v>109</v>
      </c>
      <c r="S287">
        <v>2850.8358719012708</v>
      </c>
      <c r="T287">
        <v>22.4</v>
      </c>
      <c r="U287" t="s">
        <v>329</v>
      </c>
      <c r="V287">
        <v>6.5689149560117297</v>
      </c>
      <c r="W287">
        <v>8</v>
      </c>
      <c r="X287">
        <v>20.8</v>
      </c>
      <c r="Y287">
        <v>15</v>
      </c>
      <c r="Z287">
        <v>8.0981185647948012E-2</v>
      </c>
      <c r="AA287">
        <v>31.536000000000001</v>
      </c>
    </row>
    <row r="288" spans="1:27" x14ac:dyDescent="0.25">
      <c r="A288" t="s">
        <v>98</v>
      </c>
      <c r="B288" t="s">
        <v>519</v>
      </c>
      <c r="C288" t="s">
        <v>100</v>
      </c>
      <c r="D288" t="s">
        <v>101</v>
      </c>
      <c r="E288" t="s">
        <v>304</v>
      </c>
      <c r="F288" t="s">
        <v>201</v>
      </c>
      <c r="G288" t="s">
        <v>119</v>
      </c>
      <c r="H288" t="s">
        <v>125</v>
      </c>
      <c r="I288">
        <v>2020</v>
      </c>
      <c r="J288" t="s">
        <v>343</v>
      </c>
      <c r="K288" t="s">
        <v>127</v>
      </c>
      <c r="L288" t="s">
        <v>602</v>
      </c>
      <c r="M288" t="s">
        <v>619</v>
      </c>
      <c r="N288">
        <v>1</v>
      </c>
      <c r="O288">
        <v>2020</v>
      </c>
      <c r="P288">
        <v>10395.03611176889</v>
      </c>
      <c r="Q288">
        <v>3.6463116709824002</v>
      </c>
      <c r="R288" t="s">
        <v>109</v>
      </c>
      <c r="S288">
        <v>2850.8358719012708</v>
      </c>
      <c r="T288">
        <v>22.4</v>
      </c>
      <c r="U288" t="s">
        <v>329</v>
      </c>
      <c r="V288">
        <v>6.5689149560117297</v>
      </c>
      <c r="W288">
        <v>8</v>
      </c>
      <c r="X288">
        <v>20.8</v>
      </c>
      <c r="Y288">
        <v>15</v>
      </c>
      <c r="Z288">
        <v>8.0981185647948012E-2</v>
      </c>
      <c r="AA288">
        <v>31.536000000000001</v>
      </c>
    </row>
    <row r="289" spans="1:27" x14ac:dyDescent="0.25">
      <c r="A289" t="s">
        <v>98</v>
      </c>
      <c r="B289" t="s">
        <v>519</v>
      </c>
      <c r="C289" t="s">
        <v>100</v>
      </c>
      <c r="D289" t="s">
        <v>101</v>
      </c>
      <c r="E289" t="s">
        <v>304</v>
      </c>
      <c r="F289" t="s">
        <v>201</v>
      </c>
      <c r="G289" t="s">
        <v>119</v>
      </c>
      <c r="H289" t="s">
        <v>125</v>
      </c>
      <c r="I289">
        <v>2022</v>
      </c>
      <c r="J289" t="s">
        <v>344</v>
      </c>
      <c r="K289" t="s">
        <v>127</v>
      </c>
      <c r="L289" t="s">
        <v>602</v>
      </c>
      <c r="M289" t="s">
        <v>620</v>
      </c>
      <c r="N289">
        <v>1</v>
      </c>
      <c r="O289">
        <v>2022</v>
      </c>
      <c r="P289">
        <v>10395.03611176889</v>
      </c>
      <c r="Q289">
        <v>3.6463116709824002</v>
      </c>
      <c r="R289" t="s">
        <v>109</v>
      </c>
      <c r="S289">
        <v>2850.8358719012708</v>
      </c>
      <c r="T289">
        <v>22.4</v>
      </c>
      <c r="U289" t="s">
        <v>329</v>
      </c>
      <c r="V289">
        <v>6.5689149560117297</v>
      </c>
      <c r="W289">
        <v>8</v>
      </c>
      <c r="X289">
        <v>20.8</v>
      </c>
      <c r="Y289">
        <v>15</v>
      </c>
      <c r="Z289">
        <v>8.0981185647948012E-2</v>
      </c>
      <c r="AA289">
        <v>31.536000000000001</v>
      </c>
    </row>
    <row r="290" spans="1:27" x14ac:dyDescent="0.25">
      <c r="A290" t="s">
        <v>98</v>
      </c>
      <c r="B290" t="s">
        <v>519</v>
      </c>
      <c r="C290" t="s">
        <v>100</v>
      </c>
      <c r="D290" t="s">
        <v>101</v>
      </c>
      <c r="E290" t="s">
        <v>304</v>
      </c>
      <c r="F290" t="s">
        <v>201</v>
      </c>
      <c r="G290" t="s">
        <v>119</v>
      </c>
      <c r="H290" t="s">
        <v>125</v>
      </c>
      <c r="I290">
        <v>2023</v>
      </c>
      <c r="J290" t="s">
        <v>346</v>
      </c>
      <c r="K290" t="s">
        <v>127</v>
      </c>
      <c r="L290" t="s">
        <v>602</v>
      </c>
      <c r="M290" t="s">
        <v>621</v>
      </c>
      <c r="N290">
        <v>1</v>
      </c>
      <c r="O290">
        <v>2023</v>
      </c>
      <c r="P290">
        <v>10395.03611176889</v>
      </c>
      <c r="Q290">
        <v>3.6463116709824002</v>
      </c>
      <c r="R290" t="s">
        <v>109</v>
      </c>
      <c r="S290">
        <v>2850.8358719012708</v>
      </c>
      <c r="T290">
        <v>22.4</v>
      </c>
      <c r="U290" t="s">
        <v>329</v>
      </c>
      <c r="V290">
        <v>6.5689149560117297</v>
      </c>
      <c r="W290">
        <v>8</v>
      </c>
      <c r="X290">
        <v>20.8</v>
      </c>
      <c r="Y290">
        <v>15</v>
      </c>
      <c r="Z290">
        <v>8.0981185647948012E-2</v>
      </c>
      <c r="AA290">
        <v>31.536000000000001</v>
      </c>
    </row>
    <row r="291" spans="1:27" x14ac:dyDescent="0.25">
      <c r="A291" t="s">
        <v>98</v>
      </c>
      <c r="B291" t="s">
        <v>519</v>
      </c>
      <c r="C291" t="s">
        <v>100</v>
      </c>
      <c r="D291" t="s">
        <v>101</v>
      </c>
      <c r="E291" t="s">
        <v>304</v>
      </c>
      <c r="F291" t="s">
        <v>201</v>
      </c>
      <c r="G291" t="s">
        <v>119</v>
      </c>
      <c r="H291" t="s">
        <v>125</v>
      </c>
      <c r="I291">
        <v>2024</v>
      </c>
      <c r="J291" t="s">
        <v>348</v>
      </c>
      <c r="K291" t="s">
        <v>127</v>
      </c>
      <c r="L291" t="s">
        <v>602</v>
      </c>
      <c r="M291" t="s">
        <v>622</v>
      </c>
      <c r="N291">
        <v>1</v>
      </c>
      <c r="O291">
        <v>2024</v>
      </c>
      <c r="P291">
        <v>10395.03611176889</v>
      </c>
      <c r="Q291">
        <v>3.6463116709824002</v>
      </c>
      <c r="R291" t="s">
        <v>109</v>
      </c>
      <c r="S291">
        <v>2850.8358719012708</v>
      </c>
      <c r="T291">
        <v>22.4</v>
      </c>
      <c r="U291" t="s">
        <v>329</v>
      </c>
      <c r="V291">
        <v>6.5689149560117297</v>
      </c>
      <c r="W291">
        <v>8</v>
      </c>
      <c r="X291">
        <v>20.8</v>
      </c>
      <c r="Y291">
        <v>15</v>
      </c>
      <c r="Z291">
        <v>8.0981185647948012E-2</v>
      </c>
      <c r="AA291">
        <v>31.536000000000001</v>
      </c>
    </row>
    <row r="292" spans="1:27" x14ac:dyDescent="0.25">
      <c r="A292" t="s">
        <v>98</v>
      </c>
      <c r="B292" t="s">
        <v>519</v>
      </c>
      <c r="C292" t="s">
        <v>100</v>
      </c>
      <c r="D292" t="s">
        <v>101</v>
      </c>
      <c r="E292" t="s">
        <v>304</v>
      </c>
      <c r="F292" t="s">
        <v>350</v>
      </c>
      <c r="G292" t="s">
        <v>103</v>
      </c>
      <c r="H292" t="s">
        <v>125</v>
      </c>
      <c r="I292">
        <v>2016</v>
      </c>
      <c r="J292" t="s">
        <v>351</v>
      </c>
      <c r="K292" t="s">
        <v>127</v>
      </c>
      <c r="L292" t="s">
        <v>602</v>
      </c>
      <c r="M292" t="s">
        <v>623</v>
      </c>
      <c r="N292">
        <v>1</v>
      </c>
      <c r="O292">
        <v>2020</v>
      </c>
      <c r="P292">
        <v>756.00262631046473</v>
      </c>
      <c r="Q292">
        <v>3.6463116709824002</v>
      </c>
      <c r="R292" t="s">
        <v>109</v>
      </c>
      <c r="S292">
        <v>207.33351795645609</v>
      </c>
      <c r="T292">
        <v>3.1946072684642441</v>
      </c>
      <c r="U292" t="s">
        <v>184</v>
      </c>
      <c r="V292">
        <v>3.1946072684642441</v>
      </c>
      <c r="W292">
        <v>6</v>
      </c>
      <c r="X292">
        <v>13</v>
      </c>
      <c r="Y292">
        <v>10</v>
      </c>
      <c r="Z292">
        <v>8.0981185647948012E-2</v>
      </c>
      <c r="AA292">
        <v>31.536000000000001</v>
      </c>
    </row>
    <row r="293" spans="1:27" x14ac:dyDescent="0.25">
      <c r="A293" t="s">
        <v>98</v>
      </c>
      <c r="B293" t="s">
        <v>519</v>
      </c>
      <c r="C293" t="s">
        <v>100</v>
      </c>
      <c r="D293" t="s">
        <v>101</v>
      </c>
      <c r="E293" t="s">
        <v>304</v>
      </c>
      <c r="F293" t="s">
        <v>350</v>
      </c>
      <c r="G293" t="s">
        <v>111</v>
      </c>
      <c r="H293" t="s">
        <v>125</v>
      </c>
      <c r="I293">
        <v>2016</v>
      </c>
      <c r="J293" t="s">
        <v>353</v>
      </c>
      <c r="K293" t="s">
        <v>127</v>
      </c>
      <c r="L293" t="s">
        <v>602</v>
      </c>
      <c r="M293" t="s">
        <v>624</v>
      </c>
      <c r="N293">
        <v>1</v>
      </c>
      <c r="O293">
        <v>2020</v>
      </c>
      <c r="P293">
        <v>780.38980780435065</v>
      </c>
      <c r="Q293">
        <v>3.6463116709824002</v>
      </c>
      <c r="R293" t="s">
        <v>109</v>
      </c>
      <c r="S293">
        <v>214.0216959550514</v>
      </c>
      <c r="T293">
        <v>3.5169988276670581</v>
      </c>
      <c r="U293" t="s">
        <v>184</v>
      </c>
      <c r="V293">
        <v>3.5169988276670581</v>
      </c>
      <c r="W293">
        <v>6</v>
      </c>
      <c r="X293">
        <v>13</v>
      </c>
      <c r="Y293">
        <v>10</v>
      </c>
      <c r="Z293">
        <v>8.0981185647948012E-2</v>
      </c>
      <c r="AA293">
        <v>31.536000000000001</v>
      </c>
    </row>
    <row r="294" spans="1:27" x14ac:dyDescent="0.25">
      <c r="A294" t="s">
        <v>98</v>
      </c>
      <c r="B294" t="s">
        <v>519</v>
      </c>
      <c r="C294" t="s">
        <v>100</v>
      </c>
      <c r="D294" t="s">
        <v>101</v>
      </c>
      <c r="E294" t="s">
        <v>304</v>
      </c>
      <c r="F294" t="s">
        <v>350</v>
      </c>
      <c r="G294" t="s">
        <v>111</v>
      </c>
      <c r="H294" t="s">
        <v>125</v>
      </c>
      <c r="I294">
        <v>2030</v>
      </c>
      <c r="J294" t="s">
        <v>355</v>
      </c>
      <c r="K294" t="s">
        <v>127</v>
      </c>
      <c r="L294" t="s">
        <v>602</v>
      </c>
      <c r="M294" t="s">
        <v>625</v>
      </c>
      <c r="N294">
        <v>1</v>
      </c>
      <c r="O294">
        <v>2030</v>
      </c>
      <c r="P294">
        <v>780.38980780435065</v>
      </c>
      <c r="Q294">
        <v>3.6463116709824002</v>
      </c>
      <c r="R294" t="s">
        <v>109</v>
      </c>
      <c r="S294">
        <v>214.0216959550514</v>
      </c>
      <c r="T294">
        <v>3.5902696365767879</v>
      </c>
      <c r="U294" t="s">
        <v>184</v>
      </c>
      <c r="V294">
        <v>3.5902696365767879</v>
      </c>
      <c r="W294">
        <v>6</v>
      </c>
      <c r="X294">
        <v>13</v>
      </c>
      <c r="Y294">
        <v>10</v>
      </c>
      <c r="Z294">
        <v>8.0981185647948012E-2</v>
      </c>
      <c r="AA294">
        <v>31.536000000000001</v>
      </c>
    </row>
    <row r="295" spans="1:27" x14ac:dyDescent="0.25">
      <c r="A295" t="s">
        <v>98</v>
      </c>
      <c r="B295" t="s">
        <v>519</v>
      </c>
      <c r="C295" t="s">
        <v>100</v>
      </c>
      <c r="D295" t="s">
        <v>101</v>
      </c>
      <c r="E295" t="s">
        <v>304</v>
      </c>
      <c r="F295" t="s">
        <v>350</v>
      </c>
      <c r="G295" t="s">
        <v>111</v>
      </c>
      <c r="H295" t="s">
        <v>125</v>
      </c>
      <c r="I295">
        <v>2040</v>
      </c>
      <c r="J295" t="s">
        <v>357</v>
      </c>
      <c r="K295" t="s">
        <v>127</v>
      </c>
      <c r="L295" t="s">
        <v>602</v>
      </c>
      <c r="M295" t="s">
        <v>626</v>
      </c>
      <c r="N295">
        <v>1</v>
      </c>
      <c r="O295">
        <v>2040</v>
      </c>
      <c r="P295">
        <v>780.38980780435065</v>
      </c>
      <c r="Q295">
        <v>3.6463116709824002</v>
      </c>
      <c r="R295" t="s">
        <v>109</v>
      </c>
      <c r="S295">
        <v>214.0216959550514</v>
      </c>
      <c r="T295">
        <v>3.6635404454865181</v>
      </c>
      <c r="U295" t="s">
        <v>184</v>
      </c>
      <c r="V295">
        <v>3.6635404454865181</v>
      </c>
      <c r="W295">
        <v>6</v>
      </c>
      <c r="X295">
        <v>13</v>
      </c>
      <c r="Y295">
        <v>10</v>
      </c>
      <c r="Z295">
        <v>8.0981185647948012E-2</v>
      </c>
      <c r="AA295">
        <v>31.536000000000001</v>
      </c>
    </row>
    <row r="296" spans="1:27" x14ac:dyDescent="0.25">
      <c r="A296" t="s">
        <v>98</v>
      </c>
      <c r="B296" t="s">
        <v>519</v>
      </c>
      <c r="C296" t="s">
        <v>100</v>
      </c>
      <c r="D296" t="s">
        <v>101</v>
      </c>
      <c r="E296" t="s">
        <v>304</v>
      </c>
      <c r="F296" t="s">
        <v>350</v>
      </c>
      <c r="G296" t="s">
        <v>114</v>
      </c>
      <c r="H296" t="s">
        <v>125</v>
      </c>
      <c r="I296">
        <v>2016</v>
      </c>
      <c r="J296" t="s">
        <v>359</v>
      </c>
      <c r="K296" t="s">
        <v>127</v>
      </c>
      <c r="L296" t="s">
        <v>602</v>
      </c>
      <c r="M296" t="s">
        <v>627</v>
      </c>
      <c r="N296">
        <v>1</v>
      </c>
      <c r="O296">
        <v>2020</v>
      </c>
      <c r="P296">
        <v>780.38980780435065</v>
      </c>
      <c r="Q296">
        <v>3.6463116709824002</v>
      </c>
      <c r="R296" t="s">
        <v>109</v>
      </c>
      <c r="S296">
        <v>214.0216959550514</v>
      </c>
      <c r="T296">
        <v>3.5169988276670581</v>
      </c>
      <c r="U296" t="s">
        <v>184</v>
      </c>
      <c r="V296">
        <v>3.5169988276670581</v>
      </c>
      <c r="W296">
        <v>6</v>
      </c>
      <c r="X296">
        <v>13</v>
      </c>
      <c r="Y296">
        <v>10</v>
      </c>
      <c r="Z296">
        <v>8.0981185647948012E-2</v>
      </c>
      <c r="AA296">
        <v>31.536000000000001</v>
      </c>
    </row>
    <row r="297" spans="1:27" x14ac:dyDescent="0.25">
      <c r="A297" t="s">
        <v>98</v>
      </c>
      <c r="B297" t="s">
        <v>519</v>
      </c>
      <c r="C297" t="s">
        <v>100</v>
      </c>
      <c r="D297" t="s">
        <v>101</v>
      </c>
      <c r="E297" t="s">
        <v>304</v>
      </c>
      <c r="F297" t="s">
        <v>350</v>
      </c>
      <c r="G297" t="s">
        <v>119</v>
      </c>
      <c r="H297" t="s">
        <v>125</v>
      </c>
      <c r="I297">
        <v>2016</v>
      </c>
      <c r="J297" t="s">
        <v>361</v>
      </c>
      <c r="K297" t="s">
        <v>127</v>
      </c>
      <c r="L297" t="s">
        <v>602</v>
      </c>
      <c r="M297" t="s">
        <v>628</v>
      </c>
      <c r="N297">
        <v>1</v>
      </c>
      <c r="O297">
        <v>2020</v>
      </c>
      <c r="P297">
        <v>859.64814765948006</v>
      </c>
      <c r="Q297">
        <v>3.6463116709824002</v>
      </c>
      <c r="R297" t="s">
        <v>109</v>
      </c>
      <c r="S297">
        <v>235.75827445048631</v>
      </c>
      <c r="T297">
        <v>3.6049237983587341</v>
      </c>
      <c r="U297" t="s">
        <v>184</v>
      </c>
      <c r="V297">
        <v>3.6049237983587341</v>
      </c>
      <c r="W297">
        <v>6</v>
      </c>
      <c r="X297">
        <v>13</v>
      </c>
      <c r="Y297">
        <v>10</v>
      </c>
      <c r="Z297">
        <v>8.0981185647948012E-2</v>
      </c>
      <c r="AA297">
        <v>31.536000000000001</v>
      </c>
    </row>
    <row r="298" spans="1:27" x14ac:dyDescent="0.25">
      <c r="A298" t="s">
        <v>98</v>
      </c>
      <c r="B298" t="s">
        <v>519</v>
      </c>
      <c r="C298" t="s">
        <v>100</v>
      </c>
      <c r="D298" t="s">
        <v>101</v>
      </c>
      <c r="E298" t="s">
        <v>304</v>
      </c>
      <c r="F298" t="s">
        <v>350</v>
      </c>
      <c r="G298" t="s">
        <v>119</v>
      </c>
      <c r="H298" t="s">
        <v>125</v>
      </c>
      <c r="I298">
        <v>2022</v>
      </c>
      <c r="J298" t="s">
        <v>363</v>
      </c>
      <c r="K298" t="s">
        <v>127</v>
      </c>
      <c r="L298" t="s">
        <v>602</v>
      </c>
      <c r="M298" t="s">
        <v>629</v>
      </c>
      <c r="N298">
        <v>1</v>
      </c>
      <c r="O298">
        <v>2022</v>
      </c>
      <c r="P298">
        <v>859.64814765948006</v>
      </c>
      <c r="Q298">
        <v>3.6463116709824002</v>
      </c>
      <c r="R298" t="s">
        <v>109</v>
      </c>
      <c r="S298">
        <v>235.75827445048631</v>
      </c>
      <c r="T298">
        <v>3.6635404454865181</v>
      </c>
      <c r="U298" t="s">
        <v>184</v>
      </c>
      <c r="V298">
        <v>3.6635404454865181</v>
      </c>
      <c r="W298">
        <v>6</v>
      </c>
      <c r="X298">
        <v>13</v>
      </c>
      <c r="Y298">
        <v>10</v>
      </c>
      <c r="Z298">
        <v>8.0981185647948012E-2</v>
      </c>
      <c r="AA298">
        <v>31.536000000000001</v>
      </c>
    </row>
    <row r="299" spans="1:27" x14ac:dyDescent="0.25">
      <c r="A299" t="s">
        <v>98</v>
      </c>
      <c r="B299" t="s">
        <v>519</v>
      </c>
      <c r="C299" t="s">
        <v>100</v>
      </c>
      <c r="D299" t="s">
        <v>101</v>
      </c>
      <c r="E299" t="s">
        <v>304</v>
      </c>
      <c r="F299" t="s">
        <v>350</v>
      </c>
      <c r="G299" t="s">
        <v>119</v>
      </c>
      <c r="H299" t="s">
        <v>125</v>
      </c>
      <c r="I299">
        <v>2030</v>
      </c>
      <c r="J299" t="s">
        <v>365</v>
      </c>
      <c r="K299" t="s">
        <v>127</v>
      </c>
      <c r="L299" t="s">
        <v>602</v>
      </c>
      <c r="M299" t="s">
        <v>630</v>
      </c>
      <c r="N299">
        <v>1</v>
      </c>
      <c r="O299">
        <v>2030</v>
      </c>
      <c r="P299">
        <v>859.64814765948006</v>
      </c>
      <c r="Q299">
        <v>3.6463116709824002</v>
      </c>
      <c r="R299" t="s">
        <v>109</v>
      </c>
      <c r="S299">
        <v>235.75827445048631</v>
      </c>
      <c r="T299">
        <v>3.8100820633059791</v>
      </c>
      <c r="U299" t="s">
        <v>184</v>
      </c>
      <c r="V299">
        <v>3.8100820633059791</v>
      </c>
      <c r="W299">
        <v>6</v>
      </c>
      <c r="X299">
        <v>13</v>
      </c>
      <c r="Y299">
        <v>10</v>
      </c>
      <c r="Z299">
        <v>8.0981185647948012E-2</v>
      </c>
      <c r="AA299">
        <v>31.536000000000001</v>
      </c>
    </row>
    <row r="300" spans="1:27" x14ac:dyDescent="0.25">
      <c r="A300" t="s">
        <v>98</v>
      </c>
      <c r="B300" t="s">
        <v>519</v>
      </c>
      <c r="C300" t="s">
        <v>100</v>
      </c>
      <c r="D300" t="s">
        <v>101</v>
      </c>
      <c r="E300" t="s">
        <v>304</v>
      </c>
      <c r="F300" t="s">
        <v>350</v>
      </c>
      <c r="G300" t="s">
        <v>119</v>
      </c>
      <c r="H300" t="s">
        <v>125</v>
      </c>
      <c r="I300">
        <v>2040</v>
      </c>
      <c r="J300" t="s">
        <v>367</v>
      </c>
      <c r="K300" t="s">
        <v>127</v>
      </c>
      <c r="L300" t="s">
        <v>602</v>
      </c>
      <c r="M300" t="s">
        <v>631</v>
      </c>
      <c r="N300">
        <v>1</v>
      </c>
      <c r="O300">
        <v>2040</v>
      </c>
      <c r="P300">
        <v>859.64814765948006</v>
      </c>
      <c r="Q300">
        <v>3.6463116709824002</v>
      </c>
      <c r="R300" t="s">
        <v>109</v>
      </c>
      <c r="S300">
        <v>235.75827445048631</v>
      </c>
      <c r="T300">
        <v>3.9566236811254401</v>
      </c>
      <c r="U300" t="s">
        <v>184</v>
      </c>
      <c r="V300">
        <v>3.9566236811254401</v>
      </c>
      <c r="W300">
        <v>6</v>
      </c>
      <c r="X300">
        <v>13</v>
      </c>
      <c r="Y300">
        <v>10</v>
      </c>
      <c r="Z300">
        <v>8.0981185647948012E-2</v>
      </c>
      <c r="AA300">
        <v>31.536000000000001</v>
      </c>
    </row>
    <row r="301" spans="1:27" x14ac:dyDescent="0.25">
      <c r="A301" t="s">
        <v>98</v>
      </c>
      <c r="B301" t="s">
        <v>519</v>
      </c>
      <c r="C301" t="s">
        <v>100</v>
      </c>
      <c r="D301" t="s">
        <v>101</v>
      </c>
      <c r="E301" t="s">
        <v>304</v>
      </c>
      <c r="F301" t="s">
        <v>369</v>
      </c>
      <c r="G301" t="s">
        <v>103</v>
      </c>
      <c r="H301" t="s">
        <v>125</v>
      </c>
      <c r="I301">
        <v>2016</v>
      </c>
      <c r="J301" t="s">
        <v>370</v>
      </c>
      <c r="K301" t="s">
        <v>127</v>
      </c>
      <c r="L301" t="s">
        <v>602</v>
      </c>
      <c r="M301" t="s">
        <v>632</v>
      </c>
      <c r="N301">
        <v>1</v>
      </c>
      <c r="O301">
        <v>2020</v>
      </c>
      <c r="P301">
        <v>4328.724715164758</v>
      </c>
      <c r="Q301">
        <v>3.6463116709824002</v>
      </c>
      <c r="R301" t="s">
        <v>109</v>
      </c>
      <c r="S301">
        <v>1187.1515947506759</v>
      </c>
      <c r="T301">
        <v>3.8100820633059791</v>
      </c>
      <c r="U301" t="s">
        <v>184</v>
      </c>
      <c r="V301">
        <v>3.8100820633059791</v>
      </c>
      <c r="W301">
        <v>11</v>
      </c>
      <c r="X301">
        <v>25</v>
      </c>
      <c r="Y301">
        <v>19</v>
      </c>
      <c r="Z301">
        <v>8.0981185647948012E-2</v>
      </c>
      <c r="AA301">
        <v>31.536000000000001</v>
      </c>
    </row>
    <row r="302" spans="1:27" x14ac:dyDescent="0.25">
      <c r="A302" t="s">
        <v>98</v>
      </c>
      <c r="B302" t="s">
        <v>519</v>
      </c>
      <c r="C302" t="s">
        <v>100</v>
      </c>
      <c r="D302" t="s">
        <v>101</v>
      </c>
      <c r="E302" t="s">
        <v>304</v>
      </c>
      <c r="F302" t="s">
        <v>369</v>
      </c>
      <c r="G302" t="s">
        <v>103</v>
      </c>
      <c r="H302" t="s">
        <v>125</v>
      </c>
      <c r="I302">
        <v>2023</v>
      </c>
      <c r="J302" t="s">
        <v>372</v>
      </c>
      <c r="K302" t="s">
        <v>127</v>
      </c>
      <c r="L302" t="s">
        <v>602</v>
      </c>
      <c r="M302" t="s">
        <v>633</v>
      </c>
      <c r="N302">
        <v>1</v>
      </c>
      <c r="O302">
        <v>2023</v>
      </c>
      <c r="P302">
        <v>4328.724715164758</v>
      </c>
      <c r="Q302">
        <v>3.6463116709824002</v>
      </c>
      <c r="R302" t="s">
        <v>109</v>
      </c>
      <c r="S302">
        <v>1187.1515947506759</v>
      </c>
      <c r="T302">
        <v>3.8100820633059791</v>
      </c>
      <c r="U302" t="s">
        <v>184</v>
      </c>
      <c r="V302">
        <v>3.8100820633059791</v>
      </c>
      <c r="W302">
        <v>11</v>
      </c>
      <c r="X302">
        <v>25</v>
      </c>
      <c r="Y302">
        <v>19</v>
      </c>
      <c r="Z302">
        <v>8.0981185647948012E-2</v>
      </c>
      <c r="AA302">
        <v>31.536000000000001</v>
      </c>
    </row>
    <row r="303" spans="1:27" x14ac:dyDescent="0.25">
      <c r="A303" t="s">
        <v>98</v>
      </c>
      <c r="B303" t="s">
        <v>519</v>
      </c>
      <c r="C303" t="s">
        <v>100</v>
      </c>
      <c r="D303" t="s">
        <v>101</v>
      </c>
      <c r="E303" t="s">
        <v>304</v>
      </c>
      <c r="F303" t="s">
        <v>369</v>
      </c>
      <c r="G303" t="s">
        <v>111</v>
      </c>
      <c r="H303" t="s">
        <v>125</v>
      </c>
      <c r="I303">
        <v>2016</v>
      </c>
      <c r="J303" t="s">
        <v>374</v>
      </c>
      <c r="K303" t="s">
        <v>127</v>
      </c>
      <c r="L303" t="s">
        <v>602</v>
      </c>
      <c r="M303" t="s">
        <v>634</v>
      </c>
      <c r="N303">
        <v>1</v>
      </c>
      <c r="O303">
        <v>2020</v>
      </c>
      <c r="P303">
        <v>4450.6606226341873</v>
      </c>
      <c r="Q303">
        <v>3.6463116709824002</v>
      </c>
      <c r="R303" t="s">
        <v>109</v>
      </c>
      <c r="S303">
        <v>1220.592484743652</v>
      </c>
      <c r="T303">
        <v>4.0738569753810081</v>
      </c>
      <c r="U303" t="s">
        <v>184</v>
      </c>
      <c r="V303">
        <v>4.0738569753810081</v>
      </c>
      <c r="W303">
        <v>11</v>
      </c>
      <c r="X303">
        <v>25</v>
      </c>
      <c r="Y303">
        <v>19</v>
      </c>
      <c r="Z303">
        <v>8.0981185647948012E-2</v>
      </c>
      <c r="AA303">
        <v>31.536000000000001</v>
      </c>
    </row>
    <row r="304" spans="1:27" x14ac:dyDescent="0.25">
      <c r="A304" t="s">
        <v>98</v>
      </c>
      <c r="B304" t="s">
        <v>519</v>
      </c>
      <c r="C304" t="s">
        <v>100</v>
      </c>
      <c r="D304" t="s">
        <v>101</v>
      </c>
      <c r="E304" t="s">
        <v>304</v>
      </c>
      <c r="F304" t="s">
        <v>369</v>
      </c>
      <c r="G304" t="s">
        <v>111</v>
      </c>
      <c r="H304" t="s">
        <v>125</v>
      </c>
      <c r="I304">
        <v>2023</v>
      </c>
      <c r="J304" t="s">
        <v>376</v>
      </c>
      <c r="K304" t="s">
        <v>127</v>
      </c>
      <c r="L304" t="s">
        <v>602</v>
      </c>
      <c r="M304" t="s">
        <v>635</v>
      </c>
      <c r="N304">
        <v>1</v>
      </c>
      <c r="O304">
        <v>2023</v>
      </c>
      <c r="P304">
        <v>4511.628576368902</v>
      </c>
      <c r="Q304">
        <v>3.6463116709824002</v>
      </c>
      <c r="R304" t="s">
        <v>109</v>
      </c>
      <c r="S304">
        <v>1237.312929740141</v>
      </c>
      <c r="T304">
        <v>4.2203985932004704</v>
      </c>
      <c r="U304" t="s">
        <v>184</v>
      </c>
      <c r="V304">
        <v>4.2203985932004704</v>
      </c>
      <c r="W304">
        <v>11</v>
      </c>
      <c r="X304">
        <v>25</v>
      </c>
      <c r="Y304">
        <v>19</v>
      </c>
      <c r="Z304">
        <v>8.0981185647948012E-2</v>
      </c>
      <c r="AA304">
        <v>31.536000000000001</v>
      </c>
    </row>
    <row r="305" spans="1:27" x14ac:dyDescent="0.25">
      <c r="A305" t="s">
        <v>98</v>
      </c>
      <c r="B305" t="s">
        <v>519</v>
      </c>
      <c r="C305" t="s">
        <v>100</v>
      </c>
      <c r="D305" t="s">
        <v>101</v>
      </c>
      <c r="E305" t="s">
        <v>304</v>
      </c>
      <c r="F305" t="s">
        <v>369</v>
      </c>
      <c r="G305" t="s">
        <v>114</v>
      </c>
      <c r="H305" t="s">
        <v>125</v>
      </c>
      <c r="I305">
        <v>2016</v>
      </c>
      <c r="J305" t="s">
        <v>378</v>
      </c>
      <c r="K305" t="s">
        <v>127</v>
      </c>
      <c r="L305" t="s">
        <v>602</v>
      </c>
      <c r="M305" t="s">
        <v>636</v>
      </c>
      <c r="N305">
        <v>1</v>
      </c>
      <c r="O305">
        <v>2020</v>
      </c>
      <c r="P305">
        <v>4877.436298777192</v>
      </c>
      <c r="Q305">
        <v>3.6463116709824002</v>
      </c>
      <c r="R305" t="s">
        <v>109</v>
      </c>
      <c r="S305">
        <v>1337.635599719071</v>
      </c>
      <c r="T305">
        <v>4.3962485345838216</v>
      </c>
      <c r="U305" t="s">
        <v>184</v>
      </c>
      <c r="V305">
        <v>4.3962485345838216</v>
      </c>
      <c r="W305">
        <v>11</v>
      </c>
      <c r="X305">
        <v>25</v>
      </c>
      <c r="Y305">
        <v>19</v>
      </c>
      <c r="Z305">
        <v>8.0981185647948012E-2</v>
      </c>
      <c r="AA305">
        <v>31.536000000000001</v>
      </c>
    </row>
    <row r="306" spans="1:27" x14ac:dyDescent="0.25">
      <c r="A306" t="s">
        <v>98</v>
      </c>
      <c r="B306" t="s">
        <v>519</v>
      </c>
      <c r="C306" t="s">
        <v>100</v>
      </c>
      <c r="D306" t="s">
        <v>101</v>
      </c>
      <c r="E306" t="s">
        <v>304</v>
      </c>
      <c r="F306" t="s">
        <v>369</v>
      </c>
      <c r="G306" t="s">
        <v>114</v>
      </c>
      <c r="H306" t="s">
        <v>125</v>
      </c>
      <c r="I306">
        <v>2023</v>
      </c>
      <c r="J306" t="s">
        <v>380</v>
      </c>
      <c r="K306" t="s">
        <v>127</v>
      </c>
      <c r="L306" t="s">
        <v>602</v>
      </c>
      <c r="M306" t="s">
        <v>637</v>
      </c>
      <c r="N306">
        <v>1</v>
      </c>
      <c r="O306">
        <v>2023</v>
      </c>
      <c r="P306">
        <v>5202.5987186956727</v>
      </c>
      <c r="Q306">
        <v>3.6463116709824002</v>
      </c>
      <c r="R306" t="s">
        <v>109</v>
      </c>
      <c r="S306">
        <v>1426.81130636701</v>
      </c>
      <c r="T306">
        <v>4.6893317702227444</v>
      </c>
      <c r="U306" t="s">
        <v>184</v>
      </c>
      <c r="V306">
        <v>4.6893317702227444</v>
      </c>
      <c r="W306">
        <v>11</v>
      </c>
      <c r="X306">
        <v>25</v>
      </c>
      <c r="Y306">
        <v>19</v>
      </c>
      <c r="Z306">
        <v>8.0981185647948012E-2</v>
      </c>
      <c r="AA306">
        <v>31.536000000000001</v>
      </c>
    </row>
    <row r="307" spans="1:27" x14ac:dyDescent="0.25">
      <c r="A307" t="s">
        <v>98</v>
      </c>
      <c r="B307" t="s">
        <v>519</v>
      </c>
      <c r="C307" t="s">
        <v>100</v>
      </c>
      <c r="D307" t="s">
        <v>101</v>
      </c>
      <c r="E307" t="s">
        <v>304</v>
      </c>
      <c r="F307" t="s">
        <v>369</v>
      </c>
      <c r="G307" t="s">
        <v>119</v>
      </c>
      <c r="H307" t="s">
        <v>125</v>
      </c>
      <c r="I307">
        <v>2016</v>
      </c>
      <c r="J307" t="s">
        <v>382</v>
      </c>
      <c r="K307" t="s">
        <v>127</v>
      </c>
      <c r="L307" t="s">
        <v>602</v>
      </c>
      <c r="M307" t="s">
        <v>638</v>
      </c>
      <c r="N307">
        <v>1</v>
      </c>
      <c r="O307">
        <v>2020</v>
      </c>
      <c r="P307">
        <v>5670.0196973284856</v>
      </c>
      <c r="Q307">
        <v>3.6463116709824002</v>
      </c>
      <c r="R307" t="s">
        <v>109</v>
      </c>
      <c r="S307">
        <v>1555.00138467342</v>
      </c>
      <c r="T307">
        <v>4.835873388042204</v>
      </c>
      <c r="U307" t="s">
        <v>184</v>
      </c>
      <c r="V307">
        <v>4.835873388042204</v>
      </c>
      <c r="W307">
        <v>11</v>
      </c>
      <c r="X307">
        <v>25</v>
      </c>
      <c r="Y307">
        <v>19</v>
      </c>
      <c r="Z307">
        <v>8.0981185647948012E-2</v>
      </c>
      <c r="AA307">
        <v>31.536000000000001</v>
      </c>
    </row>
    <row r="308" spans="1:27" x14ac:dyDescent="0.25">
      <c r="A308" t="s">
        <v>98</v>
      </c>
      <c r="B308" t="s">
        <v>519</v>
      </c>
      <c r="C308" t="s">
        <v>100</v>
      </c>
      <c r="D308" t="s">
        <v>101</v>
      </c>
      <c r="E308" t="s">
        <v>304</v>
      </c>
      <c r="F308" t="s">
        <v>369</v>
      </c>
      <c r="G308" t="s">
        <v>119</v>
      </c>
      <c r="H308" t="s">
        <v>125</v>
      </c>
      <c r="I308">
        <v>2022</v>
      </c>
      <c r="J308" t="s">
        <v>384</v>
      </c>
      <c r="K308" t="s">
        <v>127</v>
      </c>
      <c r="L308" t="s">
        <v>602</v>
      </c>
      <c r="M308" t="s">
        <v>639</v>
      </c>
      <c r="N308">
        <v>1</v>
      </c>
      <c r="O308">
        <v>2022</v>
      </c>
      <c r="P308">
        <v>5670.0196973284856</v>
      </c>
      <c r="Q308">
        <v>3.6463116709824002</v>
      </c>
      <c r="R308" t="s">
        <v>109</v>
      </c>
      <c r="S308">
        <v>1555.00138467342</v>
      </c>
      <c r="T308">
        <v>4.835873388042204</v>
      </c>
      <c r="U308" t="s">
        <v>184</v>
      </c>
      <c r="V308">
        <v>4.835873388042204</v>
      </c>
      <c r="W308">
        <v>11</v>
      </c>
      <c r="X308">
        <v>25</v>
      </c>
      <c r="Y308">
        <v>19</v>
      </c>
      <c r="Z308">
        <v>8.0981185647948012E-2</v>
      </c>
      <c r="AA308">
        <v>31.536000000000001</v>
      </c>
    </row>
    <row r="309" spans="1:27" x14ac:dyDescent="0.25">
      <c r="A309" t="s">
        <v>98</v>
      </c>
      <c r="B309" t="s">
        <v>519</v>
      </c>
      <c r="C309" t="s">
        <v>100</v>
      </c>
      <c r="D309" t="s">
        <v>101</v>
      </c>
      <c r="E309" t="s">
        <v>386</v>
      </c>
      <c r="G309" t="s">
        <v>387</v>
      </c>
      <c r="H309" t="s">
        <v>125</v>
      </c>
      <c r="I309">
        <v>2016</v>
      </c>
      <c r="J309" t="s">
        <v>388</v>
      </c>
      <c r="K309" t="s">
        <v>127</v>
      </c>
      <c r="L309" t="s">
        <v>640</v>
      </c>
      <c r="M309" t="s">
        <v>641</v>
      </c>
      <c r="N309">
        <v>1</v>
      </c>
      <c r="O309">
        <v>2020</v>
      </c>
      <c r="P309">
        <v>853.55135228600852</v>
      </c>
      <c r="Q309">
        <v>3.3741104866420111</v>
      </c>
      <c r="R309" t="s">
        <v>391</v>
      </c>
      <c r="S309">
        <v>252.97077723601211</v>
      </c>
      <c r="T309">
        <v>404.78399999999999</v>
      </c>
      <c r="U309" t="s">
        <v>392</v>
      </c>
      <c r="V309">
        <v>1.1306815642458099</v>
      </c>
      <c r="W309">
        <v>11.625999787885601</v>
      </c>
      <c r="X309">
        <v>21.895260974855479</v>
      </c>
      <c r="Y309">
        <v>17</v>
      </c>
      <c r="Z309">
        <v>0.65</v>
      </c>
      <c r="AA309">
        <v>1</v>
      </c>
    </row>
    <row r="310" spans="1:27" x14ac:dyDescent="0.25">
      <c r="A310" t="s">
        <v>98</v>
      </c>
      <c r="B310" t="s">
        <v>519</v>
      </c>
      <c r="C310" t="s">
        <v>100</v>
      </c>
      <c r="D310" t="s">
        <v>101</v>
      </c>
      <c r="E310" t="s">
        <v>386</v>
      </c>
      <c r="G310" t="s">
        <v>393</v>
      </c>
      <c r="H310" t="s">
        <v>125</v>
      </c>
      <c r="I310">
        <v>2016</v>
      </c>
      <c r="J310" t="s">
        <v>394</v>
      </c>
      <c r="K310" t="s">
        <v>127</v>
      </c>
      <c r="L310" t="s">
        <v>640</v>
      </c>
      <c r="M310" t="s">
        <v>642</v>
      </c>
      <c r="N310">
        <v>1</v>
      </c>
      <c r="O310">
        <v>2020</v>
      </c>
      <c r="P310">
        <v>914.51930602072343</v>
      </c>
      <c r="Q310">
        <v>3.3741104866420111</v>
      </c>
      <c r="R310" t="s">
        <v>391</v>
      </c>
      <c r="S310">
        <v>271.04011846715582</v>
      </c>
      <c r="T310">
        <v>389</v>
      </c>
      <c r="U310" t="s">
        <v>392</v>
      </c>
      <c r="V310">
        <v>1.08659217877095</v>
      </c>
      <c r="W310">
        <v>11.625999787885601</v>
      </c>
      <c r="X310">
        <v>21.895260974855479</v>
      </c>
      <c r="Y310">
        <v>17</v>
      </c>
      <c r="Z310">
        <v>0.65</v>
      </c>
      <c r="AA310">
        <v>1</v>
      </c>
    </row>
    <row r="311" spans="1:27" x14ac:dyDescent="0.25">
      <c r="A311" t="s">
        <v>98</v>
      </c>
      <c r="B311" t="s">
        <v>519</v>
      </c>
      <c r="C311" t="s">
        <v>100</v>
      </c>
      <c r="D311" t="s">
        <v>101</v>
      </c>
      <c r="E311" t="s">
        <v>386</v>
      </c>
      <c r="G311" t="s">
        <v>396</v>
      </c>
      <c r="H311" t="s">
        <v>125</v>
      </c>
      <c r="I311">
        <v>2016</v>
      </c>
      <c r="J311" t="s">
        <v>397</v>
      </c>
      <c r="K311" t="s">
        <v>127</v>
      </c>
      <c r="L311" t="s">
        <v>640</v>
      </c>
      <c r="M311" t="s">
        <v>643</v>
      </c>
      <c r="N311">
        <v>1</v>
      </c>
      <c r="O311">
        <v>2020</v>
      </c>
      <c r="P311">
        <v>1036.455213490153</v>
      </c>
      <c r="Q311">
        <v>3.3741104866420111</v>
      </c>
      <c r="R311" t="s">
        <v>391</v>
      </c>
      <c r="S311">
        <v>307.17880092944318</v>
      </c>
      <c r="T311">
        <v>364.30560000000003</v>
      </c>
      <c r="U311" t="s">
        <v>392</v>
      </c>
      <c r="V311">
        <v>1.0176134078212291</v>
      </c>
      <c r="W311">
        <v>11.625999787885601</v>
      </c>
      <c r="X311">
        <v>21.895260974855479</v>
      </c>
      <c r="Y311">
        <v>17</v>
      </c>
      <c r="Z311">
        <v>0.65</v>
      </c>
      <c r="AA311">
        <v>1</v>
      </c>
    </row>
    <row r="312" spans="1:27" x14ac:dyDescent="0.25">
      <c r="A312" t="s">
        <v>98</v>
      </c>
      <c r="B312" t="s">
        <v>519</v>
      </c>
      <c r="C312" t="s">
        <v>100</v>
      </c>
      <c r="D312" t="s">
        <v>101</v>
      </c>
      <c r="E312" t="s">
        <v>386</v>
      </c>
      <c r="G312" t="s">
        <v>399</v>
      </c>
      <c r="H312" t="s">
        <v>125</v>
      </c>
      <c r="I312">
        <v>2016</v>
      </c>
      <c r="J312" t="s">
        <v>400</v>
      </c>
      <c r="K312" t="s">
        <v>127</v>
      </c>
      <c r="L312" t="s">
        <v>640</v>
      </c>
      <c r="M312" t="s">
        <v>644</v>
      </c>
      <c r="N312">
        <v>1</v>
      </c>
      <c r="O312">
        <v>2020</v>
      </c>
      <c r="P312">
        <v>1073.035985730982</v>
      </c>
      <c r="Q312">
        <v>3.3741104866420111</v>
      </c>
      <c r="R312" t="s">
        <v>391</v>
      </c>
      <c r="S312">
        <v>318.02040566812951</v>
      </c>
      <c r="T312">
        <v>358</v>
      </c>
      <c r="U312" t="s">
        <v>392</v>
      </c>
      <c r="V312">
        <v>1</v>
      </c>
      <c r="W312">
        <v>11.625999787885601</v>
      </c>
      <c r="X312">
        <v>21.895260974855479</v>
      </c>
      <c r="Y312">
        <v>17</v>
      </c>
      <c r="Z312">
        <v>0.65</v>
      </c>
      <c r="AA312">
        <v>1</v>
      </c>
    </row>
    <row r="313" spans="1:27" x14ac:dyDescent="0.25">
      <c r="A313" t="s">
        <v>98</v>
      </c>
      <c r="B313" t="s">
        <v>519</v>
      </c>
      <c r="C313" t="s">
        <v>100</v>
      </c>
      <c r="D313" t="s">
        <v>101</v>
      </c>
      <c r="E313" t="s">
        <v>386</v>
      </c>
      <c r="G313" t="s">
        <v>402</v>
      </c>
      <c r="H313" t="s">
        <v>125</v>
      </c>
      <c r="I313">
        <v>2016</v>
      </c>
      <c r="J313" t="s">
        <v>403</v>
      </c>
      <c r="K313" t="s">
        <v>127</v>
      </c>
      <c r="L313" t="s">
        <v>640</v>
      </c>
      <c r="M313" t="s">
        <v>645</v>
      </c>
      <c r="N313">
        <v>1</v>
      </c>
      <c r="O313">
        <v>2020</v>
      </c>
      <c r="P313">
        <v>1597.3603878495301</v>
      </c>
      <c r="Q313">
        <v>3.3741104866420111</v>
      </c>
      <c r="R313" t="s">
        <v>391</v>
      </c>
      <c r="S313">
        <v>473.41674025596552</v>
      </c>
      <c r="T313">
        <v>705.226</v>
      </c>
      <c r="U313" t="s">
        <v>392</v>
      </c>
      <c r="V313">
        <v>1.9699050279329611</v>
      </c>
      <c r="W313">
        <v>11.625999787885601</v>
      </c>
      <c r="X313">
        <v>21.895260974855479</v>
      </c>
      <c r="Y313">
        <v>17</v>
      </c>
      <c r="Z313">
        <v>0.65</v>
      </c>
      <c r="AA313">
        <v>1</v>
      </c>
    </row>
    <row r="314" spans="1:27" x14ac:dyDescent="0.25">
      <c r="A314" t="s">
        <v>98</v>
      </c>
      <c r="B314" t="s">
        <v>519</v>
      </c>
      <c r="C314" t="s">
        <v>100</v>
      </c>
      <c r="D314" t="s">
        <v>101</v>
      </c>
      <c r="E314" t="s">
        <v>386</v>
      </c>
      <c r="G314" t="s">
        <v>405</v>
      </c>
      <c r="H314" t="s">
        <v>125</v>
      </c>
      <c r="I314">
        <v>2016</v>
      </c>
      <c r="J314" t="s">
        <v>406</v>
      </c>
      <c r="K314" t="s">
        <v>127</v>
      </c>
      <c r="L314" t="s">
        <v>640</v>
      </c>
      <c r="M314" t="s">
        <v>646</v>
      </c>
      <c r="N314">
        <v>1</v>
      </c>
      <c r="O314">
        <v>2020</v>
      </c>
      <c r="P314">
        <v>1731.489886065903</v>
      </c>
      <c r="Q314">
        <v>3.3741104866420111</v>
      </c>
      <c r="R314" t="s">
        <v>391</v>
      </c>
      <c r="S314">
        <v>513.16929096448166</v>
      </c>
      <c r="T314">
        <v>671</v>
      </c>
      <c r="U314" t="s">
        <v>392</v>
      </c>
      <c r="V314">
        <v>1.8743016759776541</v>
      </c>
      <c r="W314">
        <v>11.625999787885601</v>
      </c>
      <c r="X314">
        <v>21.895260974855479</v>
      </c>
      <c r="Y314">
        <v>17</v>
      </c>
      <c r="Z314">
        <v>0.65</v>
      </c>
      <c r="AA314">
        <v>1</v>
      </c>
    </row>
    <row r="315" spans="1:27" x14ac:dyDescent="0.25">
      <c r="A315" t="s">
        <v>98</v>
      </c>
      <c r="B315" t="s">
        <v>519</v>
      </c>
      <c r="C315" t="s">
        <v>100</v>
      </c>
      <c r="D315" t="s">
        <v>101</v>
      </c>
      <c r="E315" t="s">
        <v>386</v>
      </c>
      <c r="G315" t="s">
        <v>408</v>
      </c>
      <c r="H315" t="s">
        <v>125</v>
      </c>
      <c r="I315">
        <v>2016</v>
      </c>
      <c r="J315" t="s">
        <v>409</v>
      </c>
      <c r="K315" t="s">
        <v>127</v>
      </c>
      <c r="L315" t="s">
        <v>640</v>
      </c>
      <c r="M315" t="s">
        <v>647</v>
      </c>
      <c r="N315">
        <v>1</v>
      </c>
      <c r="O315">
        <v>2020</v>
      </c>
      <c r="P315">
        <v>1890.006565776162</v>
      </c>
      <c r="Q315">
        <v>3.3741104866420111</v>
      </c>
      <c r="R315" t="s">
        <v>391</v>
      </c>
      <c r="S315">
        <v>560.1495781654553</v>
      </c>
      <c r="T315">
        <v>634.70339999999999</v>
      </c>
      <c r="U315" t="s">
        <v>392</v>
      </c>
      <c r="V315">
        <v>1.772914525139665</v>
      </c>
      <c r="W315">
        <v>11.625999787885601</v>
      </c>
      <c r="X315">
        <v>21.895260974855479</v>
      </c>
      <c r="Y315">
        <v>17</v>
      </c>
      <c r="Z315">
        <v>0.65</v>
      </c>
      <c r="AA315">
        <v>1</v>
      </c>
    </row>
    <row r="316" spans="1:27" x14ac:dyDescent="0.25">
      <c r="A316" t="s">
        <v>98</v>
      </c>
      <c r="B316" t="s">
        <v>519</v>
      </c>
      <c r="C316" t="s">
        <v>100</v>
      </c>
      <c r="D316" t="s">
        <v>101</v>
      </c>
      <c r="E316" t="s">
        <v>386</v>
      </c>
      <c r="G316" t="s">
        <v>411</v>
      </c>
      <c r="H316" t="s">
        <v>125</v>
      </c>
      <c r="I316">
        <v>2016</v>
      </c>
      <c r="J316" t="s">
        <v>412</v>
      </c>
      <c r="K316" t="s">
        <v>127</v>
      </c>
      <c r="L316" t="s">
        <v>640</v>
      </c>
      <c r="M316" t="s">
        <v>648</v>
      </c>
      <c r="N316">
        <v>1</v>
      </c>
      <c r="O316">
        <v>2020</v>
      </c>
      <c r="P316">
        <v>2414.3309678947098</v>
      </c>
      <c r="Q316">
        <v>3.3741104866420111</v>
      </c>
      <c r="R316" t="s">
        <v>391</v>
      </c>
      <c r="S316">
        <v>715.5459127532913</v>
      </c>
      <c r="T316">
        <v>509</v>
      </c>
      <c r="U316" t="s">
        <v>392</v>
      </c>
      <c r="V316">
        <v>1.4217877094972069</v>
      </c>
      <c r="W316">
        <v>11.625999787885601</v>
      </c>
      <c r="X316">
        <v>21.895260974855479</v>
      </c>
      <c r="Y316">
        <v>17</v>
      </c>
      <c r="Z316">
        <v>0.65</v>
      </c>
      <c r="AA316">
        <v>1</v>
      </c>
    </row>
    <row r="317" spans="1:27" x14ac:dyDescent="0.25">
      <c r="A317" t="s">
        <v>98</v>
      </c>
      <c r="B317" t="s">
        <v>519</v>
      </c>
      <c r="C317" t="s">
        <v>100</v>
      </c>
      <c r="D317" t="s">
        <v>101</v>
      </c>
      <c r="E317" t="s">
        <v>386</v>
      </c>
      <c r="G317" t="s">
        <v>414</v>
      </c>
      <c r="H317" t="s">
        <v>125</v>
      </c>
      <c r="I317">
        <v>2016</v>
      </c>
      <c r="J317" t="s">
        <v>415</v>
      </c>
      <c r="K317" t="s">
        <v>127</v>
      </c>
      <c r="L317" t="s">
        <v>640</v>
      </c>
      <c r="M317" t="s">
        <v>649</v>
      </c>
      <c r="N317">
        <v>1</v>
      </c>
      <c r="O317">
        <v>2020</v>
      </c>
      <c r="P317">
        <v>1255.939846935127</v>
      </c>
      <c r="Q317">
        <v>3.3741104866420111</v>
      </c>
      <c r="R317" t="s">
        <v>391</v>
      </c>
      <c r="S317">
        <v>372.2284293615607</v>
      </c>
      <c r="T317">
        <v>520.54999999999995</v>
      </c>
      <c r="U317" t="s">
        <v>392</v>
      </c>
      <c r="V317">
        <v>1.4540502793296091</v>
      </c>
      <c r="W317">
        <v>11.625999787885601</v>
      </c>
      <c r="X317">
        <v>21.895260974855479</v>
      </c>
      <c r="Y317">
        <v>17</v>
      </c>
      <c r="Z317">
        <v>0.65</v>
      </c>
      <c r="AA317">
        <v>1</v>
      </c>
    </row>
    <row r="318" spans="1:27" x14ac:dyDescent="0.25">
      <c r="A318" t="s">
        <v>98</v>
      </c>
      <c r="B318" t="s">
        <v>519</v>
      </c>
      <c r="C318" t="s">
        <v>100</v>
      </c>
      <c r="D318" t="s">
        <v>101</v>
      </c>
      <c r="E318" t="s">
        <v>386</v>
      </c>
      <c r="G318" t="s">
        <v>417</v>
      </c>
      <c r="H318" t="s">
        <v>125</v>
      </c>
      <c r="I318">
        <v>2016</v>
      </c>
      <c r="J318" t="s">
        <v>418</v>
      </c>
      <c r="K318" t="s">
        <v>127</v>
      </c>
      <c r="L318" t="s">
        <v>640</v>
      </c>
      <c r="M318" t="s">
        <v>650</v>
      </c>
      <c r="N318">
        <v>1</v>
      </c>
      <c r="O318">
        <v>2020</v>
      </c>
      <c r="P318">
        <v>1365.682163657614</v>
      </c>
      <c r="Q318">
        <v>3.3741104866420111</v>
      </c>
      <c r="R318" t="s">
        <v>391</v>
      </c>
      <c r="S318">
        <v>404.75324357761929</v>
      </c>
      <c r="T318">
        <v>480</v>
      </c>
      <c r="U318" t="s">
        <v>392</v>
      </c>
      <c r="V318">
        <v>1.3407821229050281</v>
      </c>
      <c r="W318">
        <v>11.625999787885601</v>
      </c>
      <c r="X318">
        <v>21.895260974855479</v>
      </c>
      <c r="Y318">
        <v>17</v>
      </c>
      <c r="Z318">
        <v>0.65</v>
      </c>
      <c r="AA318">
        <v>1</v>
      </c>
    </row>
    <row r="319" spans="1:27" x14ac:dyDescent="0.25">
      <c r="A319" t="s">
        <v>98</v>
      </c>
      <c r="B319" t="s">
        <v>519</v>
      </c>
      <c r="C319" t="s">
        <v>100</v>
      </c>
      <c r="D319" t="s">
        <v>101</v>
      </c>
      <c r="E319" t="s">
        <v>386</v>
      </c>
      <c r="G319" t="s">
        <v>420</v>
      </c>
      <c r="H319" t="s">
        <v>125</v>
      </c>
      <c r="I319">
        <v>2016</v>
      </c>
      <c r="J319" t="s">
        <v>421</v>
      </c>
      <c r="K319" t="s">
        <v>127</v>
      </c>
      <c r="L319" t="s">
        <v>640</v>
      </c>
      <c r="M319" t="s">
        <v>651</v>
      </c>
      <c r="N319">
        <v>1</v>
      </c>
      <c r="O319">
        <v>2020</v>
      </c>
      <c r="P319">
        <v>1414.456526645386</v>
      </c>
      <c r="Q319">
        <v>3.3741104866420111</v>
      </c>
      <c r="R319" t="s">
        <v>391</v>
      </c>
      <c r="S319">
        <v>419.20871656253428</v>
      </c>
      <c r="T319">
        <v>469</v>
      </c>
      <c r="U319" t="s">
        <v>392</v>
      </c>
      <c r="V319">
        <v>1.310055865921788</v>
      </c>
      <c r="W319">
        <v>11.625999787885601</v>
      </c>
      <c r="X319">
        <v>21.895260974855479</v>
      </c>
      <c r="Y319">
        <v>17</v>
      </c>
      <c r="Z319">
        <v>0.65</v>
      </c>
      <c r="AA319">
        <v>1</v>
      </c>
    </row>
    <row r="320" spans="1:27" x14ac:dyDescent="0.25">
      <c r="A320" t="s">
        <v>98</v>
      </c>
      <c r="B320" t="s">
        <v>519</v>
      </c>
      <c r="C320" t="s">
        <v>100</v>
      </c>
      <c r="D320" t="s">
        <v>101</v>
      </c>
      <c r="E320" t="s">
        <v>386</v>
      </c>
      <c r="G320" t="s">
        <v>423</v>
      </c>
      <c r="H320" t="s">
        <v>125</v>
      </c>
      <c r="I320">
        <v>2016</v>
      </c>
      <c r="J320" t="s">
        <v>424</v>
      </c>
      <c r="K320" t="s">
        <v>127</v>
      </c>
      <c r="L320" t="s">
        <v>640</v>
      </c>
      <c r="M320" t="s">
        <v>652</v>
      </c>
      <c r="N320">
        <v>1</v>
      </c>
      <c r="O320">
        <v>2020</v>
      </c>
      <c r="P320">
        <v>1414.456526645386</v>
      </c>
      <c r="Q320">
        <v>3.3741104866420111</v>
      </c>
      <c r="R320" t="s">
        <v>391</v>
      </c>
      <c r="S320">
        <v>419.20871656253428</v>
      </c>
      <c r="T320">
        <v>469</v>
      </c>
      <c r="U320" t="s">
        <v>392</v>
      </c>
      <c r="V320">
        <v>1.310055865921788</v>
      </c>
      <c r="W320">
        <v>11.625999787885601</v>
      </c>
      <c r="X320">
        <v>21.895260974855479</v>
      </c>
      <c r="Y320">
        <v>17</v>
      </c>
      <c r="Z320">
        <v>0.65</v>
      </c>
      <c r="AA320">
        <v>1</v>
      </c>
    </row>
    <row r="321" spans="1:27" x14ac:dyDescent="0.25">
      <c r="A321" t="s">
        <v>98</v>
      </c>
      <c r="B321" t="s">
        <v>519</v>
      </c>
      <c r="C321" t="s">
        <v>100</v>
      </c>
      <c r="D321" t="s">
        <v>101</v>
      </c>
      <c r="E321" t="s">
        <v>426</v>
      </c>
      <c r="G321" t="s">
        <v>427</v>
      </c>
      <c r="H321" t="s">
        <v>125</v>
      </c>
      <c r="I321">
        <v>2016</v>
      </c>
      <c r="J321" t="s">
        <v>428</v>
      </c>
      <c r="K321" t="s">
        <v>127</v>
      </c>
      <c r="L321" t="s">
        <v>653</v>
      </c>
      <c r="M321" t="s">
        <v>654</v>
      </c>
      <c r="N321">
        <v>1</v>
      </c>
      <c r="O321">
        <v>2020</v>
      </c>
      <c r="P321">
        <v>609.67953734714899</v>
      </c>
      <c r="Q321">
        <v>0.78213799330500688</v>
      </c>
      <c r="R321" t="s">
        <v>391</v>
      </c>
      <c r="S321">
        <v>779.50379928595919</v>
      </c>
      <c r="T321">
        <v>300.25599999999997</v>
      </c>
      <c r="U321" t="s">
        <v>392</v>
      </c>
      <c r="V321">
        <v>1.0918399999999999</v>
      </c>
      <c r="W321">
        <v>16.5973520403479</v>
      </c>
      <c r="X321">
        <v>27.331519839424129</v>
      </c>
      <c r="Y321">
        <v>22</v>
      </c>
      <c r="Z321">
        <v>0.65</v>
      </c>
      <c r="AA321">
        <v>1</v>
      </c>
    </row>
    <row r="322" spans="1:27" x14ac:dyDescent="0.25">
      <c r="A322" t="s">
        <v>98</v>
      </c>
      <c r="B322" t="s">
        <v>519</v>
      </c>
      <c r="C322" t="s">
        <v>100</v>
      </c>
      <c r="D322" t="s">
        <v>101</v>
      </c>
      <c r="E322" t="s">
        <v>426</v>
      </c>
      <c r="G322" t="s">
        <v>431</v>
      </c>
      <c r="H322" t="s">
        <v>125</v>
      </c>
      <c r="I322">
        <v>2016</v>
      </c>
      <c r="J322" t="s">
        <v>432</v>
      </c>
      <c r="K322" t="s">
        <v>127</v>
      </c>
      <c r="L322" t="s">
        <v>653</v>
      </c>
      <c r="M322" t="s">
        <v>655</v>
      </c>
      <c r="N322">
        <v>1</v>
      </c>
      <c r="O322">
        <v>2020</v>
      </c>
      <c r="P322">
        <v>609.67953734714899</v>
      </c>
      <c r="Q322">
        <v>0.78213799330500688</v>
      </c>
      <c r="R322" t="s">
        <v>391</v>
      </c>
      <c r="S322">
        <v>779.50379928595919</v>
      </c>
      <c r="T322">
        <v>297</v>
      </c>
      <c r="U322" t="s">
        <v>392</v>
      </c>
      <c r="V322">
        <v>1.08</v>
      </c>
      <c r="W322">
        <v>16.5973520403479</v>
      </c>
      <c r="X322">
        <v>27.331519839424129</v>
      </c>
      <c r="Y322">
        <v>22</v>
      </c>
      <c r="Z322">
        <v>0.65</v>
      </c>
      <c r="AA322">
        <v>1</v>
      </c>
    </row>
    <row r="323" spans="1:27" x14ac:dyDescent="0.25">
      <c r="A323" t="s">
        <v>98</v>
      </c>
      <c r="B323" t="s">
        <v>519</v>
      </c>
      <c r="C323" t="s">
        <v>100</v>
      </c>
      <c r="D323" t="s">
        <v>101</v>
      </c>
      <c r="E323" t="s">
        <v>426</v>
      </c>
      <c r="G323" t="s">
        <v>434</v>
      </c>
      <c r="H323" t="s">
        <v>125</v>
      </c>
      <c r="I323">
        <v>2016</v>
      </c>
      <c r="J323" t="s">
        <v>435</v>
      </c>
      <c r="K323" t="s">
        <v>127</v>
      </c>
      <c r="L323" t="s">
        <v>653</v>
      </c>
      <c r="M323" t="s">
        <v>656</v>
      </c>
      <c r="N323">
        <v>1</v>
      </c>
      <c r="O323">
        <v>2020</v>
      </c>
      <c r="P323">
        <v>670.6474910818639</v>
      </c>
      <c r="Q323">
        <v>0.78213799330500688</v>
      </c>
      <c r="R323" t="s">
        <v>391</v>
      </c>
      <c r="S323">
        <v>857.4541792145551</v>
      </c>
      <c r="T323">
        <v>277</v>
      </c>
      <c r="U323" t="s">
        <v>392</v>
      </c>
      <c r="V323">
        <v>1.0072727272727271</v>
      </c>
      <c r="W323">
        <v>16.5973520403479</v>
      </c>
      <c r="X323">
        <v>27.331519839424129</v>
      </c>
      <c r="Y323">
        <v>22</v>
      </c>
      <c r="Z323">
        <v>0.65</v>
      </c>
      <c r="AA323">
        <v>1</v>
      </c>
    </row>
    <row r="324" spans="1:27" x14ac:dyDescent="0.25">
      <c r="A324" t="s">
        <v>98</v>
      </c>
      <c r="B324" t="s">
        <v>519</v>
      </c>
      <c r="C324" t="s">
        <v>100</v>
      </c>
      <c r="D324" t="s">
        <v>101</v>
      </c>
      <c r="E324" t="s">
        <v>426</v>
      </c>
      <c r="G324" t="s">
        <v>437</v>
      </c>
      <c r="H324" t="s">
        <v>125</v>
      </c>
      <c r="I324">
        <v>2016</v>
      </c>
      <c r="J324" t="s">
        <v>438</v>
      </c>
      <c r="K324" t="s">
        <v>127</v>
      </c>
      <c r="L324" t="s">
        <v>653</v>
      </c>
      <c r="M324" t="s">
        <v>657</v>
      </c>
      <c r="N324">
        <v>1</v>
      </c>
      <c r="O324">
        <v>2020</v>
      </c>
      <c r="P324">
        <v>658.45390033492083</v>
      </c>
      <c r="Q324">
        <v>0.78213799330500688</v>
      </c>
      <c r="R324" t="s">
        <v>391</v>
      </c>
      <c r="S324">
        <v>841.8641032288358</v>
      </c>
      <c r="T324">
        <v>275</v>
      </c>
      <c r="U324" t="s">
        <v>392</v>
      </c>
      <c r="V324">
        <v>1</v>
      </c>
      <c r="W324">
        <v>16.5973520403479</v>
      </c>
      <c r="X324">
        <v>27.331519839424129</v>
      </c>
      <c r="Y324">
        <v>22</v>
      </c>
      <c r="Z324">
        <v>0.65</v>
      </c>
      <c r="AA324">
        <v>1</v>
      </c>
    </row>
    <row r="325" spans="1:27" x14ac:dyDescent="0.25">
      <c r="A325" t="s">
        <v>98</v>
      </c>
      <c r="B325" t="s">
        <v>519</v>
      </c>
      <c r="C325" t="s">
        <v>100</v>
      </c>
      <c r="D325" t="s">
        <v>101</v>
      </c>
      <c r="E325" t="s">
        <v>426</v>
      </c>
      <c r="G325" t="s">
        <v>440</v>
      </c>
      <c r="H325" t="s">
        <v>125</v>
      </c>
      <c r="I325">
        <v>2016</v>
      </c>
      <c r="J325" t="s">
        <v>441</v>
      </c>
      <c r="K325" t="s">
        <v>127</v>
      </c>
      <c r="L325" t="s">
        <v>653</v>
      </c>
      <c r="M325" t="s">
        <v>658</v>
      </c>
      <c r="N325">
        <v>1</v>
      </c>
      <c r="O325">
        <v>2020</v>
      </c>
      <c r="P325">
        <v>841.35776153906556</v>
      </c>
      <c r="Q325">
        <v>0.78213799330500688</v>
      </c>
      <c r="R325" t="s">
        <v>391</v>
      </c>
      <c r="S325">
        <v>1075.7152430146241</v>
      </c>
      <c r="T325">
        <v>477.41800000000001</v>
      </c>
      <c r="U325" t="s">
        <v>392</v>
      </c>
      <c r="V325">
        <v>1.736065454545455</v>
      </c>
      <c r="W325">
        <v>16.5973520403479</v>
      </c>
      <c r="X325">
        <v>27.331519839424129</v>
      </c>
      <c r="Y325">
        <v>22</v>
      </c>
      <c r="Z325">
        <v>0.65</v>
      </c>
      <c r="AA325">
        <v>1</v>
      </c>
    </row>
    <row r="326" spans="1:27" x14ac:dyDescent="0.25">
      <c r="A326" t="s">
        <v>98</v>
      </c>
      <c r="B326" t="s">
        <v>519</v>
      </c>
      <c r="C326" t="s">
        <v>100</v>
      </c>
      <c r="D326" t="s">
        <v>101</v>
      </c>
      <c r="E326" t="s">
        <v>426</v>
      </c>
      <c r="G326" t="s">
        <v>443</v>
      </c>
      <c r="H326" t="s">
        <v>125</v>
      </c>
      <c r="I326">
        <v>2016</v>
      </c>
      <c r="J326" t="s">
        <v>444</v>
      </c>
      <c r="K326" t="s">
        <v>127</v>
      </c>
      <c r="L326" t="s">
        <v>653</v>
      </c>
      <c r="M326" t="s">
        <v>659</v>
      </c>
      <c r="N326">
        <v>1</v>
      </c>
      <c r="O326">
        <v>2020</v>
      </c>
      <c r="P326">
        <v>914.51930602072343</v>
      </c>
      <c r="Q326">
        <v>0.78213799330500688</v>
      </c>
      <c r="R326" t="s">
        <v>391</v>
      </c>
      <c r="S326">
        <v>1169.255698928939</v>
      </c>
      <c r="T326">
        <v>446</v>
      </c>
      <c r="U326" t="s">
        <v>392</v>
      </c>
      <c r="V326">
        <v>1.621818181818182</v>
      </c>
      <c r="W326">
        <v>16.5973520403479</v>
      </c>
      <c r="X326">
        <v>27.331519839424129</v>
      </c>
      <c r="Y326">
        <v>22</v>
      </c>
      <c r="Z326">
        <v>0.65</v>
      </c>
      <c r="AA326">
        <v>1</v>
      </c>
    </row>
    <row r="327" spans="1:27" x14ac:dyDescent="0.25">
      <c r="A327" t="s">
        <v>98</v>
      </c>
      <c r="B327" t="s">
        <v>519</v>
      </c>
      <c r="C327" t="s">
        <v>100</v>
      </c>
      <c r="D327" t="s">
        <v>101</v>
      </c>
      <c r="E327" t="s">
        <v>426</v>
      </c>
      <c r="G327" t="s">
        <v>446</v>
      </c>
      <c r="H327" t="s">
        <v>125</v>
      </c>
      <c r="I327">
        <v>2016</v>
      </c>
      <c r="J327" t="s">
        <v>447</v>
      </c>
      <c r="K327" t="s">
        <v>127</v>
      </c>
      <c r="L327" t="s">
        <v>653</v>
      </c>
      <c r="M327" t="s">
        <v>660</v>
      </c>
      <c r="N327">
        <v>1</v>
      </c>
      <c r="O327">
        <v>2020</v>
      </c>
      <c r="P327">
        <v>963.29366900849539</v>
      </c>
      <c r="Q327">
        <v>0.78213799330500688</v>
      </c>
      <c r="R327" t="s">
        <v>391</v>
      </c>
      <c r="S327">
        <v>1231.616002871815</v>
      </c>
      <c r="T327">
        <v>429.67619999999999</v>
      </c>
      <c r="U327" t="s">
        <v>392</v>
      </c>
      <c r="V327">
        <v>1.5624589090909089</v>
      </c>
      <c r="W327">
        <v>16.5973520403479</v>
      </c>
      <c r="X327">
        <v>27.331519839424129</v>
      </c>
      <c r="Y327">
        <v>22</v>
      </c>
      <c r="Z327">
        <v>0.65</v>
      </c>
      <c r="AA327">
        <v>1</v>
      </c>
    </row>
    <row r="328" spans="1:27" x14ac:dyDescent="0.25">
      <c r="A328" t="s">
        <v>98</v>
      </c>
      <c r="B328" t="s">
        <v>519</v>
      </c>
      <c r="C328" t="s">
        <v>100</v>
      </c>
      <c r="D328" t="s">
        <v>101</v>
      </c>
      <c r="E328" t="s">
        <v>426</v>
      </c>
      <c r="G328" t="s">
        <v>449</v>
      </c>
      <c r="H328" t="s">
        <v>125</v>
      </c>
      <c r="I328">
        <v>2016</v>
      </c>
      <c r="J328" t="s">
        <v>450</v>
      </c>
      <c r="K328" t="s">
        <v>127</v>
      </c>
      <c r="L328" t="s">
        <v>653</v>
      </c>
      <c r="M328" t="s">
        <v>661</v>
      </c>
      <c r="N328">
        <v>1</v>
      </c>
      <c r="O328">
        <v>2020</v>
      </c>
      <c r="P328">
        <v>987.6808505023813</v>
      </c>
      <c r="Q328">
        <v>0.78213799330500688</v>
      </c>
      <c r="R328" t="s">
        <v>391</v>
      </c>
      <c r="S328">
        <v>1262.796154843254</v>
      </c>
      <c r="T328">
        <v>419</v>
      </c>
      <c r="U328" t="s">
        <v>392</v>
      </c>
      <c r="V328">
        <v>1.5236363636363639</v>
      </c>
      <c r="W328">
        <v>16.5973520403479</v>
      </c>
      <c r="X328">
        <v>27.331519839424129</v>
      </c>
      <c r="Y328">
        <v>22</v>
      </c>
      <c r="Z328">
        <v>0.65</v>
      </c>
      <c r="AA328">
        <v>1</v>
      </c>
    </row>
    <row r="329" spans="1:27" x14ac:dyDescent="0.25">
      <c r="A329" t="s">
        <v>98</v>
      </c>
      <c r="B329" t="s">
        <v>519</v>
      </c>
      <c r="C329" t="s">
        <v>100</v>
      </c>
      <c r="D329" t="s">
        <v>101</v>
      </c>
      <c r="E329" t="s">
        <v>452</v>
      </c>
      <c r="G329" t="s">
        <v>111</v>
      </c>
      <c r="H329" t="s">
        <v>104</v>
      </c>
      <c r="I329">
        <v>2016</v>
      </c>
      <c r="J329" t="s">
        <v>453</v>
      </c>
      <c r="K329" t="s">
        <v>106</v>
      </c>
      <c r="L329" t="s">
        <v>662</v>
      </c>
      <c r="M329" t="s">
        <v>663</v>
      </c>
      <c r="N329">
        <v>1</v>
      </c>
      <c r="O329">
        <v>2020</v>
      </c>
      <c r="P329">
        <v>451.16285763689018</v>
      </c>
      <c r="Q329">
        <v>11.38788217856273</v>
      </c>
      <c r="R329" t="s">
        <v>391</v>
      </c>
      <c r="S329">
        <v>39.617801673974803</v>
      </c>
      <c r="T329">
        <v>0.45</v>
      </c>
      <c r="U329" t="s">
        <v>456</v>
      </c>
      <c r="V329">
        <v>0.45</v>
      </c>
      <c r="W329">
        <v>9</v>
      </c>
      <c r="X329">
        <v>15</v>
      </c>
      <c r="Y329">
        <v>13</v>
      </c>
      <c r="Z329">
        <v>9.0000000000000011E-2</v>
      </c>
      <c r="AA329">
        <v>1</v>
      </c>
    </row>
    <row r="330" spans="1:27" x14ac:dyDescent="0.25">
      <c r="A330" t="s">
        <v>98</v>
      </c>
      <c r="B330" t="s">
        <v>519</v>
      </c>
      <c r="C330" t="s">
        <v>100</v>
      </c>
      <c r="D330" t="s">
        <v>101</v>
      </c>
      <c r="E330" t="s">
        <v>452</v>
      </c>
      <c r="G330" t="s">
        <v>119</v>
      </c>
      <c r="H330" t="s">
        <v>104</v>
      </c>
      <c r="I330">
        <v>2016</v>
      </c>
      <c r="J330" t="s">
        <v>457</v>
      </c>
      <c r="K330" t="s">
        <v>106</v>
      </c>
      <c r="L330" t="s">
        <v>662</v>
      </c>
      <c r="M330" t="s">
        <v>664</v>
      </c>
      <c r="N330">
        <v>1</v>
      </c>
      <c r="O330">
        <v>2020</v>
      </c>
      <c r="P330">
        <v>521.3437466026287</v>
      </c>
      <c r="Q330">
        <v>11.38788217856273</v>
      </c>
      <c r="R330" t="s">
        <v>391</v>
      </c>
      <c r="S330">
        <v>45.780570823259772</v>
      </c>
      <c r="T330">
        <v>0.52</v>
      </c>
      <c r="U330" t="s">
        <v>456</v>
      </c>
      <c r="V330">
        <v>0.52</v>
      </c>
      <c r="W330">
        <v>9</v>
      </c>
      <c r="X330">
        <v>15</v>
      </c>
      <c r="Y330">
        <v>13</v>
      </c>
      <c r="Z330">
        <v>9.0000000000000011E-2</v>
      </c>
      <c r="AA330">
        <v>1</v>
      </c>
    </row>
    <row r="331" spans="1:27" x14ac:dyDescent="0.25">
      <c r="A331" t="s">
        <v>98</v>
      </c>
      <c r="B331" t="s">
        <v>519</v>
      </c>
      <c r="C331" t="s">
        <v>100</v>
      </c>
      <c r="D331" t="s">
        <v>101</v>
      </c>
      <c r="E331" t="s">
        <v>452</v>
      </c>
      <c r="G331" t="s">
        <v>111</v>
      </c>
      <c r="H331" t="s">
        <v>156</v>
      </c>
      <c r="I331">
        <v>2016</v>
      </c>
      <c r="J331" t="s">
        <v>459</v>
      </c>
      <c r="K331" t="s">
        <v>158</v>
      </c>
      <c r="L331" t="s">
        <v>662</v>
      </c>
      <c r="M331" t="s">
        <v>665</v>
      </c>
      <c r="N331">
        <v>1</v>
      </c>
      <c r="O331">
        <v>2020</v>
      </c>
      <c r="P331">
        <v>451.16285763689018</v>
      </c>
      <c r="Q331">
        <v>11.38788217856273</v>
      </c>
      <c r="R331" t="s">
        <v>391</v>
      </c>
      <c r="S331">
        <v>39.617801673974803</v>
      </c>
      <c r="T331">
        <v>0.45</v>
      </c>
      <c r="U331" t="s">
        <v>456</v>
      </c>
      <c r="V331">
        <v>0.45</v>
      </c>
      <c r="W331">
        <v>9</v>
      </c>
      <c r="X331">
        <v>15</v>
      </c>
      <c r="Y331">
        <v>13</v>
      </c>
      <c r="Z331">
        <v>9.0000000000000011E-2</v>
      </c>
      <c r="AA331">
        <v>1</v>
      </c>
    </row>
    <row r="332" spans="1:27" x14ac:dyDescent="0.25">
      <c r="A332" t="s">
        <v>98</v>
      </c>
      <c r="B332" t="s">
        <v>519</v>
      </c>
      <c r="C332" t="s">
        <v>100</v>
      </c>
      <c r="D332" t="s">
        <v>101</v>
      </c>
      <c r="E332" t="s">
        <v>452</v>
      </c>
      <c r="G332" t="s">
        <v>119</v>
      </c>
      <c r="H332" t="s">
        <v>156</v>
      </c>
      <c r="I332">
        <v>2016</v>
      </c>
      <c r="J332" t="s">
        <v>461</v>
      </c>
      <c r="K332" t="s">
        <v>158</v>
      </c>
      <c r="L332" t="s">
        <v>662</v>
      </c>
      <c r="M332" t="s">
        <v>666</v>
      </c>
      <c r="N332">
        <v>1</v>
      </c>
      <c r="O332">
        <v>2020</v>
      </c>
      <c r="P332">
        <v>521.3437466026287</v>
      </c>
      <c r="Q332">
        <v>11.38788217856273</v>
      </c>
      <c r="R332" t="s">
        <v>391</v>
      </c>
      <c r="S332">
        <v>45.780570823259772</v>
      </c>
      <c r="T332">
        <v>0.52</v>
      </c>
      <c r="U332" t="s">
        <v>456</v>
      </c>
      <c r="V332">
        <v>0.52</v>
      </c>
      <c r="W332">
        <v>9</v>
      </c>
      <c r="X332">
        <v>15</v>
      </c>
      <c r="Y332">
        <v>13</v>
      </c>
      <c r="Z332">
        <v>9.0000000000000011E-2</v>
      </c>
      <c r="AA332">
        <v>1</v>
      </c>
    </row>
    <row r="333" spans="1:27" x14ac:dyDescent="0.25">
      <c r="A333" t="s">
        <v>98</v>
      </c>
      <c r="B333" t="s">
        <v>519</v>
      </c>
      <c r="C333" t="s">
        <v>100</v>
      </c>
      <c r="D333" t="s">
        <v>101</v>
      </c>
      <c r="E333" t="s">
        <v>452</v>
      </c>
      <c r="G333" t="s">
        <v>111</v>
      </c>
      <c r="H333" t="s">
        <v>125</v>
      </c>
      <c r="I333">
        <v>2016</v>
      </c>
      <c r="J333" t="s">
        <v>463</v>
      </c>
      <c r="K333" t="s">
        <v>127</v>
      </c>
      <c r="L333" t="s">
        <v>662</v>
      </c>
      <c r="M333" t="s">
        <v>667</v>
      </c>
      <c r="N333">
        <v>1</v>
      </c>
      <c r="O333">
        <v>2020</v>
      </c>
      <c r="P333">
        <v>938.90648751460947</v>
      </c>
      <c r="Q333">
        <v>11.38788217856273</v>
      </c>
      <c r="R333" t="s">
        <v>391</v>
      </c>
      <c r="S333">
        <v>82.447857537731352</v>
      </c>
      <c r="T333">
        <v>228.0913607809874</v>
      </c>
      <c r="U333" t="s">
        <v>392</v>
      </c>
      <c r="V333">
        <v>0.9</v>
      </c>
      <c r="W333">
        <v>10</v>
      </c>
      <c r="X333">
        <v>20</v>
      </c>
      <c r="Y333">
        <v>16</v>
      </c>
      <c r="Z333">
        <v>9.0000000000000011E-2</v>
      </c>
      <c r="AA333">
        <v>1</v>
      </c>
    </row>
    <row r="334" spans="1:27" x14ac:dyDescent="0.25">
      <c r="A334" t="s">
        <v>98</v>
      </c>
      <c r="B334" t="s">
        <v>519</v>
      </c>
      <c r="C334" t="s">
        <v>100</v>
      </c>
      <c r="D334" t="s">
        <v>101</v>
      </c>
      <c r="E334" t="s">
        <v>465</v>
      </c>
      <c r="G334" t="s">
        <v>466</v>
      </c>
      <c r="H334" t="s">
        <v>125</v>
      </c>
      <c r="I334">
        <v>2030</v>
      </c>
      <c r="J334" t="s">
        <v>467</v>
      </c>
      <c r="K334" t="s">
        <v>127</v>
      </c>
      <c r="L334" t="s">
        <v>668</v>
      </c>
      <c r="M334" t="s">
        <v>669</v>
      </c>
      <c r="N334">
        <v>1</v>
      </c>
      <c r="O334">
        <v>2030</v>
      </c>
      <c r="P334">
        <v>1646.1347508373019</v>
      </c>
      <c r="Q334">
        <v>7.3845319926300279</v>
      </c>
      <c r="R334" t="s">
        <v>391</v>
      </c>
      <c r="S334">
        <v>222.91659816494681</v>
      </c>
      <c r="T334">
        <v>0.28000000000000003</v>
      </c>
      <c r="U334" t="s">
        <v>470</v>
      </c>
      <c r="V334">
        <v>2.333333333333333</v>
      </c>
      <c r="W334">
        <v>6</v>
      </c>
      <c r="X334">
        <v>17</v>
      </c>
      <c r="Y334">
        <v>12</v>
      </c>
      <c r="Z334">
        <v>0.02</v>
      </c>
      <c r="AA334">
        <v>1</v>
      </c>
    </row>
    <row r="335" spans="1:27" x14ac:dyDescent="0.25">
      <c r="A335" t="s">
        <v>98</v>
      </c>
      <c r="B335" t="s">
        <v>519</v>
      </c>
      <c r="C335" t="s">
        <v>100</v>
      </c>
      <c r="D335" t="s">
        <v>101</v>
      </c>
      <c r="E335" t="s">
        <v>465</v>
      </c>
      <c r="G335" t="s">
        <v>471</v>
      </c>
      <c r="H335" t="s">
        <v>125</v>
      </c>
      <c r="I335">
        <v>2016</v>
      </c>
      <c r="J335" t="s">
        <v>472</v>
      </c>
      <c r="K335" t="s">
        <v>127</v>
      </c>
      <c r="L335" t="s">
        <v>668</v>
      </c>
      <c r="M335" t="s">
        <v>670</v>
      </c>
      <c r="N335">
        <v>1</v>
      </c>
      <c r="O335">
        <v>2020</v>
      </c>
      <c r="P335">
        <v>792.58339855129361</v>
      </c>
      <c r="Q335">
        <v>7.3845319926300279</v>
      </c>
      <c r="R335" t="s">
        <v>391</v>
      </c>
      <c r="S335">
        <v>107.33021393127071</v>
      </c>
      <c r="T335">
        <v>0.26</v>
      </c>
      <c r="U335" t="s">
        <v>470</v>
      </c>
      <c r="V335">
        <v>2.166666666666667</v>
      </c>
      <c r="W335">
        <v>6</v>
      </c>
      <c r="X335">
        <v>17</v>
      </c>
      <c r="Y335">
        <v>12</v>
      </c>
      <c r="Z335">
        <v>0.02</v>
      </c>
      <c r="AA335">
        <v>1</v>
      </c>
    </row>
    <row r="336" spans="1:27" x14ac:dyDescent="0.25">
      <c r="A336" t="s">
        <v>98</v>
      </c>
      <c r="B336" t="s">
        <v>519</v>
      </c>
      <c r="C336" t="s">
        <v>100</v>
      </c>
      <c r="D336" t="s">
        <v>101</v>
      </c>
      <c r="E336" t="s">
        <v>465</v>
      </c>
      <c r="G336" t="s">
        <v>474</v>
      </c>
      <c r="H336" t="s">
        <v>125</v>
      </c>
      <c r="I336">
        <v>2016</v>
      </c>
      <c r="J336" t="s">
        <v>475</v>
      </c>
      <c r="K336" t="s">
        <v>127</v>
      </c>
      <c r="L336" t="s">
        <v>668</v>
      </c>
      <c r="M336" t="s">
        <v>671</v>
      </c>
      <c r="N336">
        <v>0</v>
      </c>
      <c r="O336">
        <v>2020</v>
      </c>
      <c r="P336">
        <v>792.58339855129361</v>
      </c>
      <c r="Q336">
        <v>7.3845319926300279</v>
      </c>
      <c r="R336" t="s">
        <v>391</v>
      </c>
      <c r="S336">
        <v>107.33021393127071</v>
      </c>
      <c r="T336">
        <v>0.26</v>
      </c>
      <c r="U336" t="s">
        <v>470</v>
      </c>
      <c r="V336">
        <v>2.166666666666667</v>
      </c>
      <c r="W336">
        <v>6</v>
      </c>
      <c r="X336">
        <v>17</v>
      </c>
      <c r="Y336">
        <v>12</v>
      </c>
      <c r="Z336">
        <v>0.02</v>
      </c>
      <c r="AA336">
        <v>1</v>
      </c>
    </row>
    <row r="337" spans="1:27" x14ac:dyDescent="0.25">
      <c r="A337" t="s">
        <v>98</v>
      </c>
      <c r="B337" t="s">
        <v>519</v>
      </c>
      <c r="C337" t="s">
        <v>100</v>
      </c>
      <c r="D337" t="s">
        <v>101</v>
      </c>
      <c r="E337" t="s">
        <v>465</v>
      </c>
      <c r="G337" t="s">
        <v>474</v>
      </c>
      <c r="H337" t="s">
        <v>125</v>
      </c>
      <c r="I337">
        <v>2020</v>
      </c>
      <c r="J337" t="s">
        <v>477</v>
      </c>
      <c r="K337" t="s">
        <v>127</v>
      </c>
      <c r="L337" t="s">
        <v>668</v>
      </c>
      <c r="M337" t="s">
        <v>671</v>
      </c>
      <c r="N337">
        <v>1</v>
      </c>
      <c r="O337">
        <v>2020</v>
      </c>
      <c r="P337">
        <v>914.51930602072343</v>
      </c>
      <c r="Q337">
        <v>7.3845319926300279</v>
      </c>
      <c r="R337" t="s">
        <v>391</v>
      </c>
      <c r="S337">
        <v>123.84255453608159</v>
      </c>
      <c r="T337">
        <v>0.24</v>
      </c>
      <c r="U337" t="s">
        <v>470</v>
      </c>
      <c r="V337">
        <v>2</v>
      </c>
      <c r="W337">
        <v>6</v>
      </c>
      <c r="X337">
        <v>17</v>
      </c>
      <c r="Y337">
        <v>12</v>
      </c>
      <c r="Z337">
        <v>0.02</v>
      </c>
      <c r="AA337">
        <v>1</v>
      </c>
    </row>
    <row r="338" spans="1:27" x14ac:dyDescent="0.25">
      <c r="A338" t="s">
        <v>98</v>
      </c>
      <c r="B338" t="s">
        <v>519</v>
      </c>
      <c r="C338" t="s">
        <v>100</v>
      </c>
      <c r="D338" t="s">
        <v>101</v>
      </c>
      <c r="E338" t="s">
        <v>465</v>
      </c>
      <c r="G338" t="s">
        <v>478</v>
      </c>
      <c r="H338" t="s">
        <v>125</v>
      </c>
      <c r="I338">
        <v>2016</v>
      </c>
      <c r="J338" t="s">
        <v>479</v>
      </c>
      <c r="K338" t="s">
        <v>127</v>
      </c>
      <c r="L338" t="s">
        <v>668</v>
      </c>
      <c r="M338" t="s">
        <v>672</v>
      </c>
      <c r="N338">
        <v>1</v>
      </c>
      <c r="O338">
        <v>2020</v>
      </c>
      <c r="P338">
        <v>1158.3911209595831</v>
      </c>
      <c r="Q338">
        <v>7.3845319926300279</v>
      </c>
      <c r="R338" t="s">
        <v>391</v>
      </c>
      <c r="S338">
        <v>156.86723574570331</v>
      </c>
      <c r="T338">
        <v>0.15</v>
      </c>
      <c r="U338" t="s">
        <v>470</v>
      </c>
      <c r="V338">
        <v>1.25</v>
      </c>
      <c r="W338">
        <v>6</v>
      </c>
      <c r="X338">
        <v>17</v>
      </c>
      <c r="Y338">
        <v>12</v>
      </c>
      <c r="Z338">
        <v>0.02</v>
      </c>
      <c r="AA338">
        <v>1</v>
      </c>
    </row>
    <row r="339" spans="1:27" x14ac:dyDescent="0.25">
      <c r="A339" t="s">
        <v>98</v>
      </c>
      <c r="B339" t="s">
        <v>519</v>
      </c>
      <c r="C339" t="s">
        <v>100</v>
      </c>
      <c r="D339" t="s">
        <v>101</v>
      </c>
      <c r="E339" t="s">
        <v>465</v>
      </c>
      <c r="G339" t="s">
        <v>481</v>
      </c>
      <c r="H339" t="s">
        <v>125</v>
      </c>
      <c r="I339">
        <v>2016</v>
      </c>
      <c r="J339" t="s">
        <v>482</v>
      </c>
      <c r="K339" t="s">
        <v>127</v>
      </c>
      <c r="L339" t="s">
        <v>668</v>
      </c>
      <c r="M339" t="s">
        <v>673</v>
      </c>
      <c r="N339">
        <v>1</v>
      </c>
      <c r="O339">
        <v>2020</v>
      </c>
      <c r="P339">
        <v>1371.7789590310849</v>
      </c>
      <c r="Q339">
        <v>7.3845319926300279</v>
      </c>
      <c r="R339" t="s">
        <v>391</v>
      </c>
      <c r="S339">
        <v>185.76383180412239</v>
      </c>
      <c r="T339">
        <v>0.12</v>
      </c>
      <c r="U339" t="s">
        <v>470</v>
      </c>
      <c r="V339">
        <v>1</v>
      </c>
      <c r="W339">
        <v>6</v>
      </c>
      <c r="X339">
        <v>17</v>
      </c>
      <c r="Y339">
        <v>12</v>
      </c>
      <c r="Z339">
        <v>0.02</v>
      </c>
      <c r="AA339">
        <v>1</v>
      </c>
    </row>
    <row r="340" spans="1:27" x14ac:dyDescent="0.25">
      <c r="A340" t="s">
        <v>98</v>
      </c>
      <c r="B340" t="s">
        <v>519</v>
      </c>
      <c r="C340" t="s">
        <v>100</v>
      </c>
      <c r="D340" t="s">
        <v>101</v>
      </c>
      <c r="E340" t="s">
        <v>465</v>
      </c>
      <c r="G340" t="s">
        <v>484</v>
      </c>
      <c r="H340" t="s">
        <v>125</v>
      </c>
      <c r="I340">
        <v>2016</v>
      </c>
      <c r="J340" t="s">
        <v>485</v>
      </c>
      <c r="K340" t="s">
        <v>127</v>
      </c>
      <c r="L340" t="s">
        <v>668</v>
      </c>
      <c r="M340" t="s">
        <v>674</v>
      </c>
      <c r="N340">
        <v>1</v>
      </c>
      <c r="O340">
        <v>2020</v>
      </c>
      <c r="P340">
        <v>1158.3911209595831</v>
      </c>
      <c r="Q340">
        <v>7.3845319926300279</v>
      </c>
      <c r="R340" t="s">
        <v>391</v>
      </c>
      <c r="S340">
        <v>156.86723574570331</v>
      </c>
      <c r="T340">
        <v>0.15</v>
      </c>
      <c r="U340" t="s">
        <v>470</v>
      </c>
      <c r="V340">
        <v>1.25</v>
      </c>
      <c r="W340">
        <v>6</v>
      </c>
      <c r="X340">
        <v>17</v>
      </c>
      <c r="Y340">
        <v>12</v>
      </c>
      <c r="Z340">
        <v>0.02</v>
      </c>
      <c r="AA340">
        <v>1</v>
      </c>
    </row>
    <row r="341" spans="1:27" x14ac:dyDescent="0.25">
      <c r="A341" t="s">
        <v>98</v>
      </c>
      <c r="B341" t="s">
        <v>519</v>
      </c>
      <c r="C341" t="s">
        <v>100</v>
      </c>
      <c r="D341" t="s">
        <v>101</v>
      </c>
      <c r="E341" t="s">
        <v>465</v>
      </c>
      <c r="G341" t="s">
        <v>487</v>
      </c>
      <c r="H341" t="s">
        <v>125</v>
      </c>
      <c r="I341">
        <v>2016</v>
      </c>
      <c r="J341" t="s">
        <v>488</v>
      </c>
      <c r="K341" t="s">
        <v>127</v>
      </c>
      <c r="L341" t="s">
        <v>668</v>
      </c>
      <c r="M341" t="s">
        <v>675</v>
      </c>
      <c r="N341">
        <v>1</v>
      </c>
      <c r="O341">
        <v>2020</v>
      </c>
      <c r="P341">
        <v>1219.359074694298</v>
      </c>
      <c r="Q341">
        <v>7.3845319926300279</v>
      </c>
      <c r="R341" t="s">
        <v>391</v>
      </c>
      <c r="S341">
        <v>165.12340604810879</v>
      </c>
      <c r="T341">
        <v>0.21</v>
      </c>
      <c r="U341" t="s">
        <v>470</v>
      </c>
      <c r="V341">
        <v>1.75</v>
      </c>
      <c r="W341">
        <v>6</v>
      </c>
      <c r="X341">
        <v>17</v>
      </c>
      <c r="Y341">
        <v>12</v>
      </c>
      <c r="Z341">
        <v>0.02</v>
      </c>
      <c r="AA341">
        <v>1</v>
      </c>
    </row>
    <row r="342" spans="1:27" x14ac:dyDescent="0.25">
      <c r="A342" t="s">
        <v>98</v>
      </c>
      <c r="B342" t="s">
        <v>519</v>
      </c>
      <c r="C342" t="s">
        <v>100</v>
      </c>
      <c r="D342" t="s">
        <v>101</v>
      </c>
      <c r="E342" t="s">
        <v>465</v>
      </c>
      <c r="G342" t="s">
        <v>487</v>
      </c>
      <c r="H342" t="s">
        <v>125</v>
      </c>
      <c r="I342">
        <v>2030</v>
      </c>
      <c r="J342" t="s">
        <v>490</v>
      </c>
      <c r="K342" t="s">
        <v>127</v>
      </c>
      <c r="L342" t="s">
        <v>668</v>
      </c>
      <c r="M342" t="s">
        <v>676</v>
      </c>
      <c r="N342">
        <v>1</v>
      </c>
      <c r="O342">
        <v>2030</v>
      </c>
      <c r="P342">
        <v>1280.3270284290129</v>
      </c>
      <c r="Q342">
        <v>7.3845319926300279</v>
      </c>
      <c r="R342" t="s">
        <v>391</v>
      </c>
      <c r="S342">
        <v>173.37957635051421</v>
      </c>
      <c r="T342">
        <v>0.17</v>
      </c>
      <c r="U342" t="s">
        <v>470</v>
      </c>
      <c r="V342">
        <v>1.416666666666667</v>
      </c>
      <c r="W342">
        <v>6</v>
      </c>
      <c r="X342">
        <v>17</v>
      </c>
      <c r="Y342">
        <v>12</v>
      </c>
      <c r="Z342">
        <v>0.02</v>
      </c>
      <c r="AA342">
        <v>1</v>
      </c>
    </row>
    <row r="343" spans="1:27" x14ac:dyDescent="0.25">
      <c r="A343" t="s">
        <v>98</v>
      </c>
      <c r="B343" t="s">
        <v>519</v>
      </c>
      <c r="C343" t="s">
        <v>100</v>
      </c>
      <c r="D343" t="s">
        <v>101</v>
      </c>
      <c r="E343" t="s">
        <v>465</v>
      </c>
      <c r="G343" t="s">
        <v>492</v>
      </c>
      <c r="H343" t="s">
        <v>125</v>
      </c>
      <c r="I343">
        <v>2016</v>
      </c>
      <c r="J343" t="s">
        <v>493</v>
      </c>
      <c r="K343" t="s">
        <v>127</v>
      </c>
      <c r="L343" t="s">
        <v>668</v>
      </c>
      <c r="M343" t="s">
        <v>677</v>
      </c>
      <c r="N343">
        <v>1</v>
      </c>
      <c r="O343">
        <v>2020</v>
      </c>
      <c r="P343">
        <v>1158.3911209595831</v>
      </c>
      <c r="Q343">
        <v>7.3845319926300279</v>
      </c>
      <c r="R343" t="s">
        <v>391</v>
      </c>
      <c r="S343">
        <v>156.86723574570331</v>
      </c>
      <c r="T343">
        <v>0.28999999999999998</v>
      </c>
      <c r="U343" t="s">
        <v>470</v>
      </c>
      <c r="V343">
        <v>2.416666666666667</v>
      </c>
      <c r="W343">
        <v>6</v>
      </c>
      <c r="X343">
        <v>17</v>
      </c>
      <c r="Y343">
        <v>12</v>
      </c>
      <c r="Z343">
        <v>0.02</v>
      </c>
      <c r="AA343">
        <v>1</v>
      </c>
    </row>
    <row r="344" spans="1:27" x14ac:dyDescent="0.25">
      <c r="A344" t="s">
        <v>98</v>
      </c>
      <c r="B344" t="s">
        <v>519</v>
      </c>
      <c r="C344" t="s">
        <v>100</v>
      </c>
      <c r="D344" t="s">
        <v>101</v>
      </c>
      <c r="E344" t="s">
        <v>465</v>
      </c>
      <c r="G344" t="s">
        <v>466</v>
      </c>
      <c r="H344" t="s">
        <v>125</v>
      </c>
      <c r="I344">
        <v>2016</v>
      </c>
      <c r="J344" t="s">
        <v>495</v>
      </c>
      <c r="K344" t="s">
        <v>127</v>
      </c>
      <c r="L344" t="s">
        <v>668</v>
      </c>
      <c r="M344" t="s">
        <v>678</v>
      </c>
      <c r="N344">
        <v>0</v>
      </c>
      <c r="O344">
        <v>2020</v>
      </c>
      <c r="P344">
        <v>1280.3270284290129</v>
      </c>
      <c r="Q344">
        <v>7.3845319926300279</v>
      </c>
      <c r="R344" t="s">
        <v>391</v>
      </c>
      <c r="S344">
        <v>173.37957635051421</v>
      </c>
      <c r="T344">
        <v>0.17</v>
      </c>
      <c r="U344" t="s">
        <v>470</v>
      </c>
      <c r="V344">
        <v>1.416666666666667</v>
      </c>
      <c r="W344">
        <v>6</v>
      </c>
      <c r="X344">
        <v>17</v>
      </c>
      <c r="Y344">
        <v>12</v>
      </c>
      <c r="Z344">
        <v>0.02</v>
      </c>
      <c r="AA344">
        <v>1</v>
      </c>
    </row>
    <row r="345" spans="1:27" x14ac:dyDescent="0.25">
      <c r="A345" t="s">
        <v>98</v>
      </c>
      <c r="B345" t="s">
        <v>519</v>
      </c>
      <c r="C345" t="s">
        <v>100</v>
      </c>
      <c r="D345" t="s">
        <v>101</v>
      </c>
      <c r="E345" t="s">
        <v>465</v>
      </c>
      <c r="G345" t="s">
        <v>466</v>
      </c>
      <c r="H345" t="s">
        <v>125</v>
      </c>
      <c r="I345">
        <v>2020</v>
      </c>
      <c r="J345" t="s">
        <v>497</v>
      </c>
      <c r="K345" t="s">
        <v>127</v>
      </c>
      <c r="L345" t="s">
        <v>668</v>
      </c>
      <c r="M345" t="s">
        <v>678</v>
      </c>
      <c r="N345">
        <v>1</v>
      </c>
      <c r="O345">
        <v>2020</v>
      </c>
      <c r="P345">
        <v>1646.1347508373019</v>
      </c>
      <c r="Q345">
        <v>7.3845319926300279</v>
      </c>
      <c r="R345" t="s">
        <v>391</v>
      </c>
      <c r="S345">
        <v>222.91659816494681</v>
      </c>
      <c r="T345">
        <v>0.28000000000000003</v>
      </c>
      <c r="U345" t="s">
        <v>470</v>
      </c>
      <c r="V345">
        <v>2.333333333333333</v>
      </c>
      <c r="W345">
        <v>6</v>
      </c>
      <c r="X345">
        <v>17</v>
      </c>
      <c r="Y345">
        <v>12</v>
      </c>
      <c r="Z345">
        <v>0.02</v>
      </c>
      <c r="AA345">
        <v>1</v>
      </c>
    </row>
    <row r="346" spans="1:27" x14ac:dyDescent="0.25">
      <c r="A346" t="s">
        <v>98</v>
      </c>
      <c r="B346" t="s">
        <v>519</v>
      </c>
      <c r="C346" t="s">
        <v>100</v>
      </c>
      <c r="D346" t="s">
        <v>101</v>
      </c>
      <c r="E346" t="s">
        <v>498</v>
      </c>
      <c r="G346" t="s">
        <v>103</v>
      </c>
      <c r="H346" t="s">
        <v>104</v>
      </c>
      <c r="I346">
        <v>2016</v>
      </c>
      <c r="J346" t="s">
        <v>499</v>
      </c>
      <c r="K346" t="s">
        <v>106</v>
      </c>
      <c r="L346" t="s">
        <v>679</v>
      </c>
      <c r="M346" t="s">
        <v>680</v>
      </c>
      <c r="N346">
        <v>1</v>
      </c>
      <c r="O346">
        <v>2020</v>
      </c>
      <c r="P346">
        <v>792.58339855129361</v>
      </c>
      <c r="Q346">
        <v>75.135363057532999</v>
      </c>
      <c r="R346" t="s">
        <v>391</v>
      </c>
      <c r="S346">
        <v>10.54873985162477</v>
      </c>
      <c r="T346">
        <v>3.3</v>
      </c>
      <c r="U346" t="s">
        <v>502</v>
      </c>
      <c r="V346">
        <v>1</v>
      </c>
      <c r="W346">
        <v>8</v>
      </c>
      <c r="X346">
        <v>18</v>
      </c>
      <c r="Y346">
        <v>14</v>
      </c>
      <c r="Z346">
        <v>0.02</v>
      </c>
      <c r="AA346">
        <v>1</v>
      </c>
    </row>
    <row r="347" spans="1:27" x14ac:dyDescent="0.25">
      <c r="A347" t="s">
        <v>98</v>
      </c>
      <c r="B347" t="s">
        <v>519</v>
      </c>
      <c r="C347" t="s">
        <v>100</v>
      </c>
      <c r="D347" t="s">
        <v>101</v>
      </c>
      <c r="E347" t="s">
        <v>498</v>
      </c>
      <c r="G347" t="s">
        <v>111</v>
      </c>
      <c r="H347" t="s">
        <v>104</v>
      </c>
      <c r="I347">
        <v>2016</v>
      </c>
      <c r="J347" t="s">
        <v>503</v>
      </c>
      <c r="K347" t="s">
        <v>106</v>
      </c>
      <c r="L347" t="s">
        <v>679</v>
      </c>
      <c r="M347" t="s">
        <v>681</v>
      </c>
      <c r="N347">
        <v>1</v>
      </c>
      <c r="O347">
        <v>2020</v>
      </c>
      <c r="P347">
        <v>804.77698929823669</v>
      </c>
      <c r="Q347">
        <v>75.135363057532999</v>
      </c>
      <c r="R347" t="s">
        <v>391</v>
      </c>
      <c r="S347">
        <v>10.711028157034381</v>
      </c>
      <c r="T347">
        <v>3.32</v>
      </c>
      <c r="U347" t="s">
        <v>502</v>
      </c>
      <c r="V347">
        <v>1.0060606060606061</v>
      </c>
      <c r="W347">
        <v>8</v>
      </c>
      <c r="X347">
        <v>18</v>
      </c>
      <c r="Y347">
        <v>14</v>
      </c>
      <c r="Z347">
        <v>0.02</v>
      </c>
      <c r="AA347">
        <v>1</v>
      </c>
    </row>
    <row r="348" spans="1:27" x14ac:dyDescent="0.25">
      <c r="A348" t="s">
        <v>98</v>
      </c>
      <c r="B348" t="s">
        <v>519</v>
      </c>
      <c r="C348" t="s">
        <v>100</v>
      </c>
      <c r="D348" t="s">
        <v>101</v>
      </c>
      <c r="E348" t="s">
        <v>498</v>
      </c>
      <c r="G348" t="s">
        <v>114</v>
      </c>
      <c r="H348" t="s">
        <v>104</v>
      </c>
      <c r="I348">
        <v>2016</v>
      </c>
      <c r="J348" t="s">
        <v>505</v>
      </c>
      <c r="K348" t="s">
        <v>106</v>
      </c>
      <c r="L348" t="s">
        <v>679</v>
      </c>
      <c r="M348" t="s">
        <v>682</v>
      </c>
      <c r="N348">
        <v>1</v>
      </c>
      <c r="O348">
        <v>2020</v>
      </c>
      <c r="P348">
        <v>843.56142251742892</v>
      </c>
      <c r="Q348">
        <v>75.135363057532999</v>
      </c>
      <c r="R348" t="s">
        <v>391</v>
      </c>
      <c r="S348">
        <v>11.227222285084229</v>
      </c>
      <c r="T348">
        <v>3.48</v>
      </c>
      <c r="U348" t="s">
        <v>502</v>
      </c>
      <c r="V348">
        <v>1.0545454545454549</v>
      </c>
      <c r="W348">
        <v>8</v>
      </c>
      <c r="X348">
        <v>18</v>
      </c>
      <c r="Y348">
        <v>14</v>
      </c>
      <c r="Z348">
        <v>0.02</v>
      </c>
      <c r="AA348">
        <v>1</v>
      </c>
    </row>
    <row r="349" spans="1:27" x14ac:dyDescent="0.25">
      <c r="A349" t="s">
        <v>98</v>
      </c>
      <c r="B349" t="s">
        <v>519</v>
      </c>
      <c r="C349" t="s">
        <v>100</v>
      </c>
      <c r="D349" t="s">
        <v>101</v>
      </c>
      <c r="E349" t="s">
        <v>498</v>
      </c>
      <c r="G349" t="s">
        <v>119</v>
      </c>
      <c r="H349" t="s">
        <v>104</v>
      </c>
      <c r="I349">
        <v>2016</v>
      </c>
      <c r="J349" t="s">
        <v>507</v>
      </c>
      <c r="K349" t="s">
        <v>106</v>
      </c>
      <c r="L349" t="s">
        <v>679</v>
      </c>
      <c r="M349" t="s">
        <v>683</v>
      </c>
      <c r="N349">
        <v>1</v>
      </c>
      <c r="O349">
        <v>2020</v>
      </c>
      <c r="P349">
        <v>938.90648751460947</v>
      </c>
      <c r="Q349">
        <v>75.135363057532999</v>
      </c>
      <c r="R349" t="s">
        <v>391</v>
      </c>
      <c r="S349">
        <v>12.496199516540109</v>
      </c>
      <c r="T349">
        <v>3.49</v>
      </c>
      <c r="U349" t="s">
        <v>502</v>
      </c>
      <c r="V349">
        <v>1.0575757575757581</v>
      </c>
      <c r="W349">
        <v>8</v>
      </c>
      <c r="X349">
        <v>18</v>
      </c>
      <c r="Y349">
        <v>14</v>
      </c>
      <c r="Z349">
        <v>0.02</v>
      </c>
      <c r="AA349">
        <v>1</v>
      </c>
    </row>
    <row r="350" spans="1:27" x14ac:dyDescent="0.25">
      <c r="A350" t="s">
        <v>98</v>
      </c>
      <c r="B350" t="s">
        <v>519</v>
      </c>
      <c r="C350" t="s">
        <v>100</v>
      </c>
      <c r="D350" t="s">
        <v>101</v>
      </c>
      <c r="E350" t="s">
        <v>498</v>
      </c>
      <c r="G350" t="s">
        <v>119</v>
      </c>
      <c r="H350" t="s">
        <v>104</v>
      </c>
      <c r="I350">
        <v>2030</v>
      </c>
      <c r="J350" t="s">
        <v>509</v>
      </c>
      <c r="K350" t="s">
        <v>106</v>
      </c>
      <c r="L350" t="s">
        <v>679</v>
      </c>
      <c r="M350" t="s">
        <v>684</v>
      </c>
      <c r="N350">
        <v>1</v>
      </c>
      <c r="O350">
        <v>2030</v>
      </c>
      <c r="P350">
        <v>987.6808505023813</v>
      </c>
      <c r="Q350">
        <v>75.135363057532999</v>
      </c>
      <c r="R350" t="s">
        <v>391</v>
      </c>
      <c r="S350">
        <v>13.145352738178561</v>
      </c>
      <c r="T350">
        <v>3.61</v>
      </c>
      <c r="U350" t="s">
        <v>502</v>
      </c>
      <c r="V350">
        <v>1.093939393939394</v>
      </c>
      <c r="W350">
        <v>8</v>
      </c>
      <c r="X350">
        <v>18</v>
      </c>
      <c r="Y350">
        <v>14</v>
      </c>
      <c r="Z350">
        <v>0.02</v>
      </c>
      <c r="AA350">
        <v>1</v>
      </c>
    </row>
    <row r="351" spans="1:27" x14ac:dyDescent="0.25">
      <c r="A351" t="s">
        <v>98</v>
      </c>
      <c r="B351" t="s">
        <v>519</v>
      </c>
      <c r="C351" t="s">
        <v>100</v>
      </c>
      <c r="D351" t="s">
        <v>101</v>
      </c>
      <c r="E351" t="s">
        <v>498</v>
      </c>
      <c r="G351" t="s">
        <v>103</v>
      </c>
      <c r="H351" t="s">
        <v>125</v>
      </c>
      <c r="I351">
        <v>2016</v>
      </c>
      <c r="J351" t="s">
        <v>511</v>
      </c>
      <c r="K351" t="s">
        <v>127</v>
      </c>
      <c r="L351" t="s">
        <v>679</v>
      </c>
      <c r="M351" t="s">
        <v>685</v>
      </c>
      <c r="N351">
        <v>1</v>
      </c>
      <c r="O351">
        <v>2020</v>
      </c>
      <c r="P351">
        <v>646.26030958797787</v>
      </c>
      <c r="Q351">
        <v>75.135363057532999</v>
      </c>
      <c r="R351" t="s">
        <v>391</v>
      </c>
      <c r="S351">
        <v>8.6012801867094257</v>
      </c>
      <c r="T351">
        <v>3.73</v>
      </c>
      <c r="U351" t="s">
        <v>502</v>
      </c>
      <c r="V351">
        <v>1.1303030303030299</v>
      </c>
      <c r="W351">
        <v>8</v>
      </c>
      <c r="X351">
        <v>18</v>
      </c>
      <c r="Y351">
        <v>14</v>
      </c>
      <c r="Z351">
        <v>0.02</v>
      </c>
      <c r="AA351">
        <v>1</v>
      </c>
    </row>
    <row r="352" spans="1:27" x14ac:dyDescent="0.25">
      <c r="A352" t="s">
        <v>98</v>
      </c>
      <c r="B352" t="s">
        <v>519</v>
      </c>
      <c r="C352" t="s">
        <v>100</v>
      </c>
      <c r="D352" t="s">
        <v>101</v>
      </c>
      <c r="E352" t="s">
        <v>498</v>
      </c>
      <c r="G352" t="s">
        <v>111</v>
      </c>
      <c r="H352" t="s">
        <v>125</v>
      </c>
      <c r="I352">
        <v>2016</v>
      </c>
      <c r="J352" t="s">
        <v>513</v>
      </c>
      <c r="K352" t="s">
        <v>127</v>
      </c>
      <c r="L352" t="s">
        <v>679</v>
      </c>
      <c r="M352" t="s">
        <v>686</v>
      </c>
      <c r="N352">
        <v>1</v>
      </c>
      <c r="O352">
        <v>2020</v>
      </c>
      <c r="P352">
        <v>658.45390033492083</v>
      </c>
      <c r="Q352">
        <v>75.135363057532999</v>
      </c>
      <c r="R352" t="s">
        <v>391</v>
      </c>
      <c r="S352">
        <v>8.7635684921190364</v>
      </c>
      <c r="T352">
        <v>3.74</v>
      </c>
      <c r="U352" t="s">
        <v>502</v>
      </c>
      <c r="V352">
        <v>1.133333333333334</v>
      </c>
      <c r="W352">
        <v>8</v>
      </c>
      <c r="X352">
        <v>18</v>
      </c>
      <c r="Y352">
        <v>14</v>
      </c>
      <c r="Z352">
        <v>0.02</v>
      </c>
      <c r="AA352">
        <v>1</v>
      </c>
    </row>
    <row r="353" spans="1:27" x14ac:dyDescent="0.25">
      <c r="A353" t="s">
        <v>98</v>
      </c>
      <c r="B353" t="s">
        <v>519</v>
      </c>
      <c r="C353" t="s">
        <v>100</v>
      </c>
      <c r="D353" t="s">
        <v>101</v>
      </c>
      <c r="E353" t="s">
        <v>498</v>
      </c>
      <c r="G353" t="s">
        <v>114</v>
      </c>
      <c r="H353" t="s">
        <v>125</v>
      </c>
      <c r="I353">
        <v>2016</v>
      </c>
      <c r="J353" t="s">
        <v>515</v>
      </c>
      <c r="K353" t="s">
        <v>127</v>
      </c>
      <c r="L353" t="s">
        <v>679</v>
      </c>
      <c r="M353" t="s">
        <v>687</v>
      </c>
      <c r="N353">
        <v>1</v>
      </c>
      <c r="O353">
        <v>2020</v>
      </c>
      <c r="P353">
        <v>691.90476692947561</v>
      </c>
      <c r="Q353">
        <v>75.135363057532999</v>
      </c>
      <c r="R353" t="s">
        <v>391</v>
      </c>
      <c r="S353">
        <v>9.2087765171197358</v>
      </c>
      <c r="T353">
        <v>3.93</v>
      </c>
      <c r="U353" t="s">
        <v>502</v>
      </c>
      <c r="V353">
        <v>1.1909090909090909</v>
      </c>
      <c r="W353">
        <v>8</v>
      </c>
      <c r="X353">
        <v>18</v>
      </c>
      <c r="Y353">
        <v>14</v>
      </c>
      <c r="Z353">
        <v>0.02</v>
      </c>
      <c r="AA353">
        <v>1</v>
      </c>
    </row>
    <row r="354" spans="1:27" x14ac:dyDescent="0.25">
      <c r="A354" t="s">
        <v>98</v>
      </c>
      <c r="B354" t="s">
        <v>519</v>
      </c>
      <c r="C354" t="s">
        <v>100</v>
      </c>
      <c r="D354" t="s">
        <v>101</v>
      </c>
      <c r="E354" t="s">
        <v>498</v>
      </c>
      <c r="G354" t="s">
        <v>119</v>
      </c>
      <c r="H354" t="s">
        <v>125</v>
      </c>
      <c r="I354">
        <v>2016</v>
      </c>
      <c r="J354" t="s">
        <v>517</v>
      </c>
      <c r="K354" t="s">
        <v>127</v>
      </c>
      <c r="L354" t="s">
        <v>679</v>
      </c>
      <c r="M354" t="s">
        <v>688</v>
      </c>
      <c r="N354">
        <v>1</v>
      </c>
      <c r="O354">
        <v>2020</v>
      </c>
      <c r="P354">
        <v>938.90648751460947</v>
      </c>
      <c r="Q354">
        <v>75.135363057532999</v>
      </c>
      <c r="R354" t="s">
        <v>391</v>
      </c>
      <c r="S354">
        <v>12.496199516540109</v>
      </c>
      <c r="T354">
        <v>4.5</v>
      </c>
      <c r="U354" t="s">
        <v>502</v>
      </c>
      <c r="V354">
        <v>1.363636363636364</v>
      </c>
      <c r="W354">
        <v>8</v>
      </c>
      <c r="X354">
        <v>18</v>
      </c>
      <c r="Y354">
        <v>14</v>
      </c>
      <c r="Z354">
        <v>0.02</v>
      </c>
      <c r="AA354">
        <v>1</v>
      </c>
    </row>
    <row r="355" spans="1:27" x14ac:dyDescent="0.25">
      <c r="A355" t="s">
        <v>98</v>
      </c>
      <c r="B355" t="s">
        <v>99</v>
      </c>
      <c r="C355" t="s">
        <v>689</v>
      </c>
      <c r="D355" t="s">
        <v>101</v>
      </c>
      <c r="E355" t="s">
        <v>102</v>
      </c>
      <c r="G355" t="s">
        <v>103</v>
      </c>
      <c r="H355" t="s">
        <v>104</v>
      </c>
      <c r="I355">
        <v>2016</v>
      </c>
      <c r="J355" t="s">
        <v>105</v>
      </c>
      <c r="K355" t="s">
        <v>106</v>
      </c>
      <c r="L355" t="s">
        <v>690</v>
      </c>
      <c r="M355" t="s">
        <v>691</v>
      </c>
      <c r="N355">
        <v>1</v>
      </c>
      <c r="O355">
        <v>2020</v>
      </c>
      <c r="P355">
        <v>2225.3303113170941</v>
      </c>
      <c r="Q355">
        <v>1.5324031945368921</v>
      </c>
      <c r="R355" t="s">
        <v>109</v>
      </c>
      <c r="S355">
        <v>1452.183289130777</v>
      </c>
      <c r="T355">
        <v>0.61014999999999997</v>
      </c>
      <c r="U355" t="s">
        <v>110</v>
      </c>
      <c r="V355">
        <v>0.61014999999999997</v>
      </c>
      <c r="W355">
        <v>6</v>
      </c>
      <c r="X355">
        <v>20</v>
      </c>
      <c r="Y355">
        <v>14</v>
      </c>
      <c r="Z355">
        <v>0.24</v>
      </c>
      <c r="AA355">
        <v>31.536000000000001</v>
      </c>
    </row>
    <row r="356" spans="1:27" x14ac:dyDescent="0.25">
      <c r="A356" t="s">
        <v>98</v>
      </c>
      <c r="B356" t="s">
        <v>99</v>
      </c>
      <c r="C356" t="s">
        <v>689</v>
      </c>
      <c r="D356" t="s">
        <v>101</v>
      </c>
      <c r="E356" t="s">
        <v>102</v>
      </c>
      <c r="G356" t="s">
        <v>111</v>
      </c>
      <c r="H356" t="s">
        <v>104</v>
      </c>
      <c r="I356">
        <v>2016</v>
      </c>
      <c r="J356" t="s">
        <v>112</v>
      </c>
      <c r="K356" t="s">
        <v>106</v>
      </c>
      <c r="L356" t="s">
        <v>690</v>
      </c>
      <c r="M356" t="s">
        <v>692</v>
      </c>
      <c r="N356">
        <v>1</v>
      </c>
      <c r="O356">
        <v>2020</v>
      </c>
      <c r="P356">
        <v>2347.266218786523</v>
      </c>
      <c r="Q356">
        <v>1.5324031945368921</v>
      </c>
      <c r="R356" t="s">
        <v>109</v>
      </c>
      <c r="S356">
        <v>1531.7549762064359</v>
      </c>
      <c r="T356">
        <v>0.63</v>
      </c>
      <c r="U356" t="s">
        <v>110</v>
      </c>
      <c r="V356">
        <v>0.63</v>
      </c>
      <c r="W356">
        <v>6</v>
      </c>
      <c r="X356">
        <v>20</v>
      </c>
      <c r="Y356">
        <v>14</v>
      </c>
      <c r="Z356">
        <v>0.24</v>
      </c>
      <c r="AA356">
        <v>31.536000000000001</v>
      </c>
    </row>
    <row r="357" spans="1:27" x14ac:dyDescent="0.25">
      <c r="A357" t="s">
        <v>98</v>
      </c>
      <c r="B357" t="s">
        <v>99</v>
      </c>
      <c r="C357" t="s">
        <v>689</v>
      </c>
      <c r="D357" t="s">
        <v>101</v>
      </c>
      <c r="E357" t="s">
        <v>102</v>
      </c>
      <c r="G357" t="s">
        <v>114</v>
      </c>
      <c r="H357" t="s">
        <v>104</v>
      </c>
      <c r="I357">
        <v>2016</v>
      </c>
      <c r="J357" t="s">
        <v>115</v>
      </c>
      <c r="K357" t="s">
        <v>106</v>
      </c>
      <c r="L357" t="s">
        <v>690</v>
      </c>
      <c r="M357" t="s">
        <v>693</v>
      </c>
      <c r="N357">
        <v>1</v>
      </c>
      <c r="O357">
        <v>2020</v>
      </c>
      <c r="P357">
        <v>2469.2021262559529</v>
      </c>
      <c r="Q357">
        <v>1.5324031945368921</v>
      </c>
      <c r="R357" t="s">
        <v>109</v>
      </c>
      <c r="S357">
        <v>1611.3266632820951</v>
      </c>
      <c r="T357">
        <v>0.66</v>
      </c>
      <c r="U357" t="s">
        <v>110</v>
      </c>
      <c r="V357">
        <v>0.66</v>
      </c>
      <c r="W357">
        <v>6</v>
      </c>
      <c r="X357">
        <v>20</v>
      </c>
      <c r="Y357">
        <v>14</v>
      </c>
      <c r="Z357">
        <v>0.24</v>
      </c>
      <c r="AA357">
        <v>31.536000000000001</v>
      </c>
    </row>
    <row r="358" spans="1:27" x14ac:dyDescent="0.25">
      <c r="A358" t="s">
        <v>98</v>
      </c>
      <c r="B358" t="s">
        <v>99</v>
      </c>
      <c r="C358" t="s">
        <v>689</v>
      </c>
      <c r="D358" t="s">
        <v>101</v>
      </c>
      <c r="E358" t="s">
        <v>102</v>
      </c>
      <c r="G358" t="s">
        <v>114</v>
      </c>
      <c r="H358" t="s">
        <v>104</v>
      </c>
      <c r="I358">
        <v>2023</v>
      </c>
      <c r="J358" t="s">
        <v>117</v>
      </c>
      <c r="K358" t="s">
        <v>106</v>
      </c>
      <c r="L358" t="s">
        <v>690</v>
      </c>
      <c r="M358" t="s">
        <v>694</v>
      </c>
      <c r="N358">
        <v>1</v>
      </c>
      <c r="O358">
        <v>2023</v>
      </c>
      <c r="P358">
        <v>3865.2553631628971</v>
      </c>
      <c r="Q358">
        <v>1.5324031945368921</v>
      </c>
      <c r="R358" t="s">
        <v>109</v>
      </c>
      <c r="S358">
        <v>2522.3488028103579</v>
      </c>
      <c r="T358">
        <v>0.83499999999999996</v>
      </c>
      <c r="U358" t="s">
        <v>110</v>
      </c>
      <c r="V358">
        <v>0.83499999999999996</v>
      </c>
      <c r="W358">
        <v>6</v>
      </c>
      <c r="X358">
        <v>20</v>
      </c>
      <c r="Y358">
        <v>14</v>
      </c>
      <c r="Z358">
        <v>0.24</v>
      </c>
      <c r="AA358">
        <v>31.536000000000001</v>
      </c>
    </row>
    <row r="359" spans="1:27" x14ac:dyDescent="0.25">
      <c r="A359" t="s">
        <v>98</v>
      </c>
      <c r="B359" t="s">
        <v>99</v>
      </c>
      <c r="C359" t="s">
        <v>689</v>
      </c>
      <c r="D359" t="s">
        <v>101</v>
      </c>
      <c r="E359" t="s">
        <v>102</v>
      </c>
      <c r="G359" t="s">
        <v>119</v>
      </c>
      <c r="H359" t="s">
        <v>104</v>
      </c>
      <c r="I359">
        <v>2016</v>
      </c>
      <c r="J359" t="s">
        <v>120</v>
      </c>
      <c r="K359" t="s">
        <v>106</v>
      </c>
      <c r="L359" t="s">
        <v>690</v>
      </c>
      <c r="M359" t="s">
        <v>695</v>
      </c>
      <c r="N359">
        <v>0</v>
      </c>
      <c r="O359">
        <v>2020</v>
      </c>
      <c r="P359">
        <v>3749.5291546849662</v>
      </c>
      <c r="Q359">
        <v>1.5324031945368921</v>
      </c>
      <c r="R359" t="s">
        <v>109</v>
      </c>
      <c r="S359">
        <v>2446.8293775765151</v>
      </c>
      <c r="T359">
        <v>0.81</v>
      </c>
      <c r="U359" t="s">
        <v>110</v>
      </c>
      <c r="V359">
        <v>0.81</v>
      </c>
      <c r="W359">
        <v>6</v>
      </c>
      <c r="X359">
        <v>20</v>
      </c>
      <c r="Y359">
        <v>14</v>
      </c>
      <c r="Z359">
        <v>0.24</v>
      </c>
      <c r="AA359">
        <v>31.536000000000001</v>
      </c>
    </row>
    <row r="360" spans="1:27" x14ac:dyDescent="0.25">
      <c r="A360" t="s">
        <v>98</v>
      </c>
      <c r="B360" t="s">
        <v>99</v>
      </c>
      <c r="C360" t="s">
        <v>689</v>
      </c>
      <c r="D360" t="s">
        <v>101</v>
      </c>
      <c r="E360" t="s">
        <v>102</v>
      </c>
      <c r="G360" t="s">
        <v>119</v>
      </c>
      <c r="H360" t="s">
        <v>104</v>
      </c>
      <c r="I360">
        <v>2018</v>
      </c>
      <c r="J360" t="s">
        <v>122</v>
      </c>
      <c r="K360" t="s">
        <v>106</v>
      </c>
      <c r="L360" t="s">
        <v>690</v>
      </c>
      <c r="M360" t="s">
        <v>695</v>
      </c>
      <c r="N360">
        <v>1</v>
      </c>
      <c r="O360">
        <v>2020</v>
      </c>
      <c r="P360">
        <v>3749.5291546849662</v>
      </c>
      <c r="Q360">
        <v>1.5324031945368921</v>
      </c>
      <c r="R360" t="s">
        <v>109</v>
      </c>
      <c r="S360">
        <v>2446.8293775765151</v>
      </c>
      <c r="T360">
        <v>0.81</v>
      </c>
      <c r="U360" t="s">
        <v>110</v>
      </c>
      <c r="V360">
        <v>0.81</v>
      </c>
      <c r="W360">
        <v>6</v>
      </c>
      <c r="X360">
        <v>20</v>
      </c>
      <c r="Y360">
        <v>14</v>
      </c>
      <c r="Z360">
        <v>0.24</v>
      </c>
      <c r="AA360">
        <v>31.536000000000001</v>
      </c>
    </row>
    <row r="361" spans="1:27" x14ac:dyDescent="0.25">
      <c r="A361" t="s">
        <v>98</v>
      </c>
      <c r="B361" t="s">
        <v>99</v>
      </c>
      <c r="C361" t="s">
        <v>689</v>
      </c>
      <c r="D361" t="s">
        <v>101</v>
      </c>
      <c r="E361" t="s">
        <v>102</v>
      </c>
      <c r="G361" t="s">
        <v>119</v>
      </c>
      <c r="H361" t="s">
        <v>104</v>
      </c>
      <c r="I361">
        <v>2022</v>
      </c>
      <c r="J361" t="s">
        <v>123</v>
      </c>
      <c r="K361" t="s">
        <v>106</v>
      </c>
      <c r="L361" t="s">
        <v>690</v>
      </c>
      <c r="M361" t="s">
        <v>696</v>
      </c>
      <c r="N361">
        <v>1</v>
      </c>
      <c r="O361">
        <v>2022</v>
      </c>
      <c r="P361">
        <v>3749.5291546849662</v>
      </c>
      <c r="Q361">
        <v>1.5324031945368921</v>
      </c>
      <c r="R361" t="s">
        <v>109</v>
      </c>
      <c r="S361">
        <v>2446.8293775765151</v>
      </c>
      <c r="T361">
        <v>0.81</v>
      </c>
      <c r="U361" t="s">
        <v>110</v>
      </c>
      <c r="V361">
        <v>0.81</v>
      </c>
      <c r="W361">
        <v>6</v>
      </c>
      <c r="X361">
        <v>20</v>
      </c>
      <c r="Y361">
        <v>14</v>
      </c>
      <c r="Z361">
        <v>0.24</v>
      </c>
      <c r="AA361">
        <v>31.536000000000001</v>
      </c>
    </row>
    <row r="362" spans="1:27" x14ac:dyDescent="0.25">
      <c r="A362" t="s">
        <v>98</v>
      </c>
      <c r="B362" t="s">
        <v>99</v>
      </c>
      <c r="C362" t="s">
        <v>689</v>
      </c>
      <c r="D362" t="s">
        <v>101</v>
      </c>
      <c r="E362" t="s">
        <v>102</v>
      </c>
      <c r="G362" t="s">
        <v>103</v>
      </c>
      <c r="H362" t="s">
        <v>125</v>
      </c>
      <c r="I362">
        <v>2016</v>
      </c>
      <c r="J362" t="s">
        <v>126</v>
      </c>
      <c r="K362" t="s">
        <v>127</v>
      </c>
      <c r="L362" t="s">
        <v>690</v>
      </c>
      <c r="M362" t="s">
        <v>697</v>
      </c>
      <c r="N362">
        <v>1</v>
      </c>
      <c r="O362">
        <v>2020</v>
      </c>
      <c r="P362">
        <v>945.00328288808089</v>
      </c>
      <c r="Q362">
        <v>1.5324031945368921</v>
      </c>
      <c r="R362" t="s">
        <v>109</v>
      </c>
      <c r="S362">
        <v>616.68057483635744</v>
      </c>
      <c r="T362">
        <v>0.91554999999999997</v>
      </c>
      <c r="U362" t="s">
        <v>110</v>
      </c>
      <c r="V362">
        <v>0.91554999999999997</v>
      </c>
      <c r="W362">
        <v>6</v>
      </c>
      <c r="X362">
        <v>20</v>
      </c>
      <c r="Y362">
        <v>14</v>
      </c>
      <c r="Z362">
        <v>0.24</v>
      </c>
      <c r="AA362">
        <v>31.536000000000001</v>
      </c>
    </row>
    <row r="363" spans="1:27" x14ac:dyDescent="0.25">
      <c r="A363" t="s">
        <v>98</v>
      </c>
      <c r="B363" t="s">
        <v>99</v>
      </c>
      <c r="C363" t="s">
        <v>689</v>
      </c>
      <c r="D363" t="s">
        <v>101</v>
      </c>
      <c r="E363" t="s">
        <v>102</v>
      </c>
      <c r="G363" t="s">
        <v>111</v>
      </c>
      <c r="H363" t="s">
        <v>125</v>
      </c>
      <c r="I363">
        <v>2016</v>
      </c>
      <c r="J363" t="s">
        <v>129</v>
      </c>
      <c r="K363" t="s">
        <v>127</v>
      </c>
      <c r="L363" t="s">
        <v>690</v>
      </c>
      <c r="M363" t="s">
        <v>698</v>
      </c>
      <c r="N363">
        <v>1</v>
      </c>
      <c r="O363">
        <v>2020</v>
      </c>
      <c r="P363">
        <v>1036.455213490153</v>
      </c>
      <c r="Q363">
        <v>1.5324031945368921</v>
      </c>
      <c r="R363" t="s">
        <v>109</v>
      </c>
      <c r="S363">
        <v>676.35934014310169</v>
      </c>
      <c r="T363">
        <v>0.93</v>
      </c>
      <c r="U363" t="s">
        <v>110</v>
      </c>
      <c r="V363">
        <v>0.93</v>
      </c>
      <c r="W363">
        <v>6</v>
      </c>
      <c r="X363">
        <v>20</v>
      </c>
      <c r="Y363">
        <v>14</v>
      </c>
      <c r="Z363">
        <v>0.24</v>
      </c>
      <c r="AA363">
        <v>31.536000000000001</v>
      </c>
    </row>
    <row r="364" spans="1:27" x14ac:dyDescent="0.25">
      <c r="A364" t="s">
        <v>98</v>
      </c>
      <c r="B364" t="s">
        <v>99</v>
      </c>
      <c r="C364" t="s">
        <v>689</v>
      </c>
      <c r="D364" t="s">
        <v>101</v>
      </c>
      <c r="E364" t="s">
        <v>102</v>
      </c>
      <c r="G364" t="s">
        <v>119</v>
      </c>
      <c r="H364" t="s">
        <v>125</v>
      </c>
      <c r="I364">
        <v>2016</v>
      </c>
      <c r="J364" t="s">
        <v>131</v>
      </c>
      <c r="K364" t="s">
        <v>127</v>
      </c>
      <c r="L364" t="s">
        <v>690</v>
      </c>
      <c r="M364" t="s">
        <v>699</v>
      </c>
      <c r="N364">
        <v>1</v>
      </c>
      <c r="O364">
        <v>2020</v>
      </c>
      <c r="P364">
        <v>1493.714866500515</v>
      </c>
      <c r="Q364">
        <v>1.5324031945368921</v>
      </c>
      <c r="R364" t="s">
        <v>109</v>
      </c>
      <c r="S364">
        <v>974.75316667682296</v>
      </c>
      <c r="T364">
        <v>0.95</v>
      </c>
      <c r="U364" t="s">
        <v>110</v>
      </c>
      <c r="V364">
        <v>0.95</v>
      </c>
      <c r="W364">
        <v>6</v>
      </c>
      <c r="X364">
        <v>20</v>
      </c>
      <c r="Y364">
        <v>14</v>
      </c>
      <c r="Z364">
        <v>0.24</v>
      </c>
      <c r="AA364">
        <v>31.536000000000001</v>
      </c>
    </row>
    <row r="365" spans="1:27" x14ac:dyDescent="0.25">
      <c r="A365" t="s">
        <v>98</v>
      </c>
      <c r="B365" t="s">
        <v>99</v>
      </c>
      <c r="C365" t="s">
        <v>689</v>
      </c>
      <c r="D365" t="s">
        <v>101</v>
      </c>
      <c r="E365" t="s">
        <v>102</v>
      </c>
      <c r="G365" t="s">
        <v>133</v>
      </c>
      <c r="H365" t="s">
        <v>125</v>
      </c>
      <c r="I365">
        <v>2016</v>
      </c>
      <c r="J365" t="s">
        <v>134</v>
      </c>
      <c r="K365" t="s">
        <v>127</v>
      </c>
      <c r="L365" t="s">
        <v>690</v>
      </c>
      <c r="M365" t="s">
        <v>700</v>
      </c>
      <c r="N365">
        <v>1</v>
      </c>
      <c r="O365">
        <v>2020</v>
      </c>
      <c r="P365">
        <v>2530.170079990668</v>
      </c>
      <c r="Q365">
        <v>1.5324031945368921</v>
      </c>
      <c r="R365" t="s">
        <v>109</v>
      </c>
      <c r="S365">
        <v>1651.112506819924</v>
      </c>
      <c r="T365">
        <v>3.28</v>
      </c>
      <c r="U365" t="s">
        <v>110</v>
      </c>
      <c r="V365">
        <v>3.28</v>
      </c>
      <c r="W365">
        <v>6</v>
      </c>
      <c r="X365">
        <v>20</v>
      </c>
      <c r="Y365">
        <v>14</v>
      </c>
      <c r="Z365">
        <v>0.24</v>
      </c>
      <c r="AA365">
        <v>31.536000000000001</v>
      </c>
    </row>
    <row r="366" spans="1:27" x14ac:dyDescent="0.25">
      <c r="A366" t="s">
        <v>98</v>
      </c>
      <c r="B366" t="s">
        <v>99</v>
      </c>
      <c r="C366" t="s">
        <v>689</v>
      </c>
      <c r="D366" t="s">
        <v>101</v>
      </c>
      <c r="E366" t="s">
        <v>102</v>
      </c>
      <c r="G366" t="s">
        <v>133</v>
      </c>
      <c r="H366" t="s">
        <v>125</v>
      </c>
      <c r="I366">
        <v>2022</v>
      </c>
      <c r="J366" t="s">
        <v>136</v>
      </c>
      <c r="K366" t="s">
        <v>127</v>
      </c>
      <c r="L366" t="s">
        <v>690</v>
      </c>
      <c r="M366" t="s">
        <v>701</v>
      </c>
      <c r="N366">
        <v>1</v>
      </c>
      <c r="O366">
        <v>2022</v>
      </c>
      <c r="P366">
        <v>2530.170079990668</v>
      </c>
      <c r="Q366">
        <v>1.5324031945368921</v>
      </c>
      <c r="R366" t="s">
        <v>109</v>
      </c>
      <c r="S366">
        <v>1651.112506819924</v>
      </c>
      <c r="T366">
        <v>3.28</v>
      </c>
      <c r="U366" t="s">
        <v>110</v>
      </c>
      <c r="V366">
        <v>3.28</v>
      </c>
      <c r="W366">
        <v>6</v>
      </c>
      <c r="X366">
        <v>20</v>
      </c>
      <c r="Y366">
        <v>14</v>
      </c>
      <c r="Z366">
        <v>0.24</v>
      </c>
      <c r="AA366">
        <v>31.536000000000001</v>
      </c>
    </row>
    <row r="367" spans="1:27" x14ac:dyDescent="0.25">
      <c r="A367" t="s">
        <v>98</v>
      </c>
      <c r="B367" t="s">
        <v>99</v>
      </c>
      <c r="C367" t="s">
        <v>689</v>
      </c>
      <c r="D367" t="s">
        <v>101</v>
      </c>
      <c r="E367" t="s">
        <v>102</v>
      </c>
      <c r="G367" t="s">
        <v>138</v>
      </c>
      <c r="H367" t="s">
        <v>125</v>
      </c>
      <c r="I367">
        <v>2016</v>
      </c>
      <c r="J367" t="s">
        <v>139</v>
      </c>
      <c r="K367" t="s">
        <v>127</v>
      </c>
      <c r="L367" t="s">
        <v>690</v>
      </c>
      <c r="M367" t="s">
        <v>702</v>
      </c>
      <c r="N367">
        <v>1</v>
      </c>
      <c r="O367">
        <v>2020</v>
      </c>
      <c r="P367">
        <v>2316.7822419191662</v>
      </c>
      <c r="Q367">
        <v>1.5324031945368921</v>
      </c>
      <c r="R367" t="s">
        <v>109</v>
      </c>
      <c r="S367">
        <v>1511.862054437521</v>
      </c>
      <c r="T367">
        <v>2</v>
      </c>
      <c r="U367" t="s">
        <v>110</v>
      </c>
      <c r="V367">
        <v>2</v>
      </c>
      <c r="W367">
        <v>6</v>
      </c>
      <c r="X367">
        <v>20</v>
      </c>
      <c r="Y367">
        <v>14</v>
      </c>
      <c r="Z367">
        <v>0.24</v>
      </c>
      <c r="AA367">
        <v>31.536000000000001</v>
      </c>
    </row>
    <row r="368" spans="1:27" x14ac:dyDescent="0.25">
      <c r="A368" t="s">
        <v>98</v>
      </c>
      <c r="B368" t="s">
        <v>99</v>
      </c>
      <c r="C368" t="s">
        <v>689</v>
      </c>
      <c r="D368" t="s">
        <v>101</v>
      </c>
      <c r="E368" t="s">
        <v>102</v>
      </c>
      <c r="G368" t="s">
        <v>138</v>
      </c>
      <c r="H368" t="s">
        <v>125</v>
      </c>
      <c r="I368">
        <v>2022</v>
      </c>
      <c r="J368" t="s">
        <v>141</v>
      </c>
      <c r="K368" t="s">
        <v>127</v>
      </c>
      <c r="L368" t="s">
        <v>690</v>
      </c>
      <c r="M368" t="s">
        <v>703</v>
      </c>
      <c r="N368">
        <v>1</v>
      </c>
      <c r="O368">
        <v>2022</v>
      </c>
      <c r="P368">
        <v>2805.3845753706141</v>
      </c>
      <c r="Q368">
        <v>1.5324031945368921</v>
      </c>
      <c r="R368" t="s">
        <v>109</v>
      </c>
      <c r="S368">
        <v>1830.7091667336481</v>
      </c>
      <c r="T368">
        <v>3.3</v>
      </c>
      <c r="U368" t="s">
        <v>110</v>
      </c>
      <c r="V368">
        <v>3.3</v>
      </c>
      <c r="W368">
        <v>6</v>
      </c>
      <c r="X368">
        <v>20</v>
      </c>
      <c r="Y368">
        <v>14</v>
      </c>
      <c r="Z368">
        <v>0.24</v>
      </c>
      <c r="AA368">
        <v>31.536000000000001</v>
      </c>
    </row>
    <row r="369" spans="1:27" x14ac:dyDescent="0.25">
      <c r="A369" t="s">
        <v>98</v>
      </c>
      <c r="B369" t="s">
        <v>99</v>
      </c>
      <c r="C369" t="s">
        <v>689</v>
      </c>
      <c r="D369" t="s">
        <v>101</v>
      </c>
      <c r="E369" t="s">
        <v>102</v>
      </c>
      <c r="G369" t="s">
        <v>143</v>
      </c>
      <c r="H369" t="s">
        <v>125</v>
      </c>
      <c r="I369">
        <v>2016</v>
      </c>
      <c r="J369" t="s">
        <v>144</v>
      </c>
      <c r="K369" t="s">
        <v>127</v>
      </c>
      <c r="L369" t="s">
        <v>690</v>
      </c>
      <c r="M369" t="s">
        <v>704</v>
      </c>
      <c r="N369">
        <v>1</v>
      </c>
      <c r="O369">
        <v>2020</v>
      </c>
      <c r="P369">
        <v>3017.9137098683868</v>
      </c>
      <c r="Q369">
        <v>1.5324031945368921</v>
      </c>
      <c r="R369" t="s">
        <v>109</v>
      </c>
      <c r="S369">
        <v>1969.399255122561</v>
      </c>
      <c r="T369">
        <v>3.55</v>
      </c>
      <c r="U369" t="s">
        <v>110</v>
      </c>
      <c r="V369">
        <v>3.55</v>
      </c>
      <c r="W369">
        <v>6</v>
      </c>
      <c r="X369">
        <v>20</v>
      </c>
      <c r="Y369">
        <v>14</v>
      </c>
      <c r="Z369">
        <v>0.24</v>
      </c>
      <c r="AA369">
        <v>31.536000000000001</v>
      </c>
    </row>
    <row r="370" spans="1:27" x14ac:dyDescent="0.25">
      <c r="A370" t="s">
        <v>98</v>
      </c>
      <c r="B370" t="s">
        <v>99</v>
      </c>
      <c r="C370" t="s">
        <v>689</v>
      </c>
      <c r="D370" t="s">
        <v>101</v>
      </c>
      <c r="E370" t="s">
        <v>102</v>
      </c>
      <c r="G370" t="s">
        <v>143</v>
      </c>
      <c r="H370" t="s">
        <v>125</v>
      </c>
      <c r="I370">
        <v>2022</v>
      </c>
      <c r="J370" t="s">
        <v>146</v>
      </c>
      <c r="K370" t="s">
        <v>127</v>
      </c>
      <c r="L370" t="s">
        <v>690</v>
      </c>
      <c r="M370" t="s">
        <v>705</v>
      </c>
      <c r="N370">
        <v>1</v>
      </c>
      <c r="O370">
        <v>2022</v>
      </c>
      <c r="P370">
        <v>3017.9137098683868</v>
      </c>
      <c r="Q370">
        <v>1.5324031945368921</v>
      </c>
      <c r="R370" t="s">
        <v>109</v>
      </c>
      <c r="S370">
        <v>1969.399255122561</v>
      </c>
      <c r="T370">
        <v>3.55</v>
      </c>
      <c r="U370" t="s">
        <v>110</v>
      </c>
      <c r="V370">
        <v>3.55</v>
      </c>
      <c r="W370">
        <v>6</v>
      </c>
      <c r="X370">
        <v>20</v>
      </c>
      <c r="Y370">
        <v>14</v>
      </c>
      <c r="Z370">
        <v>0.24</v>
      </c>
      <c r="AA370">
        <v>31.536000000000001</v>
      </c>
    </row>
    <row r="371" spans="1:27" x14ac:dyDescent="0.25">
      <c r="A371" t="s">
        <v>98</v>
      </c>
      <c r="B371" t="s">
        <v>99</v>
      </c>
      <c r="C371" t="s">
        <v>689</v>
      </c>
      <c r="D371" t="s">
        <v>101</v>
      </c>
      <c r="E371" t="s">
        <v>102</v>
      </c>
      <c r="G371" t="s">
        <v>103</v>
      </c>
      <c r="H371" t="s">
        <v>148</v>
      </c>
      <c r="I371">
        <v>2016</v>
      </c>
      <c r="J371" t="s">
        <v>149</v>
      </c>
      <c r="K371" t="s">
        <v>150</v>
      </c>
      <c r="L371" t="s">
        <v>690</v>
      </c>
      <c r="M371" t="s">
        <v>706</v>
      </c>
      <c r="N371">
        <v>1</v>
      </c>
      <c r="O371">
        <v>2020</v>
      </c>
      <c r="P371">
        <v>2926.4617792663148</v>
      </c>
      <c r="Q371">
        <v>1.5324031945368921</v>
      </c>
      <c r="R371" t="s">
        <v>109</v>
      </c>
      <c r="S371">
        <v>1909.720489815817</v>
      </c>
      <c r="T371">
        <v>0.63670000000000004</v>
      </c>
      <c r="U371" t="s">
        <v>110</v>
      </c>
      <c r="V371">
        <v>0.63670000000000004</v>
      </c>
      <c r="W371">
        <v>6</v>
      </c>
      <c r="X371">
        <v>20</v>
      </c>
      <c r="Y371">
        <v>14</v>
      </c>
      <c r="Z371">
        <v>0.24</v>
      </c>
      <c r="AA371">
        <v>31.536000000000001</v>
      </c>
    </row>
    <row r="372" spans="1:27" x14ac:dyDescent="0.25">
      <c r="A372" t="s">
        <v>98</v>
      </c>
      <c r="B372" t="s">
        <v>99</v>
      </c>
      <c r="C372" t="s">
        <v>689</v>
      </c>
      <c r="D372" t="s">
        <v>101</v>
      </c>
      <c r="E372" t="s">
        <v>102</v>
      </c>
      <c r="G372" t="s">
        <v>111</v>
      </c>
      <c r="H372" t="s">
        <v>148</v>
      </c>
      <c r="I372">
        <v>2016</v>
      </c>
      <c r="J372" t="s">
        <v>152</v>
      </c>
      <c r="K372" t="s">
        <v>150</v>
      </c>
      <c r="L372" t="s">
        <v>690</v>
      </c>
      <c r="M372" t="s">
        <v>707</v>
      </c>
      <c r="N372">
        <v>1</v>
      </c>
      <c r="O372">
        <v>2020</v>
      </c>
      <c r="P372">
        <v>3109.3656404704602</v>
      </c>
      <c r="Q372">
        <v>1.5324031945368921</v>
      </c>
      <c r="R372" t="s">
        <v>109</v>
      </c>
      <c r="S372">
        <v>2029.0780204293051</v>
      </c>
      <c r="T372">
        <v>0.67</v>
      </c>
      <c r="U372" t="s">
        <v>110</v>
      </c>
      <c r="V372">
        <v>0.67</v>
      </c>
      <c r="W372">
        <v>6</v>
      </c>
      <c r="X372">
        <v>20</v>
      </c>
      <c r="Y372">
        <v>14</v>
      </c>
      <c r="Z372">
        <v>0.24</v>
      </c>
      <c r="AA372">
        <v>31.536000000000001</v>
      </c>
    </row>
    <row r="373" spans="1:27" x14ac:dyDescent="0.25">
      <c r="A373" t="s">
        <v>98</v>
      </c>
      <c r="B373" t="s">
        <v>99</v>
      </c>
      <c r="C373" t="s">
        <v>689</v>
      </c>
      <c r="D373" t="s">
        <v>101</v>
      </c>
      <c r="E373" t="s">
        <v>102</v>
      </c>
      <c r="G373" t="s">
        <v>119</v>
      </c>
      <c r="H373" t="s">
        <v>148</v>
      </c>
      <c r="I373">
        <v>2016</v>
      </c>
      <c r="J373" t="s">
        <v>154</v>
      </c>
      <c r="K373" t="s">
        <v>150</v>
      </c>
      <c r="L373" t="s">
        <v>690</v>
      </c>
      <c r="M373" t="s">
        <v>708</v>
      </c>
      <c r="N373">
        <v>1</v>
      </c>
      <c r="O373">
        <v>2020</v>
      </c>
      <c r="P373">
        <v>3078.881663603102</v>
      </c>
      <c r="Q373">
        <v>1.5324031945368921</v>
      </c>
      <c r="R373" t="s">
        <v>109</v>
      </c>
      <c r="S373">
        <v>2009.1850986603899</v>
      </c>
      <c r="T373">
        <v>0.69</v>
      </c>
      <c r="U373" t="s">
        <v>110</v>
      </c>
      <c r="V373">
        <v>0.69</v>
      </c>
      <c r="W373">
        <v>6</v>
      </c>
      <c r="X373">
        <v>20</v>
      </c>
      <c r="Y373">
        <v>14</v>
      </c>
      <c r="Z373">
        <v>0.24</v>
      </c>
      <c r="AA373">
        <v>31.536000000000001</v>
      </c>
    </row>
    <row r="374" spans="1:27" x14ac:dyDescent="0.25">
      <c r="A374" t="s">
        <v>98</v>
      </c>
      <c r="B374" t="s">
        <v>99</v>
      </c>
      <c r="C374" t="s">
        <v>689</v>
      </c>
      <c r="D374" t="s">
        <v>101</v>
      </c>
      <c r="E374" t="s">
        <v>102</v>
      </c>
      <c r="G374" t="s">
        <v>103</v>
      </c>
      <c r="H374" t="s">
        <v>156</v>
      </c>
      <c r="I374">
        <v>2016</v>
      </c>
      <c r="J374" t="s">
        <v>157</v>
      </c>
      <c r="K374" t="s">
        <v>158</v>
      </c>
      <c r="L374" t="s">
        <v>690</v>
      </c>
      <c r="M374" t="s">
        <v>709</v>
      </c>
      <c r="N374">
        <v>1</v>
      </c>
      <c r="O374">
        <v>2020</v>
      </c>
      <c r="P374">
        <v>2225.3303113170941</v>
      </c>
      <c r="Q374">
        <v>1.5324031945368921</v>
      </c>
      <c r="R374" t="s">
        <v>109</v>
      </c>
      <c r="S374">
        <v>1452.183289130777</v>
      </c>
      <c r="T374">
        <v>0.61014999999999997</v>
      </c>
      <c r="U374" t="s">
        <v>110</v>
      </c>
      <c r="V374">
        <v>0.61014999999999997</v>
      </c>
      <c r="W374">
        <v>6</v>
      </c>
      <c r="X374">
        <v>20</v>
      </c>
      <c r="Y374">
        <v>14</v>
      </c>
      <c r="Z374">
        <v>0.24</v>
      </c>
      <c r="AA374">
        <v>31.536000000000001</v>
      </c>
    </row>
    <row r="375" spans="1:27" x14ac:dyDescent="0.25">
      <c r="A375" t="s">
        <v>98</v>
      </c>
      <c r="B375" t="s">
        <v>99</v>
      </c>
      <c r="C375" t="s">
        <v>689</v>
      </c>
      <c r="D375" t="s">
        <v>101</v>
      </c>
      <c r="E375" t="s">
        <v>102</v>
      </c>
      <c r="G375" t="s">
        <v>111</v>
      </c>
      <c r="H375" t="s">
        <v>156</v>
      </c>
      <c r="I375">
        <v>2016</v>
      </c>
      <c r="J375" t="s">
        <v>160</v>
      </c>
      <c r="K375" t="s">
        <v>158</v>
      </c>
      <c r="L375" t="s">
        <v>690</v>
      </c>
      <c r="M375" t="s">
        <v>710</v>
      </c>
      <c r="N375">
        <v>1</v>
      </c>
      <c r="O375">
        <v>2020</v>
      </c>
      <c r="P375">
        <v>2347.266218786523</v>
      </c>
      <c r="Q375">
        <v>1.5324031945368921</v>
      </c>
      <c r="R375" t="s">
        <v>109</v>
      </c>
      <c r="S375">
        <v>1531.7549762064359</v>
      </c>
      <c r="T375">
        <v>0.63</v>
      </c>
      <c r="U375" t="s">
        <v>110</v>
      </c>
      <c r="V375">
        <v>0.63</v>
      </c>
      <c r="W375">
        <v>6</v>
      </c>
      <c r="X375">
        <v>20</v>
      </c>
      <c r="Y375">
        <v>14</v>
      </c>
      <c r="Z375">
        <v>0.24</v>
      </c>
      <c r="AA375">
        <v>31.536000000000001</v>
      </c>
    </row>
    <row r="376" spans="1:27" x14ac:dyDescent="0.25">
      <c r="A376" t="s">
        <v>98</v>
      </c>
      <c r="B376" t="s">
        <v>99</v>
      </c>
      <c r="C376" t="s">
        <v>689</v>
      </c>
      <c r="D376" t="s">
        <v>101</v>
      </c>
      <c r="E376" t="s">
        <v>102</v>
      </c>
      <c r="G376" t="s">
        <v>114</v>
      </c>
      <c r="H376" t="s">
        <v>156</v>
      </c>
      <c r="I376">
        <v>2016</v>
      </c>
      <c r="J376" t="s">
        <v>162</v>
      </c>
      <c r="K376" t="s">
        <v>158</v>
      </c>
      <c r="L376" t="s">
        <v>690</v>
      </c>
      <c r="M376" t="s">
        <v>711</v>
      </c>
      <c r="N376">
        <v>1</v>
      </c>
      <c r="O376">
        <v>2020</v>
      </c>
      <c r="P376">
        <v>2469.2021262559529</v>
      </c>
      <c r="Q376">
        <v>1.5324031945368921</v>
      </c>
      <c r="R376" t="s">
        <v>109</v>
      </c>
      <c r="S376">
        <v>1611.3266632820951</v>
      </c>
      <c r="T376">
        <v>0.66</v>
      </c>
      <c r="U376" t="s">
        <v>110</v>
      </c>
      <c r="V376">
        <v>0.66</v>
      </c>
      <c r="W376">
        <v>6</v>
      </c>
      <c r="X376">
        <v>20</v>
      </c>
      <c r="Y376">
        <v>14</v>
      </c>
      <c r="Z376">
        <v>0.24</v>
      </c>
      <c r="AA376">
        <v>31.536000000000001</v>
      </c>
    </row>
    <row r="377" spans="1:27" x14ac:dyDescent="0.25">
      <c r="A377" t="s">
        <v>98</v>
      </c>
      <c r="B377" t="s">
        <v>99</v>
      </c>
      <c r="C377" t="s">
        <v>689</v>
      </c>
      <c r="D377" t="s">
        <v>101</v>
      </c>
      <c r="E377" t="s">
        <v>102</v>
      </c>
      <c r="G377" t="s">
        <v>114</v>
      </c>
      <c r="H377" t="s">
        <v>156</v>
      </c>
      <c r="I377">
        <v>2023</v>
      </c>
      <c r="J377" t="s">
        <v>164</v>
      </c>
      <c r="K377" t="s">
        <v>158</v>
      </c>
      <c r="L377" t="s">
        <v>690</v>
      </c>
      <c r="M377" t="s">
        <v>712</v>
      </c>
      <c r="N377">
        <v>1</v>
      </c>
      <c r="O377">
        <v>2023</v>
      </c>
      <c r="P377">
        <v>3865.2553631628971</v>
      </c>
      <c r="Q377">
        <v>1.5324031945368921</v>
      </c>
      <c r="R377" t="s">
        <v>109</v>
      </c>
      <c r="S377">
        <v>2522.3488028103579</v>
      </c>
      <c r="T377">
        <v>0.83499999999999996</v>
      </c>
      <c r="U377" t="s">
        <v>110</v>
      </c>
      <c r="V377">
        <v>0.83499999999999996</v>
      </c>
      <c r="W377">
        <v>6</v>
      </c>
      <c r="X377">
        <v>20</v>
      </c>
      <c r="Y377">
        <v>14</v>
      </c>
      <c r="Z377">
        <v>0.24</v>
      </c>
      <c r="AA377">
        <v>31.536000000000001</v>
      </c>
    </row>
    <row r="378" spans="1:27" x14ac:dyDescent="0.25">
      <c r="A378" t="s">
        <v>98</v>
      </c>
      <c r="B378" t="s">
        <v>99</v>
      </c>
      <c r="C378" t="s">
        <v>689</v>
      </c>
      <c r="D378" t="s">
        <v>101</v>
      </c>
      <c r="E378" t="s">
        <v>102</v>
      </c>
      <c r="G378" t="s">
        <v>119</v>
      </c>
      <c r="H378" t="s">
        <v>156</v>
      </c>
      <c r="I378">
        <v>2016</v>
      </c>
      <c r="J378" t="s">
        <v>166</v>
      </c>
      <c r="K378" t="s">
        <v>158</v>
      </c>
      <c r="L378" t="s">
        <v>690</v>
      </c>
      <c r="M378" t="s">
        <v>713</v>
      </c>
      <c r="N378">
        <v>0</v>
      </c>
      <c r="O378">
        <v>2020</v>
      </c>
      <c r="P378">
        <v>3749.5291546849662</v>
      </c>
      <c r="Q378">
        <v>1.5324031945368921</v>
      </c>
      <c r="R378" t="s">
        <v>109</v>
      </c>
      <c r="S378">
        <v>2446.8293775765151</v>
      </c>
      <c r="T378">
        <v>0.81</v>
      </c>
      <c r="U378" t="s">
        <v>110</v>
      </c>
      <c r="V378">
        <v>0.81</v>
      </c>
      <c r="W378">
        <v>6</v>
      </c>
      <c r="X378">
        <v>20</v>
      </c>
      <c r="Y378">
        <v>14</v>
      </c>
      <c r="Z378">
        <v>0.24</v>
      </c>
      <c r="AA378">
        <v>31.536000000000001</v>
      </c>
    </row>
    <row r="379" spans="1:27" x14ac:dyDescent="0.25">
      <c r="A379" t="s">
        <v>98</v>
      </c>
      <c r="B379" t="s">
        <v>99</v>
      </c>
      <c r="C379" t="s">
        <v>689</v>
      </c>
      <c r="D379" t="s">
        <v>101</v>
      </c>
      <c r="E379" t="s">
        <v>102</v>
      </c>
      <c r="G379" t="s">
        <v>119</v>
      </c>
      <c r="H379" t="s">
        <v>156</v>
      </c>
      <c r="I379">
        <v>2018</v>
      </c>
      <c r="J379" t="s">
        <v>168</v>
      </c>
      <c r="K379" t="s">
        <v>158</v>
      </c>
      <c r="L379" t="s">
        <v>690</v>
      </c>
      <c r="M379" t="s">
        <v>713</v>
      </c>
      <c r="N379">
        <v>1</v>
      </c>
      <c r="O379">
        <v>2020</v>
      </c>
      <c r="P379">
        <v>3749.5291546849662</v>
      </c>
      <c r="Q379">
        <v>1.5324031945368921</v>
      </c>
      <c r="R379" t="s">
        <v>109</v>
      </c>
      <c r="S379">
        <v>2446.8293775765151</v>
      </c>
      <c r="T379">
        <v>0.81</v>
      </c>
      <c r="U379" t="s">
        <v>110</v>
      </c>
      <c r="V379">
        <v>0.81</v>
      </c>
      <c r="W379">
        <v>6</v>
      </c>
      <c r="X379">
        <v>20</v>
      </c>
      <c r="Y379">
        <v>14</v>
      </c>
      <c r="Z379">
        <v>0.24</v>
      </c>
      <c r="AA379">
        <v>31.536000000000001</v>
      </c>
    </row>
    <row r="380" spans="1:27" x14ac:dyDescent="0.25">
      <c r="A380" t="s">
        <v>98</v>
      </c>
      <c r="B380" t="s">
        <v>99</v>
      </c>
      <c r="C380" t="s">
        <v>689</v>
      </c>
      <c r="D380" t="s">
        <v>101</v>
      </c>
      <c r="E380" t="s">
        <v>102</v>
      </c>
      <c r="G380" t="s">
        <v>111</v>
      </c>
      <c r="H380" t="s">
        <v>169</v>
      </c>
      <c r="I380">
        <v>2016</v>
      </c>
      <c r="J380" t="s">
        <v>170</v>
      </c>
      <c r="K380" t="s">
        <v>171</v>
      </c>
      <c r="L380" t="s">
        <v>690</v>
      </c>
      <c r="M380" t="s">
        <v>714</v>
      </c>
      <c r="N380">
        <v>0</v>
      </c>
      <c r="O380">
        <v>2020</v>
      </c>
      <c r="P380">
        <v>13412.949821637279</v>
      </c>
      <c r="Q380">
        <v>1.5324031945368921</v>
      </c>
      <c r="R380" t="s">
        <v>109</v>
      </c>
      <c r="S380">
        <v>8752.8855783224917</v>
      </c>
      <c r="T380">
        <v>1</v>
      </c>
      <c r="U380" t="s">
        <v>173</v>
      </c>
      <c r="V380">
        <v>1</v>
      </c>
      <c r="W380">
        <v>15</v>
      </c>
      <c r="X380">
        <v>30</v>
      </c>
      <c r="Y380">
        <v>23</v>
      </c>
      <c r="Z380">
        <v>0.24</v>
      </c>
      <c r="AA380">
        <v>31.536000000000001</v>
      </c>
    </row>
    <row r="381" spans="1:27" x14ac:dyDescent="0.25">
      <c r="A381" t="s">
        <v>98</v>
      </c>
      <c r="B381" t="s">
        <v>99</v>
      </c>
      <c r="C381" t="s">
        <v>689</v>
      </c>
      <c r="D381" t="s">
        <v>101</v>
      </c>
      <c r="E381" t="s">
        <v>102</v>
      </c>
      <c r="G381" t="s">
        <v>111</v>
      </c>
      <c r="H381" t="s">
        <v>169</v>
      </c>
      <c r="I381">
        <v>2020</v>
      </c>
      <c r="J381" t="s">
        <v>174</v>
      </c>
      <c r="K381" t="s">
        <v>171</v>
      </c>
      <c r="L381" t="s">
        <v>690</v>
      </c>
      <c r="M381" t="s">
        <v>714</v>
      </c>
      <c r="N381">
        <v>1</v>
      </c>
      <c r="O381">
        <v>2020</v>
      </c>
      <c r="P381">
        <v>13412.949821637279</v>
      </c>
      <c r="Q381">
        <v>1.5324031945368921</v>
      </c>
      <c r="R381" t="s">
        <v>109</v>
      </c>
      <c r="S381">
        <v>8752.8855783224917</v>
      </c>
      <c r="T381">
        <v>1</v>
      </c>
      <c r="U381" t="s">
        <v>173</v>
      </c>
      <c r="V381">
        <v>1</v>
      </c>
      <c r="W381">
        <v>15</v>
      </c>
      <c r="X381">
        <v>30</v>
      </c>
      <c r="Y381">
        <v>23</v>
      </c>
      <c r="Z381">
        <v>0.24</v>
      </c>
      <c r="AA381">
        <v>31.536000000000001</v>
      </c>
    </row>
    <row r="382" spans="1:27" x14ac:dyDescent="0.25">
      <c r="A382" t="s">
        <v>98</v>
      </c>
      <c r="B382" t="s">
        <v>99</v>
      </c>
      <c r="C382" t="s">
        <v>689</v>
      </c>
      <c r="D382" t="s">
        <v>101</v>
      </c>
      <c r="E382" t="s">
        <v>102</v>
      </c>
      <c r="G382" t="s">
        <v>111</v>
      </c>
      <c r="H382" t="s">
        <v>169</v>
      </c>
      <c r="I382">
        <v>2023</v>
      </c>
      <c r="J382" t="s">
        <v>175</v>
      </c>
      <c r="K382" t="s">
        <v>171</v>
      </c>
      <c r="L382" t="s">
        <v>690</v>
      </c>
      <c r="M382" t="s">
        <v>715</v>
      </c>
      <c r="N382">
        <v>1</v>
      </c>
      <c r="O382">
        <v>2023</v>
      </c>
      <c r="P382">
        <v>13412.949821637279</v>
      </c>
      <c r="Q382">
        <v>1.5324031945368921</v>
      </c>
      <c r="R382" t="s">
        <v>109</v>
      </c>
      <c r="S382">
        <v>8752.8855783224917</v>
      </c>
      <c r="T382">
        <v>1</v>
      </c>
      <c r="U382" t="s">
        <v>173</v>
      </c>
      <c r="V382">
        <v>1</v>
      </c>
      <c r="W382">
        <v>15</v>
      </c>
      <c r="X382">
        <v>30</v>
      </c>
      <c r="Y382">
        <v>23</v>
      </c>
      <c r="Z382">
        <v>0.24</v>
      </c>
      <c r="AA382">
        <v>31.536000000000001</v>
      </c>
    </row>
    <row r="383" spans="1:27" x14ac:dyDescent="0.25">
      <c r="A383" t="s">
        <v>98</v>
      </c>
      <c r="B383" t="s">
        <v>99</v>
      </c>
      <c r="C383" t="s">
        <v>689</v>
      </c>
      <c r="D383" t="s">
        <v>101</v>
      </c>
      <c r="E383" t="s">
        <v>102</v>
      </c>
      <c r="G383" t="s">
        <v>111</v>
      </c>
      <c r="H383" t="s">
        <v>169</v>
      </c>
      <c r="I383">
        <v>2024</v>
      </c>
      <c r="J383" t="s">
        <v>177</v>
      </c>
      <c r="K383" t="s">
        <v>171</v>
      </c>
      <c r="L383" t="s">
        <v>690</v>
      </c>
      <c r="M383" t="s">
        <v>716</v>
      </c>
      <c r="N383">
        <v>1</v>
      </c>
      <c r="O383">
        <v>2024</v>
      </c>
      <c r="P383">
        <v>13412.949821637279</v>
      </c>
      <c r="Q383">
        <v>1.5324031945368921</v>
      </c>
      <c r="R383" t="s">
        <v>109</v>
      </c>
      <c r="S383">
        <v>8752.8855783224917</v>
      </c>
      <c r="T383">
        <v>1</v>
      </c>
      <c r="U383" t="s">
        <v>173</v>
      </c>
      <c r="V383">
        <v>1</v>
      </c>
      <c r="W383">
        <v>15</v>
      </c>
      <c r="X383">
        <v>30</v>
      </c>
      <c r="Y383">
        <v>23</v>
      </c>
      <c r="Z383">
        <v>0.24</v>
      </c>
      <c r="AA383">
        <v>31.536000000000001</v>
      </c>
    </row>
    <row r="384" spans="1:27" x14ac:dyDescent="0.25">
      <c r="A384" t="s">
        <v>98</v>
      </c>
      <c r="B384" t="s">
        <v>99</v>
      </c>
      <c r="C384" t="s">
        <v>689</v>
      </c>
      <c r="D384" t="s">
        <v>101</v>
      </c>
      <c r="E384" t="s">
        <v>179</v>
      </c>
      <c r="F384" t="s">
        <v>180</v>
      </c>
      <c r="G384" t="s">
        <v>103</v>
      </c>
      <c r="H384" t="s">
        <v>125</v>
      </c>
      <c r="I384">
        <v>2016</v>
      </c>
      <c r="J384" t="s">
        <v>181</v>
      </c>
      <c r="K384" t="s">
        <v>127</v>
      </c>
      <c r="L384" t="s">
        <v>717</v>
      </c>
      <c r="M384" t="s">
        <v>718</v>
      </c>
      <c r="N384">
        <v>1</v>
      </c>
      <c r="O384">
        <v>2020</v>
      </c>
      <c r="P384">
        <v>2956.9457561336731</v>
      </c>
      <c r="Q384">
        <v>4.3808079625411702</v>
      </c>
      <c r="R384" t="s">
        <v>109</v>
      </c>
      <c r="S384">
        <v>674.97726022631696</v>
      </c>
      <c r="T384">
        <v>2.4032825322391562</v>
      </c>
      <c r="U384" t="s">
        <v>184</v>
      </c>
      <c r="V384">
        <v>2.4032825322391562</v>
      </c>
      <c r="W384">
        <v>9</v>
      </c>
      <c r="X384">
        <v>22</v>
      </c>
      <c r="Y384">
        <v>16</v>
      </c>
      <c r="Z384">
        <v>9.0799342577003436E-2</v>
      </c>
      <c r="AA384">
        <v>31.536000000000001</v>
      </c>
    </row>
    <row r="385" spans="1:27" x14ac:dyDescent="0.25">
      <c r="A385" t="s">
        <v>98</v>
      </c>
      <c r="B385" t="s">
        <v>99</v>
      </c>
      <c r="C385" t="s">
        <v>689</v>
      </c>
      <c r="D385" t="s">
        <v>101</v>
      </c>
      <c r="E385" t="s">
        <v>179</v>
      </c>
      <c r="F385" t="s">
        <v>180</v>
      </c>
      <c r="G385" t="s">
        <v>103</v>
      </c>
      <c r="H385" t="s">
        <v>125</v>
      </c>
      <c r="I385">
        <v>2023</v>
      </c>
      <c r="J385" t="s">
        <v>185</v>
      </c>
      <c r="K385" t="s">
        <v>127</v>
      </c>
      <c r="L385" t="s">
        <v>717</v>
      </c>
      <c r="M385" t="s">
        <v>719</v>
      </c>
      <c r="N385">
        <v>1</v>
      </c>
      <c r="O385">
        <v>2023</v>
      </c>
      <c r="P385">
        <v>2956.9457561336731</v>
      </c>
      <c r="Q385">
        <v>4.3808079625411702</v>
      </c>
      <c r="R385" t="s">
        <v>109</v>
      </c>
      <c r="S385">
        <v>674.97726022631696</v>
      </c>
      <c r="T385">
        <v>2.4032825322391562</v>
      </c>
      <c r="U385" t="s">
        <v>184</v>
      </c>
      <c r="V385">
        <v>2.4032825322391562</v>
      </c>
      <c r="W385">
        <v>9</v>
      </c>
      <c r="X385">
        <v>22</v>
      </c>
      <c r="Y385">
        <v>16</v>
      </c>
      <c r="Z385">
        <v>9.0799342577003436E-2</v>
      </c>
      <c r="AA385">
        <v>31.536000000000001</v>
      </c>
    </row>
    <row r="386" spans="1:27" x14ac:dyDescent="0.25">
      <c r="A386" t="s">
        <v>98</v>
      </c>
      <c r="B386" t="s">
        <v>99</v>
      </c>
      <c r="C386" t="s">
        <v>689</v>
      </c>
      <c r="D386" t="s">
        <v>101</v>
      </c>
      <c r="E386" t="s">
        <v>179</v>
      </c>
      <c r="F386" t="s">
        <v>180</v>
      </c>
      <c r="G386" t="s">
        <v>111</v>
      </c>
      <c r="H386" t="s">
        <v>125</v>
      </c>
      <c r="I386">
        <v>2016</v>
      </c>
      <c r="J386" t="s">
        <v>187</v>
      </c>
      <c r="K386" t="s">
        <v>127</v>
      </c>
      <c r="L386" t="s">
        <v>717</v>
      </c>
      <c r="M386" t="s">
        <v>720</v>
      </c>
      <c r="N386">
        <v>1</v>
      </c>
      <c r="O386">
        <v>2020</v>
      </c>
      <c r="P386">
        <v>3109.3656404704602</v>
      </c>
      <c r="Q386">
        <v>4.3808079625411702</v>
      </c>
      <c r="R386" t="s">
        <v>109</v>
      </c>
      <c r="S386">
        <v>709.76990250602398</v>
      </c>
      <c r="T386">
        <v>2.5205158264947238</v>
      </c>
      <c r="U386" t="s">
        <v>184</v>
      </c>
      <c r="V386">
        <v>2.5205158264947238</v>
      </c>
      <c r="W386">
        <v>9</v>
      </c>
      <c r="X386">
        <v>22</v>
      </c>
      <c r="Y386">
        <v>16</v>
      </c>
      <c r="Z386">
        <v>9.0799342577003436E-2</v>
      </c>
      <c r="AA386">
        <v>31.536000000000001</v>
      </c>
    </row>
    <row r="387" spans="1:27" x14ac:dyDescent="0.25">
      <c r="A387" t="s">
        <v>98</v>
      </c>
      <c r="B387" t="s">
        <v>99</v>
      </c>
      <c r="C387" t="s">
        <v>689</v>
      </c>
      <c r="D387" t="s">
        <v>101</v>
      </c>
      <c r="E387" t="s">
        <v>179</v>
      </c>
      <c r="F387" t="s">
        <v>180</v>
      </c>
      <c r="G387" t="s">
        <v>111</v>
      </c>
      <c r="H387" t="s">
        <v>125</v>
      </c>
      <c r="I387">
        <v>2023</v>
      </c>
      <c r="J387" t="s">
        <v>189</v>
      </c>
      <c r="K387" t="s">
        <v>127</v>
      </c>
      <c r="L387" t="s">
        <v>717</v>
      </c>
      <c r="M387" t="s">
        <v>721</v>
      </c>
      <c r="N387">
        <v>1</v>
      </c>
      <c r="O387">
        <v>2023</v>
      </c>
      <c r="P387">
        <v>3139.8496173378171</v>
      </c>
      <c r="Q387">
        <v>4.3808079625411702</v>
      </c>
      <c r="R387" t="s">
        <v>109</v>
      </c>
      <c r="S387">
        <v>716.72843096196527</v>
      </c>
      <c r="T387">
        <v>2.5791324736225092</v>
      </c>
      <c r="U387" t="s">
        <v>184</v>
      </c>
      <c r="V387">
        <v>2.5791324736225092</v>
      </c>
      <c r="W387">
        <v>9</v>
      </c>
      <c r="X387">
        <v>22</v>
      </c>
      <c r="Y387">
        <v>16</v>
      </c>
      <c r="Z387">
        <v>9.0799342577003436E-2</v>
      </c>
      <c r="AA387">
        <v>31.536000000000001</v>
      </c>
    </row>
    <row r="388" spans="1:27" x14ac:dyDescent="0.25">
      <c r="A388" t="s">
        <v>98</v>
      </c>
      <c r="B388" t="s">
        <v>99</v>
      </c>
      <c r="C388" t="s">
        <v>689</v>
      </c>
      <c r="D388" t="s">
        <v>101</v>
      </c>
      <c r="E388" t="s">
        <v>179</v>
      </c>
      <c r="F388" t="s">
        <v>180</v>
      </c>
      <c r="G388" t="s">
        <v>114</v>
      </c>
      <c r="H388" t="s">
        <v>125</v>
      </c>
      <c r="I388">
        <v>2016</v>
      </c>
      <c r="J388" t="s">
        <v>191</v>
      </c>
      <c r="K388" t="s">
        <v>127</v>
      </c>
      <c r="L388" t="s">
        <v>717</v>
      </c>
      <c r="M388" t="s">
        <v>722</v>
      </c>
      <c r="N388">
        <v>1</v>
      </c>
      <c r="O388">
        <v>2020</v>
      </c>
      <c r="P388">
        <v>3017.9137098683868</v>
      </c>
      <c r="Q388">
        <v>4.3808079625411702</v>
      </c>
      <c r="R388" t="s">
        <v>109</v>
      </c>
      <c r="S388">
        <v>688.89431713819965</v>
      </c>
      <c r="T388">
        <v>2.4912075029308318</v>
      </c>
      <c r="U388" t="s">
        <v>184</v>
      </c>
      <c r="V388">
        <v>2.4912075029308318</v>
      </c>
      <c r="W388">
        <v>9</v>
      </c>
      <c r="X388">
        <v>22</v>
      </c>
      <c r="Y388">
        <v>16</v>
      </c>
      <c r="Z388">
        <v>9.0799342577003436E-2</v>
      </c>
      <c r="AA388">
        <v>31.536000000000001</v>
      </c>
    </row>
    <row r="389" spans="1:27" x14ac:dyDescent="0.25">
      <c r="A389" t="s">
        <v>98</v>
      </c>
      <c r="B389" t="s">
        <v>99</v>
      </c>
      <c r="C389" t="s">
        <v>689</v>
      </c>
      <c r="D389" t="s">
        <v>101</v>
      </c>
      <c r="E389" t="s">
        <v>179</v>
      </c>
      <c r="F389" t="s">
        <v>180</v>
      </c>
      <c r="G389" t="s">
        <v>114</v>
      </c>
      <c r="H389" t="s">
        <v>125</v>
      </c>
      <c r="I389">
        <v>2022</v>
      </c>
      <c r="J389" t="s">
        <v>193</v>
      </c>
      <c r="K389" t="s">
        <v>127</v>
      </c>
      <c r="L389" t="s">
        <v>717</v>
      </c>
      <c r="M389" t="s">
        <v>723</v>
      </c>
      <c r="N389">
        <v>1</v>
      </c>
      <c r="O389">
        <v>2022</v>
      </c>
      <c r="P389">
        <v>3017.9137098683868</v>
      </c>
      <c r="Q389">
        <v>4.3808079625411702</v>
      </c>
      <c r="R389" t="s">
        <v>109</v>
      </c>
      <c r="S389">
        <v>688.89431713819965</v>
      </c>
      <c r="T389">
        <v>2.4912075029308318</v>
      </c>
      <c r="U389" t="s">
        <v>184</v>
      </c>
      <c r="V389">
        <v>2.4912075029308318</v>
      </c>
      <c r="W389">
        <v>9</v>
      </c>
      <c r="X389">
        <v>22</v>
      </c>
      <c r="Y389">
        <v>16</v>
      </c>
      <c r="Z389">
        <v>9.0799342577003436E-2</v>
      </c>
      <c r="AA389">
        <v>31.536000000000001</v>
      </c>
    </row>
    <row r="390" spans="1:27" x14ac:dyDescent="0.25">
      <c r="A390" t="s">
        <v>98</v>
      </c>
      <c r="B390" t="s">
        <v>99</v>
      </c>
      <c r="C390" t="s">
        <v>689</v>
      </c>
      <c r="D390" t="s">
        <v>101</v>
      </c>
      <c r="E390" t="s">
        <v>179</v>
      </c>
      <c r="F390" t="s">
        <v>180</v>
      </c>
      <c r="G390" t="s">
        <v>114</v>
      </c>
      <c r="H390" t="s">
        <v>125</v>
      </c>
      <c r="I390">
        <v>2023</v>
      </c>
      <c r="J390" t="s">
        <v>195</v>
      </c>
      <c r="K390" t="s">
        <v>127</v>
      </c>
      <c r="L390" t="s">
        <v>717</v>
      </c>
      <c r="M390" t="s">
        <v>724</v>
      </c>
      <c r="N390">
        <v>1</v>
      </c>
      <c r="O390">
        <v>2023</v>
      </c>
      <c r="P390">
        <v>3266.447780092843</v>
      </c>
      <c r="Q390">
        <v>4.3808079625411702</v>
      </c>
      <c r="R390" t="s">
        <v>109</v>
      </c>
      <c r="S390">
        <v>745.62679031428672</v>
      </c>
      <c r="T390">
        <v>2.6963657678780768</v>
      </c>
      <c r="U390" t="s">
        <v>184</v>
      </c>
      <c r="V390">
        <v>2.6963657678780768</v>
      </c>
      <c r="W390">
        <v>9</v>
      </c>
      <c r="X390">
        <v>22</v>
      </c>
      <c r="Y390">
        <v>16</v>
      </c>
      <c r="Z390">
        <v>9.0799342577003436E-2</v>
      </c>
      <c r="AA390">
        <v>31.536000000000001</v>
      </c>
    </row>
    <row r="391" spans="1:27" x14ac:dyDescent="0.25">
      <c r="A391" t="s">
        <v>98</v>
      </c>
      <c r="B391" t="s">
        <v>99</v>
      </c>
      <c r="C391" t="s">
        <v>689</v>
      </c>
      <c r="D391" t="s">
        <v>101</v>
      </c>
      <c r="E391" t="s">
        <v>179</v>
      </c>
      <c r="F391" t="s">
        <v>180</v>
      </c>
      <c r="G391" t="s">
        <v>119</v>
      </c>
      <c r="H391" t="s">
        <v>125</v>
      </c>
      <c r="I391">
        <v>2016</v>
      </c>
      <c r="J391" t="s">
        <v>197</v>
      </c>
      <c r="K391" t="s">
        <v>127</v>
      </c>
      <c r="L391" t="s">
        <v>717</v>
      </c>
      <c r="M391" t="s">
        <v>725</v>
      </c>
      <c r="N391">
        <v>1</v>
      </c>
      <c r="O391">
        <v>2020</v>
      </c>
      <c r="P391">
        <v>3719.0451778176089</v>
      </c>
      <c r="Q391">
        <v>4.3808079625411702</v>
      </c>
      <c r="R391" t="s">
        <v>109</v>
      </c>
      <c r="S391">
        <v>848.94047162485219</v>
      </c>
      <c r="T391">
        <v>2.6377491207502932</v>
      </c>
      <c r="U391" t="s">
        <v>184</v>
      </c>
      <c r="V391">
        <v>2.6377491207502932</v>
      </c>
      <c r="W391">
        <v>9</v>
      </c>
      <c r="X391">
        <v>22</v>
      </c>
      <c r="Y391">
        <v>16</v>
      </c>
      <c r="Z391">
        <v>9.0799342577003436E-2</v>
      </c>
      <c r="AA391">
        <v>31.536000000000001</v>
      </c>
    </row>
    <row r="392" spans="1:27" x14ac:dyDescent="0.25">
      <c r="A392" t="s">
        <v>98</v>
      </c>
      <c r="B392" t="s">
        <v>99</v>
      </c>
      <c r="C392" t="s">
        <v>689</v>
      </c>
      <c r="D392" t="s">
        <v>101</v>
      </c>
      <c r="E392" t="s">
        <v>179</v>
      </c>
      <c r="F392" t="s">
        <v>180</v>
      </c>
      <c r="G392" t="s">
        <v>119</v>
      </c>
      <c r="H392" t="s">
        <v>125</v>
      </c>
      <c r="I392">
        <v>2022</v>
      </c>
      <c r="J392" t="s">
        <v>199</v>
      </c>
      <c r="K392" t="s">
        <v>127</v>
      </c>
      <c r="L392" t="s">
        <v>717</v>
      </c>
      <c r="M392" t="s">
        <v>726</v>
      </c>
      <c r="N392">
        <v>1</v>
      </c>
      <c r="O392">
        <v>2022</v>
      </c>
      <c r="P392">
        <v>3914.784397702746</v>
      </c>
      <c r="Q392">
        <v>4.3808079625411702</v>
      </c>
      <c r="R392" t="s">
        <v>109</v>
      </c>
      <c r="S392">
        <v>893.62154907879176</v>
      </c>
      <c r="T392">
        <v>2.9308323563892151</v>
      </c>
      <c r="U392" t="s">
        <v>184</v>
      </c>
      <c r="V392">
        <v>2.9308323563892151</v>
      </c>
      <c r="W392">
        <v>9</v>
      </c>
      <c r="X392">
        <v>22</v>
      </c>
      <c r="Y392">
        <v>16</v>
      </c>
      <c r="Z392">
        <v>9.0799342577003436E-2</v>
      </c>
      <c r="AA392">
        <v>31.536000000000001</v>
      </c>
    </row>
    <row r="393" spans="1:27" x14ac:dyDescent="0.25">
      <c r="A393" t="s">
        <v>98</v>
      </c>
      <c r="B393" t="s">
        <v>99</v>
      </c>
      <c r="C393" t="s">
        <v>689</v>
      </c>
      <c r="D393" t="s">
        <v>101</v>
      </c>
      <c r="E393" t="s">
        <v>179</v>
      </c>
      <c r="F393" t="s">
        <v>201</v>
      </c>
      <c r="G393" t="s">
        <v>103</v>
      </c>
      <c r="H393" t="s">
        <v>125</v>
      </c>
      <c r="I393">
        <v>2016</v>
      </c>
      <c r="J393" t="s">
        <v>202</v>
      </c>
      <c r="K393" t="s">
        <v>127</v>
      </c>
      <c r="L393" t="s">
        <v>717</v>
      </c>
      <c r="M393" t="s">
        <v>727</v>
      </c>
      <c r="N393">
        <v>1</v>
      </c>
      <c r="O393">
        <v>2020</v>
      </c>
      <c r="P393">
        <v>9511.0007826155233</v>
      </c>
      <c r="Q393">
        <v>4.3808079625411702</v>
      </c>
      <c r="R393" t="s">
        <v>109</v>
      </c>
      <c r="S393">
        <v>2171.0608782537201</v>
      </c>
      <c r="T393">
        <v>3.2</v>
      </c>
      <c r="U393" t="s">
        <v>184</v>
      </c>
      <c r="V393">
        <v>3.2</v>
      </c>
      <c r="W393">
        <v>8</v>
      </c>
      <c r="X393">
        <v>20.8</v>
      </c>
      <c r="Y393">
        <v>15</v>
      </c>
      <c r="Z393">
        <v>9.0799342577003436E-2</v>
      </c>
      <c r="AA393">
        <v>31.536000000000001</v>
      </c>
    </row>
    <row r="394" spans="1:27" x14ac:dyDescent="0.25">
      <c r="A394" t="s">
        <v>98</v>
      </c>
      <c r="B394" t="s">
        <v>99</v>
      </c>
      <c r="C394" t="s">
        <v>689</v>
      </c>
      <c r="D394" t="s">
        <v>101</v>
      </c>
      <c r="E394" t="s">
        <v>179</v>
      </c>
      <c r="F394" t="s">
        <v>201</v>
      </c>
      <c r="G394" t="s">
        <v>111</v>
      </c>
      <c r="H394" t="s">
        <v>125</v>
      </c>
      <c r="I394">
        <v>2016</v>
      </c>
      <c r="J394" t="s">
        <v>204</v>
      </c>
      <c r="K394" t="s">
        <v>127</v>
      </c>
      <c r="L394" t="s">
        <v>717</v>
      </c>
      <c r="M394" t="s">
        <v>728</v>
      </c>
      <c r="N394">
        <v>1</v>
      </c>
      <c r="O394">
        <v>2020</v>
      </c>
      <c r="P394">
        <v>9846.3245281564559</v>
      </c>
      <c r="Q394">
        <v>4.3808079625411702</v>
      </c>
      <c r="R394" t="s">
        <v>109</v>
      </c>
      <c r="S394">
        <v>2247.6046912690758</v>
      </c>
      <c r="T394">
        <v>3.7</v>
      </c>
      <c r="U394" t="s">
        <v>184</v>
      </c>
      <c r="V394">
        <v>3.7</v>
      </c>
      <c r="W394">
        <v>8</v>
      </c>
      <c r="X394">
        <v>20.8</v>
      </c>
      <c r="Y394">
        <v>15</v>
      </c>
      <c r="Z394">
        <v>9.0799342577003436E-2</v>
      </c>
      <c r="AA394">
        <v>31.536000000000001</v>
      </c>
    </row>
    <row r="395" spans="1:27" x14ac:dyDescent="0.25">
      <c r="A395" t="s">
        <v>98</v>
      </c>
      <c r="B395" t="s">
        <v>99</v>
      </c>
      <c r="C395" t="s">
        <v>689</v>
      </c>
      <c r="D395" t="s">
        <v>101</v>
      </c>
      <c r="E395" t="s">
        <v>179</v>
      </c>
      <c r="F395" t="s">
        <v>201</v>
      </c>
      <c r="G395" t="s">
        <v>114</v>
      </c>
      <c r="H395" t="s">
        <v>125</v>
      </c>
      <c r="I395">
        <v>2016</v>
      </c>
      <c r="J395" t="s">
        <v>206</v>
      </c>
      <c r="K395" t="s">
        <v>127</v>
      </c>
      <c r="L395" t="s">
        <v>717</v>
      </c>
      <c r="M395" t="s">
        <v>729</v>
      </c>
      <c r="N395">
        <v>0</v>
      </c>
      <c r="O395">
        <v>2020</v>
      </c>
      <c r="P395">
        <v>9846.3245281564559</v>
      </c>
      <c r="Q395">
        <v>4.3808079625411702</v>
      </c>
      <c r="R395" t="s">
        <v>109</v>
      </c>
      <c r="S395">
        <v>2247.6046912690758</v>
      </c>
      <c r="T395">
        <v>3.6</v>
      </c>
      <c r="U395" t="s">
        <v>184</v>
      </c>
      <c r="V395">
        <v>3.6</v>
      </c>
      <c r="W395">
        <v>8</v>
      </c>
      <c r="X395">
        <v>20.8</v>
      </c>
      <c r="Y395">
        <v>15</v>
      </c>
      <c r="Z395">
        <v>9.0799342577003436E-2</v>
      </c>
      <c r="AA395">
        <v>31.536000000000001</v>
      </c>
    </row>
    <row r="396" spans="1:27" x14ac:dyDescent="0.25">
      <c r="A396" t="s">
        <v>98</v>
      </c>
      <c r="B396" t="s">
        <v>99</v>
      </c>
      <c r="C396" t="s">
        <v>689</v>
      </c>
      <c r="D396" t="s">
        <v>101</v>
      </c>
      <c r="E396" t="s">
        <v>179</v>
      </c>
      <c r="F396" t="s">
        <v>201</v>
      </c>
      <c r="G396" t="s">
        <v>114</v>
      </c>
      <c r="H396" t="s">
        <v>125</v>
      </c>
      <c r="I396">
        <v>2020</v>
      </c>
      <c r="J396" t="s">
        <v>208</v>
      </c>
      <c r="K396" t="s">
        <v>127</v>
      </c>
      <c r="L396" t="s">
        <v>717</v>
      </c>
      <c r="M396" t="s">
        <v>729</v>
      </c>
      <c r="N396">
        <v>1</v>
      </c>
      <c r="O396">
        <v>2020</v>
      </c>
      <c r="P396">
        <v>9846.3245281564559</v>
      </c>
      <c r="Q396">
        <v>4.3808079625411702</v>
      </c>
      <c r="R396" t="s">
        <v>109</v>
      </c>
      <c r="S396">
        <v>2247.6046912690758</v>
      </c>
      <c r="T396">
        <v>3.6</v>
      </c>
      <c r="U396" t="s">
        <v>184</v>
      </c>
      <c r="V396">
        <v>3.6</v>
      </c>
      <c r="W396">
        <v>8</v>
      </c>
      <c r="X396">
        <v>20.8</v>
      </c>
      <c r="Y396">
        <v>15</v>
      </c>
      <c r="Z396">
        <v>9.0799342577003436E-2</v>
      </c>
      <c r="AA396">
        <v>31.536000000000001</v>
      </c>
    </row>
    <row r="397" spans="1:27" x14ac:dyDescent="0.25">
      <c r="A397" t="s">
        <v>98</v>
      </c>
      <c r="B397" t="s">
        <v>99</v>
      </c>
      <c r="C397" t="s">
        <v>689</v>
      </c>
      <c r="D397" t="s">
        <v>101</v>
      </c>
      <c r="E397" t="s">
        <v>179</v>
      </c>
      <c r="F397" t="s">
        <v>201</v>
      </c>
      <c r="G397" t="s">
        <v>114</v>
      </c>
      <c r="H397" t="s">
        <v>125</v>
      </c>
      <c r="I397">
        <v>2022</v>
      </c>
      <c r="J397" t="s">
        <v>209</v>
      </c>
      <c r="K397" t="s">
        <v>127</v>
      </c>
      <c r="L397" t="s">
        <v>717</v>
      </c>
      <c r="M397" t="s">
        <v>730</v>
      </c>
      <c r="N397">
        <v>1</v>
      </c>
      <c r="O397">
        <v>2022</v>
      </c>
      <c r="P397">
        <v>9846.3245281564559</v>
      </c>
      <c r="Q397">
        <v>4.3808079625411702</v>
      </c>
      <c r="R397" t="s">
        <v>109</v>
      </c>
      <c r="S397">
        <v>2247.6046912690758</v>
      </c>
      <c r="T397">
        <v>3.6</v>
      </c>
      <c r="U397" t="s">
        <v>184</v>
      </c>
      <c r="V397">
        <v>3.6</v>
      </c>
      <c r="W397">
        <v>8</v>
      </c>
      <c r="X397">
        <v>20.8</v>
      </c>
      <c r="Y397">
        <v>15</v>
      </c>
      <c r="Z397">
        <v>9.0799342577003436E-2</v>
      </c>
      <c r="AA397">
        <v>31.536000000000001</v>
      </c>
    </row>
    <row r="398" spans="1:27" x14ac:dyDescent="0.25">
      <c r="A398" t="s">
        <v>98</v>
      </c>
      <c r="B398" t="s">
        <v>99</v>
      </c>
      <c r="C398" t="s">
        <v>689</v>
      </c>
      <c r="D398" t="s">
        <v>101</v>
      </c>
      <c r="E398" t="s">
        <v>179</v>
      </c>
      <c r="F398" t="s">
        <v>201</v>
      </c>
      <c r="G398" t="s">
        <v>114</v>
      </c>
      <c r="H398" t="s">
        <v>125</v>
      </c>
      <c r="I398">
        <v>2023</v>
      </c>
      <c r="J398" t="s">
        <v>211</v>
      </c>
      <c r="K398" t="s">
        <v>127</v>
      </c>
      <c r="L398" t="s">
        <v>717</v>
      </c>
      <c r="M398" t="s">
        <v>731</v>
      </c>
      <c r="N398">
        <v>1</v>
      </c>
      <c r="O398">
        <v>2023</v>
      </c>
      <c r="P398">
        <v>9846.3245281564559</v>
      </c>
      <c r="Q398">
        <v>4.3808079625411702</v>
      </c>
      <c r="R398" t="s">
        <v>109</v>
      </c>
      <c r="S398">
        <v>2247.6046912690758</v>
      </c>
      <c r="T398">
        <v>3.6</v>
      </c>
      <c r="U398" t="s">
        <v>184</v>
      </c>
      <c r="V398">
        <v>3.6</v>
      </c>
      <c r="W398">
        <v>8</v>
      </c>
      <c r="X398">
        <v>20.8</v>
      </c>
      <c r="Y398">
        <v>15</v>
      </c>
      <c r="Z398">
        <v>9.0799342577003436E-2</v>
      </c>
      <c r="AA398">
        <v>31.536000000000001</v>
      </c>
    </row>
    <row r="399" spans="1:27" x14ac:dyDescent="0.25">
      <c r="A399" t="s">
        <v>98</v>
      </c>
      <c r="B399" t="s">
        <v>99</v>
      </c>
      <c r="C399" t="s">
        <v>689</v>
      </c>
      <c r="D399" t="s">
        <v>101</v>
      </c>
      <c r="E399" t="s">
        <v>179</v>
      </c>
      <c r="F399" t="s">
        <v>201</v>
      </c>
      <c r="G399" t="s">
        <v>114</v>
      </c>
      <c r="H399" t="s">
        <v>125</v>
      </c>
      <c r="I399">
        <v>2024</v>
      </c>
      <c r="J399" t="s">
        <v>213</v>
      </c>
      <c r="K399" t="s">
        <v>127</v>
      </c>
      <c r="L399" t="s">
        <v>717</v>
      </c>
      <c r="M399" t="s">
        <v>732</v>
      </c>
      <c r="N399">
        <v>1</v>
      </c>
      <c r="O399">
        <v>2024</v>
      </c>
      <c r="P399">
        <v>9846.3245281564559</v>
      </c>
      <c r="Q399">
        <v>4.3808079625411702</v>
      </c>
      <c r="R399" t="s">
        <v>109</v>
      </c>
      <c r="S399">
        <v>2247.6046912690758</v>
      </c>
      <c r="T399">
        <v>3.6</v>
      </c>
      <c r="U399" t="s">
        <v>184</v>
      </c>
      <c r="V399">
        <v>3.6</v>
      </c>
      <c r="W399">
        <v>8</v>
      </c>
      <c r="X399">
        <v>20.8</v>
      </c>
      <c r="Y399">
        <v>15</v>
      </c>
      <c r="Z399">
        <v>9.0799342577003436E-2</v>
      </c>
      <c r="AA399">
        <v>31.536000000000001</v>
      </c>
    </row>
    <row r="400" spans="1:27" x14ac:dyDescent="0.25">
      <c r="A400" t="s">
        <v>98</v>
      </c>
      <c r="B400" t="s">
        <v>99</v>
      </c>
      <c r="C400" t="s">
        <v>689</v>
      </c>
      <c r="D400" t="s">
        <v>101</v>
      </c>
      <c r="E400" t="s">
        <v>179</v>
      </c>
      <c r="F400" t="s">
        <v>201</v>
      </c>
      <c r="G400" t="s">
        <v>119</v>
      </c>
      <c r="H400" t="s">
        <v>125</v>
      </c>
      <c r="I400">
        <v>2016</v>
      </c>
      <c r="J400" t="s">
        <v>215</v>
      </c>
      <c r="K400" t="s">
        <v>127</v>
      </c>
      <c r="L400" t="s">
        <v>717</v>
      </c>
      <c r="M400" t="s">
        <v>733</v>
      </c>
      <c r="N400">
        <v>0</v>
      </c>
      <c r="O400">
        <v>2020</v>
      </c>
      <c r="P400">
        <v>10395.03611176889</v>
      </c>
      <c r="Q400">
        <v>4.3808079625411702</v>
      </c>
      <c r="R400" t="s">
        <v>109</v>
      </c>
      <c r="S400">
        <v>2372.8582034760211</v>
      </c>
      <c r="T400">
        <v>4.5</v>
      </c>
      <c r="U400" t="s">
        <v>184</v>
      </c>
      <c r="V400">
        <v>4.5</v>
      </c>
      <c r="W400">
        <v>8</v>
      </c>
      <c r="X400">
        <v>20.8</v>
      </c>
      <c r="Y400">
        <v>15</v>
      </c>
      <c r="Z400">
        <v>9.0799342577003436E-2</v>
      </c>
      <c r="AA400">
        <v>31.536000000000001</v>
      </c>
    </row>
    <row r="401" spans="1:27" x14ac:dyDescent="0.25">
      <c r="A401" t="s">
        <v>98</v>
      </c>
      <c r="B401" t="s">
        <v>99</v>
      </c>
      <c r="C401" t="s">
        <v>689</v>
      </c>
      <c r="D401" t="s">
        <v>101</v>
      </c>
      <c r="E401" t="s">
        <v>179</v>
      </c>
      <c r="F401" t="s">
        <v>201</v>
      </c>
      <c r="G401" t="s">
        <v>119</v>
      </c>
      <c r="H401" t="s">
        <v>125</v>
      </c>
      <c r="I401">
        <v>2020</v>
      </c>
      <c r="J401" t="s">
        <v>217</v>
      </c>
      <c r="K401" t="s">
        <v>127</v>
      </c>
      <c r="L401" t="s">
        <v>717</v>
      </c>
      <c r="M401" t="s">
        <v>733</v>
      </c>
      <c r="N401">
        <v>1</v>
      </c>
      <c r="O401">
        <v>2020</v>
      </c>
      <c r="P401">
        <v>10395.03611176889</v>
      </c>
      <c r="Q401">
        <v>4.3808079625411702</v>
      </c>
      <c r="R401" t="s">
        <v>109</v>
      </c>
      <c r="S401">
        <v>2372.8582034760211</v>
      </c>
      <c r="T401">
        <v>4.5</v>
      </c>
      <c r="U401" t="s">
        <v>184</v>
      </c>
      <c r="V401">
        <v>4.5</v>
      </c>
      <c r="W401">
        <v>8</v>
      </c>
      <c r="X401">
        <v>20.8</v>
      </c>
      <c r="Y401">
        <v>15</v>
      </c>
      <c r="Z401">
        <v>9.0799342577003436E-2</v>
      </c>
      <c r="AA401">
        <v>31.536000000000001</v>
      </c>
    </row>
    <row r="402" spans="1:27" x14ac:dyDescent="0.25">
      <c r="A402" t="s">
        <v>98</v>
      </c>
      <c r="B402" t="s">
        <v>99</v>
      </c>
      <c r="C402" t="s">
        <v>689</v>
      </c>
      <c r="D402" t="s">
        <v>101</v>
      </c>
      <c r="E402" t="s">
        <v>179</v>
      </c>
      <c r="F402" t="s">
        <v>201</v>
      </c>
      <c r="G402" t="s">
        <v>119</v>
      </c>
      <c r="H402" t="s">
        <v>125</v>
      </c>
      <c r="I402">
        <v>2022</v>
      </c>
      <c r="J402" t="s">
        <v>218</v>
      </c>
      <c r="K402" t="s">
        <v>127</v>
      </c>
      <c r="L402" t="s">
        <v>717</v>
      </c>
      <c r="M402" t="s">
        <v>734</v>
      </c>
      <c r="N402">
        <v>1</v>
      </c>
      <c r="O402">
        <v>2022</v>
      </c>
      <c r="P402">
        <v>10395.03611176889</v>
      </c>
      <c r="Q402">
        <v>4.3808079625411702</v>
      </c>
      <c r="R402" t="s">
        <v>109</v>
      </c>
      <c r="S402">
        <v>2372.8582034760211</v>
      </c>
      <c r="T402">
        <v>4.5</v>
      </c>
      <c r="U402" t="s">
        <v>184</v>
      </c>
      <c r="V402">
        <v>4.5</v>
      </c>
      <c r="W402">
        <v>8</v>
      </c>
      <c r="X402">
        <v>20.8</v>
      </c>
      <c r="Y402">
        <v>15</v>
      </c>
      <c r="Z402">
        <v>9.0799342577003436E-2</v>
      </c>
      <c r="AA402">
        <v>31.536000000000001</v>
      </c>
    </row>
    <row r="403" spans="1:27" x14ac:dyDescent="0.25">
      <c r="A403" t="s">
        <v>98</v>
      </c>
      <c r="B403" t="s">
        <v>99</v>
      </c>
      <c r="C403" t="s">
        <v>689</v>
      </c>
      <c r="D403" t="s">
        <v>101</v>
      </c>
      <c r="E403" t="s">
        <v>179</v>
      </c>
      <c r="F403" t="s">
        <v>201</v>
      </c>
      <c r="G403" t="s">
        <v>119</v>
      </c>
      <c r="H403" t="s">
        <v>125</v>
      </c>
      <c r="I403">
        <v>2023</v>
      </c>
      <c r="J403" t="s">
        <v>220</v>
      </c>
      <c r="K403" t="s">
        <v>127</v>
      </c>
      <c r="L403" t="s">
        <v>717</v>
      </c>
      <c r="M403" t="s">
        <v>735</v>
      </c>
      <c r="N403">
        <v>1</v>
      </c>
      <c r="O403">
        <v>2023</v>
      </c>
      <c r="P403">
        <v>10395.03611176889</v>
      </c>
      <c r="Q403">
        <v>4.3808079625411702</v>
      </c>
      <c r="R403" t="s">
        <v>109</v>
      </c>
      <c r="S403">
        <v>2372.8582034760211</v>
      </c>
      <c r="T403">
        <v>4.5</v>
      </c>
      <c r="U403" t="s">
        <v>184</v>
      </c>
      <c r="V403">
        <v>4.5</v>
      </c>
      <c r="W403">
        <v>8</v>
      </c>
      <c r="X403">
        <v>20.8</v>
      </c>
      <c r="Y403">
        <v>15</v>
      </c>
      <c r="Z403">
        <v>9.0799342577003436E-2</v>
      </c>
      <c r="AA403">
        <v>31.536000000000001</v>
      </c>
    </row>
    <row r="404" spans="1:27" x14ac:dyDescent="0.25">
      <c r="A404" t="s">
        <v>98</v>
      </c>
      <c r="B404" t="s">
        <v>99</v>
      </c>
      <c r="C404" t="s">
        <v>689</v>
      </c>
      <c r="D404" t="s">
        <v>101</v>
      </c>
      <c r="E404" t="s">
        <v>179</v>
      </c>
      <c r="F404" t="s">
        <v>201</v>
      </c>
      <c r="G404" t="s">
        <v>119</v>
      </c>
      <c r="H404" t="s">
        <v>125</v>
      </c>
      <c r="I404">
        <v>2024</v>
      </c>
      <c r="J404" t="s">
        <v>222</v>
      </c>
      <c r="K404" t="s">
        <v>127</v>
      </c>
      <c r="L404" t="s">
        <v>717</v>
      </c>
      <c r="M404" t="s">
        <v>736</v>
      </c>
      <c r="N404">
        <v>1</v>
      </c>
      <c r="O404">
        <v>2024</v>
      </c>
      <c r="P404">
        <v>10395.03611176889</v>
      </c>
      <c r="Q404">
        <v>4.3808079625411702</v>
      </c>
      <c r="R404" t="s">
        <v>109</v>
      </c>
      <c r="S404">
        <v>2372.8582034760211</v>
      </c>
      <c r="T404">
        <v>4.5</v>
      </c>
      <c r="U404" t="s">
        <v>184</v>
      </c>
      <c r="V404">
        <v>4.5</v>
      </c>
      <c r="W404">
        <v>8</v>
      </c>
      <c r="X404">
        <v>20.8</v>
      </c>
      <c r="Y404">
        <v>15</v>
      </c>
      <c r="Z404">
        <v>9.0799342577003436E-2</v>
      </c>
      <c r="AA404">
        <v>31.536000000000001</v>
      </c>
    </row>
    <row r="405" spans="1:27" x14ac:dyDescent="0.25">
      <c r="A405" t="s">
        <v>98</v>
      </c>
      <c r="B405" t="s">
        <v>99</v>
      </c>
      <c r="C405" t="s">
        <v>689</v>
      </c>
      <c r="D405" t="s">
        <v>101</v>
      </c>
      <c r="E405" t="s">
        <v>179</v>
      </c>
      <c r="F405" t="s">
        <v>224</v>
      </c>
      <c r="G405" t="s">
        <v>111</v>
      </c>
      <c r="H405" t="s">
        <v>125</v>
      </c>
      <c r="I405">
        <v>2016</v>
      </c>
      <c r="J405" t="s">
        <v>225</v>
      </c>
      <c r="K405" t="s">
        <v>127</v>
      </c>
      <c r="L405" t="s">
        <v>717</v>
      </c>
      <c r="M405" t="s">
        <v>737</v>
      </c>
      <c r="N405">
        <v>1</v>
      </c>
      <c r="O405">
        <v>2020</v>
      </c>
      <c r="P405">
        <v>1341.294982163728</v>
      </c>
      <c r="Q405">
        <v>4.3808079625411702</v>
      </c>
      <c r="R405" t="s">
        <v>109</v>
      </c>
      <c r="S405">
        <v>306.1752520614221</v>
      </c>
      <c r="T405">
        <v>0.98</v>
      </c>
      <c r="U405" t="s">
        <v>227</v>
      </c>
      <c r="V405">
        <v>0.98</v>
      </c>
      <c r="W405">
        <v>15</v>
      </c>
      <c r="X405">
        <v>30</v>
      </c>
      <c r="Y405">
        <v>23</v>
      </c>
      <c r="Z405">
        <v>9.0799342577003436E-2</v>
      </c>
      <c r="AA405">
        <v>31.536000000000001</v>
      </c>
    </row>
    <row r="406" spans="1:27" x14ac:dyDescent="0.25">
      <c r="A406" t="s">
        <v>98</v>
      </c>
      <c r="B406" t="s">
        <v>99</v>
      </c>
      <c r="C406" t="s">
        <v>689</v>
      </c>
      <c r="D406" t="s">
        <v>101</v>
      </c>
      <c r="E406" t="s">
        <v>179</v>
      </c>
      <c r="F406" t="s">
        <v>228</v>
      </c>
      <c r="G406" t="s">
        <v>103</v>
      </c>
      <c r="H406" t="s">
        <v>104</v>
      </c>
      <c r="I406">
        <v>2016</v>
      </c>
      <c r="J406" t="s">
        <v>229</v>
      </c>
      <c r="K406" t="s">
        <v>106</v>
      </c>
      <c r="L406" t="s">
        <v>717</v>
      </c>
      <c r="M406" t="s">
        <v>738</v>
      </c>
      <c r="N406">
        <v>1</v>
      </c>
      <c r="O406">
        <v>2020</v>
      </c>
      <c r="P406">
        <v>2499.6861031233111</v>
      </c>
      <c r="Q406">
        <v>4.3808079625411702</v>
      </c>
      <c r="R406" t="s">
        <v>109</v>
      </c>
      <c r="S406">
        <v>570.59933338719566</v>
      </c>
      <c r="T406">
        <v>0.8</v>
      </c>
      <c r="U406" t="s">
        <v>227</v>
      </c>
      <c r="V406">
        <v>0.8</v>
      </c>
      <c r="W406">
        <v>16</v>
      </c>
      <c r="X406">
        <v>27</v>
      </c>
      <c r="Y406">
        <v>22</v>
      </c>
      <c r="Z406">
        <v>9.0799342577003436E-2</v>
      </c>
      <c r="AA406">
        <v>31.536000000000001</v>
      </c>
    </row>
    <row r="407" spans="1:27" x14ac:dyDescent="0.25">
      <c r="A407" t="s">
        <v>98</v>
      </c>
      <c r="B407" t="s">
        <v>99</v>
      </c>
      <c r="C407" t="s">
        <v>689</v>
      </c>
      <c r="D407" t="s">
        <v>101</v>
      </c>
      <c r="E407" t="s">
        <v>179</v>
      </c>
      <c r="F407" t="s">
        <v>228</v>
      </c>
      <c r="G407" t="s">
        <v>111</v>
      </c>
      <c r="H407" t="s">
        <v>104</v>
      </c>
      <c r="I407">
        <v>2016</v>
      </c>
      <c r="J407" t="s">
        <v>231</v>
      </c>
      <c r="K407" t="s">
        <v>106</v>
      </c>
      <c r="L407" t="s">
        <v>717</v>
      </c>
      <c r="M407" t="s">
        <v>739</v>
      </c>
      <c r="N407">
        <v>0</v>
      </c>
      <c r="O407">
        <v>2020</v>
      </c>
      <c r="P407">
        <v>3182.5271849521182</v>
      </c>
      <c r="Q407">
        <v>4.3808079625411702</v>
      </c>
      <c r="R407" t="s">
        <v>109</v>
      </c>
      <c r="S407">
        <v>726.47037080028338</v>
      </c>
      <c r="T407">
        <v>0.92</v>
      </c>
      <c r="U407" t="s">
        <v>227</v>
      </c>
      <c r="V407">
        <v>0.92</v>
      </c>
      <c r="W407">
        <v>16</v>
      </c>
      <c r="X407">
        <v>27</v>
      </c>
      <c r="Y407">
        <v>22</v>
      </c>
      <c r="Z407">
        <v>9.0799342577003436E-2</v>
      </c>
      <c r="AA407">
        <v>31.536000000000001</v>
      </c>
    </row>
    <row r="408" spans="1:27" x14ac:dyDescent="0.25">
      <c r="A408" t="s">
        <v>98</v>
      </c>
      <c r="B408" t="s">
        <v>99</v>
      </c>
      <c r="C408" t="s">
        <v>689</v>
      </c>
      <c r="D408" t="s">
        <v>101</v>
      </c>
      <c r="E408" t="s">
        <v>179</v>
      </c>
      <c r="F408" t="s">
        <v>228</v>
      </c>
      <c r="G408" t="s">
        <v>111</v>
      </c>
      <c r="H408" t="s">
        <v>104</v>
      </c>
      <c r="I408">
        <v>2020</v>
      </c>
      <c r="J408" t="s">
        <v>233</v>
      </c>
      <c r="K408" t="s">
        <v>106</v>
      </c>
      <c r="L408" t="s">
        <v>717</v>
      </c>
      <c r="M408" t="s">
        <v>739</v>
      </c>
      <c r="N408">
        <v>1</v>
      </c>
      <c r="O408">
        <v>2020</v>
      </c>
      <c r="P408">
        <v>3365.4310461562618</v>
      </c>
      <c r="Q408">
        <v>4.3808079625411702</v>
      </c>
      <c r="R408" t="s">
        <v>109</v>
      </c>
      <c r="S408">
        <v>768.22154153593181</v>
      </c>
      <c r="T408">
        <v>0.92</v>
      </c>
      <c r="U408" t="s">
        <v>227</v>
      </c>
      <c r="V408">
        <v>0.92</v>
      </c>
      <c r="W408">
        <v>16</v>
      </c>
      <c r="X408">
        <v>27</v>
      </c>
      <c r="Y408">
        <v>22</v>
      </c>
      <c r="Z408">
        <v>9.0799342577003436E-2</v>
      </c>
      <c r="AA408">
        <v>31.536000000000001</v>
      </c>
    </row>
    <row r="409" spans="1:27" x14ac:dyDescent="0.25">
      <c r="A409" t="s">
        <v>98</v>
      </c>
      <c r="B409" t="s">
        <v>99</v>
      </c>
      <c r="C409" t="s">
        <v>689</v>
      </c>
      <c r="D409" t="s">
        <v>101</v>
      </c>
      <c r="E409" t="s">
        <v>179</v>
      </c>
      <c r="F409" t="s">
        <v>228</v>
      </c>
      <c r="G409" t="s">
        <v>114</v>
      </c>
      <c r="H409" t="s">
        <v>104</v>
      </c>
      <c r="I409">
        <v>2016</v>
      </c>
      <c r="J409" t="s">
        <v>234</v>
      </c>
      <c r="K409" t="s">
        <v>106</v>
      </c>
      <c r="L409" t="s">
        <v>717</v>
      </c>
      <c r="M409" t="s">
        <v>740</v>
      </c>
      <c r="N409">
        <v>1</v>
      </c>
      <c r="O409">
        <v>2020</v>
      </c>
      <c r="P409">
        <v>3341.043864662377</v>
      </c>
      <c r="Q409">
        <v>4.3808079625411702</v>
      </c>
      <c r="R409" t="s">
        <v>109</v>
      </c>
      <c r="S409">
        <v>762.65471877117875</v>
      </c>
      <c r="T409">
        <v>0.95</v>
      </c>
      <c r="U409" t="s">
        <v>227</v>
      </c>
      <c r="V409">
        <v>0.95</v>
      </c>
      <c r="W409">
        <v>16</v>
      </c>
      <c r="X409">
        <v>27</v>
      </c>
      <c r="Y409">
        <v>22</v>
      </c>
      <c r="Z409">
        <v>9.0799342577003436E-2</v>
      </c>
      <c r="AA409">
        <v>31.536000000000001</v>
      </c>
    </row>
    <row r="410" spans="1:27" x14ac:dyDescent="0.25">
      <c r="A410" t="s">
        <v>98</v>
      </c>
      <c r="B410" t="s">
        <v>99</v>
      </c>
      <c r="C410" t="s">
        <v>689</v>
      </c>
      <c r="D410" t="s">
        <v>101</v>
      </c>
      <c r="E410" t="s">
        <v>179</v>
      </c>
      <c r="F410" t="s">
        <v>228</v>
      </c>
      <c r="G410" t="s">
        <v>114</v>
      </c>
      <c r="H410" t="s">
        <v>104</v>
      </c>
      <c r="I410">
        <v>2022</v>
      </c>
      <c r="J410" t="s">
        <v>236</v>
      </c>
      <c r="K410" t="s">
        <v>106</v>
      </c>
      <c r="L410" t="s">
        <v>717</v>
      </c>
      <c r="M410" t="s">
        <v>741</v>
      </c>
      <c r="N410">
        <v>1</v>
      </c>
      <c r="O410">
        <v>2022</v>
      </c>
      <c r="P410">
        <v>3341.043864662377</v>
      </c>
      <c r="Q410">
        <v>4.3808079625411702</v>
      </c>
      <c r="R410" t="s">
        <v>109</v>
      </c>
      <c r="S410">
        <v>762.65471877117875</v>
      </c>
      <c r="T410">
        <v>0.95</v>
      </c>
      <c r="U410" t="s">
        <v>227</v>
      </c>
      <c r="V410">
        <v>0.95</v>
      </c>
      <c r="W410">
        <v>16</v>
      </c>
      <c r="X410">
        <v>27</v>
      </c>
      <c r="Y410">
        <v>22</v>
      </c>
      <c r="Z410">
        <v>9.0799342577003436E-2</v>
      </c>
      <c r="AA410">
        <v>31.536000000000001</v>
      </c>
    </row>
    <row r="411" spans="1:27" x14ac:dyDescent="0.25">
      <c r="A411" t="s">
        <v>98</v>
      </c>
      <c r="B411" t="s">
        <v>99</v>
      </c>
      <c r="C411" t="s">
        <v>689</v>
      </c>
      <c r="D411" t="s">
        <v>101</v>
      </c>
      <c r="E411" t="s">
        <v>179</v>
      </c>
      <c r="F411" t="s">
        <v>228</v>
      </c>
      <c r="G411" t="s">
        <v>119</v>
      </c>
      <c r="H411" t="s">
        <v>104</v>
      </c>
      <c r="I411">
        <v>2016</v>
      </c>
      <c r="J411" t="s">
        <v>238</v>
      </c>
      <c r="K411" t="s">
        <v>106</v>
      </c>
      <c r="L411" t="s">
        <v>717</v>
      </c>
      <c r="M411" t="s">
        <v>742</v>
      </c>
      <c r="N411">
        <v>1</v>
      </c>
      <c r="O411">
        <v>2020</v>
      </c>
      <c r="P411">
        <v>3706.851587070666</v>
      </c>
      <c r="Q411">
        <v>4.3808079625411702</v>
      </c>
      <c r="R411" t="s">
        <v>109</v>
      </c>
      <c r="S411">
        <v>846.15706024247561</v>
      </c>
      <c r="T411">
        <v>0.99</v>
      </c>
      <c r="U411" t="s">
        <v>227</v>
      </c>
      <c r="V411">
        <v>0.99</v>
      </c>
      <c r="W411">
        <v>16</v>
      </c>
      <c r="X411">
        <v>27</v>
      </c>
      <c r="Y411">
        <v>22</v>
      </c>
      <c r="Z411">
        <v>9.0799342577003436E-2</v>
      </c>
      <c r="AA411">
        <v>31.536000000000001</v>
      </c>
    </row>
    <row r="412" spans="1:27" x14ac:dyDescent="0.25">
      <c r="A412" t="s">
        <v>98</v>
      </c>
      <c r="B412" t="s">
        <v>99</v>
      </c>
      <c r="C412" t="s">
        <v>689</v>
      </c>
      <c r="D412" t="s">
        <v>101</v>
      </c>
      <c r="E412" t="s">
        <v>179</v>
      </c>
      <c r="F412" t="s">
        <v>228</v>
      </c>
      <c r="G412" t="s">
        <v>119</v>
      </c>
      <c r="H412" t="s">
        <v>104</v>
      </c>
      <c r="I412">
        <v>2022</v>
      </c>
      <c r="J412" t="s">
        <v>240</v>
      </c>
      <c r="K412" t="s">
        <v>106</v>
      </c>
      <c r="L412" t="s">
        <v>717</v>
      </c>
      <c r="M412" t="s">
        <v>743</v>
      </c>
      <c r="N412">
        <v>1</v>
      </c>
      <c r="O412">
        <v>2022</v>
      </c>
      <c r="P412">
        <v>3706.851587070666</v>
      </c>
      <c r="Q412">
        <v>4.3808079625411702</v>
      </c>
      <c r="R412" t="s">
        <v>109</v>
      </c>
      <c r="S412">
        <v>846.15706024247561</v>
      </c>
      <c r="T412">
        <v>0.99</v>
      </c>
      <c r="U412" t="s">
        <v>227</v>
      </c>
      <c r="V412">
        <v>0.99</v>
      </c>
      <c r="W412">
        <v>16</v>
      </c>
      <c r="X412">
        <v>27</v>
      </c>
      <c r="Y412">
        <v>22</v>
      </c>
      <c r="Z412">
        <v>9.0799342577003436E-2</v>
      </c>
      <c r="AA412">
        <v>31.536000000000001</v>
      </c>
    </row>
    <row r="413" spans="1:27" x14ac:dyDescent="0.25">
      <c r="A413" t="s">
        <v>98</v>
      </c>
      <c r="B413" t="s">
        <v>99</v>
      </c>
      <c r="C413" t="s">
        <v>689</v>
      </c>
      <c r="D413" t="s">
        <v>101</v>
      </c>
      <c r="E413" t="s">
        <v>179</v>
      </c>
      <c r="F413" t="s">
        <v>224</v>
      </c>
      <c r="G413" t="s">
        <v>103</v>
      </c>
      <c r="H413" t="s">
        <v>104</v>
      </c>
      <c r="I413">
        <v>2016</v>
      </c>
      <c r="J413" t="s">
        <v>242</v>
      </c>
      <c r="K413" t="s">
        <v>106</v>
      </c>
      <c r="L413" t="s">
        <v>717</v>
      </c>
      <c r="M413" t="s">
        <v>744</v>
      </c>
      <c r="N413">
        <v>1</v>
      </c>
      <c r="O413">
        <v>2020</v>
      </c>
      <c r="P413">
        <v>8748.901360931588</v>
      </c>
      <c r="Q413">
        <v>4.3808079625411702</v>
      </c>
      <c r="R413" t="s">
        <v>109</v>
      </c>
      <c r="S413">
        <v>1997.097666855185</v>
      </c>
      <c r="T413">
        <v>0.82</v>
      </c>
      <c r="U413" t="s">
        <v>227</v>
      </c>
      <c r="V413">
        <v>0.82</v>
      </c>
      <c r="W413">
        <v>20</v>
      </c>
      <c r="X413">
        <v>30</v>
      </c>
      <c r="Y413">
        <v>26</v>
      </c>
      <c r="Z413">
        <v>9.0799342577003436E-2</v>
      </c>
      <c r="AA413">
        <v>31.536000000000001</v>
      </c>
    </row>
    <row r="414" spans="1:27" x14ac:dyDescent="0.25">
      <c r="A414" t="s">
        <v>98</v>
      </c>
      <c r="B414" t="s">
        <v>99</v>
      </c>
      <c r="C414" t="s">
        <v>689</v>
      </c>
      <c r="D414" t="s">
        <v>101</v>
      </c>
      <c r="E414" t="s">
        <v>179</v>
      </c>
      <c r="F414" t="s">
        <v>224</v>
      </c>
      <c r="G414" t="s">
        <v>103</v>
      </c>
      <c r="H414" t="s">
        <v>104</v>
      </c>
      <c r="I414">
        <v>2021</v>
      </c>
      <c r="J414" t="s">
        <v>244</v>
      </c>
      <c r="K414" t="s">
        <v>106</v>
      </c>
      <c r="L414" t="s">
        <v>717</v>
      </c>
      <c r="M414" t="s">
        <v>745</v>
      </c>
      <c r="N414">
        <v>1</v>
      </c>
      <c r="O414">
        <v>2021</v>
      </c>
      <c r="P414">
        <v>8962.2891990030894</v>
      </c>
      <c r="Q414">
        <v>4.3808079625411702</v>
      </c>
      <c r="R414" t="s">
        <v>109</v>
      </c>
      <c r="S414">
        <v>2045.8073660467751</v>
      </c>
      <c r="T414">
        <v>0.84</v>
      </c>
      <c r="U414" t="s">
        <v>227</v>
      </c>
      <c r="V414">
        <v>0.84</v>
      </c>
      <c r="W414">
        <v>20</v>
      </c>
      <c r="X414">
        <v>30</v>
      </c>
      <c r="Y414">
        <v>26</v>
      </c>
      <c r="Z414">
        <v>9.0799342577003436E-2</v>
      </c>
      <c r="AA414">
        <v>31.536000000000001</v>
      </c>
    </row>
    <row r="415" spans="1:27" x14ac:dyDescent="0.25">
      <c r="A415" t="s">
        <v>98</v>
      </c>
      <c r="B415" t="s">
        <v>99</v>
      </c>
      <c r="C415" t="s">
        <v>689</v>
      </c>
      <c r="D415" t="s">
        <v>101</v>
      </c>
      <c r="E415" t="s">
        <v>179</v>
      </c>
      <c r="F415" t="s">
        <v>224</v>
      </c>
      <c r="G415" t="s">
        <v>111</v>
      </c>
      <c r="H415" t="s">
        <v>104</v>
      </c>
      <c r="I415">
        <v>2016</v>
      </c>
      <c r="J415" t="s">
        <v>246</v>
      </c>
      <c r="K415" t="s">
        <v>106</v>
      </c>
      <c r="L415" t="s">
        <v>717</v>
      </c>
      <c r="M415" t="s">
        <v>746</v>
      </c>
      <c r="N415">
        <v>0</v>
      </c>
      <c r="O415">
        <v>2020</v>
      </c>
      <c r="P415">
        <v>8748.901360931588</v>
      </c>
      <c r="Q415">
        <v>4.3808079625411702</v>
      </c>
      <c r="R415" t="s">
        <v>109</v>
      </c>
      <c r="S415">
        <v>1997.097666855185</v>
      </c>
      <c r="T415">
        <v>0.82</v>
      </c>
      <c r="U415" t="s">
        <v>227</v>
      </c>
      <c r="V415">
        <v>0.82</v>
      </c>
      <c r="W415">
        <v>20</v>
      </c>
      <c r="X415">
        <v>30</v>
      </c>
      <c r="Y415">
        <v>26</v>
      </c>
      <c r="Z415">
        <v>9.0799342577003436E-2</v>
      </c>
      <c r="AA415">
        <v>31.536000000000001</v>
      </c>
    </row>
    <row r="416" spans="1:27" x14ac:dyDescent="0.25">
      <c r="A416" t="s">
        <v>98</v>
      </c>
      <c r="B416" t="s">
        <v>99</v>
      </c>
      <c r="C416" t="s">
        <v>689</v>
      </c>
      <c r="D416" t="s">
        <v>101</v>
      </c>
      <c r="E416" t="s">
        <v>179</v>
      </c>
      <c r="F416" t="s">
        <v>224</v>
      </c>
      <c r="G416" t="s">
        <v>111</v>
      </c>
      <c r="H416" t="s">
        <v>104</v>
      </c>
      <c r="I416">
        <v>2020</v>
      </c>
      <c r="J416" t="s">
        <v>248</v>
      </c>
      <c r="K416" t="s">
        <v>106</v>
      </c>
      <c r="L416" t="s">
        <v>717</v>
      </c>
      <c r="M416" t="s">
        <v>746</v>
      </c>
      <c r="N416">
        <v>1</v>
      </c>
      <c r="O416">
        <v>2020</v>
      </c>
      <c r="P416">
        <v>9602.4527132175954</v>
      </c>
      <c r="Q416">
        <v>4.3808079625411702</v>
      </c>
      <c r="R416" t="s">
        <v>109</v>
      </c>
      <c r="S416">
        <v>2191.9364636215441</v>
      </c>
      <c r="T416">
        <v>0.9</v>
      </c>
      <c r="U416" t="s">
        <v>227</v>
      </c>
      <c r="V416">
        <v>0.9</v>
      </c>
      <c r="W416">
        <v>20</v>
      </c>
      <c r="X416">
        <v>30</v>
      </c>
      <c r="Y416">
        <v>26</v>
      </c>
      <c r="Z416">
        <v>9.0799342577003436E-2</v>
      </c>
      <c r="AA416">
        <v>31.536000000000001</v>
      </c>
    </row>
    <row r="417" spans="1:27" x14ac:dyDescent="0.25">
      <c r="A417" t="s">
        <v>98</v>
      </c>
      <c r="B417" t="s">
        <v>99</v>
      </c>
      <c r="C417" t="s">
        <v>689</v>
      </c>
      <c r="D417" t="s">
        <v>101</v>
      </c>
      <c r="E417" t="s">
        <v>179</v>
      </c>
      <c r="F417" t="s">
        <v>224</v>
      </c>
      <c r="G417" t="s">
        <v>114</v>
      </c>
      <c r="H417" t="s">
        <v>104</v>
      </c>
      <c r="I417">
        <v>2016</v>
      </c>
      <c r="J417" t="s">
        <v>249</v>
      </c>
      <c r="K417" t="s">
        <v>106</v>
      </c>
      <c r="L417" t="s">
        <v>717</v>
      </c>
      <c r="M417" t="s">
        <v>747</v>
      </c>
      <c r="N417">
        <v>1</v>
      </c>
      <c r="O417">
        <v>2020</v>
      </c>
      <c r="P417">
        <v>9602.4527132175954</v>
      </c>
      <c r="Q417">
        <v>4.3808079625411702</v>
      </c>
      <c r="R417" t="s">
        <v>109</v>
      </c>
      <c r="S417">
        <v>2191.9364636215441</v>
      </c>
      <c r="T417">
        <v>0.9</v>
      </c>
      <c r="U417" t="s">
        <v>227</v>
      </c>
      <c r="V417">
        <v>0.9</v>
      </c>
      <c r="W417">
        <v>20</v>
      </c>
      <c r="X417">
        <v>30</v>
      </c>
      <c r="Y417">
        <v>26</v>
      </c>
      <c r="Z417">
        <v>9.0799342577003436E-2</v>
      </c>
      <c r="AA417">
        <v>31.536000000000001</v>
      </c>
    </row>
    <row r="418" spans="1:27" x14ac:dyDescent="0.25">
      <c r="A418" t="s">
        <v>98</v>
      </c>
      <c r="B418" t="s">
        <v>99</v>
      </c>
      <c r="C418" t="s">
        <v>689</v>
      </c>
      <c r="D418" t="s">
        <v>101</v>
      </c>
      <c r="E418" t="s">
        <v>179</v>
      </c>
      <c r="F418" t="s">
        <v>224</v>
      </c>
      <c r="G418" t="s">
        <v>119</v>
      </c>
      <c r="H418" t="s">
        <v>104</v>
      </c>
      <c r="I418">
        <v>2016</v>
      </c>
      <c r="J418" t="s">
        <v>251</v>
      </c>
      <c r="K418" t="s">
        <v>106</v>
      </c>
      <c r="L418" t="s">
        <v>717</v>
      </c>
      <c r="M418" t="s">
        <v>748</v>
      </c>
      <c r="N418">
        <v>1</v>
      </c>
      <c r="O418">
        <v>2020</v>
      </c>
      <c r="P418">
        <v>10882.779741646609</v>
      </c>
      <c r="Q418">
        <v>4.3808079625411702</v>
      </c>
      <c r="R418" t="s">
        <v>109</v>
      </c>
      <c r="S418">
        <v>2484.1946587710841</v>
      </c>
      <c r="T418">
        <v>0.97</v>
      </c>
      <c r="U418" t="s">
        <v>227</v>
      </c>
      <c r="V418">
        <v>0.97</v>
      </c>
      <c r="W418">
        <v>20</v>
      </c>
      <c r="X418">
        <v>30</v>
      </c>
      <c r="Y418">
        <v>26</v>
      </c>
      <c r="Z418">
        <v>9.0799342577003436E-2</v>
      </c>
      <c r="AA418">
        <v>31.536000000000001</v>
      </c>
    </row>
    <row r="419" spans="1:27" x14ac:dyDescent="0.25">
      <c r="A419" t="s">
        <v>98</v>
      </c>
      <c r="B419" t="s">
        <v>99</v>
      </c>
      <c r="C419" t="s">
        <v>689</v>
      </c>
      <c r="D419" t="s">
        <v>101</v>
      </c>
      <c r="E419" t="s">
        <v>179</v>
      </c>
      <c r="F419" t="s">
        <v>224</v>
      </c>
      <c r="G419" t="s">
        <v>119</v>
      </c>
      <c r="H419" t="s">
        <v>104</v>
      </c>
      <c r="I419">
        <v>2022</v>
      </c>
      <c r="J419" t="s">
        <v>253</v>
      </c>
      <c r="K419" t="s">
        <v>106</v>
      </c>
      <c r="L419" t="s">
        <v>717</v>
      </c>
      <c r="M419" t="s">
        <v>749</v>
      </c>
      <c r="N419">
        <v>1</v>
      </c>
      <c r="O419">
        <v>2022</v>
      </c>
      <c r="P419">
        <v>10882.779741646609</v>
      </c>
      <c r="Q419">
        <v>4.3808079625411702</v>
      </c>
      <c r="R419" t="s">
        <v>109</v>
      </c>
      <c r="S419">
        <v>2484.1946587710841</v>
      </c>
      <c r="T419">
        <v>0.97</v>
      </c>
      <c r="U419" t="s">
        <v>227</v>
      </c>
      <c r="V419">
        <v>0.97</v>
      </c>
      <c r="W419">
        <v>20</v>
      </c>
      <c r="X419">
        <v>30</v>
      </c>
      <c r="Y419">
        <v>26</v>
      </c>
      <c r="Z419">
        <v>9.0799342577003436E-2</v>
      </c>
      <c r="AA419">
        <v>31.536000000000001</v>
      </c>
    </row>
    <row r="420" spans="1:27" x14ac:dyDescent="0.25">
      <c r="A420" t="s">
        <v>98</v>
      </c>
      <c r="B420" t="s">
        <v>99</v>
      </c>
      <c r="C420" t="s">
        <v>689</v>
      </c>
      <c r="D420" t="s">
        <v>101</v>
      </c>
      <c r="E420" t="s">
        <v>179</v>
      </c>
      <c r="F420" t="s">
        <v>228</v>
      </c>
      <c r="G420" t="s">
        <v>103</v>
      </c>
      <c r="H420" t="s">
        <v>255</v>
      </c>
      <c r="I420">
        <v>2016</v>
      </c>
      <c r="J420" t="s">
        <v>256</v>
      </c>
      <c r="K420" t="s">
        <v>257</v>
      </c>
      <c r="L420" t="s">
        <v>717</v>
      </c>
      <c r="M420" t="s">
        <v>750</v>
      </c>
      <c r="N420">
        <v>1</v>
      </c>
      <c r="O420">
        <v>2020</v>
      </c>
      <c r="P420">
        <v>5029.8561831139787</v>
      </c>
      <c r="Q420">
        <v>4.3808079625411702</v>
      </c>
      <c r="R420" t="s">
        <v>109</v>
      </c>
      <c r="S420">
        <v>1148.1571952303329</v>
      </c>
      <c r="T420">
        <v>0.83</v>
      </c>
      <c r="U420" t="s">
        <v>227</v>
      </c>
      <c r="V420">
        <v>0.83</v>
      </c>
      <c r="W420">
        <v>19.7</v>
      </c>
      <c r="X420">
        <v>33.1</v>
      </c>
      <c r="Y420">
        <v>27</v>
      </c>
      <c r="Z420">
        <v>9.0799342577003436E-2</v>
      </c>
      <c r="AA420">
        <v>31.536000000000001</v>
      </c>
    </row>
    <row r="421" spans="1:27" x14ac:dyDescent="0.25">
      <c r="A421" t="s">
        <v>98</v>
      </c>
      <c r="B421" t="s">
        <v>99</v>
      </c>
      <c r="C421" t="s">
        <v>689</v>
      </c>
      <c r="D421" t="s">
        <v>101</v>
      </c>
      <c r="E421" t="s">
        <v>179</v>
      </c>
      <c r="F421" t="s">
        <v>228</v>
      </c>
      <c r="G421" t="s">
        <v>111</v>
      </c>
      <c r="H421" t="s">
        <v>255</v>
      </c>
      <c r="I421">
        <v>2016</v>
      </c>
      <c r="J421" t="s">
        <v>259</v>
      </c>
      <c r="K421" t="s">
        <v>257</v>
      </c>
      <c r="L421" t="s">
        <v>717</v>
      </c>
      <c r="M421" t="s">
        <v>751</v>
      </c>
      <c r="N421">
        <v>0</v>
      </c>
      <c r="O421">
        <v>2020</v>
      </c>
      <c r="P421">
        <v>5029.8561831139787</v>
      </c>
      <c r="Q421">
        <v>4.3808079625411702</v>
      </c>
      <c r="R421" t="s">
        <v>109</v>
      </c>
      <c r="S421">
        <v>1148.1571952303329</v>
      </c>
      <c r="T421">
        <v>0.83</v>
      </c>
      <c r="U421" t="s">
        <v>227</v>
      </c>
      <c r="V421">
        <v>0.83</v>
      </c>
      <c r="W421">
        <v>19.7</v>
      </c>
      <c r="X421">
        <v>33.1</v>
      </c>
      <c r="Y421">
        <v>27</v>
      </c>
      <c r="Z421">
        <v>9.0799342577003436E-2</v>
      </c>
      <c r="AA421">
        <v>31.536000000000001</v>
      </c>
    </row>
    <row r="422" spans="1:27" x14ac:dyDescent="0.25">
      <c r="A422" t="s">
        <v>98</v>
      </c>
      <c r="B422" t="s">
        <v>99</v>
      </c>
      <c r="C422" t="s">
        <v>689</v>
      </c>
      <c r="D422" t="s">
        <v>101</v>
      </c>
      <c r="E422" t="s">
        <v>179</v>
      </c>
      <c r="F422" t="s">
        <v>228</v>
      </c>
      <c r="G422" t="s">
        <v>111</v>
      </c>
      <c r="H422" t="s">
        <v>255</v>
      </c>
      <c r="I422">
        <v>2020</v>
      </c>
      <c r="J422" t="s">
        <v>261</v>
      </c>
      <c r="K422" t="s">
        <v>257</v>
      </c>
      <c r="L422" t="s">
        <v>717</v>
      </c>
      <c r="M422" t="s">
        <v>751</v>
      </c>
      <c r="N422">
        <v>1</v>
      </c>
      <c r="O422">
        <v>2020</v>
      </c>
      <c r="P422">
        <v>5151.7920905834089</v>
      </c>
      <c r="Q422">
        <v>4.3808079625411702</v>
      </c>
      <c r="R422" t="s">
        <v>109</v>
      </c>
      <c r="S422">
        <v>1175.991309054099</v>
      </c>
      <c r="T422">
        <v>0.84</v>
      </c>
      <c r="U422" t="s">
        <v>227</v>
      </c>
      <c r="V422">
        <v>0.84</v>
      </c>
      <c r="W422">
        <v>19.7</v>
      </c>
      <c r="X422">
        <v>33.1</v>
      </c>
      <c r="Y422">
        <v>27</v>
      </c>
      <c r="Z422">
        <v>9.0799342577003436E-2</v>
      </c>
      <c r="AA422">
        <v>31.536000000000001</v>
      </c>
    </row>
    <row r="423" spans="1:27" x14ac:dyDescent="0.25">
      <c r="A423" t="s">
        <v>98</v>
      </c>
      <c r="B423" t="s">
        <v>99</v>
      </c>
      <c r="C423" t="s">
        <v>689</v>
      </c>
      <c r="D423" t="s">
        <v>101</v>
      </c>
      <c r="E423" t="s">
        <v>179</v>
      </c>
      <c r="F423" t="s">
        <v>228</v>
      </c>
      <c r="G423" t="s">
        <v>114</v>
      </c>
      <c r="H423" t="s">
        <v>255</v>
      </c>
      <c r="I423">
        <v>2016</v>
      </c>
      <c r="J423" t="s">
        <v>262</v>
      </c>
      <c r="K423" t="s">
        <v>257</v>
      </c>
      <c r="L423" t="s">
        <v>717</v>
      </c>
      <c r="M423" t="s">
        <v>752</v>
      </c>
      <c r="N423">
        <v>1</v>
      </c>
      <c r="O423">
        <v>2020</v>
      </c>
      <c r="P423">
        <v>5304.2119749201956</v>
      </c>
      <c r="Q423">
        <v>4.3808079625411702</v>
      </c>
      <c r="R423" t="s">
        <v>109</v>
      </c>
      <c r="S423">
        <v>1210.7839513338049</v>
      </c>
      <c r="T423">
        <v>0.85</v>
      </c>
      <c r="U423" t="s">
        <v>227</v>
      </c>
      <c r="V423">
        <v>0.85</v>
      </c>
      <c r="W423">
        <v>19.7</v>
      </c>
      <c r="X423">
        <v>33.1</v>
      </c>
      <c r="Y423">
        <v>27</v>
      </c>
      <c r="Z423">
        <v>9.0799342577003436E-2</v>
      </c>
      <c r="AA423">
        <v>31.536000000000001</v>
      </c>
    </row>
    <row r="424" spans="1:27" x14ac:dyDescent="0.25">
      <c r="A424" t="s">
        <v>98</v>
      </c>
      <c r="B424" t="s">
        <v>99</v>
      </c>
      <c r="C424" t="s">
        <v>689</v>
      </c>
      <c r="D424" t="s">
        <v>101</v>
      </c>
      <c r="E424" t="s">
        <v>179</v>
      </c>
      <c r="F424" t="s">
        <v>228</v>
      </c>
      <c r="G424" t="s">
        <v>119</v>
      </c>
      <c r="H424" t="s">
        <v>255</v>
      </c>
      <c r="I424">
        <v>2016</v>
      </c>
      <c r="J424" t="s">
        <v>264</v>
      </c>
      <c r="K424" t="s">
        <v>257</v>
      </c>
      <c r="L424" t="s">
        <v>717</v>
      </c>
      <c r="M424" t="s">
        <v>753</v>
      </c>
      <c r="N424">
        <v>0</v>
      </c>
      <c r="O424">
        <v>2020</v>
      </c>
      <c r="P424">
        <v>7864.8660317782214</v>
      </c>
      <c r="Q424">
        <v>4.3808079625411702</v>
      </c>
      <c r="R424" t="s">
        <v>109</v>
      </c>
      <c r="S424">
        <v>1795.3003416328841</v>
      </c>
      <c r="T424">
        <v>0.97</v>
      </c>
      <c r="U424" t="s">
        <v>227</v>
      </c>
      <c r="V424">
        <v>0.97</v>
      </c>
      <c r="W424">
        <v>19.7</v>
      </c>
      <c r="X424">
        <v>33.1</v>
      </c>
      <c r="Y424">
        <v>27</v>
      </c>
      <c r="Z424">
        <v>9.0799342577003436E-2</v>
      </c>
      <c r="AA424">
        <v>31.536000000000001</v>
      </c>
    </row>
    <row r="425" spans="1:27" x14ac:dyDescent="0.25">
      <c r="A425" t="s">
        <v>98</v>
      </c>
      <c r="B425" t="s">
        <v>99</v>
      </c>
      <c r="C425" t="s">
        <v>689</v>
      </c>
      <c r="D425" t="s">
        <v>101</v>
      </c>
      <c r="E425" t="s">
        <v>179</v>
      </c>
      <c r="F425" t="s">
        <v>228</v>
      </c>
      <c r="G425" t="s">
        <v>119</v>
      </c>
      <c r="H425" t="s">
        <v>255</v>
      </c>
      <c r="I425">
        <v>2020</v>
      </c>
      <c r="J425" t="s">
        <v>266</v>
      </c>
      <c r="K425" t="s">
        <v>257</v>
      </c>
      <c r="L425" t="s">
        <v>717</v>
      </c>
      <c r="M425" t="s">
        <v>753</v>
      </c>
      <c r="N425">
        <v>1</v>
      </c>
      <c r="O425">
        <v>2020</v>
      </c>
      <c r="P425">
        <v>7864.8660317782214</v>
      </c>
      <c r="Q425">
        <v>4.3808079625411702</v>
      </c>
      <c r="R425" t="s">
        <v>109</v>
      </c>
      <c r="S425">
        <v>1795.3003416328841</v>
      </c>
      <c r="T425">
        <v>0.97</v>
      </c>
      <c r="U425" t="s">
        <v>227</v>
      </c>
      <c r="V425">
        <v>0.97</v>
      </c>
      <c r="W425">
        <v>19.7</v>
      </c>
      <c r="X425">
        <v>33.1</v>
      </c>
      <c r="Y425">
        <v>27</v>
      </c>
      <c r="Z425">
        <v>9.0799342577003436E-2</v>
      </c>
      <c r="AA425">
        <v>31.536000000000001</v>
      </c>
    </row>
    <row r="426" spans="1:27" x14ac:dyDescent="0.25">
      <c r="A426" t="s">
        <v>98</v>
      </c>
      <c r="B426" t="s">
        <v>99</v>
      </c>
      <c r="C426" t="s">
        <v>689</v>
      </c>
      <c r="D426" t="s">
        <v>101</v>
      </c>
      <c r="E426" t="s">
        <v>179</v>
      </c>
      <c r="F426" t="s">
        <v>228</v>
      </c>
      <c r="G426" t="s">
        <v>103</v>
      </c>
      <c r="H426" t="s">
        <v>156</v>
      </c>
      <c r="I426">
        <v>2016</v>
      </c>
      <c r="J426" t="s">
        <v>267</v>
      </c>
      <c r="K426" t="s">
        <v>158</v>
      </c>
      <c r="L426" t="s">
        <v>717</v>
      </c>
      <c r="M426" t="s">
        <v>754</v>
      </c>
      <c r="N426">
        <v>1</v>
      </c>
      <c r="O426">
        <v>2020</v>
      </c>
      <c r="P426">
        <v>2499.6861031233111</v>
      </c>
      <c r="Q426">
        <v>4.3808079625411702</v>
      </c>
      <c r="R426" t="s">
        <v>109</v>
      </c>
      <c r="S426">
        <v>570.59933338719566</v>
      </c>
      <c r="T426">
        <v>0.8</v>
      </c>
      <c r="U426" t="s">
        <v>227</v>
      </c>
      <c r="V426">
        <v>0.8</v>
      </c>
      <c r="W426">
        <v>16</v>
      </c>
      <c r="X426">
        <v>27</v>
      </c>
      <c r="Y426">
        <v>22</v>
      </c>
      <c r="Z426">
        <v>9.0799342577003436E-2</v>
      </c>
      <c r="AA426">
        <v>31.536000000000001</v>
      </c>
    </row>
    <row r="427" spans="1:27" x14ac:dyDescent="0.25">
      <c r="A427" t="s">
        <v>98</v>
      </c>
      <c r="B427" t="s">
        <v>99</v>
      </c>
      <c r="C427" t="s">
        <v>689</v>
      </c>
      <c r="D427" t="s">
        <v>101</v>
      </c>
      <c r="E427" t="s">
        <v>179</v>
      </c>
      <c r="F427" t="s">
        <v>228</v>
      </c>
      <c r="G427" t="s">
        <v>111</v>
      </c>
      <c r="H427" t="s">
        <v>156</v>
      </c>
      <c r="I427">
        <v>2016</v>
      </c>
      <c r="J427" t="s">
        <v>269</v>
      </c>
      <c r="K427" t="s">
        <v>158</v>
      </c>
      <c r="L427" t="s">
        <v>717</v>
      </c>
      <c r="M427" t="s">
        <v>755</v>
      </c>
      <c r="N427">
        <v>0</v>
      </c>
      <c r="O427">
        <v>2020</v>
      </c>
      <c r="P427">
        <v>3182.5271849521182</v>
      </c>
      <c r="Q427">
        <v>4.3808079625411702</v>
      </c>
      <c r="R427" t="s">
        <v>109</v>
      </c>
      <c r="S427">
        <v>726.47037080028338</v>
      </c>
      <c r="T427">
        <v>0.92</v>
      </c>
      <c r="U427" t="s">
        <v>227</v>
      </c>
      <c r="V427">
        <v>0.92</v>
      </c>
      <c r="W427">
        <v>16</v>
      </c>
      <c r="X427">
        <v>27</v>
      </c>
      <c r="Y427">
        <v>22</v>
      </c>
      <c r="Z427">
        <v>9.0799342577003436E-2</v>
      </c>
      <c r="AA427">
        <v>31.536000000000001</v>
      </c>
    </row>
    <row r="428" spans="1:27" x14ac:dyDescent="0.25">
      <c r="A428" t="s">
        <v>98</v>
      </c>
      <c r="B428" t="s">
        <v>99</v>
      </c>
      <c r="C428" t="s">
        <v>689</v>
      </c>
      <c r="D428" t="s">
        <v>101</v>
      </c>
      <c r="E428" t="s">
        <v>179</v>
      </c>
      <c r="F428" t="s">
        <v>228</v>
      </c>
      <c r="G428" t="s">
        <v>111</v>
      </c>
      <c r="H428" t="s">
        <v>156</v>
      </c>
      <c r="I428">
        <v>2020</v>
      </c>
      <c r="J428" t="s">
        <v>271</v>
      </c>
      <c r="K428" t="s">
        <v>158</v>
      </c>
      <c r="L428" t="s">
        <v>717</v>
      </c>
      <c r="M428" t="s">
        <v>755</v>
      </c>
      <c r="N428">
        <v>1</v>
      </c>
      <c r="O428">
        <v>2020</v>
      </c>
      <c r="P428">
        <v>3365.4310461562618</v>
      </c>
      <c r="Q428">
        <v>4.3808079625411702</v>
      </c>
      <c r="R428" t="s">
        <v>109</v>
      </c>
      <c r="S428">
        <v>768.22154153593181</v>
      </c>
      <c r="T428">
        <v>0.92</v>
      </c>
      <c r="U428" t="s">
        <v>227</v>
      </c>
      <c r="V428">
        <v>0.92</v>
      </c>
      <c r="W428">
        <v>16</v>
      </c>
      <c r="X428">
        <v>27</v>
      </c>
      <c r="Y428">
        <v>22</v>
      </c>
      <c r="Z428">
        <v>9.0799342577003436E-2</v>
      </c>
      <c r="AA428">
        <v>31.536000000000001</v>
      </c>
    </row>
    <row r="429" spans="1:27" x14ac:dyDescent="0.25">
      <c r="A429" t="s">
        <v>98</v>
      </c>
      <c r="B429" t="s">
        <v>99</v>
      </c>
      <c r="C429" t="s">
        <v>689</v>
      </c>
      <c r="D429" t="s">
        <v>101</v>
      </c>
      <c r="E429" t="s">
        <v>179</v>
      </c>
      <c r="F429" t="s">
        <v>228</v>
      </c>
      <c r="G429" t="s">
        <v>114</v>
      </c>
      <c r="H429" t="s">
        <v>156</v>
      </c>
      <c r="I429">
        <v>2016</v>
      </c>
      <c r="J429" t="s">
        <v>272</v>
      </c>
      <c r="K429" t="s">
        <v>158</v>
      </c>
      <c r="L429" t="s">
        <v>717</v>
      </c>
      <c r="M429" t="s">
        <v>756</v>
      </c>
      <c r="N429">
        <v>1</v>
      </c>
      <c r="O429">
        <v>2020</v>
      </c>
      <c r="P429">
        <v>3341.043864662377</v>
      </c>
      <c r="Q429">
        <v>4.3808079625411702</v>
      </c>
      <c r="R429" t="s">
        <v>109</v>
      </c>
      <c r="S429">
        <v>762.65471877117875</v>
      </c>
      <c r="T429">
        <v>0.95</v>
      </c>
      <c r="U429" t="s">
        <v>227</v>
      </c>
      <c r="V429">
        <v>0.95</v>
      </c>
      <c r="W429">
        <v>16</v>
      </c>
      <c r="X429">
        <v>27</v>
      </c>
      <c r="Y429">
        <v>22</v>
      </c>
      <c r="Z429">
        <v>9.0799342577003436E-2</v>
      </c>
      <c r="AA429">
        <v>31.536000000000001</v>
      </c>
    </row>
    <row r="430" spans="1:27" x14ac:dyDescent="0.25">
      <c r="A430" t="s">
        <v>98</v>
      </c>
      <c r="B430" t="s">
        <v>99</v>
      </c>
      <c r="C430" t="s">
        <v>689</v>
      </c>
      <c r="D430" t="s">
        <v>101</v>
      </c>
      <c r="E430" t="s">
        <v>179</v>
      </c>
      <c r="F430" t="s">
        <v>228</v>
      </c>
      <c r="G430" t="s">
        <v>114</v>
      </c>
      <c r="H430" t="s">
        <v>156</v>
      </c>
      <c r="I430">
        <v>2022</v>
      </c>
      <c r="J430" t="s">
        <v>274</v>
      </c>
      <c r="K430" t="s">
        <v>158</v>
      </c>
      <c r="L430" t="s">
        <v>717</v>
      </c>
      <c r="M430" t="s">
        <v>757</v>
      </c>
      <c r="N430">
        <v>1</v>
      </c>
      <c r="O430">
        <v>2022</v>
      </c>
      <c r="P430">
        <v>3341.043864662377</v>
      </c>
      <c r="Q430">
        <v>4.3808079625411702</v>
      </c>
      <c r="R430" t="s">
        <v>109</v>
      </c>
      <c r="S430">
        <v>762.65471877117875</v>
      </c>
      <c r="T430">
        <v>0.95</v>
      </c>
      <c r="U430" t="s">
        <v>227</v>
      </c>
      <c r="V430">
        <v>0.95</v>
      </c>
      <c r="W430">
        <v>16</v>
      </c>
      <c r="X430">
        <v>27</v>
      </c>
      <c r="Y430">
        <v>22</v>
      </c>
      <c r="Z430">
        <v>9.0799342577003436E-2</v>
      </c>
      <c r="AA430">
        <v>31.536000000000001</v>
      </c>
    </row>
    <row r="431" spans="1:27" x14ac:dyDescent="0.25">
      <c r="A431" t="s">
        <v>98</v>
      </c>
      <c r="B431" t="s">
        <v>99</v>
      </c>
      <c r="C431" t="s">
        <v>689</v>
      </c>
      <c r="D431" t="s">
        <v>101</v>
      </c>
      <c r="E431" t="s">
        <v>179</v>
      </c>
      <c r="F431" t="s">
        <v>228</v>
      </c>
      <c r="G431" t="s">
        <v>119</v>
      </c>
      <c r="H431" t="s">
        <v>156</v>
      </c>
      <c r="I431">
        <v>2016</v>
      </c>
      <c r="J431" t="s">
        <v>276</v>
      </c>
      <c r="K431" t="s">
        <v>158</v>
      </c>
      <c r="L431" t="s">
        <v>717</v>
      </c>
      <c r="M431" t="s">
        <v>758</v>
      </c>
      <c r="N431">
        <v>1</v>
      </c>
      <c r="O431">
        <v>2020</v>
      </c>
      <c r="P431">
        <v>3706.851587070666</v>
      </c>
      <c r="Q431">
        <v>4.3808079625411702</v>
      </c>
      <c r="R431" t="s">
        <v>109</v>
      </c>
      <c r="S431">
        <v>846.15706024247561</v>
      </c>
      <c r="T431">
        <v>0.99</v>
      </c>
      <c r="U431" t="s">
        <v>227</v>
      </c>
      <c r="V431">
        <v>0.99</v>
      </c>
      <c r="W431">
        <v>16</v>
      </c>
      <c r="X431">
        <v>27</v>
      </c>
      <c r="Y431">
        <v>22</v>
      </c>
      <c r="Z431">
        <v>9.0799342577003436E-2</v>
      </c>
      <c r="AA431">
        <v>31.536000000000001</v>
      </c>
    </row>
    <row r="432" spans="1:27" x14ac:dyDescent="0.25">
      <c r="A432" t="s">
        <v>98</v>
      </c>
      <c r="B432" t="s">
        <v>99</v>
      </c>
      <c r="C432" t="s">
        <v>689</v>
      </c>
      <c r="D432" t="s">
        <v>101</v>
      </c>
      <c r="E432" t="s">
        <v>179</v>
      </c>
      <c r="F432" t="s">
        <v>228</v>
      </c>
      <c r="G432" t="s">
        <v>119</v>
      </c>
      <c r="H432" t="s">
        <v>156</v>
      </c>
      <c r="I432">
        <v>2022</v>
      </c>
      <c r="J432" t="s">
        <v>278</v>
      </c>
      <c r="K432" t="s">
        <v>158</v>
      </c>
      <c r="L432" t="s">
        <v>717</v>
      </c>
      <c r="M432" t="s">
        <v>759</v>
      </c>
      <c r="N432">
        <v>1</v>
      </c>
      <c r="O432">
        <v>2022</v>
      </c>
      <c r="P432">
        <v>3706.851587070666</v>
      </c>
      <c r="Q432">
        <v>4.3808079625411702</v>
      </c>
      <c r="R432" t="s">
        <v>109</v>
      </c>
      <c r="S432">
        <v>846.15706024247561</v>
      </c>
      <c r="T432">
        <v>0.99</v>
      </c>
      <c r="U432" t="s">
        <v>227</v>
      </c>
      <c r="V432">
        <v>0.99</v>
      </c>
      <c r="W432">
        <v>16</v>
      </c>
      <c r="X432">
        <v>27</v>
      </c>
      <c r="Y432">
        <v>22</v>
      </c>
      <c r="Z432">
        <v>9.0799342577003436E-2</v>
      </c>
      <c r="AA432">
        <v>31.536000000000001</v>
      </c>
    </row>
    <row r="433" spans="1:27" x14ac:dyDescent="0.25">
      <c r="A433" t="s">
        <v>98</v>
      </c>
      <c r="B433" t="s">
        <v>99</v>
      </c>
      <c r="C433" t="s">
        <v>689</v>
      </c>
      <c r="D433" t="s">
        <v>101</v>
      </c>
      <c r="E433" t="s">
        <v>179</v>
      </c>
      <c r="F433" t="s">
        <v>228</v>
      </c>
      <c r="G433" t="s">
        <v>103</v>
      </c>
      <c r="H433" t="s">
        <v>148</v>
      </c>
      <c r="I433">
        <v>2016</v>
      </c>
      <c r="J433" t="s">
        <v>280</v>
      </c>
      <c r="K433" t="s">
        <v>150</v>
      </c>
      <c r="L433" t="s">
        <v>717</v>
      </c>
      <c r="M433" t="s">
        <v>760</v>
      </c>
      <c r="N433">
        <v>1</v>
      </c>
      <c r="O433">
        <v>2020</v>
      </c>
      <c r="P433">
        <v>5029.8561831139787</v>
      </c>
      <c r="Q433">
        <v>4.3808079625411702</v>
      </c>
      <c r="R433" t="s">
        <v>109</v>
      </c>
      <c r="S433">
        <v>1148.1571952303329</v>
      </c>
      <c r="T433">
        <v>0.83</v>
      </c>
      <c r="U433" t="s">
        <v>227</v>
      </c>
      <c r="V433">
        <v>0.83</v>
      </c>
      <c r="W433">
        <v>19.7</v>
      </c>
      <c r="X433">
        <v>33.1</v>
      </c>
      <c r="Y433">
        <v>27</v>
      </c>
      <c r="Z433">
        <v>9.0799342577003436E-2</v>
      </c>
      <c r="AA433">
        <v>31.536000000000001</v>
      </c>
    </row>
    <row r="434" spans="1:27" x14ac:dyDescent="0.25">
      <c r="A434" t="s">
        <v>98</v>
      </c>
      <c r="B434" t="s">
        <v>99</v>
      </c>
      <c r="C434" t="s">
        <v>689</v>
      </c>
      <c r="D434" t="s">
        <v>101</v>
      </c>
      <c r="E434" t="s">
        <v>179</v>
      </c>
      <c r="F434" t="s">
        <v>228</v>
      </c>
      <c r="G434" t="s">
        <v>111</v>
      </c>
      <c r="H434" t="s">
        <v>148</v>
      </c>
      <c r="I434">
        <v>2016</v>
      </c>
      <c r="J434" t="s">
        <v>282</v>
      </c>
      <c r="K434" t="s">
        <v>150</v>
      </c>
      <c r="L434" t="s">
        <v>717</v>
      </c>
      <c r="M434" t="s">
        <v>761</v>
      </c>
      <c r="N434">
        <v>1</v>
      </c>
      <c r="O434">
        <v>2020</v>
      </c>
      <c r="P434">
        <v>5029.8561831139787</v>
      </c>
      <c r="Q434">
        <v>4.3808079625411702</v>
      </c>
      <c r="R434" t="s">
        <v>109</v>
      </c>
      <c r="S434">
        <v>1148.1571952303329</v>
      </c>
      <c r="T434">
        <v>0.83</v>
      </c>
      <c r="U434" t="s">
        <v>227</v>
      </c>
      <c r="V434">
        <v>0.83</v>
      </c>
      <c r="W434">
        <v>19.7</v>
      </c>
      <c r="X434">
        <v>33.1</v>
      </c>
      <c r="Y434">
        <v>27</v>
      </c>
      <c r="Z434">
        <v>9.0799342577003436E-2</v>
      </c>
      <c r="AA434">
        <v>31.536000000000001</v>
      </c>
    </row>
    <row r="435" spans="1:27" x14ac:dyDescent="0.25">
      <c r="A435" t="s">
        <v>98</v>
      </c>
      <c r="B435" t="s">
        <v>99</v>
      </c>
      <c r="C435" t="s">
        <v>689</v>
      </c>
      <c r="D435" t="s">
        <v>101</v>
      </c>
      <c r="E435" t="s">
        <v>179</v>
      </c>
      <c r="F435" t="s">
        <v>228</v>
      </c>
      <c r="G435" t="s">
        <v>111</v>
      </c>
      <c r="H435" t="s">
        <v>148</v>
      </c>
      <c r="I435">
        <v>2022</v>
      </c>
      <c r="J435" t="s">
        <v>284</v>
      </c>
      <c r="K435" t="s">
        <v>150</v>
      </c>
      <c r="L435" t="s">
        <v>717</v>
      </c>
      <c r="M435" t="s">
        <v>762</v>
      </c>
      <c r="N435">
        <v>1</v>
      </c>
      <c r="O435">
        <v>2022</v>
      </c>
      <c r="P435">
        <v>5151.7920905834089</v>
      </c>
      <c r="Q435">
        <v>4.3808079625411702</v>
      </c>
      <c r="R435" t="s">
        <v>109</v>
      </c>
      <c r="S435">
        <v>1175.991309054099</v>
      </c>
      <c r="T435">
        <v>0.84</v>
      </c>
      <c r="U435" t="s">
        <v>227</v>
      </c>
      <c r="V435">
        <v>0.84</v>
      </c>
      <c r="W435">
        <v>19.7</v>
      </c>
      <c r="X435">
        <v>33.1</v>
      </c>
      <c r="Y435">
        <v>27</v>
      </c>
      <c r="Z435">
        <v>9.0799342577003436E-2</v>
      </c>
      <c r="AA435">
        <v>31.536000000000001</v>
      </c>
    </row>
    <row r="436" spans="1:27" x14ac:dyDescent="0.25">
      <c r="A436" t="s">
        <v>98</v>
      </c>
      <c r="B436" t="s">
        <v>99</v>
      </c>
      <c r="C436" t="s">
        <v>689</v>
      </c>
      <c r="D436" t="s">
        <v>101</v>
      </c>
      <c r="E436" t="s">
        <v>179</v>
      </c>
      <c r="F436" t="s">
        <v>228</v>
      </c>
      <c r="G436" t="s">
        <v>114</v>
      </c>
      <c r="H436" t="s">
        <v>148</v>
      </c>
      <c r="I436">
        <v>2016</v>
      </c>
      <c r="J436" t="s">
        <v>286</v>
      </c>
      <c r="K436" t="s">
        <v>150</v>
      </c>
      <c r="L436" t="s">
        <v>717</v>
      </c>
      <c r="M436" t="s">
        <v>763</v>
      </c>
      <c r="N436">
        <v>1</v>
      </c>
      <c r="O436">
        <v>2020</v>
      </c>
      <c r="P436">
        <v>5304.2119749201956</v>
      </c>
      <c r="Q436">
        <v>4.3808079625411702</v>
      </c>
      <c r="R436" t="s">
        <v>109</v>
      </c>
      <c r="S436">
        <v>1210.7839513338049</v>
      </c>
      <c r="T436">
        <v>0.85</v>
      </c>
      <c r="U436" t="s">
        <v>227</v>
      </c>
      <c r="V436">
        <v>0.85</v>
      </c>
      <c r="W436">
        <v>19.7</v>
      </c>
      <c r="X436">
        <v>33.1</v>
      </c>
      <c r="Y436">
        <v>27</v>
      </c>
      <c r="Z436">
        <v>9.0799342577003436E-2</v>
      </c>
      <c r="AA436">
        <v>31.536000000000001</v>
      </c>
    </row>
    <row r="437" spans="1:27" x14ac:dyDescent="0.25">
      <c r="A437" t="s">
        <v>98</v>
      </c>
      <c r="B437" t="s">
        <v>99</v>
      </c>
      <c r="C437" t="s">
        <v>689</v>
      </c>
      <c r="D437" t="s">
        <v>101</v>
      </c>
      <c r="E437" t="s">
        <v>179</v>
      </c>
      <c r="F437" t="s">
        <v>228</v>
      </c>
      <c r="G437" t="s">
        <v>119</v>
      </c>
      <c r="H437" t="s">
        <v>148</v>
      </c>
      <c r="I437">
        <v>2016</v>
      </c>
      <c r="J437" t="s">
        <v>288</v>
      </c>
      <c r="K437" t="s">
        <v>150</v>
      </c>
      <c r="L437" t="s">
        <v>717</v>
      </c>
      <c r="M437" t="s">
        <v>764</v>
      </c>
      <c r="N437">
        <v>1</v>
      </c>
      <c r="O437">
        <v>2020</v>
      </c>
      <c r="P437">
        <v>7864.8660317782214</v>
      </c>
      <c r="Q437">
        <v>4.3808079625411702</v>
      </c>
      <c r="R437" t="s">
        <v>109</v>
      </c>
      <c r="S437">
        <v>1795.3003416328841</v>
      </c>
      <c r="T437">
        <v>0.97</v>
      </c>
      <c r="U437" t="s">
        <v>227</v>
      </c>
      <c r="V437">
        <v>0.97</v>
      </c>
      <c r="W437">
        <v>19.7</v>
      </c>
      <c r="X437">
        <v>33.1</v>
      </c>
      <c r="Y437">
        <v>27</v>
      </c>
      <c r="Z437">
        <v>9.0799342577003436E-2</v>
      </c>
      <c r="AA437">
        <v>31.536000000000001</v>
      </c>
    </row>
    <row r="438" spans="1:27" x14ac:dyDescent="0.25">
      <c r="A438" t="s">
        <v>98</v>
      </c>
      <c r="B438" t="s">
        <v>99</v>
      </c>
      <c r="C438" t="s">
        <v>689</v>
      </c>
      <c r="D438" t="s">
        <v>101</v>
      </c>
      <c r="E438" t="s">
        <v>179</v>
      </c>
      <c r="F438" t="s">
        <v>228</v>
      </c>
      <c r="G438" t="s">
        <v>119</v>
      </c>
      <c r="H438" t="s">
        <v>148</v>
      </c>
      <c r="I438">
        <v>2022</v>
      </c>
      <c r="J438" t="s">
        <v>290</v>
      </c>
      <c r="K438" t="s">
        <v>150</v>
      </c>
      <c r="L438" t="s">
        <v>717</v>
      </c>
      <c r="M438" t="s">
        <v>765</v>
      </c>
      <c r="N438">
        <v>1</v>
      </c>
      <c r="O438">
        <v>2022</v>
      </c>
      <c r="P438">
        <v>7864.8660317782214</v>
      </c>
      <c r="Q438">
        <v>4.3808079625411702</v>
      </c>
      <c r="R438" t="s">
        <v>109</v>
      </c>
      <c r="S438">
        <v>1795.3003416328841</v>
      </c>
      <c r="T438">
        <v>0.97</v>
      </c>
      <c r="U438" t="s">
        <v>227</v>
      </c>
      <c r="V438">
        <v>0.97</v>
      </c>
      <c r="W438">
        <v>19.7</v>
      </c>
      <c r="X438">
        <v>33.1</v>
      </c>
      <c r="Y438">
        <v>27</v>
      </c>
      <c r="Z438">
        <v>9.0799342577003436E-2</v>
      </c>
      <c r="AA438">
        <v>31.536000000000001</v>
      </c>
    </row>
    <row r="439" spans="1:27" x14ac:dyDescent="0.25">
      <c r="A439" t="s">
        <v>98</v>
      </c>
      <c r="B439" t="s">
        <v>99</v>
      </c>
      <c r="C439" t="s">
        <v>689</v>
      </c>
      <c r="D439" t="s">
        <v>101</v>
      </c>
      <c r="E439" t="s">
        <v>179</v>
      </c>
      <c r="F439" t="s">
        <v>224</v>
      </c>
      <c r="G439" t="s">
        <v>103</v>
      </c>
      <c r="H439" t="s">
        <v>148</v>
      </c>
      <c r="I439">
        <v>2016</v>
      </c>
      <c r="J439" t="s">
        <v>292</v>
      </c>
      <c r="K439" t="s">
        <v>150</v>
      </c>
      <c r="L439" t="s">
        <v>717</v>
      </c>
      <c r="M439" t="s">
        <v>766</v>
      </c>
      <c r="N439">
        <v>1</v>
      </c>
      <c r="O439">
        <v>2020</v>
      </c>
      <c r="P439">
        <v>11126.65155658547</v>
      </c>
      <c r="Q439">
        <v>4.3808079625411702</v>
      </c>
      <c r="R439" t="s">
        <v>109</v>
      </c>
      <c r="S439">
        <v>2539.8628864186148</v>
      </c>
      <c r="T439">
        <v>0.84</v>
      </c>
      <c r="U439" t="s">
        <v>227</v>
      </c>
      <c r="V439">
        <v>0.84</v>
      </c>
      <c r="W439">
        <v>18</v>
      </c>
      <c r="X439">
        <v>28</v>
      </c>
      <c r="Y439">
        <v>24</v>
      </c>
      <c r="Z439">
        <v>9.0799342577003436E-2</v>
      </c>
      <c r="AA439">
        <v>31.536000000000001</v>
      </c>
    </row>
    <row r="440" spans="1:27" x14ac:dyDescent="0.25">
      <c r="A440" t="s">
        <v>98</v>
      </c>
      <c r="B440" t="s">
        <v>99</v>
      </c>
      <c r="C440" t="s">
        <v>689</v>
      </c>
      <c r="D440" t="s">
        <v>101</v>
      </c>
      <c r="E440" t="s">
        <v>179</v>
      </c>
      <c r="F440" t="s">
        <v>224</v>
      </c>
      <c r="G440" t="s">
        <v>103</v>
      </c>
      <c r="H440" t="s">
        <v>148</v>
      </c>
      <c r="I440">
        <v>2022</v>
      </c>
      <c r="J440" t="s">
        <v>294</v>
      </c>
      <c r="K440" t="s">
        <v>150</v>
      </c>
      <c r="L440" t="s">
        <v>717</v>
      </c>
      <c r="M440" t="s">
        <v>767</v>
      </c>
      <c r="N440">
        <v>1</v>
      </c>
      <c r="O440">
        <v>2022</v>
      </c>
      <c r="P440">
        <v>11492.45927899376</v>
      </c>
      <c r="Q440">
        <v>4.3808079625411702</v>
      </c>
      <c r="R440" t="s">
        <v>109</v>
      </c>
      <c r="S440">
        <v>2623.3652278899121</v>
      </c>
      <c r="T440">
        <v>0.86</v>
      </c>
      <c r="U440" t="s">
        <v>227</v>
      </c>
      <c r="V440">
        <v>0.86</v>
      </c>
      <c r="W440">
        <v>18</v>
      </c>
      <c r="X440">
        <v>28</v>
      </c>
      <c r="Y440">
        <v>24</v>
      </c>
      <c r="Z440">
        <v>9.0799342577003436E-2</v>
      </c>
      <c r="AA440">
        <v>31.536000000000001</v>
      </c>
    </row>
    <row r="441" spans="1:27" x14ac:dyDescent="0.25">
      <c r="A441" t="s">
        <v>98</v>
      </c>
      <c r="B441" t="s">
        <v>99</v>
      </c>
      <c r="C441" t="s">
        <v>689</v>
      </c>
      <c r="D441" t="s">
        <v>101</v>
      </c>
      <c r="E441" t="s">
        <v>179</v>
      </c>
      <c r="F441" t="s">
        <v>224</v>
      </c>
      <c r="G441" t="s">
        <v>111</v>
      </c>
      <c r="H441" t="s">
        <v>148</v>
      </c>
      <c r="I441">
        <v>2016</v>
      </c>
      <c r="J441" t="s">
        <v>296</v>
      </c>
      <c r="K441" t="s">
        <v>150</v>
      </c>
      <c r="L441" t="s">
        <v>717</v>
      </c>
      <c r="M441" t="s">
        <v>768</v>
      </c>
      <c r="N441">
        <v>1</v>
      </c>
      <c r="O441">
        <v>2020</v>
      </c>
      <c r="P441">
        <v>11126.65155658547</v>
      </c>
      <c r="Q441">
        <v>4.3808079625411702</v>
      </c>
      <c r="R441" t="s">
        <v>109</v>
      </c>
      <c r="S441">
        <v>2539.8628864186148</v>
      </c>
      <c r="T441">
        <v>0.84</v>
      </c>
      <c r="U441" t="s">
        <v>227</v>
      </c>
      <c r="V441">
        <v>0.84</v>
      </c>
      <c r="W441">
        <v>18</v>
      </c>
      <c r="X441">
        <v>28</v>
      </c>
      <c r="Y441">
        <v>24</v>
      </c>
      <c r="Z441">
        <v>9.0799342577003436E-2</v>
      </c>
      <c r="AA441">
        <v>31.536000000000001</v>
      </c>
    </row>
    <row r="442" spans="1:27" x14ac:dyDescent="0.25">
      <c r="A442" t="s">
        <v>98</v>
      </c>
      <c r="B442" t="s">
        <v>99</v>
      </c>
      <c r="C442" t="s">
        <v>689</v>
      </c>
      <c r="D442" t="s">
        <v>101</v>
      </c>
      <c r="E442" t="s">
        <v>179</v>
      </c>
      <c r="F442" t="s">
        <v>224</v>
      </c>
      <c r="G442" t="s">
        <v>111</v>
      </c>
      <c r="H442" t="s">
        <v>148</v>
      </c>
      <c r="I442">
        <v>2022</v>
      </c>
      <c r="J442" t="s">
        <v>298</v>
      </c>
      <c r="K442" t="s">
        <v>150</v>
      </c>
      <c r="L442" t="s">
        <v>717</v>
      </c>
      <c r="M442" t="s">
        <v>769</v>
      </c>
      <c r="N442">
        <v>1</v>
      </c>
      <c r="O442">
        <v>2022</v>
      </c>
      <c r="P442">
        <v>11492.45927899376</v>
      </c>
      <c r="Q442">
        <v>4.3808079625411702</v>
      </c>
      <c r="R442" t="s">
        <v>109</v>
      </c>
      <c r="S442">
        <v>2623.3652278899121</v>
      </c>
      <c r="T442">
        <v>0.86</v>
      </c>
      <c r="U442" t="s">
        <v>227</v>
      </c>
      <c r="V442">
        <v>0.86</v>
      </c>
      <c r="W442">
        <v>18</v>
      </c>
      <c r="X442">
        <v>28</v>
      </c>
      <c r="Y442">
        <v>24</v>
      </c>
      <c r="Z442">
        <v>9.0799342577003436E-2</v>
      </c>
      <c r="AA442">
        <v>31.536000000000001</v>
      </c>
    </row>
    <row r="443" spans="1:27" x14ac:dyDescent="0.25">
      <c r="A443" t="s">
        <v>98</v>
      </c>
      <c r="B443" t="s">
        <v>99</v>
      </c>
      <c r="C443" t="s">
        <v>689</v>
      </c>
      <c r="D443" t="s">
        <v>101</v>
      </c>
      <c r="E443" t="s">
        <v>179</v>
      </c>
      <c r="F443" t="s">
        <v>224</v>
      </c>
      <c r="G443" t="s">
        <v>114</v>
      </c>
      <c r="H443" t="s">
        <v>148</v>
      </c>
      <c r="I443">
        <v>2016</v>
      </c>
      <c r="J443" t="s">
        <v>300</v>
      </c>
      <c r="K443" t="s">
        <v>150</v>
      </c>
      <c r="L443" t="s">
        <v>717</v>
      </c>
      <c r="M443" t="s">
        <v>770</v>
      </c>
      <c r="N443">
        <v>1</v>
      </c>
      <c r="O443">
        <v>2020</v>
      </c>
      <c r="P443">
        <v>11492.45927899376</v>
      </c>
      <c r="Q443">
        <v>4.3808079625411702</v>
      </c>
      <c r="R443" t="s">
        <v>109</v>
      </c>
      <c r="S443">
        <v>2623.3652278899121</v>
      </c>
      <c r="T443">
        <v>0.87</v>
      </c>
      <c r="U443" t="s">
        <v>227</v>
      </c>
      <c r="V443">
        <v>0.87</v>
      </c>
      <c r="W443">
        <v>18</v>
      </c>
      <c r="X443">
        <v>28</v>
      </c>
      <c r="Y443">
        <v>24</v>
      </c>
      <c r="Z443">
        <v>9.0799342577003436E-2</v>
      </c>
      <c r="AA443">
        <v>31.536000000000001</v>
      </c>
    </row>
    <row r="444" spans="1:27" x14ac:dyDescent="0.25">
      <c r="A444" t="s">
        <v>98</v>
      </c>
      <c r="B444" t="s">
        <v>99</v>
      </c>
      <c r="C444" t="s">
        <v>689</v>
      </c>
      <c r="D444" t="s">
        <v>101</v>
      </c>
      <c r="E444" t="s">
        <v>179</v>
      </c>
      <c r="F444" t="s">
        <v>224</v>
      </c>
      <c r="G444" t="s">
        <v>119</v>
      </c>
      <c r="H444" t="s">
        <v>148</v>
      </c>
      <c r="I444">
        <v>2016</v>
      </c>
      <c r="J444" t="s">
        <v>302</v>
      </c>
      <c r="K444" t="s">
        <v>150</v>
      </c>
      <c r="L444" t="s">
        <v>717</v>
      </c>
      <c r="M444" t="s">
        <v>771</v>
      </c>
      <c r="N444">
        <v>1</v>
      </c>
      <c r="O444">
        <v>2020</v>
      </c>
      <c r="P444">
        <v>13961.66140524971</v>
      </c>
      <c r="Q444">
        <v>4.3808079625411702</v>
      </c>
      <c r="R444" t="s">
        <v>109</v>
      </c>
      <c r="S444">
        <v>3187.0060328211662</v>
      </c>
      <c r="T444">
        <v>0.9</v>
      </c>
      <c r="U444" t="s">
        <v>227</v>
      </c>
      <c r="V444">
        <v>0.9</v>
      </c>
      <c r="W444">
        <v>18</v>
      </c>
      <c r="X444">
        <v>28</v>
      </c>
      <c r="Y444">
        <v>24</v>
      </c>
      <c r="Z444">
        <v>9.0799342577003436E-2</v>
      </c>
      <c r="AA444">
        <v>31.536000000000001</v>
      </c>
    </row>
    <row r="445" spans="1:27" x14ac:dyDescent="0.25">
      <c r="A445" t="s">
        <v>98</v>
      </c>
      <c r="B445" t="s">
        <v>99</v>
      </c>
      <c r="C445" t="s">
        <v>689</v>
      </c>
      <c r="D445" t="s">
        <v>101</v>
      </c>
      <c r="E445" t="s">
        <v>304</v>
      </c>
      <c r="F445" t="s">
        <v>180</v>
      </c>
      <c r="G445" t="s">
        <v>111</v>
      </c>
      <c r="H445" t="s">
        <v>104</v>
      </c>
      <c r="I445">
        <v>2016</v>
      </c>
      <c r="J445" t="s">
        <v>305</v>
      </c>
      <c r="K445" t="s">
        <v>106</v>
      </c>
      <c r="L445" t="s">
        <v>772</v>
      </c>
      <c r="M445" t="s">
        <v>773</v>
      </c>
      <c r="N445">
        <v>0</v>
      </c>
      <c r="O445">
        <v>2020</v>
      </c>
      <c r="P445">
        <v>8291.641707921226</v>
      </c>
      <c r="Q445">
        <v>2.0610137692780768</v>
      </c>
      <c r="R445" t="s">
        <v>109</v>
      </c>
      <c r="S445">
        <v>4023.0889436636739</v>
      </c>
      <c r="T445">
        <v>0.6</v>
      </c>
      <c r="U445" t="s">
        <v>184</v>
      </c>
      <c r="V445">
        <v>0.6</v>
      </c>
      <c r="W445">
        <v>12</v>
      </c>
      <c r="X445">
        <v>18</v>
      </c>
      <c r="Y445">
        <v>16</v>
      </c>
      <c r="Z445">
        <v>7.9838654742081211E-2</v>
      </c>
      <c r="AA445">
        <v>31.536000000000001</v>
      </c>
    </row>
    <row r="446" spans="1:27" x14ac:dyDescent="0.25">
      <c r="A446" t="s">
        <v>98</v>
      </c>
      <c r="B446" t="s">
        <v>99</v>
      </c>
      <c r="C446" t="s">
        <v>689</v>
      </c>
      <c r="D446" t="s">
        <v>101</v>
      </c>
      <c r="E446" t="s">
        <v>304</v>
      </c>
      <c r="F446" t="s">
        <v>180</v>
      </c>
      <c r="G446" t="s">
        <v>111</v>
      </c>
      <c r="H446" t="s">
        <v>104</v>
      </c>
      <c r="I446">
        <v>2020</v>
      </c>
      <c r="J446" t="s">
        <v>308</v>
      </c>
      <c r="K446" t="s">
        <v>106</v>
      </c>
      <c r="L446" t="s">
        <v>772</v>
      </c>
      <c r="M446" t="s">
        <v>773</v>
      </c>
      <c r="N446">
        <v>1</v>
      </c>
      <c r="O446">
        <v>2020</v>
      </c>
      <c r="P446">
        <v>8291.641707921226</v>
      </c>
      <c r="Q446">
        <v>2.0610137692780768</v>
      </c>
      <c r="R446" t="s">
        <v>109</v>
      </c>
      <c r="S446">
        <v>4023.0889436636739</v>
      </c>
      <c r="T446">
        <v>0.7</v>
      </c>
      <c r="U446" t="s">
        <v>184</v>
      </c>
      <c r="V446">
        <v>0.7</v>
      </c>
      <c r="W446">
        <v>12</v>
      </c>
      <c r="X446">
        <v>18</v>
      </c>
      <c r="Y446">
        <v>16</v>
      </c>
      <c r="Z446">
        <v>7.9838654742081211E-2</v>
      </c>
      <c r="AA446">
        <v>31.536000000000001</v>
      </c>
    </row>
    <row r="447" spans="1:27" x14ac:dyDescent="0.25">
      <c r="A447" t="s">
        <v>98</v>
      </c>
      <c r="B447" t="s">
        <v>99</v>
      </c>
      <c r="C447" t="s">
        <v>689</v>
      </c>
      <c r="D447" t="s">
        <v>101</v>
      </c>
      <c r="E447" t="s">
        <v>304</v>
      </c>
      <c r="F447" t="s">
        <v>180</v>
      </c>
      <c r="G447" t="s">
        <v>103</v>
      </c>
      <c r="H447" t="s">
        <v>125</v>
      </c>
      <c r="I447">
        <v>2016</v>
      </c>
      <c r="J447" t="s">
        <v>309</v>
      </c>
      <c r="K447" t="s">
        <v>127</v>
      </c>
      <c r="L447" t="s">
        <v>772</v>
      </c>
      <c r="M447" t="s">
        <v>774</v>
      </c>
      <c r="N447">
        <v>1</v>
      </c>
      <c r="O447">
        <v>2020</v>
      </c>
      <c r="P447">
        <v>2956.9457561336731</v>
      </c>
      <c r="Q447">
        <v>2.0610137692780768</v>
      </c>
      <c r="R447" t="s">
        <v>109</v>
      </c>
      <c r="S447">
        <v>1434.704512997708</v>
      </c>
      <c r="T447">
        <v>4.1031652989449006</v>
      </c>
      <c r="U447" t="s">
        <v>184</v>
      </c>
      <c r="V447">
        <v>4.1031652989449006</v>
      </c>
      <c r="W447">
        <v>9</v>
      </c>
      <c r="X447">
        <v>22</v>
      </c>
      <c r="Y447">
        <v>16</v>
      </c>
      <c r="Z447">
        <v>7.9838654742081211E-2</v>
      </c>
      <c r="AA447">
        <v>31.536000000000001</v>
      </c>
    </row>
    <row r="448" spans="1:27" x14ac:dyDescent="0.25">
      <c r="A448" t="s">
        <v>98</v>
      </c>
      <c r="B448" t="s">
        <v>99</v>
      </c>
      <c r="C448" t="s">
        <v>689</v>
      </c>
      <c r="D448" t="s">
        <v>101</v>
      </c>
      <c r="E448" t="s">
        <v>304</v>
      </c>
      <c r="F448" t="s">
        <v>180</v>
      </c>
      <c r="G448" t="s">
        <v>103</v>
      </c>
      <c r="H448" t="s">
        <v>125</v>
      </c>
      <c r="I448">
        <v>2023</v>
      </c>
      <c r="J448" t="s">
        <v>311</v>
      </c>
      <c r="K448" t="s">
        <v>127</v>
      </c>
      <c r="L448" t="s">
        <v>772</v>
      </c>
      <c r="M448" t="s">
        <v>775</v>
      </c>
      <c r="N448">
        <v>1</v>
      </c>
      <c r="O448">
        <v>2023</v>
      </c>
      <c r="P448">
        <v>2956.9457561336731</v>
      </c>
      <c r="Q448">
        <v>2.0610137692780768</v>
      </c>
      <c r="R448" t="s">
        <v>109</v>
      </c>
      <c r="S448">
        <v>1434.704512997708</v>
      </c>
      <c r="T448">
        <v>4.1031652989449006</v>
      </c>
      <c r="U448" t="s">
        <v>184</v>
      </c>
      <c r="V448">
        <v>4.1031652989449006</v>
      </c>
      <c r="W448">
        <v>9</v>
      </c>
      <c r="X448">
        <v>22</v>
      </c>
      <c r="Y448">
        <v>16</v>
      </c>
      <c r="Z448">
        <v>7.9838654742081211E-2</v>
      </c>
      <c r="AA448">
        <v>31.536000000000001</v>
      </c>
    </row>
    <row r="449" spans="1:27" x14ac:dyDescent="0.25">
      <c r="A449" t="s">
        <v>98</v>
      </c>
      <c r="B449" t="s">
        <v>99</v>
      </c>
      <c r="C449" t="s">
        <v>689</v>
      </c>
      <c r="D449" t="s">
        <v>101</v>
      </c>
      <c r="E449" t="s">
        <v>304</v>
      </c>
      <c r="F449" t="s">
        <v>180</v>
      </c>
      <c r="G449" t="s">
        <v>111</v>
      </c>
      <c r="H449" t="s">
        <v>125</v>
      </c>
      <c r="I449">
        <v>2016</v>
      </c>
      <c r="J449" t="s">
        <v>313</v>
      </c>
      <c r="K449" t="s">
        <v>127</v>
      </c>
      <c r="L449" t="s">
        <v>772</v>
      </c>
      <c r="M449" t="s">
        <v>776</v>
      </c>
      <c r="N449">
        <v>1</v>
      </c>
      <c r="O449">
        <v>2020</v>
      </c>
      <c r="P449">
        <v>3109.3656404704602</v>
      </c>
      <c r="Q449">
        <v>2.0610137692780768</v>
      </c>
      <c r="R449" t="s">
        <v>109</v>
      </c>
      <c r="S449">
        <v>1508.658353873878</v>
      </c>
      <c r="T449">
        <v>4.484173505275499</v>
      </c>
      <c r="U449" t="s">
        <v>184</v>
      </c>
      <c r="V449">
        <v>4.484173505275499</v>
      </c>
      <c r="W449">
        <v>9</v>
      </c>
      <c r="X449">
        <v>22</v>
      </c>
      <c r="Y449">
        <v>16</v>
      </c>
      <c r="Z449">
        <v>7.9838654742081211E-2</v>
      </c>
      <c r="AA449">
        <v>31.536000000000001</v>
      </c>
    </row>
    <row r="450" spans="1:27" x14ac:dyDescent="0.25">
      <c r="A450" t="s">
        <v>98</v>
      </c>
      <c r="B450" t="s">
        <v>99</v>
      </c>
      <c r="C450" t="s">
        <v>689</v>
      </c>
      <c r="D450" t="s">
        <v>101</v>
      </c>
      <c r="E450" t="s">
        <v>304</v>
      </c>
      <c r="F450" t="s">
        <v>180</v>
      </c>
      <c r="G450" t="s">
        <v>111</v>
      </c>
      <c r="H450" t="s">
        <v>125</v>
      </c>
      <c r="I450">
        <v>2023</v>
      </c>
      <c r="J450" t="s">
        <v>315</v>
      </c>
      <c r="K450" t="s">
        <v>127</v>
      </c>
      <c r="L450" t="s">
        <v>772</v>
      </c>
      <c r="M450" t="s">
        <v>777</v>
      </c>
      <c r="N450">
        <v>1</v>
      </c>
      <c r="O450">
        <v>2023</v>
      </c>
      <c r="P450">
        <v>3139.8496173378171</v>
      </c>
      <c r="Q450">
        <v>2.0610137692780768</v>
      </c>
      <c r="R450" t="s">
        <v>109</v>
      </c>
      <c r="S450">
        <v>1523.449122049112</v>
      </c>
      <c r="T450">
        <v>4.6307151230949586</v>
      </c>
      <c r="U450" t="s">
        <v>184</v>
      </c>
      <c r="V450">
        <v>4.6307151230949586</v>
      </c>
      <c r="W450">
        <v>9</v>
      </c>
      <c r="X450">
        <v>22</v>
      </c>
      <c r="Y450">
        <v>16</v>
      </c>
      <c r="Z450">
        <v>7.9838654742081211E-2</v>
      </c>
      <c r="AA450">
        <v>31.536000000000001</v>
      </c>
    </row>
    <row r="451" spans="1:27" x14ac:dyDescent="0.25">
      <c r="A451" t="s">
        <v>98</v>
      </c>
      <c r="B451" t="s">
        <v>99</v>
      </c>
      <c r="C451" t="s">
        <v>689</v>
      </c>
      <c r="D451" t="s">
        <v>101</v>
      </c>
      <c r="E451" t="s">
        <v>304</v>
      </c>
      <c r="F451" t="s">
        <v>180</v>
      </c>
      <c r="G451" t="s">
        <v>114</v>
      </c>
      <c r="H451" t="s">
        <v>125</v>
      </c>
      <c r="I451">
        <v>2016</v>
      </c>
      <c r="J451" t="s">
        <v>317</v>
      </c>
      <c r="K451" t="s">
        <v>127</v>
      </c>
      <c r="L451" t="s">
        <v>772</v>
      </c>
      <c r="M451" t="s">
        <v>778</v>
      </c>
      <c r="N451">
        <v>1</v>
      </c>
      <c r="O451">
        <v>2020</v>
      </c>
      <c r="P451">
        <v>3017.9137098683868</v>
      </c>
      <c r="Q451">
        <v>2.0610137692780768</v>
      </c>
      <c r="R451" t="s">
        <v>109</v>
      </c>
      <c r="S451">
        <v>1464.286049348176</v>
      </c>
      <c r="T451">
        <v>4.3962485345838216</v>
      </c>
      <c r="U451" t="s">
        <v>184</v>
      </c>
      <c r="V451">
        <v>4.3962485345838216</v>
      </c>
      <c r="W451">
        <v>9</v>
      </c>
      <c r="X451">
        <v>22</v>
      </c>
      <c r="Y451">
        <v>16</v>
      </c>
      <c r="Z451">
        <v>7.9838654742081211E-2</v>
      </c>
      <c r="AA451">
        <v>31.536000000000001</v>
      </c>
    </row>
    <row r="452" spans="1:27" x14ac:dyDescent="0.25">
      <c r="A452" t="s">
        <v>98</v>
      </c>
      <c r="B452" t="s">
        <v>99</v>
      </c>
      <c r="C452" t="s">
        <v>689</v>
      </c>
      <c r="D452" t="s">
        <v>101</v>
      </c>
      <c r="E452" t="s">
        <v>304</v>
      </c>
      <c r="F452" t="s">
        <v>180</v>
      </c>
      <c r="G452" t="s">
        <v>114</v>
      </c>
      <c r="H452" t="s">
        <v>125</v>
      </c>
      <c r="I452">
        <v>2022</v>
      </c>
      <c r="J452" t="s">
        <v>319</v>
      </c>
      <c r="K452" t="s">
        <v>127</v>
      </c>
      <c r="L452" t="s">
        <v>772</v>
      </c>
      <c r="M452" t="s">
        <v>779</v>
      </c>
      <c r="N452">
        <v>1</v>
      </c>
      <c r="O452">
        <v>2022</v>
      </c>
      <c r="P452">
        <v>3017.9137098683868</v>
      </c>
      <c r="Q452">
        <v>2.0610137692780768</v>
      </c>
      <c r="R452" t="s">
        <v>109</v>
      </c>
      <c r="S452">
        <v>1464.286049348176</v>
      </c>
      <c r="T452">
        <v>4.3962485345838216</v>
      </c>
      <c r="U452" t="s">
        <v>184</v>
      </c>
      <c r="V452">
        <v>4.3962485345838216</v>
      </c>
      <c r="W452">
        <v>9</v>
      </c>
      <c r="X452">
        <v>22</v>
      </c>
      <c r="Y452">
        <v>16</v>
      </c>
      <c r="Z452">
        <v>7.9838654742081211E-2</v>
      </c>
      <c r="AA452">
        <v>31.536000000000001</v>
      </c>
    </row>
    <row r="453" spans="1:27" x14ac:dyDescent="0.25">
      <c r="A453" t="s">
        <v>98</v>
      </c>
      <c r="B453" t="s">
        <v>99</v>
      </c>
      <c r="C453" t="s">
        <v>689</v>
      </c>
      <c r="D453" t="s">
        <v>101</v>
      </c>
      <c r="E453" t="s">
        <v>304</v>
      </c>
      <c r="F453" t="s">
        <v>180</v>
      </c>
      <c r="G453" t="s">
        <v>114</v>
      </c>
      <c r="H453" t="s">
        <v>125</v>
      </c>
      <c r="I453">
        <v>2023</v>
      </c>
      <c r="J453" t="s">
        <v>321</v>
      </c>
      <c r="K453" t="s">
        <v>127</v>
      </c>
      <c r="L453" t="s">
        <v>772</v>
      </c>
      <c r="M453" t="s">
        <v>780</v>
      </c>
      <c r="N453">
        <v>1</v>
      </c>
      <c r="O453">
        <v>2023</v>
      </c>
      <c r="P453">
        <v>3266.447780092843</v>
      </c>
      <c r="Q453">
        <v>2.0610137692780768</v>
      </c>
      <c r="R453" t="s">
        <v>109</v>
      </c>
      <c r="S453">
        <v>1584.8743122356721</v>
      </c>
      <c r="T453">
        <v>4.6893317702227444</v>
      </c>
      <c r="U453" t="s">
        <v>184</v>
      </c>
      <c r="V453">
        <v>4.6893317702227444</v>
      </c>
      <c r="W453">
        <v>9</v>
      </c>
      <c r="X453">
        <v>22</v>
      </c>
      <c r="Y453">
        <v>16</v>
      </c>
      <c r="Z453">
        <v>7.9838654742081211E-2</v>
      </c>
      <c r="AA453">
        <v>31.536000000000001</v>
      </c>
    </row>
    <row r="454" spans="1:27" x14ac:dyDescent="0.25">
      <c r="A454" t="s">
        <v>98</v>
      </c>
      <c r="B454" t="s">
        <v>99</v>
      </c>
      <c r="C454" t="s">
        <v>689</v>
      </c>
      <c r="D454" t="s">
        <v>101</v>
      </c>
      <c r="E454" t="s">
        <v>304</v>
      </c>
      <c r="F454" t="s">
        <v>180</v>
      </c>
      <c r="G454" t="s">
        <v>119</v>
      </c>
      <c r="H454" t="s">
        <v>125</v>
      </c>
      <c r="I454">
        <v>2016</v>
      </c>
      <c r="J454" t="s">
        <v>323</v>
      </c>
      <c r="K454" t="s">
        <v>127</v>
      </c>
      <c r="L454" t="s">
        <v>772</v>
      </c>
      <c r="M454" t="s">
        <v>781</v>
      </c>
      <c r="N454">
        <v>1</v>
      </c>
      <c r="O454">
        <v>2020</v>
      </c>
      <c r="P454">
        <v>3719.0451778176089</v>
      </c>
      <c r="Q454">
        <v>2.0610137692780768</v>
      </c>
      <c r="R454" t="s">
        <v>109</v>
      </c>
      <c r="S454">
        <v>1804.47371737856</v>
      </c>
      <c r="T454">
        <v>5.5685814771395066</v>
      </c>
      <c r="U454" t="s">
        <v>184</v>
      </c>
      <c r="V454">
        <v>5.5685814771395066</v>
      </c>
      <c r="W454">
        <v>9</v>
      </c>
      <c r="X454">
        <v>22</v>
      </c>
      <c r="Y454">
        <v>16</v>
      </c>
      <c r="Z454">
        <v>7.9838654742081211E-2</v>
      </c>
      <c r="AA454">
        <v>31.536000000000001</v>
      </c>
    </row>
    <row r="455" spans="1:27" x14ac:dyDescent="0.25">
      <c r="A455" t="s">
        <v>98</v>
      </c>
      <c r="B455" t="s">
        <v>99</v>
      </c>
      <c r="C455" t="s">
        <v>689</v>
      </c>
      <c r="D455" t="s">
        <v>101</v>
      </c>
      <c r="E455" t="s">
        <v>304</v>
      </c>
      <c r="F455" t="s">
        <v>180</v>
      </c>
      <c r="G455" t="s">
        <v>119</v>
      </c>
      <c r="H455" t="s">
        <v>125</v>
      </c>
      <c r="I455">
        <v>2022</v>
      </c>
      <c r="J455" t="s">
        <v>325</v>
      </c>
      <c r="K455" t="s">
        <v>127</v>
      </c>
      <c r="L455" t="s">
        <v>772</v>
      </c>
      <c r="M455" t="s">
        <v>782</v>
      </c>
      <c r="N455">
        <v>1</v>
      </c>
      <c r="O455">
        <v>2022</v>
      </c>
      <c r="P455">
        <v>3914.784397702746</v>
      </c>
      <c r="Q455">
        <v>2.0610137692780768</v>
      </c>
      <c r="R455" t="s">
        <v>109</v>
      </c>
      <c r="S455">
        <v>1899.446018293221</v>
      </c>
      <c r="T455">
        <v>5.8616647127784294</v>
      </c>
      <c r="U455" t="s">
        <v>184</v>
      </c>
      <c r="V455">
        <v>5.8616647127784294</v>
      </c>
      <c r="W455">
        <v>9</v>
      </c>
      <c r="X455">
        <v>22</v>
      </c>
      <c r="Y455">
        <v>16</v>
      </c>
      <c r="Z455">
        <v>7.9838654742081211E-2</v>
      </c>
      <c r="AA455">
        <v>31.536000000000001</v>
      </c>
    </row>
    <row r="456" spans="1:27" x14ac:dyDescent="0.25">
      <c r="A456" t="s">
        <v>98</v>
      </c>
      <c r="B456" t="s">
        <v>99</v>
      </c>
      <c r="C456" t="s">
        <v>689</v>
      </c>
      <c r="D456" t="s">
        <v>101</v>
      </c>
      <c r="E456" t="s">
        <v>304</v>
      </c>
      <c r="F456" t="s">
        <v>201</v>
      </c>
      <c r="G456" t="s">
        <v>103</v>
      </c>
      <c r="H456" t="s">
        <v>125</v>
      </c>
      <c r="I456">
        <v>2016</v>
      </c>
      <c r="J456" t="s">
        <v>327</v>
      </c>
      <c r="K456" t="s">
        <v>127</v>
      </c>
      <c r="L456" t="s">
        <v>772</v>
      </c>
      <c r="M456" t="s">
        <v>783</v>
      </c>
      <c r="N456">
        <v>1</v>
      </c>
      <c r="O456">
        <v>2020</v>
      </c>
      <c r="P456">
        <v>9511.0007826155233</v>
      </c>
      <c r="Q456">
        <v>2.0610137692780768</v>
      </c>
      <c r="R456" t="s">
        <v>109</v>
      </c>
      <c r="S456">
        <v>4614.7196706730383</v>
      </c>
      <c r="T456">
        <v>14.1</v>
      </c>
      <c r="U456" t="s">
        <v>329</v>
      </c>
      <c r="V456">
        <v>4.1348973607038122</v>
      </c>
      <c r="W456">
        <v>8</v>
      </c>
      <c r="X456">
        <v>20.8</v>
      </c>
      <c r="Y456">
        <v>15</v>
      </c>
      <c r="Z456">
        <v>7.9838654742081211E-2</v>
      </c>
      <c r="AA456">
        <v>31.536000000000001</v>
      </c>
    </row>
    <row r="457" spans="1:27" x14ac:dyDescent="0.25">
      <c r="A457" t="s">
        <v>98</v>
      </c>
      <c r="B457" t="s">
        <v>99</v>
      </c>
      <c r="C457" t="s">
        <v>689</v>
      </c>
      <c r="D457" t="s">
        <v>101</v>
      </c>
      <c r="E457" t="s">
        <v>304</v>
      </c>
      <c r="F457" t="s">
        <v>201</v>
      </c>
      <c r="G457" t="s">
        <v>111</v>
      </c>
      <c r="H457" t="s">
        <v>125</v>
      </c>
      <c r="I457">
        <v>2016</v>
      </c>
      <c r="J457" t="s">
        <v>330</v>
      </c>
      <c r="K457" t="s">
        <v>127</v>
      </c>
      <c r="L457" t="s">
        <v>772</v>
      </c>
      <c r="M457" t="s">
        <v>784</v>
      </c>
      <c r="N457">
        <v>1</v>
      </c>
      <c r="O457">
        <v>2020</v>
      </c>
      <c r="P457">
        <v>9846.3245281564559</v>
      </c>
      <c r="Q457">
        <v>2.0610137692780768</v>
      </c>
      <c r="R457" t="s">
        <v>109</v>
      </c>
      <c r="S457">
        <v>4777.4181206006133</v>
      </c>
      <c r="T457">
        <v>17.3</v>
      </c>
      <c r="U457" t="s">
        <v>329</v>
      </c>
      <c r="V457">
        <v>5.0733137829912023</v>
      </c>
      <c r="W457">
        <v>8</v>
      </c>
      <c r="X457">
        <v>20.8</v>
      </c>
      <c r="Y457">
        <v>15</v>
      </c>
      <c r="Z457">
        <v>7.9838654742081211E-2</v>
      </c>
      <c r="AA457">
        <v>31.536000000000001</v>
      </c>
    </row>
    <row r="458" spans="1:27" x14ac:dyDescent="0.25">
      <c r="A458" t="s">
        <v>98</v>
      </c>
      <c r="B458" t="s">
        <v>99</v>
      </c>
      <c r="C458" t="s">
        <v>689</v>
      </c>
      <c r="D458" t="s">
        <v>101</v>
      </c>
      <c r="E458" t="s">
        <v>304</v>
      </c>
      <c r="F458" t="s">
        <v>201</v>
      </c>
      <c r="G458" t="s">
        <v>114</v>
      </c>
      <c r="H458" t="s">
        <v>125</v>
      </c>
      <c r="I458">
        <v>2016</v>
      </c>
      <c r="J458" t="s">
        <v>332</v>
      </c>
      <c r="K458" t="s">
        <v>127</v>
      </c>
      <c r="L458" t="s">
        <v>772</v>
      </c>
      <c r="M458" t="s">
        <v>785</v>
      </c>
      <c r="N458">
        <v>0</v>
      </c>
      <c r="O458">
        <v>2020</v>
      </c>
      <c r="P458">
        <v>9846.3245281564559</v>
      </c>
      <c r="Q458">
        <v>2.0610137692780768</v>
      </c>
      <c r="R458" t="s">
        <v>109</v>
      </c>
      <c r="S458">
        <v>4777.4181206006133</v>
      </c>
      <c r="T458">
        <v>17.100000000000001</v>
      </c>
      <c r="U458" t="s">
        <v>329</v>
      </c>
      <c r="V458">
        <v>5.0146627565982396</v>
      </c>
      <c r="W458">
        <v>8</v>
      </c>
      <c r="X458">
        <v>20.8</v>
      </c>
      <c r="Y458">
        <v>15</v>
      </c>
      <c r="Z458">
        <v>7.9838654742081211E-2</v>
      </c>
      <c r="AA458">
        <v>31.536000000000001</v>
      </c>
    </row>
    <row r="459" spans="1:27" x14ac:dyDescent="0.25">
      <c r="A459" t="s">
        <v>98</v>
      </c>
      <c r="B459" t="s">
        <v>99</v>
      </c>
      <c r="C459" t="s">
        <v>689</v>
      </c>
      <c r="D459" t="s">
        <v>101</v>
      </c>
      <c r="E459" t="s">
        <v>304</v>
      </c>
      <c r="F459" t="s">
        <v>201</v>
      </c>
      <c r="G459" t="s">
        <v>114</v>
      </c>
      <c r="H459" t="s">
        <v>125</v>
      </c>
      <c r="I459">
        <v>2020</v>
      </c>
      <c r="J459" t="s">
        <v>334</v>
      </c>
      <c r="K459" t="s">
        <v>127</v>
      </c>
      <c r="L459" t="s">
        <v>772</v>
      </c>
      <c r="M459" t="s">
        <v>785</v>
      </c>
      <c r="N459">
        <v>1</v>
      </c>
      <c r="O459">
        <v>2020</v>
      </c>
      <c r="P459">
        <v>9846.3245281564559</v>
      </c>
      <c r="Q459">
        <v>2.0610137692780768</v>
      </c>
      <c r="R459" t="s">
        <v>109</v>
      </c>
      <c r="S459">
        <v>4777.4181206006133</v>
      </c>
      <c r="T459">
        <v>17.100000000000001</v>
      </c>
      <c r="U459" t="s">
        <v>329</v>
      </c>
      <c r="V459">
        <v>5.0146627565982396</v>
      </c>
      <c r="W459">
        <v>8</v>
      </c>
      <c r="X459">
        <v>20.8</v>
      </c>
      <c r="Y459">
        <v>15</v>
      </c>
      <c r="Z459">
        <v>7.9838654742081211E-2</v>
      </c>
      <c r="AA459">
        <v>31.536000000000001</v>
      </c>
    </row>
    <row r="460" spans="1:27" x14ac:dyDescent="0.25">
      <c r="A460" t="s">
        <v>98</v>
      </c>
      <c r="B460" t="s">
        <v>99</v>
      </c>
      <c r="C460" t="s">
        <v>689</v>
      </c>
      <c r="D460" t="s">
        <v>101</v>
      </c>
      <c r="E460" t="s">
        <v>304</v>
      </c>
      <c r="F460" t="s">
        <v>201</v>
      </c>
      <c r="G460" t="s">
        <v>114</v>
      </c>
      <c r="H460" t="s">
        <v>125</v>
      </c>
      <c r="I460">
        <v>2022</v>
      </c>
      <c r="J460" t="s">
        <v>335</v>
      </c>
      <c r="K460" t="s">
        <v>127</v>
      </c>
      <c r="L460" t="s">
        <v>772</v>
      </c>
      <c r="M460" t="s">
        <v>786</v>
      </c>
      <c r="N460">
        <v>1</v>
      </c>
      <c r="O460">
        <v>2022</v>
      </c>
      <c r="P460">
        <v>9846.3245281564559</v>
      </c>
      <c r="Q460">
        <v>2.0610137692780768</v>
      </c>
      <c r="R460" t="s">
        <v>109</v>
      </c>
      <c r="S460">
        <v>4777.4181206006133</v>
      </c>
      <c r="T460">
        <v>17.100000000000001</v>
      </c>
      <c r="U460" t="s">
        <v>329</v>
      </c>
      <c r="V460">
        <v>5.0146627565982396</v>
      </c>
      <c r="W460">
        <v>8</v>
      </c>
      <c r="X460">
        <v>20.8</v>
      </c>
      <c r="Y460">
        <v>15</v>
      </c>
      <c r="Z460">
        <v>7.9838654742081211E-2</v>
      </c>
      <c r="AA460">
        <v>31.536000000000001</v>
      </c>
    </row>
    <row r="461" spans="1:27" x14ac:dyDescent="0.25">
      <c r="A461" t="s">
        <v>98</v>
      </c>
      <c r="B461" t="s">
        <v>99</v>
      </c>
      <c r="C461" t="s">
        <v>689</v>
      </c>
      <c r="D461" t="s">
        <v>101</v>
      </c>
      <c r="E461" t="s">
        <v>304</v>
      </c>
      <c r="F461" t="s">
        <v>201</v>
      </c>
      <c r="G461" t="s">
        <v>114</v>
      </c>
      <c r="H461" t="s">
        <v>125</v>
      </c>
      <c r="I461">
        <v>2023</v>
      </c>
      <c r="J461" t="s">
        <v>337</v>
      </c>
      <c r="K461" t="s">
        <v>127</v>
      </c>
      <c r="L461" t="s">
        <v>772</v>
      </c>
      <c r="M461" t="s">
        <v>787</v>
      </c>
      <c r="N461">
        <v>1</v>
      </c>
      <c r="O461">
        <v>2023</v>
      </c>
      <c r="P461">
        <v>9846.3245281564559</v>
      </c>
      <c r="Q461">
        <v>2.0610137692780768</v>
      </c>
      <c r="R461" t="s">
        <v>109</v>
      </c>
      <c r="S461">
        <v>4777.4181206006133</v>
      </c>
      <c r="T461">
        <v>17.100000000000001</v>
      </c>
      <c r="U461" t="s">
        <v>329</v>
      </c>
      <c r="V461">
        <v>5.0146627565982396</v>
      </c>
      <c r="W461">
        <v>8</v>
      </c>
      <c r="X461">
        <v>20.8</v>
      </c>
      <c r="Y461">
        <v>15</v>
      </c>
      <c r="Z461">
        <v>7.9838654742081211E-2</v>
      </c>
      <c r="AA461">
        <v>31.536000000000001</v>
      </c>
    </row>
    <row r="462" spans="1:27" x14ac:dyDescent="0.25">
      <c r="A462" t="s">
        <v>98</v>
      </c>
      <c r="B462" t="s">
        <v>99</v>
      </c>
      <c r="C462" t="s">
        <v>689</v>
      </c>
      <c r="D462" t="s">
        <v>101</v>
      </c>
      <c r="E462" t="s">
        <v>304</v>
      </c>
      <c r="F462" t="s">
        <v>201</v>
      </c>
      <c r="G462" t="s">
        <v>114</v>
      </c>
      <c r="H462" t="s">
        <v>125</v>
      </c>
      <c r="I462">
        <v>2024</v>
      </c>
      <c r="J462" t="s">
        <v>339</v>
      </c>
      <c r="K462" t="s">
        <v>127</v>
      </c>
      <c r="L462" t="s">
        <v>772</v>
      </c>
      <c r="M462" t="s">
        <v>788</v>
      </c>
      <c r="N462">
        <v>1</v>
      </c>
      <c r="O462">
        <v>2024</v>
      </c>
      <c r="P462">
        <v>9846.3245281564559</v>
      </c>
      <c r="Q462">
        <v>2.0610137692780768</v>
      </c>
      <c r="R462" t="s">
        <v>109</v>
      </c>
      <c r="S462">
        <v>4777.4181206006133</v>
      </c>
      <c r="T462">
        <v>17.100000000000001</v>
      </c>
      <c r="U462" t="s">
        <v>329</v>
      </c>
      <c r="V462">
        <v>5.0146627565982396</v>
      </c>
      <c r="W462">
        <v>8</v>
      </c>
      <c r="X462">
        <v>20.8</v>
      </c>
      <c r="Y462">
        <v>15</v>
      </c>
      <c r="Z462">
        <v>7.9838654742081211E-2</v>
      </c>
      <c r="AA462">
        <v>31.536000000000001</v>
      </c>
    </row>
    <row r="463" spans="1:27" x14ac:dyDescent="0.25">
      <c r="A463" t="s">
        <v>98</v>
      </c>
      <c r="B463" t="s">
        <v>99</v>
      </c>
      <c r="C463" t="s">
        <v>689</v>
      </c>
      <c r="D463" t="s">
        <v>101</v>
      </c>
      <c r="E463" t="s">
        <v>304</v>
      </c>
      <c r="F463" t="s">
        <v>201</v>
      </c>
      <c r="G463" t="s">
        <v>119</v>
      </c>
      <c r="H463" t="s">
        <v>125</v>
      </c>
      <c r="I463">
        <v>2016</v>
      </c>
      <c r="J463" t="s">
        <v>341</v>
      </c>
      <c r="K463" t="s">
        <v>127</v>
      </c>
      <c r="L463" t="s">
        <v>772</v>
      </c>
      <c r="M463" t="s">
        <v>789</v>
      </c>
      <c r="N463">
        <v>0</v>
      </c>
      <c r="O463">
        <v>2020</v>
      </c>
      <c r="P463">
        <v>10395.03611176889</v>
      </c>
      <c r="Q463">
        <v>2.0610137692780768</v>
      </c>
      <c r="R463" t="s">
        <v>109</v>
      </c>
      <c r="S463">
        <v>5043.6519477548272</v>
      </c>
      <c r="T463">
        <v>22.4</v>
      </c>
      <c r="U463" t="s">
        <v>329</v>
      </c>
      <c r="V463">
        <v>6.5689149560117297</v>
      </c>
      <c r="W463">
        <v>8</v>
      </c>
      <c r="X463">
        <v>20.8</v>
      </c>
      <c r="Y463">
        <v>15</v>
      </c>
      <c r="Z463">
        <v>7.9838654742081211E-2</v>
      </c>
      <c r="AA463">
        <v>31.536000000000001</v>
      </c>
    </row>
    <row r="464" spans="1:27" x14ac:dyDescent="0.25">
      <c r="A464" t="s">
        <v>98</v>
      </c>
      <c r="B464" t="s">
        <v>99</v>
      </c>
      <c r="C464" t="s">
        <v>689</v>
      </c>
      <c r="D464" t="s">
        <v>101</v>
      </c>
      <c r="E464" t="s">
        <v>304</v>
      </c>
      <c r="F464" t="s">
        <v>201</v>
      </c>
      <c r="G464" t="s">
        <v>119</v>
      </c>
      <c r="H464" t="s">
        <v>125</v>
      </c>
      <c r="I464">
        <v>2020</v>
      </c>
      <c r="J464" t="s">
        <v>343</v>
      </c>
      <c r="K464" t="s">
        <v>127</v>
      </c>
      <c r="L464" t="s">
        <v>772</v>
      </c>
      <c r="M464" t="s">
        <v>789</v>
      </c>
      <c r="N464">
        <v>1</v>
      </c>
      <c r="O464">
        <v>2020</v>
      </c>
      <c r="P464">
        <v>10395.03611176889</v>
      </c>
      <c r="Q464">
        <v>2.0610137692780768</v>
      </c>
      <c r="R464" t="s">
        <v>109</v>
      </c>
      <c r="S464">
        <v>5043.6519477548272</v>
      </c>
      <c r="T464">
        <v>22.4</v>
      </c>
      <c r="U464" t="s">
        <v>329</v>
      </c>
      <c r="V464">
        <v>6.5689149560117297</v>
      </c>
      <c r="W464">
        <v>8</v>
      </c>
      <c r="X464">
        <v>20.8</v>
      </c>
      <c r="Y464">
        <v>15</v>
      </c>
      <c r="Z464">
        <v>7.9838654742081211E-2</v>
      </c>
      <c r="AA464">
        <v>31.536000000000001</v>
      </c>
    </row>
    <row r="465" spans="1:27" x14ac:dyDescent="0.25">
      <c r="A465" t="s">
        <v>98</v>
      </c>
      <c r="B465" t="s">
        <v>99</v>
      </c>
      <c r="C465" t="s">
        <v>689</v>
      </c>
      <c r="D465" t="s">
        <v>101</v>
      </c>
      <c r="E465" t="s">
        <v>304</v>
      </c>
      <c r="F465" t="s">
        <v>201</v>
      </c>
      <c r="G465" t="s">
        <v>119</v>
      </c>
      <c r="H465" t="s">
        <v>125</v>
      </c>
      <c r="I465">
        <v>2022</v>
      </c>
      <c r="J465" t="s">
        <v>344</v>
      </c>
      <c r="K465" t="s">
        <v>127</v>
      </c>
      <c r="L465" t="s">
        <v>772</v>
      </c>
      <c r="M465" t="s">
        <v>790</v>
      </c>
      <c r="N465">
        <v>1</v>
      </c>
      <c r="O465">
        <v>2022</v>
      </c>
      <c r="P465">
        <v>10395.03611176889</v>
      </c>
      <c r="Q465">
        <v>2.0610137692780768</v>
      </c>
      <c r="R465" t="s">
        <v>109</v>
      </c>
      <c r="S465">
        <v>5043.6519477548272</v>
      </c>
      <c r="T465">
        <v>22.4</v>
      </c>
      <c r="U465" t="s">
        <v>329</v>
      </c>
      <c r="V465">
        <v>6.5689149560117297</v>
      </c>
      <c r="W465">
        <v>8</v>
      </c>
      <c r="X465">
        <v>20.8</v>
      </c>
      <c r="Y465">
        <v>15</v>
      </c>
      <c r="Z465">
        <v>7.9838654742081211E-2</v>
      </c>
      <c r="AA465">
        <v>31.536000000000001</v>
      </c>
    </row>
    <row r="466" spans="1:27" x14ac:dyDescent="0.25">
      <c r="A466" t="s">
        <v>98</v>
      </c>
      <c r="B466" t="s">
        <v>99</v>
      </c>
      <c r="C466" t="s">
        <v>689</v>
      </c>
      <c r="D466" t="s">
        <v>101</v>
      </c>
      <c r="E466" t="s">
        <v>304</v>
      </c>
      <c r="F466" t="s">
        <v>201</v>
      </c>
      <c r="G466" t="s">
        <v>119</v>
      </c>
      <c r="H466" t="s">
        <v>125</v>
      </c>
      <c r="I466">
        <v>2023</v>
      </c>
      <c r="J466" t="s">
        <v>346</v>
      </c>
      <c r="K466" t="s">
        <v>127</v>
      </c>
      <c r="L466" t="s">
        <v>772</v>
      </c>
      <c r="M466" t="s">
        <v>791</v>
      </c>
      <c r="N466">
        <v>1</v>
      </c>
      <c r="O466">
        <v>2023</v>
      </c>
      <c r="P466">
        <v>10395.03611176889</v>
      </c>
      <c r="Q466">
        <v>2.0610137692780768</v>
      </c>
      <c r="R466" t="s">
        <v>109</v>
      </c>
      <c r="S466">
        <v>5043.6519477548272</v>
      </c>
      <c r="T466">
        <v>22.4</v>
      </c>
      <c r="U466" t="s">
        <v>329</v>
      </c>
      <c r="V466">
        <v>6.5689149560117297</v>
      </c>
      <c r="W466">
        <v>8</v>
      </c>
      <c r="X466">
        <v>20.8</v>
      </c>
      <c r="Y466">
        <v>15</v>
      </c>
      <c r="Z466">
        <v>7.9838654742081211E-2</v>
      </c>
      <c r="AA466">
        <v>31.536000000000001</v>
      </c>
    </row>
    <row r="467" spans="1:27" x14ac:dyDescent="0.25">
      <c r="A467" t="s">
        <v>98</v>
      </c>
      <c r="B467" t="s">
        <v>99</v>
      </c>
      <c r="C467" t="s">
        <v>689</v>
      </c>
      <c r="D467" t="s">
        <v>101</v>
      </c>
      <c r="E467" t="s">
        <v>304</v>
      </c>
      <c r="F467" t="s">
        <v>201</v>
      </c>
      <c r="G467" t="s">
        <v>119</v>
      </c>
      <c r="H467" t="s">
        <v>125</v>
      </c>
      <c r="I467">
        <v>2024</v>
      </c>
      <c r="J467" t="s">
        <v>348</v>
      </c>
      <c r="K467" t="s">
        <v>127</v>
      </c>
      <c r="L467" t="s">
        <v>772</v>
      </c>
      <c r="M467" t="s">
        <v>792</v>
      </c>
      <c r="N467">
        <v>1</v>
      </c>
      <c r="O467">
        <v>2024</v>
      </c>
      <c r="P467">
        <v>10395.03611176889</v>
      </c>
      <c r="Q467">
        <v>2.0610137692780768</v>
      </c>
      <c r="R467" t="s">
        <v>109</v>
      </c>
      <c r="S467">
        <v>5043.6519477548272</v>
      </c>
      <c r="T467">
        <v>22.4</v>
      </c>
      <c r="U467" t="s">
        <v>329</v>
      </c>
      <c r="V467">
        <v>6.5689149560117297</v>
      </c>
      <c r="W467">
        <v>8</v>
      </c>
      <c r="X467">
        <v>20.8</v>
      </c>
      <c r="Y467">
        <v>15</v>
      </c>
      <c r="Z467">
        <v>7.9838654742081211E-2</v>
      </c>
      <c r="AA467">
        <v>31.536000000000001</v>
      </c>
    </row>
    <row r="468" spans="1:27" x14ac:dyDescent="0.25">
      <c r="A468" t="s">
        <v>98</v>
      </c>
      <c r="B468" t="s">
        <v>99</v>
      </c>
      <c r="C468" t="s">
        <v>689</v>
      </c>
      <c r="D468" t="s">
        <v>101</v>
      </c>
      <c r="E468" t="s">
        <v>304</v>
      </c>
      <c r="F468" t="s">
        <v>350</v>
      </c>
      <c r="G468" t="s">
        <v>103</v>
      </c>
      <c r="H468" t="s">
        <v>125</v>
      </c>
      <c r="I468">
        <v>2016</v>
      </c>
      <c r="J468" t="s">
        <v>351</v>
      </c>
      <c r="K468" t="s">
        <v>127</v>
      </c>
      <c r="L468" t="s">
        <v>772</v>
      </c>
      <c r="M468" t="s">
        <v>793</v>
      </c>
      <c r="N468">
        <v>1</v>
      </c>
      <c r="O468">
        <v>2020</v>
      </c>
      <c r="P468">
        <v>756.00262631046473</v>
      </c>
      <c r="Q468">
        <v>2.0610137692780768</v>
      </c>
      <c r="R468" t="s">
        <v>109</v>
      </c>
      <c r="S468">
        <v>366.81105074580557</v>
      </c>
      <c r="T468">
        <v>3.1946072684642441</v>
      </c>
      <c r="U468" t="s">
        <v>184</v>
      </c>
      <c r="V468">
        <v>3.1946072684642441</v>
      </c>
      <c r="W468">
        <v>6</v>
      </c>
      <c r="X468">
        <v>13</v>
      </c>
      <c r="Y468">
        <v>10</v>
      </c>
      <c r="Z468">
        <v>7.9838654742081211E-2</v>
      </c>
      <c r="AA468">
        <v>31.536000000000001</v>
      </c>
    </row>
    <row r="469" spans="1:27" x14ac:dyDescent="0.25">
      <c r="A469" t="s">
        <v>98</v>
      </c>
      <c r="B469" t="s">
        <v>99</v>
      </c>
      <c r="C469" t="s">
        <v>689</v>
      </c>
      <c r="D469" t="s">
        <v>101</v>
      </c>
      <c r="E469" t="s">
        <v>304</v>
      </c>
      <c r="F469" t="s">
        <v>350</v>
      </c>
      <c r="G469" t="s">
        <v>111</v>
      </c>
      <c r="H469" t="s">
        <v>125</v>
      </c>
      <c r="I469">
        <v>2016</v>
      </c>
      <c r="J469" t="s">
        <v>353</v>
      </c>
      <c r="K469" t="s">
        <v>127</v>
      </c>
      <c r="L469" t="s">
        <v>772</v>
      </c>
      <c r="M469" t="s">
        <v>794</v>
      </c>
      <c r="N469">
        <v>1</v>
      </c>
      <c r="O469">
        <v>2020</v>
      </c>
      <c r="P469">
        <v>780.38980780435065</v>
      </c>
      <c r="Q469">
        <v>2.0610137692780768</v>
      </c>
      <c r="R469" t="s">
        <v>109</v>
      </c>
      <c r="S469">
        <v>378.64366528599288</v>
      </c>
      <c r="T469">
        <v>3.5169988276670581</v>
      </c>
      <c r="U469" t="s">
        <v>184</v>
      </c>
      <c r="V469">
        <v>3.5169988276670581</v>
      </c>
      <c r="W469">
        <v>6</v>
      </c>
      <c r="X469">
        <v>13</v>
      </c>
      <c r="Y469">
        <v>10</v>
      </c>
      <c r="Z469">
        <v>7.9838654742081211E-2</v>
      </c>
      <c r="AA469">
        <v>31.536000000000001</v>
      </c>
    </row>
    <row r="470" spans="1:27" x14ac:dyDescent="0.25">
      <c r="A470" t="s">
        <v>98</v>
      </c>
      <c r="B470" t="s">
        <v>99</v>
      </c>
      <c r="C470" t="s">
        <v>689</v>
      </c>
      <c r="D470" t="s">
        <v>101</v>
      </c>
      <c r="E470" t="s">
        <v>304</v>
      </c>
      <c r="F470" t="s">
        <v>350</v>
      </c>
      <c r="G470" t="s">
        <v>111</v>
      </c>
      <c r="H470" t="s">
        <v>125</v>
      </c>
      <c r="I470">
        <v>2030</v>
      </c>
      <c r="J470" t="s">
        <v>355</v>
      </c>
      <c r="K470" t="s">
        <v>127</v>
      </c>
      <c r="L470" t="s">
        <v>772</v>
      </c>
      <c r="M470" t="s">
        <v>795</v>
      </c>
      <c r="N470">
        <v>1</v>
      </c>
      <c r="O470">
        <v>2030</v>
      </c>
      <c r="P470">
        <v>780.38980780435065</v>
      </c>
      <c r="Q470">
        <v>2.0610137692780768</v>
      </c>
      <c r="R470" t="s">
        <v>109</v>
      </c>
      <c r="S470">
        <v>378.64366528599288</v>
      </c>
      <c r="T470">
        <v>3.5902696365767879</v>
      </c>
      <c r="U470" t="s">
        <v>184</v>
      </c>
      <c r="V470">
        <v>3.5902696365767879</v>
      </c>
      <c r="W470">
        <v>6</v>
      </c>
      <c r="X470">
        <v>13</v>
      </c>
      <c r="Y470">
        <v>10</v>
      </c>
      <c r="Z470">
        <v>7.9838654742081211E-2</v>
      </c>
      <c r="AA470">
        <v>31.536000000000001</v>
      </c>
    </row>
    <row r="471" spans="1:27" x14ac:dyDescent="0.25">
      <c r="A471" t="s">
        <v>98</v>
      </c>
      <c r="B471" t="s">
        <v>99</v>
      </c>
      <c r="C471" t="s">
        <v>689</v>
      </c>
      <c r="D471" t="s">
        <v>101</v>
      </c>
      <c r="E471" t="s">
        <v>304</v>
      </c>
      <c r="F471" t="s">
        <v>350</v>
      </c>
      <c r="G471" t="s">
        <v>111</v>
      </c>
      <c r="H471" t="s">
        <v>125</v>
      </c>
      <c r="I471">
        <v>2040</v>
      </c>
      <c r="J471" t="s">
        <v>357</v>
      </c>
      <c r="K471" t="s">
        <v>127</v>
      </c>
      <c r="L471" t="s">
        <v>772</v>
      </c>
      <c r="M471" t="s">
        <v>796</v>
      </c>
      <c r="N471">
        <v>1</v>
      </c>
      <c r="O471">
        <v>2040</v>
      </c>
      <c r="P471">
        <v>780.38980780435065</v>
      </c>
      <c r="Q471">
        <v>2.0610137692780768</v>
      </c>
      <c r="R471" t="s">
        <v>109</v>
      </c>
      <c r="S471">
        <v>378.64366528599288</v>
      </c>
      <c r="T471">
        <v>3.6635404454865181</v>
      </c>
      <c r="U471" t="s">
        <v>184</v>
      </c>
      <c r="V471">
        <v>3.6635404454865181</v>
      </c>
      <c r="W471">
        <v>6</v>
      </c>
      <c r="X471">
        <v>13</v>
      </c>
      <c r="Y471">
        <v>10</v>
      </c>
      <c r="Z471">
        <v>7.9838654742081211E-2</v>
      </c>
      <c r="AA471">
        <v>31.536000000000001</v>
      </c>
    </row>
    <row r="472" spans="1:27" x14ac:dyDescent="0.25">
      <c r="A472" t="s">
        <v>98</v>
      </c>
      <c r="B472" t="s">
        <v>99</v>
      </c>
      <c r="C472" t="s">
        <v>689</v>
      </c>
      <c r="D472" t="s">
        <v>101</v>
      </c>
      <c r="E472" t="s">
        <v>304</v>
      </c>
      <c r="F472" t="s">
        <v>350</v>
      </c>
      <c r="G472" t="s">
        <v>114</v>
      </c>
      <c r="H472" t="s">
        <v>125</v>
      </c>
      <c r="I472">
        <v>2016</v>
      </c>
      <c r="J472" t="s">
        <v>359</v>
      </c>
      <c r="K472" t="s">
        <v>127</v>
      </c>
      <c r="L472" t="s">
        <v>772</v>
      </c>
      <c r="M472" t="s">
        <v>797</v>
      </c>
      <c r="N472">
        <v>1</v>
      </c>
      <c r="O472">
        <v>2020</v>
      </c>
      <c r="P472">
        <v>780.38980780435065</v>
      </c>
      <c r="Q472">
        <v>2.0610137692780768</v>
      </c>
      <c r="R472" t="s">
        <v>109</v>
      </c>
      <c r="S472">
        <v>378.64366528599288</v>
      </c>
      <c r="T472">
        <v>3.5169988276670581</v>
      </c>
      <c r="U472" t="s">
        <v>184</v>
      </c>
      <c r="V472">
        <v>3.5169988276670581</v>
      </c>
      <c r="W472">
        <v>6</v>
      </c>
      <c r="X472">
        <v>13</v>
      </c>
      <c r="Y472">
        <v>10</v>
      </c>
      <c r="Z472">
        <v>7.9838654742081211E-2</v>
      </c>
      <c r="AA472">
        <v>31.536000000000001</v>
      </c>
    </row>
    <row r="473" spans="1:27" x14ac:dyDescent="0.25">
      <c r="A473" t="s">
        <v>98</v>
      </c>
      <c r="B473" t="s">
        <v>99</v>
      </c>
      <c r="C473" t="s">
        <v>689</v>
      </c>
      <c r="D473" t="s">
        <v>101</v>
      </c>
      <c r="E473" t="s">
        <v>304</v>
      </c>
      <c r="F473" t="s">
        <v>350</v>
      </c>
      <c r="G473" t="s">
        <v>119</v>
      </c>
      <c r="H473" t="s">
        <v>125</v>
      </c>
      <c r="I473">
        <v>2016</v>
      </c>
      <c r="J473" t="s">
        <v>361</v>
      </c>
      <c r="K473" t="s">
        <v>127</v>
      </c>
      <c r="L473" t="s">
        <v>772</v>
      </c>
      <c r="M473" t="s">
        <v>798</v>
      </c>
      <c r="N473">
        <v>1</v>
      </c>
      <c r="O473">
        <v>2020</v>
      </c>
      <c r="P473">
        <v>859.64814765948006</v>
      </c>
      <c r="Q473">
        <v>2.0610137692780768</v>
      </c>
      <c r="R473" t="s">
        <v>109</v>
      </c>
      <c r="S473">
        <v>417.09966254160162</v>
      </c>
      <c r="T473">
        <v>3.6049237983587341</v>
      </c>
      <c r="U473" t="s">
        <v>184</v>
      </c>
      <c r="V473">
        <v>3.6049237983587341</v>
      </c>
      <c r="W473">
        <v>6</v>
      </c>
      <c r="X473">
        <v>13</v>
      </c>
      <c r="Y473">
        <v>10</v>
      </c>
      <c r="Z473">
        <v>7.9838654742081211E-2</v>
      </c>
      <c r="AA473">
        <v>31.536000000000001</v>
      </c>
    </row>
    <row r="474" spans="1:27" x14ac:dyDescent="0.25">
      <c r="A474" t="s">
        <v>98</v>
      </c>
      <c r="B474" t="s">
        <v>99</v>
      </c>
      <c r="C474" t="s">
        <v>689</v>
      </c>
      <c r="D474" t="s">
        <v>101</v>
      </c>
      <c r="E474" t="s">
        <v>304</v>
      </c>
      <c r="F474" t="s">
        <v>350</v>
      </c>
      <c r="G474" t="s">
        <v>119</v>
      </c>
      <c r="H474" t="s">
        <v>125</v>
      </c>
      <c r="I474">
        <v>2022</v>
      </c>
      <c r="J474" t="s">
        <v>363</v>
      </c>
      <c r="K474" t="s">
        <v>127</v>
      </c>
      <c r="L474" t="s">
        <v>772</v>
      </c>
      <c r="M474" t="s">
        <v>799</v>
      </c>
      <c r="N474">
        <v>1</v>
      </c>
      <c r="O474">
        <v>2022</v>
      </c>
      <c r="P474">
        <v>859.64814765948006</v>
      </c>
      <c r="Q474">
        <v>2.0610137692780768</v>
      </c>
      <c r="R474" t="s">
        <v>109</v>
      </c>
      <c r="S474">
        <v>417.09966254160162</v>
      </c>
      <c r="T474">
        <v>3.6635404454865181</v>
      </c>
      <c r="U474" t="s">
        <v>184</v>
      </c>
      <c r="V474">
        <v>3.6635404454865181</v>
      </c>
      <c r="W474">
        <v>6</v>
      </c>
      <c r="X474">
        <v>13</v>
      </c>
      <c r="Y474">
        <v>10</v>
      </c>
      <c r="Z474">
        <v>7.9838654742081211E-2</v>
      </c>
      <c r="AA474">
        <v>31.536000000000001</v>
      </c>
    </row>
    <row r="475" spans="1:27" x14ac:dyDescent="0.25">
      <c r="A475" t="s">
        <v>98</v>
      </c>
      <c r="B475" t="s">
        <v>99</v>
      </c>
      <c r="C475" t="s">
        <v>689</v>
      </c>
      <c r="D475" t="s">
        <v>101</v>
      </c>
      <c r="E475" t="s">
        <v>304</v>
      </c>
      <c r="F475" t="s">
        <v>350</v>
      </c>
      <c r="G475" t="s">
        <v>119</v>
      </c>
      <c r="H475" t="s">
        <v>125</v>
      </c>
      <c r="I475">
        <v>2030</v>
      </c>
      <c r="J475" t="s">
        <v>365</v>
      </c>
      <c r="K475" t="s">
        <v>127</v>
      </c>
      <c r="L475" t="s">
        <v>772</v>
      </c>
      <c r="M475" t="s">
        <v>800</v>
      </c>
      <c r="N475">
        <v>1</v>
      </c>
      <c r="O475">
        <v>2030</v>
      </c>
      <c r="P475">
        <v>859.64814765948006</v>
      </c>
      <c r="Q475">
        <v>2.0610137692780768</v>
      </c>
      <c r="R475" t="s">
        <v>109</v>
      </c>
      <c r="S475">
        <v>417.09966254160162</v>
      </c>
      <c r="T475">
        <v>3.8100820633059791</v>
      </c>
      <c r="U475" t="s">
        <v>184</v>
      </c>
      <c r="V475">
        <v>3.8100820633059791</v>
      </c>
      <c r="W475">
        <v>6</v>
      </c>
      <c r="X475">
        <v>13</v>
      </c>
      <c r="Y475">
        <v>10</v>
      </c>
      <c r="Z475">
        <v>7.9838654742081211E-2</v>
      </c>
      <c r="AA475">
        <v>31.536000000000001</v>
      </c>
    </row>
    <row r="476" spans="1:27" x14ac:dyDescent="0.25">
      <c r="A476" t="s">
        <v>98</v>
      </c>
      <c r="B476" t="s">
        <v>99</v>
      </c>
      <c r="C476" t="s">
        <v>689</v>
      </c>
      <c r="D476" t="s">
        <v>101</v>
      </c>
      <c r="E476" t="s">
        <v>304</v>
      </c>
      <c r="F476" t="s">
        <v>350</v>
      </c>
      <c r="G476" t="s">
        <v>119</v>
      </c>
      <c r="H476" t="s">
        <v>125</v>
      </c>
      <c r="I476">
        <v>2040</v>
      </c>
      <c r="J476" t="s">
        <v>367</v>
      </c>
      <c r="K476" t="s">
        <v>127</v>
      </c>
      <c r="L476" t="s">
        <v>772</v>
      </c>
      <c r="M476" t="s">
        <v>801</v>
      </c>
      <c r="N476">
        <v>1</v>
      </c>
      <c r="O476">
        <v>2040</v>
      </c>
      <c r="P476">
        <v>859.64814765948006</v>
      </c>
      <c r="Q476">
        <v>2.0610137692780768</v>
      </c>
      <c r="R476" t="s">
        <v>109</v>
      </c>
      <c r="S476">
        <v>417.09966254160162</v>
      </c>
      <c r="T476">
        <v>3.9566236811254401</v>
      </c>
      <c r="U476" t="s">
        <v>184</v>
      </c>
      <c r="V476">
        <v>3.9566236811254401</v>
      </c>
      <c r="W476">
        <v>6</v>
      </c>
      <c r="X476">
        <v>13</v>
      </c>
      <c r="Y476">
        <v>10</v>
      </c>
      <c r="Z476">
        <v>7.9838654742081211E-2</v>
      </c>
      <c r="AA476">
        <v>31.536000000000001</v>
      </c>
    </row>
    <row r="477" spans="1:27" x14ac:dyDescent="0.25">
      <c r="A477" t="s">
        <v>98</v>
      </c>
      <c r="B477" t="s">
        <v>99</v>
      </c>
      <c r="C477" t="s">
        <v>689</v>
      </c>
      <c r="D477" t="s">
        <v>101</v>
      </c>
      <c r="E477" t="s">
        <v>304</v>
      </c>
      <c r="F477" t="s">
        <v>369</v>
      </c>
      <c r="G477" t="s">
        <v>103</v>
      </c>
      <c r="H477" t="s">
        <v>125</v>
      </c>
      <c r="I477">
        <v>2016</v>
      </c>
      <c r="J477" t="s">
        <v>370</v>
      </c>
      <c r="K477" t="s">
        <v>127</v>
      </c>
      <c r="L477" t="s">
        <v>772</v>
      </c>
      <c r="M477" t="s">
        <v>802</v>
      </c>
      <c r="N477">
        <v>1</v>
      </c>
      <c r="O477">
        <v>2020</v>
      </c>
      <c r="P477">
        <v>4328.724715164758</v>
      </c>
      <c r="Q477">
        <v>2.0610137692780768</v>
      </c>
      <c r="R477" t="s">
        <v>109</v>
      </c>
      <c r="S477">
        <v>2100.2890808832421</v>
      </c>
      <c r="T477">
        <v>3.8100820633059791</v>
      </c>
      <c r="U477" t="s">
        <v>184</v>
      </c>
      <c r="V477">
        <v>3.8100820633059791</v>
      </c>
      <c r="W477">
        <v>11</v>
      </c>
      <c r="X477">
        <v>25</v>
      </c>
      <c r="Y477">
        <v>19</v>
      </c>
      <c r="Z477">
        <v>7.9838654742081211E-2</v>
      </c>
      <c r="AA477">
        <v>31.536000000000001</v>
      </c>
    </row>
    <row r="478" spans="1:27" x14ac:dyDescent="0.25">
      <c r="A478" t="s">
        <v>98</v>
      </c>
      <c r="B478" t="s">
        <v>99</v>
      </c>
      <c r="C478" t="s">
        <v>689</v>
      </c>
      <c r="D478" t="s">
        <v>101</v>
      </c>
      <c r="E478" t="s">
        <v>304</v>
      </c>
      <c r="F478" t="s">
        <v>369</v>
      </c>
      <c r="G478" t="s">
        <v>103</v>
      </c>
      <c r="H478" t="s">
        <v>125</v>
      </c>
      <c r="I478">
        <v>2023</v>
      </c>
      <c r="J478" t="s">
        <v>372</v>
      </c>
      <c r="K478" t="s">
        <v>127</v>
      </c>
      <c r="L478" t="s">
        <v>772</v>
      </c>
      <c r="M478" t="s">
        <v>803</v>
      </c>
      <c r="N478">
        <v>1</v>
      </c>
      <c r="O478">
        <v>2023</v>
      </c>
      <c r="P478">
        <v>4328.724715164758</v>
      </c>
      <c r="Q478">
        <v>2.0610137692780768</v>
      </c>
      <c r="R478" t="s">
        <v>109</v>
      </c>
      <c r="S478">
        <v>2100.2890808832421</v>
      </c>
      <c r="T478">
        <v>3.8100820633059791</v>
      </c>
      <c r="U478" t="s">
        <v>184</v>
      </c>
      <c r="V478">
        <v>3.8100820633059791</v>
      </c>
      <c r="W478">
        <v>11</v>
      </c>
      <c r="X478">
        <v>25</v>
      </c>
      <c r="Y478">
        <v>19</v>
      </c>
      <c r="Z478">
        <v>7.9838654742081211E-2</v>
      </c>
      <c r="AA478">
        <v>31.536000000000001</v>
      </c>
    </row>
    <row r="479" spans="1:27" x14ac:dyDescent="0.25">
      <c r="A479" t="s">
        <v>98</v>
      </c>
      <c r="B479" t="s">
        <v>99</v>
      </c>
      <c r="C479" t="s">
        <v>689</v>
      </c>
      <c r="D479" t="s">
        <v>101</v>
      </c>
      <c r="E479" t="s">
        <v>304</v>
      </c>
      <c r="F479" t="s">
        <v>369</v>
      </c>
      <c r="G479" t="s">
        <v>111</v>
      </c>
      <c r="H479" t="s">
        <v>125</v>
      </c>
      <c r="I479">
        <v>2016</v>
      </c>
      <c r="J479" t="s">
        <v>374</v>
      </c>
      <c r="K479" t="s">
        <v>127</v>
      </c>
      <c r="L479" t="s">
        <v>772</v>
      </c>
      <c r="M479" t="s">
        <v>804</v>
      </c>
      <c r="N479">
        <v>1</v>
      </c>
      <c r="O479">
        <v>2020</v>
      </c>
      <c r="P479">
        <v>4450.6606226341873</v>
      </c>
      <c r="Q479">
        <v>2.0610137692780768</v>
      </c>
      <c r="R479" t="s">
        <v>109</v>
      </c>
      <c r="S479">
        <v>2159.4521535841782</v>
      </c>
      <c r="T479">
        <v>4.0738569753810081</v>
      </c>
      <c r="U479" t="s">
        <v>184</v>
      </c>
      <c r="V479">
        <v>4.0738569753810081</v>
      </c>
      <c r="W479">
        <v>11</v>
      </c>
      <c r="X479">
        <v>25</v>
      </c>
      <c r="Y479">
        <v>19</v>
      </c>
      <c r="Z479">
        <v>7.9838654742081211E-2</v>
      </c>
      <c r="AA479">
        <v>31.536000000000001</v>
      </c>
    </row>
    <row r="480" spans="1:27" x14ac:dyDescent="0.25">
      <c r="A480" t="s">
        <v>98</v>
      </c>
      <c r="B480" t="s">
        <v>99</v>
      </c>
      <c r="C480" t="s">
        <v>689</v>
      </c>
      <c r="D480" t="s">
        <v>101</v>
      </c>
      <c r="E480" t="s">
        <v>304</v>
      </c>
      <c r="F480" t="s">
        <v>369</v>
      </c>
      <c r="G480" t="s">
        <v>111</v>
      </c>
      <c r="H480" t="s">
        <v>125</v>
      </c>
      <c r="I480">
        <v>2023</v>
      </c>
      <c r="J480" t="s">
        <v>376</v>
      </c>
      <c r="K480" t="s">
        <v>127</v>
      </c>
      <c r="L480" t="s">
        <v>772</v>
      </c>
      <c r="M480" t="s">
        <v>805</v>
      </c>
      <c r="N480">
        <v>1</v>
      </c>
      <c r="O480">
        <v>2023</v>
      </c>
      <c r="P480">
        <v>4511.628576368902</v>
      </c>
      <c r="Q480">
        <v>2.0610137692780768</v>
      </c>
      <c r="R480" t="s">
        <v>109</v>
      </c>
      <c r="S480">
        <v>2189.0336899346462</v>
      </c>
      <c r="T480">
        <v>4.2203985932004704</v>
      </c>
      <c r="U480" t="s">
        <v>184</v>
      </c>
      <c r="V480">
        <v>4.2203985932004704</v>
      </c>
      <c r="W480">
        <v>11</v>
      </c>
      <c r="X480">
        <v>25</v>
      </c>
      <c r="Y480">
        <v>19</v>
      </c>
      <c r="Z480">
        <v>7.9838654742081211E-2</v>
      </c>
      <c r="AA480">
        <v>31.536000000000001</v>
      </c>
    </row>
    <row r="481" spans="1:27" x14ac:dyDescent="0.25">
      <c r="A481" t="s">
        <v>98</v>
      </c>
      <c r="B481" t="s">
        <v>99</v>
      </c>
      <c r="C481" t="s">
        <v>689</v>
      </c>
      <c r="D481" t="s">
        <v>101</v>
      </c>
      <c r="E481" t="s">
        <v>304</v>
      </c>
      <c r="F481" t="s">
        <v>369</v>
      </c>
      <c r="G481" t="s">
        <v>114</v>
      </c>
      <c r="H481" t="s">
        <v>125</v>
      </c>
      <c r="I481">
        <v>2016</v>
      </c>
      <c r="J481" t="s">
        <v>378</v>
      </c>
      <c r="K481" t="s">
        <v>127</v>
      </c>
      <c r="L481" t="s">
        <v>772</v>
      </c>
      <c r="M481" t="s">
        <v>806</v>
      </c>
      <c r="N481">
        <v>1</v>
      </c>
      <c r="O481">
        <v>2020</v>
      </c>
      <c r="P481">
        <v>4877.436298777192</v>
      </c>
      <c r="Q481">
        <v>2.0610137692780768</v>
      </c>
      <c r="R481" t="s">
        <v>109</v>
      </c>
      <c r="S481">
        <v>2366.5229080374561</v>
      </c>
      <c r="T481">
        <v>4.3962485345838216</v>
      </c>
      <c r="U481" t="s">
        <v>184</v>
      </c>
      <c r="V481">
        <v>4.3962485345838216</v>
      </c>
      <c r="W481">
        <v>11</v>
      </c>
      <c r="X481">
        <v>25</v>
      </c>
      <c r="Y481">
        <v>19</v>
      </c>
      <c r="Z481">
        <v>7.9838654742081211E-2</v>
      </c>
      <c r="AA481">
        <v>31.536000000000001</v>
      </c>
    </row>
    <row r="482" spans="1:27" x14ac:dyDescent="0.25">
      <c r="A482" t="s">
        <v>98</v>
      </c>
      <c r="B482" t="s">
        <v>99</v>
      </c>
      <c r="C482" t="s">
        <v>689</v>
      </c>
      <c r="D482" t="s">
        <v>101</v>
      </c>
      <c r="E482" t="s">
        <v>304</v>
      </c>
      <c r="F482" t="s">
        <v>369</v>
      </c>
      <c r="G482" t="s">
        <v>114</v>
      </c>
      <c r="H482" t="s">
        <v>125</v>
      </c>
      <c r="I482">
        <v>2023</v>
      </c>
      <c r="J482" t="s">
        <v>380</v>
      </c>
      <c r="K482" t="s">
        <v>127</v>
      </c>
      <c r="L482" t="s">
        <v>772</v>
      </c>
      <c r="M482" t="s">
        <v>807</v>
      </c>
      <c r="N482">
        <v>1</v>
      </c>
      <c r="O482">
        <v>2023</v>
      </c>
      <c r="P482">
        <v>5202.5987186956727</v>
      </c>
      <c r="Q482">
        <v>2.0610137692780768</v>
      </c>
      <c r="R482" t="s">
        <v>109</v>
      </c>
      <c r="S482">
        <v>2524.29110190662</v>
      </c>
      <c r="T482">
        <v>4.6893317702227444</v>
      </c>
      <c r="U482" t="s">
        <v>184</v>
      </c>
      <c r="V482">
        <v>4.6893317702227444</v>
      </c>
      <c r="W482">
        <v>11</v>
      </c>
      <c r="X482">
        <v>25</v>
      </c>
      <c r="Y482">
        <v>19</v>
      </c>
      <c r="Z482">
        <v>7.9838654742081211E-2</v>
      </c>
      <c r="AA482">
        <v>31.536000000000001</v>
      </c>
    </row>
    <row r="483" spans="1:27" x14ac:dyDescent="0.25">
      <c r="A483" t="s">
        <v>98</v>
      </c>
      <c r="B483" t="s">
        <v>99</v>
      </c>
      <c r="C483" t="s">
        <v>689</v>
      </c>
      <c r="D483" t="s">
        <v>101</v>
      </c>
      <c r="E483" t="s">
        <v>304</v>
      </c>
      <c r="F483" t="s">
        <v>369</v>
      </c>
      <c r="G483" t="s">
        <v>119</v>
      </c>
      <c r="H483" t="s">
        <v>125</v>
      </c>
      <c r="I483">
        <v>2016</v>
      </c>
      <c r="J483" t="s">
        <v>382</v>
      </c>
      <c r="K483" t="s">
        <v>127</v>
      </c>
      <c r="L483" t="s">
        <v>772</v>
      </c>
      <c r="M483" t="s">
        <v>808</v>
      </c>
      <c r="N483">
        <v>1</v>
      </c>
      <c r="O483">
        <v>2020</v>
      </c>
      <c r="P483">
        <v>5670.0196973284856</v>
      </c>
      <c r="Q483">
        <v>2.0610137692780768</v>
      </c>
      <c r="R483" t="s">
        <v>109</v>
      </c>
      <c r="S483">
        <v>2751.0828805935421</v>
      </c>
      <c r="T483">
        <v>4.835873388042204</v>
      </c>
      <c r="U483" t="s">
        <v>184</v>
      </c>
      <c r="V483">
        <v>4.835873388042204</v>
      </c>
      <c r="W483">
        <v>11</v>
      </c>
      <c r="X483">
        <v>25</v>
      </c>
      <c r="Y483">
        <v>19</v>
      </c>
      <c r="Z483">
        <v>7.9838654742081211E-2</v>
      </c>
      <c r="AA483">
        <v>31.536000000000001</v>
      </c>
    </row>
    <row r="484" spans="1:27" x14ac:dyDescent="0.25">
      <c r="A484" t="s">
        <v>98</v>
      </c>
      <c r="B484" t="s">
        <v>99</v>
      </c>
      <c r="C484" t="s">
        <v>689</v>
      </c>
      <c r="D484" t="s">
        <v>101</v>
      </c>
      <c r="E484" t="s">
        <v>304</v>
      </c>
      <c r="F484" t="s">
        <v>369</v>
      </c>
      <c r="G484" t="s">
        <v>119</v>
      </c>
      <c r="H484" t="s">
        <v>125</v>
      </c>
      <c r="I484">
        <v>2022</v>
      </c>
      <c r="J484" t="s">
        <v>384</v>
      </c>
      <c r="K484" t="s">
        <v>127</v>
      </c>
      <c r="L484" t="s">
        <v>772</v>
      </c>
      <c r="M484" t="s">
        <v>809</v>
      </c>
      <c r="N484">
        <v>1</v>
      </c>
      <c r="O484">
        <v>2022</v>
      </c>
      <c r="P484">
        <v>5670.0196973284856</v>
      </c>
      <c r="Q484">
        <v>2.0610137692780768</v>
      </c>
      <c r="R484" t="s">
        <v>109</v>
      </c>
      <c r="S484">
        <v>2751.0828805935421</v>
      </c>
      <c r="T484">
        <v>4.835873388042204</v>
      </c>
      <c r="U484" t="s">
        <v>184</v>
      </c>
      <c r="V484">
        <v>4.835873388042204</v>
      </c>
      <c r="W484">
        <v>11</v>
      </c>
      <c r="X484">
        <v>25</v>
      </c>
      <c r="Y484">
        <v>19</v>
      </c>
      <c r="Z484">
        <v>7.9838654742081211E-2</v>
      </c>
      <c r="AA484">
        <v>31.536000000000001</v>
      </c>
    </row>
    <row r="485" spans="1:27" x14ac:dyDescent="0.25">
      <c r="A485" t="s">
        <v>98</v>
      </c>
      <c r="B485" t="s">
        <v>99</v>
      </c>
      <c r="C485" t="s">
        <v>689</v>
      </c>
      <c r="D485" t="s">
        <v>101</v>
      </c>
      <c r="E485" t="s">
        <v>386</v>
      </c>
      <c r="G485" t="s">
        <v>387</v>
      </c>
      <c r="H485" t="s">
        <v>125</v>
      </c>
      <c r="I485">
        <v>2016</v>
      </c>
      <c r="J485" t="s">
        <v>388</v>
      </c>
      <c r="K485" t="s">
        <v>127</v>
      </c>
      <c r="L485" t="s">
        <v>810</v>
      </c>
      <c r="M485" t="s">
        <v>811</v>
      </c>
      <c r="N485">
        <v>1</v>
      </c>
      <c r="O485">
        <v>2020</v>
      </c>
      <c r="P485">
        <v>853.55135228600852</v>
      </c>
      <c r="Q485">
        <v>1.892911011784838</v>
      </c>
      <c r="R485" t="s">
        <v>391</v>
      </c>
      <c r="S485">
        <v>450.91995713057293</v>
      </c>
      <c r="T485">
        <v>404.78399999999999</v>
      </c>
      <c r="U485" t="s">
        <v>392</v>
      </c>
      <c r="V485">
        <v>1.1306815642458099</v>
      </c>
      <c r="W485">
        <v>11.625999787885601</v>
      </c>
      <c r="X485">
        <v>21.895260974855479</v>
      </c>
      <c r="Y485">
        <v>17</v>
      </c>
      <c r="Z485">
        <v>0.65</v>
      </c>
      <c r="AA485">
        <v>1</v>
      </c>
    </row>
    <row r="486" spans="1:27" x14ac:dyDescent="0.25">
      <c r="A486" t="s">
        <v>98</v>
      </c>
      <c r="B486" t="s">
        <v>99</v>
      </c>
      <c r="C486" t="s">
        <v>689</v>
      </c>
      <c r="D486" t="s">
        <v>101</v>
      </c>
      <c r="E486" t="s">
        <v>386</v>
      </c>
      <c r="G486" t="s">
        <v>393</v>
      </c>
      <c r="H486" t="s">
        <v>125</v>
      </c>
      <c r="I486">
        <v>2016</v>
      </c>
      <c r="J486" t="s">
        <v>394</v>
      </c>
      <c r="K486" t="s">
        <v>127</v>
      </c>
      <c r="L486" t="s">
        <v>810</v>
      </c>
      <c r="M486" t="s">
        <v>812</v>
      </c>
      <c r="N486">
        <v>1</v>
      </c>
      <c r="O486">
        <v>2020</v>
      </c>
      <c r="P486">
        <v>914.51930602072343</v>
      </c>
      <c r="Q486">
        <v>1.892911011784838</v>
      </c>
      <c r="R486" t="s">
        <v>391</v>
      </c>
      <c r="S486">
        <v>483.1285254970424</v>
      </c>
      <c r="T486">
        <v>389</v>
      </c>
      <c r="U486" t="s">
        <v>392</v>
      </c>
      <c r="V486">
        <v>1.08659217877095</v>
      </c>
      <c r="W486">
        <v>11.625999787885601</v>
      </c>
      <c r="X486">
        <v>21.895260974855479</v>
      </c>
      <c r="Y486">
        <v>17</v>
      </c>
      <c r="Z486">
        <v>0.65</v>
      </c>
      <c r="AA486">
        <v>1</v>
      </c>
    </row>
    <row r="487" spans="1:27" x14ac:dyDescent="0.25">
      <c r="A487" t="s">
        <v>98</v>
      </c>
      <c r="B487" t="s">
        <v>99</v>
      </c>
      <c r="C487" t="s">
        <v>689</v>
      </c>
      <c r="D487" t="s">
        <v>101</v>
      </c>
      <c r="E487" t="s">
        <v>386</v>
      </c>
      <c r="G487" t="s">
        <v>396</v>
      </c>
      <c r="H487" t="s">
        <v>125</v>
      </c>
      <c r="I487">
        <v>2016</v>
      </c>
      <c r="J487" t="s">
        <v>397</v>
      </c>
      <c r="K487" t="s">
        <v>127</v>
      </c>
      <c r="L487" t="s">
        <v>810</v>
      </c>
      <c r="M487" t="s">
        <v>813</v>
      </c>
      <c r="N487">
        <v>1</v>
      </c>
      <c r="O487">
        <v>2020</v>
      </c>
      <c r="P487">
        <v>1036.455213490153</v>
      </c>
      <c r="Q487">
        <v>1.892911011784838</v>
      </c>
      <c r="R487" t="s">
        <v>391</v>
      </c>
      <c r="S487">
        <v>547.54566222998142</v>
      </c>
      <c r="T487">
        <v>364.30560000000003</v>
      </c>
      <c r="U487" t="s">
        <v>392</v>
      </c>
      <c r="V487">
        <v>1.0176134078212291</v>
      </c>
      <c r="W487">
        <v>11.625999787885601</v>
      </c>
      <c r="X487">
        <v>21.895260974855479</v>
      </c>
      <c r="Y487">
        <v>17</v>
      </c>
      <c r="Z487">
        <v>0.65</v>
      </c>
      <c r="AA487">
        <v>1</v>
      </c>
    </row>
    <row r="488" spans="1:27" x14ac:dyDescent="0.25">
      <c r="A488" t="s">
        <v>98</v>
      </c>
      <c r="B488" t="s">
        <v>99</v>
      </c>
      <c r="C488" t="s">
        <v>689</v>
      </c>
      <c r="D488" t="s">
        <v>101</v>
      </c>
      <c r="E488" t="s">
        <v>386</v>
      </c>
      <c r="G488" t="s">
        <v>399</v>
      </c>
      <c r="H488" t="s">
        <v>125</v>
      </c>
      <c r="I488">
        <v>2016</v>
      </c>
      <c r="J488" t="s">
        <v>400</v>
      </c>
      <c r="K488" t="s">
        <v>127</v>
      </c>
      <c r="L488" t="s">
        <v>810</v>
      </c>
      <c r="M488" t="s">
        <v>814</v>
      </c>
      <c r="N488">
        <v>1</v>
      </c>
      <c r="O488">
        <v>2020</v>
      </c>
      <c r="P488">
        <v>1073.035985730982</v>
      </c>
      <c r="Q488">
        <v>1.892911011784838</v>
      </c>
      <c r="R488" t="s">
        <v>391</v>
      </c>
      <c r="S488">
        <v>566.87080324986312</v>
      </c>
      <c r="T488">
        <v>358</v>
      </c>
      <c r="U488" t="s">
        <v>392</v>
      </c>
      <c r="V488">
        <v>1</v>
      </c>
      <c r="W488">
        <v>11.625999787885601</v>
      </c>
      <c r="X488">
        <v>21.895260974855479</v>
      </c>
      <c r="Y488">
        <v>17</v>
      </c>
      <c r="Z488">
        <v>0.65</v>
      </c>
      <c r="AA488">
        <v>1</v>
      </c>
    </row>
    <row r="489" spans="1:27" x14ac:dyDescent="0.25">
      <c r="A489" t="s">
        <v>98</v>
      </c>
      <c r="B489" t="s">
        <v>99</v>
      </c>
      <c r="C489" t="s">
        <v>689</v>
      </c>
      <c r="D489" t="s">
        <v>101</v>
      </c>
      <c r="E489" t="s">
        <v>386</v>
      </c>
      <c r="G489" t="s">
        <v>402</v>
      </c>
      <c r="H489" t="s">
        <v>125</v>
      </c>
      <c r="I489">
        <v>2016</v>
      </c>
      <c r="J489" t="s">
        <v>403</v>
      </c>
      <c r="K489" t="s">
        <v>127</v>
      </c>
      <c r="L489" t="s">
        <v>810</v>
      </c>
      <c r="M489" t="s">
        <v>815</v>
      </c>
      <c r="N489">
        <v>1</v>
      </c>
      <c r="O489">
        <v>2020</v>
      </c>
      <c r="P489">
        <v>1597.3603878495301</v>
      </c>
      <c r="Q489">
        <v>1.892911011784838</v>
      </c>
      <c r="R489" t="s">
        <v>391</v>
      </c>
      <c r="S489">
        <v>843.86449120150075</v>
      </c>
      <c r="T489">
        <v>705.226</v>
      </c>
      <c r="U489" t="s">
        <v>392</v>
      </c>
      <c r="V489">
        <v>1.9699050279329611</v>
      </c>
      <c r="W489">
        <v>11.625999787885601</v>
      </c>
      <c r="X489">
        <v>21.895260974855479</v>
      </c>
      <c r="Y489">
        <v>17</v>
      </c>
      <c r="Z489">
        <v>0.65</v>
      </c>
      <c r="AA489">
        <v>1</v>
      </c>
    </row>
    <row r="490" spans="1:27" x14ac:dyDescent="0.25">
      <c r="A490" t="s">
        <v>98</v>
      </c>
      <c r="B490" t="s">
        <v>99</v>
      </c>
      <c r="C490" t="s">
        <v>689</v>
      </c>
      <c r="D490" t="s">
        <v>101</v>
      </c>
      <c r="E490" t="s">
        <v>386</v>
      </c>
      <c r="G490" t="s">
        <v>405</v>
      </c>
      <c r="H490" t="s">
        <v>125</v>
      </c>
      <c r="I490">
        <v>2016</v>
      </c>
      <c r="J490" t="s">
        <v>406</v>
      </c>
      <c r="K490" t="s">
        <v>127</v>
      </c>
      <c r="L490" t="s">
        <v>810</v>
      </c>
      <c r="M490" t="s">
        <v>816</v>
      </c>
      <c r="N490">
        <v>1</v>
      </c>
      <c r="O490">
        <v>2020</v>
      </c>
      <c r="P490">
        <v>1731.489886065903</v>
      </c>
      <c r="Q490">
        <v>1.892911011784838</v>
      </c>
      <c r="R490" t="s">
        <v>391</v>
      </c>
      <c r="S490">
        <v>914.72334160773357</v>
      </c>
      <c r="T490">
        <v>671</v>
      </c>
      <c r="U490" t="s">
        <v>392</v>
      </c>
      <c r="V490">
        <v>1.8743016759776541</v>
      </c>
      <c r="W490">
        <v>11.625999787885601</v>
      </c>
      <c r="X490">
        <v>21.895260974855479</v>
      </c>
      <c r="Y490">
        <v>17</v>
      </c>
      <c r="Z490">
        <v>0.65</v>
      </c>
      <c r="AA490">
        <v>1</v>
      </c>
    </row>
    <row r="491" spans="1:27" x14ac:dyDescent="0.25">
      <c r="A491" t="s">
        <v>98</v>
      </c>
      <c r="B491" t="s">
        <v>99</v>
      </c>
      <c r="C491" t="s">
        <v>689</v>
      </c>
      <c r="D491" t="s">
        <v>101</v>
      </c>
      <c r="E491" t="s">
        <v>386</v>
      </c>
      <c r="G491" t="s">
        <v>408</v>
      </c>
      <c r="H491" t="s">
        <v>125</v>
      </c>
      <c r="I491">
        <v>2016</v>
      </c>
      <c r="J491" t="s">
        <v>409</v>
      </c>
      <c r="K491" t="s">
        <v>127</v>
      </c>
      <c r="L491" t="s">
        <v>810</v>
      </c>
      <c r="M491" t="s">
        <v>817</v>
      </c>
      <c r="N491">
        <v>1</v>
      </c>
      <c r="O491">
        <v>2020</v>
      </c>
      <c r="P491">
        <v>1890.006565776162</v>
      </c>
      <c r="Q491">
        <v>1.892911011784838</v>
      </c>
      <c r="R491" t="s">
        <v>391</v>
      </c>
      <c r="S491">
        <v>998.46561936055434</v>
      </c>
      <c r="T491">
        <v>634.70339999999999</v>
      </c>
      <c r="U491" t="s">
        <v>392</v>
      </c>
      <c r="V491">
        <v>1.772914525139665</v>
      </c>
      <c r="W491">
        <v>11.625999787885601</v>
      </c>
      <c r="X491">
        <v>21.895260974855479</v>
      </c>
      <c r="Y491">
        <v>17</v>
      </c>
      <c r="Z491">
        <v>0.65</v>
      </c>
      <c r="AA491">
        <v>1</v>
      </c>
    </row>
    <row r="492" spans="1:27" x14ac:dyDescent="0.25">
      <c r="A492" t="s">
        <v>98</v>
      </c>
      <c r="B492" t="s">
        <v>99</v>
      </c>
      <c r="C492" t="s">
        <v>689</v>
      </c>
      <c r="D492" t="s">
        <v>101</v>
      </c>
      <c r="E492" t="s">
        <v>386</v>
      </c>
      <c r="G492" t="s">
        <v>411</v>
      </c>
      <c r="H492" t="s">
        <v>125</v>
      </c>
      <c r="I492">
        <v>2016</v>
      </c>
      <c r="J492" t="s">
        <v>412</v>
      </c>
      <c r="K492" t="s">
        <v>127</v>
      </c>
      <c r="L492" t="s">
        <v>810</v>
      </c>
      <c r="M492" t="s">
        <v>818</v>
      </c>
      <c r="N492">
        <v>1</v>
      </c>
      <c r="O492">
        <v>2020</v>
      </c>
      <c r="P492">
        <v>2414.3309678947098</v>
      </c>
      <c r="Q492">
        <v>1.892911011784838</v>
      </c>
      <c r="R492" t="s">
        <v>391</v>
      </c>
      <c r="S492">
        <v>1275.4593073121921</v>
      </c>
      <c r="T492">
        <v>509</v>
      </c>
      <c r="U492" t="s">
        <v>392</v>
      </c>
      <c r="V492">
        <v>1.4217877094972069</v>
      </c>
      <c r="W492">
        <v>11.625999787885601</v>
      </c>
      <c r="X492">
        <v>21.895260974855479</v>
      </c>
      <c r="Y492">
        <v>17</v>
      </c>
      <c r="Z492">
        <v>0.65</v>
      </c>
      <c r="AA492">
        <v>1</v>
      </c>
    </row>
    <row r="493" spans="1:27" x14ac:dyDescent="0.25">
      <c r="A493" t="s">
        <v>98</v>
      </c>
      <c r="B493" t="s">
        <v>99</v>
      </c>
      <c r="C493" t="s">
        <v>689</v>
      </c>
      <c r="D493" t="s">
        <v>101</v>
      </c>
      <c r="E493" t="s">
        <v>386</v>
      </c>
      <c r="G493" t="s">
        <v>414</v>
      </c>
      <c r="H493" t="s">
        <v>125</v>
      </c>
      <c r="I493">
        <v>2016</v>
      </c>
      <c r="J493" t="s">
        <v>415</v>
      </c>
      <c r="K493" t="s">
        <v>127</v>
      </c>
      <c r="L493" t="s">
        <v>810</v>
      </c>
      <c r="M493" t="s">
        <v>819</v>
      </c>
      <c r="N493">
        <v>1</v>
      </c>
      <c r="O493">
        <v>2020</v>
      </c>
      <c r="P493">
        <v>1255.939846935127</v>
      </c>
      <c r="Q493">
        <v>1.892911011784838</v>
      </c>
      <c r="R493" t="s">
        <v>391</v>
      </c>
      <c r="S493">
        <v>663.49650834927161</v>
      </c>
      <c r="T493">
        <v>520.54999999999995</v>
      </c>
      <c r="U493" t="s">
        <v>392</v>
      </c>
      <c r="V493">
        <v>1.4540502793296091</v>
      </c>
      <c r="W493">
        <v>11.625999787885601</v>
      </c>
      <c r="X493">
        <v>21.895260974855479</v>
      </c>
      <c r="Y493">
        <v>17</v>
      </c>
      <c r="Z493">
        <v>0.65</v>
      </c>
      <c r="AA493">
        <v>1</v>
      </c>
    </row>
    <row r="494" spans="1:27" x14ac:dyDescent="0.25">
      <c r="A494" t="s">
        <v>98</v>
      </c>
      <c r="B494" t="s">
        <v>99</v>
      </c>
      <c r="C494" t="s">
        <v>689</v>
      </c>
      <c r="D494" t="s">
        <v>101</v>
      </c>
      <c r="E494" t="s">
        <v>386</v>
      </c>
      <c r="G494" t="s">
        <v>417</v>
      </c>
      <c r="H494" t="s">
        <v>125</v>
      </c>
      <c r="I494">
        <v>2016</v>
      </c>
      <c r="J494" t="s">
        <v>418</v>
      </c>
      <c r="K494" t="s">
        <v>127</v>
      </c>
      <c r="L494" t="s">
        <v>810</v>
      </c>
      <c r="M494" t="s">
        <v>820</v>
      </c>
      <c r="N494">
        <v>1</v>
      </c>
      <c r="O494">
        <v>2020</v>
      </c>
      <c r="P494">
        <v>1365.682163657614</v>
      </c>
      <c r="Q494">
        <v>1.892911011784838</v>
      </c>
      <c r="R494" t="s">
        <v>391</v>
      </c>
      <c r="S494">
        <v>721.4719314089167</v>
      </c>
      <c r="T494">
        <v>480</v>
      </c>
      <c r="U494" t="s">
        <v>392</v>
      </c>
      <c r="V494">
        <v>1.3407821229050281</v>
      </c>
      <c r="W494">
        <v>11.625999787885601</v>
      </c>
      <c r="X494">
        <v>21.895260974855479</v>
      </c>
      <c r="Y494">
        <v>17</v>
      </c>
      <c r="Z494">
        <v>0.65</v>
      </c>
      <c r="AA494">
        <v>1</v>
      </c>
    </row>
    <row r="495" spans="1:27" x14ac:dyDescent="0.25">
      <c r="A495" t="s">
        <v>98</v>
      </c>
      <c r="B495" t="s">
        <v>99</v>
      </c>
      <c r="C495" t="s">
        <v>689</v>
      </c>
      <c r="D495" t="s">
        <v>101</v>
      </c>
      <c r="E495" t="s">
        <v>386</v>
      </c>
      <c r="G495" t="s">
        <v>420</v>
      </c>
      <c r="H495" t="s">
        <v>125</v>
      </c>
      <c r="I495">
        <v>2016</v>
      </c>
      <c r="J495" t="s">
        <v>421</v>
      </c>
      <c r="K495" t="s">
        <v>127</v>
      </c>
      <c r="L495" t="s">
        <v>810</v>
      </c>
      <c r="M495" t="s">
        <v>821</v>
      </c>
      <c r="N495">
        <v>1</v>
      </c>
      <c r="O495">
        <v>2020</v>
      </c>
      <c r="P495">
        <v>1414.456526645386</v>
      </c>
      <c r="Q495">
        <v>1.892911011784838</v>
      </c>
      <c r="R495" t="s">
        <v>391</v>
      </c>
      <c r="S495">
        <v>747.23878610209226</v>
      </c>
      <c r="T495">
        <v>469</v>
      </c>
      <c r="U495" t="s">
        <v>392</v>
      </c>
      <c r="V495">
        <v>1.310055865921788</v>
      </c>
      <c r="W495">
        <v>11.625999787885601</v>
      </c>
      <c r="X495">
        <v>21.895260974855479</v>
      </c>
      <c r="Y495">
        <v>17</v>
      </c>
      <c r="Z495">
        <v>0.65</v>
      </c>
      <c r="AA495">
        <v>1</v>
      </c>
    </row>
    <row r="496" spans="1:27" x14ac:dyDescent="0.25">
      <c r="A496" t="s">
        <v>98</v>
      </c>
      <c r="B496" t="s">
        <v>99</v>
      </c>
      <c r="C496" t="s">
        <v>689</v>
      </c>
      <c r="D496" t="s">
        <v>101</v>
      </c>
      <c r="E496" t="s">
        <v>386</v>
      </c>
      <c r="G496" t="s">
        <v>423</v>
      </c>
      <c r="H496" t="s">
        <v>125</v>
      </c>
      <c r="I496">
        <v>2016</v>
      </c>
      <c r="J496" t="s">
        <v>424</v>
      </c>
      <c r="K496" t="s">
        <v>127</v>
      </c>
      <c r="L496" t="s">
        <v>810</v>
      </c>
      <c r="M496" t="s">
        <v>822</v>
      </c>
      <c r="N496">
        <v>1</v>
      </c>
      <c r="O496">
        <v>2020</v>
      </c>
      <c r="P496">
        <v>1414.456526645386</v>
      </c>
      <c r="Q496">
        <v>1.892911011784838</v>
      </c>
      <c r="R496" t="s">
        <v>391</v>
      </c>
      <c r="S496">
        <v>747.23878610209226</v>
      </c>
      <c r="T496">
        <v>469</v>
      </c>
      <c r="U496" t="s">
        <v>392</v>
      </c>
      <c r="V496">
        <v>1.310055865921788</v>
      </c>
      <c r="W496">
        <v>11.625999787885601</v>
      </c>
      <c r="X496">
        <v>21.895260974855479</v>
      </c>
      <c r="Y496">
        <v>17</v>
      </c>
      <c r="Z496">
        <v>0.65</v>
      </c>
      <c r="AA496">
        <v>1</v>
      </c>
    </row>
    <row r="497" spans="1:27" x14ac:dyDescent="0.25">
      <c r="A497" t="s">
        <v>98</v>
      </c>
      <c r="B497" t="s">
        <v>99</v>
      </c>
      <c r="C497" t="s">
        <v>689</v>
      </c>
      <c r="D497" t="s">
        <v>101</v>
      </c>
      <c r="E497" t="s">
        <v>426</v>
      </c>
      <c r="G497" t="s">
        <v>427</v>
      </c>
      <c r="H497" t="s">
        <v>125</v>
      </c>
      <c r="I497">
        <v>2016</v>
      </c>
      <c r="J497" t="s">
        <v>428</v>
      </c>
      <c r="K497" t="s">
        <v>127</v>
      </c>
      <c r="L497" t="s">
        <v>823</v>
      </c>
      <c r="M497" t="s">
        <v>824</v>
      </c>
      <c r="N497">
        <v>1</v>
      </c>
      <c r="O497">
        <v>2020</v>
      </c>
      <c r="P497">
        <v>609.67953734714899</v>
      </c>
      <c r="Q497">
        <v>0.2264658115138328</v>
      </c>
      <c r="R497" t="s">
        <v>391</v>
      </c>
      <c r="S497">
        <v>2692.1482464469432</v>
      </c>
      <c r="T497">
        <v>300.25599999999997</v>
      </c>
      <c r="U497" t="s">
        <v>392</v>
      </c>
      <c r="V497">
        <v>1.0918399999999999</v>
      </c>
      <c r="W497">
        <v>16.5973520403479</v>
      </c>
      <c r="X497">
        <v>27.331519839424129</v>
      </c>
      <c r="Y497">
        <v>22</v>
      </c>
      <c r="Z497">
        <v>0.65</v>
      </c>
      <c r="AA497">
        <v>1</v>
      </c>
    </row>
    <row r="498" spans="1:27" x14ac:dyDescent="0.25">
      <c r="A498" t="s">
        <v>98</v>
      </c>
      <c r="B498" t="s">
        <v>99</v>
      </c>
      <c r="C498" t="s">
        <v>689</v>
      </c>
      <c r="D498" t="s">
        <v>101</v>
      </c>
      <c r="E498" t="s">
        <v>426</v>
      </c>
      <c r="G498" t="s">
        <v>431</v>
      </c>
      <c r="H498" t="s">
        <v>125</v>
      </c>
      <c r="I498">
        <v>2016</v>
      </c>
      <c r="J498" t="s">
        <v>432</v>
      </c>
      <c r="K498" t="s">
        <v>127</v>
      </c>
      <c r="L498" t="s">
        <v>823</v>
      </c>
      <c r="M498" t="s">
        <v>825</v>
      </c>
      <c r="N498">
        <v>1</v>
      </c>
      <c r="O498">
        <v>2020</v>
      </c>
      <c r="P498">
        <v>609.67953734714899</v>
      </c>
      <c r="Q498">
        <v>0.2264658115138328</v>
      </c>
      <c r="R498" t="s">
        <v>391</v>
      </c>
      <c r="S498">
        <v>2692.1482464469432</v>
      </c>
      <c r="T498">
        <v>297</v>
      </c>
      <c r="U498" t="s">
        <v>392</v>
      </c>
      <c r="V498">
        <v>1.08</v>
      </c>
      <c r="W498">
        <v>16.5973520403479</v>
      </c>
      <c r="X498">
        <v>27.331519839424129</v>
      </c>
      <c r="Y498">
        <v>22</v>
      </c>
      <c r="Z498">
        <v>0.65</v>
      </c>
      <c r="AA498">
        <v>1</v>
      </c>
    </row>
    <row r="499" spans="1:27" x14ac:dyDescent="0.25">
      <c r="A499" t="s">
        <v>98</v>
      </c>
      <c r="B499" t="s">
        <v>99</v>
      </c>
      <c r="C499" t="s">
        <v>689</v>
      </c>
      <c r="D499" t="s">
        <v>101</v>
      </c>
      <c r="E499" t="s">
        <v>426</v>
      </c>
      <c r="G499" t="s">
        <v>434</v>
      </c>
      <c r="H499" t="s">
        <v>125</v>
      </c>
      <c r="I499">
        <v>2016</v>
      </c>
      <c r="J499" t="s">
        <v>435</v>
      </c>
      <c r="K499" t="s">
        <v>127</v>
      </c>
      <c r="L499" t="s">
        <v>823</v>
      </c>
      <c r="M499" t="s">
        <v>826</v>
      </c>
      <c r="N499">
        <v>1</v>
      </c>
      <c r="O499">
        <v>2020</v>
      </c>
      <c r="P499">
        <v>670.6474910818639</v>
      </c>
      <c r="Q499">
        <v>0.2264658115138328</v>
      </c>
      <c r="R499" t="s">
        <v>391</v>
      </c>
      <c r="S499">
        <v>2961.3630710916382</v>
      </c>
      <c r="T499">
        <v>277</v>
      </c>
      <c r="U499" t="s">
        <v>392</v>
      </c>
      <c r="V499">
        <v>1.0072727272727271</v>
      </c>
      <c r="W499">
        <v>16.5973520403479</v>
      </c>
      <c r="X499">
        <v>27.331519839424129</v>
      </c>
      <c r="Y499">
        <v>22</v>
      </c>
      <c r="Z499">
        <v>0.65</v>
      </c>
      <c r="AA499">
        <v>1</v>
      </c>
    </row>
    <row r="500" spans="1:27" x14ac:dyDescent="0.25">
      <c r="A500" t="s">
        <v>98</v>
      </c>
      <c r="B500" t="s">
        <v>99</v>
      </c>
      <c r="C500" t="s">
        <v>689</v>
      </c>
      <c r="D500" t="s">
        <v>101</v>
      </c>
      <c r="E500" t="s">
        <v>426</v>
      </c>
      <c r="G500" t="s">
        <v>437</v>
      </c>
      <c r="H500" t="s">
        <v>125</v>
      </c>
      <c r="I500">
        <v>2016</v>
      </c>
      <c r="J500" t="s">
        <v>438</v>
      </c>
      <c r="K500" t="s">
        <v>127</v>
      </c>
      <c r="L500" t="s">
        <v>823</v>
      </c>
      <c r="M500" t="s">
        <v>827</v>
      </c>
      <c r="N500">
        <v>1</v>
      </c>
      <c r="O500">
        <v>2020</v>
      </c>
      <c r="P500">
        <v>658.45390033492083</v>
      </c>
      <c r="Q500">
        <v>0.2264658115138328</v>
      </c>
      <c r="R500" t="s">
        <v>391</v>
      </c>
      <c r="S500">
        <v>2907.5201061626981</v>
      </c>
      <c r="T500">
        <v>275</v>
      </c>
      <c r="U500" t="s">
        <v>392</v>
      </c>
      <c r="V500">
        <v>1</v>
      </c>
      <c r="W500">
        <v>16.5973520403479</v>
      </c>
      <c r="X500">
        <v>27.331519839424129</v>
      </c>
      <c r="Y500">
        <v>22</v>
      </c>
      <c r="Z500">
        <v>0.65</v>
      </c>
      <c r="AA500">
        <v>1</v>
      </c>
    </row>
    <row r="501" spans="1:27" x14ac:dyDescent="0.25">
      <c r="A501" t="s">
        <v>98</v>
      </c>
      <c r="B501" t="s">
        <v>99</v>
      </c>
      <c r="C501" t="s">
        <v>689</v>
      </c>
      <c r="D501" t="s">
        <v>101</v>
      </c>
      <c r="E501" t="s">
        <v>426</v>
      </c>
      <c r="G501" t="s">
        <v>440</v>
      </c>
      <c r="H501" t="s">
        <v>125</v>
      </c>
      <c r="I501">
        <v>2016</v>
      </c>
      <c r="J501" t="s">
        <v>441</v>
      </c>
      <c r="K501" t="s">
        <v>127</v>
      </c>
      <c r="L501" t="s">
        <v>823</v>
      </c>
      <c r="M501" t="s">
        <v>828</v>
      </c>
      <c r="N501">
        <v>1</v>
      </c>
      <c r="O501">
        <v>2020</v>
      </c>
      <c r="P501">
        <v>841.35776153906556</v>
      </c>
      <c r="Q501">
        <v>0.2264658115138328</v>
      </c>
      <c r="R501" t="s">
        <v>391</v>
      </c>
      <c r="S501">
        <v>3715.1645800967808</v>
      </c>
      <c r="T501">
        <v>477.41800000000001</v>
      </c>
      <c r="U501" t="s">
        <v>392</v>
      </c>
      <c r="V501">
        <v>1.736065454545455</v>
      </c>
      <c r="W501">
        <v>16.5973520403479</v>
      </c>
      <c r="X501">
        <v>27.331519839424129</v>
      </c>
      <c r="Y501">
        <v>22</v>
      </c>
      <c r="Z501">
        <v>0.65</v>
      </c>
      <c r="AA501">
        <v>1</v>
      </c>
    </row>
    <row r="502" spans="1:27" x14ac:dyDescent="0.25">
      <c r="A502" t="s">
        <v>98</v>
      </c>
      <c r="B502" t="s">
        <v>99</v>
      </c>
      <c r="C502" t="s">
        <v>689</v>
      </c>
      <c r="D502" t="s">
        <v>101</v>
      </c>
      <c r="E502" t="s">
        <v>426</v>
      </c>
      <c r="G502" t="s">
        <v>443</v>
      </c>
      <c r="H502" t="s">
        <v>125</v>
      </c>
      <c r="I502">
        <v>2016</v>
      </c>
      <c r="J502" t="s">
        <v>444</v>
      </c>
      <c r="K502" t="s">
        <v>127</v>
      </c>
      <c r="L502" t="s">
        <v>823</v>
      </c>
      <c r="M502" t="s">
        <v>829</v>
      </c>
      <c r="N502">
        <v>1</v>
      </c>
      <c r="O502">
        <v>2020</v>
      </c>
      <c r="P502">
        <v>914.51930602072343</v>
      </c>
      <c r="Q502">
        <v>0.2264658115138328</v>
      </c>
      <c r="R502" t="s">
        <v>391</v>
      </c>
      <c r="S502">
        <v>4038.222369670415</v>
      </c>
      <c r="T502">
        <v>446</v>
      </c>
      <c r="U502" t="s">
        <v>392</v>
      </c>
      <c r="V502">
        <v>1.621818181818182</v>
      </c>
      <c r="W502">
        <v>16.5973520403479</v>
      </c>
      <c r="X502">
        <v>27.331519839424129</v>
      </c>
      <c r="Y502">
        <v>22</v>
      </c>
      <c r="Z502">
        <v>0.65</v>
      </c>
      <c r="AA502">
        <v>1</v>
      </c>
    </row>
    <row r="503" spans="1:27" x14ac:dyDescent="0.25">
      <c r="A503" t="s">
        <v>98</v>
      </c>
      <c r="B503" t="s">
        <v>99</v>
      </c>
      <c r="C503" t="s">
        <v>689</v>
      </c>
      <c r="D503" t="s">
        <v>101</v>
      </c>
      <c r="E503" t="s">
        <v>426</v>
      </c>
      <c r="G503" t="s">
        <v>446</v>
      </c>
      <c r="H503" t="s">
        <v>125</v>
      </c>
      <c r="I503">
        <v>2016</v>
      </c>
      <c r="J503" t="s">
        <v>447</v>
      </c>
      <c r="K503" t="s">
        <v>127</v>
      </c>
      <c r="L503" t="s">
        <v>823</v>
      </c>
      <c r="M503" t="s">
        <v>830</v>
      </c>
      <c r="N503">
        <v>1</v>
      </c>
      <c r="O503">
        <v>2020</v>
      </c>
      <c r="P503">
        <v>963.29366900849539</v>
      </c>
      <c r="Q503">
        <v>0.2264658115138328</v>
      </c>
      <c r="R503" t="s">
        <v>391</v>
      </c>
      <c r="S503">
        <v>4253.5942293861699</v>
      </c>
      <c r="T503">
        <v>429.67619999999999</v>
      </c>
      <c r="U503" t="s">
        <v>392</v>
      </c>
      <c r="V503">
        <v>1.5624589090909089</v>
      </c>
      <c r="W503">
        <v>16.5973520403479</v>
      </c>
      <c r="X503">
        <v>27.331519839424129</v>
      </c>
      <c r="Y503">
        <v>22</v>
      </c>
      <c r="Z503">
        <v>0.65</v>
      </c>
      <c r="AA503">
        <v>1</v>
      </c>
    </row>
    <row r="504" spans="1:27" x14ac:dyDescent="0.25">
      <c r="A504" t="s">
        <v>98</v>
      </c>
      <c r="B504" t="s">
        <v>99</v>
      </c>
      <c r="C504" t="s">
        <v>689</v>
      </c>
      <c r="D504" t="s">
        <v>101</v>
      </c>
      <c r="E504" t="s">
        <v>426</v>
      </c>
      <c r="G504" t="s">
        <v>449</v>
      </c>
      <c r="H504" t="s">
        <v>125</v>
      </c>
      <c r="I504">
        <v>2016</v>
      </c>
      <c r="J504" t="s">
        <v>450</v>
      </c>
      <c r="K504" t="s">
        <v>127</v>
      </c>
      <c r="L504" t="s">
        <v>823</v>
      </c>
      <c r="M504" t="s">
        <v>831</v>
      </c>
      <c r="N504">
        <v>1</v>
      </c>
      <c r="O504">
        <v>2020</v>
      </c>
      <c r="P504">
        <v>987.6808505023813</v>
      </c>
      <c r="Q504">
        <v>0.2264658115138328</v>
      </c>
      <c r="R504" t="s">
        <v>391</v>
      </c>
      <c r="S504">
        <v>4361.2801592440474</v>
      </c>
      <c r="T504">
        <v>419</v>
      </c>
      <c r="U504" t="s">
        <v>392</v>
      </c>
      <c r="V504">
        <v>1.5236363636363639</v>
      </c>
      <c r="W504">
        <v>16.5973520403479</v>
      </c>
      <c r="X504">
        <v>27.331519839424129</v>
      </c>
      <c r="Y504">
        <v>22</v>
      </c>
      <c r="Z504">
        <v>0.65</v>
      </c>
      <c r="AA504">
        <v>1</v>
      </c>
    </row>
    <row r="505" spans="1:27" x14ac:dyDescent="0.25">
      <c r="A505" t="s">
        <v>98</v>
      </c>
      <c r="B505" t="s">
        <v>99</v>
      </c>
      <c r="C505" t="s">
        <v>689</v>
      </c>
      <c r="D505" t="s">
        <v>101</v>
      </c>
      <c r="E505" t="s">
        <v>452</v>
      </c>
      <c r="G505" t="s">
        <v>111</v>
      </c>
      <c r="H505" t="s">
        <v>104</v>
      </c>
      <c r="I505">
        <v>2016</v>
      </c>
      <c r="J505" t="s">
        <v>453</v>
      </c>
      <c r="K505" t="s">
        <v>106</v>
      </c>
      <c r="L505" t="s">
        <v>832</v>
      </c>
      <c r="M505" t="s">
        <v>833</v>
      </c>
      <c r="N505">
        <v>1</v>
      </c>
      <c r="O505">
        <v>2020</v>
      </c>
      <c r="P505">
        <v>451.16285763689018</v>
      </c>
      <c r="Q505">
        <v>16.055331270483929</v>
      </c>
      <c r="R505" t="s">
        <v>391</v>
      </c>
      <c r="S505">
        <v>28.100501324834479</v>
      </c>
      <c r="T505">
        <v>0.45</v>
      </c>
      <c r="U505" t="s">
        <v>456</v>
      </c>
      <c r="V505">
        <v>0.45</v>
      </c>
      <c r="W505">
        <v>9</v>
      </c>
      <c r="X505">
        <v>15</v>
      </c>
      <c r="Y505">
        <v>13</v>
      </c>
      <c r="Z505">
        <v>9.0000000000000011E-2</v>
      </c>
      <c r="AA505">
        <v>1</v>
      </c>
    </row>
    <row r="506" spans="1:27" x14ac:dyDescent="0.25">
      <c r="A506" t="s">
        <v>98</v>
      </c>
      <c r="B506" t="s">
        <v>99</v>
      </c>
      <c r="C506" t="s">
        <v>689</v>
      </c>
      <c r="D506" t="s">
        <v>101</v>
      </c>
      <c r="E506" t="s">
        <v>452</v>
      </c>
      <c r="G506" t="s">
        <v>119</v>
      </c>
      <c r="H506" t="s">
        <v>104</v>
      </c>
      <c r="I506">
        <v>2016</v>
      </c>
      <c r="J506" t="s">
        <v>457</v>
      </c>
      <c r="K506" t="s">
        <v>106</v>
      </c>
      <c r="L506" t="s">
        <v>832</v>
      </c>
      <c r="M506" t="s">
        <v>834</v>
      </c>
      <c r="N506">
        <v>1</v>
      </c>
      <c r="O506">
        <v>2020</v>
      </c>
      <c r="P506">
        <v>521.3437466026287</v>
      </c>
      <c r="Q506">
        <v>16.055331270483929</v>
      </c>
      <c r="R506" t="s">
        <v>391</v>
      </c>
      <c r="S506">
        <v>32.471690419808731</v>
      </c>
      <c r="T506">
        <v>0.52</v>
      </c>
      <c r="U506" t="s">
        <v>456</v>
      </c>
      <c r="V506">
        <v>0.52</v>
      </c>
      <c r="W506">
        <v>9</v>
      </c>
      <c r="X506">
        <v>15</v>
      </c>
      <c r="Y506">
        <v>13</v>
      </c>
      <c r="Z506">
        <v>9.0000000000000011E-2</v>
      </c>
      <c r="AA506">
        <v>1</v>
      </c>
    </row>
    <row r="507" spans="1:27" x14ac:dyDescent="0.25">
      <c r="A507" t="s">
        <v>98</v>
      </c>
      <c r="B507" t="s">
        <v>99</v>
      </c>
      <c r="C507" t="s">
        <v>689</v>
      </c>
      <c r="D507" t="s">
        <v>101</v>
      </c>
      <c r="E507" t="s">
        <v>452</v>
      </c>
      <c r="G507" t="s">
        <v>111</v>
      </c>
      <c r="H507" t="s">
        <v>156</v>
      </c>
      <c r="I507">
        <v>2016</v>
      </c>
      <c r="J507" t="s">
        <v>459</v>
      </c>
      <c r="K507" t="s">
        <v>158</v>
      </c>
      <c r="L507" t="s">
        <v>832</v>
      </c>
      <c r="M507" t="s">
        <v>835</v>
      </c>
      <c r="N507">
        <v>1</v>
      </c>
      <c r="O507">
        <v>2020</v>
      </c>
      <c r="P507">
        <v>451.16285763689018</v>
      </c>
      <c r="Q507">
        <v>16.055331270483929</v>
      </c>
      <c r="R507" t="s">
        <v>391</v>
      </c>
      <c r="S507">
        <v>28.100501324834479</v>
      </c>
      <c r="T507">
        <v>0.45</v>
      </c>
      <c r="U507" t="s">
        <v>456</v>
      </c>
      <c r="V507">
        <v>0.45</v>
      </c>
      <c r="W507">
        <v>9</v>
      </c>
      <c r="X507">
        <v>15</v>
      </c>
      <c r="Y507">
        <v>13</v>
      </c>
      <c r="Z507">
        <v>9.0000000000000011E-2</v>
      </c>
      <c r="AA507">
        <v>1</v>
      </c>
    </row>
    <row r="508" spans="1:27" x14ac:dyDescent="0.25">
      <c r="A508" t="s">
        <v>98</v>
      </c>
      <c r="B508" t="s">
        <v>99</v>
      </c>
      <c r="C508" t="s">
        <v>689</v>
      </c>
      <c r="D508" t="s">
        <v>101</v>
      </c>
      <c r="E508" t="s">
        <v>452</v>
      </c>
      <c r="G508" t="s">
        <v>119</v>
      </c>
      <c r="H508" t="s">
        <v>156</v>
      </c>
      <c r="I508">
        <v>2016</v>
      </c>
      <c r="J508" t="s">
        <v>461</v>
      </c>
      <c r="K508" t="s">
        <v>158</v>
      </c>
      <c r="L508" t="s">
        <v>832</v>
      </c>
      <c r="M508" t="s">
        <v>836</v>
      </c>
      <c r="N508">
        <v>1</v>
      </c>
      <c r="O508">
        <v>2020</v>
      </c>
      <c r="P508">
        <v>521.3437466026287</v>
      </c>
      <c r="Q508">
        <v>16.055331270483929</v>
      </c>
      <c r="R508" t="s">
        <v>391</v>
      </c>
      <c r="S508">
        <v>32.471690419808731</v>
      </c>
      <c r="T508">
        <v>0.52</v>
      </c>
      <c r="U508" t="s">
        <v>456</v>
      </c>
      <c r="V508">
        <v>0.52</v>
      </c>
      <c r="W508">
        <v>9</v>
      </c>
      <c r="X508">
        <v>15</v>
      </c>
      <c r="Y508">
        <v>13</v>
      </c>
      <c r="Z508">
        <v>9.0000000000000011E-2</v>
      </c>
      <c r="AA508">
        <v>1</v>
      </c>
    </row>
    <row r="509" spans="1:27" x14ac:dyDescent="0.25">
      <c r="A509" t="s">
        <v>98</v>
      </c>
      <c r="B509" t="s">
        <v>99</v>
      </c>
      <c r="C509" t="s">
        <v>689</v>
      </c>
      <c r="D509" t="s">
        <v>101</v>
      </c>
      <c r="E509" t="s">
        <v>452</v>
      </c>
      <c r="G509" t="s">
        <v>111</v>
      </c>
      <c r="H509" t="s">
        <v>125</v>
      </c>
      <c r="I509">
        <v>2016</v>
      </c>
      <c r="J509" t="s">
        <v>463</v>
      </c>
      <c r="K509" t="s">
        <v>127</v>
      </c>
      <c r="L509" t="s">
        <v>832</v>
      </c>
      <c r="M509" t="s">
        <v>837</v>
      </c>
      <c r="N509">
        <v>1</v>
      </c>
      <c r="O509">
        <v>2020</v>
      </c>
      <c r="P509">
        <v>938.90648751460947</v>
      </c>
      <c r="Q509">
        <v>16.055331270483929</v>
      </c>
      <c r="R509" t="s">
        <v>391</v>
      </c>
      <c r="S509">
        <v>58.479421676006901</v>
      </c>
      <c r="T509">
        <v>228.0913607809874</v>
      </c>
      <c r="U509" t="s">
        <v>392</v>
      </c>
      <c r="V509">
        <v>0.9</v>
      </c>
      <c r="W509">
        <v>10</v>
      </c>
      <c r="X509">
        <v>20</v>
      </c>
      <c r="Y509">
        <v>16</v>
      </c>
      <c r="Z509">
        <v>9.0000000000000011E-2</v>
      </c>
      <c r="AA509">
        <v>1</v>
      </c>
    </row>
    <row r="510" spans="1:27" x14ac:dyDescent="0.25">
      <c r="A510" t="s">
        <v>98</v>
      </c>
      <c r="B510" t="s">
        <v>99</v>
      </c>
      <c r="C510" t="s">
        <v>689</v>
      </c>
      <c r="D510" t="s">
        <v>101</v>
      </c>
      <c r="E510" t="s">
        <v>465</v>
      </c>
      <c r="G510" t="s">
        <v>466</v>
      </c>
      <c r="H510" t="s">
        <v>125</v>
      </c>
      <c r="I510">
        <v>2030</v>
      </c>
      <c r="J510" t="s">
        <v>467</v>
      </c>
      <c r="K510" t="s">
        <v>127</v>
      </c>
      <c r="L510" t="s">
        <v>838</v>
      </c>
      <c r="M510" t="s">
        <v>839</v>
      </c>
      <c r="N510">
        <v>1</v>
      </c>
      <c r="O510">
        <v>2030</v>
      </c>
      <c r="P510">
        <v>1646.1347508373019</v>
      </c>
      <c r="Q510">
        <v>1.2636727213417449</v>
      </c>
      <c r="R510" t="s">
        <v>391</v>
      </c>
      <c r="S510">
        <v>1302.659084932581</v>
      </c>
      <c r="T510">
        <v>0.28000000000000003</v>
      </c>
      <c r="U510" t="s">
        <v>470</v>
      </c>
      <c r="V510">
        <v>2.333333333333333</v>
      </c>
      <c r="W510">
        <v>6</v>
      </c>
      <c r="X510">
        <v>17</v>
      </c>
      <c r="Y510">
        <v>12</v>
      </c>
      <c r="Z510">
        <v>0.02</v>
      </c>
      <c r="AA510">
        <v>1</v>
      </c>
    </row>
    <row r="511" spans="1:27" x14ac:dyDescent="0.25">
      <c r="A511" t="s">
        <v>98</v>
      </c>
      <c r="B511" t="s">
        <v>99</v>
      </c>
      <c r="C511" t="s">
        <v>689</v>
      </c>
      <c r="D511" t="s">
        <v>101</v>
      </c>
      <c r="E511" t="s">
        <v>465</v>
      </c>
      <c r="G511" t="s">
        <v>471</v>
      </c>
      <c r="H511" t="s">
        <v>125</v>
      </c>
      <c r="I511">
        <v>2016</v>
      </c>
      <c r="J511" t="s">
        <v>472</v>
      </c>
      <c r="K511" t="s">
        <v>127</v>
      </c>
      <c r="L511" t="s">
        <v>838</v>
      </c>
      <c r="M511" t="s">
        <v>840</v>
      </c>
      <c r="N511">
        <v>1</v>
      </c>
      <c r="O511">
        <v>2020</v>
      </c>
      <c r="P511">
        <v>792.58339855129361</v>
      </c>
      <c r="Q511">
        <v>1.2636727213417449</v>
      </c>
      <c r="R511" t="s">
        <v>391</v>
      </c>
      <c r="S511">
        <v>627.20622607865016</v>
      </c>
      <c r="T511">
        <v>0.26</v>
      </c>
      <c r="U511" t="s">
        <v>470</v>
      </c>
      <c r="V511">
        <v>2.166666666666667</v>
      </c>
      <c r="W511">
        <v>6</v>
      </c>
      <c r="X511">
        <v>17</v>
      </c>
      <c r="Y511">
        <v>12</v>
      </c>
      <c r="Z511">
        <v>0.02</v>
      </c>
      <c r="AA511">
        <v>1</v>
      </c>
    </row>
    <row r="512" spans="1:27" x14ac:dyDescent="0.25">
      <c r="A512" t="s">
        <v>98</v>
      </c>
      <c r="B512" t="s">
        <v>99</v>
      </c>
      <c r="C512" t="s">
        <v>689</v>
      </c>
      <c r="D512" t="s">
        <v>101</v>
      </c>
      <c r="E512" t="s">
        <v>465</v>
      </c>
      <c r="G512" t="s">
        <v>474</v>
      </c>
      <c r="H512" t="s">
        <v>125</v>
      </c>
      <c r="I512">
        <v>2016</v>
      </c>
      <c r="J512" t="s">
        <v>475</v>
      </c>
      <c r="K512" t="s">
        <v>127</v>
      </c>
      <c r="L512" t="s">
        <v>838</v>
      </c>
      <c r="M512" t="s">
        <v>841</v>
      </c>
      <c r="N512">
        <v>0</v>
      </c>
      <c r="O512">
        <v>2020</v>
      </c>
      <c r="P512">
        <v>792.58339855129361</v>
      </c>
      <c r="Q512">
        <v>1.2636727213417449</v>
      </c>
      <c r="R512" t="s">
        <v>391</v>
      </c>
      <c r="S512">
        <v>627.20622607865016</v>
      </c>
      <c r="T512">
        <v>0.26</v>
      </c>
      <c r="U512" t="s">
        <v>470</v>
      </c>
      <c r="V512">
        <v>2.166666666666667</v>
      </c>
      <c r="W512">
        <v>6</v>
      </c>
      <c r="X512">
        <v>17</v>
      </c>
      <c r="Y512">
        <v>12</v>
      </c>
      <c r="Z512">
        <v>0.02</v>
      </c>
      <c r="AA512">
        <v>1</v>
      </c>
    </row>
    <row r="513" spans="1:27" x14ac:dyDescent="0.25">
      <c r="A513" t="s">
        <v>98</v>
      </c>
      <c r="B513" t="s">
        <v>99</v>
      </c>
      <c r="C513" t="s">
        <v>689</v>
      </c>
      <c r="D513" t="s">
        <v>101</v>
      </c>
      <c r="E513" t="s">
        <v>465</v>
      </c>
      <c r="G513" t="s">
        <v>474</v>
      </c>
      <c r="H513" t="s">
        <v>125</v>
      </c>
      <c r="I513">
        <v>2020</v>
      </c>
      <c r="J513" t="s">
        <v>477</v>
      </c>
      <c r="K513" t="s">
        <v>127</v>
      </c>
      <c r="L513" t="s">
        <v>838</v>
      </c>
      <c r="M513" t="s">
        <v>841</v>
      </c>
      <c r="N513">
        <v>1</v>
      </c>
      <c r="O513">
        <v>2020</v>
      </c>
      <c r="P513">
        <v>914.51930602072343</v>
      </c>
      <c r="Q513">
        <v>1.2636727213417449</v>
      </c>
      <c r="R513" t="s">
        <v>391</v>
      </c>
      <c r="S513">
        <v>723.69949162921182</v>
      </c>
      <c r="T513">
        <v>0.24</v>
      </c>
      <c r="U513" t="s">
        <v>470</v>
      </c>
      <c r="V513">
        <v>2</v>
      </c>
      <c r="W513">
        <v>6</v>
      </c>
      <c r="X513">
        <v>17</v>
      </c>
      <c r="Y513">
        <v>12</v>
      </c>
      <c r="Z513">
        <v>0.02</v>
      </c>
      <c r="AA513">
        <v>1</v>
      </c>
    </row>
    <row r="514" spans="1:27" x14ac:dyDescent="0.25">
      <c r="A514" t="s">
        <v>98</v>
      </c>
      <c r="B514" t="s">
        <v>99</v>
      </c>
      <c r="C514" t="s">
        <v>689</v>
      </c>
      <c r="D514" t="s">
        <v>101</v>
      </c>
      <c r="E514" t="s">
        <v>465</v>
      </c>
      <c r="G514" t="s">
        <v>478</v>
      </c>
      <c r="H514" t="s">
        <v>125</v>
      </c>
      <c r="I514">
        <v>2016</v>
      </c>
      <c r="J514" t="s">
        <v>479</v>
      </c>
      <c r="K514" t="s">
        <v>127</v>
      </c>
      <c r="L514" t="s">
        <v>838</v>
      </c>
      <c r="M514" t="s">
        <v>842</v>
      </c>
      <c r="N514">
        <v>1</v>
      </c>
      <c r="O514">
        <v>2020</v>
      </c>
      <c r="P514">
        <v>1158.3911209595831</v>
      </c>
      <c r="Q514">
        <v>1.2636727213417449</v>
      </c>
      <c r="R514" t="s">
        <v>391</v>
      </c>
      <c r="S514">
        <v>916.68602273033503</v>
      </c>
      <c r="T514">
        <v>0.15</v>
      </c>
      <c r="U514" t="s">
        <v>470</v>
      </c>
      <c r="V514">
        <v>1.25</v>
      </c>
      <c r="W514">
        <v>6</v>
      </c>
      <c r="X514">
        <v>17</v>
      </c>
      <c r="Y514">
        <v>12</v>
      </c>
      <c r="Z514">
        <v>0.02</v>
      </c>
      <c r="AA514">
        <v>1</v>
      </c>
    </row>
    <row r="515" spans="1:27" x14ac:dyDescent="0.25">
      <c r="A515" t="s">
        <v>98</v>
      </c>
      <c r="B515" t="s">
        <v>99</v>
      </c>
      <c r="C515" t="s">
        <v>689</v>
      </c>
      <c r="D515" t="s">
        <v>101</v>
      </c>
      <c r="E515" t="s">
        <v>465</v>
      </c>
      <c r="G515" t="s">
        <v>481</v>
      </c>
      <c r="H515" t="s">
        <v>125</v>
      </c>
      <c r="I515">
        <v>2016</v>
      </c>
      <c r="J515" t="s">
        <v>482</v>
      </c>
      <c r="K515" t="s">
        <v>127</v>
      </c>
      <c r="L515" t="s">
        <v>838</v>
      </c>
      <c r="M515" t="s">
        <v>843</v>
      </c>
      <c r="N515">
        <v>1</v>
      </c>
      <c r="O515">
        <v>2020</v>
      </c>
      <c r="P515">
        <v>1371.7789590310849</v>
      </c>
      <c r="Q515">
        <v>1.2636727213417449</v>
      </c>
      <c r="R515" t="s">
        <v>391</v>
      </c>
      <c r="S515">
        <v>1085.5492374438179</v>
      </c>
      <c r="T515">
        <v>0.12</v>
      </c>
      <c r="U515" t="s">
        <v>470</v>
      </c>
      <c r="V515">
        <v>1</v>
      </c>
      <c r="W515">
        <v>6</v>
      </c>
      <c r="X515">
        <v>17</v>
      </c>
      <c r="Y515">
        <v>12</v>
      </c>
      <c r="Z515">
        <v>0.02</v>
      </c>
      <c r="AA515">
        <v>1</v>
      </c>
    </row>
    <row r="516" spans="1:27" x14ac:dyDescent="0.25">
      <c r="A516" t="s">
        <v>98</v>
      </c>
      <c r="B516" t="s">
        <v>99</v>
      </c>
      <c r="C516" t="s">
        <v>689</v>
      </c>
      <c r="D516" t="s">
        <v>101</v>
      </c>
      <c r="E516" t="s">
        <v>465</v>
      </c>
      <c r="G516" t="s">
        <v>484</v>
      </c>
      <c r="H516" t="s">
        <v>125</v>
      </c>
      <c r="I516">
        <v>2016</v>
      </c>
      <c r="J516" t="s">
        <v>485</v>
      </c>
      <c r="K516" t="s">
        <v>127</v>
      </c>
      <c r="L516" t="s">
        <v>838</v>
      </c>
      <c r="M516" t="s">
        <v>844</v>
      </c>
      <c r="N516">
        <v>1</v>
      </c>
      <c r="O516">
        <v>2020</v>
      </c>
      <c r="P516">
        <v>1158.3911209595831</v>
      </c>
      <c r="Q516">
        <v>1.2636727213417449</v>
      </c>
      <c r="R516" t="s">
        <v>391</v>
      </c>
      <c r="S516">
        <v>916.68602273033503</v>
      </c>
      <c r="T516">
        <v>0.15</v>
      </c>
      <c r="U516" t="s">
        <v>470</v>
      </c>
      <c r="V516">
        <v>1.25</v>
      </c>
      <c r="W516">
        <v>6</v>
      </c>
      <c r="X516">
        <v>17</v>
      </c>
      <c r="Y516">
        <v>12</v>
      </c>
      <c r="Z516">
        <v>0.02</v>
      </c>
      <c r="AA516">
        <v>1</v>
      </c>
    </row>
    <row r="517" spans="1:27" x14ac:dyDescent="0.25">
      <c r="A517" t="s">
        <v>98</v>
      </c>
      <c r="B517" t="s">
        <v>99</v>
      </c>
      <c r="C517" t="s">
        <v>689</v>
      </c>
      <c r="D517" t="s">
        <v>101</v>
      </c>
      <c r="E517" t="s">
        <v>465</v>
      </c>
      <c r="G517" t="s">
        <v>487</v>
      </c>
      <c r="H517" t="s">
        <v>125</v>
      </c>
      <c r="I517">
        <v>2016</v>
      </c>
      <c r="J517" t="s">
        <v>488</v>
      </c>
      <c r="K517" t="s">
        <v>127</v>
      </c>
      <c r="L517" t="s">
        <v>838</v>
      </c>
      <c r="M517" t="s">
        <v>845</v>
      </c>
      <c r="N517">
        <v>1</v>
      </c>
      <c r="O517">
        <v>2020</v>
      </c>
      <c r="P517">
        <v>1219.359074694298</v>
      </c>
      <c r="Q517">
        <v>1.2636727213417449</v>
      </c>
      <c r="R517" t="s">
        <v>391</v>
      </c>
      <c r="S517">
        <v>964.9326555056158</v>
      </c>
      <c r="T517">
        <v>0.21</v>
      </c>
      <c r="U517" t="s">
        <v>470</v>
      </c>
      <c r="V517">
        <v>1.75</v>
      </c>
      <c r="W517">
        <v>6</v>
      </c>
      <c r="X517">
        <v>17</v>
      </c>
      <c r="Y517">
        <v>12</v>
      </c>
      <c r="Z517">
        <v>0.02</v>
      </c>
      <c r="AA517">
        <v>1</v>
      </c>
    </row>
    <row r="518" spans="1:27" x14ac:dyDescent="0.25">
      <c r="A518" t="s">
        <v>98</v>
      </c>
      <c r="B518" t="s">
        <v>99</v>
      </c>
      <c r="C518" t="s">
        <v>689</v>
      </c>
      <c r="D518" t="s">
        <v>101</v>
      </c>
      <c r="E518" t="s">
        <v>465</v>
      </c>
      <c r="G518" t="s">
        <v>487</v>
      </c>
      <c r="H518" t="s">
        <v>125</v>
      </c>
      <c r="I518">
        <v>2030</v>
      </c>
      <c r="J518" t="s">
        <v>490</v>
      </c>
      <c r="K518" t="s">
        <v>127</v>
      </c>
      <c r="L518" t="s">
        <v>838</v>
      </c>
      <c r="M518" t="s">
        <v>846</v>
      </c>
      <c r="N518">
        <v>1</v>
      </c>
      <c r="O518">
        <v>2030</v>
      </c>
      <c r="P518">
        <v>1280.3270284290129</v>
      </c>
      <c r="Q518">
        <v>1.2636727213417449</v>
      </c>
      <c r="R518" t="s">
        <v>391</v>
      </c>
      <c r="S518">
        <v>1013.179288280897</v>
      </c>
      <c r="T518">
        <v>0.17</v>
      </c>
      <c r="U518" t="s">
        <v>470</v>
      </c>
      <c r="V518">
        <v>1.416666666666667</v>
      </c>
      <c r="W518">
        <v>6</v>
      </c>
      <c r="X518">
        <v>17</v>
      </c>
      <c r="Y518">
        <v>12</v>
      </c>
      <c r="Z518">
        <v>0.02</v>
      </c>
      <c r="AA518">
        <v>1</v>
      </c>
    </row>
    <row r="519" spans="1:27" x14ac:dyDescent="0.25">
      <c r="A519" t="s">
        <v>98</v>
      </c>
      <c r="B519" t="s">
        <v>99</v>
      </c>
      <c r="C519" t="s">
        <v>689</v>
      </c>
      <c r="D519" t="s">
        <v>101</v>
      </c>
      <c r="E519" t="s">
        <v>465</v>
      </c>
      <c r="G519" t="s">
        <v>492</v>
      </c>
      <c r="H519" t="s">
        <v>125</v>
      </c>
      <c r="I519">
        <v>2016</v>
      </c>
      <c r="J519" t="s">
        <v>493</v>
      </c>
      <c r="K519" t="s">
        <v>127</v>
      </c>
      <c r="L519" t="s">
        <v>838</v>
      </c>
      <c r="M519" t="s">
        <v>847</v>
      </c>
      <c r="N519">
        <v>1</v>
      </c>
      <c r="O519">
        <v>2020</v>
      </c>
      <c r="P519">
        <v>1158.3911209595831</v>
      </c>
      <c r="Q519">
        <v>1.2636727213417449</v>
      </c>
      <c r="R519" t="s">
        <v>391</v>
      </c>
      <c r="S519">
        <v>916.68602273033503</v>
      </c>
      <c r="T519">
        <v>0.28999999999999998</v>
      </c>
      <c r="U519" t="s">
        <v>470</v>
      </c>
      <c r="V519">
        <v>2.416666666666667</v>
      </c>
      <c r="W519">
        <v>6</v>
      </c>
      <c r="X519">
        <v>17</v>
      </c>
      <c r="Y519">
        <v>12</v>
      </c>
      <c r="Z519">
        <v>0.02</v>
      </c>
      <c r="AA519">
        <v>1</v>
      </c>
    </row>
    <row r="520" spans="1:27" x14ac:dyDescent="0.25">
      <c r="A520" t="s">
        <v>98</v>
      </c>
      <c r="B520" t="s">
        <v>99</v>
      </c>
      <c r="C520" t="s">
        <v>689</v>
      </c>
      <c r="D520" t="s">
        <v>101</v>
      </c>
      <c r="E520" t="s">
        <v>465</v>
      </c>
      <c r="G520" t="s">
        <v>466</v>
      </c>
      <c r="H520" t="s">
        <v>125</v>
      </c>
      <c r="I520">
        <v>2016</v>
      </c>
      <c r="J520" t="s">
        <v>495</v>
      </c>
      <c r="K520" t="s">
        <v>127</v>
      </c>
      <c r="L520" t="s">
        <v>838</v>
      </c>
      <c r="M520" t="s">
        <v>848</v>
      </c>
      <c r="N520">
        <v>0</v>
      </c>
      <c r="O520">
        <v>2020</v>
      </c>
      <c r="P520">
        <v>1280.3270284290129</v>
      </c>
      <c r="Q520">
        <v>1.2636727213417449</v>
      </c>
      <c r="R520" t="s">
        <v>391</v>
      </c>
      <c r="S520">
        <v>1013.179288280897</v>
      </c>
      <c r="T520">
        <v>0.17</v>
      </c>
      <c r="U520" t="s">
        <v>470</v>
      </c>
      <c r="V520">
        <v>1.416666666666667</v>
      </c>
      <c r="W520">
        <v>6</v>
      </c>
      <c r="X520">
        <v>17</v>
      </c>
      <c r="Y520">
        <v>12</v>
      </c>
      <c r="Z520">
        <v>0.02</v>
      </c>
      <c r="AA520">
        <v>1</v>
      </c>
    </row>
    <row r="521" spans="1:27" x14ac:dyDescent="0.25">
      <c r="A521" t="s">
        <v>98</v>
      </c>
      <c r="B521" t="s">
        <v>99</v>
      </c>
      <c r="C521" t="s">
        <v>689</v>
      </c>
      <c r="D521" t="s">
        <v>101</v>
      </c>
      <c r="E521" t="s">
        <v>465</v>
      </c>
      <c r="G521" t="s">
        <v>466</v>
      </c>
      <c r="H521" t="s">
        <v>125</v>
      </c>
      <c r="I521">
        <v>2020</v>
      </c>
      <c r="J521" t="s">
        <v>497</v>
      </c>
      <c r="K521" t="s">
        <v>127</v>
      </c>
      <c r="L521" t="s">
        <v>838</v>
      </c>
      <c r="M521" t="s">
        <v>848</v>
      </c>
      <c r="N521">
        <v>1</v>
      </c>
      <c r="O521">
        <v>2020</v>
      </c>
      <c r="P521">
        <v>1646.1347508373019</v>
      </c>
      <c r="Q521">
        <v>1.2636727213417449</v>
      </c>
      <c r="R521" t="s">
        <v>391</v>
      </c>
      <c r="S521">
        <v>1302.659084932581</v>
      </c>
      <c r="T521">
        <v>0.28000000000000003</v>
      </c>
      <c r="U521" t="s">
        <v>470</v>
      </c>
      <c r="V521">
        <v>2.333333333333333</v>
      </c>
      <c r="W521">
        <v>6</v>
      </c>
      <c r="X521">
        <v>17</v>
      </c>
      <c r="Y521">
        <v>12</v>
      </c>
      <c r="Z521">
        <v>0.02</v>
      </c>
      <c r="AA521">
        <v>1</v>
      </c>
    </row>
    <row r="522" spans="1:27" x14ac:dyDescent="0.25">
      <c r="A522" t="s">
        <v>98</v>
      </c>
      <c r="B522" t="s">
        <v>99</v>
      </c>
      <c r="C522" t="s">
        <v>689</v>
      </c>
      <c r="D522" t="s">
        <v>101</v>
      </c>
      <c r="E522" t="s">
        <v>498</v>
      </c>
      <c r="G522" t="s">
        <v>103</v>
      </c>
      <c r="H522" t="s">
        <v>104</v>
      </c>
      <c r="I522">
        <v>2016</v>
      </c>
      <c r="J522" t="s">
        <v>499</v>
      </c>
      <c r="K522" t="s">
        <v>106</v>
      </c>
      <c r="L522" t="s">
        <v>849</v>
      </c>
      <c r="M522" t="s">
        <v>850</v>
      </c>
      <c r="N522">
        <v>1</v>
      </c>
      <c r="O522">
        <v>2020</v>
      </c>
      <c r="P522">
        <v>792.58339855129361</v>
      </c>
      <c r="Q522">
        <v>12.617040935387189</v>
      </c>
      <c r="R522" t="s">
        <v>391</v>
      </c>
      <c r="S522">
        <v>62.818485143241787</v>
      </c>
      <c r="T522">
        <v>3.3</v>
      </c>
      <c r="U522" t="s">
        <v>502</v>
      </c>
      <c r="V522">
        <v>1</v>
      </c>
      <c r="W522">
        <v>8</v>
      </c>
      <c r="X522">
        <v>18</v>
      </c>
      <c r="Y522">
        <v>14</v>
      </c>
      <c r="Z522">
        <v>0.02</v>
      </c>
      <c r="AA522">
        <v>1</v>
      </c>
    </row>
    <row r="523" spans="1:27" x14ac:dyDescent="0.25">
      <c r="A523" t="s">
        <v>98</v>
      </c>
      <c r="B523" t="s">
        <v>99</v>
      </c>
      <c r="C523" t="s">
        <v>689</v>
      </c>
      <c r="D523" t="s">
        <v>101</v>
      </c>
      <c r="E523" t="s">
        <v>498</v>
      </c>
      <c r="G523" t="s">
        <v>111</v>
      </c>
      <c r="H523" t="s">
        <v>104</v>
      </c>
      <c r="I523">
        <v>2016</v>
      </c>
      <c r="J523" t="s">
        <v>503</v>
      </c>
      <c r="K523" t="s">
        <v>106</v>
      </c>
      <c r="L523" t="s">
        <v>849</v>
      </c>
      <c r="M523" t="s">
        <v>851</v>
      </c>
      <c r="N523">
        <v>1</v>
      </c>
      <c r="O523">
        <v>2020</v>
      </c>
      <c r="P523">
        <v>804.77698929823669</v>
      </c>
      <c r="Q523">
        <v>12.617040935387189</v>
      </c>
      <c r="R523" t="s">
        <v>391</v>
      </c>
      <c r="S523">
        <v>63.784923376214742</v>
      </c>
      <c r="T523">
        <v>3.32</v>
      </c>
      <c r="U523" t="s">
        <v>502</v>
      </c>
      <c r="V523">
        <v>1.0060606060606061</v>
      </c>
      <c r="W523">
        <v>8</v>
      </c>
      <c r="X523">
        <v>18</v>
      </c>
      <c r="Y523">
        <v>14</v>
      </c>
      <c r="Z523">
        <v>0.02</v>
      </c>
      <c r="AA523">
        <v>1</v>
      </c>
    </row>
    <row r="524" spans="1:27" x14ac:dyDescent="0.25">
      <c r="A524" t="s">
        <v>98</v>
      </c>
      <c r="B524" t="s">
        <v>99</v>
      </c>
      <c r="C524" t="s">
        <v>689</v>
      </c>
      <c r="D524" t="s">
        <v>101</v>
      </c>
      <c r="E524" t="s">
        <v>498</v>
      </c>
      <c r="G524" t="s">
        <v>114</v>
      </c>
      <c r="H524" t="s">
        <v>104</v>
      </c>
      <c r="I524">
        <v>2016</v>
      </c>
      <c r="J524" t="s">
        <v>505</v>
      </c>
      <c r="K524" t="s">
        <v>106</v>
      </c>
      <c r="L524" t="s">
        <v>849</v>
      </c>
      <c r="M524" t="s">
        <v>852</v>
      </c>
      <c r="N524">
        <v>1</v>
      </c>
      <c r="O524">
        <v>2020</v>
      </c>
      <c r="P524">
        <v>843.56142251742892</v>
      </c>
      <c r="Q524">
        <v>12.617040935387189</v>
      </c>
      <c r="R524" t="s">
        <v>391</v>
      </c>
      <c r="S524">
        <v>66.858895587116663</v>
      </c>
      <c r="T524">
        <v>3.48</v>
      </c>
      <c r="U524" t="s">
        <v>502</v>
      </c>
      <c r="V524">
        <v>1.0545454545454549</v>
      </c>
      <c r="W524">
        <v>8</v>
      </c>
      <c r="X524">
        <v>18</v>
      </c>
      <c r="Y524">
        <v>14</v>
      </c>
      <c r="Z524">
        <v>0.02</v>
      </c>
      <c r="AA524">
        <v>1</v>
      </c>
    </row>
    <row r="525" spans="1:27" x14ac:dyDescent="0.25">
      <c r="A525" t="s">
        <v>98</v>
      </c>
      <c r="B525" t="s">
        <v>99</v>
      </c>
      <c r="C525" t="s">
        <v>689</v>
      </c>
      <c r="D525" t="s">
        <v>101</v>
      </c>
      <c r="E525" t="s">
        <v>498</v>
      </c>
      <c r="G525" t="s">
        <v>119</v>
      </c>
      <c r="H525" t="s">
        <v>104</v>
      </c>
      <c r="I525">
        <v>2016</v>
      </c>
      <c r="J525" t="s">
        <v>507</v>
      </c>
      <c r="K525" t="s">
        <v>106</v>
      </c>
      <c r="L525" t="s">
        <v>849</v>
      </c>
      <c r="M525" t="s">
        <v>853</v>
      </c>
      <c r="N525">
        <v>1</v>
      </c>
      <c r="O525">
        <v>2020</v>
      </c>
      <c r="P525">
        <v>938.90648751460947</v>
      </c>
      <c r="Q525">
        <v>12.617040935387189</v>
      </c>
      <c r="R525" t="s">
        <v>391</v>
      </c>
      <c r="S525">
        <v>74.415743938917203</v>
      </c>
      <c r="T525">
        <v>3.49</v>
      </c>
      <c r="U525" t="s">
        <v>502</v>
      </c>
      <c r="V525">
        <v>1.0575757575757581</v>
      </c>
      <c r="W525">
        <v>8</v>
      </c>
      <c r="X525">
        <v>18</v>
      </c>
      <c r="Y525">
        <v>14</v>
      </c>
      <c r="Z525">
        <v>0.02</v>
      </c>
      <c r="AA525">
        <v>1</v>
      </c>
    </row>
    <row r="526" spans="1:27" x14ac:dyDescent="0.25">
      <c r="A526" t="s">
        <v>98</v>
      </c>
      <c r="B526" t="s">
        <v>99</v>
      </c>
      <c r="C526" t="s">
        <v>689</v>
      </c>
      <c r="D526" t="s">
        <v>101</v>
      </c>
      <c r="E526" t="s">
        <v>498</v>
      </c>
      <c r="G526" t="s">
        <v>119</v>
      </c>
      <c r="H526" t="s">
        <v>104</v>
      </c>
      <c r="I526">
        <v>2030</v>
      </c>
      <c r="J526" t="s">
        <v>509</v>
      </c>
      <c r="K526" t="s">
        <v>106</v>
      </c>
      <c r="L526" t="s">
        <v>849</v>
      </c>
      <c r="M526" t="s">
        <v>854</v>
      </c>
      <c r="N526">
        <v>1</v>
      </c>
      <c r="O526">
        <v>2030</v>
      </c>
      <c r="P526">
        <v>987.6808505023813</v>
      </c>
      <c r="Q526">
        <v>12.617040935387189</v>
      </c>
      <c r="R526" t="s">
        <v>391</v>
      </c>
      <c r="S526">
        <v>78.281496870808994</v>
      </c>
      <c r="T526">
        <v>3.61</v>
      </c>
      <c r="U526" t="s">
        <v>502</v>
      </c>
      <c r="V526">
        <v>1.093939393939394</v>
      </c>
      <c r="W526">
        <v>8</v>
      </c>
      <c r="X526">
        <v>18</v>
      </c>
      <c r="Y526">
        <v>14</v>
      </c>
      <c r="Z526">
        <v>0.02</v>
      </c>
      <c r="AA526">
        <v>1</v>
      </c>
    </row>
    <row r="527" spans="1:27" x14ac:dyDescent="0.25">
      <c r="A527" t="s">
        <v>98</v>
      </c>
      <c r="B527" t="s">
        <v>99</v>
      </c>
      <c r="C527" t="s">
        <v>689</v>
      </c>
      <c r="D527" t="s">
        <v>101</v>
      </c>
      <c r="E527" t="s">
        <v>498</v>
      </c>
      <c r="G527" t="s">
        <v>103</v>
      </c>
      <c r="H527" t="s">
        <v>125</v>
      </c>
      <c r="I527">
        <v>2016</v>
      </c>
      <c r="J527" t="s">
        <v>511</v>
      </c>
      <c r="K527" t="s">
        <v>127</v>
      </c>
      <c r="L527" t="s">
        <v>849</v>
      </c>
      <c r="M527" t="s">
        <v>855</v>
      </c>
      <c r="N527">
        <v>1</v>
      </c>
      <c r="O527">
        <v>2020</v>
      </c>
      <c r="P527">
        <v>646.26030958797787</v>
      </c>
      <c r="Q527">
        <v>12.617040935387189</v>
      </c>
      <c r="R527" t="s">
        <v>391</v>
      </c>
      <c r="S527">
        <v>51.221226347566379</v>
      </c>
      <c r="T527">
        <v>3.73</v>
      </c>
      <c r="U527" t="s">
        <v>502</v>
      </c>
      <c r="V527">
        <v>1.1303030303030299</v>
      </c>
      <c r="W527">
        <v>8</v>
      </c>
      <c r="X527">
        <v>18</v>
      </c>
      <c r="Y527">
        <v>14</v>
      </c>
      <c r="Z527">
        <v>0.02</v>
      </c>
      <c r="AA527">
        <v>1</v>
      </c>
    </row>
    <row r="528" spans="1:27" x14ac:dyDescent="0.25">
      <c r="A528" t="s">
        <v>98</v>
      </c>
      <c r="B528" t="s">
        <v>99</v>
      </c>
      <c r="C528" t="s">
        <v>689</v>
      </c>
      <c r="D528" t="s">
        <v>101</v>
      </c>
      <c r="E528" t="s">
        <v>498</v>
      </c>
      <c r="G528" t="s">
        <v>111</v>
      </c>
      <c r="H528" t="s">
        <v>125</v>
      </c>
      <c r="I528">
        <v>2016</v>
      </c>
      <c r="J528" t="s">
        <v>513</v>
      </c>
      <c r="K528" t="s">
        <v>127</v>
      </c>
      <c r="L528" t="s">
        <v>849</v>
      </c>
      <c r="M528" t="s">
        <v>856</v>
      </c>
      <c r="N528">
        <v>1</v>
      </c>
      <c r="O528">
        <v>2020</v>
      </c>
      <c r="P528">
        <v>658.45390033492083</v>
      </c>
      <c r="Q528">
        <v>12.617040935387189</v>
      </c>
      <c r="R528" t="s">
        <v>391</v>
      </c>
      <c r="S528">
        <v>52.187664580539327</v>
      </c>
      <c r="T528">
        <v>3.74</v>
      </c>
      <c r="U528" t="s">
        <v>502</v>
      </c>
      <c r="V528">
        <v>1.133333333333334</v>
      </c>
      <c r="W528">
        <v>8</v>
      </c>
      <c r="X528">
        <v>18</v>
      </c>
      <c r="Y528">
        <v>14</v>
      </c>
      <c r="Z528">
        <v>0.02</v>
      </c>
      <c r="AA528">
        <v>1</v>
      </c>
    </row>
    <row r="529" spans="1:27" x14ac:dyDescent="0.25">
      <c r="A529" t="s">
        <v>98</v>
      </c>
      <c r="B529" t="s">
        <v>99</v>
      </c>
      <c r="C529" t="s">
        <v>689</v>
      </c>
      <c r="D529" t="s">
        <v>101</v>
      </c>
      <c r="E529" t="s">
        <v>498</v>
      </c>
      <c r="G529" t="s">
        <v>114</v>
      </c>
      <c r="H529" t="s">
        <v>125</v>
      </c>
      <c r="I529">
        <v>2016</v>
      </c>
      <c r="J529" t="s">
        <v>515</v>
      </c>
      <c r="K529" t="s">
        <v>127</v>
      </c>
      <c r="L529" t="s">
        <v>849</v>
      </c>
      <c r="M529" t="s">
        <v>857</v>
      </c>
      <c r="N529">
        <v>1</v>
      </c>
      <c r="O529">
        <v>2020</v>
      </c>
      <c r="P529">
        <v>691.90476692947561</v>
      </c>
      <c r="Q529">
        <v>12.617040935387189</v>
      </c>
      <c r="R529" t="s">
        <v>391</v>
      </c>
      <c r="S529">
        <v>54.838909572598823</v>
      </c>
      <c r="T529">
        <v>3.93</v>
      </c>
      <c r="U529" t="s">
        <v>502</v>
      </c>
      <c r="V529">
        <v>1.1909090909090909</v>
      </c>
      <c r="W529">
        <v>8</v>
      </c>
      <c r="X529">
        <v>18</v>
      </c>
      <c r="Y529">
        <v>14</v>
      </c>
      <c r="Z529">
        <v>0.02</v>
      </c>
      <c r="AA529">
        <v>1</v>
      </c>
    </row>
    <row r="530" spans="1:27" x14ac:dyDescent="0.25">
      <c r="A530" t="s">
        <v>98</v>
      </c>
      <c r="B530" t="s">
        <v>99</v>
      </c>
      <c r="C530" t="s">
        <v>689</v>
      </c>
      <c r="D530" t="s">
        <v>101</v>
      </c>
      <c r="E530" t="s">
        <v>498</v>
      </c>
      <c r="G530" t="s">
        <v>119</v>
      </c>
      <c r="H530" t="s">
        <v>125</v>
      </c>
      <c r="I530">
        <v>2016</v>
      </c>
      <c r="J530" t="s">
        <v>517</v>
      </c>
      <c r="K530" t="s">
        <v>127</v>
      </c>
      <c r="L530" t="s">
        <v>849</v>
      </c>
      <c r="M530" t="s">
        <v>858</v>
      </c>
      <c r="N530">
        <v>1</v>
      </c>
      <c r="O530">
        <v>2020</v>
      </c>
      <c r="P530">
        <v>938.90648751460947</v>
      </c>
      <c r="Q530">
        <v>12.617040935387189</v>
      </c>
      <c r="R530" t="s">
        <v>391</v>
      </c>
      <c r="S530">
        <v>74.415743938917203</v>
      </c>
      <c r="T530">
        <v>4.5</v>
      </c>
      <c r="U530" t="s">
        <v>502</v>
      </c>
      <c r="V530">
        <v>1.363636363636364</v>
      </c>
      <c r="W530">
        <v>8</v>
      </c>
      <c r="X530">
        <v>18</v>
      </c>
      <c r="Y530">
        <v>14</v>
      </c>
      <c r="Z530">
        <v>0.02</v>
      </c>
      <c r="AA530">
        <v>1</v>
      </c>
    </row>
    <row r="531" spans="1:27" x14ac:dyDescent="0.25">
      <c r="A531" t="s">
        <v>98</v>
      </c>
      <c r="B531" t="s">
        <v>519</v>
      </c>
      <c r="C531" t="s">
        <v>689</v>
      </c>
      <c r="D531" t="s">
        <v>101</v>
      </c>
      <c r="E531" t="s">
        <v>102</v>
      </c>
      <c r="G531" t="s">
        <v>103</v>
      </c>
      <c r="H531" t="s">
        <v>104</v>
      </c>
      <c r="I531">
        <v>2016</v>
      </c>
      <c r="J531" t="s">
        <v>105</v>
      </c>
      <c r="K531" t="s">
        <v>106</v>
      </c>
      <c r="L531" t="s">
        <v>859</v>
      </c>
      <c r="M531" t="s">
        <v>860</v>
      </c>
      <c r="N531">
        <v>1</v>
      </c>
      <c r="O531">
        <v>2020</v>
      </c>
      <c r="P531">
        <v>2225.3303113170941</v>
      </c>
      <c r="Q531">
        <v>1.8663618897004079</v>
      </c>
      <c r="R531" t="s">
        <v>109</v>
      </c>
      <c r="S531">
        <v>1192.3359149142871</v>
      </c>
      <c r="T531">
        <v>0.61014999999999997</v>
      </c>
      <c r="U531" t="s">
        <v>110</v>
      </c>
      <c r="V531">
        <v>0.61014999999999997</v>
      </c>
      <c r="W531">
        <v>6</v>
      </c>
      <c r="X531">
        <v>20</v>
      </c>
      <c r="Y531">
        <v>14</v>
      </c>
      <c r="Z531">
        <v>0.24</v>
      </c>
      <c r="AA531">
        <v>31.536000000000001</v>
      </c>
    </row>
    <row r="532" spans="1:27" x14ac:dyDescent="0.25">
      <c r="A532" t="s">
        <v>98</v>
      </c>
      <c r="B532" t="s">
        <v>519</v>
      </c>
      <c r="C532" t="s">
        <v>689</v>
      </c>
      <c r="D532" t="s">
        <v>101</v>
      </c>
      <c r="E532" t="s">
        <v>102</v>
      </c>
      <c r="G532" t="s">
        <v>111</v>
      </c>
      <c r="H532" t="s">
        <v>104</v>
      </c>
      <c r="I532">
        <v>2016</v>
      </c>
      <c r="J532" t="s">
        <v>112</v>
      </c>
      <c r="K532" t="s">
        <v>106</v>
      </c>
      <c r="L532" t="s">
        <v>859</v>
      </c>
      <c r="M532" t="s">
        <v>861</v>
      </c>
      <c r="N532">
        <v>1</v>
      </c>
      <c r="O532">
        <v>2020</v>
      </c>
      <c r="P532">
        <v>2347.266218786523</v>
      </c>
      <c r="Q532">
        <v>1.8663618897004079</v>
      </c>
      <c r="R532" t="s">
        <v>109</v>
      </c>
      <c r="S532">
        <v>1257.6693897041109</v>
      </c>
      <c r="T532">
        <v>0.63</v>
      </c>
      <c r="U532" t="s">
        <v>110</v>
      </c>
      <c r="V532">
        <v>0.63</v>
      </c>
      <c r="W532">
        <v>6</v>
      </c>
      <c r="X532">
        <v>20</v>
      </c>
      <c r="Y532">
        <v>14</v>
      </c>
      <c r="Z532">
        <v>0.24</v>
      </c>
      <c r="AA532">
        <v>31.536000000000001</v>
      </c>
    </row>
    <row r="533" spans="1:27" x14ac:dyDescent="0.25">
      <c r="A533" t="s">
        <v>98</v>
      </c>
      <c r="B533" t="s">
        <v>519</v>
      </c>
      <c r="C533" t="s">
        <v>689</v>
      </c>
      <c r="D533" t="s">
        <v>101</v>
      </c>
      <c r="E533" t="s">
        <v>102</v>
      </c>
      <c r="G533" t="s">
        <v>114</v>
      </c>
      <c r="H533" t="s">
        <v>104</v>
      </c>
      <c r="I533">
        <v>2016</v>
      </c>
      <c r="J533" t="s">
        <v>115</v>
      </c>
      <c r="K533" t="s">
        <v>106</v>
      </c>
      <c r="L533" t="s">
        <v>859</v>
      </c>
      <c r="M533" t="s">
        <v>862</v>
      </c>
      <c r="N533">
        <v>1</v>
      </c>
      <c r="O533">
        <v>2020</v>
      </c>
      <c r="P533">
        <v>2469.2021262559529</v>
      </c>
      <c r="Q533">
        <v>1.8663618897004079</v>
      </c>
      <c r="R533" t="s">
        <v>109</v>
      </c>
      <c r="S533">
        <v>1323.002864493935</v>
      </c>
      <c r="T533">
        <v>0.66</v>
      </c>
      <c r="U533" t="s">
        <v>110</v>
      </c>
      <c r="V533">
        <v>0.66</v>
      </c>
      <c r="W533">
        <v>6</v>
      </c>
      <c r="X533">
        <v>20</v>
      </c>
      <c r="Y533">
        <v>14</v>
      </c>
      <c r="Z533">
        <v>0.24</v>
      </c>
      <c r="AA533">
        <v>31.536000000000001</v>
      </c>
    </row>
    <row r="534" spans="1:27" x14ac:dyDescent="0.25">
      <c r="A534" t="s">
        <v>98</v>
      </c>
      <c r="B534" t="s">
        <v>519</v>
      </c>
      <c r="C534" t="s">
        <v>689</v>
      </c>
      <c r="D534" t="s">
        <v>101</v>
      </c>
      <c r="E534" t="s">
        <v>102</v>
      </c>
      <c r="G534" t="s">
        <v>114</v>
      </c>
      <c r="H534" t="s">
        <v>104</v>
      </c>
      <c r="I534">
        <v>2023</v>
      </c>
      <c r="J534" t="s">
        <v>117</v>
      </c>
      <c r="K534" t="s">
        <v>106</v>
      </c>
      <c r="L534" t="s">
        <v>859</v>
      </c>
      <c r="M534" t="s">
        <v>863</v>
      </c>
      <c r="N534">
        <v>1</v>
      </c>
      <c r="O534">
        <v>2023</v>
      </c>
      <c r="P534">
        <v>3865.2553631628971</v>
      </c>
      <c r="Q534">
        <v>1.8663618897004079</v>
      </c>
      <c r="R534" t="s">
        <v>109</v>
      </c>
      <c r="S534">
        <v>2071.0106568792812</v>
      </c>
      <c r="T534">
        <v>0.83499999999999996</v>
      </c>
      <c r="U534" t="s">
        <v>110</v>
      </c>
      <c r="V534">
        <v>0.83499999999999996</v>
      </c>
      <c r="W534">
        <v>6</v>
      </c>
      <c r="X534">
        <v>20</v>
      </c>
      <c r="Y534">
        <v>14</v>
      </c>
      <c r="Z534">
        <v>0.24</v>
      </c>
      <c r="AA534">
        <v>31.536000000000001</v>
      </c>
    </row>
    <row r="535" spans="1:27" x14ac:dyDescent="0.25">
      <c r="A535" t="s">
        <v>98</v>
      </c>
      <c r="B535" t="s">
        <v>519</v>
      </c>
      <c r="C535" t="s">
        <v>689</v>
      </c>
      <c r="D535" t="s">
        <v>101</v>
      </c>
      <c r="E535" t="s">
        <v>102</v>
      </c>
      <c r="G535" t="s">
        <v>119</v>
      </c>
      <c r="H535" t="s">
        <v>104</v>
      </c>
      <c r="I535">
        <v>2016</v>
      </c>
      <c r="J535" t="s">
        <v>120</v>
      </c>
      <c r="K535" t="s">
        <v>106</v>
      </c>
      <c r="L535" t="s">
        <v>859</v>
      </c>
      <c r="M535" t="s">
        <v>864</v>
      </c>
      <c r="N535">
        <v>0</v>
      </c>
      <c r="O535">
        <v>2020</v>
      </c>
      <c r="P535">
        <v>3749.5291546849662</v>
      </c>
      <c r="Q535">
        <v>1.8663618897004079</v>
      </c>
      <c r="R535" t="s">
        <v>109</v>
      </c>
      <c r="S535">
        <v>2009.004349787087</v>
      </c>
      <c r="T535">
        <v>0.81</v>
      </c>
      <c r="U535" t="s">
        <v>110</v>
      </c>
      <c r="V535">
        <v>0.81</v>
      </c>
      <c r="W535">
        <v>6</v>
      </c>
      <c r="X535">
        <v>20</v>
      </c>
      <c r="Y535">
        <v>14</v>
      </c>
      <c r="Z535">
        <v>0.24</v>
      </c>
      <c r="AA535">
        <v>31.536000000000001</v>
      </c>
    </row>
    <row r="536" spans="1:27" x14ac:dyDescent="0.25">
      <c r="A536" t="s">
        <v>98</v>
      </c>
      <c r="B536" t="s">
        <v>519</v>
      </c>
      <c r="C536" t="s">
        <v>689</v>
      </c>
      <c r="D536" t="s">
        <v>101</v>
      </c>
      <c r="E536" t="s">
        <v>102</v>
      </c>
      <c r="G536" t="s">
        <v>119</v>
      </c>
      <c r="H536" t="s">
        <v>104</v>
      </c>
      <c r="I536">
        <v>2018</v>
      </c>
      <c r="J536" t="s">
        <v>122</v>
      </c>
      <c r="K536" t="s">
        <v>106</v>
      </c>
      <c r="L536" t="s">
        <v>859</v>
      </c>
      <c r="M536" t="s">
        <v>864</v>
      </c>
      <c r="N536">
        <v>1</v>
      </c>
      <c r="O536">
        <v>2020</v>
      </c>
      <c r="P536">
        <v>3749.5291546849662</v>
      </c>
      <c r="Q536">
        <v>1.8663618897004079</v>
      </c>
      <c r="R536" t="s">
        <v>109</v>
      </c>
      <c r="S536">
        <v>2009.004349787087</v>
      </c>
      <c r="T536">
        <v>0.81</v>
      </c>
      <c r="U536" t="s">
        <v>110</v>
      </c>
      <c r="V536">
        <v>0.81</v>
      </c>
      <c r="W536">
        <v>6</v>
      </c>
      <c r="X536">
        <v>20</v>
      </c>
      <c r="Y536">
        <v>14</v>
      </c>
      <c r="Z536">
        <v>0.24</v>
      </c>
      <c r="AA536">
        <v>31.536000000000001</v>
      </c>
    </row>
    <row r="537" spans="1:27" x14ac:dyDescent="0.25">
      <c r="A537" t="s">
        <v>98</v>
      </c>
      <c r="B537" t="s">
        <v>519</v>
      </c>
      <c r="C537" t="s">
        <v>689</v>
      </c>
      <c r="D537" t="s">
        <v>101</v>
      </c>
      <c r="E537" t="s">
        <v>102</v>
      </c>
      <c r="G537" t="s">
        <v>119</v>
      </c>
      <c r="H537" t="s">
        <v>104</v>
      </c>
      <c r="I537">
        <v>2022</v>
      </c>
      <c r="J537" t="s">
        <v>123</v>
      </c>
      <c r="K537" t="s">
        <v>106</v>
      </c>
      <c r="L537" t="s">
        <v>859</v>
      </c>
      <c r="M537" t="s">
        <v>865</v>
      </c>
      <c r="N537">
        <v>1</v>
      </c>
      <c r="O537">
        <v>2022</v>
      </c>
      <c r="P537">
        <v>3749.5291546849662</v>
      </c>
      <c r="Q537">
        <v>1.8663618897004079</v>
      </c>
      <c r="R537" t="s">
        <v>109</v>
      </c>
      <c r="S537">
        <v>2009.004349787087</v>
      </c>
      <c r="T537">
        <v>0.81</v>
      </c>
      <c r="U537" t="s">
        <v>110</v>
      </c>
      <c r="V537">
        <v>0.81</v>
      </c>
      <c r="W537">
        <v>6</v>
      </c>
      <c r="X537">
        <v>20</v>
      </c>
      <c r="Y537">
        <v>14</v>
      </c>
      <c r="Z537">
        <v>0.24</v>
      </c>
      <c r="AA537">
        <v>31.536000000000001</v>
      </c>
    </row>
    <row r="538" spans="1:27" x14ac:dyDescent="0.25">
      <c r="A538" t="s">
        <v>98</v>
      </c>
      <c r="B538" t="s">
        <v>519</v>
      </c>
      <c r="C538" t="s">
        <v>689</v>
      </c>
      <c r="D538" t="s">
        <v>101</v>
      </c>
      <c r="E538" t="s">
        <v>102</v>
      </c>
      <c r="G538" t="s">
        <v>103</v>
      </c>
      <c r="H538" t="s">
        <v>125</v>
      </c>
      <c r="I538">
        <v>2016</v>
      </c>
      <c r="J538" t="s">
        <v>126</v>
      </c>
      <c r="K538" t="s">
        <v>127</v>
      </c>
      <c r="L538" t="s">
        <v>859</v>
      </c>
      <c r="M538" t="s">
        <v>866</v>
      </c>
      <c r="N538">
        <v>1</v>
      </c>
      <c r="O538">
        <v>2020</v>
      </c>
      <c r="P538">
        <v>945.00328288808089</v>
      </c>
      <c r="Q538">
        <v>1.8663618897004079</v>
      </c>
      <c r="R538" t="s">
        <v>109</v>
      </c>
      <c r="S538">
        <v>506.33442962113571</v>
      </c>
      <c r="T538">
        <v>0.91554999999999997</v>
      </c>
      <c r="U538" t="s">
        <v>110</v>
      </c>
      <c r="V538">
        <v>0.91554999999999997</v>
      </c>
      <c r="W538">
        <v>6</v>
      </c>
      <c r="X538">
        <v>20</v>
      </c>
      <c r="Y538">
        <v>14</v>
      </c>
      <c r="Z538">
        <v>0.24</v>
      </c>
      <c r="AA538">
        <v>31.536000000000001</v>
      </c>
    </row>
    <row r="539" spans="1:27" x14ac:dyDescent="0.25">
      <c r="A539" t="s">
        <v>98</v>
      </c>
      <c r="B539" t="s">
        <v>519</v>
      </c>
      <c r="C539" t="s">
        <v>689</v>
      </c>
      <c r="D539" t="s">
        <v>101</v>
      </c>
      <c r="E539" t="s">
        <v>102</v>
      </c>
      <c r="G539" t="s">
        <v>111</v>
      </c>
      <c r="H539" t="s">
        <v>125</v>
      </c>
      <c r="I539">
        <v>2016</v>
      </c>
      <c r="J539" t="s">
        <v>129</v>
      </c>
      <c r="K539" t="s">
        <v>127</v>
      </c>
      <c r="L539" t="s">
        <v>859</v>
      </c>
      <c r="M539" t="s">
        <v>867</v>
      </c>
      <c r="N539">
        <v>1</v>
      </c>
      <c r="O539">
        <v>2020</v>
      </c>
      <c r="P539">
        <v>1036.455213490153</v>
      </c>
      <c r="Q539">
        <v>1.8663618897004079</v>
      </c>
      <c r="R539" t="s">
        <v>109</v>
      </c>
      <c r="S539">
        <v>555.33453571350378</v>
      </c>
      <c r="T539">
        <v>0.93</v>
      </c>
      <c r="U539" t="s">
        <v>110</v>
      </c>
      <c r="V539">
        <v>0.93</v>
      </c>
      <c r="W539">
        <v>6</v>
      </c>
      <c r="X539">
        <v>20</v>
      </c>
      <c r="Y539">
        <v>14</v>
      </c>
      <c r="Z539">
        <v>0.24</v>
      </c>
      <c r="AA539">
        <v>31.536000000000001</v>
      </c>
    </row>
    <row r="540" spans="1:27" x14ac:dyDescent="0.25">
      <c r="A540" t="s">
        <v>98</v>
      </c>
      <c r="B540" t="s">
        <v>519</v>
      </c>
      <c r="C540" t="s">
        <v>689</v>
      </c>
      <c r="D540" t="s">
        <v>101</v>
      </c>
      <c r="E540" t="s">
        <v>102</v>
      </c>
      <c r="G540" t="s">
        <v>119</v>
      </c>
      <c r="H540" t="s">
        <v>125</v>
      </c>
      <c r="I540">
        <v>2016</v>
      </c>
      <c r="J540" t="s">
        <v>131</v>
      </c>
      <c r="K540" t="s">
        <v>127</v>
      </c>
      <c r="L540" t="s">
        <v>859</v>
      </c>
      <c r="M540" t="s">
        <v>868</v>
      </c>
      <c r="N540">
        <v>1</v>
      </c>
      <c r="O540">
        <v>2020</v>
      </c>
      <c r="P540">
        <v>1493.714866500515</v>
      </c>
      <c r="Q540">
        <v>1.8663618897004079</v>
      </c>
      <c r="R540" t="s">
        <v>109</v>
      </c>
      <c r="S540">
        <v>800.33506617534363</v>
      </c>
      <c r="T540">
        <v>0.95</v>
      </c>
      <c r="U540" t="s">
        <v>110</v>
      </c>
      <c r="V540">
        <v>0.95</v>
      </c>
      <c r="W540">
        <v>6</v>
      </c>
      <c r="X540">
        <v>20</v>
      </c>
      <c r="Y540">
        <v>14</v>
      </c>
      <c r="Z540">
        <v>0.24</v>
      </c>
      <c r="AA540">
        <v>31.536000000000001</v>
      </c>
    </row>
    <row r="541" spans="1:27" x14ac:dyDescent="0.25">
      <c r="A541" t="s">
        <v>98</v>
      </c>
      <c r="B541" t="s">
        <v>519</v>
      </c>
      <c r="C541" t="s">
        <v>689</v>
      </c>
      <c r="D541" t="s">
        <v>101</v>
      </c>
      <c r="E541" t="s">
        <v>102</v>
      </c>
      <c r="G541" t="s">
        <v>133</v>
      </c>
      <c r="H541" t="s">
        <v>125</v>
      </c>
      <c r="I541">
        <v>2016</v>
      </c>
      <c r="J541" t="s">
        <v>134</v>
      </c>
      <c r="K541" t="s">
        <v>127</v>
      </c>
      <c r="L541" t="s">
        <v>859</v>
      </c>
      <c r="M541" t="s">
        <v>869</v>
      </c>
      <c r="N541">
        <v>1</v>
      </c>
      <c r="O541">
        <v>2020</v>
      </c>
      <c r="P541">
        <v>2530.170079990668</v>
      </c>
      <c r="Q541">
        <v>1.8663618897004079</v>
      </c>
      <c r="R541" t="s">
        <v>109</v>
      </c>
      <c r="S541">
        <v>1355.669601888847</v>
      </c>
      <c r="T541">
        <v>3.28</v>
      </c>
      <c r="U541" t="s">
        <v>110</v>
      </c>
      <c r="V541">
        <v>3.28</v>
      </c>
      <c r="W541">
        <v>6</v>
      </c>
      <c r="X541">
        <v>20</v>
      </c>
      <c r="Y541">
        <v>14</v>
      </c>
      <c r="Z541">
        <v>0.24</v>
      </c>
      <c r="AA541">
        <v>31.536000000000001</v>
      </c>
    </row>
    <row r="542" spans="1:27" x14ac:dyDescent="0.25">
      <c r="A542" t="s">
        <v>98</v>
      </c>
      <c r="B542" t="s">
        <v>519</v>
      </c>
      <c r="C542" t="s">
        <v>689</v>
      </c>
      <c r="D542" t="s">
        <v>101</v>
      </c>
      <c r="E542" t="s">
        <v>102</v>
      </c>
      <c r="G542" t="s">
        <v>133</v>
      </c>
      <c r="H542" t="s">
        <v>125</v>
      </c>
      <c r="I542">
        <v>2022</v>
      </c>
      <c r="J542" t="s">
        <v>136</v>
      </c>
      <c r="K542" t="s">
        <v>127</v>
      </c>
      <c r="L542" t="s">
        <v>859</v>
      </c>
      <c r="M542" t="s">
        <v>870</v>
      </c>
      <c r="N542">
        <v>1</v>
      </c>
      <c r="O542">
        <v>2022</v>
      </c>
      <c r="P542">
        <v>2530.170079990668</v>
      </c>
      <c r="Q542">
        <v>1.8663618897004079</v>
      </c>
      <c r="R542" t="s">
        <v>109</v>
      </c>
      <c r="S542">
        <v>1355.669601888847</v>
      </c>
      <c r="T542">
        <v>3.28</v>
      </c>
      <c r="U542" t="s">
        <v>110</v>
      </c>
      <c r="V542">
        <v>3.28</v>
      </c>
      <c r="W542">
        <v>6</v>
      </c>
      <c r="X542">
        <v>20</v>
      </c>
      <c r="Y542">
        <v>14</v>
      </c>
      <c r="Z542">
        <v>0.24</v>
      </c>
      <c r="AA542">
        <v>31.536000000000001</v>
      </c>
    </row>
    <row r="543" spans="1:27" x14ac:dyDescent="0.25">
      <c r="A543" t="s">
        <v>98</v>
      </c>
      <c r="B543" t="s">
        <v>519</v>
      </c>
      <c r="C543" t="s">
        <v>689</v>
      </c>
      <c r="D543" t="s">
        <v>101</v>
      </c>
      <c r="E543" t="s">
        <v>102</v>
      </c>
      <c r="G543" t="s">
        <v>138</v>
      </c>
      <c r="H543" t="s">
        <v>125</v>
      </c>
      <c r="I543">
        <v>2016</v>
      </c>
      <c r="J543" t="s">
        <v>139</v>
      </c>
      <c r="K543" t="s">
        <v>127</v>
      </c>
      <c r="L543" t="s">
        <v>859</v>
      </c>
      <c r="M543" t="s">
        <v>871</v>
      </c>
      <c r="N543">
        <v>1</v>
      </c>
      <c r="O543">
        <v>2020</v>
      </c>
      <c r="P543">
        <v>2316.7822419191662</v>
      </c>
      <c r="Q543">
        <v>1.8663618897004079</v>
      </c>
      <c r="R543" t="s">
        <v>109</v>
      </c>
      <c r="S543">
        <v>1241.336021006656</v>
      </c>
      <c r="T543">
        <v>2</v>
      </c>
      <c r="U543" t="s">
        <v>110</v>
      </c>
      <c r="V543">
        <v>2</v>
      </c>
      <c r="W543">
        <v>6</v>
      </c>
      <c r="X543">
        <v>20</v>
      </c>
      <c r="Y543">
        <v>14</v>
      </c>
      <c r="Z543">
        <v>0.24</v>
      </c>
      <c r="AA543">
        <v>31.536000000000001</v>
      </c>
    </row>
    <row r="544" spans="1:27" x14ac:dyDescent="0.25">
      <c r="A544" t="s">
        <v>98</v>
      </c>
      <c r="B544" t="s">
        <v>519</v>
      </c>
      <c r="C544" t="s">
        <v>689</v>
      </c>
      <c r="D544" t="s">
        <v>101</v>
      </c>
      <c r="E544" t="s">
        <v>102</v>
      </c>
      <c r="G544" t="s">
        <v>138</v>
      </c>
      <c r="H544" t="s">
        <v>125</v>
      </c>
      <c r="I544">
        <v>2022</v>
      </c>
      <c r="J544" t="s">
        <v>141</v>
      </c>
      <c r="K544" t="s">
        <v>127</v>
      </c>
      <c r="L544" t="s">
        <v>859</v>
      </c>
      <c r="M544" t="s">
        <v>872</v>
      </c>
      <c r="N544">
        <v>1</v>
      </c>
      <c r="O544">
        <v>2022</v>
      </c>
      <c r="P544">
        <v>2805.3845753706141</v>
      </c>
      <c r="Q544">
        <v>1.8663618897004079</v>
      </c>
      <c r="R544" t="s">
        <v>109</v>
      </c>
      <c r="S544">
        <v>1503.130015058837</v>
      </c>
      <c r="T544">
        <v>3.3</v>
      </c>
      <c r="U544" t="s">
        <v>110</v>
      </c>
      <c r="V544">
        <v>3.3</v>
      </c>
      <c r="W544">
        <v>6</v>
      </c>
      <c r="X544">
        <v>20</v>
      </c>
      <c r="Y544">
        <v>14</v>
      </c>
      <c r="Z544">
        <v>0.24</v>
      </c>
      <c r="AA544">
        <v>31.536000000000001</v>
      </c>
    </row>
    <row r="545" spans="1:27" x14ac:dyDescent="0.25">
      <c r="A545" t="s">
        <v>98</v>
      </c>
      <c r="B545" t="s">
        <v>519</v>
      </c>
      <c r="C545" t="s">
        <v>689</v>
      </c>
      <c r="D545" t="s">
        <v>101</v>
      </c>
      <c r="E545" t="s">
        <v>102</v>
      </c>
      <c r="G545" t="s">
        <v>143</v>
      </c>
      <c r="H545" t="s">
        <v>125</v>
      </c>
      <c r="I545">
        <v>2016</v>
      </c>
      <c r="J545" t="s">
        <v>144</v>
      </c>
      <c r="K545" t="s">
        <v>127</v>
      </c>
      <c r="L545" t="s">
        <v>859</v>
      </c>
      <c r="M545" t="s">
        <v>873</v>
      </c>
      <c r="N545">
        <v>1</v>
      </c>
      <c r="O545">
        <v>2020</v>
      </c>
      <c r="P545">
        <v>3017.9137098683868</v>
      </c>
      <c r="Q545">
        <v>1.8663618897004079</v>
      </c>
      <c r="R545" t="s">
        <v>109</v>
      </c>
      <c r="S545">
        <v>1617.0035010481431</v>
      </c>
      <c r="T545">
        <v>3.55</v>
      </c>
      <c r="U545" t="s">
        <v>110</v>
      </c>
      <c r="V545">
        <v>3.55</v>
      </c>
      <c r="W545">
        <v>6</v>
      </c>
      <c r="X545">
        <v>20</v>
      </c>
      <c r="Y545">
        <v>14</v>
      </c>
      <c r="Z545">
        <v>0.24</v>
      </c>
      <c r="AA545">
        <v>31.536000000000001</v>
      </c>
    </row>
    <row r="546" spans="1:27" x14ac:dyDescent="0.25">
      <c r="A546" t="s">
        <v>98</v>
      </c>
      <c r="B546" t="s">
        <v>519</v>
      </c>
      <c r="C546" t="s">
        <v>689</v>
      </c>
      <c r="D546" t="s">
        <v>101</v>
      </c>
      <c r="E546" t="s">
        <v>102</v>
      </c>
      <c r="G546" t="s">
        <v>143</v>
      </c>
      <c r="H546" t="s">
        <v>125</v>
      </c>
      <c r="I546">
        <v>2022</v>
      </c>
      <c r="J546" t="s">
        <v>146</v>
      </c>
      <c r="K546" t="s">
        <v>127</v>
      </c>
      <c r="L546" t="s">
        <v>859</v>
      </c>
      <c r="M546" t="s">
        <v>874</v>
      </c>
      <c r="N546">
        <v>1</v>
      </c>
      <c r="O546">
        <v>2022</v>
      </c>
      <c r="P546">
        <v>3017.9137098683868</v>
      </c>
      <c r="Q546">
        <v>1.8663618897004079</v>
      </c>
      <c r="R546" t="s">
        <v>109</v>
      </c>
      <c r="S546">
        <v>1617.0035010481431</v>
      </c>
      <c r="T546">
        <v>3.55</v>
      </c>
      <c r="U546" t="s">
        <v>110</v>
      </c>
      <c r="V546">
        <v>3.55</v>
      </c>
      <c r="W546">
        <v>6</v>
      </c>
      <c r="X546">
        <v>20</v>
      </c>
      <c r="Y546">
        <v>14</v>
      </c>
      <c r="Z546">
        <v>0.24</v>
      </c>
      <c r="AA546">
        <v>31.536000000000001</v>
      </c>
    </row>
    <row r="547" spans="1:27" x14ac:dyDescent="0.25">
      <c r="A547" t="s">
        <v>98</v>
      </c>
      <c r="B547" t="s">
        <v>519</v>
      </c>
      <c r="C547" t="s">
        <v>689</v>
      </c>
      <c r="D547" t="s">
        <v>101</v>
      </c>
      <c r="E547" t="s">
        <v>102</v>
      </c>
      <c r="G547" t="s">
        <v>103</v>
      </c>
      <c r="H547" t="s">
        <v>148</v>
      </c>
      <c r="I547">
        <v>2016</v>
      </c>
      <c r="J547" t="s">
        <v>149</v>
      </c>
      <c r="K547" t="s">
        <v>150</v>
      </c>
      <c r="L547" t="s">
        <v>859</v>
      </c>
      <c r="M547" t="s">
        <v>875</v>
      </c>
      <c r="N547">
        <v>1</v>
      </c>
      <c r="O547">
        <v>2020</v>
      </c>
      <c r="P547">
        <v>2926.4617792663148</v>
      </c>
      <c r="Q547">
        <v>1.8663618897004079</v>
      </c>
      <c r="R547" t="s">
        <v>109</v>
      </c>
      <c r="S547">
        <v>1568.0033949557751</v>
      </c>
      <c r="T547">
        <v>0.63670000000000004</v>
      </c>
      <c r="U547" t="s">
        <v>110</v>
      </c>
      <c r="V547">
        <v>0.63670000000000004</v>
      </c>
      <c r="W547">
        <v>6</v>
      </c>
      <c r="X547">
        <v>20</v>
      </c>
      <c r="Y547">
        <v>14</v>
      </c>
      <c r="Z547">
        <v>0.24</v>
      </c>
      <c r="AA547">
        <v>31.536000000000001</v>
      </c>
    </row>
    <row r="548" spans="1:27" x14ac:dyDescent="0.25">
      <c r="A548" t="s">
        <v>98</v>
      </c>
      <c r="B548" t="s">
        <v>519</v>
      </c>
      <c r="C548" t="s">
        <v>689</v>
      </c>
      <c r="D548" t="s">
        <v>101</v>
      </c>
      <c r="E548" t="s">
        <v>102</v>
      </c>
      <c r="G548" t="s">
        <v>111</v>
      </c>
      <c r="H548" t="s">
        <v>148</v>
      </c>
      <c r="I548">
        <v>2016</v>
      </c>
      <c r="J548" t="s">
        <v>152</v>
      </c>
      <c r="K548" t="s">
        <v>150</v>
      </c>
      <c r="L548" t="s">
        <v>859</v>
      </c>
      <c r="M548" t="s">
        <v>876</v>
      </c>
      <c r="N548">
        <v>1</v>
      </c>
      <c r="O548">
        <v>2020</v>
      </c>
      <c r="P548">
        <v>3109.3656404704602</v>
      </c>
      <c r="Q548">
        <v>1.8663618897004079</v>
      </c>
      <c r="R548" t="s">
        <v>109</v>
      </c>
      <c r="S548">
        <v>1666.0036071405109</v>
      </c>
      <c r="T548">
        <v>0.67</v>
      </c>
      <c r="U548" t="s">
        <v>110</v>
      </c>
      <c r="V548">
        <v>0.67</v>
      </c>
      <c r="W548">
        <v>6</v>
      </c>
      <c r="X548">
        <v>20</v>
      </c>
      <c r="Y548">
        <v>14</v>
      </c>
      <c r="Z548">
        <v>0.24</v>
      </c>
      <c r="AA548">
        <v>31.536000000000001</v>
      </c>
    </row>
    <row r="549" spans="1:27" x14ac:dyDescent="0.25">
      <c r="A549" t="s">
        <v>98</v>
      </c>
      <c r="B549" t="s">
        <v>519</v>
      </c>
      <c r="C549" t="s">
        <v>689</v>
      </c>
      <c r="D549" t="s">
        <v>101</v>
      </c>
      <c r="E549" t="s">
        <v>102</v>
      </c>
      <c r="G549" t="s">
        <v>119</v>
      </c>
      <c r="H549" t="s">
        <v>148</v>
      </c>
      <c r="I549">
        <v>2016</v>
      </c>
      <c r="J549" t="s">
        <v>154</v>
      </c>
      <c r="K549" t="s">
        <v>150</v>
      </c>
      <c r="L549" t="s">
        <v>859</v>
      </c>
      <c r="M549" t="s">
        <v>877</v>
      </c>
      <c r="N549">
        <v>1</v>
      </c>
      <c r="O549">
        <v>2020</v>
      </c>
      <c r="P549">
        <v>3078.881663603102</v>
      </c>
      <c r="Q549">
        <v>1.8663618897004079</v>
      </c>
      <c r="R549" t="s">
        <v>109</v>
      </c>
      <c r="S549">
        <v>1649.670238443055</v>
      </c>
      <c r="T549">
        <v>0.69</v>
      </c>
      <c r="U549" t="s">
        <v>110</v>
      </c>
      <c r="V549">
        <v>0.69</v>
      </c>
      <c r="W549">
        <v>6</v>
      </c>
      <c r="X549">
        <v>20</v>
      </c>
      <c r="Y549">
        <v>14</v>
      </c>
      <c r="Z549">
        <v>0.24</v>
      </c>
      <c r="AA549">
        <v>31.536000000000001</v>
      </c>
    </row>
    <row r="550" spans="1:27" x14ac:dyDescent="0.25">
      <c r="A550" t="s">
        <v>98</v>
      </c>
      <c r="B550" t="s">
        <v>519</v>
      </c>
      <c r="C550" t="s">
        <v>689</v>
      </c>
      <c r="D550" t="s">
        <v>101</v>
      </c>
      <c r="E550" t="s">
        <v>102</v>
      </c>
      <c r="G550" t="s">
        <v>103</v>
      </c>
      <c r="H550" t="s">
        <v>156</v>
      </c>
      <c r="I550">
        <v>2016</v>
      </c>
      <c r="J550" t="s">
        <v>157</v>
      </c>
      <c r="K550" t="s">
        <v>158</v>
      </c>
      <c r="L550" t="s">
        <v>859</v>
      </c>
      <c r="M550" t="s">
        <v>878</v>
      </c>
      <c r="N550">
        <v>1</v>
      </c>
      <c r="O550">
        <v>2020</v>
      </c>
      <c r="P550">
        <v>2225.3303113170941</v>
      </c>
      <c r="Q550">
        <v>1.8663618897004079</v>
      </c>
      <c r="R550" t="s">
        <v>109</v>
      </c>
      <c r="S550">
        <v>1192.3359149142871</v>
      </c>
      <c r="T550">
        <v>0.61014999999999997</v>
      </c>
      <c r="U550" t="s">
        <v>110</v>
      </c>
      <c r="V550">
        <v>0.61014999999999997</v>
      </c>
      <c r="W550">
        <v>6</v>
      </c>
      <c r="X550">
        <v>20</v>
      </c>
      <c r="Y550">
        <v>14</v>
      </c>
      <c r="Z550">
        <v>0.24</v>
      </c>
      <c r="AA550">
        <v>31.536000000000001</v>
      </c>
    </row>
    <row r="551" spans="1:27" x14ac:dyDescent="0.25">
      <c r="A551" t="s">
        <v>98</v>
      </c>
      <c r="B551" t="s">
        <v>519</v>
      </c>
      <c r="C551" t="s">
        <v>689</v>
      </c>
      <c r="D551" t="s">
        <v>101</v>
      </c>
      <c r="E551" t="s">
        <v>102</v>
      </c>
      <c r="G551" t="s">
        <v>111</v>
      </c>
      <c r="H551" t="s">
        <v>156</v>
      </c>
      <c r="I551">
        <v>2016</v>
      </c>
      <c r="J551" t="s">
        <v>160</v>
      </c>
      <c r="K551" t="s">
        <v>158</v>
      </c>
      <c r="L551" t="s">
        <v>859</v>
      </c>
      <c r="M551" t="s">
        <v>879</v>
      </c>
      <c r="N551">
        <v>1</v>
      </c>
      <c r="O551">
        <v>2020</v>
      </c>
      <c r="P551">
        <v>2347.266218786523</v>
      </c>
      <c r="Q551">
        <v>1.8663618897004079</v>
      </c>
      <c r="R551" t="s">
        <v>109</v>
      </c>
      <c r="S551">
        <v>1257.6693897041109</v>
      </c>
      <c r="T551">
        <v>0.63</v>
      </c>
      <c r="U551" t="s">
        <v>110</v>
      </c>
      <c r="V551">
        <v>0.63</v>
      </c>
      <c r="W551">
        <v>6</v>
      </c>
      <c r="X551">
        <v>20</v>
      </c>
      <c r="Y551">
        <v>14</v>
      </c>
      <c r="Z551">
        <v>0.24</v>
      </c>
      <c r="AA551">
        <v>31.536000000000001</v>
      </c>
    </row>
    <row r="552" spans="1:27" x14ac:dyDescent="0.25">
      <c r="A552" t="s">
        <v>98</v>
      </c>
      <c r="B552" t="s">
        <v>519</v>
      </c>
      <c r="C552" t="s">
        <v>689</v>
      </c>
      <c r="D552" t="s">
        <v>101</v>
      </c>
      <c r="E552" t="s">
        <v>102</v>
      </c>
      <c r="G552" t="s">
        <v>114</v>
      </c>
      <c r="H552" t="s">
        <v>156</v>
      </c>
      <c r="I552">
        <v>2016</v>
      </c>
      <c r="J552" t="s">
        <v>162</v>
      </c>
      <c r="K552" t="s">
        <v>158</v>
      </c>
      <c r="L552" t="s">
        <v>859</v>
      </c>
      <c r="M552" t="s">
        <v>880</v>
      </c>
      <c r="N552">
        <v>1</v>
      </c>
      <c r="O552">
        <v>2020</v>
      </c>
      <c r="P552">
        <v>2469.2021262559529</v>
      </c>
      <c r="Q552">
        <v>1.8663618897004079</v>
      </c>
      <c r="R552" t="s">
        <v>109</v>
      </c>
      <c r="S552">
        <v>1323.002864493935</v>
      </c>
      <c r="T552">
        <v>0.66</v>
      </c>
      <c r="U552" t="s">
        <v>110</v>
      </c>
      <c r="V552">
        <v>0.66</v>
      </c>
      <c r="W552">
        <v>6</v>
      </c>
      <c r="X552">
        <v>20</v>
      </c>
      <c r="Y552">
        <v>14</v>
      </c>
      <c r="Z552">
        <v>0.24</v>
      </c>
      <c r="AA552">
        <v>31.536000000000001</v>
      </c>
    </row>
    <row r="553" spans="1:27" x14ac:dyDescent="0.25">
      <c r="A553" t="s">
        <v>98</v>
      </c>
      <c r="B553" t="s">
        <v>519</v>
      </c>
      <c r="C553" t="s">
        <v>689</v>
      </c>
      <c r="D553" t="s">
        <v>101</v>
      </c>
      <c r="E553" t="s">
        <v>102</v>
      </c>
      <c r="G553" t="s">
        <v>114</v>
      </c>
      <c r="H553" t="s">
        <v>156</v>
      </c>
      <c r="I553">
        <v>2023</v>
      </c>
      <c r="J553" t="s">
        <v>164</v>
      </c>
      <c r="K553" t="s">
        <v>158</v>
      </c>
      <c r="L553" t="s">
        <v>859</v>
      </c>
      <c r="M553" t="s">
        <v>881</v>
      </c>
      <c r="N553">
        <v>1</v>
      </c>
      <c r="O553">
        <v>2023</v>
      </c>
      <c r="P553">
        <v>3865.2553631628971</v>
      </c>
      <c r="Q553">
        <v>1.8663618897004079</v>
      </c>
      <c r="R553" t="s">
        <v>109</v>
      </c>
      <c r="S553">
        <v>2071.0106568792812</v>
      </c>
      <c r="T553">
        <v>0.83499999999999996</v>
      </c>
      <c r="U553" t="s">
        <v>110</v>
      </c>
      <c r="V553">
        <v>0.83499999999999996</v>
      </c>
      <c r="W553">
        <v>6</v>
      </c>
      <c r="X553">
        <v>20</v>
      </c>
      <c r="Y553">
        <v>14</v>
      </c>
      <c r="Z553">
        <v>0.24</v>
      </c>
      <c r="AA553">
        <v>31.536000000000001</v>
      </c>
    </row>
    <row r="554" spans="1:27" x14ac:dyDescent="0.25">
      <c r="A554" t="s">
        <v>98</v>
      </c>
      <c r="B554" t="s">
        <v>519</v>
      </c>
      <c r="C554" t="s">
        <v>689</v>
      </c>
      <c r="D554" t="s">
        <v>101</v>
      </c>
      <c r="E554" t="s">
        <v>102</v>
      </c>
      <c r="G554" t="s">
        <v>119</v>
      </c>
      <c r="H554" t="s">
        <v>156</v>
      </c>
      <c r="I554">
        <v>2016</v>
      </c>
      <c r="J554" t="s">
        <v>166</v>
      </c>
      <c r="K554" t="s">
        <v>158</v>
      </c>
      <c r="L554" t="s">
        <v>859</v>
      </c>
      <c r="M554" t="s">
        <v>882</v>
      </c>
      <c r="N554">
        <v>0</v>
      </c>
      <c r="O554">
        <v>2020</v>
      </c>
      <c r="P554">
        <v>3749.5291546849662</v>
      </c>
      <c r="Q554">
        <v>1.8663618897004079</v>
      </c>
      <c r="R554" t="s">
        <v>109</v>
      </c>
      <c r="S554">
        <v>2009.004349787087</v>
      </c>
      <c r="T554">
        <v>0.81</v>
      </c>
      <c r="U554" t="s">
        <v>110</v>
      </c>
      <c r="V554">
        <v>0.81</v>
      </c>
      <c r="W554">
        <v>6</v>
      </c>
      <c r="X554">
        <v>20</v>
      </c>
      <c r="Y554">
        <v>14</v>
      </c>
      <c r="Z554">
        <v>0.24</v>
      </c>
      <c r="AA554">
        <v>31.536000000000001</v>
      </c>
    </row>
    <row r="555" spans="1:27" x14ac:dyDescent="0.25">
      <c r="A555" t="s">
        <v>98</v>
      </c>
      <c r="B555" t="s">
        <v>519</v>
      </c>
      <c r="C555" t="s">
        <v>689</v>
      </c>
      <c r="D555" t="s">
        <v>101</v>
      </c>
      <c r="E555" t="s">
        <v>102</v>
      </c>
      <c r="G555" t="s">
        <v>119</v>
      </c>
      <c r="H555" t="s">
        <v>156</v>
      </c>
      <c r="I555">
        <v>2018</v>
      </c>
      <c r="J555" t="s">
        <v>168</v>
      </c>
      <c r="K555" t="s">
        <v>158</v>
      </c>
      <c r="L555" t="s">
        <v>859</v>
      </c>
      <c r="M555" t="s">
        <v>882</v>
      </c>
      <c r="N555">
        <v>1</v>
      </c>
      <c r="O555">
        <v>2020</v>
      </c>
      <c r="P555">
        <v>3749.5291546849662</v>
      </c>
      <c r="Q555">
        <v>1.8663618897004079</v>
      </c>
      <c r="R555" t="s">
        <v>109</v>
      </c>
      <c r="S555">
        <v>2009.004349787087</v>
      </c>
      <c r="T555">
        <v>0.81</v>
      </c>
      <c r="U555" t="s">
        <v>110</v>
      </c>
      <c r="V555">
        <v>0.81</v>
      </c>
      <c r="W555">
        <v>6</v>
      </c>
      <c r="X555">
        <v>20</v>
      </c>
      <c r="Y555">
        <v>14</v>
      </c>
      <c r="Z555">
        <v>0.24</v>
      </c>
      <c r="AA555">
        <v>31.536000000000001</v>
      </c>
    </row>
    <row r="556" spans="1:27" x14ac:dyDescent="0.25">
      <c r="A556" t="s">
        <v>98</v>
      </c>
      <c r="B556" t="s">
        <v>519</v>
      </c>
      <c r="C556" t="s">
        <v>689</v>
      </c>
      <c r="D556" t="s">
        <v>101</v>
      </c>
      <c r="E556" t="s">
        <v>102</v>
      </c>
      <c r="G556" t="s">
        <v>111</v>
      </c>
      <c r="H556" t="s">
        <v>169</v>
      </c>
      <c r="I556">
        <v>2016</v>
      </c>
      <c r="J556" t="s">
        <v>170</v>
      </c>
      <c r="K556" t="s">
        <v>171</v>
      </c>
      <c r="L556" t="s">
        <v>859</v>
      </c>
      <c r="M556" t="s">
        <v>883</v>
      </c>
      <c r="N556">
        <v>0</v>
      </c>
      <c r="O556">
        <v>2020</v>
      </c>
      <c r="P556">
        <v>13412.949821637279</v>
      </c>
      <c r="Q556">
        <v>1.8663618897004079</v>
      </c>
      <c r="R556" t="s">
        <v>109</v>
      </c>
      <c r="S556">
        <v>7186.6822268806363</v>
      </c>
      <c r="T556">
        <v>1</v>
      </c>
      <c r="U556" t="s">
        <v>173</v>
      </c>
      <c r="V556">
        <v>1</v>
      </c>
      <c r="W556">
        <v>15</v>
      </c>
      <c r="X556">
        <v>30</v>
      </c>
      <c r="Y556">
        <v>23</v>
      </c>
      <c r="Z556">
        <v>0.24</v>
      </c>
      <c r="AA556">
        <v>31.536000000000001</v>
      </c>
    </row>
    <row r="557" spans="1:27" x14ac:dyDescent="0.25">
      <c r="A557" t="s">
        <v>98</v>
      </c>
      <c r="B557" t="s">
        <v>519</v>
      </c>
      <c r="C557" t="s">
        <v>689</v>
      </c>
      <c r="D557" t="s">
        <v>101</v>
      </c>
      <c r="E557" t="s">
        <v>102</v>
      </c>
      <c r="G557" t="s">
        <v>111</v>
      </c>
      <c r="H557" t="s">
        <v>169</v>
      </c>
      <c r="I557">
        <v>2020</v>
      </c>
      <c r="J557" t="s">
        <v>174</v>
      </c>
      <c r="K557" t="s">
        <v>171</v>
      </c>
      <c r="L557" t="s">
        <v>859</v>
      </c>
      <c r="M557" t="s">
        <v>883</v>
      </c>
      <c r="N557">
        <v>1</v>
      </c>
      <c r="O557">
        <v>2020</v>
      </c>
      <c r="P557">
        <v>13412.949821637279</v>
      </c>
      <c r="Q557">
        <v>1.8663618897004079</v>
      </c>
      <c r="R557" t="s">
        <v>109</v>
      </c>
      <c r="S557">
        <v>7186.6822268806363</v>
      </c>
      <c r="T557">
        <v>1</v>
      </c>
      <c r="U557" t="s">
        <v>173</v>
      </c>
      <c r="V557">
        <v>1</v>
      </c>
      <c r="W557">
        <v>15</v>
      </c>
      <c r="X557">
        <v>30</v>
      </c>
      <c r="Y557">
        <v>23</v>
      </c>
      <c r="Z557">
        <v>0.24</v>
      </c>
      <c r="AA557">
        <v>31.536000000000001</v>
      </c>
    </row>
    <row r="558" spans="1:27" x14ac:dyDescent="0.25">
      <c r="A558" t="s">
        <v>98</v>
      </c>
      <c r="B558" t="s">
        <v>519</v>
      </c>
      <c r="C558" t="s">
        <v>689</v>
      </c>
      <c r="D558" t="s">
        <v>101</v>
      </c>
      <c r="E558" t="s">
        <v>102</v>
      </c>
      <c r="G558" t="s">
        <v>111</v>
      </c>
      <c r="H558" t="s">
        <v>169</v>
      </c>
      <c r="I558">
        <v>2023</v>
      </c>
      <c r="J558" t="s">
        <v>175</v>
      </c>
      <c r="K558" t="s">
        <v>171</v>
      </c>
      <c r="L558" t="s">
        <v>859</v>
      </c>
      <c r="M558" t="s">
        <v>884</v>
      </c>
      <c r="N558">
        <v>1</v>
      </c>
      <c r="O558">
        <v>2023</v>
      </c>
      <c r="P558">
        <v>13412.949821637279</v>
      </c>
      <c r="Q558">
        <v>1.8663618897004079</v>
      </c>
      <c r="R558" t="s">
        <v>109</v>
      </c>
      <c r="S558">
        <v>7186.6822268806363</v>
      </c>
      <c r="T558">
        <v>1</v>
      </c>
      <c r="U558" t="s">
        <v>173</v>
      </c>
      <c r="V558">
        <v>1</v>
      </c>
      <c r="W558">
        <v>15</v>
      </c>
      <c r="X558">
        <v>30</v>
      </c>
      <c r="Y558">
        <v>23</v>
      </c>
      <c r="Z558">
        <v>0.24</v>
      </c>
      <c r="AA558">
        <v>31.536000000000001</v>
      </c>
    </row>
    <row r="559" spans="1:27" x14ac:dyDescent="0.25">
      <c r="A559" t="s">
        <v>98</v>
      </c>
      <c r="B559" t="s">
        <v>519</v>
      </c>
      <c r="C559" t="s">
        <v>689</v>
      </c>
      <c r="D559" t="s">
        <v>101</v>
      </c>
      <c r="E559" t="s">
        <v>102</v>
      </c>
      <c r="G559" t="s">
        <v>111</v>
      </c>
      <c r="H559" t="s">
        <v>169</v>
      </c>
      <c r="I559">
        <v>2024</v>
      </c>
      <c r="J559" t="s">
        <v>177</v>
      </c>
      <c r="K559" t="s">
        <v>171</v>
      </c>
      <c r="L559" t="s">
        <v>859</v>
      </c>
      <c r="M559" t="s">
        <v>885</v>
      </c>
      <c r="N559">
        <v>1</v>
      </c>
      <c r="O559">
        <v>2024</v>
      </c>
      <c r="P559">
        <v>13412.949821637279</v>
      </c>
      <c r="Q559">
        <v>1.8663618897004079</v>
      </c>
      <c r="R559" t="s">
        <v>109</v>
      </c>
      <c r="S559">
        <v>7186.6822268806363</v>
      </c>
      <c r="T559">
        <v>1</v>
      </c>
      <c r="U559" t="s">
        <v>173</v>
      </c>
      <c r="V559">
        <v>1</v>
      </c>
      <c r="W559">
        <v>15</v>
      </c>
      <c r="X559">
        <v>30</v>
      </c>
      <c r="Y559">
        <v>23</v>
      </c>
      <c r="Z559">
        <v>0.24</v>
      </c>
      <c r="AA559">
        <v>31.536000000000001</v>
      </c>
    </row>
    <row r="560" spans="1:27" x14ac:dyDescent="0.25">
      <c r="A560" t="s">
        <v>98</v>
      </c>
      <c r="B560" t="s">
        <v>519</v>
      </c>
      <c r="C560" t="s">
        <v>689</v>
      </c>
      <c r="D560" t="s">
        <v>101</v>
      </c>
      <c r="E560" t="s">
        <v>179</v>
      </c>
      <c r="F560" t="s">
        <v>180</v>
      </c>
      <c r="G560" t="s">
        <v>103</v>
      </c>
      <c r="H560" t="s">
        <v>125</v>
      </c>
      <c r="I560">
        <v>2016</v>
      </c>
      <c r="J560" t="s">
        <v>181</v>
      </c>
      <c r="K560" t="s">
        <v>127</v>
      </c>
      <c r="L560" t="s">
        <v>886</v>
      </c>
      <c r="M560" t="s">
        <v>887</v>
      </c>
      <c r="N560">
        <v>1</v>
      </c>
      <c r="O560">
        <v>2020</v>
      </c>
      <c r="P560">
        <v>2956.9457561336731</v>
      </c>
      <c r="Q560">
        <v>16.265240809907731</v>
      </c>
      <c r="R560" t="s">
        <v>109</v>
      </c>
      <c r="S560">
        <v>181.79538751940851</v>
      </c>
      <c r="T560">
        <v>2.4032825322391562</v>
      </c>
      <c r="U560" t="s">
        <v>184</v>
      </c>
      <c r="V560">
        <v>2.4032825322391562</v>
      </c>
      <c r="W560">
        <v>9</v>
      </c>
      <c r="X560">
        <v>22</v>
      </c>
      <c r="Y560">
        <v>16</v>
      </c>
      <c r="Z560">
        <v>8.263812321365821E-2</v>
      </c>
      <c r="AA560">
        <v>31.536000000000001</v>
      </c>
    </row>
    <row r="561" spans="1:27" x14ac:dyDescent="0.25">
      <c r="A561" t="s">
        <v>98</v>
      </c>
      <c r="B561" t="s">
        <v>519</v>
      </c>
      <c r="C561" t="s">
        <v>689</v>
      </c>
      <c r="D561" t="s">
        <v>101</v>
      </c>
      <c r="E561" t="s">
        <v>179</v>
      </c>
      <c r="F561" t="s">
        <v>180</v>
      </c>
      <c r="G561" t="s">
        <v>103</v>
      </c>
      <c r="H561" t="s">
        <v>125</v>
      </c>
      <c r="I561">
        <v>2023</v>
      </c>
      <c r="J561" t="s">
        <v>185</v>
      </c>
      <c r="K561" t="s">
        <v>127</v>
      </c>
      <c r="L561" t="s">
        <v>886</v>
      </c>
      <c r="M561" t="s">
        <v>888</v>
      </c>
      <c r="N561">
        <v>1</v>
      </c>
      <c r="O561">
        <v>2023</v>
      </c>
      <c r="P561">
        <v>2956.9457561336731</v>
      </c>
      <c r="Q561">
        <v>16.265240809907731</v>
      </c>
      <c r="R561" t="s">
        <v>109</v>
      </c>
      <c r="S561">
        <v>181.79538751940851</v>
      </c>
      <c r="T561">
        <v>2.4032825322391562</v>
      </c>
      <c r="U561" t="s">
        <v>184</v>
      </c>
      <c r="V561">
        <v>2.4032825322391562</v>
      </c>
      <c r="W561">
        <v>9</v>
      </c>
      <c r="X561">
        <v>22</v>
      </c>
      <c r="Y561">
        <v>16</v>
      </c>
      <c r="Z561">
        <v>8.263812321365821E-2</v>
      </c>
      <c r="AA561">
        <v>31.536000000000001</v>
      </c>
    </row>
    <row r="562" spans="1:27" x14ac:dyDescent="0.25">
      <c r="A562" t="s">
        <v>98</v>
      </c>
      <c r="B562" t="s">
        <v>519</v>
      </c>
      <c r="C562" t="s">
        <v>689</v>
      </c>
      <c r="D562" t="s">
        <v>101</v>
      </c>
      <c r="E562" t="s">
        <v>179</v>
      </c>
      <c r="F562" t="s">
        <v>180</v>
      </c>
      <c r="G562" t="s">
        <v>111</v>
      </c>
      <c r="H562" t="s">
        <v>125</v>
      </c>
      <c r="I562">
        <v>2016</v>
      </c>
      <c r="J562" t="s">
        <v>187</v>
      </c>
      <c r="K562" t="s">
        <v>127</v>
      </c>
      <c r="L562" t="s">
        <v>886</v>
      </c>
      <c r="M562" t="s">
        <v>889</v>
      </c>
      <c r="N562">
        <v>1</v>
      </c>
      <c r="O562">
        <v>2020</v>
      </c>
      <c r="P562">
        <v>3109.3656404704602</v>
      </c>
      <c r="Q562">
        <v>16.265240809907731</v>
      </c>
      <c r="R562" t="s">
        <v>109</v>
      </c>
      <c r="S562">
        <v>191.16628378329551</v>
      </c>
      <c r="T562">
        <v>2.5205158264947238</v>
      </c>
      <c r="U562" t="s">
        <v>184</v>
      </c>
      <c r="V562">
        <v>2.5205158264947238</v>
      </c>
      <c r="W562">
        <v>9</v>
      </c>
      <c r="X562">
        <v>22</v>
      </c>
      <c r="Y562">
        <v>16</v>
      </c>
      <c r="Z562">
        <v>8.263812321365821E-2</v>
      </c>
      <c r="AA562">
        <v>31.536000000000001</v>
      </c>
    </row>
    <row r="563" spans="1:27" x14ac:dyDescent="0.25">
      <c r="A563" t="s">
        <v>98</v>
      </c>
      <c r="B563" t="s">
        <v>519</v>
      </c>
      <c r="C563" t="s">
        <v>689</v>
      </c>
      <c r="D563" t="s">
        <v>101</v>
      </c>
      <c r="E563" t="s">
        <v>179</v>
      </c>
      <c r="F563" t="s">
        <v>180</v>
      </c>
      <c r="G563" t="s">
        <v>111</v>
      </c>
      <c r="H563" t="s">
        <v>125</v>
      </c>
      <c r="I563">
        <v>2023</v>
      </c>
      <c r="J563" t="s">
        <v>189</v>
      </c>
      <c r="K563" t="s">
        <v>127</v>
      </c>
      <c r="L563" t="s">
        <v>886</v>
      </c>
      <c r="M563" t="s">
        <v>890</v>
      </c>
      <c r="N563">
        <v>1</v>
      </c>
      <c r="O563">
        <v>2023</v>
      </c>
      <c r="P563">
        <v>3139.8496173378171</v>
      </c>
      <c r="Q563">
        <v>16.265240809907731</v>
      </c>
      <c r="R563" t="s">
        <v>109</v>
      </c>
      <c r="S563">
        <v>193.04046303607291</v>
      </c>
      <c r="T563">
        <v>2.5791324736225092</v>
      </c>
      <c r="U563" t="s">
        <v>184</v>
      </c>
      <c r="V563">
        <v>2.5791324736225092</v>
      </c>
      <c r="W563">
        <v>9</v>
      </c>
      <c r="X563">
        <v>22</v>
      </c>
      <c r="Y563">
        <v>16</v>
      </c>
      <c r="Z563">
        <v>8.263812321365821E-2</v>
      </c>
      <c r="AA563">
        <v>31.536000000000001</v>
      </c>
    </row>
    <row r="564" spans="1:27" x14ac:dyDescent="0.25">
      <c r="A564" t="s">
        <v>98</v>
      </c>
      <c r="B564" t="s">
        <v>519</v>
      </c>
      <c r="C564" t="s">
        <v>689</v>
      </c>
      <c r="D564" t="s">
        <v>101</v>
      </c>
      <c r="E564" t="s">
        <v>179</v>
      </c>
      <c r="F564" t="s">
        <v>180</v>
      </c>
      <c r="G564" t="s">
        <v>114</v>
      </c>
      <c r="H564" t="s">
        <v>125</v>
      </c>
      <c r="I564">
        <v>2016</v>
      </c>
      <c r="J564" t="s">
        <v>191</v>
      </c>
      <c r="K564" t="s">
        <v>127</v>
      </c>
      <c r="L564" t="s">
        <v>886</v>
      </c>
      <c r="M564" t="s">
        <v>891</v>
      </c>
      <c r="N564">
        <v>1</v>
      </c>
      <c r="O564">
        <v>2020</v>
      </c>
      <c r="P564">
        <v>3017.9137098683868</v>
      </c>
      <c r="Q564">
        <v>16.265240809907731</v>
      </c>
      <c r="R564" t="s">
        <v>109</v>
      </c>
      <c r="S564">
        <v>185.5437460249633</v>
      </c>
      <c r="T564">
        <v>2.4912075029308318</v>
      </c>
      <c r="U564" t="s">
        <v>184</v>
      </c>
      <c r="V564">
        <v>2.4912075029308318</v>
      </c>
      <c r="W564">
        <v>9</v>
      </c>
      <c r="X564">
        <v>22</v>
      </c>
      <c r="Y564">
        <v>16</v>
      </c>
      <c r="Z564">
        <v>8.263812321365821E-2</v>
      </c>
      <c r="AA564">
        <v>31.536000000000001</v>
      </c>
    </row>
    <row r="565" spans="1:27" x14ac:dyDescent="0.25">
      <c r="A565" t="s">
        <v>98</v>
      </c>
      <c r="B565" t="s">
        <v>519</v>
      </c>
      <c r="C565" t="s">
        <v>689</v>
      </c>
      <c r="D565" t="s">
        <v>101</v>
      </c>
      <c r="E565" t="s">
        <v>179</v>
      </c>
      <c r="F565" t="s">
        <v>180</v>
      </c>
      <c r="G565" t="s">
        <v>114</v>
      </c>
      <c r="H565" t="s">
        <v>125</v>
      </c>
      <c r="I565">
        <v>2022</v>
      </c>
      <c r="J565" t="s">
        <v>193</v>
      </c>
      <c r="K565" t="s">
        <v>127</v>
      </c>
      <c r="L565" t="s">
        <v>886</v>
      </c>
      <c r="M565" t="s">
        <v>892</v>
      </c>
      <c r="N565">
        <v>1</v>
      </c>
      <c r="O565">
        <v>2022</v>
      </c>
      <c r="P565">
        <v>3017.9137098683868</v>
      </c>
      <c r="Q565">
        <v>16.265240809907731</v>
      </c>
      <c r="R565" t="s">
        <v>109</v>
      </c>
      <c r="S565">
        <v>185.5437460249633</v>
      </c>
      <c r="T565">
        <v>2.4912075029308318</v>
      </c>
      <c r="U565" t="s">
        <v>184</v>
      </c>
      <c r="V565">
        <v>2.4912075029308318</v>
      </c>
      <c r="W565">
        <v>9</v>
      </c>
      <c r="X565">
        <v>22</v>
      </c>
      <c r="Y565">
        <v>16</v>
      </c>
      <c r="Z565">
        <v>8.263812321365821E-2</v>
      </c>
      <c r="AA565">
        <v>31.536000000000001</v>
      </c>
    </row>
    <row r="566" spans="1:27" x14ac:dyDescent="0.25">
      <c r="A566" t="s">
        <v>98</v>
      </c>
      <c r="B566" t="s">
        <v>519</v>
      </c>
      <c r="C566" t="s">
        <v>689</v>
      </c>
      <c r="D566" t="s">
        <v>101</v>
      </c>
      <c r="E566" t="s">
        <v>179</v>
      </c>
      <c r="F566" t="s">
        <v>180</v>
      </c>
      <c r="G566" t="s">
        <v>114</v>
      </c>
      <c r="H566" t="s">
        <v>125</v>
      </c>
      <c r="I566">
        <v>2023</v>
      </c>
      <c r="J566" t="s">
        <v>195</v>
      </c>
      <c r="K566" t="s">
        <v>127</v>
      </c>
      <c r="L566" t="s">
        <v>886</v>
      </c>
      <c r="M566" t="s">
        <v>893</v>
      </c>
      <c r="N566">
        <v>1</v>
      </c>
      <c r="O566">
        <v>2023</v>
      </c>
      <c r="P566">
        <v>3266.447780092843</v>
      </c>
      <c r="Q566">
        <v>16.265240809907731</v>
      </c>
      <c r="R566" t="s">
        <v>109</v>
      </c>
      <c r="S566">
        <v>200.8238192270191</v>
      </c>
      <c r="T566">
        <v>2.6963657678780768</v>
      </c>
      <c r="U566" t="s">
        <v>184</v>
      </c>
      <c r="V566">
        <v>2.6963657678780768</v>
      </c>
      <c r="W566">
        <v>9</v>
      </c>
      <c r="X566">
        <v>22</v>
      </c>
      <c r="Y566">
        <v>16</v>
      </c>
      <c r="Z566">
        <v>8.263812321365821E-2</v>
      </c>
      <c r="AA566">
        <v>31.536000000000001</v>
      </c>
    </row>
    <row r="567" spans="1:27" x14ac:dyDescent="0.25">
      <c r="A567" t="s">
        <v>98</v>
      </c>
      <c r="B567" t="s">
        <v>519</v>
      </c>
      <c r="C567" t="s">
        <v>689</v>
      </c>
      <c r="D567" t="s">
        <v>101</v>
      </c>
      <c r="E567" t="s">
        <v>179</v>
      </c>
      <c r="F567" t="s">
        <v>180</v>
      </c>
      <c r="G567" t="s">
        <v>119</v>
      </c>
      <c r="H567" t="s">
        <v>125</v>
      </c>
      <c r="I567">
        <v>2016</v>
      </c>
      <c r="J567" t="s">
        <v>197</v>
      </c>
      <c r="K567" t="s">
        <v>127</v>
      </c>
      <c r="L567" t="s">
        <v>886</v>
      </c>
      <c r="M567" t="s">
        <v>894</v>
      </c>
      <c r="N567">
        <v>1</v>
      </c>
      <c r="O567">
        <v>2020</v>
      </c>
      <c r="P567">
        <v>3719.0451778176089</v>
      </c>
      <c r="Q567">
        <v>16.265240809907731</v>
      </c>
      <c r="R567" t="s">
        <v>109</v>
      </c>
      <c r="S567">
        <v>228.64986883884359</v>
      </c>
      <c r="T567">
        <v>2.6377491207502932</v>
      </c>
      <c r="U567" t="s">
        <v>184</v>
      </c>
      <c r="V567">
        <v>2.6377491207502932</v>
      </c>
      <c r="W567">
        <v>9</v>
      </c>
      <c r="X567">
        <v>22</v>
      </c>
      <c r="Y567">
        <v>16</v>
      </c>
      <c r="Z567">
        <v>8.263812321365821E-2</v>
      </c>
      <c r="AA567">
        <v>31.536000000000001</v>
      </c>
    </row>
    <row r="568" spans="1:27" x14ac:dyDescent="0.25">
      <c r="A568" t="s">
        <v>98</v>
      </c>
      <c r="B568" t="s">
        <v>519</v>
      </c>
      <c r="C568" t="s">
        <v>689</v>
      </c>
      <c r="D568" t="s">
        <v>101</v>
      </c>
      <c r="E568" t="s">
        <v>179</v>
      </c>
      <c r="F568" t="s">
        <v>180</v>
      </c>
      <c r="G568" t="s">
        <v>119</v>
      </c>
      <c r="H568" t="s">
        <v>125</v>
      </c>
      <c r="I568">
        <v>2022</v>
      </c>
      <c r="J568" t="s">
        <v>199</v>
      </c>
      <c r="K568" t="s">
        <v>127</v>
      </c>
      <c r="L568" t="s">
        <v>886</v>
      </c>
      <c r="M568" t="s">
        <v>895</v>
      </c>
      <c r="N568">
        <v>1</v>
      </c>
      <c r="O568">
        <v>2022</v>
      </c>
      <c r="P568">
        <v>3914.784397702746</v>
      </c>
      <c r="Q568">
        <v>16.265240809907731</v>
      </c>
      <c r="R568" t="s">
        <v>109</v>
      </c>
      <c r="S568">
        <v>240.6840724619407</v>
      </c>
      <c r="T568">
        <v>2.9308323563892151</v>
      </c>
      <c r="U568" t="s">
        <v>184</v>
      </c>
      <c r="V568">
        <v>2.9308323563892151</v>
      </c>
      <c r="W568">
        <v>9</v>
      </c>
      <c r="X568">
        <v>22</v>
      </c>
      <c r="Y568">
        <v>16</v>
      </c>
      <c r="Z568">
        <v>8.263812321365821E-2</v>
      </c>
      <c r="AA568">
        <v>31.536000000000001</v>
      </c>
    </row>
    <row r="569" spans="1:27" x14ac:dyDescent="0.25">
      <c r="A569" t="s">
        <v>98</v>
      </c>
      <c r="B569" t="s">
        <v>519</v>
      </c>
      <c r="C569" t="s">
        <v>689</v>
      </c>
      <c r="D569" t="s">
        <v>101</v>
      </c>
      <c r="E569" t="s">
        <v>179</v>
      </c>
      <c r="F569" t="s">
        <v>201</v>
      </c>
      <c r="G569" t="s">
        <v>103</v>
      </c>
      <c r="H569" t="s">
        <v>125</v>
      </c>
      <c r="I569">
        <v>2016</v>
      </c>
      <c r="J569" t="s">
        <v>202</v>
      </c>
      <c r="K569" t="s">
        <v>127</v>
      </c>
      <c r="L569" t="s">
        <v>886</v>
      </c>
      <c r="M569" t="s">
        <v>896</v>
      </c>
      <c r="N569">
        <v>1</v>
      </c>
      <c r="O569">
        <v>2020</v>
      </c>
      <c r="P569">
        <v>9511.0007826155233</v>
      </c>
      <c r="Q569">
        <v>16.265240809907731</v>
      </c>
      <c r="R569" t="s">
        <v>109</v>
      </c>
      <c r="S569">
        <v>584.74392686655096</v>
      </c>
      <c r="T569">
        <v>3.2</v>
      </c>
      <c r="U569" t="s">
        <v>184</v>
      </c>
      <c r="V569">
        <v>3.2</v>
      </c>
      <c r="W569">
        <v>8</v>
      </c>
      <c r="X569">
        <v>20.8</v>
      </c>
      <c r="Y569">
        <v>15</v>
      </c>
      <c r="Z569">
        <v>8.263812321365821E-2</v>
      </c>
      <c r="AA569">
        <v>31.536000000000001</v>
      </c>
    </row>
    <row r="570" spans="1:27" x14ac:dyDescent="0.25">
      <c r="A570" t="s">
        <v>98</v>
      </c>
      <c r="B570" t="s">
        <v>519</v>
      </c>
      <c r="C570" t="s">
        <v>689</v>
      </c>
      <c r="D570" t="s">
        <v>101</v>
      </c>
      <c r="E570" t="s">
        <v>179</v>
      </c>
      <c r="F570" t="s">
        <v>201</v>
      </c>
      <c r="G570" t="s">
        <v>111</v>
      </c>
      <c r="H570" t="s">
        <v>125</v>
      </c>
      <c r="I570">
        <v>2016</v>
      </c>
      <c r="J570" t="s">
        <v>204</v>
      </c>
      <c r="K570" t="s">
        <v>127</v>
      </c>
      <c r="L570" t="s">
        <v>886</v>
      </c>
      <c r="M570" t="s">
        <v>897</v>
      </c>
      <c r="N570">
        <v>1</v>
      </c>
      <c r="O570">
        <v>2020</v>
      </c>
      <c r="P570">
        <v>9846.3245281564559</v>
      </c>
      <c r="Q570">
        <v>16.265240809907731</v>
      </c>
      <c r="R570" t="s">
        <v>109</v>
      </c>
      <c r="S570">
        <v>605.35989864710245</v>
      </c>
      <c r="T570">
        <v>3.7</v>
      </c>
      <c r="U570" t="s">
        <v>184</v>
      </c>
      <c r="V570">
        <v>3.7</v>
      </c>
      <c r="W570">
        <v>8</v>
      </c>
      <c r="X570">
        <v>20.8</v>
      </c>
      <c r="Y570">
        <v>15</v>
      </c>
      <c r="Z570">
        <v>8.263812321365821E-2</v>
      </c>
      <c r="AA570">
        <v>31.536000000000001</v>
      </c>
    </row>
    <row r="571" spans="1:27" x14ac:dyDescent="0.25">
      <c r="A571" t="s">
        <v>98</v>
      </c>
      <c r="B571" t="s">
        <v>519</v>
      </c>
      <c r="C571" t="s">
        <v>689</v>
      </c>
      <c r="D571" t="s">
        <v>101</v>
      </c>
      <c r="E571" t="s">
        <v>179</v>
      </c>
      <c r="F571" t="s">
        <v>201</v>
      </c>
      <c r="G571" t="s">
        <v>114</v>
      </c>
      <c r="H571" t="s">
        <v>125</v>
      </c>
      <c r="I571">
        <v>2016</v>
      </c>
      <c r="J571" t="s">
        <v>206</v>
      </c>
      <c r="K571" t="s">
        <v>127</v>
      </c>
      <c r="L571" t="s">
        <v>886</v>
      </c>
      <c r="M571" t="s">
        <v>898</v>
      </c>
      <c r="N571">
        <v>0</v>
      </c>
      <c r="O571">
        <v>2020</v>
      </c>
      <c r="P571">
        <v>9846.3245281564559</v>
      </c>
      <c r="Q571">
        <v>16.265240809907731</v>
      </c>
      <c r="R571" t="s">
        <v>109</v>
      </c>
      <c r="S571">
        <v>605.35989864710245</v>
      </c>
      <c r="T571">
        <v>3.6</v>
      </c>
      <c r="U571" t="s">
        <v>184</v>
      </c>
      <c r="V571">
        <v>3.6</v>
      </c>
      <c r="W571">
        <v>8</v>
      </c>
      <c r="X571">
        <v>20.8</v>
      </c>
      <c r="Y571">
        <v>15</v>
      </c>
      <c r="Z571">
        <v>8.263812321365821E-2</v>
      </c>
      <c r="AA571">
        <v>31.536000000000001</v>
      </c>
    </row>
    <row r="572" spans="1:27" x14ac:dyDescent="0.25">
      <c r="A572" t="s">
        <v>98</v>
      </c>
      <c r="B572" t="s">
        <v>519</v>
      </c>
      <c r="C572" t="s">
        <v>689</v>
      </c>
      <c r="D572" t="s">
        <v>101</v>
      </c>
      <c r="E572" t="s">
        <v>179</v>
      </c>
      <c r="F572" t="s">
        <v>201</v>
      </c>
      <c r="G572" t="s">
        <v>114</v>
      </c>
      <c r="H572" t="s">
        <v>125</v>
      </c>
      <c r="I572">
        <v>2020</v>
      </c>
      <c r="J572" t="s">
        <v>208</v>
      </c>
      <c r="K572" t="s">
        <v>127</v>
      </c>
      <c r="L572" t="s">
        <v>886</v>
      </c>
      <c r="M572" t="s">
        <v>898</v>
      </c>
      <c r="N572">
        <v>1</v>
      </c>
      <c r="O572">
        <v>2020</v>
      </c>
      <c r="P572">
        <v>9846.3245281564559</v>
      </c>
      <c r="Q572">
        <v>16.265240809907731</v>
      </c>
      <c r="R572" t="s">
        <v>109</v>
      </c>
      <c r="S572">
        <v>605.35989864710245</v>
      </c>
      <c r="T572">
        <v>3.6</v>
      </c>
      <c r="U572" t="s">
        <v>184</v>
      </c>
      <c r="V572">
        <v>3.6</v>
      </c>
      <c r="W572">
        <v>8</v>
      </c>
      <c r="X572">
        <v>20.8</v>
      </c>
      <c r="Y572">
        <v>15</v>
      </c>
      <c r="Z572">
        <v>8.263812321365821E-2</v>
      </c>
      <c r="AA572">
        <v>31.536000000000001</v>
      </c>
    </row>
    <row r="573" spans="1:27" x14ac:dyDescent="0.25">
      <c r="A573" t="s">
        <v>98</v>
      </c>
      <c r="B573" t="s">
        <v>519</v>
      </c>
      <c r="C573" t="s">
        <v>689</v>
      </c>
      <c r="D573" t="s">
        <v>101</v>
      </c>
      <c r="E573" t="s">
        <v>179</v>
      </c>
      <c r="F573" t="s">
        <v>201</v>
      </c>
      <c r="G573" t="s">
        <v>114</v>
      </c>
      <c r="H573" t="s">
        <v>125</v>
      </c>
      <c r="I573">
        <v>2022</v>
      </c>
      <c r="J573" t="s">
        <v>209</v>
      </c>
      <c r="K573" t="s">
        <v>127</v>
      </c>
      <c r="L573" t="s">
        <v>886</v>
      </c>
      <c r="M573" t="s">
        <v>899</v>
      </c>
      <c r="N573">
        <v>1</v>
      </c>
      <c r="O573">
        <v>2022</v>
      </c>
      <c r="P573">
        <v>9846.3245281564559</v>
      </c>
      <c r="Q573">
        <v>16.265240809907731</v>
      </c>
      <c r="R573" t="s">
        <v>109</v>
      </c>
      <c r="S573">
        <v>605.35989864710245</v>
      </c>
      <c r="T573">
        <v>3.6</v>
      </c>
      <c r="U573" t="s">
        <v>184</v>
      </c>
      <c r="V573">
        <v>3.6</v>
      </c>
      <c r="W573">
        <v>8</v>
      </c>
      <c r="X573">
        <v>20.8</v>
      </c>
      <c r="Y573">
        <v>15</v>
      </c>
      <c r="Z573">
        <v>8.263812321365821E-2</v>
      </c>
      <c r="AA573">
        <v>31.536000000000001</v>
      </c>
    </row>
    <row r="574" spans="1:27" x14ac:dyDescent="0.25">
      <c r="A574" t="s">
        <v>98</v>
      </c>
      <c r="B574" t="s">
        <v>519</v>
      </c>
      <c r="C574" t="s">
        <v>689</v>
      </c>
      <c r="D574" t="s">
        <v>101</v>
      </c>
      <c r="E574" t="s">
        <v>179</v>
      </c>
      <c r="F574" t="s">
        <v>201</v>
      </c>
      <c r="G574" t="s">
        <v>114</v>
      </c>
      <c r="H574" t="s">
        <v>125</v>
      </c>
      <c r="I574">
        <v>2023</v>
      </c>
      <c r="J574" t="s">
        <v>211</v>
      </c>
      <c r="K574" t="s">
        <v>127</v>
      </c>
      <c r="L574" t="s">
        <v>886</v>
      </c>
      <c r="M574" t="s">
        <v>900</v>
      </c>
      <c r="N574">
        <v>1</v>
      </c>
      <c r="O574">
        <v>2023</v>
      </c>
      <c r="P574">
        <v>9846.3245281564559</v>
      </c>
      <c r="Q574">
        <v>16.265240809907731</v>
      </c>
      <c r="R574" t="s">
        <v>109</v>
      </c>
      <c r="S574">
        <v>605.35989864710245</v>
      </c>
      <c r="T574">
        <v>3.6</v>
      </c>
      <c r="U574" t="s">
        <v>184</v>
      </c>
      <c r="V574">
        <v>3.6</v>
      </c>
      <c r="W574">
        <v>8</v>
      </c>
      <c r="X574">
        <v>20.8</v>
      </c>
      <c r="Y574">
        <v>15</v>
      </c>
      <c r="Z574">
        <v>8.263812321365821E-2</v>
      </c>
      <c r="AA574">
        <v>31.536000000000001</v>
      </c>
    </row>
    <row r="575" spans="1:27" x14ac:dyDescent="0.25">
      <c r="A575" t="s">
        <v>98</v>
      </c>
      <c r="B575" t="s">
        <v>519</v>
      </c>
      <c r="C575" t="s">
        <v>689</v>
      </c>
      <c r="D575" t="s">
        <v>101</v>
      </c>
      <c r="E575" t="s">
        <v>179</v>
      </c>
      <c r="F575" t="s">
        <v>201</v>
      </c>
      <c r="G575" t="s">
        <v>114</v>
      </c>
      <c r="H575" t="s">
        <v>125</v>
      </c>
      <c r="I575">
        <v>2024</v>
      </c>
      <c r="J575" t="s">
        <v>213</v>
      </c>
      <c r="K575" t="s">
        <v>127</v>
      </c>
      <c r="L575" t="s">
        <v>886</v>
      </c>
      <c r="M575" t="s">
        <v>901</v>
      </c>
      <c r="N575">
        <v>1</v>
      </c>
      <c r="O575">
        <v>2024</v>
      </c>
      <c r="P575">
        <v>9846.3245281564559</v>
      </c>
      <c r="Q575">
        <v>16.265240809907731</v>
      </c>
      <c r="R575" t="s">
        <v>109</v>
      </c>
      <c r="S575">
        <v>605.35989864710245</v>
      </c>
      <c r="T575">
        <v>3.6</v>
      </c>
      <c r="U575" t="s">
        <v>184</v>
      </c>
      <c r="V575">
        <v>3.6</v>
      </c>
      <c r="W575">
        <v>8</v>
      </c>
      <c r="X575">
        <v>20.8</v>
      </c>
      <c r="Y575">
        <v>15</v>
      </c>
      <c r="Z575">
        <v>8.263812321365821E-2</v>
      </c>
      <c r="AA575">
        <v>31.536000000000001</v>
      </c>
    </row>
    <row r="576" spans="1:27" x14ac:dyDescent="0.25">
      <c r="A576" t="s">
        <v>98</v>
      </c>
      <c r="B576" t="s">
        <v>519</v>
      </c>
      <c r="C576" t="s">
        <v>689</v>
      </c>
      <c r="D576" t="s">
        <v>101</v>
      </c>
      <c r="E576" t="s">
        <v>179</v>
      </c>
      <c r="F576" t="s">
        <v>201</v>
      </c>
      <c r="G576" t="s">
        <v>119</v>
      </c>
      <c r="H576" t="s">
        <v>125</v>
      </c>
      <c r="I576">
        <v>2016</v>
      </c>
      <c r="J576" t="s">
        <v>215</v>
      </c>
      <c r="K576" t="s">
        <v>127</v>
      </c>
      <c r="L576" t="s">
        <v>886</v>
      </c>
      <c r="M576" t="s">
        <v>902</v>
      </c>
      <c r="N576">
        <v>0</v>
      </c>
      <c r="O576">
        <v>2020</v>
      </c>
      <c r="P576">
        <v>10395.03611176889</v>
      </c>
      <c r="Q576">
        <v>16.265240809907731</v>
      </c>
      <c r="R576" t="s">
        <v>109</v>
      </c>
      <c r="S576">
        <v>639.09512519709574</v>
      </c>
      <c r="T576">
        <v>4.5</v>
      </c>
      <c r="U576" t="s">
        <v>184</v>
      </c>
      <c r="V576">
        <v>4.5</v>
      </c>
      <c r="W576">
        <v>8</v>
      </c>
      <c r="X576">
        <v>20.8</v>
      </c>
      <c r="Y576">
        <v>15</v>
      </c>
      <c r="Z576">
        <v>8.263812321365821E-2</v>
      </c>
      <c r="AA576">
        <v>31.536000000000001</v>
      </c>
    </row>
    <row r="577" spans="1:27" x14ac:dyDescent="0.25">
      <c r="A577" t="s">
        <v>98</v>
      </c>
      <c r="B577" t="s">
        <v>519</v>
      </c>
      <c r="C577" t="s">
        <v>689</v>
      </c>
      <c r="D577" t="s">
        <v>101</v>
      </c>
      <c r="E577" t="s">
        <v>179</v>
      </c>
      <c r="F577" t="s">
        <v>201</v>
      </c>
      <c r="G577" t="s">
        <v>119</v>
      </c>
      <c r="H577" t="s">
        <v>125</v>
      </c>
      <c r="I577">
        <v>2020</v>
      </c>
      <c r="J577" t="s">
        <v>217</v>
      </c>
      <c r="K577" t="s">
        <v>127</v>
      </c>
      <c r="L577" t="s">
        <v>886</v>
      </c>
      <c r="M577" t="s">
        <v>902</v>
      </c>
      <c r="N577">
        <v>1</v>
      </c>
      <c r="O577">
        <v>2020</v>
      </c>
      <c r="P577">
        <v>10395.03611176889</v>
      </c>
      <c r="Q577">
        <v>16.265240809907731</v>
      </c>
      <c r="R577" t="s">
        <v>109</v>
      </c>
      <c r="S577">
        <v>639.09512519709574</v>
      </c>
      <c r="T577">
        <v>4.5</v>
      </c>
      <c r="U577" t="s">
        <v>184</v>
      </c>
      <c r="V577">
        <v>4.5</v>
      </c>
      <c r="W577">
        <v>8</v>
      </c>
      <c r="X577">
        <v>20.8</v>
      </c>
      <c r="Y577">
        <v>15</v>
      </c>
      <c r="Z577">
        <v>8.263812321365821E-2</v>
      </c>
      <c r="AA577">
        <v>31.536000000000001</v>
      </c>
    </row>
    <row r="578" spans="1:27" x14ac:dyDescent="0.25">
      <c r="A578" t="s">
        <v>98</v>
      </c>
      <c r="B578" t="s">
        <v>519</v>
      </c>
      <c r="C578" t="s">
        <v>689</v>
      </c>
      <c r="D578" t="s">
        <v>101</v>
      </c>
      <c r="E578" t="s">
        <v>179</v>
      </c>
      <c r="F578" t="s">
        <v>201</v>
      </c>
      <c r="G578" t="s">
        <v>119</v>
      </c>
      <c r="H578" t="s">
        <v>125</v>
      </c>
      <c r="I578">
        <v>2022</v>
      </c>
      <c r="J578" t="s">
        <v>218</v>
      </c>
      <c r="K578" t="s">
        <v>127</v>
      </c>
      <c r="L578" t="s">
        <v>886</v>
      </c>
      <c r="M578" t="s">
        <v>903</v>
      </c>
      <c r="N578">
        <v>1</v>
      </c>
      <c r="O578">
        <v>2022</v>
      </c>
      <c r="P578">
        <v>10395.03611176889</v>
      </c>
      <c r="Q578">
        <v>16.265240809907731</v>
      </c>
      <c r="R578" t="s">
        <v>109</v>
      </c>
      <c r="S578">
        <v>639.09512519709574</v>
      </c>
      <c r="T578">
        <v>4.5</v>
      </c>
      <c r="U578" t="s">
        <v>184</v>
      </c>
      <c r="V578">
        <v>4.5</v>
      </c>
      <c r="W578">
        <v>8</v>
      </c>
      <c r="X578">
        <v>20.8</v>
      </c>
      <c r="Y578">
        <v>15</v>
      </c>
      <c r="Z578">
        <v>8.263812321365821E-2</v>
      </c>
      <c r="AA578">
        <v>31.536000000000001</v>
      </c>
    </row>
    <row r="579" spans="1:27" x14ac:dyDescent="0.25">
      <c r="A579" t="s">
        <v>98</v>
      </c>
      <c r="B579" t="s">
        <v>519</v>
      </c>
      <c r="C579" t="s">
        <v>689</v>
      </c>
      <c r="D579" t="s">
        <v>101</v>
      </c>
      <c r="E579" t="s">
        <v>179</v>
      </c>
      <c r="F579" t="s">
        <v>201</v>
      </c>
      <c r="G579" t="s">
        <v>119</v>
      </c>
      <c r="H579" t="s">
        <v>125</v>
      </c>
      <c r="I579">
        <v>2023</v>
      </c>
      <c r="J579" t="s">
        <v>220</v>
      </c>
      <c r="K579" t="s">
        <v>127</v>
      </c>
      <c r="L579" t="s">
        <v>886</v>
      </c>
      <c r="M579" t="s">
        <v>904</v>
      </c>
      <c r="N579">
        <v>1</v>
      </c>
      <c r="O579">
        <v>2023</v>
      </c>
      <c r="P579">
        <v>10395.03611176889</v>
      </c>
      <c r="Q579">
        <v>16.265240809907731</v>
      </c>
      <c r="R579" t="s">
        <v>109</v>
      </c>
      <c r="S579">
        <v>639.09512519709574</v>
      </c>
      <c r="T579">
        <v>4.5</v>
      </c>
      <c r="U579" t="s">
        <v>184</v>
      </c>
      <c r="V579">
        <v>4.5</v>
      </c>
      <c r="W579">
        <v>8</v>
      </c>
      <c r="X579">
        <v>20.8</v>
      </c>
      <c r="Y579">
        <v>15</v>
      </c>
      <c r="Z579">
        <v>8.263812321365821E-2</v>
      </c>
      <c r="AA579">
        <v>31.536000000000001</v>
      </c>
    </row>
    <row r="580" spans="1:27" x14ac:dyDescent="0.25">
      <c r="A580" t="s">
        <v>98</v>
      </c>
      <c r="B580" t="s">
        <v>519</v>
      </c>
      <c r="C580" t="s">
        <v>689</v>
      </c>
      <c r="D580" t="s">
        <v>101</v>
      </c>
      <c r="E580" t="s">
        <v>179</v>
      </c>
      <c r="F580" t="s">
        <v>201</v>
      </c>
      <c r="G580" t="s">
        <v>119</v>
      </c>
      <c r="H580" t="s">
        <v>125</v>
      </c>
      <c r="I580">
        <v>2024</v>
      </c>
      <c r="J580" t="s">
        <v>222</v>
      </c>
      <c r="K580" t="s">
        <v>127</v>
      </c>
      <c r="L580" t="s">
        <v>886</v>
      </c>
      <c r="M580" t="s">
        <v>905</v>
      </c>
      <c r="N580">
        <v>1</v>
      </c>
      <c r="O580">
        <v>2024</v>
      </c>
      <c r="P580">
        <v>10395.03611176889</v>
      </c>
      <c r="Q580">
        <v>16.265240809907731</v>
      </c>
      <c r="R580" t="s">
        <v>109</v>
      </c>
      <c r="S580">
        <v>639.09512519709574</v>
      </c>
      <c r="T580">
        <v>4.5</v>
      </c>
      <c r="U580" t="s">
        <v>184</v>
      </c>
      <c r="V580">
        <v>4.5</v>
      </c>
      <c r="W580">
        <v>8</v>
      </c>
      <c r="X580">
        <v>20.8</v>
      </c>
      <c r="Y580">
        <v>15</v>
      </c>
      <c r="Z580">
        <v>8.263812321365821E-2</v>
      </c>
      <c r="AA580">
        <v>31.536000000000001</v>
      </c>
    </row>
    <row r="581" spans="1:27" x14ac:dyDescent="0.25">
      <c r="A581" t="s">
        <v>98</v>
      </c>
      <c r="B581" t="s">
        <v>519</v>
      </c>
      <c r="C581" t="s">
        <v>689</v>
      </c>
      <c r="D581" t="s">
        <v>101</v>
      </c>
      <c r="E581" t="s">
        <v>179</v>
      </c>
      <c r="F581" t="s">
        <v>224</v>
      </c>
      <c r="G581" t="s">
        <v>111</v>
      </c>
      <c r="H581" t="s">
        <v>125</v>
      </c>
      <c r="I581">
        <v>2016</v>
      </c>
      <c r="J581" t="s">
        <v>225</v>
      </c>
      <c r="K581" t="s">
        <v>127</v>
      </c>
      <c r="L581" t="s">
        <v>886</v>
      </c>
      <c r="M581" t="s">
        <v>906</v>
      </c>
      <c r="N581">
        <v>1</v>
      </c>
      <c r="O581">
        <v>2020</v>
      </c>
      <c r="P581">
        <v>1341.294982163728</v>
      </c>
      <c r="Q581">
        <v>16.265240809907731</v>
      </c>
      <c r="R581" t="s">
        <v>109</v>
      </c>
      <c r="S581">
        <v>82.463887122205904</v>
      </c>
      <c r="T581">
        <v>0.98</v>
      </c>
      <c r="U581" t="s">
        <v>227</v>
      </c>
      <c r="V581">
        <v>0.98</v>
      </c>
      <c r="W581">
        <v>15</v>
      </c>
      <c r="X581">
        <v>30</v>
      </c>
      <c r="Y581">
        <v>23</v>
      </c>
      <c r="Z581">
        <v>8.263812321365821E-2</v>
      </c>
      <c r="AA581">
        <v>31.536000000000001</v>
      </c>
    </row>
    <row r="582" spans="1:27" x14ac:dyDescent="0.25">
      <c r="A582" t="s">
        <v>98</v>
      </c>
      <c r="B582" t="s">
        <v>519</v>
      </c>
      <c r="C582" t="s">
        <v>689</v>
      </c>
      <c r="D582" t="s">
        <v>101</v>
      </c>
      <c r="E582" t="s">
        <v>179</v>
      </c>
      <c r="F582" t="s">
        <v>228</v>
      </c>
      <c r="G582" t="s">
        <v>103</v>
      </c>
      <c r="H582" t="s">
        <v>104</v>
      </c>
      <c r="I582">
        <v>2016</v>
      </c>
      <c r="J582" t="s">
        <v>229</v>
      </c>
      <c r="K582" t="s">
        <v>106</v>
      </c>
      <c r="L582" t="s">
        <v>886</v>
      </c>
      <c r="M582" t="s">
        <v>907</v>
      </c>
      <c r="N582">
        <v>1</v>
      </c>
      <c r="O582">
        <v>2020</v>
      </c>
      <c r="P582">
        <v>2499.6861031233111</v>
      </c>
      <c r="Q582">
        <v>16.265240809907731</v>
      </c>
      <c r="R582" t="s">
        <v>109</v>
      </c>
      <c r="S582">
        <v>153.68269872774741</v>
      </c>
      <c r="T582">
        <v>0.8</v>
      </c>
      <c r="U582" t="s">
        <v>227</v>
      </c>
      <c r="V582">
        <v>0.8</v>
      </c>
      <c r="W582">
        <v>16</v>
      </c>
      <c r="X582">
        <v>27</v>
      </c>
      <c r="Y582">
        <v>22</v>
      </c>
      <c r="Z582">
        <v>8.263812321365821E-2</v>
      </c>
      <c r="AA582">
        <v>31.536000000000001</v>
      </c>
    </row>
    <row r="583" spans="1:27" x14ac:dyDescent="0.25">
      <c r="A583" t="s">
        <v>98</v>
      </c>
      <c r="B583" t="s">
        <v>519</v>
      </c>
      <c r="C583" t="s">
        <v>689</v>
      </c>
      <c r="D583" t="s">
        <v>101</v>
      </c>
      <c r="E583" t="s">
        <v>179</v>
      </c>
      <c r="F583" t="s">
        <v>228</v>
      </c>
      <c r="G583" t="s">
        <v>111</v>
      </c>
      <c r="H583" t="s">
        <v>104</v>
      </c>
      <c r="I583">
        <v>2016</v>
      </c>
      <c r="J583" t="s">
        <v>231</v>
      </c>
      <c r="K583" t="s">
        <v>106</v>
      </c>
      <c r="L583" t="s">
        <v>886</v>
      </c>
      <c r="M583" t="s">
        <v>908</v>
      </c>
      <c r="N583">
        <v>0</v>
      </c>
      <c r="O583">
        <v>2020</v>
      </c>
      <c r="P583">
        <v>3182.5271849521182</v>
      </c>
      <c r="Q583">
        <v>16.265240809907731</v>
      </c>
      <c r="R583" t="s">
        <v>109</v>
      </c>
      <c r="S583">
        <v>195.6643139899613</v>
      </c>
      <c r="T583">
        <v>0.92</v>
      </c>
      <c r="U583" t="s">
        <v>227</v>
      </c>
      <c r="V583">
        <v>0.92</v>
      </c>
      <c r="W583">
        <v>16</v>
      </c>
      <c r="X583">
        <v>27</v>
      </c>
      <c r="Y583">
        <v>22</v>
      </c>
      <c r="Z583">
        <v>8.263812321365821E-2</v>
      </c>
      <c r="AA583">
        <v>31.536000000000001</v>
      </c>
    </row>
    <row r="584" spans="1:27" x14ac:dyDescent="0.25">
      <c r="A584" t="s">
        <v>98</v>
      </c>
      <c r="B584" t="s">
        <v>519</v>
      </c>
      <c r="C584" t="s">
        <v>689</v>
      </c>
      <c r="D584" t="s">
        <v>101</v>
      </c>
      <c r="E584" t="s">
        <v>179</v>
      </c>
      <c r="F584" t="s">
        <v>228</v>
      </c>
      <c r="G584" t="s">
        <v>111</v>
      </c>
      <c r="H584" t="s">
        <v>104</v>
      </c>
      <c r="I584">
        <v>2020</v>
      </c>
      <c r="J584" t="s">
        <v>233</v>
      </c>
      <c r="K584" t="s">
        <v>106</v>
      </c>
      <c r="L584" t="s">
        <v>886</v>
      </c>
      <c r="M584" t="s">
        <v>908</v>
      </c>
      <c r="N584">
        <v>1</v>
      </c>
      <c r="O584">
        <v>2020</v>
      </c>
      <c r="P584">
        <v>3365.4310461562618</v>
      </c>
      <c r="Q584">
        <v>16.265240809907731</v>
      </c>
      <c r="R584" t="s">
        <v>109</v>
      </c>
      <c r="S584">
        <v>206.9093895066257</v>
      </c>
      <c r="T584">
        <v>0.92</v>
      </c>
      <c r="U584" t="s">
        <v>227</v>
      </c>
      <c r="V584">
        <v>0.92</v>
      </c>
      <c r="W584">
        <v>16</v>
      </c>
      <c r="X584">
        <v>27</v>
      </c>
      <c r="Y584">
        <v>22</v>
      </c>
      <c r="Z584">
        <v>8.263812321365821E-2</v>
      </c>
      <c r="AA584">
        <v>31.536000000000001</v>
      </c>
    </row>
    <row r="585" spans="1:27" x14ac:dyDescent="0.25">
      <c r="A585" t="s">
        <v>98</v>
      </c>
      <c r="B585" t="s">
        <v>519</v>
      </c>
      <c r="C585" t="s">
        <v>689</v>
      </c>
      <c r="D585" t="s">
        <v>101</v>
      </c>
      <c r="E585" t="s">
        <v>179</v>
      </c>
      <c r="F585" t="s">
        <v>228</v>
      </c>
      <c r="G585" t="s">
        <v>114</v>
      </c>
      <c r="H585" t="s">
        <v>104</v>
      </c>
      <c r="I585">
        <v>2016</v>
      </c>
      <c r="J585" t="s">
        <v>234</v>
      </c>
      <c r="K585" t="s">
        <v>106</v>
      </c>
      <c r="L585" t="s">
        <v>886</v>
      </c>
      <c r="M585" t="s">
        <v>909</v>
      </c>
      <c r="N585">
        <v>1</v>
      </c>
      <c r="O585">
        <v>2020</v>
      </c>
      <c r="P585">
        <v>3341.043864662377</v>
      </c>
      <c r="Q585">
        <v>16.265240809907731</v>
      </c>
      <c r="R585" t="s">
        <v>109</v>
      </c>
      <c r="S585">
        <v>205.41004610440379</v>
      </c>
      <c r="T585">
        <v>0.95</v>
      </c>
      <c r="U585" t="s">
        <v>227</v>
      </c>
      <c r="V585">
        <v>0.95</v>
      </c>
      <c r="W585">
        <v>16</v>
      </c>
      <c r="X585">
        <v>27</v>
      </c>
      <c r="Y585">
        <v>22</v>
      </c>
      <c r="Z585">
        <v>8.263812321365821E-2</v>
      </c>
      <c r="AA585">
        <v>31.536000000000001</v>
      </c>
    </row>
    <row r="586" spans="1:27" x14ac:dyDescent="0.25">
      <c r="A586" t="s">
        <v>98</v>
      </c>
      <c r="B586" t="s">
        <v>519</v>
      </c>
      <c r="C586" t="s">
        <v>689</v>
      </c>
      <c r="D586" t="s">
        <v>101</v>
      </c>
      <c r="E586" t="s">
        <v>179</v>
      </c>
      <c r="F586" t="s">
        <v>228</v>
      </c>
      <c r="G586" t="s">
        <v>114</v>
      </c>
      <c r="H586" t="s">
        <v>104</v>
      </c>
      <c r="I586">
        <v>2022</v>
      </c>
      <c r="J586" t="s">
        <v>236</v>
      </c>
      <c r="K586" t="s">
        <v>106</v>
      </c>
      <c r="L586" t="s">
        <v>886</v>
      </c>
      <c r="M586" t="s">
        <v>910</v>
      </c>
      <c r="N586">
        <v>1</v>
      </c>
      <c r="O586">
        <v>2022</v>
      </c>
      <c r="P586">
        <v>3341.043864662377</v>
      </c>
      <c r="Q586">
        <v>16.265240809907731</v>
      </c>
      <c r="R586" t="s">
        <v>109</v>
      </c>
      <c r="S586">
        <v>205.41004610440379</v>
      </c>
      <c r="T586">
        <v>0.95</v>
      </c>
      <c r="U586" t="s">
        <v>227</v>
      </c>
      <c r="V586">
        <v>0.95</v>
      </c>
      <c r="W586">
        <v>16</v>
      </c>
      <c r="X586">
        <v>27</v>
      </c>
      <c r="Y586">
        <v>22</v>
      </c>
      <c r="Z586">
        <v>8.263812321365821E-2</v>
      </c>
      <c r="AA586">
        <v>31.536000000000001</v>
      </c>
    </row>
    <row r="587" spans="1:27" x14ac:dyDescent="0.25">
      <c r="A587" t="s">
        <v>98</v>
      </c>
      <c r="B587" t="s">
        <v>519</v>
      </c>
      <c r="C587" t="s">
        <v>689</v>
      </c>
      <c r="D587" t="s">
        <v>101</v>
      </c>
      <c r="E587" t="s">
        <v>179</v>
      </c>
      <c r="F587" t="s">
        <v>228</v>
      </c>
      <c r="G587" t="s">
        <v>119</v>
      </c>
      <c r="H587" t="s">
        <v>104</v>
      </c>
      <c r="I587">
        <v>2016</v>
      </c>
      <c r="J587" t="s">
        <v>238</v>
      </c>
      <c r="K587" t="s">
        <v>106</v>
      </c>
      <c r="L587" t="s">
        <v>886</v>
      </c>
      <c r="M587" t="s">
        <v>911</v>
      </c>
      <c r="N587">
        <v>1</v>
      </c>
      <c r="O587">
        <v>2020</v>
      </c>
      <c r="P587">
        <v>3706.851587070666</v>
      </c>
      <c r="Q587">
        <v>16.265240809907731</v>
      </c>
      <c r="R587" t="s">
        <v>109</v>
      </c>
      <c r="S587">
        <v>227.9001971377327</v>
      </c>
      <c r="T587">
        <v>0.99</v>
      </c>
      <c r="U587" t="s">
        <v>227</v>
      </c>
      <c r="V587">
        <v>0.99</v>
      </c>
      <c r="W587">
        <v>16</v>
      </c>
      <c r="X587">
        <v>27</v>
      </c>
      <c r="Y587">
        <v>22</v>
      </c>
      <c r="Z587">
        <v>8.263812321365821E-2</v>
      </c>
      <c r="AA587">
        <v>31.536000000000001</v>
      </c>
    </row>
    <row r="588" spans="1:27" x14ac:dyDescent="0.25">
      <c r="A588" t="s">
        <v>98</v>
      </c>
      <c r="B588" t="s">
        <v>519</v>
      </c>
      <c r="C588" t="s">
        <v>689</v>
      </c>
      <c r="D588" t="s">
        <v>101</v>
      </c>
      <c r="E588" t="s">
        <v>179</v>
      </c>
      <c r="F588" t="s">
        <v>228</v>
      </c>
      <c r="G588" t="s">
        <v>119</v>
      </c>
      <c r="H588" t="s">
        <v>104</v>
      </c>
      <c r="I588">
        <v>2022</v>
      </c>
      <c r="J588" t="s">
        <v>240</v>
      </c>
      <c r="K588" t="s">
        <v>106</v>
      </c>
      <c r="L588" t="s">
        <v>886</v>
      </c>
      <c r="M588" t="s">
        <v>912</v>
      </c>
      <c r="N588">
        <v>1</v>
      </c>
      <c r="O588">
        <v>2022</v>
      </c>
      <c r="P588">
        <v>3706.851587070666</v>
      </c>
      <c r="Q588">
        <v>16.265240809907731</v>
      </c>
      <c r="R588" t="s">
        <v>109</v>
      </c>
      <c r="S588">
        <v>227.9001971377327</v>
      </c>
      <c r="T588">
        <v>0.99</v>
      </c>
      <c r="U588" t="s">
        <v>227</v>
      </c>
      <c r="V588">
        <v>0.99</v>
      </c>
      <c r="W588">
        <v>16</v>
      </c>
      <c r="X588">
        <v>27</v>
      </c>
      <c r="Y588">
        <v>22</v>
      </c>
      <c r="Z588">
        <v>8.263812321365821E-2</v>
      </c>
      <c r="AA588">
        <v>31.536000000000001</v>
      </c>
    </row>
    <row r="589" spans="1:27" x14ac:dyDescent="0.25">
      <c r="A589" t="s">
        <v>98</v>
      </c>
      <c r="B589" t="s">
        <v>519</v>
      </c>
      <c r="C589" t="s">
        <v>689</v>
      </c>
      <c r="D589" t="s">
        <v>101</v>
      </c>
      <c r="E589" t="s">
        <v>179</v>
      </c>
      <c r="F589" t="s">
        <v>224</v>
      </c>
      <c r="G589" t="s">
        <v>103</v>
      </c>
      <c r="H589" t="s">
        <v>104</v>
      </c>
      <c r="I589">
        <v>2016</v>
      </c>
      <c r="J589" t="s">
        <v>242</v>
      </c>
      <c r="K589" t="s">
        <v>106</v>
      </c>
      <c r="L589" t="s">
        <v>886</v>
      </c>
      <c r="M589" t="s">
        <v>913</v>
      </c>
      <c r="N589">
        <v>1</v>
      </c>
      <c r="O589">
        <v>2020</v>
      </c>
      <c r="P589">
        <v>8748.901360931588</v>
      </c>
      <c r="Q589">
        <v>16.265240809907731</v>
      </c>
      <c r="R589" t="s">
        <v>109</v>
      </c>
      <c r="S589">
        <v>537.88944554711577</v>
      </c>
      <c r="T589">
        <v>0.82</v>
      </c>
      <c r="U589" t="s">
        <v>227</v>
      </c>
      <c r="V589">
        <v>0.82</v>
      </c>
      <c r="W589">
        <v>20</v>
      </c>
      <c r="X589">
        <v>30</v>
      </c>
      <c r="Y589">
        <v>26</v>
      </c>
      <c r="Z589">
        <v>8.263812321365821E-2</v>
      </c>
      <c r="AA589">
        <v>31.536000000000001</v>
      </c>
    </row>
    <row r="590" spans="1:27" x14ac:dyDescent="0.25">
      <c r="A590" t="s">
        <v>98</v>
      </c>
      <c r="B590" t="s">
        <v>519</v>
      </c>
      <c r="C590" t="s">
        <v>689</v>
      </c>
      <c r="D590" t="s">
        <v>101</v>
      </c>
      <c r="E590" t="s">
        <v>179</v>
      </c>
      <c r="F590" t="s">
        <v>224</v>
      </c>
      <c r="G590" t="s">
        <v>103</v>
      </c>
      <c r="H590" t="s">
        <v>104</v>
      </c>
      <c r="I590">
        <v>2021</v>
      </c>
      <c r="J590" t="s">
        <v>244</v>
      </c>
      <c r="K590" t="s">
        <v>106</v>
      </c>
      <c r="L590" t="s">
        <v>886</v>
      </c>
      <c r="M590" t="s">
        <v>914</v>
      </c>
      <c r="N590">
        <v>1</v>
      </c>
      <c r="O590">
        <v>2021</v>
      </c>
      <c r="P590">
        <v>8962.2891990030894</v>
      </c>
      <c r="Q590">
        <v>16.265240809907731</v>
      </c>
      <c r="R590" t="s">
        <v>109</v>
      </c>
      <c r="S590">
        <v>551.00870031655757</v>
      </c>
      <c r="T590">
        <v>0.84</v>
      </c>
      <c r="U590" t="s">
        <v>227</v>
      </c>
      <c r="V590">
        <v>0.84</v>
      </c>
      <c r="W590">
        <v>20</v>
      </c>
      <c r="X590">
        <v>30</v>
      </c>
      <c r="Y590">
        <v>26</v>
      </c>
      <c r="Z590">
        <v>8.263812321365821E-2</v>
      </c>
      <c r="AA590">
        <v>31.536000000000001</v>
      </c>
    </row>
    <row r="591" spans="1:27" x14ac:dyDescent="0.25">
      <c r="A591" t="s">
        <v>98</v>
      </c>
      <c r="B591" t="s">
        <v>519</v>
      </c>
      <c r="C591" t="s">
        <v>689</v>
      </c>
      <c r="D591" t="s">
        <v>101</v>
      </c>
      <c r="E591" t="s">
        <v>179</v>
      </c>
      <c r="F591" t="s">
        <v>224</v>
      </c>
      <c r="G591" t="s">
        <v>111</v>
      </c>
      <c r="H591" t="s">
        <v>104</v>
      </c>
      <c r="I591">
        <v>2016</v>
      </c>
      <c r="J591" t="s">
        <v>246</v>
      </c>
      <c r="K591" t="s">
        <v>106</v>
      </c>
      <c r="L591" t="s">
        <v>886</v>
      </c>
      <c r="M591" t="s">
        <v>915</v>
      </c>
      <c r="N591">
        <v>0</v>
      </c>
      <c r="O591">
        <v>2020</v>
      </c>
      <c r="P591">
        <v>8748.901360931588</v>
      </c>
      <c r="Q591">
        <v>16.265240809907731</v>
      </c>
      <c r="R591" t="s">
        <v>109</v>
      </c>
      <c r="S591">
        <v>537.88944554711577</v>
      </c>
      <c r="T591">
        <v>0.82</v>
      </c>
      <c r="U591" t="s">
        <v>227</v>
      </c>
      <c r="V591">
        <v>0.82</v>
      </c>
      <c r="W591">
        <v>20</v>
      </c>
      <c r="X591">
        <v>30</v>
      </c>
      <c r="Y591">
        <v>26</v>
      </c>
      <c r="Z591">
        <v>8.263812321365821E-2</v>
      </c>
      <c r="AA591">
        <v>31.536000000000001</v>
      </c>
    </row>
    <row r="592" spans="1:27" x14ac:dyDescent="0.25">
      <c r="A592" t="s">
        <v>98</v>
      </c>
      <c r="B592" t="s">
        <v>519</v>
      </c>
      <c r="C592" t="s">
        <v>689</v>
      </c>
      <c r="D592" t="s">
        <v>101</v>
      </c>
      <c r="E592" t="s">
        <v>179</v>
      </c>
      <c r="F592" t="s">
        <v>224</v>
      </c>
      <c r="G592" t="s">
        <v>111</v>
      </c>
      <c r="H592" t="s">
        <v>104</v>
      </c>
      <c r="I592">
        <v>2020</v>
      </c>
      <c r="J592" t="s">
        <v>248</v>
      </c>
      <c r="K592" t="s">
        <v>106</v>
      </c>
      <c r="L592" t="s">
        <v>886</v>
      </c>
      <c r="M592" t="s">
        <v>915</v>
      </c>
      <c r="N592">
        <v>1</v>
      </c>
      <c r="O592">
        <v>2020</v>
      </c>
      <c r="P592">
        <v>9602.4527132175954</v>
      </c>
      <c r="Q592">
        <v>16.265240809907731</v>
      </c>
      <c r="R592" t="s">
        <v>109</v>
      </c>
      <c r="S592">
        <v>590.36646462488306</v>
      </c>
      <c r="T592">
        <v>0.9</v>
      </c>
      <c r="U592" t="s">
        <v>227</v>
      </c>
      <c r="V592">
        <v>0.9</v>
      </c>
      <c r="W592">
        <v>20</v>
      </c>
      <c r="X592">
        <v>30</v>
      </c>
      <c r="Y592">
        <v>26</v>
      </c>
      <c r="Z592">
        <v>8.263812321365821E-2</v>
      </c>
      <c r="AA592">
        <v>31.536000000000001</v>
      </c>
    </row>
    <row r="593" spans="1:27" x14ac:dyDescent="0.25">
      <c r="A593" t="s">
        <v>98</v>
      </c>
      <c r="B593" t="s">
        <v>519</v>
      </c>
      <c r="C593" t="s">
        <v>689</v>
      </c>
      <c r="D593" t="s">
        <v>101</v>
      </c>
      <c r="E593" t="s">
        <v>179</v>
      </c>
      <c r="F593" t="s">
        <v>224</v>
      </c>
      <c r="G593" t="s">
        <v>114</v>
      </c>
      <c r="H593" t="s">
        <v>104</v>
      </c>
      <c r="I593">
        <v>2016</v>
      </c>
      <c r="J593" t="s">
        <v>249</v>
      </c>
      <c r="K593" t="s">
        <v>106</v>
      </c>
      <c r="L593" t="s">
        <v>886</v>
      </c>
      <c r="M593" t="s">
        <v>916</v>
      </c>
      <c r="N593">
        <v>1</v>
      </c>
      <c r="O593">
        <v>2020</v>
      </c>
      <c r="P593">
        <v>9602.4527132175954</v>
      </c>
      <c r="Q593">
        <v>16.265240809907731</v>
      </c>
      <c r="R593" t="s">
        <v>109</v>
      </c>
      <c r="S593">
        <v>590.36646462488306</v>
      </c>
      <c r="T593">
        <v>0.9</v>
      </c>
      <c r="U593" t="s">
        <v>227</v>
      </c>
      <c r="V593">
        <v>0.9</v>
      </c>
      <c r="W593">
        <v>20</v>
      </c>
      <c r="X593">
        <v>30</v>
      </c>
      <c r="Y593">
        <v>26</v>
      </c>
      <c r="Z593">
        <v>8.263812321365821E-2</v>
      </c>
      <c r="AA593">
        <v>31.536000000000001</v>
      </c>
    </row>
    <row r="594" spans="1:27" x14ac:dyDescent="0.25">
      <c r="A594" t="s">
        <v>98</v>
      </c>
      <c r="B594" t="s">
        <v>519</v>
      </c>
      <c r="C594" t="s">
        <v>689</v>
      </c>
      <c r="D594" t="s">
        <v>101</v>
      </c>
      <c r="E594" t="s">
        <v>179</v>
      </c>
      <c r="F594" t="s">
        <v>224</v>
      </c>
      <c r="G594" t="s">
        <v>119</v>
      </c>
      <c r="H594" t="s">
        <v>104</v>
      </c>
      <c r="I594">
        <v>2016</v>
      </c>
      <c r="J594" t="s">
        <v>251</v>
      </c>
      <c r="K594" t="s">
        <v>106</v>
      </c>
      <c r="L594" t="s">
        <v>886</v>
      </c>
      <c r="M594" t="s">
        <v>917</v>
      </c>
      <c r="N594">
        <v>1</v>
      </c>
      <c r="O594">
        <v>2020</v>
      </c>
      <c r="P594">
        <v>10882.779741646609</v>
      </c>
      <c r="Q594">
        <v>16.265240809907731</v>
      </c>
      <c r="R594" t="s">
        <v>109</v>
      </c>
      <c r="S594">
        <v>669.08199324153429</v>
      </c>
      <c r="T594">
        <v>0.97</v>
      </c>
      <c r="U594" t="s">
        <v>227</v>
      </c>
      <c r="V594">
        <v>0.97</v>
      </c>
      <c r="W594">
        <v>20</v>
      </c>
      <c r="X594">
        <v>30</v>
      </c>
      <c r="Y594">
        <v>26</v>
      </c>
      <c r="Z594">
        <v>8.263812321365821E-2</v>
      </c>
      <c r="AA594">
        <v>31.536000000000001</v>
      </c>
    </row>
    <row r="595" spans="1:27" x14ac:dyDescent="0.25">
      <c r="A595" t="s">
        <v>98</v>
      </c>
      <c r="B595" t="s">
        <v>519</v>
      </c>
      <c r="C595" t="s">
        <v>689</v>
      </c>
      <c r="D595" t="s">
        <v>101</v>
      </c>
      <c r="E595" t="s">
        <v>179</v>
      </c>
      <c r="F595" t="s">
        <v>224</v>
      </c>
      <c r="G595" t="s">
        <v>119</v>
      </c>
      <c r="H595" t="s">
        <v>104</v>
      </c>
      <c r="I595">
        <v>2022</v>
      </c>
      <c r="J595" t="s">
        <v>253</v>
      </c>
      <c r="K595" t="s">
        <v>106</v>
      </c>
      <c r="L595" t="s">
        <v>886</v>
      </c>
      <c r="M595" t="s">
        <v>918</v>
      </c>
      <c r="N595">
        <v>1</v>
      </c>
      <c r="O595">
        <v>2022</v>
      </c>
      <c r="P595">
        <v>10882.779741646609</v>
      </c>
      <c r="Q595">
        <v>16.265240809907731</v>
      </c>
      <c r="R595" t="s">
        <v>109</v>
      </c>
      <c r="S595">
        <v>669.08199324153429</v>
      </c>
      <c r="T595">
        <v>0.97</v>
      </c>
      <c r="U595" t="s">
        <v>227</v>
      </c>
      <c r="V595">
        <v>0.97</v>
      </c>
      <c r="W595">
        <v>20</v>
      </c>
      <c r="X595">
        <v>30</v>
      </c>
      <c r="Y595">
        <v>26</v>
      </c>
      <c r="Z595">
        <v>8.263812321365821E-2</v>
      </c>
      <c r="AA595">
        <v>31.536000000000001</v>
      </c>
    </row>
    <row r="596" spans="1:27" x14ac:dyDescent="0.25">
      <c r="A596" t="s">
        <v>98</v>
      </c>
      <c r="B596" t="s">
        <v>519</v>
      </c>
      <c r="C596" t="s">
        <v>689</v>
      </c>
      <c r="D596" t="s">
        <v>101</v>
      </c>
      <c r="E596" t="s">
        <v>179</v>
      </c>
      <c r="F596" t="s">
        <v>228</v>
      </c>
      <c r="G596" t="s">
        <v>103</v>
      </c>
      <c r="H596" t="s">
        <v>255</v>
      </c>
      <c r="I596">
        <v>2016</v>
      </c>
      <c r="J596" t="s">
        <v>256</v>
      </c>
      <c r="K596" t="s">
        <v>257</v>
      </c>
      <c r="L596" t="s">
        <v>886</v>
      </c>
      <c r="M596" t="s">
        <v>919</v>
      </c>
      <c r="N596">
        <v>1</v>
      </c>
      <c r="O596">
        <v>2020</v>
      </c>
      <c r="P596">
        <v>5029.8561831139787</v>
      </c>
      <c r="Q596">
        <v>16.265240809907731</v>
      </c>
      <c r="R596" t="s">
        <v>109</v>
      </c>
      <c r="S596">
        <v>309.23957670827212</v>
      </c>
      <c r="T596">
        <v>0.83</v>
      </c>
      <c r="U596" t="s">
        <v>227</v>
      </c>
      <c r="V596">
        <v>0.83</v>
      </c>
      <c r="W596">
        <v>19.7</v>
      </c>
      <c r="X596">
        <v>33.1</v>
      </c>
      <c r="Y596">
        <v>27</v>
      </c>
      <c r="Z596">
        <v>8.263812321365821E-2</v>
      </c>
      <c r="AA596">
        <v>31.536000000000001</v>
      </c>
    </row>
    <row r="597" spans="1:27" x14ac:dyDescent="0.25">
      <c r="A597" t="s">
        <v>98</v>
      </c>
      <c r="B597" t="s">
        <v>519</v>
      </c>
      <c r="C597" t="s">
        <v>689</v>
      </c>
      <c r="D597" t="s">
        <v>101</v>
      </c>
      <c r="E597" t="s">
        <v>179</v>
      </c>
      <c r="F597" t="s">
        <v>228</v>
      </c>
      <c r="G597" t="s">
        <v>111</v>
      </c>
      <c r="H597" t="s">
        <v>255</v>
      </c>
      <c r="I597">
        <v>2016</v>
      </c>
      <c r="J597" t="s">
        <v>259</v>
      </c>
      <c r="K597" t="s">
        <v>257</v>
      </c>
      <c r="L597" t="s">
        <v>886</v>
      </c>
      <c r="M597" t="s">
        <v>920</v>
      </c>
      <c r="N597">
        <v>0</v>
      </c>
      <c r="O597">
        <v>2020</v>
      </c>
      <c r="P597">
        <v>5029.8561831139787</v>
      </c>
      <c r="Q597">
        <v>16.265240809907731</v>
      </c>
      <c r="R597" t="s">
        <v>109</v>
      </c>
      <c r="S597">
        <v>309.23957670827212</v>
      </c>
      <c r="T597">
        <v>0.83</v>
      </c>
      <c r="U597" t="s">
        <v>227</v>
      </c>
      <c r="V597">
        <v>0.83</v>
      </c>
      <c r="W597">
        <v>19.7</v>
      </c>
      <c r="X597">
        <v>33.1</v>
      </c>
      <c r="Y597">
        <v>27</v>
      </c>
      <c r="Z597">
        <v>8.263812321365821E-2</v>
      </c>
      <c r="AA597">
        <v>31.536000000000001</v>
      </c>
    </row>
    <row r="598" spans="1:27" x14ac:dyDescent="0.25">
      <c r="A598" t="s">
        <v>98</v>
      </c>
      <c r="B598" t="s">
        <v>519</v>
      </c>
      <c r="C598" t="s">
        <v>689</v>
      </c>
      <c r="D598" t="s">
        <v>101</v>
      </c>
      <c r="E598" t="s">
        <v>179</v>
      </c>
      <c r="F598" t="s">
        <v>228</v>
      </c>
      <c r="G598" t="s">
        <v>111</v>
      </c>
      <c r="H598" t="s">
        <v>255</v>
      </c>
      <c r="I598">
        <v>2020</v>
      </c>
      <c r="J598" t="s">
        <v>261</v>
      </c>
      <c r="K598" t="s">
        <v>257</v>
      </c>
      <c r="L598" t="s">
        <v>886</v>
      </c>
      <c r="M598" t="s">
        <v>920</v>
      </c>
      <c r="N598">
        <v>1</v>
      </c>
      <c r="O598">
        <v>2020</v>
      </c>
      <c r="P598">
        <v>5151.7920905834089</v>
      </c>
      <c r="Q598">
        <v>16.265240809907731</v>
      </c>
      <c r="R598" t="s">
        <v>109</v>
      </c>
      <c r="S598">
        <v>316.73629371938182</v>
      </c>
      <c r="T598">
        <v>0.84</v>
      </c>
      <c r="U598" t="s">
        <v>227</v>
      </c>
      <c r="V598">
        <v>0.84</v>
      </c>
      <c r="W598">
        <v>19.7</v>
      </c>
      <c r="X598">
        <v>33.1</v>
      </c>
      <c r="Y598">
        <v>27</v>
      </c>
      <c r="Z598">
        <v>8.263812321365821E-2</v>
      </c>
      <c r="AA598">
        <v>31.536000000000001</v>
      </c>
    </row>
    <row r="599" spans="1:27" x14ac:dyDescent="0.25">
      <c r="A599" t="s">
        <v>98</v>
      </c>
      <c r="B599" t="s">
        <v>519</v>
      </c>
      <c r="C599" t="s">
        <v>689</v>
      </c>
      <c r="D599" t="s">
        <v>101</v>
      </c>
      <c r="E599" t="s">
        <v>179</v>
      </c>
      <c r="F599" t="s">
        <v>228</v>
      </c>
      <c r="G599" t="s">
        <v>114</v>
      </c>
      <c r="H599" t="s">
        <v>255</v>
      </c>
      <c r="I599">
        <v>2016</v>
      </c>
      <c r="J599" t="s">
        <v>262</v>
      </c>
      <c r="K599" t="s">
        <v>257</v>
      </c>
      <c r="L599" t="s">
        <v>886</v>
      </c>
      <c r="M599" t="s">
        <v>921</v>
      </c>
      <c r="N599">
        <v>1</v>
      </c>
      <c r="O599">
        <v>2020</v>
      </c>
      <c r="P599">
        <v>5304.2119749201956</v>
      </c>
      <c r="Q599">
        <v>16.265240809907731</v>
      </c>
      <c r="R599" t="s">
        <v>109</v>
      </c>
      <c r="S599">
        <v>326.10718998326882</v>
      </c>
      <c r="T599">
        <v>0.85</v>
      </c>
      <c r="U599" t="s">
        <v>227</v>
      </c>
      <c r="V599">
        <v>0.85</v>
      </c>
      <c r="W599">
        <v>19.7</v>
      </c>
      <c r="X599">
        <v>33.1</v>
      </c>
      <c r="Y599">
        <v>27</v>
      </c>
      <c r="Z599">
        <v>8.263812321365821E-2</v>
      </c>
      <c r="AA599">
        <v>31.536000000000001</v>
      </c>
    </row>
    <row r="600" spans="1:27" x14ac:dyDescent="0.25">
      <c r="A600" t="s">
        <v>98</v>
      </c>
      <c r="B600" t="s">
        <v>519</v>
      </c>
      <c r="C600" t="s">
        <v>689</v>
      </c>
      <c r="D600" t="s">
        <v>101</v>
      </c>
      <c r="E600" t="s">
        <v>179</v>
      </c>
      <c r="F600" t="s">
        <v>228</v>
      </c>
      <c r="G600" t="s">
        <v>119</v>
      </c>
      <c r="H600" t="s">
        <v>255</v>
      </c>
      <c r="I600">
        <v>2016</v>
      </c>
      <c r="J600" t="s">
        <v>264</v>
      </c>
      <c r="K600" t="s">
        <v>257</v>
      </c>
      <c r="L600" t="s">
        <v>886</v>
      </c>
      <c r="M600" t="s">
        <v>922</v>
      </c>
      <c r="N600">
        <v>0</v>
      </c>
      <c r="O600">
        <v>2020</v>
      </c>
      <c r="P600">
        <v>7864.8660317782214</v>
      </c>
      <c r="Q600">
        <v>16.265240809907731</v>
      </c>
      <c r="R600" t="s">
        <v>109</v>
      </c>
      <c r="S600">
        <v>483.53824721657088</v>
      </c>
      <c r="T600">
        <v>0.97</v>
      </c>
      <c r="U600" t="s">
        <v>227</v>
      </c>
      <c r="V600">
        <v>0.97</v>
      </c>
      <c r="W600">
        <v>19.7</v>
      </c>
      <c r="X600">
        <v>33.1</v>
      </c>
      <c r="Y600">
        <v>27</v>
      </c>
      <c r="Z600">
        <v>8.263812321365821E-2</v>
      </c>
      <c r="AA600">
        <v>31.536000000000001</v>
      </c>
    </row>
    <row r="601" spans="1:27" x14ac:dyDescent="0.25">
      <c r="A601" t="s">
        <v>98</v>
      </c>
      <c r="B601" t="s">
        <v>519</v>
      </c>
      <c r="C601" t="s">
        <v>689</v>
      </c>
      <c r="D601" t="s">
        <v>101</v>
      </c>
      <c r="E601" t="s">
        <v>179</v>
      </c>
      <c r="F601" t="s">
        <v>228</v>
      </c>
      <c r="G601" t="s">
        <v>119</v>
      </c>
      <c r="H601" t="s">
        <v>255</v>
      </c>
      <c r="I601">
        <v>2020</v>
      </c>
      <c r="J601" t="s">
        <v>266</v>
      </c>
      <c r="K601" t="s">
        <v>257</v>
      </c>
      <c r="L601" t="s">
        <v>886</v>
      </c>
      <c r="M601" t="s">
        <v>922</v>
      </c>
      <c r="N601">
        <v>1</v>
      </c>
      <c r="O601">
        <v>2020</v>
      </c>
      <c r="P601">
        <v>7864.8660317782214</v>
      </c>
      <c r="Q601">
        <v>16.265240809907731</v>
      </c>
      <c r="R601" t="s">
        <v>109</v>
      </c>
      <c r="S601">
        <v>483.53824721657088</v>
      </c>
      <c r="T601">
        <v>0.97</v>
      </c>
      <c r="U601" t="s">
        <v>227</v>
      </c>
      <c r="V601">
        <v>0.97</v>
      </c>
      <c r="W601">
        <v>19.7</v>
      </c>
      <c r="X601">
        <v>33.1</v>
      </c>
      <c r="Y601">
        <v>27</v>
      </c>
      <c r="Z601">
        <v>8.263812321365821E-2</v>
      </c>
      <c r="AA601">
        <v>31.536000000000001</v>
      </c>
    </row>
    <row r="602" spans="1:27" x14ac:dyDescent="0.25">
      <c r="A602" t="s">
        <v>98</v>
      </c>
      <c r="B602" t="s">
        <v>519</v>
      </c>
      <c r="C602" t="s">
        <v>689</v>
      </c>
      <c r="D602" t="s">
        <v>101</v>
      </c>
      <c r="E602" t="s">
        <v>179</v>
      </c>
      <c r="F602" t="s">
        <v>228</v>
      </c>
      <c r="G602" t="s">
        <v>103</v>
      </c>
      <c r="H602" t="s">
        <v>156</v>
      </c>
      <c r="I602">
        <v>2016</v>
      </c>
      <c r="J602" t="s">
        <v>267</v>
      </c>
      <c r="K602" t="s">
        <v>158</v>
      </c>
      <c r="L602" t="s">
        <v>886</v>
      </c>
      <c r="M602" t="s">
        <v>923</v>
      </c>
      <c r="N602">
        <v>1</v>
      </c>
      <c r="O602">
        <v>2020</v>
      </c>
      <c r="P602">
        <v>2499.6861031233111</v>
      </c>
      <c r="Q602">
        <v>16.265240809907731</v>
      </c>
      <c r="R602" t="s">
        <v>109</v>
      </c>
      <c r="S602">
        <v>153.68269872774741</v>
      </c>
      <c r="T602">
        <v>0.8</v>
      </c>
      <c r="U602" t="s">
        <v>227</v>
      </c>
      <c r="V602">
        <v>0.8</v>
      </c>
      <c r="W602">
        <v>16</v>
      </c>
      <c r="X602">
        <v>27</v>
      </c>
      <c r="Y602">
        <v>22</v>
      </c>
      <c r="Z602">
        <v>8.263812321365821E-2</v>
      </c>
      <c r="AA602">
        <v>31.536000000000001</v>
      </c>
    </row>
    <row r="603" spans="1:27" x14ac:dyDescent="0.25">
      <c r="A603" t="s">
        <v>98</v>
      </c>
      <c r="B603" t="s">
        <v>519</v>
      </c>
      <c r="C603" t="s">
        <v>689</v>
      </c>
      <c r="D603" t="s">
        <v>101</v>
      </c>
      <c r="E603" t="s">
        <v>179</v>
      </c>
      <c r="F603" t="s">
        <v>228</v>
      </c>
      <c r="G603" t="s">
        <v>111</v>
      </c>
      <c r="H603" t="s">
        <v>156</v>
      </c>
      <c r="I603">
        <v>2016</v>
      </c>
      <c r="J603" t="s">
        <v>269</v>
      </c>
      <c r="K603" t="s">
        <v>158</v>
      </c>
      <c r="L603" t="s">
        <v>886</v>
      </c>
      <c r="M603" t="s">
        <v>924</v>
      </c>
      <c r="N603">
        <v>0</v>
      </c>
      <c r="O603">
        <v>2020</v>
      </c>
      <c r="P603">
        <v>3182.5271849521182</v>
      </c>
      <c r="Q603">
        <v>16.265240809907731</v>
      </c>
      <c r="R603" t="s">
        <v>109</v>
      </c>
      <c r="S603">
        <v>195.6643139899613</v>
      </c>
      <c r="T603">
        <v>0.92</v>
      </c>
      <c r="U603" t="s">
        <v>227</v>
      </c>
      <c r="V603">
        <v>0.92</v>
      </c>
      <c r="W603">
        <v>16</v>
      </c>
      <c r="X603">
        <v>27</v>
      </c>
      <c r="Y603">
        <v>22</v>
      </c>
      <c r="Z603">
        <v>8.263812321365821E-2</v>
      </c>
      <c r="AA603">
        <v>31.536000000000001</v>
      </c>
    </row>
    <row r="604" spans="1:27" x14ac:dyDescent="0.25">
      <c r="A604" t="s">
        <v>98</v>
      </c>
      <c r="B604" t="s">
        <v>519</v>
      </c>
      <c r="C604" t="s">
        <v>689</v>
      </c>
      <c r="D604" t="s">
        <v>101</v>
      </c>
      <c r="E604" t="s">
        <v>179</v>
      </c>
      <c r="F604" t="s">
        <v>228</v>
      </c>
      <c r="G604" t="s">
        <v>111</v>
      </c>
      <c r="H604" t="s">
        <v>156</v>
      </c>
      <c r="I604">
        <v>2020</v>
      </c>
      <c r="J604" t="s">
        <v>271</v>
      </c>
      <c r="K604" t="s">
        <v>158</v>
      </c>
      <c r="L604" t="s">
        <v>886</v>
      </c>
      <c r="M604" t="s">
        <v>924</v>
      </c>
      <c r="N604">
        <v>1</v>
      </c>
      <c r="O604">
        <v>2020</v>
      </c>
      <c r="P604">
        <v>3365.4310461562618</v>
      </c>
      <c r="Q604">
        <v>16.265240809907731</v>
      </c>
      <c r="R604" t="s">
        <v>109</v>
      </c>
      <c r="S604">
        <v>206.9093895066257</v>
      </c>
      <c r="T604">
        <v>0.92</v>
      </c>
      <c r="U604" t="s">
        <v>227</v>
      </c>
      <c r="V604">
        <v>0.92</v>
      </c>
      <c r="W604">
        <v>16</v>
      </c>
      <c r="X604">
        <v>27</v>
      </c>
      <c r="Y604">
        <v>22</v>
      </c>
      <c r="Z604">
        <v>8.263812321365821E-2</v>
      </c>
      <c r="AA604">
        <v>31.536000000000001</v>
      </c>
    </row>
    <row r="605" spans="1:27" x14ac:dyDescent="0.25">
      <c r="A605" t="s">
        <v>98</v>
      </c>
      <c r="B605" t="s">
        <v>519</v>
      </c>
      <c r="C605" t="s">
        <v>689</v>
      </c>
      <c r="D605" t="s">
        <v>101</v>
      </c>
      <c r="E605" t="s">
        <v>179</v>
      </c>
      <c r="F605" t="s">
        <v>228</v>
      </c>
      <c r="G605" t="s">
        <v>114</v>
      </c>
      <c r="H605" t="s">
        <v>156</v>
      </c>
      <c r="I605">
        <v>2016</v>
      </c>
      <c r="J605" t="s">
        <v>272</v>
      </c>
      <c r="K605" t="s">
        <v>158</v>
      </c>
      <c r="L605" t="s">
        <v>886</v>
      </c>
      <c r="M605" t="s">
        <v>925</v>
      </c>
      <c r="N605">
        <v>1</v>
      </c>
      <c r="O605">
        <v>2020</v>
      </c>
      <c r="P605">
        <v>3341.043864662377</v>
      </c>
      <c r="Q605">
        <v>16.265240809907731</v>
      </c>
      <c r="R605" t="s">
        <v>109</v>
      </c>
      <c r="S605">
        <v>205.41004610440379</v>
      </c>
      <c r="T605">
        <v>0.95</v>
      </c>
      <c r="U605" t="s">
        <v>227</v>
      </c>
      <c r="V605">
        <v>0.95</v>
      </c>
      <c r="W605">
        <v>16</v>
      </c>
      <c r="X605">
        <v>27</v>
      </c>
      <c r="Y605">
        <v>22</v>
      </c>
      <c r="Z605">
        <v>8.263812321365821E-2</v>
      </c>
      <c r="AA605">
        <v>31.536000000000001</v>
      </c>
    </row>
    <row r="606" spans="1:27" x14ac:dyDescent="0.25">
      <c r="A606" t="s">
        <v>98</v>
      </c>
      <c r="B606" t="s">
        <v>519</v>
      </c>
      <c r="C606" t="s">
        <v>689</v>
      </c>
      <c r="D606" t="s">
        <v>101</v>
      </c>
      <c r="E606" t="s">
        <v>179</v>
      </c>
      <c r="F606" t="s">
        <v>228</v>
      </c>
      <c r="G606" t="s">
        <v>114</v>
      </c>
      <c r="H606" t="s">
        <v>156</v>
      </c>
      <c r="I606">
        <v>2022</v>
      </c>
      <c r="J606" t="s">
        <v>274</v>
      </c>
      <c r="K606" t="s">
        <v>158</v>
      </c>
      <c r="L606" t="s">
        <v>886</v>
      </c>
      <c r="M606" t="s">
        <v>926</v>
      </c>
      <c r="N606">
        <v>1</v>
      </c>
      <c r="O606">
        <v>2022</v>
      </c>
      <c r="P606">
        <v>3341.043864662377</v>
      </c>
      <c r="Q606">
        <v>16.265240809907731</v>
      </c>
      <c r="R606" t="s">
        <v>109</v>
      </c>
      <c r="S606">
        <v>205.41004610440379</v>
      </c>
      <c r="T606">
        <v>0.95</v>
      </c>
      <c r="U606" t="s">
        <v>227</v>
      </c>
      <c r="V606">
        <v>0.95</v>
      </c>
      <c r="W606">
        <v>16</v>
      </c>
      <c r="X606">
        <v>27</v>
      </c>
      <c r="Y606">
        <v>22</v>
      </c>
      <c r="Z606">
        <v>8.263812321365821E-2</v>
      </c>
      <c r="AA606">
        <v>31.536000000000001</v>
      </c>
    </row>
    <row r="607" spans="1:27" x14ac:dyDescent="0.25">
      <c r="A607" t="s">
        <v>98</v>
      </c>
      <c r="B607" t="s">
        <v>519</v>
      </c>
      <c r="C607" t="s">
        <v>689</v>
      </c>
      <c r="D607" t="s">
        <v>101</v>
      </c>
      <c r="E607" t="s">
        <v>179</v>
      </c>
      <c r="F607" t="s">
        <v>228</v>
      </c>
      <c r="G607" t="s">
        <v>119</v>
      </c>
      <c r="H607" t="s">
        <v>156</v>
      </c>
      <c r="I607">
        <v>2016</v>
      </c>
      <c r="J607" t="s">
        <v>276</v>
      </c>
      <c r="K607" t="s">
        <v>158</v>
      </c>
      <c r="L607" t="s">
        <v>886</v>
      </c>
      <c r="M607" t="s">
        <v>927</v>
      </c>
      <c r="N607">
        <v>1</v>
      </c>
      <c r="O607">
        <v>2020</v>
      </c>
      <c r="P607">
        <v>3706.851587070666</v>
      </c>
      <c r="Q607">
        <v>16.265240809907731</v>
      </c>
      <c r="R607" t="s">
        <v>109</v>
      </c>
      <c r="S607">
        <v>227.9001971377327</v>
      </c>
      <c r="T607">
        <v>0.99</v>
      </c>
      <c r="U607" t="s">
        <v>227</v>
      </c>
      <c r="V607">
        <v>0.99</v>
      </c>
      <c r="W607">
        <v>16</v>
      </c>
      <c r="X607">
        <v>27</v>
      </c>
      <c r="Y607">
        <v>22</v>
      </c>
      <c r="Z607">
        <v>8.263812321365821E-2</v>
      </c>
      <c r="AA607">
        <v>31.536000000000001</v>
      </c>
    </row>
    <row r="608" spans="1:27" x14ac:dyDescent="0.25">
      <c r="A608" t="s">
        <v>98</v>
      </c>
      <c r="B608" t="s">
        <v>519</v>
      </c>
      <c r="C608" t="s">
        <v>689</v>
      </c>
      <c r="D608" t="s">
        <v>101</v>
      </c>
      <c r="E608" t="s">
        <v>179</v>
      </c>
      <c r="F608" t="s">
        <v>228</v>
      </c>
      <c r="G608" t="s">
        <v>119</v>
      </c>
      <c r="H608" t="s">
        <v>156</v>
      </c>
      <c r="I608">
        <v>2022</v>
      </c>
      <c r="J608" t="s">
        <v>278</v>
      </c>
      <c r="K608" t="s">
        <v>158</v>
      </c>
      <c r="L608" t="s">
        <v>886</v>
      </c>
      <c r="M608" t="s">
        <v>928</v>
      </c>
      <c r="N608">
        <v>1</v>
      </c>
      <c r="O608">
        <v>2022</v>
      </c>
      <c r="P608">
        <v>3706.851587070666</v>
      </c>
      <c r="Q608">
        <v>16.265240809907731</v>
      </c>
      <c r="R608" t="s">
        <v>109</v>
      </c>
      <c r="S608">
        <v>227.9001971377327</v>
      </c>
      <c r="T608">
        <v>0.99</v>
      </c>
      <c r="U608" t="s">
        <v>227</v>
      </c>
      <c r="V608">
        <v>0.99</v>
      </c>
      <c r="W608">
        <v>16</v>
      </c>
      <c r="X608">
        <v>27</v>
      </c>
      <c r="Y608">
        <v>22</v>
      </c>
      <c r="Z608">
        <v>8.263812321365821E-2</v>
      </c>
      <c r="AA608">
        <v>31.536000000000001</v>
      </c>
    </row>
    <row r="609" spans="1:27" x14ac:dyDescent="0.25">
      <c r="A609" t="s">
        <v>98</v>
      </c>
      <c r="B609" t="s">
        <v>519</v>
      </c>
      <c r="C609" t="s">
        <v>689</v>
      </c>
      <c r="D609" t="s">
        <v>101</v>
      </c>
      <c r="E609" t="s">
        <v>179</v>
      </c>
      <c r="F609" t="s">
        <v>228</v>
      </c>
      <c r="G609" t="s">
        <v>103</v>
      </c>
      <c r="H609" t="s">
        <v>148</v>
      </c>
      <c r="I609">
        <v>2016</v>
      </c>
      <c r="J609" t="s">
        <v>280</v>
      </c>
      <c r="K609" t="s">
        <v>150</v>
      </c>
      <c r="L609" t="s">
        <v>886</v>
      </c>
      <c r="M609" t="s">
        <v>929</v>
      </c>
      <c r="N609">
        <v>1</v>
      </c>
      <c r="O609">
        <v>2020</v>
      </c>
      <c r="P609">
        <v>5029.8561831139787</v>
      </c>
      <c r="Q609">
        <v>16.265240809907731</v>
      </c>
      <c r="R609" t="s">
        <v>109</v>
      </c>
      <c r="S609">
        <v>309.23957670827212</v>
      </c>
      <c r="T609">
        <v>0.83</v>
      </c>
      <c r="U609" t="s">
        <v>227</v>
      </c>
      <c r="V609">
        <v>0.83</v>
      </c>
      <c r="W609">
        <v>19.7</v>
      </c>
      <c r="X609">
        <v>33.1</v>
      </c>
      <c r="Y609">
        <v>27</v>
      </c>
      <c r="Z609">
        <v>8.263812321365821E-2</v>
      </c>
      <c r="AA609">
        <v>31.536000000000001</v>
      </c>
    </row>
    <row r="610" spans="1:27" x14ac:dyDescent="0.25">
      <c r="A610" t="s">
        <v>98</v>
      </c>
      <c r="B610" t="s">
        <v>519</v>
      </c>
      <c r="C610" t="s">
        <v>689</v>
      </c>
      <c r="D610" t="s">
        <v>101</v>
      </c>
      <c r="E610" t="s">
        <v>179</v>
      </c>
      <c r="F610" t="s">
        <v>228</v>
      </c>
      <c r="G610" t="s">
        <v>111</v>
      </c>
      <c r="H610" t="s">
        <v>148</v>
      </c>
      <c r="I610">
        <v>2016</v>
      </c>
      <c r="J610" t="s">
        <v>282</v>
      </c>
      <c r="K610" t="s">
        <v>150</v>
      </c>
      <c r="L610" t="s">
        <v>886</v>
      </c>
      <c r="M610" t="s">
        <v>930</v>
      </c>
      <c r="N610">
        <v>1</v>
      </c>
      <c r="O610">
        <v>2020</v>
      </c>
      <c r="P610">
        <v>5029.8561831139787</v>
      </c>
      <c r="Q610">
        <v>16.265240809907731</v>
      </c>
      <c r="R610" t="s">
        <v>109</v>
      </c>
      <c r="S610">
        <v>309.23957670827212</v>
      </c>
      <c r="T610">
        <v>0.83</v>
      </c>
      <c r="U610" t="s">
        <v>227</v>
      </c>
      <c r="V610">
        <v>0.83</v>
      </c>
      <c r="W610">
        <v>19.7</v>
      </c>
      <c r="X610">
        <v>33.1</v>
      </c>
      <c r="Y610">
        <v>27</v>
      </c>
      <c r="Z610">
        <v>8.263812321365821E-2</v>
      </c>
      <c r="AA610">
        <v>31.536000000000001</v>
      </c>
    </row>
    <row r="611" spans="1:27" x14ac:dyDescent="0.25">
      <c r="A611" t="s">
        <v>98</v>
      </c>
      <c r="B611" t="s">
        <v>519</v>
      </c>
      <c r="C611" t="s">
        <v>689</v>
      </c>
      <c r="D611" t="s">
        <v>101</v>
      </c>
      <c r="E611" t="s">
        <v>179</v>
      </c>
      <c r="F611" t="s">
        <v>228</v>
      </c>
      <c r="G611" t="s">
        <v>111</v>
      </c>
      <c r="H611" t="s">
        <v>148</v>
      </c>
      <c r="I611">
        <v>2022</v>
      </c>
      <c r="J611" t="s">
        <v>284</v>
      </c>
      <c r="K611" t="s">
        <v>150</v>
      </c>
      <c r="L611" t="s">
        <v>886</v>
      </c>
      <c r="M611" t="s">
        <v>931</v>
      </c>
      <c r="N611">
        <v>1</v>
      </c>
      <c r="O611">
        <v>2022</v>
      </c>
      <c r="P611">
        <v>5151.7920905834089</v>
      </c>
      <c r="Q611">
        <v>16.265240809907731</v>
      </c>
      <c r="R611" t="s">
        <v>109</v>
      </c>
      <c r="S611">
        <v>316.73629371938182</v>
      </c>
      <c r="T611">
        <v>0.84</v>
      </c>
      <c r="U611" t="s">
        <v>227</v>
      </c>
      <c r="V611">
        <v>0.84</v>
      </c>
      <c r="W611">
        <v>19.7</v>
      </c>
      <c r="X611">
        <v>33.1</v>
      </c>
      <c r="Y611">
        <v>27</v>
      </c>
      <c r="Z611">
        <v>8.263812321365821E-2</v>
      </c>
      <c r="AA611">
        <v>31.536000000000001</v>
      </c>
    </row>
    <row r="612" spans="1:27" x14ac:dyDescent="0.25">
      <c r="A612" t="s">
        <v>98</v>
      </c>
      <c r="B612" t="s">
        <v>519</v>
      </c>
      <c r="C612" t="s">
        <v>689</v>
      </c>
      <c r="D612" t="s">
        <v>101</v>
      </c>
      <c r="E612" t="s">
        <v>179</v>
      </c>
      <c r="F612" t="s">
        <v>228</v>
      </c>
      <c r="G612" t="s">
        <v>114</v>
      </c>
      <c r="H612" t="s">
        <v>148</v>
      </c>
      <c r="I612">
        <v>2016</v>
      </c>
      <c r="J612" t="s">
        <v>286</v>
      </c>
      <c r="K612" t="s">
        <v>150</v>
      </c>
      <c r="L612" t="s">
        <v>886</v>
      </c>
      <c r="M612" t="s">
        <v>932</v>
      </c>
      <c r="N612">
        <v>1</v>
      </c>
      <c r="O612">
        <v>2020</v>
      </c>
      <c r="P612">
        <v>5304.2119749201956</v>
      </c>
      <c r="Q612">
        <v>16.265240809907731</v>
      </c>
      <c r="R612" t="s">
        <v>109</v>
      </c>
      <c r="S612">
        <v>326.10718998326882</v>
      </c>
      <c r="T612">
        <v>0.85</v>
      </c>
      <c r="U612" t="s">
        <v>227</v>
      </c>
      <c r="V612">
        <v>0.85</v>
      </c>
      <c r="W612">
        <v>19.7</v>
      </c>
      <c r="X612">
        <v>33.1</v>
      </c>
      <c r="Y612">
        <v>27</v>
      </c>
      <c r="Z612">
        <v>8.263812321365821E-2</v>
      </c>
      <c r="AA612">
        <v>31.536000000000001</v>
      </c>
    </row>
    <row r="613" spans="1:27" x14ac:dyDescent="0.25">
      <c r="A613" t="s">
        <v>98</v>
      </c>
      <c r="B613" t="s">
        <v>519</v>
      </c>
      <c r="C613" t="s">
        <v>689</v>
      </c>
      <c r="D613" t="s">
        <v>101</v>
      </c>
      <c r="E613" t="s">
        <v>179</v>
      </c>
      <c r="F613" t="s">
        <v>228</v>
      </c>
      <c r="G613" t="s">
        <v>119</v>
      </c>
      <c r="H613" t="s">
        <v>148</v>
      </c>
      <c r="I613">
        <v>2016</v>
      </c>
      <c r="J613" t="s">
        <v>288</v>
      </c>
      <c r="K613" t="s">
        <v>150</v>
      </c>
      <c r="L613" t="s">
        <v>886</v>
      </c>
      <c r="M613" t="s">
        <v>933</v>
      </c>
      <c r="N613">
        <v>1</v>
      </c>
      <c r="O613">
        <v>2020</v>
      </c>
      <c r="P613">
        <v>7864.8660317782214</v>
      </c>
      <c r="Q613">
        <v>16.265240809907731</v>
      </c>
      <c r="R613" t="s">
        <v>109</v>
      </c>
      <c r="S613">
        <v>483.53824721657088</v>
      </c>
      <c r="T613">
        <v>0.97</v>
      </c>
      <c r="U613" t="s">
        <v>227</v>
      </c>
      <c r="V613">
        <v>0.97</v>
      </c>
      <c r="W613">
        <v>19.7</v>
      </c>
      <c r="X613">
        <v>33.1</v>
      </c>
      <c r="Y613">
        <v>27</v>
      </c>
      <c r="Z613">
        <v>8.263812321365821E-2</v>
      </c>
      <c r="AA613">
        <v>31.536000000000001</v>
      </c>
    </row>
    <row r="614" spans="1:27" x14ac:dyDescent="0.25">
      <c r="A614" t="s">
        <v>98</v>
      </c>
      <c r="B614" t="s">
        <v>519</v>
      </c>
      <c r="C614" t="s">
        <v>689</v>
      </c>
      <c r="D614" t="s">
        <v>101</v>
      </c>
      <c r="E614" t="s">
        <v>179</v>
      </c>
      <c r="F614" t="s">
        <v>228</v>
      </c>
      <c r="G614" t="s">
        <v>119</v>
      </c>
      <c r="H614" t="s">
        <v>148</v>
      </c>
      <c r="I614">
        <v>2022</v>
      </c>
      <c r="J614" t="s">
        <v>290</v>
      </c>
      <c r="K614" t="s">
        <v>150</v>
      </c>
      <c r="L614" t="s">
        <v>886</v>
      </c>
      <c r="M614" t="s">
        <v>934</v>
      </c>
      <c r="N614">
        <v>1</v>
      </c>
      <c r="O614">
        <v>2022</v>
      </c>
      <c r="P614">
        <v>7864.8660317782214</v>
      </c>
      <c r="Q614">
        <v>16.265240809907731</v>
      </c>
      <c r="R614" t="s">
        <v>109</v>
      </c>
      <c r="S614">
        <v>483.53824721657088</v>
      </c>
      <c r="T614">
        <v>0.97</v>
      </c>
      <c r="U614" t="s">
        <v>227</v>
      </c>
      <c r="V614">
        <v>0.97</v>
      </c>
      <c r="W614">
        <v>19.7</v>
      </c>
      <c r="X614">
        <v>33.1</v>
      </c>
      <c r="Y614">
        <v>27</v>
      </c>
      <c r="Z614">
        <v>8.263812321365821E-2</v>
      </c>
      <c r="AA614">
        <v>31.536000000000001</v>
      </c>
    </row>
    <row r="615" spans="1:27" x14ac:dyDescent="0.25">
      <c r="A615" t="s">
        <v>98</v>
      </c>
      <c r="B615" t="s">
        <v>519</v>
      </c>
      <c r="C615" t="s">
        <v>689</v>
      </c>
      <c r="D615" t="s">
        <v>101</v>
      </c>
      <c r="E615" t="s">
        <v>179</v>
      </c>
      <c r="F615" t="s">
        <v>224</v>
      </c>
      <c r="G615" t="s">
        <v>103</v>
      </c>
      <c r="H615" t="s">
        <v>148</v>
      </c>
      <c r="I615">
        <v>2016</v>
      </c>
      <c r="J615" t="s">
        <v>292</v>
      </c>
      <c r="K615" t="s">
        <v>150</v>
      </c>
      <c r="L615" t="s">
        <v>886</v>
      </c>
      <c r="M615" t="s">
        <v>935</v>
      </c>
      <c r="N615">
        <v>1</v>
      </c>
      <c r="O615">
        <v>2020</v>
      </c>
      <c r="P615">
        <v>11126.65155658547</v>
      </c>
      <c r="Q615">
        <v>16.265240809907731</v>
      </c>
      <c r="R615" t="s">
        <v>109</v>
      </c>
      <c r="S615">
        <v>684.07542726375345</v>
      </c>
      <c r="T615">
        <v>0.84</v>
      </c>
      <c r="U615" t="s">
        <v>227</v>
      </c>
      <c r="V615">
        <v>0.84</v>
      </c>
      <c r="W615">
        <v>18</v>
      </c>
      <c r="X615">
        <v>28</v>
      </c>
      <c r="Y615">
        <v>24</v>
      </c>
      <c r="Z615">
        <v>8.263812321365821E-2</v>
      </c>
      <c r="AA615">
        <v>31.536000000000001</v>
      </c>
    </row>
    <row r="616" spans="1:27" x14ac:dyDescent="0.25">
      <c r="A616" t="s">
        <v>98</v>
      </c>
      <c r="B616" t="s">
        <v>519</v>
      </c>
      <c r="C616" t="s">
        <v>689</v>
      </c>
      <c r="D616" t="s">
        <v>101</v>
      </c>
      <c r="E616" t="s">
        <v>179</v>
      </c>
      <c r="F616" t="s">
        <v>224</v>
      </c>
      <c r="G616" t="s">
        <v>103</v>
      </c>
      <c r="H616" t="s">
        <v>148</v>
      </c>
      <c r="I616">
        <v>2022</v>
      </c>
      <c r="J616" t="s">
        <v>294</v>
      </c>
      <c r="K616" t="s">
        <v>150</v>
      </c>
      <c r="L616" t="s">
        <v>886</v>
      </c>
      <c r="M616" t="s">
        <v>936</v>
      </c>
      <c r="N616">
        <v>1</v>
      </c>
      <c r="O616">
        <v>2022</v>
      </c>
      <c r="P616">
        <v>11492.45927899376</v>
      </c>
      <c r="Q616">
        <v>16.265240809907731</v>
      </c>
      <c r="R616" t="s">
        <v>109</v>
      </c>
      <c r="S616">
        <v>706.56557829708242</v>
      </c>
      <c r="T616">
        <v>0.86</v>
      </c>
      <c r="U616" t="s">
        <v>227</v>
      </c>
      <c r="V616">
        <v>0.86</v>
      </c>
      <c r="W616">
        <v>18</v>
      </c>
      <c r="X616">
        <v>28</v>
      </c>
      <c r="Y616">
        <v>24</v>
      </c>
      <c r="Z616">
        <v>8.263812321365821E-2</v>
      </c>
      <c r="AA616">
        <v>31.536000000000001</v>
      </c>
    </row>
    <row r="617" spans="1:27" x14ac:dyDescent="0.25">
      <c r="A617" t="s">
        <v>98</v>
      </c>
      <c r="B617" t="s">
        <v>519</v>
      </c>
      <c r="C617" t="s">
        <v>689</v>
      </c>
      <c r="D617" t="s">
        <v>101</v>
      </c>
      <c r="E617" t="s">
        <v>179</v>
      </c>
      <c r="F617" t="s">
        <v>224</v>
      </c>
      <c r="G617" t="s">
        <v>111</v>
      </c>
      <c r="H617" t="s">
        <v>148</v>
      </c>
      <c r="I617">
        <v>2016</v>
      </c>
      <c r="J617" t="s">
        <v>296</v>
      </c>
      <c r="K617" t="s">
        <v>150</v>
      </c>
      <c r="L617" t="s">
        <v>886</v>
      </c>
      <c r="M617" t="s">
        <v>937</v>
      </c>
      <c r="N617">
        <v>1</v>
      </c>
      <c r="O617">
        <v>2020</v>
      </c>
      <c r="P617">
        <v>11126.65155658547</v>
      </c>
      <c r="Q617">
        <v>16.265240809907731</v>
      </c>
      <c r="R617" t="s">
        <v>109</v>
      </c>
      <c r="S617">
        <v>684.07542726375345</v>
      </c>
      <c r="T617">
        <v>0.84</v>
      </c>
      <c r="U617" t="s">
        <v>227</v>
      </c>
      <c r="V617">
        <v>0.84</v>
      </c>
      <c r="W617">
        <v>18</v>
      </c>
      <c r="X617">
        <v>28</v>
      </c>
      <c r="Y617">
        <v>24</v>
      </c>
      <c r="Z617">
        <v>8.263812321365821E-2</v>
      </c>
      <c r="AA617">
        <v>31.536000000000001</v>
      </c>
    </row>
    <row r="618" spans="1:27" x14ac:dyDescent="0.25">
      <c r="A618" t="s">
        <v>98</v>
      </c>
      <c r="B618" t="s">
        <v>519</v>
      </c>
      <c r="C618" t="s">
        <v>689</v>
      </c>
      <c r="D618" t="s">
        <v>101</v>
      </c>
      <c r="E618" t="s">
        <v>179</v>
      </c>
      <c r="F618" t="s">
        <v>224</v>
      </c>
      <c r="G618" t="s">
        <v>111</v>
      </c>
      <c r="H618" t="s">
        <v>148</v>
      </c>
      <c r="I618">
        <v>2022</v>
      </c>
      <c r="J618" t="s">
        <v>298</v>
      </c>
      <c r="K618" t="s">
        <v>150</v>
      </c>
      <c r="L618" t="s">
        <v>886</v>
      </c>
      <c r="M618" t="s">
        <v>938</v>
      </c>
      <c r="N618">
        <v>1</v>
      </c>
      <c r="O618">
        <v>2022</v>
      </c>
      <c r="P618">
        <v>11492.45927899376</v>
      </c>
      <c r="Q618">
        <v>16.265240809907731</v>
      </c>
      <c r="R618" t="s">
        <v>109</v>
      </c>
      <c r="S618">
        <v>706.56557829708242</v>
      </c>
      <c r="T618">
        <v>0.86</v>
      </c>
      <c r="U618" t="s">
        <v>227</v>
      </c>
      <c r="V618">
        <v>0.86</v>
      </c>
      <c r="W618">
        <v>18</v>
      </c>
      <c r="X618">
        <v>28</v>
      </c>
      <c r="Y618">
        <v>24</v>
      </c>
      <c r="Z618">
        <v>8.263812321365821E-2</v>
      </c>
      <c r="AA618">
        <v>31.536000000000001</v>
      </c>
    </row>
    <row r="619" spans="1:27" x14ac:dyDescent="0.25">
      <c r="A619" t="s">
        <v>98</v>
      </c>
      <c r="B619" t="s">
        <v>519</v>
      </c>
      <c r="C619" t="s">
        <v>689</v>
      </c>
      <c r="D619" t="s">
        <v>101</v>
      </c>
      <c r="E619" t="s">
        <v>179</v>
      </c>
      <c r="F619" t="s">
        <v>224</v>
      </c>
      <c r="G619" t="s">
        <v>114</v>
      </c>
      <c r="H619" t="s">
        <v>148</v>
      </c>
      <c r="I619">
        <v>2016</v>
      </c>
      <c r="J619" t="s">
        <v>300</v>
      </c>
      <c r="K619" t="s">
        <v>150</v>
      </c>
      <c r="L619" t="s">
        <v>886</v>
      </c>
      <c r="M619" t="s">
        <v>939</v>
      </c>
      <c r="N619">
        <v>1</v>
      </c>
      <c r="O619">
        <v>2020</v>
      </c>
      <c r="P619">
        <v>11492.45927899376</v>
      </c>
      <c r="Q619">
        <v>16.265240809907731</v>
      </c>
      <c r="R619" t="s">
        <v>109</v>
      </c>
      <c r="S619">
        <v>706.56557829708242</v>
      </c>
      <c r="T619">
        <v>0.87</v>
      </c>
      <c r="U619" t="s">
        <v>227</v>
      </c>
      <c r="V619">
        <v>0.87</v>
      </c>
      <c r="W619">
        <v>18</v>
      </c>
      <c r="X619">
        <v>28</v>
      </c>
      <c r="Y619">
        <v>24</v>
      </c>
      <c r="Z619">
        <v>8.263812321365821E-2</v>
      </c>
      <c r="AA619">
        <v>31.536000000000001</v>
      </c>
    </row>
    <row r="620" spans="1:27" x14ac:dyDescent="0.25">
      <c r="A620" t="s">
        <v>98</v>
      </c>
      <c r="B620" t="s">
        <v>519</v>
      </c>
      <c r="C620" t="s">
        <v>689</v>
      </c>
      <c r="D620" t="s">
        <v>101</v>
      </c>
      <c r="E620" t="s">
        <v>179</v>
      </c>
      <c r="F620" t="s">
        <v>224</v>
      </c>
      <c r="G620" t="s">
        <v>119</v>
      </c>
      <c r="H620" t="s">
        <v>148</v>
      </c>
      <c r="I620">
        <v>2016</v>
      </c>
      <c r="J620" t="s">
        <v>302</v>
      </c>
      <c r="K620" t="s">
        <v>150</v>
      </c>
      <c r="L620" t="s">
        <v>886</v>
      </c>
      <c r="M620" t="s">
        <v>940</v>
      </c>
      <c r="N620">
        <v>1</v>
      </c>
      <c r="O620">
        <v>2020</v>
      </c>
      <c r="P620">
        <v>13961.66140524971</v>
      </c>
      <c r="Q620">
        <v>16.265240809907731</v>
      </c>
      <c r="R620" t="s">
        <v>109</v>
      </c>
      <c r="S620">
        <v>858.37409777205232</v>
      </c>
      <c r="T620">
        <v>0.9</v>
      </c>
      <c r="U620" t="s">
        <v>227</v>
      </c>
      <c r="V620">
        <v>0.9</v>
      </c>
      <c r="W620">
        <v>18</v>
      </c>
      <c r="X620">
        <v>28</v>
      </c>
      <c r="Y620">
        <v>24</v>
      </c>
      <c r="Z620">
        <v>8.263812321365821E-2</v>
      </c>
      <c r="AA620">
        <v>31.536000000000001</v>
      </c>
    </row>
    <row r="621" spans="1:27" x14ac:dyDescent="0.25">
      <c r="A621" t="s">
        <v>98</v>
      </c>
      <c r="B621" t="s">
        <v>519</v>
      </c>
      <c r="C621" t="s">
        <v>689</v>
      </c>
      <c r="D621" t="s">
        <v>101</v>
      </c>
      <c r="E621" t="s">
        <v>304</v>
      </c>
      <c r="F621" t="s">
        <v>180</v>
      </c>
      <c r="G621" t="s">
        <v>111</v>
      </c>
      <c r="H621" t="s">
        <v>104</v>
      </c>
      <c r="I621">
        <v>2016</v>
      </c>
      <c r="J621" t="s">
        <v>305</v>
      </c>
      <c r="K621" t="s">
        <v>106</v>
      </c>
      <c r="L621" t="s">
        <v>941</v>
      </c>
      <c r="M621" t="s">
        <v>942</v>
      </c>
      <c r="N621">
        <v>0</v>
      </c>
      <c r="O621">
        <v>2020</v>
      </c>
      <c r="P621">
        <v>8291.641707921226</v>
      </c>
      <c r="Q621">
        <v>4.0624899480159886</v>
      </c>
      <c r="R621" t="s">
        <v>109</v>
      </c>
      <c r="S621">
        <v>2041.0245475119621</v>
      </c>
      <c r="T621">
        <v>0.6</v>
      </c>
      <c r="U621" t="s">
        <v>184</v>
      </c>
      <c r="V621">
        <v>0.6</v>
      </c>
      <c r="W621">
        <v>12</v>
      </c>
      <c r="X621">
        <v>18</v>
      </c>
      <c r="Y621">
        <v>16</v>
      </c>
      <c r="Z621">
        <v>9.7022787788124412E-2</v>
      </c>
      <c r="AA621">
        <v>31.536000000000001</v>
      </c>
    </row>
    <row r="622" spans="1:27" x14ac:dyDescent="0.25">
      <c r="A622" t="s">
        <v>98</v>
      </c>
      <c r="B622" t="s">
        <v>519</v>
      </c>
      <c r="C622" t="s">
        <v>689</v>
      </c>
      <c r="D622" t="s">
        <v>101</v>
      </c>
      <c r="E622" t="s">
        <v>304</v>
      </c>
      <c r="F622" t="s">
        <v>180</v>
      </c>
      <c r="G622" t="s">
        <v>111</v>
      </c>
      <c r="H622" t="s">
        <v>104</v>
      </c>
      <c r="I622">
        <v>2020</v>
      </c>
      <c r="J622" t="s">
        <v>308</v>
      </c>
      <c r="K622" t="s">
        <v>106</v>
      </c>
      <c r="L622" t="s">
        <v>941</v>
      </c>
      <c r="M622" t="s">
        <v>942</v>
      </c>
      <c r="N622">
        <v>1</v>
      </c>
      <c r="O622">
        <v>2020</v>
      </c>
      <c r="P622">
        <v>8291.641707921226</v>
      </c>
      <c r="Q622">
        <v>4.0624899480159886</v>
      </c>
      <c r="R622" t="s">
        <v>109</v>
      </c>
      <c r="S622">
        <v>2041.0245475119621</v>
      </c>
      <c r="T622">
        <v>0.7</v>
      </c>
      <c r="U622" t="s">
        <v>184</v>
      </c>
      <c r="V622">
        <v>0.7</v>
      </c>
      <c r="W622">
        <v>12</v>
      </c>
      <c r="X622">
        <v>18</v>
      </c>
      <c r="Y622">
        <v>16</v>
      </c>
      <c r="Z622">
        <v>9.7022787788124412E-2</v>
      </c>
      <c r="AA622">
        <v>31.536000000000001</v>
      </c>
    </row>
    <row r="623" spans="1:27" x14ac:dyDescent="0.25">
      <c r="A623" t="s">
        <v>98</v>
      </c>
      <c r="B623" t="s">
        <v>519</v>
      </c>
      <c r="C623" t="s">
        <v>689</v>
      </c>
      <c r="D623" t="s">
        <v>101</v>
      </c>
      <c r="E623" t="s">
        <v>304</v>
      </c>
      <c r="F623" t="s">
        <v>180</v>
      </c>
      <c r="G623" t="s">
        <v>103</v>
      </c>
      <c r="H623" t="s">
        <v>125</v>
      </c>
      <c r="I623">
        <v>2016</v>
      </c>
      <c r="J623" t="s">
        <v>309</v>
      </c>
      <c r="K623" t="s">
        <v>127</v>
      </c>
      <c r="L623" t="s">
        <v>941</v>
      </c>
      <c r="M623" t="s">
        <v>943</v>
      </c>
      <c r="N623">
        <v>1</v>
      </c>
      <c r="O623">
        <v>2020</v>
      </c>
      <c r="P623">
        <v>2956.9457561336731</v>
      </c>
      <c r="Q623">
        <v>4.0624899480159886</v>
      </c>
      <c r="R623" t="s">
        <v>109</v>
      </c>
      <c r="S623">
        <v>727.86537172301576</v>
      </c>
      <c r="T623">
        <v>4.1031652989449006</v>
      </c>
      <c r="U623" t="s">
        <v>184</v>
      </c>
      <c r="V623">
        <v>4.1031652989449006</v>
      </c>
      <c r="W623">
        <v>9</v>
      </c>
      <c r="X623">
        <v>22</v>
      </c>
      <c r="Y623">
        <v>16</v>
      </c>
      <c r="Z623">
        <v>9.7022787788124412E-2</v>
      </c>
      <c r="AA623">
        <v>31.536000000000001</v>
      </c>
    </row>
    <row r="624" spans="1:27" x14ac:dyDescent="0.25">
      <c r="A624" t="s">
        <v>98</v>
      </c>
      <c r="B624" t="s">
        <v>519</v>
      </c>
      <c r="C624" t="s">
        <v>689</v>
      </c>
      <c r="D624" t="s">
        <v>101</v>
      </c>
      <c r="E624" t="s">
        <v>304</v>
      </c>
      <c r="F624" t="s">
        <v>180</v>
      </c>
      <c r="G624" t="s">
        <v>103</v>
      </c>
      <c r="H624" t="s">
        <v>125</v>
      </c>
      <c r="I624">
        <v>2023</v>
      </c>
      <c r="J624" t="s">
        <v>311</v>
      </c>
      <c r="K624" t="s">
        <v>127</v>
      </c>
      <c r="L624" t="s">
        <v>941</v>
      </c>
      <c r="M624" t="s">
        <v>944</v>
      </c>
      <c r="N624">
        <v>1</v>
      </c>
      <c r="O624">
        <v>2023</v>
      </c>
      <c r="P624">
        <v>2956.9457561336731</v>
      </c>
      <c r="Q624">
        <v>4.0624899480159886</v>
      </c>
      <c r="R624" t="s">
        <v>109</v>
      </c>
      <c r="S624">
        <v>727.86537172301576</v>
      </c>
      <c r="T624">
        <v>4.1031652989449006</v>
      </c>
      <c r="U624" t="s">
        <v>184</v>
      </c>
      <c r="V624">
        <v>4.1031652989449006</v>
      </c>
      <c r="W624">
        <v>9</v>
      </c>
      <c r="X624">
        <v>22</v>
      </c>
      <c r="Y624">
        <v>16</v>
      </c>
      <c r="Z624">
        <v>9.7022787788124412E-2</v>
      </c>
      <c r="AA624">
        <v>31.536000000000001</v>
      </c>
    </row>
    <row r="625" spans="1:27" x14ac:dyDescent="0.25">
      <c r="A625" t="s">
        <v>98</v>
      </c>
      <c r="B625" t="s">
        <v>519</v>
      </c>
      <c r="C625" t="s">
        <v>689</v>
      </c>
      <c r="D625" t="s">
        <v>101</v>
      </c>
      <c r="E625" t="s">
        <v>304</v>
      </c>
      <c r="F625" t="s">
        <v>180</v>
      </c>
      <c r="G625" t="s">
        <v>111</v>
      </c>
      <c r="H625" t="s">
        <v>125</v>
      </c>
      <c r="I625">
        <v>2016</v>
      </c>
      <c r="J625" t="s">
        <v>313</v>
      </c>
      <c r="K625" t="s">
        <v>127</v>
      </c>
      <c r="L625" t="s">
        <v>941</v>
      </c>
      <c r="M625" t="s">
        <v>945</v>
      </c>
      <c r="N625">
        <v>1</v>
      </c>
      <c r="O625">
        <v>2020</v>
      </c>
      <c r="P625">
        <v>3109.3656404704602</v>
      </c>
      <c r="Q625">
        <v>4.0624899480159886</v>
      </c>
      <c r="R625" t="s">
        <v>109</v>
      </c>
      <c r="S625">
        <v>765.38420531698569</v>
      </c>
      <c r="T625">
        <v>4.484173505275499</v>
      </c>
      <c r="U625" t="s">
        <v>184</v>
      </c>
      <c r="V625">
        <v>4.484173505275499</v>
      </c>
      <c r="W625">
        <v>9</v>
      </c>
      <c r="X625">
        <v>22</v>
      </c>
      <c r="Y625">
        <v>16</v>
      </c>
      <c r="Z625">
        <v>9.7022787788124412E-2</v>
      </c>
      <c r="AA625">
        <v>31.536000000000001</v>
      </c>
    </row>
    <row r="626" spans="1:27" x14ac:dyDescent="0.25">
      <c r="A626" t="s">
        <v>98</v>
      </c>
      <c r="B626" t="s">
        <v>519</v>
      </c>
      <c r="C626" t="s">
        <v>689</v>
      </c>
      <c r="D626" t="s">
        <v>101</v>
      </c>
      <c r="E626" t="s">
        <v>304</v>
      </c>
      <c r="F626" t="s">
        <v>180</v>
      </c>
      <c r="G626" t="s">
        <v>111</v>
      </c>
      <c r="H626" t="s">
        <v>125</v>
      </c>
      <c r="I626">
        <v>2023</v>
      </c>
      <c r="J626" t="s">
        <v>315</v>
      </c>
      <c r="K626" t="s">
        <v>127</v>
      </c>
      <c r="L626" t="s">
        <v>941</v>
      </c>
      <c r="M626" t="s">
        <v>946</v>
      </c>
      <c r="N626">
        <v>1</v>
      </c>
      <c r="O626">
        <v>2023</v>
      </c>
      <c r="P626">
        <v>3139.8496173378171</v>
      </c>
      <c r="Q626">
        <v>4.0624899480159886</v>
      </c>
      <c r="R626" t="s">
        <v>109</v>
      </c>
      <c r="S626">
        <v>772.88797203577963</v>
      </c>
      <c r="T626">
        <v>4.6307151230949586</v>
      </c>
      <c r="U626" t="s">
        <v>184</v>
      </c>
      <c r="V626">
        <v>4.6307151230949586</v>
      </c>
      <c r="W626">
        <v>9</v>
      </c>
      <c r="X626">
        <v>22</v>
      </c>
      <c r="Y626">
        <v>16</v>
      </c>
      <c r="Z626">
        <v>9.7022787788124412E-2</v>
      </c>
      <c r="AA626">
        <v>31.536000000000001</v>
      </c>
    </row>
    <row r="627" spans="1:27" x14ac:dyDescent="0.25">
      <c r="A627" t="s">
        <v>98</v>
      </c>
      <c r="B627" t="s">
        <v>519</v>
      </c>
      <c r="C627" t="s">
        <v>689</v>
      </c>
      <c r="D627" t="s">
        <v>101</v>
      </c>
      <c r="E627" t="s">
        <v>304</v>
      </c>
      <c r="F627" t="s">
        <v>180</v>
      </c>
      <c r="G627" t="s">
        <v>114</v>
      </c>
      <c r="H627" t="s">
        <v>125</v>
      </c>
      <c r="I627">
        <v>2016</v>
      </c>
      <c r="J627" t="s">
        <v>317</v>
      </c>
      <c r="K627" t="s">
        <v>127</v>
      </c>
      <c r="L627" t="s">
        <v>941</v>
      </c>
      <c r="M627" t="s">
        <v>947</v>
      </c>
      <c r="N627">
        <v>1</v>
      </c>
      <c r="O627">
        <v>2020</v>
      </c>
      <c r="P627">
        <v>3017.9137098683868</v>
      </c>
      <c r="Q627">
        <v>4.0624899480159886</v>
      </c>
      <c r="R627" t="s">
        <v>109</v>
      </c>
      <c r="S627">
        <v>742.87290516060364</v>
      </c>
      <c r="T627">
        <v>4.3962485345838216</v>
      </c>
      <c r="U627" t="s">
        <v>184</v>
      </c>
      <c r="V627">
        <v>4.3962485345838216</v>
      </c>
      <c r="W627">
        <v>9</v>
      </c>
      <c r="X627">
        <v>22</v>
      </c>
      <c r="Y627">
        <v>16</v>
      </c>
      <c r="Z627">
        <v>9.7022787788124412E-2</v>
      </c>
      <c r="AA627">
        <v>31.536000000000001</v>
      </c>
    </row>
    <row r="628" spans="1:27" x14ac:dyDescent="0.25">
      <c r="A628" t="s">
        <v>98</v>
      </c>
      <c r="B628" t="s">
        <v>519</v>
      </c>
      <c r="C628" t="s">
        <v>689</v>
      </c>
      <c r="D628" t="s">
        <v>101</v>
      </c>
      <c r="E628" t="s">
        <v>304</v>
      </c>
      <c r="F628" t="s">
        <v>180</v>
      </c>
      <c r="G628" t="s">
        <v>114</v>
      </c>
      <c r="H628" t="s">
        <v>125</v>
      </c>
      <c r="I628">
        <v>2022</v>
      </c>
      <c r="J628" t="s">
        <v>319</v>
      </c>
      <c r="K628" t="s">
        <v>127</v>
      </c>
      <c r="L628" t="s">
        <v>941</v>
      </c>
      <c r="M628" t="s">
        <v>948</v>
      </c>
      <c r="N628">
        <v>1</v>
      </c>
      <c r="O628">
        <v>2022</v>
      </c>
      <c r="P628">
        <v>3017.9137098683868</v>
      </c>
      <c r="Q628">
        <v>4.0624899480159886</v>
      </c>
      <c r="R628" t="s">
        <v>109</v>
      </c>
      <c r="S628">
        <v>742.87290516060364</v>
      </c>
      <c r="T628">
        <v>4.3962485345838216</v>
      </c>
      <c r="U628" t="s">
        <v>184</v>
      </c>
      <c r="V628">
        <v>4.3962485345838216</v>
      </c>
      <c r="W628">
        <v>9</v>
      </c>
      <c r="X628">
        <v>22</v>
      </c>
      <c r="Y628">
        <v>16</v>
      </c>
      <c r="Z628">
        <v>9.7022787788124412E-2</v>
      </c>
      <c r="AA628">
        <v>31.536000000000001</v>
      </c>
    </row>
    <row r="629" spans="1:27" x14ac:dyDescent="0.25">
      <c r="A629" t="s">
        <v>98</v>
      </c>
      <c r="B629" t="s">
        <v>519</v>
      </c>
      <c r="C629" t="s">
        <v>689</v>
      </c>
      <c r="D629" t="s">
        <v>101</v>
      </c>
      <c r="E629" t="s">
        <v>304</v>
      </c>
      <c r="F629" t="s">
        <v>180</v>
      </c>
      <c r="G629" t="s">
        <v>114</v>
      </c>
      <c r="H629" t="s">
        <v>125</v>
      </c>
      <c r="I629">
        <v>2023</v>
      </c>
      <c r="J629" t="s">
        <v>321</v>
      </c>
      <c r="K629" t="s">
        <v>127</v>
      </c>
      <c r="L629" t="s">
        <v>941</v>
      </c>
      <c r="M629" t="s">
        <v>949</v>
      </c>
      <c r="N629">
        <v>1</v>
      </c>
      <c r="O629">
        <v>2023</v>
      </c>
      <c r="P629">
        <v>3266.447780092843</v>
      </c>
      <c r="Q629">
        <v>4.0624899480159886</v>
      </c>
      <c r="R629" t="s">
        <v>109</v>
      </c>
      <c r="S629">
        <v>804.05067382088862</v>
      </c>
      <c r="T629">
        <v>4.6893317702227444</v>
      </c>
      <c r="U629" t="s">
        <v>184</v>
      </c>
      <c r="V629">
        <v>4.6893317702227444</v>
      </c>
      <c r="W629">
        <v>9</v>
      </c>
      <c r="X629">
        <v>22</v>
      </c>
      <c r="Y629">
        <v>16</v>
      </c>
      <c r="Z629">
        <v>9.7022787788124412E-2</v>
      </c>
      <c r="AA629">
        <v>31.536000000000001</v>
      </c>
    </row>
    <row r="630" spans="1:27" x14ac:dyDescent="0.25">
      <c r="A630" t="s">
        <v>98</v>
      </c>
      <c r="B630" t="s">
        <v>519</v>
      </c>
      <c r="C630" t="s">
        <v>689</v>
      </c>
      <c r="D630" t="s">
        <v>101</v>
      </c>
      <c r="E630" t="s">
        <v>304</v>
      </c>
      <c r="F630" t="s">
        <v>180</v>
      </c>
      <c r="G630" t="s">
        <v>119</v>
      </c>
      <c r="H630" t="s">
        <v>125</v>
      </c>
      <c r="I630">
        <v>2016</v>
      </c>
      <c r="J630" t="s">
        <v>323</v>
      </c>
      <c r="K630" t="s">
        <v>127</v>
      </c>
      <c r="L630" t="s">
        <v>941</v>
      </c>
      <c r="M630" t="s">
        <v>950</v>
      </c>
      <c r="N630">
        <v>1</v>
      </c>
      <c r="O630">
        <v>2020</v>
      </c>
      <c r="P630">
        <v>3719.0451778176089</v>
      </c>
      <c r="Q630">
        <v>4.0624899480159886</v>
      </c>
      <c r="R630" t="s">
        <v>109</v>
      </c>
      <c r="S630">
        <v>915.45953969286518</v>
      </c>
      <c r="T630">
        <v>5.5685814771395066</v>
      </c>
      <c r="U630" t="s">
        <v>184</v>
      </c>
      <c r="V630">
        <v>5.5685814771395066</v>
      </c>
      <c r="W630">
        <v>9</v>
      </c>
      <c r="X630">
        <v>22</v>
      </c>
      <c r="Y630">
        <v>16</v>
      </c>
      <c r="Z630">
        <v>9.7022787788124412E-2</v>
      </c>
      <c r="AA630">
        <v>31.536000000000001</v>
      </c>
    </row>
    <row r="631" spans="1:27" x14ac:dyDescent="0.25">
      <c r="A631" t="s">
        <v>98</v>
      </c>
      <c r="B631" t="s">
        <v>519</v>
      </c>
      <c r="C631" t="s">
        <v>689</v>
      </c>
      <c r="D631" t="s">
        <v>101</v>
      </c>
      <c r="E631" t="s">
        <v>304</v>
      </c>
      <c r="F631" t="s">
        <v>180</v>
      </c>
      <c r="G631" t="s">
        <v>119</v>
      </c>
      <c r="H631" t="s">
        <v>125</v>
      </c>
      <c r="I631">
        <v>2022</v>
      </c>
      <c r="J631" t="s">
        <v>325</v>
      </c>
      <c r="K631" t="s">
        <v>127</v>
      </c>
      <c r="L631" t="s">
        <v>941</v>
      </c>
      <c r="M631" t="s">
        <v>951</v>
      </c>
      <c r="N631">
        <v>1</v>
      </c>
      <c r="O631">
        <v>2022</v>
      </c>
      <c r="P631">
        <v>3914.784397702746</v>
      </c>
      <c r="Q631">
        <v>4.0624899480159886</v>
      </c>
      <c r="R631" t="s">
        <v>109</v>
      </c>
      <c r="S631">
        <v>963.64162072933175</v>
      </c>
      <c r="T631">
        <v>5.8616647127784294</v>
      </c>
      <c r="U631" t="s">
        <v>184</v>
      </c>
      <c r="V631">
        <v>5.8616647127784294</v>
      </c>
      <c r="W631">
        <v>9</v>
      </c>
      <c r="X631">
        <v>22</v>
      </c>
      <c r="Y631">
        <v>16</v>
      </c>
      <c r="Z631">
        <v>9.7022787788124412E-2</v>
      </c>
      <c r="AA631">
        <v>31.536000000000001</v>
      </c>
    </row>
    <row r="632" spans="1:27" x14ac:dyDescent="0.25">
      <c r="A632" t="s">
        <v>98</v>
      </c>
      <c r="B632" t="s">
        <v>519</v>
      </c>
      <c r="C632" t="s">
        <v>689</v>
      </c>
      <c r="D632" t="s">
        <v>101</v>
      </c>
      <c r="E632" t="s">
        <v>304</v>
      </c>
      <c r="F632" t="s">
        <v>201</v>
      </c>
      <c r="G632" t="s">
        <v>103</v>
      </c>
      <c r="H632" t="s">
        <v>125</v>
      </c>
      <c r="I632">
        <v>2016</v>
      </c>
      <c r="J632" t="s">
        <v>327</v>
      </c>
      <c r="K632" t="s">
        <v>127</v>
      </c>
      <c r="L632" t="s">
        <v>941</v>
      </c>
      <c r="M632" t="s">
        <v>952</v>
      </c>
      <c r="N632">
        <v>1</v>
      </c>
      <c r="O632">
        <v>2020</v>
      </c>
      <c r="P632">
        <v>9511.0007826155233</v>
      </c>
      <c r="Q632">
        <v>4.0624899480159886</v>
      </c>
      <c r="R632" t="s">
        <v>109</v>
      </c>
      <c r="S632">
        <v>2341.1752162637208</v>
      </c>
      <c r="T632">
        <v>14.1</v>
      </c>
      <c r="U632" t="s">
        <v>329</v>
      </c>
      <c r="V632">
        <v>4.1348973607038122</v>
      </c>
      <c r="W632">
        <v>8</v>
      </c>
      <c r="X632">
        <v>20.8</v>
      </c>
      <c r="Y632">
        <v>15</v>
      </c>
      <c r="Z632">
        <v>9.7022787788124412E-2</v>
      </c>
      <c r="AA632">
        <v>31.536000000000001</v>
      </c>
    </row>
    <row r="633" spans="1:27" x14ac:dyDescent="0.25">
      <c r="A633" t="s">
        <v>98</v>
      </c>
      <c r="B633" t="s">
        <v>519</v>
      </c>
      <c r="C633" t="s">
        <v>689</v>
      </c>
      <c r="D633" t="s">
        <v>101</v>
      </c>
      <c r="E633" t="s">
        <v>304</v>
      </c>
      <c r="F633" t="s">
        <v>201</v>
      </c>
      <c r="G633" t="s">
        <v>111</v>
      </c>
      <c r="H633" t="s">
        <v>125</v>
      </c>
      <c r="I633">
        <v>2016</v>
      </c>
      <c r="J633" t="s">
        <v>330</v>
      </c>
      <c r="K633" t="s">
        <v>127</v>
      </c>
      <c r="L633" t="s">
        <v>941</v>
      </c>
      <c r="M633" t="s">
        <v>953</v>
      </c>
      <c r="N633">
        <v>1</v>
      </c>
      <c r="O633">
        <v>2020</v>
      </c>
      <c r="P633">
        <v>9846.3245281564559</v>
      </c>
      <c r="Q633">
        <v>4.0624899480159886</v>
      </c>
      <c r="R633" t="s">
        <v>109</v>
      </c>
      <c r="S633">
        <v>2423.7166501704551</v>
      </c>
      <c r="T633">
        <v>17.3</v>
      </c>
      <c r="U633" t="s">
        <v>329</v>
      </c>
      <c r="V633">
        <v>5.0733137829912023</v>
      </c>
      <c r="W633">
        <v>8</v>
      </c>
      <c r="X633">
        <v>20.8</v>
      </c>
      <c r="Y633">
        <v>15</v>
      </c>
      <c r="Z633">
        <v>9.7022787788124412E-2</v>
      </c>
      <c r="AA633">
        <v>31.536000000000001</v>
      </c>
    </row>
    <row r="634" spans="1:27" x14ac:dyDescent="0.25">
      <c r="A634" t="s">
        <v>98</v>
      </c>
      <c r="B634" t="s">
        <v>519</v>
      </c>
      <c r="C634" t="s">
        <v>689</v>
      </c>
      <c r="D634" t="s">
        <v>101</v>
      </c>
      <c r="E634" t="s">
        <v>304</v>
      </c>
      <c r="F634" t="s">
        <v>201</v>
      </c>
      <c r="G634" t="s">
        <v>114</v>
      </c>
      <c r="H634" t="s">
        <v>125</v>
      </c>
      <c r="I634">
        <v>2016</v>
      </c>
      <c r="J634" t="s">
        <v>332</v>
      </c>
      <c r="K634" t="s">
        <v>127</v>
      </c>
      <c r="L634" t="s">
        <v>941</v>
      </c>
      <c r="M634" t="s">
        <v>954</v>
      </c>
      <c r="N634">
        <v>0</v>
      </c>
      <c r="O634">
        <v>2020</v>
      </c>
      <c r="P634">
        <v>9846.3245281564559</v>
      </c>
      <c r="Q634">
        <v>4.0624899480159886</v>
      </c>
      <c r="R634" t="s">
        <v>109</v>
      </c>
      <c r="S634">
        <v>2423.7166501704551</v>
      </c>
      <c r="T634">
        <v>17.100000000000001</v>
      </c>
      <c r="U634" t="s">
        <v>329</v>
      </c>
      <c r="V634">
        <v>5.0146627565982396</v>
      </c>
      <c r="W634">
        <v>8</v>
      </c>
      <c r="X634">
        <v>20.8</v>
      </c>
      <c r="Y634">
        <v>15</v>
      </c>
      <c r="Z634">
        <v>9.7022787788124412E-2</v>
      </c>
      <c r="AA634">
        <v>31.536000000000001</v>
      </c>
    </row>
    <row r="635" spans="1:27" x14ac:dyDescent="0.25">
      <c r="A635" t="s">
        <v>98</v>
      </c>
      <c r="B635" t="s">
        <v>519</v>
      </c>
      <c r="C635" t="s">
        <v>689</v>
      </c>
      <c r="D635" t="s">
        <v>101</v>
      </c>
      <c r="E635" t="s">
        <v>304</v>
      </c>
      <c r="F635" t="s">
        <v>201</v>
      </c>
      <c r="G635" t="s">
        <v>114</v>
      </c>
      <c r="H635" t="s">
        <v>125</v>
      </c>
      <c r="I635">
        <v>2020</v>
      </c>
      <c r="J635" t="s">
        <v>334</v>
      </c>
      <c r="K635" t="s">
        <v>127</v>
      </c>
      <c r="L635" t="s">
        <v>941</v>
      </c>
      <c r="M635" t="s">
        <v>954</v>
      </c>
      <c r="N635">
        <v>1</v>
      </c>
      <c r="O635">
        <v>2020</v>
      </c>
      <c r="P635">
        <v>9846.3245281564559</v>
      </c>
      <c r="Q635">
        <v>4.0624899480159886</v>
      </c>
      <c r="R635" t="s">
        <v>109</v>
      </c>
      <c r="S635">
        <v>2423.7166501704551</v>
      </c>
      <c r="T635">
        <v>17.100000000000001</v>
      </c>
      <c r="U635" t="s">
        <v>329</v>
      </c>
      <c r="V635">
        <v>5.0146627565982396</v>
      </c>
      <c r="W635">
        <v>8</v>
      </c>
      <c r="X635">
        <v>20.8</v>
      </c>
      <c r="Y635">
        <v>15</v>
      </c>
      <c r="Z635">
        <v>9.7022787788124412E-2</v>
      </c>
      <c r="AA635">
        <v>31.536000000000001</v>
      </c>
    </row>
    <row r="636" spans="1:27" x14ac:dyDescent="0.25">
      <c r="A636" t="s">
        <v>98</v>
      </c>
      <c r="B636" t="s">
        <v>519</v>
      </c>
      <c r="C636" t="s">
        <v>689</v>
      </c>
      <c r="D636" t="s">
        <v>101</v>
      </c>
      <c r="E636" t="s">
        <v>304</v>
      </c>
      <c r="F636" t="s">
        <v>201</v>
      </c>
      <c r="G636" t="s">
        <v>114</v>
      </c>
      <c r="H636" t="s">
        <v>125</v>
      </c>
      <c r="I636">
        <v>2022</v>
      </c>
      <c r="J636" t="s">
        <v>335</v>
      </c>
      <c r="K636" t="s">
        <v>127</v>
      </c>
      <c r="L636" t="s">
        <v>941</v>
      </c>
      <c r="M636" t="s">
        <v>955</v>
      </c>
      <c r="N636">
        <v>1</v>
      </c>
      <c r="O636">
        <v>2022</v>
      </c>
      <c r="P636">
        <v>9846.3245281564559</v>
      </c>
      <c r="Q636">
        <v>4.0624899480159886</v>
      </c>
      <c r="R636" t="s">
        <v>109</v>
      </c>
      <c r="S636">
        <v>2423.7166501704551</v>
      </c>
      <c r="T636">
        <v>17.100000000000001</v>
      </c>
      <c r="U636" t="s">
        <v>329</v>
      </c>
      <c r="V636">
        <v>5.0146627565982396</v>
      </c>
      <c r="W636">
        <v>8</v>
      </c>
      <c r="X636">
        <v>20.8</v>
      </c>
      <c r="Y636">
        <v>15</v>
      </c>
      <c r="Z636">
        <v>9.7022787788124412E-2</v>
      </c>
      <c r="AA636">
        <v>31.536000000000001</v>
      </c>
    </row>
    <row r="637" spans="1:27" x14ac:dyDescent="0.25">
      <c r="A637" t="s">
        <v>98</v>
      </c>
      <c r="B637" t="s">
        <v>519</v>
      </c>
      <c r="C637" t="s">
        <v>689</v>
      </c>
      <c r="D637" t="s">
        <v>101</v>
      </c>
      <c r="E637" t="s">
        <v>304</v>
      </c>
      <c r="F637" t="s">
        <v>201</v>
      </c>
      <c r="G637" t="s">
        <v>114</v>
      </c>
      <c r="H637" t="s">
        <v>125</v>
      </c>
      <c r="I637">
        <v>2023</v>
      </c>
      <c r="J637" t="s">
        <v>337</v>
      </c>
      <c r="K637" t="s">
        <v>127</v>
      </c>
      <c r="L637" t="s">
        <v>941</v>
      </c>
      <c r="M637" t="s">
        <v>956</v>
      </c>
      <c r="N637">
        <v>1</v>
      </c>
      <c r="O637">
        <v>2023</v>
      </c>
      <c r="P637">
        <v>9846.3245281564559</v>
      </c>
      <c r="Q637">
        <v>4.0624899480159886</v>
      </c>
      <c r="R637" t="s">
        <v>109</v>
      </c>
      <c r="S637">
        <v>2423.7166501704551</v>
      </c>
      <c r="T637">
        <v>17.100000000000001</v>
      </c>
      <c r="U637" t="s">
        <v>329</v>
      </c>
      <c r="V637">
        <v>5.0146627565982396</v>
      </c>
      <c r="W637">
        <v>8</v>
      </c>
      <c r="X637">
        <v>20.8</v>
      </c>
      <c r="Y637">
        <v>15</v>
      </c>
      <c r="Z637">
        <v>9.7022787788124412E-2</v>
      </c>
      <c r="AA637">
        <v>31.536000000000001</v>
      </c>
    </row>
    <row r="638" spans="1:27" x14ac:dyDescent="0.25">
      <c r="A638" t="s">
        <v>98</v>
      </c>
      <c r="B638" t="s">
        <v>519</v>
      </c>
      <c r="C638" t="s">
        <v>689</v>
      </c>
      <c r="D638" t="s">
        <v>101</v>
      </c>
      <c r="E638" t="s">
        <v>304</v>
      </c>
      <c r="F638" t="s">
        <v>201</v>
      </c>
      <c r="G638" t="s">
        <v>114</v>
      </c>
      <c r="H638" t="s">
        <v>125</v>
      </c>
      <c r="I638">
        <v>2024</v>
      </c>
      <c r="J638" t="s">
        <v>339</v>
      </c>
      <c r="K638" t="s">
        <v>127</v>
      </c>
      <c r="L638" t="s">
        <v>941</v>
      </c>
      <c r="M638" t="s">
        <v>957</v>
      </c>
      <c r="N638">
        <v>1</v>
      </c>
      <c r="O638">
        <v>2024</v>
      </c>
      <c r="P638">
        <v>9846.3245281564559</v>
      </c>
      <c r="Q638">
        <v>4.0624899480159886</v>
      </c>
      <c r="R638" t="s">
        <v>109</v>
      </c>
      <c r="S638">
        <v>2423.7166501704551</v>
      </c>
      <c r="T638">
        <v>17.100000000000001</v>
      </c>
      <c r="U638" t="s">
        <v>329</v>
      </c>
      <c r="V638">
        <v>5.0146627565982396</v>
      </c>
      <c r="W638">
        <v>8</v>
      </c>
      <c r="X638">
        <v>20.8</v>
      </c>
      <c r="Y638">
        <v>15</v>
      </c>
      <c r="Z638">
        <v>9.7022787788124412E-2</v>
      </c>
      <c r="AA638">
        <v>31.536000000000001</v>
      </c>
    </row>
    <row r="639" spans="1:27" x14ac:dyDescent="0.25">
      <c r="A639" t="s">
        <v>98</v>
      </c>
      <c r="B639" t="s">
        <v>519</v>
      </c>
      <c r="C639" t="s">
        <v>689</v>
      </c>
      <c r="D639" t="s">
        <v>101</v>
      </c>
      <c r="E639" t="s">
        <v>304</v>
      </c>
      <c r="F639" t="s">
        <v>201</v>
      </c>
      <c r="G639" t="s">
        <v>119</v>
      </c>
      <c r="H639" t="s">
        <v>125</v>
      </c>
      <c r="I639">
        <v>2016</v>
      </c>
      <c r="J639" t="s">
        <v>341</v>
      </c>
      <c r="K639" t="s">
        <v>127</v>
      </c>
      <c r="L639" t="s">
        <v>941</v>
      </c>
      <c r="M639" t="s">
        <v>958</v>
      </c>
      <c r="N639">
        <v>0</v>
      </c>
      <c r="O639">
        <v>2020</v>
      </c>
      <c r="P639">
        <v>10395.03611176889</v>
      </c>
      <c r="Q639">
        <v>4.0624899480159886</v>
      </c>
      <c r="R639" t="s">
        <v>109</v>
      </c>
      <c r="S639">
        <v>2558.784451108746</v>
      </c>
      <c r="T639">
        <v>22.4</v>
      </c>
      <c r="U639" t="s">
        <v>329</v>
      </c>
      <c r="V639">
        <v>6.5689149560117297</v>
      </c>
      <c r="W639">
        <v>8</v>
      </c>
      <c r="X639">
        <v>20.8</v>
      </c>
      <c r="Y639">
        <v>15</v>
      </c>
      <c r="Z639">
        <v>9.7022787788124412E-2</v>
      </c>
      <c r="AA639">
        <v>31.536000000000001</v>
      </c>
    </row>
    <row r="640" spans="1:27" x14ac:dyDescent="0.25">
      <c r="A640" t="s">
        <v>98</v>
      </c>
      <c r="B640" t="s">
        <v>519</v>
      </c>
      <c r="C640" t="s">
        <v>689</v>
      </c>
      <c r="D640" t="s">
        <v>101</v>
      </c>
      <c r="E640" t="s">
        <v>304</v>
      </c>
      <c r="F640" t="s">
        <v>201</v>
      </c>
      <c r="G640" t="s">
        <v>119</v>
      </c>
      <c r="H640" t="s">
        <v>125</v>
      </c>
      <c r="I640">
        <v>2020</v>
      </c>
      <c r="J640" t="s">
        <v>343</v>
      </c>
      <c r="K640" t="s">
        <v>127</v>
      </c>
      <c r="L640" t="s">
        <v>941</v>
      </c>
      <c r="M640" t="s">
        <v>958</v>
      </c>
      <c r="N640">
        <v>1</v>
      </c>
      <c r="O640">
        <v>2020</v>
      </c>
      <c r="P640">
        <v>10395.03611176889</v>
      </c>
      <c r="Q640">
        <v>4.0624899480159886</v>
      </c>
      <c r="R640" t="s">
        <v>109</v>
      </c>
      <c r="S640">
        <v>2558.784451108746</v>
      </c>
      <c r="T640">
        <v>22.4</v>
      </c>
      <c r="U640" t="s">
        <v>329</v>
      </c>
      <c r="V640">
        <v>6.5689149560117297</v>
      </c>
      <c r="W640">
        <v>8</v>
      </c>
      <c r="X640">
        <v>20.8</v>
      </c>
      <c r="Y640">
        <v>15</v>
      </c>
      <c r="Z640">
        <v>9.7022787788124412E-2</v>
      </c>
      <c r="AA640">
        <v>31.536000000000001</v>
      </c>
    </row>
    <row r="641" spans="1:27" x14ac:dyDescent="0.25">
      <c r="A641" t="s">
        <v>98</v>
      </c>
      <c r="B641" t="s">
        <v>519</v>
      </c>
      <c r="C641" t="s">
        <v>689</v>
      </c>
      <c r="D641" t="s">
        <v>101</v>
      </c>
      <c r="E641" t="s">
        <v>304</v>
      </c>
      <c r="F641" t="s">
        <v>201</v>
      </c>
      <c r="G641" t="s">
        <v>119</v>
      </c>
      <c r="H641" t="s">
        <v>125</v>
      </c>
      <c r="I641">
        <v>2022</v>
      </c>
      <c r="J641" t="s">
        <v>344</v>
      </c>
      <c r="K641" t="s">
        <v>127</v>
      </c>
      <c r="L641" t="s">
        <v>941</v>
      </c>
      <c r="M641" t="s">
        <v>959</v>
      </c>
      <c r="N641">
        <v>1</v>
      </c>
      <c r="O641">
        <v>2022</v>
      </c>
      <c r="P641">
        <v>10395.03611176889</v>
      </c>
      <c r="Q641">
        <v>4.0624899480159886</v>
      </c>
      <c r="R641" t="s">
        <v>109</v>
      </c>
      <c r="S641">
        <v>2558.784451108746</v>
      </c>
      <c r="T641">
        <v>22.4</v>
      </c>
      <c r="U641" t="s">
        <v>329</v>
      </c>
      <c r="V641">
        <v>6.5689149560117297</v>
      </c>
      <c r="W641">
        <v>8</v>
      </c>
      <c r="X641">
        <v>20.8</v>
      </c>
      <c r="Y641">
        <v>15</v>
      </c>
      <c r="Z641">
        <v>9.7022787788124412E-2</v>
      </c>
      <c r="AA641">
        <v>31.536000000000001</v>
      </c>
    </row>
    <row r="642" spans="1:27" x14ac:dyDescent="0.25">
      <c r="A642" t="s">
        <v>98</v>
      </c>
      <c r="B642" t="s">
        <v>519</v>
      </c>
      <c r="C642" t="s">
        <v>689</v>
      </c>
      <c r="D642" t="s">
        <v>101</v>
      </c>
      <c r="E642" t="s">
        <v>304</v>
      </c>
      <c r="F642" t="s">
        <v>201</v>
      </c>
      <c r="G642" t="s">
        <v>119</v>
      </c>
      <c r="H642" t="s">
        <v>125</v>
      </c>
      <c r="I642">
        <v>2023</v>
      </c>
      <c r="J642" t="s">
        <v>346</v>
      </c>
      <c r="K642" t="s">
        <v>127</v>
      </c>
      <c r="L642" t="s">
        <v>941</v>
      </c>
      <c r="M642" t="s">
        <v>960</v>
      </c>
      <c r="N642">
        <v>1</v>
      </c>
      <c r="O642">
        <v>2023</v>
      </c>
      <c r="P642">
        <v>10395.03611176889</v>
      </c>
      <c r="Q642">
        <v>4.0624899480159886</v>
      </c>
      <c r="R642" t="s">
        <v>109</v>
      </c>
      <c r="S642">
        <v>2558.784451108746</v>
      </c>
      <c r="T642">
        <v>22.4</v>
      </c>
      <c r="U642" t="s">
        <v>329</v>
      </c>
      <c r="V642">
        <v>6.5689149560117297</v>
      </c>
      <c r="W642">
        <v>8</v>
      </c>
      <c r="X642">
        <v>20.8</v>
      </c>
      <c r="Y642">
        <v>15</v>
      </c>
      <c r="Z642">
        <v>9.7022787788124412E-2</v>
      </c>
      <c r="AA642">
        <v>31.536000000000001</v>
      </c>
    </row>
    <row r="643" spans="1:27" x14ac:dyDescent="0.25">
      <c r="A643" t="s">
        <v>98</v>
      </c>
      <c r="B643" t="s">
        <v>519</v>
      </c>
      <c r="C643" t="s">
        <v>689</v>
      </c>
      <c r="D643" t="s">
        <v>101</v>
      </c>
      <c r="E643" t="s">
        <v>304</v>
      </c>
      <c r="F643" t="s">
        <v>201</v>
      </c>
      <c r="G643" t="s">
        <v>119</v>
      </c>
      <c r="H643" t="s">
        <v>125</v>
      </c>
      <c r="I643">
        <v>2024</v>
      </c>
      <c r="J643" t="s">
        <v>348</v>
      </c>
      <c r="K643" t="s">
        <v>127</v>
      </c>
      <c r="L643" t="s">
        <v>941</v>
      </c>
      <c r="M643" t="s">
        <v>961</v>
      </c>
      <c r="N643">
        <v>1</v>
      </c>
      <c r="O643">
        <v>2024</v>
      </c>
      <c r="P643">
        <v>10395.03611176889</v>
      </c>
      <c r="Q643">
        <v>4.0624899480159886</v>
      </c>
      <c r="R643" t="s">
        <v>109</v>
      </c>
      <c r="S643">
        <v>2558.784451108746</v>
      </c>
      <c r="T643">
        <v>22.4</v>
      </c>
      <c r="U643" t="s">
        <v>329</v>
      </c>
      <c r="V643">
        <v>6.5689149560117297</v>
      </c>
      <c r="W643">
        <v>8</v>
      </c>
      <c r="X643">
        <v>20.8</v>
      </c>
      <c r="Y643">
        <v>15</v>
      </c>
      <c r="Z643">
        <v>9.7022787788124412E-2</v>
      </c>
      <c r="AA643">
        <v>31.536000000000001</v>
      </c>
    </row>
    <row r="644" spans="1:27" x14ac:dyDescent="0.25">
      <c r="A644" t="s">
        <v>98</v>
      </c>
      <c r="B644" t="s">
        <v>519</v>
      </c>
      <c r="C644" t="s">
        <v>689</v>
      </c>
      <c r="D644" t="s">
        <v>101</v>
      </c>
      <c r="E644" t="s">
        <v>304</v>
      </c>
      <c r="F644" t="s">
        <v>350</v>
      </c>
      <c r="G644" t="s">
        <v>103</v>
      </c>
      <c r="H644" t="s">
        <v>125</v>
      </c>
      <c r="I644">
        <v>2016</v>
      </c>
      <c r="J644" t="s">
        <v>351</v>
      </c>
      <c r="K644" t="s">
        <v>127</v>
      </c>
      <c r="L644" t="s">
        <v>941</v>
      </c>
      <c r="M644" t="s">
        <v>962</v>
      </c>
      <c r="N644">
        <v>1</v>
      </c>
      <c r="O644">
        <v>2020</v>
      </c>
      <c r="P644">
        <v>756.00262631046473</v>
      </c>
      <c r="Q644">
        <v>4.0624899480159886</v>
      </c>
      <c r="R644" t="s">
        <v>109</v>
      </c>
      <c r="S644">
        <v>186.09341462609061</v>
      </c>
      <c r="T644">
        <v>3.1946072684642441</v>
      </c>
      <c r="U644" t="s">
        <v>184</v>
      </c>
      <c r="V644">
        <v>3.1946072684642441</v>
      </c>
      <c r="W644">
        <v>6</v>
      </c>
      <c r="X644">
        <v>13</v>
      </c>
      <c r="Y644">
        <v>10</v>
      </c>
      <c r="Z644">
        <v>9.7022787788124412E-2</v>
      </c>
      <c r="AA644">
        <v>31.536000000000001</v>
      </c>
    </row>
    <row r="645" spans="1:27" x14ac:dyDescent="0.25">
      <c r="A645" t="s">
        <v>98</v>
      </c>
      <c r="B645" t="s">
        <v>519</v>
      </c>
      <c r="C645" t="s">
        <v>689</v>
      </c>
      <c r="D645" t="s">
        <v>101</v>
      </c>
      <c r="E645" t="s">
        <v>304</v>
      </c>
      <c r="F645" t="s">
        <v>350</v>
      </c>
      <c r="G645" t="s">
        <v>111</v>
      </c>
      <c r="H645" t="s">
        <v>125</v>
      </c>
      <c r="I645">
        <v>2016</v>
      </c>
      <c r="J645" t="s">
        <v>353</v>
      </c>
      <c r="K645" t="s">
        <v>127</v>
      </c>
      <c r="L645" t="s">
        <v>941</v>
      </c>
      <c r="M645" t="s">
        <v>963</v>
      </c>
      <c r="N645">
        <v>1</v>
      </c>
      <c r="O645">
        <v>2020</v>
      </c>
      <c r="P645">
        <v>780.38980780435065</v>
      </c>
      <c r="Q645">
        <v>4.0624899480159886</v>
      </c>
      <c r="R645" t="s">
        <v>109</v>
      </c>
      <c r="S645">
        <v>192.09642800112579</v>
      </c>
      <c r="T645">
        <v>3.5169988276670581</v>
      </c>
      <c r="U645" t="s">
        <v>184</v>
      </c>
      <c r="V645">
        <v>3.5169988276670581</v>
      </c>
      <c r="W645">
        <v>6</v>
      </c>
      <c r="X645">
        <v>13</v>
      </c>
      <c r="Y645">
        <v>10</v>
      </c>
      <c r="Z645">
        <v>9.7022787788124412E-2</v>
      </c>
      <c r="AA645">
        <v>31.536000000000001</v>
      </c>
    </row>
    <row r="646" spans="1:27" x14ac:dyDescent="0.25">
      <c r="A646" t="s">
        <v>98</v>
      </c>
      <c r="B646" t="s">
        <v>519</v>
      </c>
      <c r="C646" t="s">
        <v>689</v>
      </c>
      <c r="D646" t="s">
        <v>101</v>
      </c>
      <c r="E646" t="s">
        <v>304</v>
      </c>
      <c r="F646" t="s">
        <v>350</v>
      </c>
      <c r="G646" t="s">
        <v>111</v>
      </c>
      <c r="H646" t="s">
        <v>125</v>
      </c>
      <c r="I646">
        <v>2030</v>
      </c>
      <c r="J646" t="s">
        <v>355</v>
      </c>
      <c r="K646" t="s">
        <v>127</v>
      </c>
      <c r="L646" t="s">
        <v>941</v>
      </c>
      <c r="M646" t="s">
        <v>964</v>
      </c>
      <c r="N646">
        <v>1</v>
      </c>
      <c r="O646">
        <v>2030</v>
      </c>
      <c r="P646">
        <v>780.38980780435065</v>
      </c>
      <c r="Q646">
        <v>4.0624899480159886</v>
      </c>
      <c r="R646" t="s">
        <v>109</v>
      </c>
      <c r="S646">
        <v>192.09642800112579</v>
      </c>
      <c r="T646">
        <v>3.5902696365767879</v>
      </c>
      <c r="U646" t="s">
        <v>184</v>
      </c>
      <c r="V646">
        <v>3.5902696365767879</v>
      </c>
      <c r="W646">
        <v>6</v>
      </c>
      <c r="X646">
        <v>13</v>
      </c>
      <c r="Y646">
        <v>10</v>
      </c>
      <c r="Z646">
        <v>9.7022787788124412E-2</v>
      </c>
      <c r="AA646">
        <v>31.536000000000001</v>
      </c>
    </row>
    <row r="647" spans="1:27" x14ac:dyDescent="0.25">
      <c r="A647" t="s">
        <v>98</v>
      </c>
      <c r="B647" t="s">
        <v>519</v>
      </c>
      <c r="C647" t="s">
        <v>689</v>
      </c>
      <c r="D647" t="s">
        <v>101</v>
      </c>
      <c r="E647" t="s">
        <v>304</v>
      </c>
      <c r="F647" t="s">
        <v>350</v>
      </c>
      <c r="G647" t="s">
        <v>111</v>
      </c>
      <c r="H647" t="s">
        <v>125</v>
      </c>
      <c r="I647">
        <v>2040</v>
      </c>
      <c r="J647" t="s">
        <v>357</v>
      </c>
      <c r="K647" t="s">
        <v>127</v>
      </c>
      <c r="L647" t="s">
        <v>941</v>
      </c>
      <c r="M647" t="s">
        <v>965</v>
      </c>
      <c r="N647">
        <v>1</v>
      </c>
      <c r="O647">
        <v>2040</v>
      </c>
      <c r="P647">
        <v>780.38980780435065</v>
      </c>
      <c r="Q647">
        <v>4.0624899480159886</v>
      </c>
      <c r="R647" t="s">
        <v>109</v>
      </c>
      <c r="S647">
        <v>192.09642800112579</v>
      </c>
      <c r="T647">
        <v>3.6635404454865181</v>
      </c>
      <c r="U647" t="s">
        <v>184</v>
      </c>
      <c r="V647">
        <v>3.6635404454865181</v>
      </c>
      <c r="W647">
        <v>6</v>
      </c>
      <c r="X647">
        <v>13</v>
      </c>
      <c r="Y647">
        <v>10</v>
      </c>
      <c r="Z647">
        <v>9.7022787788124412E-2</v>
      </c>
      <c r="AA647">
        <v>31.536000000000001</v>
      </c>
    </row>
    <row r="648" spans="1:27" x14ac:dyDescent="0.25">
      <c r="A648" t="s">
        <v>98</v>
      </c>
      <c r="B648" t="s">
        <v>519</v>
      </c>
      <c r="C648" t="s">
        <v>689</v>
      </c>
      <c r="D648" t="s">
        <v>101</v>
      </c>
      <c r="E648" t="s">
        <v>304</v>
      </c>
      <c r="F648" t="s">
        <v>350</v>
      </c>
      <c r="G648" t="s">
        <v>114</v>
      </c>
      <c r="H648" t="s">
        <v>125</v>
      </c>
      <c r="I648">
        <v>2016</v>
      </c>
      <c r="J648" t="s">
        <v>359</v>
      </c>
      <c r="K648" t="s">
        <v>127</v>
      </c>
      <c r="L648" t="s">
        <v>941</v>
      </c>
      <c r="M648" t="s">
        <v>966</v>
      </c>
      <c r="N648">
        <v>1</v>
      </c>
      <c r="O648">
        <v>2020</v>
      </c>
      <c r="P648">
        <v>780.38980780435065</v>
      </c>
      <c r="Q648">
        <v>4.0624899480159886</v>
      </c>
      <c r="R648" t="s">
        <v>109</v>
      </c>
      <c r="S648">
        <v>192.09642800112579</v>
      </c>
      <c r="T648">
        <v>3.5169988276670581</v>
      </c>
      <c r="U648" t="s">
        <v>184</v>
      </c>
      <c r="V648">
        <v>3.5169988276670581</v>
      </c>
      <c r="W648">
        <v>6</v>
      </c>
      <c r="X648">
        <v>13</v>
      </c>
      <c r="Y648">
        <v>10</v>
      </c>
      <c r="Z648">
        <v>9.7022787788124412E-2</v>
      </c>
      <c r="AA648">
        <v>31.536000000000001</v>
      </c>
    </row>
    <row r="649" spans="1:27" x14ac:dyDescent="0.25">
      <c r="A649" t="s">
        <v>98</v>
      </c>
      <c r="B649" t="s">
        <v>519</v>
      </c>
      <c r="C649" t="s">
        <v>689</v>
      </c>
      <c r="D649" t="s">
        <v>101</v>
      </c>
      <c r="E649" t="s">
        <v>304</v>
      </c>
      <c r="F649" t="s">
        <v>350</v>
      </c>
      <c r="G649" t="s">
        <v>119</v>
      </c>
      <c r="H649" t="s">
        <v>125</v>
      </c>
      <c r="I649">
        <v>2016</v>
      </c>
      <c r="J649" t="s">
        <v>361</v>
      </c>
      <c r="K649" t="s">
        <v>127</v>
      </c>
      <c r="L649" t="s">
        <v>941</v>
      </c>
      <c r="M649" t="s">
        <v>967</v>
      </c>
      <c r="N649">
        <v>1</v>
      </c>
      <c r="O649">
        <v>2020</v>
      </c>
      <c r="P649">
        <v>859.64814765948006</v>
      </c>
      <c r="Q649">
        <v>4.0624899480159886</v>
      </c>
      <c r="R649" t="s">
        <v>109</v>
      </c>
      <c r="S649">
        <v>211.60622146999009</v>
      </c>
      <c r="T649">
        <v>3.6049237983587341</v>
      </c>
      <c r="U649" t="s">
        <v>184</v>
      </c>
      <c r="V649">
        <v>3.6049237983587341</v>
      </c>
      <c r="W649">
        <v>6</v>
      </c>
      <c r="X649">
        <v>13</v>
      </c>
      <c r="Y649">
        <v>10</v>
      </c>
      <c r="Z649">
        <v>9.7022787788124412E-2</v>
      </c>
      <c r="AA649">
        <v>31.536000000000001</v>
      </c>
    </row>
    <row r="650" spans="1:27" x14ac:dyDescent="0.25">
      <c r="A650" t="s">
        <v>98</v>
      </c>
      <c r="B650" t="s">
        <v>519</v>
      </c>
      <c r="C650" t="s">
        <v>689</v>
      </c>
      <c r="D650" t="s">
        <v>101</v>
      </c>
      <c r="E650" t="s">
        <v>304</v>
      </c>
      <c r="F650" t="s">
        <v>350</v>
      </c>
      <c r="G650" t="s">
        <v>119</v>
      </c>
      <c r="H650" t="s">
        <v>125</v>
      </c>
      <c r="I650">
        <v>2022</v>
      </c>
      <c r="J650" t="s">
        <v>363</v>
      </c>
      <c r="K650" t="s">
        <v>127</v>
      </c>
      <c r="L650" t="s">
        <v>941</v>
      </c>
      <c r="M650" t="s">
        <v>968</v>
      </c>
      <c r="N650">
        <v>1</v>
      </c>
      <c r="O650">
        <v>2022</v>
      </c>
      <c r="P650">
        <v>859.64814765948006</v>
      </c>
      <c r="Q650">
        <v>4.0624899480159886</v>
      </c>
      <c r="R650" t="s">
        <v>109</v>
      </c>
      <c r="S650">
        <v>211.60622146999009</v>
      </c>
      <c r="T650">
        <v>3.6635404454865181</v>
      </c>
      <c r="U650" t="s">
        <v>184</v>
      </c>
      <c r="V650">
        <v>3.6635404454865181</v>
      </c>
      <c r="W650">
        <v>6</v>
      </c>
      <c r="X650">
        <v>13</v>
      </c>
      <c r="Y650">
        <v>10</v>
      </c>
      <c r="Z650">
        <v>9.7022787788124412E-2</v>
      </c>
      <c r="AA650">
        <v>31.536000000000001</v>
      </c>
    </row>
    <row r="651" spans="1:27" x14ac:dyDescent="0.25">
      <c r="A651" t="s">
        <v>98</v>
      </c>
      <c r="B651" t="s">
        <v>519</v>
      </c>
      <c r="C651" t="s">
        <v>689</v>
      </c>
      <c r="D651" t="s">
        <v>101</v>
      </c>
      <c r="E651" t="s">
        <v>304</v>
      </c>
      <c r="F651" t="s">
        <v>350</v>
      </c>
      <c r="G651" t="s">
        <v>119</v>
      </c>
      <c r="H651" t="s">
        <v>125</v>
      </c>
      <c r="I651">
        <v>2030</v>
      </c>
      <c r="J651" t="s">
        <v>365</v>
      </c>
      <c r="K651" t="s">
        <v>127</v>
      </c>
      <c r="L651" t="s">
        <v>941</v>
      </c>
      <c r="M651" t="s">
        <v>969</v>
      </c>
      <c r="N651">
        <v>1</v>
      </c>
      <c r="O651">
        <v>2030</v>
      </c>
      <c r="P651">
        <v>859.64814765948006</v>
      </c>
      <c r="Q651">
        <v>4.0624899480159886</v>
      </c>
      <c r="R651" t="s">
        <v>109</v>
      </c>
      <c r="S651">
        <v>211.60622146999009</v>
      </c>
      <c r="T651">
        <v>3.8100820633059791</v>
      </c>
      <c r="U651" t="s">
        <v>184</v>
      </c>
      <c r="V651">
        <v>3.8100820633059791</v>
      </c>
      <c r="W651">
        <v>6</v>
      </c>
      <c r="X651">
        <v>13</v>
      </c>
      <c r="Y651">
        <v>10</v>
      </c>
      <c r="Z651">
        <v>9.7022787788124412E-2</v>
      </c>
      <c r="AA651">
        <v>31.536000000000001</v>
      </c>
    </row>
    <row r="652" spans="1:27" x14ac:dyDescent="0.25">
      <c r="A652" t="s">
        <v>98</v>
      </c>
      <c r="B652" t="s">
        <v>519</v>
      </c>
      <c r="C652" t="s">
        <v>689</v>
      </c>
      <c r="D652" t="s">
        <v>101</v>
      </c>
      <c r="E652" t="s">
        <v>304</v>
      </c>
      <c r="F652" t="s">
        <v>350</v>
      </c>
      <c r="G652" t="s">
        <v>119</v>
      </c>
      <c r="H652" t="s">
        <v>125</v>
      </c>
      <c r="I652">
        <v>2040</v>
      </c>
      <c r="J652" t="s">
        <v>367</v>
      </c>
      <c r="K652" t="s">
        <v>127</v>
      </c>
      <c r="L652" t="s">
        <v>941</v>
      </c>
      <c r="M652" t="s">
        <v>970</v>
      </c>
      <c r="N652">
        <v>1</v>
      </c>
      <c r="O652">
        <v>2040</v>
      </c>
      <c r="P652">
        <v>859.64814765948006</v>
      </c>
      <c r="Q652">
        <v>4.0624899480159886</v>
      </c>
      <c r="R652" t="s">
        <v>109</v>
      </c>
      <c r="S652">
        <v>211.60622146999009</v>
      </c>
      <c r="T652">
        <v>3.9566236811254401</v>
      </c>
      <c r="U652" t="s">
        <v>184</v>
      </c>
      <c r="V652">
        <v>3.9566236811254401</v>
      </c>
      <c r="W652">
        <v>6</v>
      </c>
      <c r="X652">
        <v>13</v>
      </c>
      <c r="Y652">
        <v>10</v>
      </c>
      <c r="Z652">
        <v>9.7022787788124412E-2</v>
      </c>
      <c r="AA652">
        <v>31.536000000000001</v>
      </c>
    </row>
    <row r="653" spans="1:27" x14ac:dyDescent="0.25">
      <c r="A653" t="s">
        <v>98</v>
      </c>
      <c r="B653" t="s">
        <v>519</v>
      </c>
      <c r="C653" t="s">
        <v>689</v>
      </c>
      <c r="D653" t="s">
        <v>101</v>
      </c>
      <c r="E653" t="s">
        <v>304</v>
      </c>
      <c r="F653" t="s">
        <v>369</v>
      </c>
      <c r="G653" t="s">
        <v>103</v>
      </c>
      <c r="H653" t="s">
        <v>125</v>
      </c>
      <c r="I653">
        <v>2016</v>
      </c>
      <c r="J653" t="s">
        <v>370</v>
      </c>
      <c r="K653" t="s">
        <v>127</v>
      </c>
      <c r="L653" t="s">
        <v>941</v>
      </c>
      <c r="M653" t="s">
        <v>971</v>
      </c>
      <c r="N653">
        <v>1</v>
      </c>
      <c r="O653">
        <v>2020</v>
      </c>
      <c r="P653">
        <v>4328.724715164758</v>
      </c>
      <c r="Q653">
        <v>4.0624899480159886</v>
      </c>
      <c r="R653" t="s">
        <v>109</v>
      </c>
      <c r="S653">
        <v>1065.534874068745</v>
      </c>
      <c r="T653">
        <v>3.8100820633059791</v>
      </c>
      <c r="U653" t="s">
        <v>184</v>
      </c>
      <c r="V653">
        <v>3.8100820633059791</v>
      </c>
      <c r="W653">
        <v>11</v>
      </c>
      <c r="X653">
        <v>25</v>
      </c>
      <c r="Y653">
        <v>19</v>
      </c>
      <c r="Z653">
        <v>9.7022787788124412E-2</v>
      </c>
      <c r="AA653">
        <v>31.536000000000001</v>
      </c>
    </row>
    <row r="654" spans="1:27" x14ac:dyDescent="0.25">
      <c r="A654" t="s">
        <v>98</v>
      </c>
      <c r="B654" t="s">
        <v>519</v>
      </c>
      <c r="C654" t="s">
        <v>689</v>
      </c>
      <c r="D654" t="s">
        <v>101</v>
      </c>
      <c r="E654" t="s">
        <v>304</v>
      </c>
      <c r="F654" t="s">
        <v>369</v>
      </c>
      <c r="G654" t="s">
        <v>103</v>
      </c>
      <c r="H654" t="s">
        <v>125</v>
      </c>
      <c r="I654">
        <v>2023</v>
      </c>
      <c r="J654" t="s">
        <v>372</v>
      </c>
      <c r="K654" t="s">
        <v>127</v>
      </c>
      <c r="L654" t="s">
        <v>941</v>
      </c>
      <c r="M654" t="s">
        <v>972</v>
      </c>
      <c r="N654">
        <v>1</v>
      </c>
      <c r="O654">
        <v>2023</v>
      </c>
      <c r="P654">
        <v>4328.724715164758</v>
      </c>
      <c r="Q654">
        <v>4.0624899480159886</v>
      </c>
      <c r="R654" t="s">
        <v>109</v>
      </c>
      <c r="S654">
        <v>1065.534874068745</v>
      </c>
      <c r="T654">
        <v>3.8100820633059791</v>
      </c>
      <c r="U654" t="s">
        <v>184</v>
      </c>
      <c r="V654">
        <v>3.8100820633059791</v>
      </c>
      <c r="W654">
        <v>11</v>
      </c>
      <c r="X654">
        <v>25</v>
      </c>
      <c r="Y654">
        <v>19</v>
      </c>
      <c r="Z654">
        <v>9.7022787788124412E-2</v>
      </c>
      <c r="AA654">
        <v>31.536000000000001</v>
      </c>
    </row>
    <row r="655" spans="1:27" x14ac:dyDescent="0.25">
      <c r="A655" t="s">
        <v>98</v>
      </c>
      <c r="B655" t="s">
        <v>519</v>
      </c>
      <c r="C655" t="s">
        <v>689</v>
      </c>
      <c r="D655" t="s">
        <v>101</v>
      </c>
      <c r="E655" t="s">
        <v>304</v>
      </c>
      <c r="F655" t="s">
        <v>369</v>
      </c>
      <c r="G655" t="s">
        <v>111</v>
      </c>
      <c r="H655" t="s">
        <v>125</v>
      </c>
      <c r="I655">
        <v>2016</v>
      </c>
      <c r="J655" t="s">
        <v>374</v>
      </c>
      <c r="K655" t="s">
        <v>127</v>
      </c>
      <c r="L655" t="s">
        <v>941</v>
      </c>
      <c r="M655" t="s">
        <v>973</v>
      </c>
      <c r="N655">
        <v>1</v>
      </c>
      <c r="O655">
        <v>2020</v>
      </c>
      <c r="P655">
        <v>4450.6606226341873</v>
      </c>
      <c r="Q655">
        <v>4.0624899480159886</v>
      </c>
      <c r="R655" t="s">
        <v>109</v>
      </c>
      <c r="S655">
        <v>1095.549940943921</v>
      </c>
      <c r="T655">
        <v>4.0738569753810081</v>
      </c>
      <c r="U655" t="s">
        <v>184</v>
      </c>
      <c r="V655">
        <v>4.0738569753810081</v>
      </c>
      <c r="W655">
        <v>11</v>
      </c>
      <c r="X655">
        <v>25</v>
      </c>
      <c r="Y655">
        <v>19</v>
      </c>
      <c r="Z655">
        <v>9.7022787788124412E-2</v>
      </c>
      <c r="AA655">
        <v>31.536000000000001</v>
      </c>
    </row>
    <row r="656" spans="1:27" x14ac:dyDescent="0.25">
      <c r="A656" t="s">
        <v>98</v>
      </c>
      <c r="B656" t="s">
        <v>519</v>
      </c>
      <c r="C656" t="s">
        <v>689</v>
      </c>
      <c r="D656" t="s">
        <v>101</v>
      </c>
      <c r="E656" t="s">
        <v>304</v>
      </c>
      <c r="F656" t="s">
        <v>369</v>
      </c>
      <c r="G656" t="s">
        <v>111</v>
      </c>
      <c r="H656" t="s">
        <v>125</v>
      </c>
      <c r="I656">
        <v>2023</v>
      </c>
      <c r="J656" t="s">
        <v>376</v>
      </c>
      <c r="K656" t="s">
        <v>127</v>
      </c>
      <c r="L656" t="s">
        <v>941</v>
      </c>
      <c r="M656" t="s">
        <v>974</v>
      </c>
      <c r="N656">
        <v>1</v>
      </c>
      <c r="O656">
        <v>2023</v>
      </c>
      <c r="P656">
        <v>4511.628576368902</v>
      </c>
      <c r="Q656">
        <v>4.0624899480159886</v>
      </c>
      <c r="R656" t="s">
        <v>109</v>
      </c>
      <c r="S656">
        <v>1110.557474381508</v>
      </c>
      <c r="T656">
        <v>4.2203985932004704</v>
      </c>
      <c r="U656" t="s">
        <v>184</v>
      </c>
      <c r="V656">
        <v>4.2203985932004704</v>
      </c>
      <c r="W656">
        <v>11</v>
      </c>
      <c r="X656">
        <v>25</v>
      </c>
      <c r="Y656">
        <v>19</v>
      </c>
      <c r="Z656">
        <v>9.7022787788124412E-2</v>
      </c>
      <c r="AA656">
        <v>31.536000000000001</v>
      </c>
    </row>
    <row r="657" spans="1:27" x14ac:dyDescent="0.25">
      <c r="A657" t="s">
        <v>98</v>
      </c>
      <c r="B657" t="s">
        <v>519</v>
      </c>
      <c r="C657" t="s">
        <v>689</v>
      </c>
      <c r="D657" t="s">
        <v>101</v>
      </c>
      <c r="E657" t="s">
        <v>304</v>
      </c>
      <c r="F657" t="s">
        <v>369</v>
      </c>
      <c r="G657" t="s">
        <v>114</v>
      </c>
      <c r="H657" t="s">
        <v>125</v>
      </c>
      <c r="I657">
        <v>2016</v>
      </c>
      <c r="J657" t="s">
        <v>378</v>
      </c>
      <c r="K657" t="s">
        <v>127</v>
      </c>
      <c r="L657" t="s">
        <v>941</v>
      </c>
      <c r="M657" t="s">
        <v>975</v>
      </c>
      <c r="N657">
        <v>1</v>
      </c>
      <c r="O657">
        <v>2020</v>
      </c>
      <c r="P657">
        <v>4877.436298777192</v>
      </c>
      <c r="Q657">
        <v>4.0624899480159886</v>
      </c>
      <c r="R657" t="s">
        <v>109</v>
      </c>
      <c r="S657">
        <v>1200.6026750070359</v>
      </c>
      <c r="T657">
        <v>4.3962485345838216</v>
      </c>
      <c r="U657" t="s">
        <v>184</v>
      </c>
      <c r="V657">
        <v>4.3962485345838216</v>
      </c>
      <c r="W657">
        <v>11</v>
      </c>
      <c r="X657">
        <v>25</v>
      </c>
      <c r="Y657">
        <v>19</v>
      </c>
      <c r="Z657">
        <v>9.7022787788124412E-2</v>
      </c>
      <c r="AA657">
        <v>31.536000000000001</v>
      </c>
    </row>
    <row r="658" spans="1:27" x14ac:dyDescent="0.25">
      <c r="A658" t="s">
        <v>98</v>
      </c>
      <c r="B658" t="s">
        <v>519</v>
      </c>
      <c r="C658" t="s">
        <v>689</v>
      </c>
      <c r="D658" t="s">
        <v>101</v>
      </c>
      <c r="E658" t="s">
        <v>304</v>
      </c>
      <c r="F658" t="s">
        <v>369</v>
      </c>
      <c r="G658" t="s">
        <v>114</v>
      </c>
      <c r="H658" t="s">
        <v>125</v>
      </c>
      <c r="I658">
        <v>2023</v>
      </c>
      <c r="J658" t="s">
        <v>380</v>
      </c>
      <c r="K658" t="s">
        <v>127</v>
      </c>
      <c r="L658" t="s">
        <v>941</v>
      </c>
      <c r="M658" t="s">
        <v>976</v>
      </c>
      <c r="N658">
        <v>1</v>
      </c>
      <c r="O658">
        <v>2023</v>
      </c>
      <c r="P658">
        <v>5202.5987186956727</v>
      </c>
      <c r="Q658">
        <v>4.0624899480159886</v>
      </c>
      <c r="R658" t="s">
        <v>109</v>
      </c>
      <c r="S658">
        <v>1280.6428533408391</v>
      </c>
      <c r="T658">
        <v>4.6893317702227444</v>
      </c>
      <c r="U658" t="s">
        <v>184</v>
      </c>
      <c r="V658">
        <v>4.6893317702227444</v>
      </c>
      <c r="W658">
        <v>11</v>
      </c>
      <c r="X658">
        <v>25</v>
      </c>
      <c r="Y658">
        <v>19</v>
      </c>
      <c r="Z658">
        <v>9.7022787788124412E-2</v>
      </c>
      <c r="AA658">
        <v>31.536000000000001</v>
      </c>
    </row>
    <row r="659" spans="1:27" x14ac:dyDescent="0.25">
      <c r="A659" t="s">
        <v>98</v>
      </c>
      <c r="B659" t="s">
        <v>519</v>
      </c>
      <c r="C659" t="s">
        <v>689</v>
      </c>
      <c r="D659" t="s">
        <v>101</v>
      </c>
      <c r="E659" t="s">
        <v>304</v>
      </c>
      <c r="F659" t="s">
        <v>369</v>
      </c>
      <c r="G659" t="s">
        <v>119</v>
      </c>
      <c r="H659" t="s">
        <v>125</v>
      </c>
      <c r="I659">
        <v>2016</v>
      </c>
      <c r="J659" t="s">
        <v>382</v>
      </c>
      <c r="K659" t="s">
        <v>127</v>
      </c>
      <c r="L659" t="s">
        <v>941</v>
      </c>
      <c r="M659" t="s">
        <v>977</v>
      </c>
      <c r="N659">
        <v>1</v>
      </c>
      <c r="O659">
        <v>2020</v>
      </c>
      <c r="P659">
        <v>5670.0196973284856</v>
      </c>
      <c r="Q659">
        <v>4.0624899480159886</v>
      </c>
      <c r="R659" t="s">
        <v>109</v>
      </c>
      <c r="S659">
        <v>1395.70060969568</v>
      </c>
      <c r="T659">
        <v>4.835873388042204</v>
      </c>
      <c r="U659" t="s">
        <v>184</v>
      </c>
      <c r="V659">
        <v>4.835873388042204</v>
      </c>
      <c r="W659">
        <v>11</v>
      </c>
      <c r="X659">
        <v>25</v>
      </c>
      <c r="Y659">
        <v>19</v>
      </c>
      <c r="Z659">
        <v>9.7022787788124412E-2</v>
      </c>
      <c r="AA659">
        <v>31.536000000000001</v>
      </c>
    </row>
    <row r="660" spans="1:27" x14ac:dyDescent="0.25">
      <c r="A660" t="s">
        <v>98</v>
      </c>
      <c r="B660" t="s">
        <v>519</v>
      </c>
      <c r="C660" t="s">
        <v>689</v>
      </c>
      <c r="D660" t="s">
        <v>101</v>
      </c>
      <c r="E660" t="s">
        <v>304</v>
      </c>
      <c r="F660" t="s">
        <v>369</v>
      </c>
      <c r="G660" t="s">
        <v>119</v>
      </c>
      <c r="H660" t="s">
        <v>125</v>
      </c>
      <c r="I660">
        <v>2022</v>
      </c>
      <c r="J660" t="s">
        <v>384</v>
      </c>
      <c r="K660" t="s">
        <v>127</v>
      </c>
      <c r="L660" t="s">
        <v>941</v>
      </c>
      <c r="M660" t="s">
        <v>978</v>
      </c>
      <c r="N660">
        <v>1</v>
      </c>
      <c r="O660">
        <v>2022</v>
      </c>
      <c r="P660">
        <v>5670.0196973284856</v>
      </c>
      <c r="Q660">
        <v>4.0624899480159886</v>
      </c>
      <c r="R660" t="s">
        <v>109</v>
      </c>
      <c r="S660">
        <v>1395.70060969568</v>
      </c>
      <c r="T660">
        <v>4.835873388042204</v>
      </c>
      <c r="U660" t="s">
        <v>184</v>
      </c>
      <c r="V660">
        <v>4.835873388042204</v>
      </c>
      <c r="W660">
        <v>11</v>
      </c>
      <c r="X660">
        <v>25</v>
      </c>
      <c r="Y660">
        <v>19</v>
      </c>
      <c r="Z660">
        <v>9.7022787788124412E-2</v>
      </c>
      <c r="AA660">
        <v>31.536000000000001</v>
      </c>
    </row>
    <row r="661" spans="1:27" x14ac:dyDescent="0.25">
      <c r="A661" t="s">
        <v>98</v>
      </c>
      <c r="B661" t="s">
        <v>519</v>
      </c>
      <c r="C661" t="s">
        <v>689</v>
      </c>
      <c r="D661" t="s">
        <v>101</v>
      </c>
      <c r="E661" t="s">
        <v>386</v>
      </c>
      <c r="G661" t="s">
        <v>387</v>
      </c>
      <c r="H661" t="s">
        <v>125</v>
      </c>
      <c r="I661">
        <v>2016</v>
      </c>
      <c r="J661" t="s">
        <v>388</v>
      </c>
      <c r="K661" t="s">
        <v>127</v>
      </c>
      <c r="L661" t="s">
        <v>979</v>
      </c>
      <c r="M661" t="s">
        <v>980</v>
      </c>
      <c r="N661">
        <v>1</v>
      </c>
      <c r="O661">
        <v>2020</v>
      </c>
      <c r="P661">
        <v>853.55135228600852</v>
      </c>
      <c r="Q661">
        <v>3.9469660594818738</v>
      </c>
      <c r="R661" t="s">
        <v>391</v>
      </c>
      <c r="S661">
        <v>216.2550524688464</v>
      </c>
      <c r="T661">
        <v>404.78399999999999</v>
      </c>
      <c r="U661" t="s">
        <v>392</v>
      </c>
      <c r="V661">
        <v>1.1306815642458099</v>
      </c>
      <c r="W661">
        <v>11.625999787885601</v>
      </c>
      <c r="X661">
        <v>21.895260974855479</v>
      </c>
      <c r="Y661">
        <v>17</v>
      </c>
      <c r="Z661">
        <v>0.65</v>
      </c>
      <c r="AA661">
        <v>1</v>
      </c>
    </row>
    <row r="662" spans="1:27" x14ac:dyDescent="0.25">
      <c r="A662" t="s">
        <v>98</v>
      </c>
      <c r="B662" t="s">
        <v>519</v>
      </c>
      <c r="C662" t="s">
        <v>689</v>
      </c>
      <c r="D662" t="s">
        <v>101</v>
      </c>
      <c r="E662" t="s">
        <v>386</v>
      </c>
      <c r="G662" t="s">
        <v>393</v>
      </c>
      <c r="H662" t="s">
        <v>125</v>
      </c>
      <c r="I662">
        <v>2016</v>
      </c>
      <c r="J662" t="s">
        <v>394</v>
      </c>
      <c r="K662" t="s">
        <v>127</v>
      </c>
      <c r="L662" t="s">
        <v>979</v>
      </c>
      <c r="M662" t="s">
        <v>981</v>
      </c>
      <c r="N662">
        <v>1</v>
      </c>
      <c r="O662">
        <v>2020</v>
      </c>
      <c r="P662">
        <v>914.51930602072343</v>
      </c>
      <c r="Q662">
        <v>3.9469660594818738</v>
      </c>
      <c r="R662" t="s">
        <v>391</v>
      </c>
      <c r="S662">
        <v>231.7018419309068</v>
      </c>
      <c r="T662">
        <v>389</v>
      </c>
      <c r="U662" t="s">
        <v>392</v>
      </c>
      <c r="V662">
        <v>1.08659217877095</v>
      </c>
      <c r="W662">
        <v>11.625999787885601</v>
      </c>
      <c r="X662">
        <v>21.895260974855479</v>
      </c>
      <c r="Y662">
        <v>17</v>
      </c>
      <c r="Z662">
        <v>0.65</v>
      </c>
      <c r="AA662">
        <v>1</v>
      </c>
    </row>
    <row r="663" spans="1:27" x14ac:dyDescent="0.25">
      <c r="A663" t="s">
        <v>98</v>
      </c>
      <c r="B663" t="s">
        <v>519</v>
      </c>
      <c r="C663" t="s">
        <v>689</v>
      </c>
      <c r="D663" t="s">
        <v>101</v>
      </c>
      <c r="E663" t="s">
        <v>386</v>
      </c>
      <c r="G663" t="s">
        <v>396</v>
      </c>
      <c r="H663" t="s">
        <v>125</v>
      </c>
      <c r="I663">
        <v>2016</v>
      </c>
      <c r="J663" t="s">
        <v>397</v>
      </c>
      <c r="K663" t="s">
        <v>127</v>
      </c>
      <c r="L663" t="s">
        <v>979</v>
      </c>
      <c r="M663" t="s">
        <v>982</v>
      </c>
      <c r="N663">
        <v>1</v>
      </c>
      <c r="O663">
        <v>2020</v>
      </c>
      <c r="P663">
        <v>1036.455213490153</v>
      </c>
      <c r="Q663">
        <v>3.9469660594818738</v>
      </c>
      <c r="R663" t="s">
        <v>391</v>
      </c>
      <c r="S663">
        <v>262.59542085502773</v>
      </c>
      <c r="T663">
        <v>364.30560000000003</v>
      </c>
      <c r="U663" t="s">
        <v>392</v>
      </c>
      <c r="V663">
        <v>1.0176134078212291</v>
      </c>
      <c r="W663">
        <v>11.625999787885601</v>
      </c>
      <c r="X663">
        <v>21.895260974855479</v>
      </c>
      <c r="Y663">
        <v>17</v>
      </c>
      <c r="Z663">
        <v>0.65</v>
      </c>
      <c r="AA663">
        <v>1</v>
      </c>
    </row>
    <row r="664" spans="1:27" x14ac:dyDescent="0.25">
      <c r="A664" t="s">
        <v>98</v>
      </c>
      <c r="B664" t="s">
        <v>519</v>
      </c>
      <c r="C664" t="s">
        <v>689</v>
      </c>
      <c r="D664" t="s">
        <v>101</v>
      </c>
      <c r="E664" t="s">
        <v>386</v>
      </c>
      <c r="G664" t="s">
        <v>399</v>
      </c>
      <c r="H664" t="s">
        <v>125</v>
      </c>
      <c r="I664">
        <v>2016</v>
      </c>
      <c r="J664" t="s">
        <v>400</v>
      </c>
      <c r="K664" t="s">
        <v>127</v>
      </c>
      <c r="L664" t="s">
        <v>979</v>
      </c>
      <c r="M664" t="s">
        <v>983</v>
      </c>
      <c r="N664">
        <v>1</v>
      </c>
      <c r="O664">
        <v>2020</v>
      </c>
      <c r="P664">
        <v>1073.035985730982</v>
      </c>
      <c r="Q664">
        <v>3.9469660594818738</v>
      </c>
      <c r="R664" t="s">
        <v>391</v>
      </c>
      <c r="S664">
        <v>271.86349453226399</v>
      </c>
      <c r="T664">
        <v>358</v>
      </c>
      <c r="U664" t="s">
        <v>392</v>
      </c>
      <c r="V664">
        <v>1</v>
      </c>
      <c r="W664">
        <v>11.625999787885601</v>
      </c>
      <c r="X664">
        <v>21.895260974855479</v>
      </c>
      <c r="Y664">
        <v>17</v>
      </c>
      <c r="Z664">
        <v>0.65</v>
      </c>
      <c r="AA664">
        <v>1</v>
      </c>
    </row>
    <row r="665" spans="1:27" x14ac:dyDescent="0.25">
      <c r="A665" t="s">
        <v>98</v>
      </c>
      <c r="B665" t="s">
        <v>519</v>
      </c>
      <c r="C665" t="s">
        <v>689</v>
      </c>
      <c r="D665" t="s">
        <v>101</v>
      </c>
      <c r="E665" t="s">
        <v>386</v>
      </c>
      <c r="G665" t="s">
        <v>402</v>
      </c>
      <c r="H665" t="s">
        <v>125</v>
      </c>
      <c r="I665">
        <v>2016</v>
      </c>
      <c r="J665" t="s">
        <v>403</v>
      </c>
      <c r="K665" t="s">
        <v>127</v>
      </c>
      <c r="L665" t="s">
        <v>979</v>
      </c>
      <c r="M665" t="s">
        <v>984</v>
      </c>
      <c r="N665">
        <v>1</v>
      </c>
      <c r="O665">
        <v>2020</v>
      </c>
      <c r="P665">
        <v>1597.3603878495301</v>
      </c>
      <c r="Q665">
        <v>3.9469660594818738</v>
      </c>
      <c r="R665" t="s">
        <v>391</v>
      </c>
      <c r="S665">
        <v>404.70588390598391</v>
      </c>
      <c r="T665">
        <v>705.226</v>
      </c>
      <c r="U665" t="s">
        <v>392</v>
      </c>
      <c r="V665">
        <v>1.9699050279329611</v>
      </c>
      <c r="W665">
        <v>11.625999787885601</v>
      </c>
      <c r="X665">
        <v>21.895260974855479</v>
      </c>
      <c r="Y665">
        <v>17</v>
      </c>
      <c r="Z665">
        <v>0.65</v>
      </c>
      <c r="AA665">
        <v>1</v>
      </c>
    </row>
    <row r="666" spans="1:27" x14ac:dyDescent="0.25">
      <c r="A666" t="s">
        <v>98</v>
      </c>
      <c r="B666" t="s">
        <v>519</v>
      </c>
      <c r="C666" t="s">
        <v>689</v>
      </c>
      <c r="D666" t="s">
        <v>101</v>
      </c>
      <c r="E666" t="s">
        <v>386</v>
      </c>
      <c r="G666" t="s">
        <v>405</v>
      </c>
      <c r="H666" t="s">
        <v>125</v>
      </c>
      <c r="I666">
        <v>2016</v>
      </c>
      <c r="J666" t="s">
        <v>406</v>
      </c>
      <c r="K666" t="s">
        <v>127</v>
      </c>
      <c r="L666" t="s">
        <v>979</v>
      </c>
      <c r="M666" t="s">
        <v>985</v>
      </c>
      <c r="N666">
        <v>1</v>
      </c>
      <c r="O666">
        <v>2020</v>
      </c>
      <c r="P666">
        <v>1731.489886065903</v>
      </c>
      <c r="Q666">
        <v>3.9469660594818738</v>
      </c>
      <c r="R666" t="s">
        <v>391</v>
      </c>
      <c r="S666">
        <v>438.68882072251688</v>
      </c>
      <c r="T666">
        <v>671</v>
      </c>
      <c r="U666" t="s">
        <v>392</v>
      </c>
      <c r="V666">
        <v>1.8743016759776541</v>
      </c>
      <c r="W666">
        <v>11.625999787885601</v>
      </c>
      <c r="X666">
        <v>21.895260974855479</v>
      </c>
      <c r="Y666">
        <v>17</v>
      </c>
      <c r="Z666">
        <v>0.65</v>
      </c>
      <c r="AA666">
        <v>1</v>
      </c>
    </row>
    <row r="667" spans="1:27" x14ac:dyDescent="0.25">
      <c r="A667" t="s">
        <v>98</v>
      </c>
      <c r="B667" t="s">
        <v>519</v>
      </c>
      <c r="C667" t="s">
        <v>689</v>
      </c>
      <c r="D667" t="s">
        <v>101</v>
      </c>
      <c r="E667" t="s">
        <v>386</v>
      </c>
      <c r="G667" t="s">
        <v>408</v>
      </c>
      <c r="H667" t="s">
        <v>125</v>
      </c>
      <c r="I667">
        <v>2016</v>
      </c>
      <c r="J667" t="s">
        <v>409</v>
      </c>
      <c r="K667" t="s">
        <v>127</v>
      </c>
      <c r="L667" t="s">
        <v>979</v>
      </c>
      <c r="M667" t="s">
        <v>986</v>
      </c>
      <c r="N667">
        <v>1</v>
      </c>
      <c r="O667">
        <v>2020</v>
      </c>
      <c r="P667">
        <v>1890.006565776162</v>
      </c>
      <c r="Q667">
        <v>3.9469660594818738</v>
      </c>
      <c r="R667" t="s">
        <v>391</v>
      </c>
      <c r="S667">
        <v>478.8504733238741</v>
      </c>
      <c r="T667">
        <v>634.70339999999999</v>
      </c>
      <c r="U667" t="s">
        <v>392</v>
      </c>
      <c r="V667">
        <v>1.772914525139665</v>
      </c>
      <c r="W667">
        <v>11.625999787885601</v>
      </c>
      <c r="X667">
        <v>21.895260974855479</v>
      </c>
      <c r="Y667">
        <v>17</v>
      </c>
      <c r="Z667">
        <v>0.65</v>
      </c>
      <c r="AA667">
        <v>1</v>
      </c>
    </row>
    <row r="668" spans="1:27" x14ac:dyDescent="0.25">
      <c r="A668" t="s">
        <v>98</v>
      </c>
      <c r="B668" t="s">
        <v>519</v>
      </c>
      <c r="C668" t="s">
        <v>689</v>
      </c>
      <c r="D668" t="s">
        <v>101</v>
      </c>
      <c r="E668" t="s">
        <v>386</v>
      </c>
      <c r="G668" t="s">
        <v>411</v>
      </c>
      <c r="H668" t="s">
        <v>125</v>
      </c>
      <c r="I668">
        <v>2016</v>
      </c>
      <c r="J668" t="s">
        <v>412</v>
      </c>
      <c r="K668" t="s">
        <v>127</v>
      </c>
      <c r="L668" t="s">
        <v>979</v>
      </c>
      <c r="M668" t="s">
        <v>987</v>
      </c>
      <c r="N668">
        <v>1</v>
      </c>
      <c r="O668">
        <v>2020</v>
      </c>
      <c r="P668">
        <v>2414.3309678947098</v>
      </c>
      <c r="Q668">
        <v>3.9469660594818738</v>
      </c>
      <c r="R668" t="s">
        <v>391</v>
      </c>
      <c r="S668">
        <v>611.69286269759402</v>
      </c>
      <c r="T668">
        <v>509</v>
      </c>
      <c r="U668" t="s">
        <v>392</v>
      </c>
      <c r="V668">
        <v>1.4217877094972069</v>
      </c>
      <c r="W668">
        <v>11.625999787885601</v>
      </c>
      <c r="X668">
        <v>21.895260974855479</v>
      </c>
      <c r="Y668">
        <v>17</v>
      </c>
      <c r="Z668">
        <v>0.65</v>
      </c>
      <c r="AA668">
        <v>1</v>
      </c>
    </row>
    <row r="669" spans="1:27" x14ac:dyDescent="0.25">
      <c r="A669" t="s">
        <v>98</v>
      </c>
      <c r="B669" t="s">
        <v>519</v>
      </c>
      <c r="C669" t="s">
        <v>689</v>
      </c>
      <c r="D669" t="s">
        <v>101</v>
      </c>
      <c r="E669" t="s">
        <v>386</v>
      </c>
      <c r="G669" t="s">
        <v>414</v>
      </c>
      <c r="H669" t="s">
        <v>125</v>
      </c>
      <c r="I669">
        <v>2016</v>
      </c>
      <c r="J669" t="s">
        <v>415</v>
      </c>
      <c r="K669" t="s">
        <v>127</v>
      </c>
      <c r="L669" t="s">
        <v>979</v>
      </c>
      <c r="M669" t="s">
        <v>988</v>
      </c>
      <c r="N669">
        <v>1</v>
      </c>
      <c r="O669">
        <v>2020</v>
      </c>
      <c r="P669">
        <v>1255.939846935127</v>
      </c>
      <c r="Q669">
        <v>3.9469660594818738</v>
      </c>
      <c r="R669" t="s">
        <v>391</v>
      </c>
      <c r="S669">
        <v>318.2038629184454</v>
      </c>
      <c r="T669">
        <v>520.54999999999995</v>
      </c>
      <c r="U669" t="s">
        <v>392</v>
      </c>
      <c r="V669">
        <v>1.4540502793296091</v>
      </c>
      <c r="W669">
        <v>11.625999787885601</v>
      </c>
      <c r="X669">
        <v>21.895260974855479</v>
      </c>
      <c r="Y669">
        <v>17</v>
      </c>
      <c r="Z669">
        <v>0.65</v>
      </c>
      <c r="AA669">
        <v>1</v>
      </c>
    </row>
    <row r="670" spans="1:27" x14ac:dyDescent="0.25">
      <c r="A670" t="s">
        <v>98</v>
      </c>
      <c r="B670" t="s">
        <v>519</v>
      </c>
      <c r="C670" t="s">
        <v>689</v>
      </c>
      <c r="D670" t="s">
        <v>101</v>
      </c>
      <c r="E670" t="s">
        <v>386</v>
      </c>
      <c r="G670" t="s">
        <v>417</v>
      </c>
      <c r="H670" t="s">
        <v>125</v>
      </c>
      <c r="I670">
        <v>2016</v>
      </c>
      <c r="J670" t="s">
        <v>418</v>
      </c>
      <c r="K670" t="s">
        <v>127</v>
      </c>
      <c r="L670" t="s">
        <v>979</v>
      </c>
      <c r="M670" t="s">
        <v>989</v>
      </c>
      <c r="N670">
        <v>1</v>
      </c>
      <c r="O670">
        <v>2020</v>
      </c>
      <c r="P670">
        <v>1365.682163657614</v>
      </c>
      <c r="Q670">
        <v>3.9469660594818738</v>
      </c>
      <c r="R670" t="s">
        <v>391</v>
      </c>
      <c r="S670">
        <v>346.00808395015417</v>
      </c>
      <c r="T670">
        <v>480</v>
      </c>
      <c r="U670" t="s">
        <v>392</v>
      </c>
      <c r="V670">
        <v>1.3407821229050281</v>
      </c>
      <c r="W670">
        <v>11.625999787885601</v>
      </c>
      <c r="X670">
        <v>21.895260974855479</v>
      </c>
      <c r="Y670">
        <v>17</v>
      </c>
      <c r="Z670">
        <v>0.65</v>
      </c>
      <c r="AA670">
        <v>1</v>
      </c>
    </row>
    <row r="671" spans="1:27" x14ac:dyDescent="0.25">
      <c r="A671" t="s">
        <v>98</v>
      </c>
      <c r="B671" t="s">
        <v>519</v>
      </c>
      <c r="C671" t="s">
        <v>689</v>
      </c>
      <c r="D671" t="s">
        <v>101</v>
      </c>
      <c r="E671" t="s">
        <v>386</v>
      </c>
      <c r="G671" t="s">
        <v>420</v>
      </c>
      <c r="H671" t="s">
        <v>125</v>
      </c>
      <c r="I671">
        <v>2016</v>
      </c>
      <c r="J671" t="s">
        <v>421</v>
      </c>
      <c r="K671" t="s">
        <v>127</v>
      </c>
      <c r="L671" t="s">
        <v>979</v>
      </c>
      <c r="M671" t="s">
        <v>990</v>
      </c>
      <c r="N671">
        <v>1</v>
      </c>
      <c r="O671">
        <v>2020</v>
      </c>
      <c r="P671">
        <v>1414.456526645386</v>
      </c>
      <c r="Q671">
        <v>3.9469660594818738</v>
      </c>
      <c r="R671" t="s">
        <v>391</v>
      </c>
      <c r="S671">
        <v>358.36551551980261</v>
      </c>
      <c r="T671">
        <v>469</v>
      </c>
      <c r="U671" t="s">
        <v>392</v>
      </c>
      <c r="V671">
        <v>1.310055865921788</v>
      </c>
      <c r="W671">
        <v>11.625999787885601</v>
      </c>
      <c r="X671">
        <v>21.895260974855479</v>
      </c>
      <c r="Y671">
        <v>17</v>
      </c>
      <c r="Z671">
        <v>0.65</v>
      </c>
      <c r="AA671">
        <v>1</v>
      </c>
    </row>
    <row r="672" spans="1:27" x14ac:dyDescent="0.25">
      <c r="A672" t="s">
        <v>98</v>
      </c>
      <c r="B672" t="s">
        <v>519</v>
      </c>
      <c r="C672" t="s">
        <v>689</v>
      </c>
      <c r="D672" t="s">
        <v>101</v>
      </c>
      <c r="E672" t="s">
        <v>386</v>
      </c>
      <c r="G672" t="s">
        <v>423</v>
      </c>
      <c r="H672" t="s">
        <v>125</v>
      </c>
      <c r="I672">
        <v>2016</v>
      </c>
      <c r="J672" t="s">
        <v>424</v>
      </c>
      <c r="K672" t="s">
        <v>127</v>
      </c>
      <c r="L672" t="s">
        <v>979</v>
      </c>
      <c r="M672" t="s">
        <v>991</v>
      </c>
      <c r="N672">
        <v>1</v>
      </c>
      <c r="O672">
        <v>2020</v>
      </c>
      <c r="P672">
        <v>1414.456526645386</v>
      </c>
      <c r="Q672">
        <v>3.9469660594818738</v>
      </c>
      <c r="R672" t="s">
        <v>391</v>
      </c>
      <c r="S672">
        <v>358.36551551980261</v>
      </c>
      <c r="T672">
        <v>469</v>
      </c>
      <c r="U672" t="s">
        <v>392</v>
      </c>
      <c r="V672">
        <v>1.310055865921788</v>
      </c>
      <c r="W672">
        <v>11.625999787885601</v>
      </c>
      <c r="X672">
        <v>21.895260974855479</v>
      </c>
      <c r="Y672">
        <v>17</v>
      </c>
      <c r="Z672">
        <v>0.65</v>
      </c>
      <c r="AA672">
        <v>1</v>
      </c>
    </row>
    <row r="673" spans="1:27" x14ac:dyDescent="0.25">
      <c r="A673" t="s">
        <v>98</v>
      </c>
      <c r="B673" t="s">
        <v>519</v>
      </c>
      <c r="C673" t="s">
        <v>689</v>
      </c>
      <c r="D673" t="s">
        <v>101</v>
      </c>
      <c r="E673" t="s">
        <v>426</v>
      </c>
      <c r="G673" t="s">
        <v>427</v>
      </c>
      <c r="H673" t="s">
        <v>125</v>
      </c>
      <c r="I673">
        <v>2016</v>
      </c>
      <c r="J673" t="s">
        <v>428</v>
      </c>
      <c r="K673" t="s">
        <v>127</v>
      </c>
      <c r="L673" t="s">
        <v>992</v>
      </c>
      <c r="M673" t="s">
        <v>993</v>
      </c>
      <c r="N673">
        <v>1</v>
      </c>
      <c r="O673">
        <v>2020</v>
      </c>
      <c r="P673">
        <v>609.67953734714899</v>
      </c>
      <c r="Q673">
        <v>0.6008265752713503</v>
      </c>
      <c r="R673" t="s">
        <v>391</v>
      </c>
      <c r="S673">
        <v>1014.734637980686</v>
      </c>
      <c r="T673">
        <v>300.25599999999997</v>
      </c>
      <c r="U673" t="s">
        <v>392</v>
      </c>
      <c r="V673">
        <v>1.0918399999999999</v>
      </c>
      <c r="W673">
        <v>16.5973520403479</v>
      </c>
      <c r="X673">
        <v>27.331519839424129</v>
      </c>
      <c r="Y673">
        <v>22</v>
      </c>
      <c r="Z673">
        <v>0.65</v>
      </c>
      <c r="AA673">
        <v>1</v>
      </c>
    </row>
    <row r="674" spans="1:27" x14ac:dyDescent="0.25">
      <c r="A674" t="s">
        <v>98</v>
      </c>
      <c r="B674" t="s">
        <v>519</v>
      </c>
      <c r="C674" t="s">
        <v>689</v>
      </c>
      <c r="D674" t="s">
        <v>101</v>
      </c>
      <c r="E674" t="s">
        <v>426</v>
      </c>
      <c r="G674" t="s">
        <v>431</v>
      </c>
      <c r="H674" t="s">
        <v>125</v>
      </c>
      <c r="I674">
        <v>2016</v>
      </c>
      <c r="J674" t="s">
        <v>432</v>
      </c>
      <c r="K674" t="s">
        <v>127</v>
      </c>
      <c r="L674" t="s">
        <v>992</v>
      </c>
      <c r="M674" t="s">
        <v>994</v>
      </c>
      <c r="N674">
        <v>1</v>
      </c>
      <c r="O674">
        <v>2020</v>
      </c>
      <c r="P674">
        <v>609.67953734714899</v>
      </c>
      <c r="Q674">
        <v>0.6008265752713503</v>
      </c>
      <c r="R674" t="s">
        <v>391</v>
      </c>
      <c r="S674">
        <v>1014.734637980686</v>
      </c>
      <c r="T674">
        <v>297</v>
      </c>
      <c r="U674" t="s">
        <v>392</v>
      </c>
      <c r="V674">
        <v>1.08</v>
      </c>
      <c r="W674">
        <v>16.5973520403479</v>
      </c>
      <c r="X674">
        <v>27.331519839424129</v>
      </c>
      <c r="Y674">
        <v>22</v>
      </c>
      <c r="Z674">
        <v>0.65</v>
      </c>
      <c r="AA674">
        <v>1</v>
      </c>
    </row>
    <row r="675" spans="1:27" x14ac:dyDescent="0.25">
      <c r="A675" t="s">
        <v>98</v>
      </c>
      <c r="B675" t="s">
        <v>519</v>
      </c>
      <c r="C675" t="s">
        <v>689</v>
      </c>
      <c r="D675" t="s">
        <v>101</v>
      </c>
      <c r="E675" t="s">
        <v>426</v>
      </c>
      <c r="G675" t="s">
        <v>434</v>
      </c>
      <c r="H675" t="s">
        <v>125</v>
      </c>
      <c r="I675">
        <v>2016</v>
      </c>
      <c r="J675" t="s">
        <v>435</v>
      </c>
      <c r="K675" t="s">
        <v>127</v>
      </c>
      <c r="L675" t="s">
        <v>992</v>
      </c>
      <c r="M675" t="s">
        <v>995</v>
      </c>
      <c r="N675">
        <v>1</v>
      </c>
      <c r="O675">
        <v>2020</v>
      </c>
      <c r="P675">
        <v>670.6474910818639</v>
      </c>
      <c r="Q675">
        <v>0.6008265752713503</v>
      </c>
      <c r="R675" t="s">
        <v>391</v>
      </c>
      <c r="S675">
        <v>1116.208101778755</v>
      </c>
      <c r="T675">
        <v>277</v>
      </c>
      <c r="U675" t="s">
        <v>392</v>
      </c>
      <c r="V675">
        <v>1.0072727272727271</v>
      </c>
      <c r="W675">
        <v>16.5973520403479</v>
      </c>
      <c r="X675">
        <v>27.331519839424129</v>
      </c>
      <c r="Y675">
        <v>22</v>
      </c>
      <c r="Z675">
        <v>0.65</v>
      </c>
      <c r="AA675">
        <v>1</v>
      </c>
    </row>
    <row r="676" spans="1:27" x14ac:dyDescent="0.25">
      <c r="A676" t="s">
        <v>98</v>
      </c>
      <c r="B676" t="s">
        <v>519</v>
      </c>
      <c r="C676" t="s">
        <v>689</v>
      </c>
      <c r="D676" t="s">
        <v>101</v>
      </c>
      <c r="E676" t="s">
        <v>426</v>
      </c>
      <c r="G676" t="s">
        <v>437</v>
      </c>
      <c r="H676" t="s">
        <v>125</v>
      </c>
      <c r="I676">
        <v>2016</v>
      </c>
      <c r="J676" t="s">
        <v>438</v>
      </c>
      <c r="K676" t="s">
        <v>127</v>
      </c>
      <c r="L676" t="s">
        <v>992</v>
      </c>
      <c r="M676" t="s">
        <v>996</v>
      </c>
      <c r="N676">
        <v>1</v>
      </c>
      <c r="O676">
        <v>2020</v>
      </c>
      <c r="P676">
        <v>658.45390033492083</v>
      </c>
      <c r="Q676">
        <v>0.6008265752713503</v>
      </c>
      <c r="R676" t="s">
        <v>391</v>
      </c>
      <c r="S676">
        <v>1095.913409019141</v>
      </c>
      <c r="T676">
        <v>275</v>
      </c>
      <c r="U676" t="s">
        <v>392</v>
      </c>
      <c r="V676">
        <v>1</v>
      </c>
      <c r="W676">
        <v>16.5973520403479</v>
      </c>
      <c r="X676">
        <v>27.331519839424129</v>
      </c>
      <c r="Y676">
        <v>22</v>
      </c>
      <c r="Z676">
        <v>0.65</v>
      </c>
      <c r="AA676">
        <v>1</v>
      </c>
    </row>
    <row r="677" spans="1:27" x14ac:dyDescent="0.25">
      <c r="A677" t="s">
        <v>98</v>
      </c>
      <c r="B677" t="s">
        <v>519</v>
      </c>
      <c r="C677" t="s">
        <v>689</v>
      </c>
      <c r="D677" t="s">
        <v>101</v>
      </c>
      <c r="E677" t="s">
        <v>426</v>
      </c>
      <c r="G677" t="s">
        <v>440</v>
      </c>
      <c r="H677" t="s">
        <v>125</v>
      </c>
      <c r="I677">
        <v>2016</v>
      </c>
      <c r="J677" t="s">
        <v>441</v>
      </c>
      <c r="K677" t="s">
        <v>127</v>
      </c>
      <c r="L677" t="s">
        <v>992</v>
      </c>
      <c r="M677" t="s">
        <v>997</v>
      </c>
      <c r="N677">
        <v>1</v>
      </c>
      <c r="O677">
        <v>2020</v>
      </c>
      <c r="P677">
        <v>841.35776153906556</v>
      </c>
      <c r="Q677">
        <v>0.6008265752713503</v>
      </c>
      <c r="R677" t="s">
        <v>391</v>
      </c>
      <c r="S677">
        <v>1400.333800413347</v>
      </c>
      <c r="T677">
        <v>477.41800000000001</v>
      </c>
      <c r="U677" t="s">
        <v>392</v>
      </c>
      <c r="V677">
        <v>1.736065454545455</v>
      </c>
      <c r="W677">
        <v>16.5973520403479</v>
      </c>
      <c r="X677">
        <v>27.331519839424129</v>
      </c>
      <c r="Y677">
        <v>22</v>
      </c>
      <c r="Z677">
        <v>0.65</v>
      </c>
      <c r="AA677">
        <v>1</v>
      </c>
    </row>
    <row r="678" spans="1:27" x14ac:dyDescent="0.25">
      <c r="A678" t="s">
        <v>98</v>
      </c>
      <c r="B678" t="s">
        <v>519</v>
      </c>
      <c r="C678" t="s">
        <v>689</v>
      </c>
      <c r="D678" t="s">
        <v>101</v>
      </c>
      <c r="E678" t="s">
        <v>426</v>
      </c>
      <c r="G678" t="s">
        <v>443</v>
      </c>
      <c r="H678" t="s">
        <v>125</v>
      </c>
      <c r="I678">
        <v>2016</v>
      </c>
      <c r="J678" t="s">
        <v>444</v>
      </c>
      <c r="K678" t="s">
        <v>127</v>
      </c>
      <c r="L678" t="s">
        <v>992</v>
      </c>
      <c r="M678" t="s">
        <v>998</v>
      </c>
      <c r="N678">
        <v>1</v>
      </c>
      <c r="O678">
        <v>2020</v>
      </c>
      <c r="P678">
        <v>914.51930602072343</v>
      </c>
      <c r="Q678">
        <v>0.6008265752713503</v>
      </c>
      <c r="R678" t="s">
        <v>391</v>
      </c>
      <c r="S678">
        <v>1522.101956971029</v>
      </c>
      <c r="T678">
        <v>446</v>
      </c>
      <c r="U678" t="s">
        <v>392</v>
      </c>
      <c r="V678">
        <v>1.621818181818182</v>
      </c>
      <c r="W678">
        <v>16.5973520403479</v>
      </c>
      <c r="X678">
        <v>27.331519839424129</v>
      </c>
      <c r="Y678">
        <v>22</v>
      </c>
      <c r="Z678">
        <v>0.65</v>
      </c>
      <c r="AA678">
        <v>1</v>
      </c>
    </row>
    <row r="679" spans="1:27" x14ac:dyDescent="0.25">
      <c r="A679" t="s">
        <v>98</v>
      </c>
      <c r="B679" t="s">
        <v>519</v>
      </c>
      <c r="C679" t="s">
        <v>689</v>
      </c>
      <c r="D679" t="s">
        <v>101</v>
      </c>
      <c r="E679" t="s">
        <v>426</v>
      </c>
      <c r="G679" t="s">
        <v>446</v>
      </c>
      <c r="H679" t="s">
        <v>125</v>
      </c>
      <c r="I679">
        <v>2016</v>
      </c>
      <c r="J679" t="s">
        <v>447</v>
      </c>
      <c r="K679" t="s">
        <v>127</v>
      </c>
      <c r="L679" t="s">
        <v>992</v>
      </c>
      <c r="M679" t="s">
        <v>999</v>
      </c>
      <c r="N679">
        <v>1</v>
      </c>
      <c r="O679">
        <v>2020</v>
      </c>
      <c r="P679">
        <v>963.29366900849539</v>
      </c>
      <c r="Q679">
        <v>0.6008265752713503</v>
      </c>
      <c r="R679" t="s">
        <v>391</v>
      </c>
      <c r="S679">
        <v>1603.2807280094839</v>
      </c>
      <c r="T679">
        <v>429.67619999999999</v>
      </c>
      <c r="U679" t="s">
        <v>392</v>
      </c>
      <c r="V679">
        <v>1.5624589090909089</v>
      </c>
      <c r="W679">
        <v>16.5973520403479</v>
      </c>
      <c r="X679">
        <v>27.331519839424129</v>
      </c>
      <c r="Y679">
        <v>22</v>
      </c>
      <c r="Z679">
        <v>0.65</v>
      </c>
      <c r="AA679">
        <v>1</v>
      </c>
    </row>
    <row r="680" spans="1:27" x14ac:dyDescent="0.25">
      <c r="A680" t="s">
        <v>98</v>
      </c>
      <c r="B680" t="s">
        <v>519</v>
      </c>
      <c r="C680" t="s">
        <v>689</v>
      </c>
      <c r="D680" t="s">
        <v>101</v>
      </c>
      <c r="E680" t="s">
        <v>426</v>
      </c>
      <c r="G680" t="s">
        <v>449</v>
      </c>
      <c r="H680" t="s">
        <v>125</v>
      </c>
      <c r="I680">
        <v>2016</v>
      </c>
      <c r="J680" t="s">
        <v>450</v>
      </c>
      <c r="K680" t="s">
        <v>127</v>
      </c>
      <c r="L680" t="s">
        <v>992</v>
      </c>
      <c r="M680" t="s">
        <v>1000</v>
      </c>
      <c r="N680">
        <v>1</v>
      </c>
      <c r="O680">
        <v>2020</v>
      </c>
      <c r="P680">
        <v>987.6808505023813</v>
      </c>
      <c r="Q680">
        <v>0.6008265752713503</v>
      </c>
      <c r="R680" t="s">
        <v>391</v>
      </c>
      <c r="S680">
        <v>1643.870113528711</v>
      </c>
      <c r="T680">
        <v>419</v>
      </c>
      <c r="U680" t="s">
        <v>392</v>
      </c>
      <c r="V680">
        <v>1.5236363636363639</v>
      </c>
      <c r="W680">
        <v>16.5973520403479</v>
      </c>
      <c r="X680">
        <v>27.331519839424129</v>
      </c>
      <c r="Y680">
        <v>22</v>
      </c>
      <c r="Z680">
        <v>0.65</v>
      </c>
      <c r="AA680">
        <v>1</v>
      </c>
    </row>
    <row r="681" spans="1:27" x14ac:dyDescent="0.25">
      <c r="A681" t="s">
        <v>98</v>
      </c>
      <c r="B681" t="s">
        <v>519</v>
      </c>
      <c r="C681" t="s">
        <v>689</v>
      </c>
      <c r="D681" t="s">
        <v>101</v>
      </c>
      <c r="E681" t="s">
        <v>452</v>
      </c>
      <c r="G681" t="s">
        <v>111</v>
      </c>
      <c r="H681" t="s">
        <v>104</v>
      </c>
      <c r="I681">
        <v>2016</v>
      </c>
      <c r="J681" t="s">
        <v>453</v>
      </c>
      <c r="K681" t="s">
        <v>106</v>
      </c>
      <c r="L681" t="s">
        <v>1001</v>
      </c>
      <c r="M681" t="s">
        <v>1002</v>
      </c>
      <c r="N681">
        <v>1</v>
      </c>
      <c r="O681">
        <v>2020</v>
      </c>
      <c r="P681">
        <v>451.16285763689018</v>
      </c>
      <c r="Q681">
        <v>15.28769439442075</v>
      </c>
      <c r="R681" t="s">
        <v>391</v>
      </c>
      <c r="S681">
        <v>29.511504220122461</v>
      </c>
      <c r="T681">
        <v>0.45</v>
      </c>
      <c r="U681" t="s">
        <v>456</v>
      </c>
      <c r="V681">
        <v>0.45</v>
      </c>
      <c r="W681">
        <v>9</v>
      </c>
      <c r="X681">
        <v>15</v>
      </c>
      <c r="Y681">
        <v>13</v>
      </c>
      <c r="Z681">
        <v>9.0000000000000011E-2</v>
      </c>
      <c r="AA681">
        <v>1</v>
      </c>
    </row>
    <row r="682" spans="1:27" x14ac:dyDescent="0.25">
      <c r="A682" t="s">
        <v>98</v>
      </c>
      <c r="B682" t="s">
        <v>519</v>
      </c>
      <c r="C682" t="s">
        <v>689</v>
      </c>
      <c r="D682" t="s">
        <v>101</v>
      </c>
      <c r="E682" t="s">
        <v>452</v>
      </c>
      <c r="G682" t="s">
        <v>119</v>
      </c>
      <c r="H682" t="s">
        <v>104</v>
      </c>
      <c r="I682">
        <v>2016</v>
      </c>
      <c r="J682" t="s">
        <v>457</v>
      </c>
      <c r="K682" t="s">
        <v>106</v>
      </c>
      <c r="L682" t="s">
        <v>1001</v>
      </c>
      <c r="M682" t="s">
        <v>1003</v>
      </c>
      <c r="N682">
        <v>1</v>
      </c>
      <c r="O682">
        <v>2020</v>
      </c>
      <c r="P682">
        <v>521.3437466026287</v>
      </c>
      <c r="Q682">
        <v>15.28769439442075</v>
      </c>
      <c r="R682" t="s">
        <v>391</v>
      </c>
      <c r="S682">
        <v>34.102182654363723</v>
      </c>
      <c r="T682">
        <v>0.52</v>
      </c>
      <c r="U682" t="s">
        <v>456</v>
      </c>
      <c r="V682">
        <v>0.52</v>
      </c>
      <c r="W682">
        <v>9</v>
      </c>
      <c r="X682">
        <v>15</v>
      </c>
      <c r="Y682">
        <v>13</v>
      </c>
      <c r="Z682">
        <v>9.0000000000000011E-2</v>
      </c>
      <c r="AA682">
        <v>1</v>
      </c>
    </row>
    <row r="683" spans="1:27" x14ac:dyDescent="0.25">
      <c r="A683" t="s">
        <v>98</v>
      </c>
      <c r="B683" t="s">
        <v>519</v>
      </c>
      <c r="C683" t="s">
        <v>689</v>
      </c>
      <c r="D683" t="s">
        <v>101</v>
      </c>
      <c r="E683" t="s">
        <v>452</v>
      </c>
      <c r="G683" t="s">
        <v>111</v>
      </c>
      <c r="H683" t="s">
        <v>156</v>
      </c>
      <c r="I683">
        <v>2016</v>
      </c>
      <c r="J683" t="s">
        <v>459</v>
      </c>
      <c r="K683" t="s">
        <v>158</v>
      </c>
      <c r="L683" t="s">
        <v>1001</v>
      </c>
      <c r="M683" t="s">
        <v>1004</v>
      </c>
      <c r="N683">
        <v>1</v>
      </c>
      <c r="O683">
        <v>2020</v>
      </c>
      <c r="P683">
        <v>451.16285763689018</v>
      </c>
      <c r="Q683">
        <v>15.28769439442075</v>
      </c>
      <c r="R683" t="s">
        <v>391</v>
      </c>
      <c r="S683">
        <v>29.511504220122461</v>
      </c>
      <c r="T683">
        <v>0.45</v>
      </c>
      <c r="U683" t="s">
        <v>456</v>
      </c>
      <c r="V683">
        <v>0.45</v>
      </c>
      <c r="W683">
        <v>9</v>
      </c>
      <c r="X683">
        <v>15</v>
      </c>
      <c r="Y683">
        <v>13</v>
      </c>
      <c r="Z683">
        <v>9.0000000000000011E-2</v>
      </c>
      <c r="AA683">
        <v>1</v>
      </c>
    </row>
    <row r="684" spans="1:27" x14ac:dyDescent="0.25">
      <c r="A684" t="s">
        <v>98</v>
      </c>
      <c r="B684" t="s">
        <v>519</v>
      </c>
      <c r="C684" t="s">
        <v>689</v>
      </c>
      <c r="D684" t="s">
        <v>101</v>
      </c>
      <c r="E684" t="s">
        <v>452</v>
      </c>
      <c r="G684" t="s">
        <v>119</v>
      </c>
      <c r="H684" t="s">
        <v>156</v>
      </c>
      <c r="I684">
        <v>2016</v>
      </c>
      <c r="J684" t="s">
        <v>461</v>
      </c>
      <c r="K684" t="s">
        <v>158</v>
      </c>
      <c r="L684" t="s">
        <v>1001</v>
      </c>
      <c r="M684" t="s">
        <v>1005</v>
      </c>
      <c r="N684">
        <v>1</v>
      </c>
      <c r="O684">
        <v>2020</v>
      </c>
      <c r="P684">
        <v>521.3437466026287</v>
      </c>
      <c r="Q684">
        <v>15.28769439442075</v>
      </c>
      <c r="R684" t="s">
        <v>391</v>
      </c>
      <c r="S684">
        <v>34.102182654363723</v>
      </c>
      <c r="T684">
        <v>0.52</v>
      </c>
      <c r="U684" t="s">
        <v>456</v>
      </c>
      <c r="V684">
        <v>0.52</v>
      </c>
      <c r="W684">
        <v>9</v>
      </c>
      <c r="X684">
        <v>15</v>
      </c>
      <c r="Y684">
        <v>13</v>
      </c>
      <c r="Z684">
        <v>9.0000000000000011E-2</v>
      </c>
      <c r="AA684">
        <v>1</v>
      </c>
    </row>
    <row r="685" spans="1:27" x14ac:dyDescent="0.25">
      <c r="A685" t="s">
        <v>98</v>
      </c>
      <c r="B685" t="s">
        <v>519</v>
      </c>
      <c r="C685" t="s">
        <v>689</v>
      </c>
      <c r="D685" t="s">
        <v>101</v>
      </c>
      <c r="E685" t="s">
        <v>452</v>
      </c>
      <c r="G685" t="s">
        <v>111</v>
      </c>
      <c r="H685" t="s">
        <v>125</v>
      </c>
      <c r="I685">
        <v>2016</v>
      </c>
      <c r="J685" t="s">
        <v>463</v>
      </c>
      <c r="K685" t="s">
        <v>127</v>
      </c>
      <c r="L685" t="s">
        <v>1001</v>
      </c>
      <c r="M685" t="s">
        <v>1006</v>
      </c>
      <c r="N685">
        <v>1</v>
      </c>
      <c r="O685">
        <v>2020</v>
      </c>
      <c r="P685">
        <v>938.90648751460947</v>
      </c>
      <c r="Q685">
        <v>15.28769439442075</v>
      </c>
      <c r="R685" t="s">
        <v>391</v>
      </c>
      <c r="S685">
        <v>61.415833106741331</v>
      </c>
      <c r="T685">
        <v>228.0913607809874</v>
      </c>
      <c r="U685" t="s">
        <v>392</v>
      </c>
      <c r="V685">
        <v>0.9</v>
      </c>
      <c r="W685">
        <v>10</v>
      </c>
      <c r="X685">
        <v>20</v>
      </c>
      <c r="Y685">
        <v>16</v>
      </c>
      <c r="Z685">
        <v>9.0000000000000011E-2</v>
      </c>
      <c r="AA685">
        <v>1</v>
      </c>
    </row>
    <row r="686" spans="1:27" x14ac:dyDescent="0.25">
      <c r="A686" t="s">
        <v>98</v>
      </c>
      <c r="B686" t="s">
        <v>519</v>
      </c>
      <c r="C686" t="s">
        <v>689</v>
      </c>
      <c r="D686" t="s">
        <v>101</v>
      </c>
      <c r="E686" t="s">
        <v>465</v>
      </c>
      <c r="G686" t="s">
        <v>466</v>
      </c>
      <c r="H686" t="s">
        <v>125</v>
      </c>
      <c r="I686">
        <v>2030</v>
      </c>
      <c r="J686" t="s">
        <v>467</v>
      </c>
      <c r="K686" t="s">
        <v>127</v>
      </c>
      <c r="L686" t="s">
        <v>1007</v>
      </c>
      <c r="M686" t="s">
        <v>1008</v>
      </c>
      <c r="N686">
        <v>1</v>
      </c>
      <c r="O686">
        <v>2030</v>
      </c>
      <c r="P686">
        <v>1646.1347508373019</v>
      </c>
      <c r="Q686">
        <v>8.95099346900877</v>
      </c>
      <c r="R686" t="s">
        <v>391</v>
      </c>
      <c r="S686">
        <v>183.90525661053741</v>
      </c>
      <c r="T686">
        <v>0.28000000000000003</v>
      </c>
      <c r="U686" t="s">
        <v>470</v>
      </c>
      <c r="V686">
        <v>2.333333333333333</v>
      </c>
      <c r="W686">
        <v>6</v>
      </c>
      <c r="X686">
        <v>17</v>
      </c>
      <c r="Y686">
        <v>12</v>
      </c>
      <c r="Z686">
        <v>0.02</v>
      </c>
      <c r="AA686">
        <v>1</v>
      </c>
    </row>
    <row r="687" spans="1:27" x14ac:dyDescent="0.25">
      <c r="A687" t="s">
        <v>98</v>
      </c>
      <c r="B687" t="s">
        <v>519</v>
      </c>
      <c r="C687" t="s">
        <v>689</v>
      </c>
      <c r="D687" t="s">
        <v>101</v>
      </c>
      <c r="E687" t="s">
        <v>465</v>
      </c>
      <c r="G687" t="s">
        <v>471</v>
      </c>
      <c r="H687" t="s">
        <v>125</v>
      </c>
      <c r="I687">
        <v>2016</v>
      </c>
      <c r="J687" t="s">
        <v>472</v>
      </c>
      <c r="K687" t="s">
        <v>127</v>
      </c>
      <c r="L687" t="s">
        <v>1007</v>
      </c>
      <c r="M687" t="s">
        <v>1009</v>
      </c>
      <c r="N687">
        <v>1</v>
      </c>
      <c r="O687">
        <v>2020</v>
      </c>
      <c r="P687">
        <v>792.58339855129361</v>
      </c>
      <c r="Q687">
        <v>8.95099346900877</v>
      </c>
      <c r="R687" t="s">
        <v>391</v>
      </c>
      <c r="S687">
        <v>88.546975405073553</v>
      </c>
      <c r="T687">
        <v>0.26</v>
      </c>
      <c r="U687" t="s">
        <v>470</v>
      </c>
      <c r="V687">
        <v>2.166666666666667</v>
      </c>
      <c r="W687">
        <v>6</v>
      </c>
      <c r="X687">
        <v>17</v>
      </c>
      <c r="Y687">
        <v>12</v>
      </c>
      <c r="Z687">
        <v>0.02</v>
      </c>
      <c r="AA687">
        <v>1</v>
      </c>
    </row>
    <row r="688" spans="1:27" x14ac:dyDescent="0.25">
      <c r="A688" t="s">
        <v>98</v>
      </c>
      <c r="B688" t="s">
        <v>519</v>
      </c>
      <c r="C688" t="s">
        <v>689</v>
      </c>
      <c r="D688" t="s">
        <v>101</v>
      </c>
      <c r="E688" t="s">
        <v>465</v>
      </c>
      <c r="G688" t="s">
        <v>474</v>
      </c>
      <c r="H688" t="s">
        <v>125</v>
      </c>
      <c r="I688">
        <v>2016</v>
      </c>
      <c r="J688" t="s">
        <v>475</v>
      </c>
      <c r="K688" t="s">
        <v>127</v>
      </c>
      <c r="L688" t="s">
        <v>1007</v>
      </c>
      <c r="M688" t="s">
        <v>1010</v>
      </c>
      <c r="N688">
        <v>0</v>
      </c>
      <c r="O688">
        <v>2020</v>
      </c>
      <c r="P688">
        <v>792.58339855129361</v>
      </c>
      <c r="Q688">
        <v>8.95099346900877</v>
      </c>
      <c r="R688" t="s">
        <v>391</v>
      </c>
      <c r="S688">
        <v>88.546975405073553</v>
      </c>
      <c r="T688">
        <v>0.26</v>
      </c>
      <c r="U688" t="s">
        <v>470</v>
      </c>
      <c r="V688">
        <v>2.166666666666667</v>
      </c>
      <c r="W688">
        <v>6</v>
      </c>
      <c r="X688">
        <v>17</v>
      </c>
      <c r="Y688">
        <v>12</v>
      </c>
      <c r="Z688">
        <v>0.02</v>
      </c>
      <c r="AA688">
        <v>1</v>
      </c>
    </row>
    <row r="689" spans="1:27" x14ac:dyDescent="0.25">
      <c r="A689" t="s">
        <v>98</v>
      </c>
      <c r="B689" t="s">
        <v>519</v>
      </c>
      <c r="C689" t="s">
        <v>689</v>
      </c>
      <c r="D689" t="s">
        <v>101</v>
      </c>
      <c r="E689" t="s">
        <v>465</v>
      </c>
      <c r="G689" t="s">
        <v>474</v>
      </c>
      <c r="H689" t="s">
        <v>125</v>
      </c>
      <c r="I689">
        <v>2020</v>
      </c>
      <c r="J689" t="s">
        <v>477</v>
      </c>
      <c r="K689" t="s">
        <v>127</v>
      </c>
      <c r="L689" t="s">
        <v>1007</v>
      </c>
      <c r="M689" t="s">
        <v>1010</v>
      </c>
      <c r="N689">
        <v>1</v>
      </c>
      <c r="O689">
        <v>2020</v>
      </c>
      <c r="P689">
        <v>914.51930602072343</v>
      </c>
      <c r="Q689">
        <v>8.95099346900877</v>
      </c>
      <c r="R689" t="s">
        <v>391</v>
      </c>
      <c r="S689">
        <v>102.1695870058541</v>
      </c>
      <c r="T689">
        <v>0.24</v>
      </c>
      <c r="U689" t="s">
        <v>470</v>
      </c>
      <c r="V689">
        <v>2</v>
      </c>
      <c r="W689">
        <v>6</v>
      </c>
      <c r="X689">
        <v>17</v>
      </c>
      <c r="Y689">
        <v>12</v>
      </c>
      <c r="Z689">
        <v>0.02</v>
      </c>
      <c r="AA689">
        <v>1</v>
      </c>
    </row>
    <row r="690" spans="1:27" x14ac:dyDescent="0.25">
      <c r="A690" t="s">
        <v>98</v>
      </c>
      <c r="B690" t="s">
        <v>519</v>
      </c>
      <c r="C690" t="s">
        <v>689</v>
      </c>
      <c r="D690" t="s">
        <v>101</v>
      </c>
      <c r="E690" t="s">
        <v>465</v>
      </c>
      <c r="G690" t="s">
        <v>478</v>
      </c>
      <c r="H690" t="s">
        <v>125</v>
      </c>
      <c r="I690">
        <v>2016</v>
      </c>
      <c r="J690" t="s">
        <v>479</v>
      </c>
      <c r="K690" t="s">
        <v>127</v>
      </c>
      <c r="L690" t="s">
        <v>1007</v>
      </c>
      <c r="M690" t="s">
        <v>1011</v>
      </c>
      <c r="N690">
        <v>1</v>
      </c>
      <c r="O690">
        <v>2020</v>
      </c>
      <c r="P690">
        <v>1158.3911209595831</v>
      </c>
      <c r="Q690">
        <v>8.95099346900877</v>
      </c>
      <c r="R690" t="s">
        <v>391</v>
      </c>
      <c r="S690">
        <v>129.4148102074152</v>
      </c>
      <c r="T690">
        <v>0.15</v>
      </c>
      <c r="U690" t="s">
        <v>470</v>
      </c>
      <c r="V690">
        <v>1.25</v>
      </c>
      <c r="W690">
        <v>6</v>
      </c>
      <c r="X690">
        <v>17</v>
      </c>
      <c r="Y690">
        <v>12</v>
      </c>
      <c r="Z690">
        <v>0.02</v>
      </c>
      <c r="AA690">
        <v>1</v>
      </c>
    </row>
    <row r="691" spans="1:27" x14ac:dyDescent="0.25">
      <c r="A691" t="s">
        <v>98</v>
      </c>
      <c r="B691" t="s">
        <v>519</v>
      </c>
      <c r="C691" t="s">
        <v>689</v>
      </c>
      <c r="D691" t="s">
        <v>101</v>
      </c>
      <c r="E691" t="s">
        <v>465</v>
      </c>
      <c r="G691" t="s">
        <v>481</v>
      </c>
      <c r="H691" t="s">
        <v>125</v>
      </c>
      <c r="I691">
        <v>2016</v>
      </c>
      <c r="J691" t="s">
        <v>482</v>
      </c>
      <c r="K691" t="s">
        <v>127</v>
      </c>
      <c r="L691" t="s">
        <v>1007</v>
      </c>
      <c r="M691" t="s">
        <v>1012</v>
      </c>
      <c r="N691">
        <v>1</v>
      </c>
      <c r="O691">
        <v>2020</v>
      </c>
      <c r="P691">
        <v>1371.7789590310849</v>
      </c>
      <c r="Q691">
        <v>8.95099346900877</v>
      </c>
      <c r="R691" t="s">
        <v>391</v>
      </c>
      <c r="S691">
        <v>153.2543805087812</v>
      </c>
      <c r="T691">
        <v>0.12</v>
      </c>
      <c r="U691" t="s">
        <v>470</v>
      </c>
      <c r="V691">
        <v>1</v>
      </c>
      <c r="W691">
        <v>6</v>
      </c>
      <c r="X691">
        <v>17</v>
      </c>
      <c r="Y691">
        <v>12</v>
      </c>
      <c r="Z691">
        <v>0.02</v>
      </c>
      <c r="AA691">
        <v>1</v>
      </c>
    </row>
    <row r="692" spans="1:27" x14ac:dyDescent="0.25">
      <c r="A692" t="s">
        <v>98</v>
      </c>
      <c r="B692" t="s">
        <v>519</v>
      </c>
      <c r="C692" t="s">
        <v>689</v>
      </c>
      <c r="D692" t="s">
        <v>101</v>
      </c>
      <c r="E692" t="s">
        <v>465</v>
      </c>
      <c r="G692" t="s">
        <v>484</v>
      </c>
      <c r="H692" t="s">
        <v>125</v>
      </c>
      <c r="I692">
        <v>2016</v>
      </c>
      <c r="J692" t="s">
        <v>485</v>
      </c>
      <c r="K692" t="s">
        <v>127</v>
      </c>
      <c r="L692" t="s">
        <v>1007</v>
      </c>
      <c r="M692" t="s">
        <v>1013</v>
      </c>
      <c r="N692">
        <v>1</v>
      </c>
      <c r="O692">
        <v>2020</v>
      </c>
      <c r="P692">
        <v>1158.3911209595831</v>
      </c>
      <c r="Q692">
        <v>8.95099346900877</v>
      </c>
      <c r="R692" t="s">
        <v>391</v>
      </c>
      <c r="S692">
        <v>129.4148102074152</v>
      </c>
      <c r="T692">
        <v>0.15</v>
      </c>
      <c r="U692" t="s">
        <v>470</v>
      </c>
      <c r="V692">
        <v>1.25</v>
      </c>
      <c r="W692">
        <v>6</v>
      </c>
      <c r="X692">
        <v>17</v>
      </c>
      <c r="Y692">
        <v>12</v>
      </c>
      <c r="Z692">
        <v>0.02</v>
      </c>
      <c r="AA692">
        <v>1</v>
      </c>
    </row>
    <row r="693" spans="1:27" x14ac:dyDescent="0.25">
      <c r="A693" t="s">
        <v>98</v>
      </c>
      <c r="B693" t="s">
        <v>519</v>
      </c>
      <c r="C693" t="s">
        <v>689</v>
      </c>
      <c r="D693" t="s">
        <v>101</v>
      </c>
      <c r="E693" t="s">
        <v>465</v>
      </c>
      <c r="G693" t="s">
        <v>487</v>
      </c>
      <c r="H693" t="s">
        <v>125</v>
      </c>
      <c r="I693">
        <v>2016</v>
      </c>
      <c r="J693" t="s">
        <v>488</v>
      </c>
      <c r="K693" t="s">
        <v>127</v>
      </c>
      <c r="L693" t="s">
        <v>1007</v>
      </c>
      <c r="M693" t="s">
        <v>1014</v>
      </c>
      <c r="N693">
        <v>1</v>
      </c>
      <c r="O693">
        <v>2020</v>
      </c>
      <c r="P693">
        <v>1219.359074694298</v>
      </c>
      <c r="Q693">
        <v>8.95099346900877</v>
      </c>
      <c r="R693" t="s">
        <v>391</v>
      </c>
      <c r="S693">
        <v>136.2261160078055</v>
      </c>
      <c r="T693">
        <v>0.21</v>
      </c>
      <c r="U693" t="s">
        <v>470</v>
      </c>
      <c r="V693">
        <v>1.75</v>
      </c>
      <c r="W693">
        <v>6</v>
      </c>
      <c r="X693">
        <v>17</v>
      </c>
      <c r="Y693">
        <v>12</v>
      </c>
      <c r="Z693">
        <v>0.02</v>
      </c>
      <c r="AA693">
        <v>1</v>
      </c>
    </row>
    <row r="694" spans="1:27" x14ac:dyDescent="0.25">
      <c r="A694" t="s">
        <v>98</v>
      </c>
      <c r="B694" t="s">
        <v>519</v>
      </c>
      <c r="C694" t="s">
        <v>689</v>
      </c>
      <c r="D694" t="s">
        <v>101</v>
      </c>
      <c r="E694" t="s">
        <v>465</v>
      </c>
      <c r="G694" t="s">
        <v>487</v>
      </c>
      <c r="H694" t="s">
        <v>125</v>
      </c>
      <c r="I694">
        <v>2030</v>
      </c>
      <c r="J694" t="s">
        <v>490</v>
      </c>
      <c r="K694" t="s">
        <v>127</v>
      </c>
      <c r="L694" t="s">
        <v>1007</v>
      </c>
      <c r="M694" t="s">
        <v>1015</v>
      </c>
      <c r="N694">
        <v>1</v>
      </c>
      <c r="O694">
        <v>2030</v>
      </c>
      <c r="P694">
        <v>1280.3270284290129</v>
      </c>
      <c r="Q694">
        <v>8.95099346900877</v>
      </c>
      <c r="R694" t="s">
        <v>391</v>
      </c>
      <c r="S694">
        <v>143.0374218081958</v>
      </c>
      <c r="T694">
        <v>0.17</v>
      </c>
      <c r="U694" t="s">
        <v>470</v>
      </c>
      <c r="V694">
        <v>1.416666666666667</v>
      </c>
      <c r="W694">
        <v>6</v>
      </c>
      <c r="X694">
        <v>17</v>
      </c>
      <c r="Y694">
        <v>12</v>
      </c>
      <c r="Z694">
        <v>0.02</v>
      </c>
      <c r="AA694">
        <v>1</v>
      </c>
    </row>
    <row r="695" spans="1:27" x14ac:dyDescent="0.25">
      <c r="A695" t="s">
        <v>98</v>
      </c>
      <c r="B695" t="s">
        <v>519</v>
      </c>
      <c r="C695" t="s">
        <v>689</v>
      </c>
      <c r="D695" t="s">
        <v>101</v>
      </c>
      <c r="E695" t="s">
        <v>465</v>
      </c>
      <c r="G695" t="s">
        <v>492</v>
      </c>
      <c r="H695" t="s">
        <v>125</v>
      </c>
      <c r="I695">
        <v>2016</v>
      </c>
      <c r="J695" t="s">
        <v>493</v>
      </c>
      <c r="K695" t="s">
        <v>127</v>
      </c>
      <c r="L695" t="s">
        <v>1007</v>
      </c>
      <c r="M695" t="s">
        <v>1016</v>
      </c>
      <c r="N695">
        <v>1</v>
      </c>
      <c r="O695">
        <v>2020</v>
      </c>
      <c r="P695">
        <v>1158.3911209595831</v>
      </c>
      <c r="Q695">
        <v>8.95099346900877</v>
      </c>
      <c r="R695" t="s">
        <v>391</v>
      </c>
      <c r="S695">
        <v>129.4148102074152</v>
      </c>
      <c r="T695">
        <v>0.28999999999999998</v>
      </c>
      <c r="U695" t="s">
        <v>470</v>
      </c>
      <c r="V695">
        <v>2.416666666666667</v>
      </c>
      <c r="W695">
        <v>6</v>
      </c>
      <c r="X695">
        <v>17</v>
      </c>
      <c r="Y695">
        <v>12</v>
      </c>
      <c r="Z695">
        <v>0.02</v>
      </c>
      <c r="AA695">
        <v>1</v>
      </c>
    </row>
    <row r="696" spans="1:27" x14ac:dyDescent="0.25">
      <c r="A696" t="s">
        <v>98</v>
      </c>
      <c r="B696" t="s">
        <v>519</v>
      </c>
      <c r="C696" t="s">
        <v>689</v>
      </c>
      <c r="D696" t="s">
        <v>101</v>
      </c>
      <c r="E696" t="s">
        <v>465</v>
      </c>
      <c r="G696" t="s">
        <v>466</v>
      </c>
      <c r="H696" t="s">
        <v>125</v>
      </c>
      <c r="I696">
        <v>2016</v>
      </c>
      <c r="J696" t="s">
        <v>495</v>
      </c>
      <c r="K696" t="s">
        <v>127</v>
      </c>
      <c r="L696" t="s">
        <v>1007</v>
      </c>
      <c r="M696" t="s">
        <v>1017</v>
      </c>
      <c r="N696">
        <v>0</v>
      </c>
      <c r="O696">
        <v>2020</v>
      </c>
      <c r="P696">
        <v>1280.3270284290129</v>
      </c>
      <c r="Q696">
        <v>8.95099346900877</v>
      </c>
      <c r="R696" t="s">
        <v>391</v>
      </c>
      <c r="S696">
        <v>143.0374218081958</v>
      </c>
      <c r="T696">
        <v>0.17</v>
      </c>
      <c r="U696" t="s">
        <v>470</v>
      </c>
      <c r="V696">
        <v>1.416666666666667</v>
      </c>
      <c r="W696">
        <v>6</v>
      </c>
      <c r="X696">
        <v>17</v>
      </c>
      <c r="Y696">
        <v>12</v>
      </c>
      <c r="Z696">
        <v>0.02</v>
      </c>
      <c r="AA696">
        <v>1</v>
      </c>
    </row>
    <row r="697" spans="1:27" x14ac:dyDescent="0.25">
      <c r="A697" t="s">
        <v>98</v>
      </c>
      <c r="B697" t="s">
        <v>519</v>
      </c>
      <c r="C697" t="s">
        <v>689</v>
      </c>
      <c r="D697" t="s">
        <v>101</v>
      </c>
      <c r="E697" t="s">
        <v>465</v>
      </c>
      <c r="G697" t="s">
        <v>466</v>
      </c>
      <c r="H697" t="s">
        <v>125</v>
      </c>
      <c r="I697">
        <v>2020</v>
      </c>
      <c r="J697" t="s">
        <v>497</v>
      </c>
      <c r="K697" t="s">
        <v>127</v>
      </c>
      <c r="L697" t="s">
        <v>1007</v>
      </c>
      <c r="M697" t="s">
        <v>1017</v>
      </c>
      <c r="N697">
        <v>1</v>
      </c>
      <c r="O697">
        <v>2020</v>
      </c>
      <c r="P697">
        <v>1646.1347508373019</v>
      </c>
      <c r="Q697">
        <v>8.95099346900877</v>
      </c>
      <c r="R697" t="s">
        <v>391</v>
      </c>
      <c r="S697">
        <v>183.90525661053741</v>
      </c>
      <c r="T697">
        <v>0.28000000000000003</v>
      </c>
      <c r="U697" t="s">
        <v>470</v>
      </c>
      <c r="V697">
        <v>2.333333333333333</v>
      </c>
      <c r="W697">
        <v>6</v>
      </c>
      <c r="X697">
        <v>17</v>
      </c>
      <c r="Y697">
        <v>12</v>
      </c>
      <c r="Z697">
        <v>0.02</v>
      </c>
      <c r="AA697">
        <v>1</v>
      </c>
    </row>
    <row r="698" spans="1:27" x14ac:dyDescent="0.25">
      <c r="A698" t="s">
        <v>98</v>
      </c>
      <c r="B698" t="s">
        <v>519</v>
      </c>
      <c r="C698" t="s">
        <v>689</v>
      </c>
      <c r="D698" t="s">
        <v>101</v>
      </c>
      <c r="E698" t="s">
        <v>498</v>
      </c>
      <c r="G698" t="s">
        <v>103</v>
      </c>
      <c r="H698" t="s">
        <v>104</v>
      </c>
      <c r="I698">
        <v>2016</v>
      </c>
      <c r="J698" t="s">
        <v>499</v>
      </c>
      <c r="K698" t="s">
        <v>106</v>
      </c>
      <c r="L698" t="s">
        <v>1018</v>
      </c>
      <c r="M698" t="s">
        <v>1019</v>
      </c>
      <c r="N698">
        <v>1</v>
      </c>
      <c r="O698">
        <v>2020</v>
      </c>
      <c r="P698">
        <v>792.58339855129361</v>
      </c>
      <c r="Q698">
        <v>85.393302426154932</v>
      </c>
      <c r="R698" t="s">
        <v>391</v>
      </c>
      <c r="S698">
        <v>9.2815639638330101</v>
      </c>
      <c r="T698">
        <v>3.3</v>
      </c>
      <c r="U698" t="s">
        <v>502</v>
      </c>
      <c r="V698">
        <v>1</v>
      </c>
      <c r="W698">
        <v>8</v>
      </c>
      <c r="X698">
        <v>18</v>
      </c>
      <c r="Y698">
        <v>14</v>
      </c>
      <c r="Z698">
        <v>0.02</v>
      </c>
      <c r="AA698">
        <v>1</v>
      </c>
    </row>
    <row r="699" spans="1:27" x14ac:dyDescent="0.25">
      <c r="A699" t="s">
        <v>98</v>
      </c>
      <c r="B699" t="s">
        <v>519</v>
      </c>
      <c r="C699" t="s">
        <v>689</v>
      </c>
      <c r="D699" t="s">
        <v>101</v>
      </c>
      <c r="E699" t="s">
        <v>498</v>
      </c>
      <c r="G699" t="s">
        <v>111</v>
      </c>
      <c r="H699" t="s">
        <v>104</v>
      </c>
      <c r="I699">
        <v>2016</v>
      </c>
      <c r="J699" t="s">
        <v>503</v>
      </c>
      <c r="K699" t="s">
        <v>106</v>
      </c>
      <c r="L699" t="s">
        <v>1018</v>
      </c>
      <c r="M699" t="s">
        <v>1020</v>
      </c>
      <c r="N699">
        <v>1</v>
      </c>
      <c r="O699">
        <v>2020</v>
      </c>
      <c r="P699">
        <v>804.77698929823669</v>
      </c>
      <c r="Q699">
        <v>85.393302426154932</v>
      </c>
      <c r="R699" t="s">
        <v>391</v>
      </c>
      <c r="S699">
        <v>9.4243572555842885</v>
      </c>
      <c r="T699">
        <v>3.32</v>
      </c>
      <c r="U699" t="s">
        <v>502</v>
      </c>
      <c r="V699">
        <v>1.0060606060606061</v>
      </c>
      <c r="W699">
        <v>8</v>
      </c>
      <c r="X699">
        <v>18</v>
      </c>
      <c r="Y699">
        <v>14</v>
      </c>
      <c r="Z699">
        <v>0.02</v>
      </c>
      <c r="AA699">
        <v>1</v>
      </c>
    </row>
    <row r="700" spans="1:27" x14ac:dyDescent="0.25">
      <c r="A700" t="s">
        <v>98</v>
      </c>
      <c r="B700" t="s">
        <v>519</v>
      </c>
      <c r="C700" t="s">
        <v>689</v>
      </c>
      <c r="D700" t="s">
        <v>101</v>
      </c>
      <c r="E700" t="s">
        <v>498</v>
      </c>
      <c r="G700" t="s">
        <v>114</v>
      </c>
      <c r="H700" t="s">
        <v>104</v>
      </c>
      <c r="I700">
        <v>2016</v>
      </c>
      <c r="J700" t="s">
        <v>505</v>
      </c>
      <c r="K700" t="s">
        <v>106</v>
      </c>
      <c r="L700" t="s">
        <v>1018</v>
      </c>
      <c r="M700" t="s">
        <v>1021</v>
      </c>
      <c r="N700">
        <v>1</v>
      </c>
      <c r="O700">
        <v>2020</v>
      </c>
      <c r="P700">
        <v>843.56142251742892</v>
      </c>
      <c r="Q700">
        <v>85.393302426154932</v>
      </c>
      <c r="R700" t="s">
        <v>391</v>
      </c>
      <c r="S700">
        <v>9.878543147419677</v>
      </c>
      <c r="T700">
        <v>3.48</v>
      </c>
      <c r="U700" t="s">
        <v>502</v>
      </c>
      <c r="V700">
        <v>1.0545454545454549</v>
      </c>
      <c r="W700">
        <v>8</v>
      </c>
      <c r="X700">
        <v>18</v>
      </c>
      <c r="Y700">
        <v>14</v>
      </c>
      <c r="Z700">
        <v>0.02</v>
      </c>
      <c r="AA700">
        <v>1</v>
      </c>
    </row>
    <row r="701" spans="1:27" x14ac:dyDescent="0.25">
      <c r="A701" t="s">
        <v>98</v>
      </c>
      <c r="B701" t="s">
        <v>519</v>
      </c>
      <c r="C701" t="s">
        <v>689</v>
      </c>
      <c r="D701" t="s">
        <v>101</v>
      </c>
      <c r="E701" t="s">
        <v>498</v>
      </c>
      <c r="G701" t="s">
        <v>119</v>
      </c>
      <c r="H701" t="s">
        <v>104</v>
      </c>
      <c r="I701">
        <v>2016</v>
      </c>
      <c r="J701" t="s">
        <v>507</v>
      </c>
      <c r="K701" t="s">
        <v>106</v>
      </c>
      <c r="L701" t="s">
        <v>1018</v>
      </c>
      <c r="M701" t="s">
        <v>1022</v>
      </c>
      <c r="N701">
        <v>1</v>
      </c>
      <c r="O701">
        <v>2020</v>
      </c>
      <c r="P701">
        <v>938.90648751460947</v>
      </c>
      <c r="Q701">
        <v>85.393302426154932</v>
      </c>
      <c r="R701" t="s">
        <v>391</v>
      </c>
      <c r="S701">
        <v>10.99508346484834</v>
      </c>
      <c r="T701">
        <v>3.49</v>
      </c>
      <c r="U701" t="s">
        <v>502</v>
      </c>
      <c r="V701">
        <v>1.0575757575757581</v>
      </c>
      <c r="W701">
        <v>8</v>
      </c>
      <c r="X701">
        <v>18</v>
      </c>
      <c r="Y701">
        <v>14</v>
      </c>
      <c r="Z701">
        <v>0.02</v>
      </c>
      <c r="AA701">
        <v>1</v>
      </c>
    </row>
    <row r="702" spans="1:27" x14ac:dyDescent="0.25">
      <c r="A702" t="s">
        <v>98</v>
      </c>
      <c r="B702" t="s">
        <v>519</v>
      </c>
      <c r="C702" t="s">
        <v>689</v>
      </c>
      <c r="D702" t="s">
        <v>101</v>
      </c>
      <c r="E702" t="s">
        <v>498</v>
      </c>
      <c r="G702" t="s">
        <v>119</v>
      </c>
      <c r="H702" t="s">
        <v>104</v>
      </c>
      <c r="I702">
        <v>2030</v>
      </c>
      <c r="J702" t="s">
        <v>509</v>
      </c>
      <c r="K702" t="s">
        <v>106</v>
      </c>
      <c r="L702" t="s">
        <v>1018</v>
      </c>
      <c r="M702" t="s">
        <v>1023</v>
      </c>
      <c r="N702">
        <v>1</v>
      </c>
      <c r="O702">
        <v>2030</v>
      </c>
      <c r="P702">
        <v>987.6808505023813</v>
      </c>
      <c r="Q702">
        <v>85.393302426154932</v>
      </c>
      <c r="R702" t="s">
        <v>391</v>
      </c>
      <c r="S702">
        <v>11.566256631853451</v>
      </c>
      <c r="T702">
        <v>3.61</v>
      </c>
      <c r="U702" t="s">
        <v>502</v>
      </c>
      <c r="V702">
        <v>1.093939393939394</v>
      </c>
      <c r="W702">
        <v>8</v>
      </c>
      <c r="X702">
        <v>18</v>
      </c>
      <c r="Y702">
        <v>14</v>
      </c>
      <c r="Z702">
        <v>0.02</v>
      </c>
      <c r="AA702">
        <v>1</v>
      </c>
    </row>
    <row r="703" spans="1:27" x14ac:dyDescent="0.25">
      <c r="A703" t="s">
        <v>98</v>
      </c>
      <c r="B703" t="s">
        <v>519</v>
      </c>
      <c r="C703" t="s">
        <v>689</v>
      </c>
      <c r="D703" t="s">
        <v>101</v>
      </c>
      <c r="E703" t="s">
        <v>498</v>
      </c>
      <c r="G703" t="s">
        <v>103</v>
      </c>
      <c r="H703" t="s">
        <v>125</v>
      </c>
      <c r="I703">
        <v>2016</v>
      </c>
      <c r="J703" t="s">
        <v>511</v>
      </c>
      <c r="K703" t="s">
        <v>127</v>
      </c>
      <c r="L703" t="s">
        <v>1018</v>
      </c>
      <c r="M703" t="s">
        <v>1024</v>
      </c>
      <c r="N703">
        <v>1</v>
      </c>
      <c r="O703">
        <v>2020</v>
      </c>
      <c r="P703">
        <v>646.26030958797787</v>
      </c>
      <c r="Q703">
        <v>85.393302426154932</v>
      </c>
      <c r="R703" t="s">
        <v>391</v>
      </c>
      <c r="S703">
        <v>7.5680444628176859</v>
      </c>
      <c r="T703">
        <v>3.73</v>
      </c>
      <c r="U703" t="s">
        <v>502</v>
      </c>
      <c r="V703">
        <v>1.1303030303030299</v>
      </c>
      <c r="W703">
        <v>8</v>
      </c>
      <c r="X703">
        <v>18</v>
      </c>
      <c r="Y703">
        <v>14</v>
      </c>
      <c r="Z703">
        <v>0.02</v>
      </c>
      <c r="AA703">
        <v>1</v>
      </c>
    </row>
    <row r="704" spans="1:27" x14ac:dyDescent="0.25">
      <c r="A704" t="s">
        <v>98</v>
      </c>
      <c r="B704" t="s">
        <v>519</v>
      </c>
      <c r="C704" t="s">
        <v>689</v>
      </c>
      <c r="D704" t="s">
        <v>101</v>
      </c>
      <c r="E704" t="s">
        <v>498</v>
      </c>
      <c r="G704" t="s">
        <v>111</v>
      </c>
      <c r="H704" t="s">
        <v>125</v>
      </c>
      <c r="I704">
        <v>2016</v>
      </c>
      <c r="J704" t="s">
        <v>513</v>
      </c>
      <c r="K704" t="s">
        <v>127</v>
      </c>
      <c r="L704" t="s">
        <v>1018</v>
      </c>
      <c r="M704" t="s">
        <v>1025</v>
      </c>
      <c r="N704">
        <v>1</v>
      </c>
      <c r="O704">
        <v>2020</v>
      </c>
      <c r="P704">
        <v>658.45390033492083</v>
      </c>
      <c r="Q704">
        <v>85.393302426154932</v>
      </c>
      <c r="R704" t="s">
        <v>391</v>
      </c>
      <c r="S704">
        <v>7.7108377545689626</v>
      </c>
      <c r="T704">
        <v>3.74</v>
      </c>
      <c r="U704" t="s">
        <v>502</v>
      </c>
      <c r="V704">
        <v>1.133333333333334</v>
      </c>
      <c r="W704">
        <v>8</v>
      </c>
      <c r="X704">
        <v>18</v>
      </c>
      <c r="Y704">
        <v>14</v>
      </c>
      <c r="Z704">
        <v>0.02</v>
      </c>
      <c r="AA704">
        <v>1</v>
      </c>
    </row>
    <row r="705" spans="1:27" x14ac:dyDescent="0.25">
      <c r="A705" t="s">
        <v>98</v>
      </c>
      <c r="B705" t="s">
        <v>519</v>
      </c>
      <c r="C705" t="s">
        <v>689</v>
      </c>
      <c r="D705" t="s">
        <v>101</v>
      </c>
      <c r="E705" t="s">
        <v>498</v>
      </c>
      <c r="G705" t="s">
        <v>114</v>
      </c>
      <c r="H705" t="s">
        <v>125</v>
      </c>
      <c r="I705">
        <v>2016</v>
      </c>
      <c r="J705" t="s">
        <v>515</v>
      </c>
      <c r="K705" t="s">
        <v>127</v>
      </c>
      <c r="L705" t="s">
        <v>1018</v>
      </c>
      <c r="M705" t="s">
        <v>1026</v>
      </c>
      <c r="N705">
        <v>1</v>
      </c>
      <c r="O705">
        <v>2020</v>
      </c>
      <c r="P705">
        <v>691.90476692947561</v>
      </c>
      <c r="Q705">
        <v>85.393302426154932</v>
      </c>
      <c r="R705" t="s">
        <v>391</v>
      </c>
      <c r="S705">
        <v>8.1025648062716638</v>
      </c>
      <c r="T705">
        <v>3.93</v>
      </c>
      <c r="U705" t="s">
        <v>502</v>
      </c>
      <c r="V705">
        <v>1.1909090909090909</v>
      </c>
      <c r="W705">
        <v>8</v>
      </c>
      <c r="X705">
        <v>18</v>
      </c>
      <c r="Y705">
        <v>14</v>
      </c>
      <c r="Z705">
        <v>0.02</v>
      </c>
      <c r="AA705">
        <v>1</v>
      </c>
    </row>
    <row r="706" spans="1:27" x14ac:dyDescent="0.25">
      <c r="A706" t="s">
        <v>98</v>
      </c>
      <c r="B706" t="s">
        <v>519</v>
      </c>
      <c r="C706" t="s">
        <v>689</v>
      </c>
      <c r="D706" t="s">
        <v>101</v>
      </c>
      <c r="E706" t="s">
        <v>498</v>
      </c>
      <c r="G706" t="s">
        <v>119</v>
      </c>
      <c r="H706" t="s">
        <v>125</v>
      </c>
      <c r="I706">
        <v>2016</v>
      </c>
      <c r="J706" t="s">
        <v>517</v>
      </c>
      <c r="K706" t="s">
        <v>127</v>
      </c>
      <c r="L706" t="s">
        <v>1018</v>
      </c>
      <c r="M706" t="s">
        <v>1027</v>
      </c>
      <c r="N706">
        <v>1</v>
      </c>
      <c r="O706">
        <v>2020</v>
      </c>
      <c r="P706">
        <v>938.90648751460947</v>
      </c>
      <c r="Q706">
        <v>85.393302426154932</v>
      </c>
      <c r="R706" t="s">
        <v>391</v>
      </c>
      <c r="S706">
        <v>10.99508346484834</v>
      </c>
      <c r="T706">
        <v>4.5</v>
      </c>
      <c r="U706" t="s">
        <v>502</v>
      </c>
      <c r="V706">
        <v>1.363636363636364</v>
      </c>
      <c r="W706">
        <v>8</v>
      </c>
      <c r="X706">
        <v>18</v>
      </c>
      <c r="Y706">
        <v>14</v>
      </c>
      <c r="Z706">
        <v>0.02</v>
      </c>
      <c r="AA706">
        <v>1</v>
      </c>
    </row>
    <row r="707" spans="1:27" x14ac:dyDescent="0.25">
      <c r="A707" t="s">
        <v>98</v>
      </c>
      <c r="B707" t="s">
        <v>99</v>
      </c>
      <c r="C707" t="s">
        <v>1028</v>
      </c>
      <c r="D707" t="s">
        <v>101</v>
      </c>
      <c r="E707" t="s">
        <v>102</v>
      </c>
      <c r="G707" t="s">
        <v>103</v>
      </c>
      <c r="H707" t="s">
        <v>104</v>
      </c>
      <c r="I707">
        <v>2016</v>
      </c>
      <c r="J707" t="s">
        <v>105</v>
      </c>
      <c r="K707" t="s">
        <v>106</v>
      </c>
      <c r="L707" t="s">
        <v>1029</v>
      </c>
      <c r="M707" t="s">
        <v>1030</v>
      </c>
      <c r="N707">
        <v>1</v>
      </c>
      <c r="O707">
        <v>2020</v>
      </c>
      <c r="P707">
        <v>2225.3303113170941</v>
      </c>
      <c r="Q707">
        <v>1.414295330294598</v>
      </c>
      <c r="R707" t="s">
        <v>109</v>
      </c>
      <c r="S707">
        <v>1573.4551784552359</v>
      </c>
      <c r="T707">
        <v>0.61014999999999997</v>
      </c>
      <c r="U707" t="s">
        <v>110</v>
      </c>
      <c r="V707">
        <v>0.61014999999999997</v>
      </c>
      <c r="W707">
        <v>6</v>
      </c>
      <c r="X707">
        <v>20</v>
      </c>
      <c r="Y707">
        <v>14</v>
      </c>
      <c r="Z707">
        <v>0.24</v>
      </c>
      <c r="AA707">
        <v>31.536000000000001</v>
      </c>
    </row>
    <row r="708" spans="1:27" x14ac:dyDescent="0.25">
      <c r="A708" t="s">
        <v>98</v>
      </c>
      <c r="B708" t="s">
        <v>99</v>
      </c>
      <c r="C708" t="s">
        <v>1028</v>
      </c>
      <c r="D708" t="s">
        <v>101</v>
      </c>
      <c r="E708" t="s">
        <v>102</v>
      </c>
      <c r="G708" t="s">
        <v>111</v>
      </c>
      <c r="H708" t="s">
        <v>104</v>
      </c>
      <c r="I708">
        <v>2016</v>
      </c>
      <c r="J708" t="s">
        <v>112</v>
      </c>
      <c r="K708" t="s">
        <v>106</v>
      </c>
      <c r="L708" t="s">
        <v>1029</v>
      </c>
      <c r="M708" t="s">
        <v>1031</v>
      </c>
      <c r="N708">
        <v>1</v>
      </c>
      <c r="O708">
        <v>2020</v>
      </c>
      <c r="P708">
        <v>2347.266218786523</v>
      </c>
      <c r="Q708">
        <v>1.414295330294598</v>
      </c>
      <c r="R708" t="s">
        <v>109</v>
      </c>
      <c r="S708">
        <v>1659.671900562372</v>
      </c>
      <c r="T708">
        <v>0.63</v>
      </c>
      <c r="U708" t="s">
        <v>110</v>
      </c>
      <c r="V708">
        <v>0.63</v>
      </c>
      <c r="W708">
        <v>6</v>
      </c>
      <c r="X708">
        <v>20</v>
      </c>
      <c r="Y708">
        <v>14</v>
      </c>
      <c r="Z708">
        <v>0.24</v>
      </c>
      <c r="AA708">
        <v>31.536000000000001</v>
      </c>
    </row>
    <row r="709" spans="1:27" x14ac:dyDescent="0.25">
      <c r="A709" t="s">
        <v>98</v>
      </c>
      <c r="B709" t="s">
        <v>99</v>
      </c>
      <c r="C709" t="s">
        <v>1028</v>
      </c>
      <c r="D709" t="s">
        <v>101</v>
      </c>
      <c r="E709" t="s">
        <v>102</v>
      </c>
      <c r="G709" t="s">
        <v>114</v>
      </c>
      <c r="H709" t="s">
        <v>104</v>
      </c>
      <c r="I709">
        <v>2016</v>
      </c>
      <c r="J709" t="s">
        <v>115</v>
      </c>
      <c r="K709" t="s">
        <v>106</v>
      </c>
      <c r="L709" t="s">
        <v>1029</v>
      </c>
      <c r="M709" t="s">
        <v>1032</v>
      </c>
      <c r="N709">
        <v>1</v>
      </c>
      <c r="O709">
        <v>2020</v>
      </c>
      <c r="P709">
        <v>2469.2021262559529</v>
      </c>
      <c r="Q709">
        <v>1.414295330294598</v>
      </c>
      <c r="R709" t="s">
        <v>109</v>
      </c>
      <c r="S709">
        <v>1745.8886226695081</v>
      </c>
      <c r="T709">
        <v>0.66</v>
      </c>
      <c r="U709" t="s">
        <v>110</v>
      </c>
      <c r="V709">
        <v>0.66</v>
      </c>
      <c r="W709">
        <v>6</v>
      </c>
      <c r="X709">
        <v>20</v>
      </c>
      <c r="Y709">
        <v>14</v>
      </c>
      <c r="Z709">
        <v>0.24</v>
      </c>
      <c r="AA709">
        <v>31.536000000000001</v>
      </c>
    </row>
    <row r="710" spans="1:27" x14ac:dyDescent="0.25">
      <c r="A710" t="s">
        <v>98</v>
      </c>
      <c r="B710" t="s">
        <v>99</v>
      </c>
      <c r="C710" t="s">
        <v>1028</v>
      </c>
      <c r="D710" t="s">
        <v>101</v>
      </c>
      <c r="E710" t="s">
        <v>102</v>
      </c>
      <c r="G710" t="s">
        <v>114</v>
      </c>
      <c r="H710" t="s">
        <v>104</v>
      </c>
      <c r="I710">
        <v>2023</v>
      </c>
      <c r="J710" t="s">
        <v>117</v>
      </c>
      <c r="K710" t="s">
        <v>106</v>
      </c>
      <c r="L710" t="s">
        <v>1029</v>
      </c>
      <c r="M710" t="s">
        <v>1033</v>
      </c>
      <c r="N710">
        <v>1</v>
      </c>
      <c r="O710">
        <v>2023</v>
      </c>
      <c r="P710">
        <v>3865.2553631628971</v>
      </c>
      <c r="Q710">
        <v>1.414295330294598</v>
      </c>
      <c r="R710" t="s">
        <v>109</v>
      </c>
      <c r="S710">
        <v>2732.9902604979711</v>
      </c>
      <c r="T710">
        <v>0.83499999999999996</v>
      </c>
      <c r="U710" t="s">
        <v>110</v>
      </c>
      <c r="V710">
        <v>0.83499999999999996</v>
      </c>
      <c r="W710">
        <v>6</v>
      </c>
      <c r="X710">
        <v>20</v>
      </c>
      <c r="Y710">
        <v>14</v>
      </c>
      <c r="Z710">
        <v>0.24</v>
      </c>
      <c r="AA710">
        <v>31.536000000000001</v>
      </c>
    </row>
    <row r="711" spans="1:27" x14ac:dyDescent="0.25">
      <c r="A711" t="s">
        <v>98</v>
      </c>
      <c r="B711" t="s">
        <v>99</v>
      </c>
      <c r="C711" t="s">
        <v>1028</v>
      </c>
      <c r="D711" t="s">
        <v>101</v>
      </c>
      <c r="E711" t="s">
        <v>102</v>
      </c>
      <c r="G711" t="s">
        <v>119</v>
      </c>
      <c r="H711" t="s">
        <v>104</v>
      </c>
      <c r="I711">
        <v>2016</v>
      </c>
      <c r="J711" t="s">
        <v>120</v>
      </c>
      <c r="K711" t="s">
        <v>106</v>
      </c>
      <c r="L711" t="s">
        <v>1029</v>
      </c>
      <c r="M711" t="s">
        <v>1034</v>
      </c>
      <c r="N711">
        <v>0</v>
      </c>
      <c r="O711">
        <v>2020</v>
      </c>
      <c r="P711">
        <v>3749.5291546849662</v>
      </c>
      <c r="Q711">
        <v>1.414295330294598</v>
      </c>
      <c r="R711" t="s">
        <v>109</v>
      </c>
      <c r="S711">
        <v>2651.1642047944379</v>
      </c>
      <c r="T711">
        <v>0.81</v>
      </c>
      <c r="U711" t="s">
        <v>110</v>
      </c>
      <c r="V711">
        <v>0.81</v>
      </c>
      <c r="W711">
        <v>6</v>
      </c>
      <c r="X711">
        <v>20</v>
      </c>
      <c r="Y711">
        <v>14</v>
      </c>
      <c r="Z711">
        <v>0.24</v>
      </c>
      <c r="AA711">
        <v>31.536000000000001</v>
      </c>
    </row>
    <row r="712" spans="1:27" x14ac:dyDescent="0.25">
      <c r="A712" t="s">
        <v>98</v>
      </c>
      <c r="B712" t="s">
        <v>99</v>
      </c>
      <c r="C712" t="s">
        <v>1028</v>
      </c>
      <c r="D712" t="s">
        <v>101</v>
      </c>
      <c r="E712" t="s">
        <v>102</v>
      </c>
      <c r="G712" t="s">
        <v>119</v>
      </c>
      <c r="H712" t="s">
        <v>104</v>
      </c>
      <c r="I712">
        <v>2018</v>
      </c>
      <c r="J712" t="s">
        <v>122</v>
      </c>
      <c r="K712" t="s">
        <v>106</v>
      </c>
      <c r="L712" t="s">
        <v>1029</v>
      </c>
      <c r="M712" t="s">
        <v>1034</v>
      </c>
      <c r="N712">
        <v>1</v>
      </c>
      <c r="O712">
        <v>2020</v>
      </c>
      <c r="P712">
        <v>3749.5291546849662</v>
      </c>
      <c r="Q712">
        <v>1.414295330294598</v>
      </c>
      <c r="R712" t="s">
        <v>109</v>
      </c>
      <c r="S712">
        <v>2651.1642047944379</v>
      </c>
      <c r="T712">
        <v>0.81</v>
      </c>
      <c r="U712" t="s">
        <v>110</v>
      </c>
      <c r="V712">
        <v>0.81</v>
      </c>
      <c r="W712">
        <v>6</v>
      </c>
      <c r="X712">
        <v>20</v>
      </c>
      <c r="Y712">
        <v>14</v>
      </c>
      <c r="Z712">
        <v>0.24</v>
      </c>
      <c r="AA712">
        <v>31.536000000000001</v>
      </c>
    </row>
    <row r="713" spans="1:27" x14ac:dyDescent="0.25">
      <c r="A713" t="s">
        <v>98</v>
      </c>
      <c r="B713" t="s">
        <v>99</v>
      </c>
      <c r="C713" t="s">
        <v>1028</v>
      </c>
      <c r="D713" t="s">
        <v>101</v>
      </c>
      <c r="E713" t="s">
        <v>102</v>
      </c>
      <c r="G713" t="s">
        <v>119</v>
      </c>
      <c r="H713" t="s">
        <v>104</v>
      </c>
      <c r="I713">
        <v>2022</v>
      </c>
      <c r="J713" t="s">
        <v>123</v>
      </c>
      <c r="K713" t="s">
        <v>106</v>
      </c>
      <c r="L713" t="s">
        <v>1029</v>
      </c>
      <c r="M713" t="s">
        <v>1035</v>
      </c>
      <c r="N713">
        <v>1</v>
      </c>
      <c r="O713">
        <v>2022</v>
      </c>
      <c r="P713">
        <v>3749.5291546849662</v>
      </c>
      <c r="Q713">
        <v>1.414295330294598</v>
      </c>
      <c r="R713" t="s">
        <v>109</v>
      </c>
      <c r="S713">
        <v>2651.1642047944379</v>
      </c>
      <c r="T713">
        <v>0.81</v>
      </c>
      <c r="U713" t="s">
        <v>110</v>
      </c>
      <c r="V713">
        <v>0.81</v>
      </c>
      <c r="W713">
        <v>6</v>
      </c>
      <c r="X713">
        <v>20</v>
      </c>
      <c r="Y713">
        <v>14</v>
      </c>
      <c r="Z713">
        <v>0.24</v>
      </c>
      <c r="AA713">
        <v>31.536000000000001</v>
      </c>
    </row>
    <row r="714" spans="1:27" x14ac:dyDescent="0.25">
      <c r="A714" t="s">
        <v>98</v>
      </c>
      <c r="B714" t="s">
        <v>99</v>
      </c>
      <c r="C714" t="s">
        <v>1028</v>
      </c>
      <c r="D714" t="s">
        <v>101</v>
      </c>
      <c r="E714" t="s">
        <v>102</v>
      </c>
      <c r="G714" t="s">
        <v>103</v>
      </c>
      <c r="H714" t="s">
        <v>125</v>
      </c>
      <c r="I714">
        <v>2016</v>
      </c>
      <c r="J714" t="s">
        <v>126</v>
      </c>
      <c r="K714" t="s">
        <v>127</v>
      </c>
      <c r="L714" t="s">
        <v>1029</v>
      </c>
      <c r="M714" t="s">
        <v>1036</v>
      </c>
      <c r="N714">
        <v>1</v>
      </c>
      <c r="O714">
        <v>2020</v>
      </c>
      <c r="P714">
        <v>945.00328288808089</v>
      </c>
      <c r="Q714">
        <v>1.414295330294598</v>
      </c>
      <c r="R714" t="s">
        <v>109</v>
      </c>
      <c r="S714">
        <v>668.17959633030557</v>
      </c>
      <c r="T714">
        <v>0.91554999999999997</v>
      </c>
      <c r="U714" t="s">
        <v>110</v>
      </c>
      <c r="V714">
        <v>0.91554999999999997</v>
      </c>
      <c r="W714">
        <v>6</v>
      </c>
      <c r="X714">
        <v>20</v>
      </c>
      <c r="Y714">
        <v>14</v>
      </c>
      <c r="Z714">
        <v>0.24</v>
      </c>
      <c r="AA714">
        <v>31.536000000000001</v>
      </c>
    </row>
    <row r="715" spans="1:27" x14ac:dyDescent="0.25">
      <c r="A715" t="s">
        <v>98</v>
      </c>
      <c r="B715" t="s">
        <v>99</v>
      </c>
      <c r="C715" t="s">
        <v>1028</v>
      </c>
      <c r="D715" t="s">
        <v>101</v>
      </c>
      <c r="E715" t="s">
        <v>102</v>
      </c>
      <c r="G715" t="s">
        <v>111</v>
      </c>
      <c r="H715" t="s">
        <v>125</v>
      </c>
      <c r="I715">
        <v>2016</v>
      </c>
      <c r="J715" t="s">
        <v>129</v>
      </c>
      <c r="K715" t="s">
        <v>127</v>
      </c>
      <c r="L715" t="s">
        <v>1029</v>
      </c>
      <c r="M715" t="s">
        <v>1037</v>
      </c>
      <c r="N715">
        <v>1</v>
      </c>
      <c r="O715">
        <v>2020</v>
      </c>
      <c r="P715">
        <v>1036.455213490153</v>
      </c>
      <c r="Q715">
        <v>1.414295330294598</v>
      </c>
      <c r="R715" t="s">
        <v>109</v>
      </c>
      <c r="S715">
        <v>732.84213791065781</v>
      </c>
      <c r="T715">
        <v>0.93</v>
      </c>
      <c r="U715" t="s">
        <v>110</v>
      </c>
      <c r="V715">
        <v>0.93</v>
      </c>
      <c r="W715">
        <v>6</v>
      </c>
      <c r="X715">
        <v>20</v>
      </c>
      <c r="Y715">
        <v>14</v>
      </c>
      <c r="Z715">
        <v>0.24</v>
      </c>
      <c r="AA715">
        <v>31.536000000000001</v>
      </c>
    </row>
    <row r="716" spans="1:27" x14ac:dyDescent="0.25">
      <c r="A716" t="s">
        <v>98</v>
      </c>
      <c r="B716" t="s">
        <v>99</v>
      </c>
      <c r="C716" t="s">
        <v>1028</v>
      </c>
      <c r="D716" t="s">
        <v>101</v>
      </c>
      <c r="E716" t="s">
        <v>102</v>
      </c>
      <c r="G716" t="s">
        <v>119</v>
      </c>
      <c r="H716" t="s">
        <v>125</v>
      </c>
      <c r="I716">
        <v>2016</v>
      </c>
      <c r="J716" t="s">
        <v>131</v>
      </c>
      <c r="K716" t="s">
        <v>127</v>
      </c>
      <c r="L716" t="s">
        <v>1029</v>
      </c>
      <c r="M716" t="s">
        <v>1038</v>
      </c>
      <c r="N716">
        <v>1</v>
      </c>
      <c r="O716">
        <v>2020</v>
      </c>
      <c r="P716">
        <v>1493.714866500515</v>
      </c>
      <c r="Q716">
        <v>1.414295330294598</v>
      </c>
      <c r="R716" t="s">
        <v>109</v>
      </c>
      <c r="S716">
        <v>1056.1548458124189</v>
      </c>
      <c r="T716">
        <v>0.95</v>
      </c>
      <c r="U716" t="s">
        <v>110</v>
      </c>
      <c r="V716">
        <v>0.95</v>
      </c>
      <c r="W716">
        <v>6</v>
      </c>
      <c r="X716">
        <v>20</v>
      </c>
      <c r="Y716">
        <v>14</v>
      </c>
      <c r="Z716">
        <v>0.24</v>
      </c>
      <c r="AA716">
        <v>31.536000000000001</v>
      </c>
    </row>
    <row r="717" spans="1:27" x14ac:dyDescent="0.25">
      <c r="A717" t="s">
        <v>98</v>
      </c>
      <c r="B717" t="s">
        <v>99</v>
      </c>
      <c r="C717" t="s">
        <v>1028</v>
      </c>
      <c r="D717" t="s">
        <v>101</v>
      </c>
      <c r="E717" t="s">
        <v>102</v>
      </c>
      <c r="G717" t="s">
        <v>133</v>
      </c>
      <c r="H717" t="s">
        <v>125</v>
      </c>
      <c r="I717">
        <v>2016</v>
      </c>
      <c r="J717" t="s">
        <v>134</v>
      </c>
      <c r="K717" t="s">
        <v>127</v>
      </c>
      <c r="L717" t="s">
        <v>1029</v>
      </c>
      <c r="M717" t="s">
        <v>1039</v>
      </c>
      <c r="N717">
        <v>1</v>
      </c>
      <c r="O717">
        <v>2020</v>
      </c>
      <c r="P717">
        <v>2530.170079990668</v>
      </c>
      <c r="Q717">
        <v>1.414295330294598</v>
      </c>
      <c r="R717" t="s">
        <v>109</v>
      </c>
      <c r="S717">
        <v>1788.996983723076</v>
      </c>
      <c r="T717">
        <v>3.28</v>
      </c>
      <c r="U717" t="s">
        <v>110</v>
      </c>
      <c r="V717">
        <v>3.28</v>
      </c>
      <c r="W717">
        <v>6</v>
      </c>
      <c r="X717">
        <v>20</v>
      </c>
      <c r="Y717">
        <v>14</v>
      </c>
      <c r="Z717">
        <v>0.24</v>
      </c>
      <c r="AA717">
        <v>31.536000000000001</v>
      </c>
    </row>
    <row r="718" spans="1:27" x14ac:dyDescent="0.25">
      <c r="A718" t="s">
        <v>98</v>
      </c>
      <c r="B718" t="s">
        <v>99</v>
      </c>
      <c r="C718" t="s">
        <v>1028</v>
      </c>
      <c r="D718" t="s">
        <v>101</v>
      </c>
      <c r="E718" t="s">
        <v>102</v>
      </c>
      <c r="G718" t="s">
        <v>133</v>
      </c>
      <c r="H718" t="s">
        <v>125</v>
      </c>
      <c r="I718">
        <v>2022</v>
      </c>
      <c r="J718" t="s">
        <v>136</v>
      </c>
      <c r="K718" t="s">
        <v>127</v>
      </c>
      <c r="L718" t="s">
        <v>1029</v>
      </c>
      <c r="M718" t="s">
        <v>1040</v>
      </c>
      <c r="N718">
        <v>1</v>
      </c>
      <c r="O718">
        <v>2022</v>
      </c>
      <c r="P718">
        <v>2530.170079990668</v>
      </c>
      <c r="Q718">
        <v>1.414295330294598</v>
      </c>
      <c r="R718" t="s">
        <v>109</v>
      </c>
      <c r="S718">
        <v>1788.996983723076</v>
      </c>
      <c r="T718">
        <v>3.28</v>
      </c>
      <c r="U718" t="s">
        <v>110</v>
      </c>
      <c r="V718">
        <v>3.28</v>
      </c>
      <c r="W718">
        <v>6</v>
      </c>
      <c r="X718">
        <v>20</v>
      </c>
      <c r="Y718">
        <v>14</v>
      </c>
      <c r="Z718">
        <v>0.24</v>
      </c>
      <c r="AA718">
        <v>31.536000000000001</v>
      </c>
    </row>
    <row r="719" spans="1:27" x14ac:dyDescent="0.25">
      <c r="A719" t="s">
        <v>98</v>
      </c>
      <c r="B719" t="s">
        <v>99</v>
      </c>
      <c r="C719" t="s">
        <v>1028</v>
      </c>
      <c r="D719" t="s">
        <v>101</v>
      </c>
      <c r="E719" t="s">
        <v>102</v>
      </c>
      <c r="G719" t="s">
        <v>138</v>
      </c>
      <c r="H719" t="s">
        <v>125</v>
      </c>
      <c r="I719">
        <v>2016</v>
      </c>
      <c r="J719" t="s">
        <v>139</v>
      </c>
      <c r="K719" t="s">
        <v>127</v>
      </c>
      <c r="L719" t="s">
        <v>1029</v>
      </c>
      <c r="M719" t="s">
        <v>1041</v>
      </c>
      <c r="N719">
        <v>1</v>
      </c>
      <c r="O719">
        <v>2020</v>
      </c>
      <c r="P719">
        <v>2316.7822419191662</v>
      </c>
      <c r="Q719">
        <v>1.414295330294598</v>
      </c>
      <c r="R719" t="s">
        <v>109</v>
      </c>
      <c r="S719">
        <v>1638.117720035588</v>
      </c>
      <c r="T719">
        <v>2</v>
      </c>
      <c r="U719" t="s">
        <v>110</v>
      </c>
      <c r="V719">
        <v>2</v>
      </c>
      <c r="W719">
        <v>6</v>
      </c>
      <c r="X719">
        <v>20</v>
      </c>
      <c r="Y719">
        <v>14</v>
      </c>
      <c r="Z719">
        <v>0.24</v>
      </c>
      <c r="AA719">
        <v>31.536000000000001</v>
      </c>
    </row>
    <row r="720" spans="1:27" x14ac:dyDescent="0.25">
      <c r="A720" t="s">
        <v>98</v>
      </c>
      <c r="B720" t="s">
        <v>99</v>
      </c>
      <c r="C720" t="s">
        <v>1028</v>
      </c>
      <c r="D720" t="s">
        <v>101</v>
      </c>
      <c r="E720" t="s">
        <v>102</v>
      </c>
      <c r="G720" t="s">
        <v>138</v>
      </c>
      <c r="H720" t="s">
        <v>125</v>
      </c>
      <c r="I720">
        <v>2022</v>
      </c>
      <c r="J720" t="s">
        <v>141</v>
      </c>
      <c r="K720" t="s">
        <v>127</v>
      </c>
      <c r="L720" t="s">
        <v>1029</v>
      </c>
      <c r="M720" t="s">
        <v>1042</v>
      </c>
      <c r="N720">
        <v>1</v>
      </c>
      <c r="O720">
        <v>2022</v>
      </c>
      <c r="P720">
        <v>2805.3845753706141</v>
      </c>
      <c r="Q720">
        <v>1.414295330294598</v>
      </c>
      <c r="R720" t="s">
        <v>109</v>
      </c>
      <c r="S720">
        <v>1983.591768478972</v>
      </c>
      <c r="T720">
        <v>3.3</v>
      </c>
      <c r="U720" t="s">
        <v>110</v>
      </c>
      <c r="V720">
        <v>3.3</v>
      </c>
      <c r="W720">
        <v>6</v>
      </c>
      <c r="X720">
        <v>20</v>
      </c>
      <c r="Y720">
        <v>14</v>
      </c>
      <c r="Z720">
        <v>0.24</v>
      </c>
      <c r="AA720">
        <v>31.536000000000001</v>
      </c>
    </row>
    <row r="721" spans="1:27" x14ac:dyDescent="0.25">
      <c r="A721" t="s">
        <v>98</v>
      </c>
      <c r="B721" t="s">
        <v>99</v>
      </c>
      <c r="C721" t="s">
        <v>1028</v>
      </c>
      <c r="D721" t="s">
        <v>101</v>
      </c>
      <c r="E721" t="s">
        <v>102</v>
      </c>
      <c r="G721" t="s">
        <v>143</v>
      </c>
      <c r="H721" t="s">
        <v>125</v>
      </c>
      <c r="I721">
        <v>2016</v>
      </c>
      <c r="J721" t="s">
        <v>144</v>
      </c>
      <c r="K721" t="s">
        <v>127</v>
      </c>
      <c r="L721" t="s">
        <v>1029</v>
      </c>
      <c r="M721" t="s">
        <v>1043</v>
      </c>
      <c r="N721">
        <v>1</v>
      </c>
      <c r="O721">
        <v>2020</v>
      </c>
      <c r="P721">
        <v>3017.9137098683868</v>
      </c>
      <c r="Q721">
        <v>1.414295330294598</v>
      </c>
      <c r="R721" t="s">
        <v>109</v>
      </c>
      <c r="S721">
        <v>2133.8638721516209</v>
      </c>
      <c r="T721">
        <v>3.55</v>
      </c>
      <c r="U721" t="s">
        <v>110</v>
      </c>
      <c r="V721">
        <v>3.55</v>
      </c>
      <c r="W721">
        <v>6</v>
      </c>
      <c r="X721">
        <v>20</v>
      </c>
      <c r="Y721">
        <v>14</v>
      </c>
      <c r="Z721">
        <v>0.24</v>
      </c>
      <c r="AA721">
        <v>31.536000000000001</v>
      </c>
    </row>
    <row r="722" spans="1:27" x14ac:dyDescent="0.25">
      <c r="A722" t="s">
        <v>98</v>
      </c>
      <c r="B722" t="s">
        <v>99</v>
      </c>
      <c r="C722" t="s">
        <v>1028</v>
      </c>
      <c r="D722" t="s">
        <v>101</v>
      </c>
      <c r="E722" t="s">
        <v>102</v>
      </c>
      <c r="G722" t="s">
        <v>143</v>
      </c>
      <c r="H722" t="s">
        <v>125</v>
      </c>
      <c r="I722">
        <v>2022</v>
      </c>
      <c r="J722" t="s">
        <v>146</v>
      </c>
      <c r="K722" t="s">
        <v>127</v>
      </c>
      <c r="L722" t="s">
        <v>1029</v>
      </c>
      <c r="M722" t="s">
        <v>1044</v>
      </c>
      <c r="N722">
        <v>1</v>
      </c>
      <c r="O722">
        <v>2022</v>
      </c>
      <c r="P722">
        <v>3017.9137098683868</v>
      </c>
      <c r="Q722">
        <v>1.414295330294598</v>
      </c>
      <c r="R722" t="s">
        <v>109</v>
      </c>
      <c r="S722">
        <v>2133.8638721516209</v>
      </c>
      <c r="T722">
        <v>3.55</v>
      </c>
      <c r="U722" t="s">
        <v>110</v>
      </c>
      <c r="V722">
        <v>3.55</v>
      </c>
      <c r="W722">
        <v>6</v>
      </c>
      <c r="X722">
        <v>20</v>
      </c>
      <c r="Y722">
        <v>14</v>
      </c>
      <c r="Z722">
        <v>0.24</v>
      </c>
      <c r="AA722">
        <v>31.536000000000001</v>
      </c>
    </row>
    <row r="723" spans="1:27" x14ac:dyDescent="0.25">
      <c r="A723" t="s">
        <v>98</v>
      </c>
      <c r="B723" t="s">
        <v>99</v>
      </c>
      <c r="C723" t="s">
        <v>1028</v>
      </c>
      <c r="D723" t="s">
        <v>101</v>
      </c>
      <c r="E723" t="s">
        <v>102</v>
      </c>
      <c r="G723" t="s">
        <v>103</v>
      </c>
      <c r="H723" t="s">
        <v>148</v>
      </c>
      <c r="I723">
        <v>2016</v>
      </c>
      <c r="J723" t="s">
        <v>149</v>
      </c>
      <c r="K723" t="s">
        <v>150</v>
      </c>
      <c r="L723" t="s">
        <v>1029</v>
      </c>
      <c r="M723" t="s">
        <v>1045</v>
      </c>
      <c r="N723">
        <v>1</v>
      </c>
      <c r="O723">
        <v>2020</v>
      </c>
      <c r="P723">
        <v>2926.4617792663148</v>
      </c>
      <c r="Q723">
        <v>1.414295330294598</v>
      </c>
      <c r="R723" t="s">
        <v>109</v>
      </c>
      <c r="S723">
        <v>2069.201330571269</v>
      </c>
      <c r="T723">
        <v>0.63670000000000004</v>
      </c>
      <c r="U723" t="s">
        <v>110</v>
      </c>
      <c r="V723">
        <v>0.63670000000000004</v>
      </c>
      <c r="W723">
        <v>6</v>
      </c>
      <c r="X723">
        <v>20</v>
      </c>
      <c r="Y723">
        <v>14</v>
      </c>
      <c r="Z723">
        <v>0.24</v>
      </c>
      <c r="AA723">
        <v>31.536000000000001</v>
      </c>
    </row>
    <row r="724" spans="1:27" x14ac:dyDescent="0.25">
      <c r="A724" t="s">
        <v>98</v>
      </c>
      <c r="B724" t="s">
        <v>99</v>
      </c>
      <c r="C724" t="s">
        <v>1028</v>
      </c>
      <c r="D724" t="s">
        <v>101</v>
      </c>
      <c r="E724" t="s">
        <v>102</v>
      </c>
      <c r="G724" t="s">
        <v>111</v>
      </c>
      <c r="H724" t="s">
        <v>148</v>
      </c>
      <c r="I724">
        <v>2016</v>
      </c>
      <c r="J724" t="s">
        <v>152</v>
      </c>
      <c r="K724" t="s">
        <v>150</v>
      </c>
      <c r="L724" t="s">
        <v>1029</v>
      </c>
      <c r="M724" t="s">
        <v>1046</v>
      </c>
      <c r="N724">
        <v>1</v>
      </c>
      <c r="O724">
        <v>2020</v>
      </c>
      <c r="P724">
        <v>3109.3656404704602</v>
      </c>
      <c r="Q724">
        <v>1.414295330294598</v>
      </c>
      <c r="R724" t="s">
        <v>109</v>
      </c>
      <c r="S724">
        <v>2198.5264137319732</v>
      </c>
      <c r="T724">
        <v>0.67</v>
      </c>
      <c r="U724" t="s">
        <v>110</v>
      </c>
      <c r="V724">
        <v>0.67</v>
      </c>
      <c r="W724">
        <v>6</v>
      </c>
      <c r="X724">
        <v>20</v>
      </c>
      <c r="Y724">
        <v>14</v>
      </c>
      <c r="Z724">
        <v>0.24</v>
      </c>
      <c r="AA724">
        <v>31.536000000000001</v>
      </c>
    </row>
    <row r="725" spans="1:27" x14ac:dyDescent="0.25">
      <c r="A725" t="s">
        <v>98</v>
      </c>
      <c r="B725" t="s">
        <v>99</v>
      </c>
      <c r="C725" t="s">
        <v>1028</v>
      </c>
      <c r="D725" t="s">
        <v>101</v>
      </c>
      <c r="E725" t="s">
        <v>102</v>
      </c>
      <c r="G725" t="s">
        <v>119</v>
      </c>
      <c r="H725" t="s">
        <v>148</v>
      </c>
      <c r="I725">
        <v>2016</v>
      </c>
      <c r="J725" t="s">
        <v>154</v>
      </c>
      <c r="K725" t="s">
        <v>150</v>
      </c>
      <c r="L725" t="s">
        <v>1029</v>
      </c>
      <c r="M725" t="s">
        <v>1047</v>
      </c>
      <c r="N725">
        <v>1</v>
      </c>
      <c r="O725">
        <v>2020</v>
      </c>
      <c r="P725">
        <v>3078.881663603102</v>
      </c>
      <c r="Q725">
        <v>1.414295330294598</v>
      </c>
      <c r="R725" t="s">
        <v>109</v>
      </c>
      <c r="S725">
        <v>2176.9722332051888</v>
      </c>
      <c r="T725">
        <v>0.69</v>
      </c>
      <c r="U725" t="s">
        <v>110</v>
      </c>
      <c r="V725">
        <v>0.69</v>
      </c>
      <c r="W725">
        <v>6</v>
      </c>
      <c r="X725">
        <v>20</v>
      </c>
      <c r="Y725">
        <v>14</v>
      </c>
      <c r="Z725">
        <v>0.24</v>
      </c>
      <c r="AA725">
        <v>31.536000000000001</v>
      </c>
    </row>
    <row r="726" spans="1:27" x14ac:dyDescent="0.25">
      <c r="A726" t="s">
        <v>98</v>
      </c>
      <c r="B726" t="s">
        <v>99</v>
      </c>
      <c r="C726" t="s">
        <v>1028</v>
      </c>
      <c r="D726" t="s">
        <v>101</v>
      </c>
      <c r="E726" t="s">
        <v>102</v>
      </c>
      <c r="G726" t="s">
        <v>103</v>
      </c>
      <c r="H726" t="s">
        <v>156</v>
      </c>
      <c r="I726">
        <v>2016</v>
      </c>
      <c r="J726" t="s">
        <v>157</v>
      </c>
      <c r="K726" t="s">
        <v>158</v>
      </c>
      <c r="L726" t="s">
        <v>1029</v>
      </c>
      <c r="M726" t="s">
        <v>1048</v>
      </c>
      <c r="N726">
        <v>1</v>
      </c>
      <c r="O726">
        <v>2020</v>
      </c>
      <c r="P726">
        <v>2225.3303113170941</v>
      </c>
      <c r="Q726">
        <v>1.414295330294598</v>
      </c>
      <c r="R726" t="s">
        <v>109</v>
      </c>
      <c r="S726">
        <v>1573.4551784552359</v>
      </c>
      <c r="T726">
        <v>0.61014999999999997</v>
      </c>
      <c r="U726" t="s">
        <v>110</v>
      </c>
      <c r="V726">
        <v>0.61014999999999997</v>
      </c>
      <c r="W726">
        <v>6</v>
      </c>
      <c r="X726">
        <v>20</v>
      </c>
      <c r="Y726">
        <v>14</v>
      </c>
      <c r="Z726">
        <v>0.24</v>
      </c>
      <c r="AA726">
        <v>31.536000000000001</v>
      </c>
    </row>
    <row r="727" spans="1:27" x14ac:dyDescent="0.25">
      <c r="A727" t="s">
        <v>98</v>
      </c>
      <c r="B727" t="s">
        <v>99</v>
      </c>
      <c r="C727" t="s">
        <v>1028</v>
      </c>
      <c r="D727" t="s">
        <v>101</v>
      </c>
      <c r="E727" t="s">
        <v>102</v>
      </c>
      <c r="G727" t="s">
        <v>111</v>
      </c>
      <c r="H727" t="s">
        <v>156</v>
      </c>
      <c r="I727">
        <v>2016</v>
      </c>
      <c r="J727" t="s">
        <v>160</v>
      </c>
      <c r="K727" t="s">
        <v>158</v>
      </c>
      <c r="L727" t="s">
        <v>1029</v>
      </c>
      <c r="M727" t="s">
        <v>1049</v>
      </c>
      <c r="N727">
        <v>1</v>
      </c>
      <c r="O727">
        <v>2020</v>
      </c>
      <c r="P727">
        <v>2347.266218786523</v>
      </c>
      <c r="Q727">
        <v>1.414295330294598</v>
      </c>
      <c r="R727" t="s">
        <v>109</v>
      </c>
      <c r="S727">
        <v>1659.671900562372</v>
      </c>
      <c r="T727">
        <v>0.63</v>
      </c>
      <c r="U727" t="s">
        <v>110</v>
      </c>
      <c r="V727">
        <v>0.63</v>
      </c>
      <c r="W727">
        <v>6</v>
      </c>
      <c r="X727">
        <v>20</v>
      </c>
      <c r="Y727">
        <v>14</v>
      </c>
      <c r="Z727">
        <v>0.24</v>
      </c>
      <c r="AA727">
        <v>31.536000000000001</v>
      </c>
    </row>
    <row r="728" spans="1:27" x14ac:dyDescent="0.25">
      <c r="A728" t="s">
        <v>98</v>
      </c>
      <c r="B728" t="s">
        <v>99</v>
      </c>
      <c r="C728" t="s">
        <v>1028</v>
      </c>
      <c r="D728" t="s">
        <v>101</v>
      </c>
      <c r="E728" t="s">
        <v>102</v>
      </c>
      <c r="G728" t="s">
        <v>114</v>
      </c>
      <c r="H728" t="s">
        <v>156</v>
      </c>
      <c r="I728">
        <v>2016</v>
      </c>
      <c r="J728" t="s">
        <v>162</v>
      </c>
      <c r="K728" t="s">
        <v>158</v>
      </c>
      <c r="L728" t="s">
        <v>1029</v>
      </c>
      <c r="M728" t="s">
        <v>1050</v>
      </c>
      <c r="N728">
        <v>1</v>
      </c>
      <c r="O728">
        <v>2020</v>
      </c>
      <c r="P728">
        <v>2469.2021262559529</v>
      </c>
      <c r="Q728">
        <v>1.414295330294598</v>
      </c>
      <c r="R728" t="s">
        <v>109</v>
      </c>
      <c r="S728">
        <v>1745.8886226695081</v>
      </c>
      <c r="T728">
        <v>0.66</v>
      </c>
      <c r="U728" t="s">
        <v>110</v>
      </c>
      <c r="V728">
        <v>0.66</v>
      </c>
      <c r="W728">
        <v>6</v>
      </c>
      <c r="X728">
        <v>20</v>
      </c>
      <c r="Y728">
        <v>14</v>
      </c>
      <c r="Z728">
        <v>0.24</v>
      </c>
      <c r="AA728">
        <v>31.536000000000001</v>
      </c>
    </row>
    <row r="729" spans="1:27" x14ac:dyDescent="0.25">
      <c r="A729" t="s">
        <v>98</v>
      </c>
      <c r="B729" t="s">
        <v>99</v>
      </c>
      <c r="C729" t="s">
        <v>1028</v>
      </c>
      <c r="D729" t="s">
        <v>101</v>
      </c>
      <c r="E729" t="s">
        <v>102</v>
      </c>
      <c r="G729" t="s">
        <v>114</v>
      </c>
      <c r="H729" t="s">
        <v>156</v>
      </c>
      <c r="I729">
        <v>2023</v>
      </c>
      <c r="J729" t="s">
        <v>164</v>
      </c>
      <c r="K729" t="s">
        <v>158</v>
      </c>
      <c r="L729" t="s">
        <v>1029</v>
      </c>
      <c r="M729" t="s">
        <v>1051</v>
      </c>
      <c r="N729">
        <v>1</v>
      </c>
      <c r="O729">
        <v>2023</v>
      </c>
      <c r="P729">
        <v>3865.2553631628971</v>
      </c>
      <c r="Q729">
        <v>1.414295330294598</v>
      </c>
      <c r="R729" t="s">
        <v>109</v>
      </c>
      <c r="S729">
        <v>2732.9902604979711</v>
      </c>
      <c r="T729">
        <v>0.83499999999999996</v>
      </c>
      <c r="U729" t="s">
        <v>110</v>
      </c>
      <c r="V729">
        <v>0.83499999999999996</v>
      </c>
      <c r="W729">
        <v>6</v>
      </c>
      <c r="X729">
        <v>20</v>
      </c>
      <c r="Y729">
        <v>14</v>
      </c>
      <c r="Z729">
        <v>0.24</v>
      </c>
      <c r="AA729">
        <v>31.536000000000001</v>
      </c>
    </row>
    <row r="730" spans="1:27" x14ac:dyDescent="0.25">
      <c r="A730" t="s">
        <v>98</v>
      </c>
      <c r="B730" t="s">
        <v>99</v>
      </c>
      <c r="C730" t="s">
        <v>1028</v>
      </c>
      <c r="D730" t="s">
        <v>101</v>
      </c>
      <c r="E730" t="s">
        <v>102</v>
      </c>
      <c r="G730" t="s">
        <v>119</v>
      </c>
      <c r="H730" t="s">
        <v>156</v>
      </c>
      <c r="I730">
        <v>2016</v>
      </c>
      <c r="J730" t="s">
        <v>166</v>
      </c>
      <c r="K730" t="s">
        <v>158</v>
      </c>
      <c r="L730" t="s">
        <v>1029</v>
      </c>
      <c r="M730" t="s">
        <v>1052</v>
      </c>
      <c r="N730">
        <v>0</v>
      </c>
      <c r="O730">
        <v>2020</v>
      </c>
      <c r="P730">
        <v>3749.5291546849662</v>
      </c>
      <c r="Q730">
        <v>1.414295330294598</v>
      </c>
      <c r="R730" t="s">
        <v>109</v>
      </c>
      <c r="S730">
        <v>2651.1642047944379</v>
      </c>
      <c r="T730">
        <v>0.81</v>
      </c>
      <c r="U730" t="s">
        <v>110</v>
      </c>
      <c r="V730">
        <v>0.81</v>
      </c>
      <c r="W730">
        <v>6</v>
      </c>
      <c r="X730">
        <v>20</v>
      </c>
      <c r="Y730">
        <v>14</v>
      </c>
      <c r="Z730">
        <v>0.24</v>
      </c>
      <c r="AA730">
        <v>31.536000000000001</v>
      </c>
    </row>
    <row r="731" spans="1:27" x14ac:dyDescent="0.25">
      <c r="A731" t="s">
        <v>98</v>
      </c>
      <c r="B731" t="s">
        <v>99</v>
      </c>
      <c r="C731" t="s">
        <v>1028</v>
      </c>
      <c r="D731" t="s">
        <v>101</v>
      </c>
      <c r="E731" t="s">
        <v>102</v>
      </c>
      <c r="G731" t="s">
        <v>119</v>
      </c>
      <c r="H731" t="s">
        <v>156</v>
      </c>
      <c r="I731">
        <v>2018</v>
      </c>
      <c r="J731" t="s">
        <v>168</v>
      </c>
      <c r="K731" t="s">
        <v>158</v>
      </c>
      <c r="L731" t="s">
        <v>1029</v>
      </c>
      <c r="M731" t="s">
        <v>1052</v>
      </c>
      <c r="N731">
        <v>1</v>
      </c>
      <c r="O731">
        <v>2020</v>
      </c>
      <c r="P731">
        <v>3749.5291546849662</v>
      </c>
      <c r="Q731">
        <v>1.414295330294598</v>
      </c>
      <c r="R731" t="s">
        <v>109</v>
      </c>
      <c r="S731">
        <v>2651.1642047944379</v>
      </c>
      <c r="T731">
        <v>0.81</v>
      </c>
      <c r="U731" t="s">
        <v>110</v>
      </c>
      <c r="V731">
        <v>0.81</v>
      </c>
      <c r="W731">
        <v>6</v>
      </c>
      <c r="X731">
        <v>20</v>
      </c>
      <c r="Y731">
        <v>14</v>
      </c>
      <c r="Z731">
        <v>0.24</v>
      </c>
      <c r="AA731">
        <v>31.536000000000001</v>
      </c>
    </row>
    <row r="732" spans="1:27" x14ac:dyDescent="0.25">
      <c r="A732" t="s">
        <v>98</v>
      </c>
      <c r="B732" t="s">
        <v>99</v>
      </c>
      <c r="C732" t="s">
        <v>1028</v>
      </c>
      <c r="D732" t="s">
        <v>101</v>
      </c>
      <c r="E732" t="s">
        <v>102</v>
      </c>
      <c r="G732" t="s">
        <v>111</v>
      </c>
      <c r="H732" t="s">
        <v>169</v>
      </c>
      <c r="I732">
        <v>2016</v>
      </c>
      <c r="J732" t="s">
        <v>170</v>
      </c>
      <c r="K732" t="s">
        <v>171</v>
      </c>
      <c r="L732" t="s">
        <v>1029</v>
      </c>
      <c r="M732" t="s">
        <v>1053</v>
      </c>
      <c r="N732">
        <v>0</v>
      </c>
      <c r="O732">
        <v>2020</v>
      </c>
      <c r="P732">
        <v>13412.949821637279</v>
      </c>
      <c r="Q732">
        <v>1.414295330294598</v>
      </c>
      <c r="R732" t="s">
        <v>109</v>
      </c>
      <c r="S732">
        <v>9483.8394317849834</v>
      </c>
      <c r="T732">
        <v>1</v>
      </c>
      <c r="U732" t="s">
        <v>173</v>
      </c>
      <c r="V732">
        <v>1</v>
      </c>
      <c r="W732">
        <v>15</v>
      </c>
      <c r="X732">
        <v>30</v>
      </c>
      <c r="Y732">
        <v>23</v>
      </c>
      <c r="Z732">
        <v>0.24</v>
      </c>
      <c r="AA732">
        <v>31.536000000000001</v>
      </c>
    </row>
    <row r="733" spans="1:27" x14ac:dyDescent="0.25">
      <c r="A733" t="s">
        <v>98</v>
      </c>
      <c r="B733" t="s">
        <v>99</v>
      </c>
      <c r="C733" t="s">
        <v>1028</v>
      </c>
      <c r="D733" t="s">
        <v>101</v>
      </c>
      <c r="E733" t="s">
        <v>102</v>
      </c>
      <c r="G733" t="s">
        <v>111</v>
      </c>
      <c r="H733" t="s">
        <v>169</v>
      </c>
      <c r="I733">
        <v>2020</v>
      </c>
      <c r="J733" t="s">
        <v>174</v>
      </c>
      <c r="K733" t="s">
        <v>171</v>
      </c>
      <c r="L733" t="s">
        <v>1029</v>
      </c>
      <c r="M733" t="s">
        <v>1053</v>
      </c>
      <c r="N733">
        <v>1</v>
      </c>
      <c r="O733">
        <v>2020</v>
      </c>
      <c r="P733">
        <v>13412.949821637279</v>
      </c>
      <c r="Q733">
        <v>1.414295330294598</v>
      </c>
      <c r="R733" t="s">
        <v>109</v>
      </c>
      <c r="S733">
        <v>9483.8394317849834</v>
      </c>
      <c r="T733">
        <v>1</v>
      </c>
      <c r="U733" t="s">
        <v>173</v>
      </c>
      <c r="V733">
        <v>1</v>
      </c>
      <c r="W733">
        <v>15</v>
      </c>
      <c r="X733">
        <v>30</v>
      </c>
      <c r="Y733">
        <v>23</v>
      </c>
      <c r="Z733">
        <v>0.24</v>
      </c>
      <c r="AA733">
        <v>31.536000000000001</v>
      </c>
    </row>
    <row r="734" spans="1:27" x14ac:dyDescent="0.25">
      <c r="A734" t="s">
        <v>98</v>
      </c>
      <c r="B734" t="s">
        <v>99</v>
      </c>
      <c r="C734" t="s">
        <v>1028</v>
      </c>
      <c r="D734" t="s">
        <v>101</v>
      </c>
      <c r="E734" t="s">
        <v>102</v>
      </c>
      <c r="G734" t="s">
        <v>111</v>
      </c>
      <c r="H734" t="s">
        <v>169</v>
      </c>
      <c r="I734">
        <v>2023</v>
      </c>
      <c r="J734" t="s">
        <v>175</v>
      </c>
      <c r="K734" t="s">
        <v>171</v>
      </c>
      <c r="L734" t="s">
        <v>1029</v>
      </c>
      <c r="M734" t="s">
        <v>1054</v>
      </c>
      <c r="N734">
        <v>1</v>
      </c>
      <c r="O734">
        <v>2023</v>
      </c>
      <c r="P734">
        <v>13412.949821637279</v>
      </c>
      <c r="Q734">
        <v>1.414295330294598</v>
      </c>
      <c r="R734" t="s">
        <v>109</v>
      </c>
      <c r="S734">
        <v>9483.8394317849834</v>
      </c>
      <c r="T734">
        <v>1</v>
      </c>
      <c r="U734" t="s">
        <v>173</v>
      </c>
      <c r="V734">
        <v>1</v>
      </c>
      <c r="W734">
        <v>15</v>
      </c>
      <c r="X734">
        <v>30</v>
      </c>
      <c r="Y734">
        <v>23</v>
      </c>
      <c r="Z734">
        <v>0.24</v>
      </c>
      <c r="AA734">
        <v>31.536000000000001</v>
      </c>
    </row>
    <row r="735" spans="1:27" x14ac:dyDescent="0.25">
      <c r="A735" t="s">
        <v>98</v>
      </c>
      <c r="B735" t="s">
        <v>99</v>
      </c>
      <c r="C735" t="s">
        <v>1028</v>
      </c>
      <c r="D735" t="s">
        <v>101</v>
      </c>
      <c r="E735" t="s">
        <v>102</v>
      </c>
      <c r="G735" t="s">
        <v>111</v>
      </c>
      <c r="H735" t="s">
        <v>169</v>
      </c>
      <c r="I735">
        <v>2024</v>
      </c>
      <c r="J735" t="s">
        <v>177</v>
      </c>
      <c r="K735" t="s">
        <v>171</v>
      </c>
      <c r="L735" t="s">
        <v>1029</v>
      </c>
      <c r="M735" t="s">
        <v>1055</v>
      </c>
      <c r="N735">
        <v>1</v>
      </c>
      <c r="O735">
        <v>2024</v>
      </c>
      <c r="P735">
        <v>13412.949821637279</v>
      </c>
      <c r="Q735">
        <v>1.414295330294598</v>
      </c>
      <c r="R735" t="s">
        <v>109</v>
      </c>
      <c r="S735">
        <v>9483.8394317849834</v>
      </c>
      <c r="T735">
        <v>1</v>
      </c>
      <c r="U735" t="s">
        <v>173</v>
      </c>
      <c r="V735">
        <v>1</v>
      </c>
      <c r="W735">
        <v>15</v>
      </c>
      <c r="X735">
        <v>30</v>
      </c>
      <c r="Y735">
        <v>23</v>
      </c>
      <c r="Z735">
        <v>0.24</v>
      </c>
      <c r="AA735">
        <v>31.536000000000001</v>
      </c>
    </row>
    <row r="736" spans="1:27" x14ac:dyDescent="0.25">
      <c r="A736" t="s">
        <v>98</v>
      </c>
      <c r="B736" t="s">
        <v>99</v>
      </c>
      <c r="C736" t="s">
        <v>1028</v>
      </c>
      <c r="D736" t="s">
        <v>101</v>
      </c>
      <c r="E736" t="s">
        <v>179</v>
      </c>
      <c r="F736" t="s">
        <v>180</v>
      </c>
      <c r="G736" t="s">
        <v>103</v>
      </c>
      <c r="H736" t="s">
        <v>125</v>
      </c>
      <c r="I736">
        <v>2016</v>
      </c>
      <c r="J736" t="s">
        <v>181</v>
      </c>
      <c r="K736" t="s">
        <v>127</v>
      </c>
      <c r="L736" t="s">
        <v>1056</v>
      </c>
      <c r="M736" t="s">
        <v>1057</v>
      </c>
      <c r="N736">
        <v>1</v>
      </c>
      <c r="O736">
        <v>2020</v>
      </c>
      <c r="P736">
        <v>2956.9457561336731</v>
      </c>
      <c r="Q736">
        <v>3.956165386225861</v>
      </c>
      <c r="R736" t="s">
        <v>109</v>
      </c>
      <c r="S736">
        <v>747.42723507688515</v>
      </c>
      <c r="T736">
        <v>2.4032825322391562</v>
      </c>
      <c r="U736" t="s">
        <v>184</v>
      </c>
      <c r="V736">
        <v>2.4032825322391562</v>
      </c>
      <c r="W736">
        <v>9</v>
      </c>
      <c r="X736">
        <v>22</v>
      </c>
      <c r="Y736">
        <v>16</v>
      </c>
      <c r="Z736">
        <v>8.7856310855373987E-2</v>
      </c>
      <c r="AA736">
        <v>31.536000000000001</v>
      </c>
    </row>
    <row r="737" spans="1:27" x14ac:dyDescent="0.25">
      <c r="A737" t="s">
        <v>98</v>
      </c>
      <c r="B737" t="s">
        <v>99</v>
      </c>
      <c r="C737" t="s">
        <v>1028</v>
      </c>
      <c r="D737" t="s">
        <v>101</v>
      </c>
      <c r="E737" t="s">
        <v>179</v>
      </c>
      <c r="F737" t="s">
        <v>180</v>
      </c>
      <c r="G737" t="s">
        <v>103</v>
      </c>
      <c r="H737" t="s">
        <v>125</v>
      </c>
      <c r="I737">
        <v>2023</v>
      </c>
      <c r="J737" t="s">
        <v>185</v>
      </c>
      <c r="K737" t="s">
        <v>127</v>
      </c>
      <c r="L737" t="s">
        <v>1056</v>
      </c>
      <c r="M737" t="s">
        <v>1058</v>
      </c>
      <c r="N737">
        <v>1</v>
      </c>
      <c r="O737">
        <v>2023</v>
      </c>
      <c r="P737">
        <v>2956.9457561336731</v>
      </c>
      <c r="Q737">
        <v>3.956165386225861</v>
      </c>
      <c r="R737" t="s">
        <v>109</v>
      </c>
      <c r="S737">
        <v>747.42723507688515</v>
      </c>
      <c r="T737">
        <v>2.4032825322391562</v>
      </c>
      <c r="U737" t="s">
        <v>184</v>
      </c>
      <c r="V737">
        <v>2.4032825322391562</v>
      </c>
      <c r="W737">
        <v>9</v>
      </c>
      <c r="X737">
        <v>22</v>
      </c>
      <c r="Y737">
        <v>16</v>
      </c>
      <c r="Z737">
        <v>8.7856310855373987E-2</v>
      </c>
      <c r="AA737">
        <v>31.536000000000001</v>
      </c>
    </row>
    <row r="738" spans="1:27" x14ac:dyDescent="0.25">
      <c r="A738" t="s">
        <v>98</v>
      </c>
      <c r="B738" t="s">
        <v>99</v>
      </c>
      <c r="C738" t="s">
        <v>1028</v>
      </c>
      <c r="D738" t="s">
        <v>101</v>
      </c>
      <c r="E738" t="s">
        <v>179</v>
      </c>
      <c r="F738" t="s">
        <v>180</v>
      </c>
      <c r="G738" t="s">
        <v>111</v>
      </c>
      <c r="H738" t="s">
        <v>125</v>
      </c>
      <c r="I738">
        <v>2016</v>
      </c>
      <c r="J738" t="s">
        <v>187</v>
      </c>
      <c r="K738" t="s">
        <v>127</v>
      </c>
      <c r="L738" t="s">
        <v>1056</v>
      </c>
      <c r="M738" t="s">
        <v>1059</v>
      </c>
      <c r="N738">
        <v>1</v>
      </c>
      <c r="O738">
        <v>2020</v>
      </c>
      <c r="P738">
        <v>3109.3656404704602</v>
      </c>
      <c r="Q738">
        <v>3.956165386225861</v>
      </c>
      <c r="R738" t="s">
        <v>109</v>
      </c>
      <c r="S738">
        <v>785.95441214270397</v>
      </c>
      <c r="T738">
        <v>2.5205158264947238</v>
      </c>
      <c r="U738" t="s">
        <v>184</v>
      </c>
      <c r="V738">
        <v>2.5205158264947238</v>
      </c>
      <c r="W738">
        <v>9</v>
      </c>
      <c r="X738">
        <v>22</v>
      </c>
      <c r="Y738">
        <v>16</v>
      </c>
      <c r="Z738">
        <v>8.7856310855373987E-2</v>
      </c>
      <c r="AA738">
        <v>31.536000000000001</v>
      </c>
    </row>
    <row r="739" spans="1:27" x14ac:dyDescent="0.25">
      <c r="A739" t="s">
        <v>98</v>
      </c>
      <c r="B739" t="s">
        <v>99</v>
      </c>
      <c r="C739" t="s">
        <v>1028</v>
      </c>
      <c r="D739" t="s">
        <v>101</v>
      </c>
      <c r="E739" t="s">
        <v>179</v>
      </c>
      <c r="F739" t="s">
        <v>180</v>
      </c>
      <c r="G739" t="s">
        <v>111</v>
      </c>
      <c r="H739" t="s">
        <v>125</v>
      </c>
      <c r="I739">
        <v>2023</v>
      </c>
      <c r="J739" t="s">
        <v>189</v>
      </c>
      <c r="K739" t="s">
        <v>127</v>
      </c>
      <c r="L739" t="s">
        <v>1056</v>
      </c>
      <c r="M739" t="s">
        <v>1060</v>
      </c>
      <c r="N739">
        <v>1</v>
      </c>
      <c r="O739">
        <v>2023</v>
      </c>
      <c r="P739">
        <v>3139.8496173378171</v>
      </c>
      <c r="Q739">
        <v>3.956165386225861</v>
      </c>
      <c r="R739" t="s">
        <v>109</v>
      </c>
      <c r="S739">
        <v>793.65984755586771</v>
      </c>
      <c r="T739">
        <v>2.5791324736225092</v>
      </c>
      <c r="U739" t="s">
        <v>184</v>
      </c>
      <c r="V739">
        <v>2.5791324736225092</v>
      </c>
      <c r="W739">
        <v>9</v>
      </c>
      <c r="X739">
        <v>22</v>
      </c>
      <c r="Y739">
        <v>16</v>
      </c>
      <c r="Z739">
        <v>8.7856310855373987E-2</v>
      </c>
      <c r="AA739">
        <v>31.536000000000001</v>
      </c>
    </row>
    <row r="740" spans="1:27" x14ac:dyDescent="0.25">
      <c r="A740" t="s">
        <v>98</v>
      </c>
      <c r="B740" t="s">
        <v>99</v>
      </c>
      <c r="C740" t="s">
        <v>1028</v>
      </c>
      <c r="D740" t="s">
        <v>101</v>
      </c>
      <c r="E740" t="s">
        <v>179</v>
      </c>
      <c r="F740" t="s">
        <v>180</v>
      </c>
      <c r="G740" t="s">
        <v>114</v>
      </c>
      <c r="H740" t="s">
        <v>125</v>
      </c>
      <c r="I740">
        <v>2016</v>
      </c>
      <c r="J740" t="s">
        <v>191</v>
      </c>
      <c r="K740" t="s">
        <v>127</v>
      </c>
      <c r="L740" t="s">
        <v>1056</v>
      </c>
      <c r="M740" t="s">
        <v>1061</v>
      </c>
      <c r="N740">
        <v>1</v>
      </c>
      <c r="O740">
        <v>2020</v>
      </c>
      <c r="P740">
        <v>3017.9137098683868</v>
      </c>
      <c r="Q740">
        <v>3.956165386225861</v>
      </c>
      <c r="R740" t="s">
        <v>109</v>
      </c>
      <c r="S740">
        <v>762.83810590321264</v>
      </c>
      <c r="T740">
        <v>2.4912075029308318</v>
      </c>
      <c r="U740" t="s">
        <v>184</v>
      </c>
      <c r="V740">
        <v>2.4912075029308318</v>
      </c>
      <c r="W740">
        <v>9</v>
      </c>
      <c r="X740">
        <v>22</v>
      </c>
      <c r="Y740">
        <v>16</v>
      </c>
      <c r="Z740">
        <v>8.7856310855373987E-2</v>
      </c>
      <c r="AA740">
        <v>31.536000000000001</v>
      </c>
    </row>
    <row r="741" spans="1:27" x14ac:dyDescent="0.25">
      <c r="A741" t="s">
        <v>98</v>
      </c>
      <c r="B741" t="s">
        <v>99</v>
      </c>
      <c r="C741" t="s">
        <v>1028</v>
      </c>
      <c r="D741" t="s">
        <v>101</v>
      </c>
      <c r="E741" t="s">
        <v>179</v>
      </c>
      <c r="F741" t="s">
        <v>180</v>
      </c>
      <c r="G741" t="s">
        <v>114</v>
      </c>
      <c r="H741" t="s">
        <v>125</v>
      </c>
      <c r="I741">
        <v>2022</v>
      </c>
      <c r="J741" t="s">
        <v>193</v>
      </c>
      <c r="K741" t="s">
        <v>127</v>
      </c>
      <c r="L741" t="s">
        <v>1056</v>
      </c>
      <c r="M741" t="s">
        <v>1062</v>
      </c>
      <c r="N741">
        <v>1</v>
      </c>
      <c r="O741">
        <v>2022</v>
      </c>
      <c r="P741">
        <v>3017.9137098683868</v>
      </c>
      <c r="Q741">
        <v>3.956165386225861</v>
      </c>
      <c r="R741" t="s">
        <v>109</v>
      </c>
      <c r="S741">
        <v>762.83810590321264</v>
      </c>
      <c r="T741">
        <v>2.4912075029308318</v>
      </c>
      <c r="U741" t="s">
        <v>184</v>
      </c>
      <c r="V741">
        <v>2.4912075029308318</v>
      </c>
      <c r="W741">
        <v>9</v>
      </c>
      <c r="X741">
        <v>22</v>
      </c>
      <c r="Y741">
        <v>16</v>
      </c>
      <c r="Z741">
        <v>8.7856310855373987E-2</v>
      </c>
      <c r="AA741">
        <v>31.536000000000001</v>
      </c>
    </row>
    <row r="742" spans="1:27" x14ac:dyDescent="0.25">
      <c r="A742" t="s">
        <v>98</v>
      </c>
      <c r="B742" t="s">
        <v>99</v>
      </c>
      <c r="C742" t="s">
        <v>1028</v>
      </c>
      <c r="D742" t="s">
        <v>101</v>
      </c>
      <c r="E742" t="s">
        <v>179</v>
      </c>
      <c r="F742" t="s">
        <v>180</v>
      </c>
      <c r="G742" t="s">
        <v>114</v>
      </c>
      <c r="H742" t="s">
        <v>125</v>
      </c>
      <c r="I742">
        <v>2023</v>
      </c>
      <c r="J742" t="s">
        <v>195</v>
      </c>
      <c r="K742" t="s">
        <v>127</v>
      </c>
      <c r="L742" t="s">
        <v>1056</v>
      </c>
      <c r="M742" t="s">
        <v>1063</v>
      </c>
      <c r="N742">
        <v>1</v>
      </c>
      <c r="O742">
        <v>2023</v>
      </c>
      <c r="P742">
        <v>3266.447780092843</v>
      </c>
      <c r="Q742">
        <v>3.956165386225861</v>
      </c>
      <c r="R742" t="s">
        <v>109</v>
      </c>
      <c r="S742">
        <v>825.6600675658301</v>
      </c>
      <c r="T742">
        <v>2.6963657678780768</v>
      </c>
      <c r="U742" t="s">
        <v>184</v>
      </c>
      <c r="V742">
        <v>2.6963657678780768</v>
      </c>
      <c r="W742">
        <v>9</v>
      </c>
      <c r="X742">
        <v>22</v>
      </c>
      <c r="Y742">
        <v>16</v>
      </c>
      <c r="Z742">
        <v>8.7856310855373987E-2</v>
      </c>
      <c r="AA742">
        <v>31.536000000000001</v>
      </c>
    </row>
    <row r="743" spans="1:27" x14ac:dyDescent="0.25">
      <c r="A743" t="s">
        <v>98</v>
      </c>
      <c r="B743" t="s">
        <v>99</v>
      </c>
      <c r="C743" t="s">
        <v>1028</v>
      </c>
      <c r="D743" t="s">
        <v>101</v>
      </c>
      <c r="E743" t="s">
        <v>179</v>
      </c>
      <c r="F743" t="s">
        <v>180</v>
      </c>
      <c r="G743" t="s">
        <v>119</v>
      </c>
      <c r="H743" t="s">
        <v>125</v>
      </c>
      <c r="I743">
        <v>2016</v>
      </c>
      <c r="J743" t="s">
        <v>197</v>
      </c>
      <c r="K743" t="s">
        <v>127</v>
      </c>
      <c r="L743" t="s">
        <v>1056</v>
      </c>
      <c r="M743" t="s">
        <v>1064</v>
      </c>
      <c r="N743">
        <v>1</v>
      </c>
      <c r="O743">
        <v>2020</v>
      </c>
      <c r="P743">
        <v>3719.0451778176089</v>
      </c>
      <c r="Q743">
        <v>3.956165386225861</v>
      </c>
      <c r="R743" t="s">
        <v>109</v>
      </c>
      <c r="S743">
        <v>940.06312040597936</v>
      </c>
      <c r="T743">
        <v>2.6377491207502932</v>
      </c>
      <c r="U743" t="s">
        <v>184</v>
      </c>
      <c r="V743">
        <v>2.6377491207502932</v>
      </c>
      <c r="W743">
        <v>9</v>
      </c>
      <c r="X743">
        <v>22</v>
      </c>
      <c r="Y743">
        <v>16</v>
      </c>
      <c r="Z743">
        <v>8.7856310855373987E-2</v>
      </c>
      <c r="AA743">
        <v>31.536000000000001</v>
      </c>
    </row>
    <row r="744" spans="1:27" x14ac:dyDescent="0.25">
      <c r="A744" t="s">
        <v>98</v>
      </c>
      <c r="B744" t="s">
        <v>99</v>
      </c>
      <c r="C744" t="s">
        <v>1028</v>
      </c>
      <c r="D744" t="s">
        <v>101</v>
      </c>
      <c r="E744" t="s">
        <v>179</v>
      </c>
      <c r="F744" t="s">
        <v>180</v>
      </c>
      <c r="G744" t="s">
        <v>119</v>
      </c>
      <c r="H744" t="s">
        <v>125</v>
      </c>
      <c r="I744">
        <v>2022</v>
      </c>
      <c r="J744" t="s">
        <v>199</v>
      </c>
      <c r="K744" t="s">
        <v>127</v>
      </c>
      <c r="L744" t="s">
        <v>1056</v>
      </c>
      <c r="M744" t="s">
        <v>1065</v>
      </c>
      <c r="N744">
        <v>1</v>
      </c>
      <c r="O744">
        <v>2022</v>
      </c>
      <c r="P744">
        <v>3914.784397702746</v>
      </c>
      <c r="Q744">
        <v>3.956165386225861</v>
      </c>
      <c r="R744" t="s">
        <v>109</v>
      </c>
      <c r="S744">
        <v>989.54012674313606</v>
      </c>
      <c r="T744">
        <v>2.9308323563892151</v>
      </c>
      <c r="U744" t="s">
        <v>184</v>
      </c>
      <c r="V744">
        <v>2.9308323563892151</v>
      </c>
      <c r="W744">
        <v>9</v>
      </c>
      <c r="X744">
        <v>22</v>
      </c>
      <c r="Y744">
        <v>16</v>
      </c>
      <c r="Z744">
        <v>8.7856310855373987E-2</v>
      </c>
      <c r="AA744">
        <v>31.536000000000001</v>
      </c>
    </row>
    <row r="745" spans="1:27" x14ac:dyDescent="0.25">
      <c r="A745" t="s">
        <v>98</v>
      </c>
      <c r="B745" t="s">
        <v>99</v>
      </c>
      <c r="C745" t="s">
        <v>1028</v>
      </c>
      <c r="D745" t="s">
        <v>101</v>
      </c>
      <c r="E745" t="s">
        <v>179</v>
      </c>
      <c r="F745" t="s">
        <v>201</v>
      </c>
      <c r="G745" t="s">
        <v>103</v>
      </c>
      <c r="H745" t="s">
        <v>125</v>
      </c>
      <c r="I745">
        <v>2016</v>
      </c>
      <c r="J745" t="s">
        <v>202</v>
      </c>
      <c r="K745" t="s">
        <v>127</v>
      </c>
      <c r="L745" t="s">
        <v>1056</v>
      </c>
      <c r="M745" t="s">
        <v>1066</v>
      </c>
      <c r="N745">
        <v>1</v>
      </c>
      <c r="O745">
        <v>2020</v>
      </c>
      <c r="P745">
        <v>9511.0007826155233</v>
      </c>
      <c r="Q745">
        <v>3.956165386225861</v>
      </c>
      <c r="R745" t="s">
        <v>109</v>
      </c>
      <c r="S745">
        <v>2404.095848907094</v>
      </c>
      <c r="T745">
        <v>3.2</v>
      </c>
      <c r="U745" t="s">
        <v>184</v>
      </c>
      <c r="V745">
        <v>3.2</v>
      </c>
      <c r="W745">
        <v>8</v>
      </c>
      <c r="X745">
        <v>20.8</v>
      </c>
      <c r="Y745">
        <v>15</v>
      </c>
      <c r="Z745">
        <v>8.7856310855373987E-2</v>
      </c>
      <c r="AA745">
        <v>31.536000000000001</v>
      </c>
    </row>
    <row r="746" spans="1:27" x14ac:dyDescent="0.25">
      <c r="A746" t="s">
        <v>98</v>
      </c>
      <c r="B746" t="s">
        <v>99</v>
      </c>
      <c r="C746" t="s">
        <v>1028</v>
      </c>
      <c r="D746" t="s">
        <v>101</v>
      </c>
      <c r="E746" t="s">
        <v>179</v>
      </c>
      <c r="F746" t="s">
        <v>201</v>
      </c>
      <c r="G746" t="s">
        <v>111</v>
      </c>
      <c r="H746" t="s">
        <v>125</v>
      </c>
      <c r="I746">
        <v>2016</v>
      </c>
      <c r="J746" t="s">
        <v>204</v>
      </c>
      <c r="K746" t="s">
        <v>127</v>
      </c>
      <c r="L746" t="s">
        <v>1056</v>
      </c>
      <c r="M746" t="s">
        <v>1067</v>
      </c>
      <c r="N746">
        <v>1</v>
      </c>
      <c r="O746">
        <v>2020</v>
      </c>
      <c r="P746">
        <v>9846.3245281564559</v>
      </c>
      <c r="Q746">
        <v>3.956165386225861</v>
      </c>
      <c r="R746" t="s">
        <v>109</v>
      </c>
      <c r="S746">
        <v>2488.8556384518961</v>
      </c>
      <c r="T746">
        <v>3.7</v>
      </c>
      <c r="U746" t="s">
        <v>184</v>
      </c>
      <c r="V746">
        <v>3.7</v>
      </c>
      <c r="W746">
        <v>8</v>
      </c>
      <c r="X746">
        <v>20.8</v>
      </c>
      <c r="Y746">
        <v>15</v>
      </c>
      <c r="Z746">
        <v>8.7856310855373987E-2</v>
      </c>
      <c r="AA746">
        <v>31.536000000000001</v>
      </c>
    </row>
    <row r="747" spans="1:27" x14ac:dyDescent="0.25">
      <c r="A747" t="s">
        <v>98</v>
      </c>
      <c r="B747" t="s">
        <v>99</v>
      </c>
      <c r="C747" t="s">
        <v>1028</v>
      </c>
      <c r="D747" t="s">
        <v>101</v>
      </c>
      <c r="E747" t="s">
        <v>179</v>
      </c>
      <c r="F747" t="s">
        <v>201</v>
      </c>
      <c r="G747" t="s">
        <v>114</v>
      </c>
      <c r="H747" t="s">
        <v>125</v>
      </c>
      <c r="I747">
        <v>2016</v>
      </c>
      <c r="J747" t="s">
        <v>206</v>
      </c>
      <c r="K747" t="s">
        <v>127</v>
      </c>
      <c r="L747" t="s">
        <v>1056</v>
      </c>
      <c r="M747" t="s">
        <v>1068</v>
      </c>
      <c r="N747">
        <v>0</v>
      </c>
      <c r="O747">
        <v>2020</v>
      </c>
      <c r="P747">
        <v>9846.3245281564559</v>
      </c>
      <c r="Q747">
        <v>3.956165386225861</v>
      </c>
      <c r="R747" t="s">
        <v>109</v>
      </c>
      <c r="S747">
        <v>2488.8556384518961</v>
      </c>
      <c r="T747">
        <v>3.6</v>
      </c>
      <c r="U747" t="s">
        <v>184</v>
      </c>
      <c r="V747">
        <v>3.6</v>
      </c>
      <c r="W747">
        <v>8</v>
      </c>
      <c r="X747">
        <v>20.8</v>
      </c>
      <c r="Y747">
        <v>15</v>
      </c>
      <c r="Z747">
        <v>8.7856310855373987E-2</v>
      </c>
      <c r="AA747">
        <v>31.536000000000001</v>
      </c>
    </row>
    <row r="748" spans="1:27" x14ac:dyDescent="0.25">
      <c r="A748" t="s">
        <v>98</v>
      </c>
      <c r="B748" t="s">
        <v>99</v>
      </c>
      <c r="C748" t="s">
        <v>1028</v>
      </c>
      <c r="D748" t="s">
        <v>101</v>
      </c>
      <c r="E748" t="s">
        <v>179</v>
      </c>
      <c r="F748" t="s">
        <v>201</v>
      </c>
      <c r="G748" t="s">
        <v>114</v>
      </c>
      <c r="H748" t="s">
        <v>125</v>
      </c>
      <c r="I748">
        <v>2020</v>
      </c>
      <c r="J748" t="s">
        <v>208</v>
      </c>
      <c r="K748" t="s">
        <v>127</v>
      </c>
      <c r="L748" t="s">
        <v>1056</v>
      </c>
      <c r="M748" t="s">
        <v>1068</v>
      </c>
      <c r="N748">
        <v>1</v>
      </c>
      <c r="O748">
        <v>2020</v>
      </c>
      <c r="P748">
        <v>9846.3245281564559</v>
      </c>
      <c r="Q748">
        <v>3.956165386225861</v>
      </c>
      <c r="R748" t="s">
        <v>109</v>
      </c>
      <c r="S748">
        <v>2488.8556384518961</v>
      </c>
      <c r="T748">
        <v>3.6</v>
      </c>
      <c r="U748" t="s">
        <v>184</v>
      </c>
      <c r="V748">
        <v>3.6</v>
      </c>
      <c r="W748">
        <v>8</v>
      </c>
      <c r="X748">
        <v>20.8</v>
      </c>
      <c r="Y748">
        <v>15</v>
      </c>
      <c r="Z748">
        <v>8.7856310855373987E-2</v>
      </c>
      <c r="AA748">
        <v>31.536000000000001</v>
      </c>
    </row>
    <row r="749" spans="1:27" x14ac:dyDescent="0.25">
      <c r="A749" t="s">
        <v>98</v>
      </c>
      <c r="B749" t="s">
        <v>99</v>
      </c>
      <c r="C749" t="s">
        <v>1028</v>
      </c>
      <c r="D749" t="s">
        <v>101</v>
      </c>
      <c r="E749" t="s">
        <v>179</v>
      </c>
      <c r="F749" t="s">
        <v>201</v>
      </c>
      <c r="G749" t="s">
        <v>114</v>
      </c>
      <c r="H749" t="s">
        <v>125</v>
      </c>
      <c r="I749">
        <v>2022</v>
      </c>
      <c r="J749" t="s">
        <v>209</v>
      </c>
      <c r="K749" t="s">
        <v>127</v>
      </c>
      <c r="L749" t="s">
        <v>1056</v>
      </c>
      <c r="M749" t="s">
        <v>1069</v>
      </c>
      <c r="N749">
        <v>1</v>
      </c>
      <c r="O749">
        <v>2022</v>
      </c>
      <c r="P749">
        <v>9846.3245281564559</v>
      </c>
      <c r="Q749">
        <v>3.956165386225861</v>
      </c>
      <c r="R749" t="s">
        <v>109</v>
      </c>
      <c r="S749">
        <v>2488.8556384518961</v>
      </c>
      <c r="T749">
        <v>3.6</v>
      </c>
      <c r="U749" t="s">
        <v>184</v>
      </c>
      <c r="V749">
        <v>3.6</v>
      </c>
      <c r="W749">
        <v>8</v>
      </c>
      <c r="X749">
        <v>20.8</v>
      </c>
      <c r="Y749">
        <v>15</v>
      </c>
      <c r="Z749">
        <v>8.7856310855373987E-2</v>
      </c>
      <c r="AA749">
        <v>31.536000000000001</v>
      </c>
    </row>
    <row r="750" spans="1:27" x14ac:dyDescent="0.25">
      <c r="A750" t="s">
        <v>98</v>
      </c>
      <c r="B750" t="s">
        <v>99</v>
      </c>
      <c r="C750" t="s">
        <v>1028</v>
      </c>
      <c r="D750" t="s">
        <v>101</v>
      </c>
      <c r="E750" t="s">
        <v>179</v>
      </c>
      <c r="F750" t="s">
        <v>201</v>
      </c>
      <c r="G750" t="s">
        <v>114</v>
      </c>
      <c r="H750" t="s">
        <v>125</v>
      </c>
      <c r="I750">
        <v>2023</v>
      </c>
      <c r="J750" t="s">
        <v>211</v>
      </c>
      <c r="K750" t="s">
        <v>127</v>
      </c>
      <c r="L750" t="s">
        <v>1056</v>
      </c>
      <c r="M750" t="s">
        <v>1070</v>
      </c>
      <c r="N750">
        <v>1</v>
      </c>
      <c r="O750">
        <v>2023</v>
      </c>
      <c r="P750">
        <v>9846.3245281564559</v>
      </c>
      <c r="Q750">
        <v>3.956165386225861</v>
      </c>
      <c r="R750" t="s">
        <v>109</v>
      </c>
      <c r="S750">
        <v>2488.8556384518961</v>
      </c>
      <c r="T750">
        <v>3.6</v>
      </c>
      <c r="U750" t="s">
        <v>184</v>
      </c>
      <c r="V750">
        <v>3.6</v>
      </c>
      <c r="W750">
        <v>8</v>
      </c>
      <c r="X750">
        <v>20.8</v>
      </c>
      <c r="Y750">
        <v>15</v>
      </c>
      <c r="Z750">
        <v>8.7856310855373987E-2</v>
      </c>
      <c r="AA750">
        <v>31.536000000000001</v>
      </c>
    </row>
    <row r="751" spans="1:27" x14ac:dyDescent="0.25">
      <c r="A751" t="s">
        <v>98</v>
      </c>
      <c r="B751" t="s">
        <v>99</v>
      </c>
      <c r="C751" t="s">
        <v>1028</v>
      </c>
      <c r="D751" t="s">
        <v>101</v>
      </c>
      <c r="E751" t="s">
        <v>179</v>
      </c>
      <c r="F751" t="s">
        <v>201</v>
      </c>
      <c r="G751" t="s">
        <v>114</v>
      </c>
      <c r="H751" t="s">
        <v>125</v>
      </c>
      <c r="I751">
        <v>2024</v>
      </c>
      <c r="J751" t="s">
        <v>213</v>
      </c>
      <c r="K751" t="s">
        <v>127</v>
      </c>
      <c r="L751" t="s">
        <v>1056</v>
      </c>
      <c r="M751" t="s">
        <v>1071</v>
      </c>
      <c r="N751">
        <v>1</v>
      </c>
      <c r="O751">
        <v>2024</v>
      </c>
      <c r="P751">
        <v>9846.3245281564559</v>
      </c>
      <c r="Q751">
        <v>3.956165386225861</v>
      </c>
      <c r="R751" t="s">
        <v>109</v>
      </c>
      <c r="S751">
        <v>2488.8556384518961</v>
      </c>
      <c r="T751">
        <v>3.6</v>
      </c>
      <c r="U751" t="s">
        <v>184</v>
      </c>
      <c r="V751">
        <v>3.6</v>
      </c>
      <c r="W751">
        <v>8</v>
      </c>
      <c r="X751">
        <v>20.8</v>
      </c>
      <c r="Y751">
        <v>15</v>
      </c>
      <c r="Z751">
        <v>8.7856310855373987E-2</v>
      </c>
      <c r="AA751">
        <v>31.536000000000001</v>
      </c>
    </row>
    <row r="752" spans="1:27" x14ac:dyDescent="0.25">
      <c r="A752" t="s">
        <v>98</v>
      </c>
      <c r="B752" t="s">
        <v>99</v>
      </c>
      <c r="C752" t="s">
        <v>1028</v>
      </c>
      <c r="D752" t="s">
        <v>101</v>
      </c>
      <c r="E752" t="s">
        <v>179</v>
      </c>
      <c r="F752" t="s">
        <v>201</v>
      </c>
      <c r="G752" t="s">
        <v>119</v>
      </c>
      <c r="H752" t="s">
        <v>125</v>
      </c>
      <c r="I752">
        <v>2016</v>
      </c>
      <c r="J752" t="s">
        <v>215</v>
      </c>
      <c r="K752" t="s">
        <v>127</v>
      </c>
      <c r="L752" t="s">
        <v>1056</v>
      </c>
      <c r="M752" t="s">
        <v>1072</v>
      </c>
      <c r="N752">
        <v>0</v>
      </c>
      <c r="O752">
        <v>2020</v>
      </c>
      <c r="P752">
        <v>10395.03611176889</v>
      </c>
      <c r="Q752">
        <v>3.956165386225861</v>
      </c>
      <c r="R752" t="s">
        <v>109</v>
      </c>
      <c r="S752">
        <v>2627.5534758888439</v>
      </c>
      <c r="T752">
        <v>4.5</v>
      </c>
      <c r="U752" t="s">
        <v>184</v>
      </c>
      <c r="V752">
        <v>4.5</v>
      </c>
      <c r="W752">
        <v>8</v>
      </c>
      <c r="X752">
        <v>20.8</v>
      </c>
      <c r="Y752">
        <v>15</v>
      </c>
      <c r="Z752">
        <v>8.7856310855373987E-2</v>
      </c>
      <c r="AA752">
        <v>31.536000000000001</v>
      </c>
    </row>
    <row r="753" spans="1:27" x14ac:dyDescent="0.25">
      <c r="A753" t="s">
        <v>98</v>
      </c>
      <c r="B753" t="s">
        <v>99</v>
      </c>
      <c r="C753" t="s">
        <v>1028</v>
      </c>
      <c r="D753" t="s">
        <v>101</v>
      </c>
      <c r="E753" t="s">
        <v>179</v>
      </c>
      <c r="F753" t="s">
        <v>201</v>
      </c>
      <c r="G753" t="s">
        <v>119</v>
      </c>
      <c r="H753" t="s">
        <v>125</v>
      </c>
      <c r="I753">
        <v>2020</v>
      </c>
      <c r="J753" t="s">
        <v>217</v>
      </c>
      <c r="K753" t="s">
        <v>127</v>
      </c>
      <c r="L753" t="s">
        <v>1056</v>
      </c>
      <c r="M753" t="s">
        <v>1072</v>
      </c>
      <c r="N753">
        <v>1</v>
      </c>
      <c r="O753">
        <v>2020</v>
      </c>
      <c r="P753">
        <v>10395.03611176889</v>
      </c>
      <c r="Q753">
        <v>3.956165386225861</v>
      </c>
      <c r="R753" t="s">
        <v>109</v>
      </c>
      <c r="S753">
        <v>2627.5534758888439</v>
      </c>
      <c r="T753">
        <v>4.5</v>
      </c>
      <c r="U753" t="s">
        <v>184</v>
      </c>
      <c r="V753">
        <v>4.5</v>
      </c>
      <c r="W753">
        <v>8</v>
      </c>
      <c r="X753">
        <v>20.8</v>
      </c>
      <c r="Y753">
        <v>15</v>
      </c>
      <c r="Z753">
        <v>8.7856310855373987E-2</v>
      </c>
      <c r="AA753">
        <v>31.536000000000001</v>
      </c>
    </row>
    <row r="754" spans="1:27" x14ac:dyDescent="0.25">
      <c r="A754" t="s">
        <v>98</v>
      </c>
      <c r="B754" t="s">
        <v>99</v>
      </c>
      <c r="C754" t="s">
        <v>1028</v>
      </c>
      <c r="D754" t="s">
        <v>101</v>
      </c>
      <c r="E754" t="s">
        <v>179</v>
      </c>
      <c r="F754" t="s">
        <v>201</v>
      </c>
      <c r="G754" t="s">
        <v>119</v>
      </c>
      <c r="H754" t="s">
        <v>125</v>
      </c>
      <c r="I754">
        <v>2022</v>
      </c>
      <c r="J754" t="s">
        <v>218</v>
      </c>
      <c r="K754" t="s">
        <v>127</v>
      </c>
      <c r="L754" t="s">
        <v>1056</v>
      </c>
      <c r="M754" t="s">
        <v>1073</v>
      </c>
      <c r="N754">
        <v>1</v>
      </c>
      <c r="O754">
        <v>2022</v>
      </c>
      <c r="P754">
        <v>10395.03611176889</v>
      </c>
      <c r="Q754">
        <v>3.956165386225861</v>
      </c>
      <c r="R754" t="s">
        <v>109</v>
      </c>
      <c r="S754">
        <v>2627.5534758888439</v>
      </c>
      <c r="T754">
        <v>4.5</v>
      </c>
      <c r="U754" t="s">
        <v>184</v>
      </c>
      <c r="V754">
        <v>4.5</v>
      </c>
      <c r="W754">
        <v>8</v>
      </c>
      <c r="X754">
        <v>20.8</v>
      </c>
      <c r="Y754">
        <v>15</v>
      </c>
      <c r="Z754">
        <v>8.7856310855373987E-2</v>
      </c>
      <c r="AA754">
        <v>31.536000000000001</v>
      </c>
    </row>
    <row r="755" spans="1:27" x14ac:dyDescent="0.25">
      <c r="A755" t="s">
        <v>98</v>
      </c>
      <c r="B755" t="s">
        <v>99</v>
      </c>
      <c r="C755" t="s">
        <v>1028</v>
      </c>
      <c r="D755" t="s">
        <v>101</v>
      </c>
      <c r="E755" t="s">
        <v>179</v>
      </c>
      <c r="F755" t="s">
        <v>201</v>
      </c>
      <c r="G755" t="s">
        <v>119</v>
      </c>
      <c r="H755" t="s">
        <v>125</v>
      </c>
      <c r="I755">
        <v>2023</v>
      </c>
      <c r="J755" t="s">
        <v>220</v>
      </c>
      <c r="K755" t="s">
        <v>127</v>
      </c>
      <c r="L755" t="s">
        <v>1056</v>
      </c>
      <c r="M755" t="s">
        <v>1074</v>
      </c>
      <c r="N755">
        <v>1</v>
      </c>
      <c r="O755">
        <v>2023</v>
      </c>
      <c r="P755">
        <v>10395.03611176889</v>
      </c>
      <c r="Q755">
        <v>3.956165386225861</v>
      </c>
      <c r="R755" t="s">
        <v>109</v>
      </c>
      <c r="S755">
        <v>2627.5534758888439</v>
      </c>
      <c r="T755">
        <v>4.5</v>
      </c>
      <c r="U755" t="s">
        <v>184</v>
      </c>
      <c r="V755">
        <v>4.5</v>
      </c>
      <c r="W755">
        <v>8</v>
      </c>
      <c r="X755">
        <v>20.8</v>
      </c>
      <c r="Y755">
        <v>15</v>
      </c>
      <c r="Z755">
        <v>8.7856310855373987E-2</v>
      </c>
      <c r="AA755">
        <v>31.536000000000001</v>
      </c>
    </row>
    <row r="756" spans="1:27" x14ac:dyDescent="0.25">
      <c r="A756" t="s">
        <v>98</v>
      </c>
      <c r="B756" t="s">
        <v>99</v>
      </c>
      <c r="C756" t="s">
        <v>1028</v>
      </c>
      <c r="D756" t="s">
        <v>101</v>
      </c>
      <c r="E756" t="s">
        <v>179</v>
      </c>
      <c r="F756" t="s">
        <v>201</v>
      </c>
      <c r="G756" t="s">
        <v>119</v>
      </c>
      <c r="H756" t="s">
        <v>125</v>
      </c>
      <c r="I756">
        <v>2024</v>
      </c>
      <c r="J756" t="s">
        <v>222</v>
      </c>
      <c r="K756" t="s">
        <v>127</v>
      </c>
      <c r="L756" t="s">
        <v>1056</v>
      </c>
      <c r="M756" t="s">
        <v>1075</v>
      </c>
      <c r="N756">
        <v>1</v>
      </c>
      <c r="O756">
        <v>2024</v>
      </c>
      <c r="P756">
        <v>10395.03611176889</v>
      </c>
      <c r="Q756">
        <v>3.956165386225861</v>
      </c>
      <c r="R756" t="s">
        <v>109</v>
      </c>
      <c r="S756">
        <v>2627.5534758888439</v>
      </c>
      <c r="T756">
        <v>4.5</v>
      </c>
      <c r="U756" t="s">
        <v>184</v>
      </c>
      <c r="V756">
        <v>4.5</v>
      </c>
      <c r="W756">
        <v>8</v>
      </c>
      <c r="X756">
        <v>20.8</v>
      </c>
      <c r="Y756">
        <v>15</v>
      </c>
      <c r="Z756">
        <v>8.7856310855373987E-2</v>
      </c>
      <c r="AA756">
        <v>31.536000000000001</v>
      </c>
    </row>
    <row r="757" spans="1:27" x14ac:dyDescent="0.25">
      <c r="A757" t="s">
        <v>98</v>
      </c>
      <c r="B757" t="s">
        <v>99</v>
      </c>
      <c r="C757" t="s">
        <v>1028</v>
      </c>
      <c r="D757" t="s">
        <v>101</v>
      </c>
      <c r="E757" t="s">
        <v>179</v>
      </c>
      <c r="F757" t="s">
        <v>224</v>
      </c>
      <c r="G757" t="s">
        <v>111</v>
      </c>
      <c r="H757" t="s">
        <v>125</v>
      </c>
      <c r="I757">
        <v>2016</v>
      </c>
      <c r="J757" t="s">
        <v>225</v>
      </c>
      <c r="K757" t="s">
        <v>127</v>
      </c>
      <c r="L757" t="s">
        <v>1056</v>
      </c>
      <c r="M757" t="s">
        <v>1076</v>
      </c>
      <c r="N757">
        <v>1</v>
      </c>
      <c r="O757">
        <v>2020</v>
      </c>
      <c r="P757">
        <v>1341.294982163728</v>
      </c>
      <c r="Q757">
        <v>3.956165386225861</v>
      </c>
      <c r="R757" t="s">
        <v>109</v>
      </c>
      <c r="S757">
        <v>339.03915817920569</v>
      </c>
      <c r="T757">
        <v>0.98</v>
      </c>
      <c r="U757" t="s">
        <v>227</v>
      </c>
      <c r="V757">
        <v>0.98</v>
      </c>
      <c r="W757">
        <v>15</v>
      </c>
      <c r="X757">
        <v>30</v>
      </c>
      <c r="Y757">
        <v>23</v>
      </c>
      <c r="Z757">
        <v>8.7856310855373987E-2</v>
      </c>
      <c r="AA757">
        <v>31.536000000000001</v>
      </c>
    </row>
    <row r="758" spans="1:27" x14ac:dyDescent="0.25">
      <c r="A758" t="s">
        <v>98</v>
      </c>
      <c r="B758" t="s">
        <v>99</v>
      </c>
      <c r="C758" t="s">
        <v>1028</v>
      </c>
      <c r="D758" t="s">
        <v>101</v>
      </c>
      <c r="E758" t="s">
        <v>179</v>
      </c>
      <c r="F758" t="s">
        <v>228</v>
      </c>
      <c r="G758" t="s">
        <v>103</v>
      </c>
      <c r="H758" t="s">
        <v>104</v>
      </c>
      <c r="I758">
        <v>2016</v>
      </c>
      <c r="J758" t="s">
        <v>229</v>
      </c>
      <c r="K758" t="s">
        <v>106</v>
      </c>
      <c r="L758" t="s">
        <v>1056</v>
      </c>
      <c r="M758" t="s">
        <v>1077</v>
      </c>
      <c r="N758">
        <v>1</v>
      </c>
      <c r="O758">
        <v>2020</v>
      </c>
      <c r="P758">
        <v>2499.6861031233111</v>
      </c>
      <c r="Q758">
        <v>3.956165386225861</v>
      </c>
      <c r="R758" t="s">
        <v>109</v>
      </c>
      <c r="S758">
        <v>631.8457038794287</v>
      </c>
      <c r="T758">
        <v>0.8</v>
      </c>
      <c r="U758" t="s">
        <v>227</v>
      </c>
      <c r="V758">
        <v>0.8</v>
      </c>
      <c r="W758">
        <v>16</v>
      </c>
      <c r="X758">
        <v>27</v>
      </c>
      <c r="Y758">
        <v>22</v>
      </c>
      <c r="Z758">
        <v>8.7856310855373987E-2</v>
      </c>
      <c r="AA758">
        <v>31.536000000000001</v>
      </c>
    </row>
    <row r="759" spans="1:27" x14ac:dyDescent="0.25">
      <c r="A759" t="s">
        <v>98</v>
      </c>
      <c r="B759" t="s">
        <v>99</v>
      </c>
      <c r="C759" t="s">
        <v>1028</v>
      </c>
      <c r="D759" t="s">
        <v>101</v>
      </c>
      <c r="E759" t="s">
        <v>179</v>
      </c>
      <c r="F759" t="s">
        <v>228</v>
      </c>
      <c r="G759" t="s">
        <v>111</v>
      </c>
      <c r="H759" t="s">
        <v>104</v>
      </c>
      <c r="I759">
        <v>2016</v>
      </c>
      <c r="J759" t="s">
        <v>231</v>
      </c>
      <c r="K759" t="s">
        <v>106</v>
      </c>
      <c r="L759" t="s">
        <v>1056</v>
      </c>
      <c r="M759" t="s">
        <v>1078</v>
      </c>
      <c r="N759">
        <v>0</v>
      </c>
      <c r="O759">
        <v>2020</v>
      </c>
      <c r="P759">
        <v>3182.5271849521182</v>
      </c>
      <c r="Q759">
        <v>3.956165386225861</v>
      </c>
      <c r="R759" t="s">
        <v>109</v>
      </c>
      <c r="S759">
        <v>804.44745713429711</v>
      </c>
      <c r="T759">
        <v>0.92</v>
      </c>
      <c r="U759" t="s">
        <v>227</v>
      </c>
      <c r="V759">
        <v>0.92</v>
      </c>
      <c r="W759">
        <v>16</v>
      </c>
      <c r="X759">
        <v>27</v>
      </c>
      <c r="Y759">
        <v>22</v>
      </c>
      <c r="Z759">
        <v>8.7856310855373987E-2</v>
      </c>
      <c r="AA759">
        <v>31.536000000000001</v>
      </c>
    </row>
    <row r="760" spans="1:27" x14ac:dyDescent="0.25">
      <c r="A760" t="s">
        <v>98</v>
      </c>
      <c r="B760" t="s">
        <v>99</v>
      </c>
      <c r="C760" t="s">
        <v>1028</v>
      </c>
      <c r="D760" t="s">
        <v>101</v>
      </c>
      <c r="E760" t="s">
        <v>179</v>
      </c>
      <c r="F760" t="s">
        <v>228</v>
      </c>
      <c r="G760" t="s">
        <v>111</v>
      </c>
      <c r="H760" t="s">
        <v>104</v>
      </c>
      <c r="I760">
        <v>2020</v>
      </c>
      <c r="J760" t="s">
        <v>233</v>
      </c>
      <c r="K760" t="s">
        <v>106</v>
      </c>
      <c r="L760" t="s">
        <v>1056</v>
      </c>
      <c r="M760" t="s">
        <v>1078</v>
      </c>
      <c r="N760">
        <v>1</v>
      </c>
      <c r="O760">
        <v>2020</v>
      </c>
      <c r="P760">
        <v>3365.4310461562618</v>
      </c>
      <c r="Q760">
        <v>3.956165386225861</v>
      </c>
      <c r="R760" t="s">
        <v>109</v>
      </c>
      <c r="S760">
        <v>850.68006961327956</v>
      </c>
      <c r="T760">
        <v>0.92</v>
      </c>
      <c r="U760" t="s">
        <v>227</v>
      </c>
      <c r="V760">
        <v>0.92</v>
      </c>
      <c r="W760">
        <v>16</v>
      </c>
      <c r="X760">
        <v>27</v>
      </c>
      <c r="Y760">
        <v>22</v>
      </c>
      <c r="Z760">
        <v>8.7856310855373987E-2</v>
      </c>
      <c r="AA760">
        <v>31.536000000000001</v>
      </c>
    </row>
    <row r="761" spans="1:27" x14ac:dyDescent="0.25">
      <c r="A761" t="s">
        <v>98</v>
      </c>
      <c r="B761" t="s">
        <v>99</v>
      </c>
      <c r="C761" t="s">
        <v>1028</v>
      </c>
      <c r="D761" t="s">
        <v>101</v>
      </c>
      <c r="E761" t="s">
        <v>179</v>
      </c>
      <c r="F761" t="s">
        <v>228</v>
      </c>
      <c r="G761" t="s">
        <v>114</v>
      </c>
      <c r="H761" t="s">
        <v>104</v>
      </c>
      <c r="I761">
        <v>2016</v>
      </c>
      <c r="J761" t="s">
        <v>234</v>
      </c>
      <c r="K761" t="s">
        <v>106</v>
      </c>
      <c r="L761" t="s">
        <v>1056</v>
      </c>
      <c r="M761" t="s">
        <v>1079</v>
      </c>
      <c r="N761">
        <v>1</v>
      </c>
      <c r="O761">
        <v>2020</v>
      </c>
      <c r="P761">
        <v>3341.043864662377</v>
      </c>
      <c r="Q761">
        <v>3.956165386225861</v>
      </c>
      <c r="R761" t="s">
        <v>109</v>
      </c>
      <c r="S761">
        <v>844.5157212827487</v>
      </c>
      <c r="T761">
        <v>0.95</v>
      </c>
      <c r="U761" t="s">
        <v>227</v>
      </c>
      <c r="V761">
        <v>0.95</v>
      </c>
      <c r="W761">
        <v>16</v>
      </c>
      <c r="X761">
        <v>27</v>
      </c>
      <c r="Y761">
        <v>22</v>
      </c>
      <c r="Z761">
        <v>8.7856310855373987E-2</v>
      </c>
      <c r="AA761">
        <v>31.536000000000001</v>
      </c>
    </row>
    <row r="762" spans="1:27" x14ac:dyDescent="0.25">
      <c r="A762" t="s">
        <v>98</v>
      </c>
      <c r="B762" t="s">
        <v>99</v>
      </c>
      <c r="C762" t="s">
        <v>1028</v>
      </c>
      <c r="D762" t="s">
        <v>101</v>
      </c>
      <c r="E762" t="s">
        <v>179</v>
      </c>
      <c r="F762" t="s">
        <v>228</v>
      </c>
      <c r="G762" t="s">
        <v>114</v>
      </c>
      <c r="H762" t="s">
        <v>104</v>
      </c>
      <c r="I762">
        <v>2022</v>
      </c>
      <c r="J762" t="s">
        <v>236</v>
      </c>
      <c r="K762" t="s">
        <v>106</v>
      </c>
      <c r="L762" t="s">
        <v>1056</v>
      </c>
      <c r="M762" t="s">
        <v>1080</v>
      </c>
      <c r="N762">
        <v>1</v>
      </c>
      <c r="O762">
        <v>2022</v>
      </c>
      <c r="P762">
        <v>3341.043864662377</v>
      </c>
      <c r="Q762">
        <v>3.956165386225861</v>
      </c>
      <c r="R762" t="s">
        <v>109</v>
      </c>
      <c r="S762">
        <v>844.5157212827487</v>
      </c>
      <c r="T762">
        <v>0.95</v>
      </c>
      <c r="U762" t="s">
        <v>227</v>
      </c>
      <c r="V762">
        <v>0.95</v>
      </c>
      <c r="W762">
        <v>16</v>
      </c>
      <c r="X762">
        <v>27</v>
      </c>
      <c r="Y762">
        <v>22</v>
      </c>
      <c r="Z762">
        <v>8.7856310855373987E-2</v>
      </c>
      <c r="AA762">
        <v>31.536000000000001</v>
      </c>
    </row>
    <row r="763" spans="1:27" x14ac:dyDescent="0.25">
      <c r="A763" t="s">
        <v>98</v>
      </c>
      <c r="B763" t="s">
        <v>99</v>
      </c>
      <c r="C763" t="s">
        <v>1028</v>
      </c>
      <c r="D763" t="s">
        <v>101</v>
      </c>
      <c r="E763" t="s">
        <v>179</v>
      </c>
      <c r="F763" t="s">
        <v>228</v>
      </c>
      <c r="G763" t="s">
        <v>119</v>
      </c>
      <c r="H763" t="s">
        <v>104</v>
      </c>
      <c r="I763">
        <v>2016</v>
      </c>
      <c r="J763" t="s">
        <v>238</v>
      </c>
      <c r="K763" t="s">
        <v>106</v>
      </c>
      <c r="L763" t="s">
        <v>1056</v>
      </c>
      <c r="M763" t="s">
        <v>1081</v>
      </c>
      <c r="N763">
        <v>1</v>
      </c>
      <c r="O763">
        <v>2020</v>
      </c>
      <c r="P763">
        <v>3706.851587070666</v>
      </c>
      <c r="Q763">
        <v>3.956165386225861</v>
      </c>
      <c r="R763" t="s">
        <v>109</v>
      </c>
      <c r="S763">
        <v>936.98094624071371</v>
      </c>
      <c r="T763">
        <v>0.99</v>
      </c>
      <c r="U763" t="s">
        <v>227</v>
      </c>
      <c r="V763">
        <v>0.99</v>
      </c>
      <c r="W763">
        <v>16</v>
      </c>
      <c r="X763">
        <v>27</v>
      </c>
      <c r="Y763">
        <v>22</v>
      </c>
      <c r="Z763">
        <v>8.7856310855373987E-2</v>
      </c>
      <c r="AA763">
        <v>31.536000000000001</v>
      </c>
    </row>
    <row r="764" spans="1:27" x14ac:dyDescent="0.25">
      <c r="A764" t="s">
        <v>98</v>
      </c>
      <c r="B764" t="s">
        <v>99</v>
      </c>
      <c r="C764" t="s">
        <v>1028</v>
      </c>
      <c r="D764" t="s">
        <v>101</v>
      </c>
      <c r="E764" t="s">
        <v>179</v>
      </c>
      <c r="F764" t="s">
        <v>228</v>
      </c>
      <c r="G764" t="s">
        <v>119</v>
      </c>
      <c r="H764" t="s">
        <v>104</v>
      </c>
      <c r="I764">
        <v>2022</v>
      </c>
      <c r="J764" t="s">
        <v>240</v>
      </c>
      <c r="K764" t="s">
        <v>106</v>
      </c>
      <c r="L764" t="s">
        <v>1056</v>
      </c>
      <c r="M764" t="s">
        <v>1082</v>
      </c>
      <c r="N764">
        <v>1</v>
      </c>
      <c r="O764">
        <v>2022</v>
      </c>
      <c r="P764">
        <v>3706.851587070666</v>
      </c>
      <c r="Q764">
        <v>3.956165386225861</v>
      </c>
      <c r="R764" t="s">
        <v>109</v>
      </c>
      <c r="S764">
        <v>936.98094624071371</v>
      </c>
      <c r="T764">
        <v>0.99</v>
      </c>
      <c r="U764" t="s">
        <v>227</v>
      </c>
      <c r="V764">
        <v>0.99</v>
      </c>
      <c r="W764">
        <v>16</v>
      </c>
      <c r="X764">
        <v>27</v>
      </c>
      <c r="Y764">
        <v>22</v>
      </c>
      <c r="Z764">
        <v>8.7856310855373987E-2</v>
      </c>
      <c r="AA764">
        <v>31.536000000000001</v>
      </c>
    </row>
    <row r="765" spans="1:27" x14ac:dyDescent="0.25">
      <c r="A765" t="s">
        <v>98</v>
      </c>
      <c r="B765" t="s">
        <v>99</v>
      </c>
      <c r="C765" t="s">
        <v>1028</v>
      </c>
      <c r="D765" t="s">
        <v>101</v>
      </c>
      <c r="E765" t="s">
        <v>179</v>
      </c>
      <c r="F765" t="s">
        <v>224</v>
      </c>
      <c r="G765" t="s">
        <v>103</v>
      </c>
      <c r="H765" t="s">
        <v>104</v>
      </c>
      <c r="I765">
        <v>2016</v>
      </c>
      <c r="J765" t="s">
        <v>242</v>
      </c>
      <c r="K765" t="s">
        <v>106</v>
      </c>
      <c r="L765" t="s">
        <v>1056</v>
      </c>
      <c r="M765" t="s">
        <v>1083</v>
      </c>
      <c r="N765">
        <v>1</v>
      </c>
      <c r="O765">
        <v>2020</v>
      </c>
      <c r="P765">
        <v>8748.901360931588</v>
      </c>
      <c r="Q765">
        <v>3.956165386225861</v>
      </c>
      <c r="R765" t="s">
        <v>109</v>
      </c>
      <c r="S765">
        <v>2211.459963578</v>
      </c>
      <c r="T765">
        <v>0.82</v>
      </c>
      <c r="U765" t="s">
        <v>227</v>
      </c>
      <c r="V765">
        <v>0.82</v>
      </c>
      <c r="W765">
        <v>20</v>
      </c>
      <c r="X765">
        <v>30</v>
      </c>
      <c r="Y765">
        <v>26</v>
      </c>
      <c r="Z765">
        <v>8.7856310855373987E-2</v>
      </c>
      <c r="AA765">
        <v>31.536000000000001</v>
      </c>
    </row>
    <row r="766" spans="1:27" x14ac:dyDescent="0.25">
      <c r="A766" t="s">
        <v>98</v>
      </c>
      <c r="B766" t="s">
        <v>99</v>
      </c>
      <c r="C766" t="s">
        <v>1028</v>
      </c>
      <c r="D766" t="s">
        <v>101</v>
      </c>
      <c r="E766" t="s">
        <v>179</v>
      </c>
      <c r="F766" t="s">
        <v>224</v>
      </c>
      <c r="G766" t="s">
        <v>103</v>
      </c>
      <c r="H766" t="s">
        <v>104</v>
      </c>
      <c r="I766">
        <v>2021</v>
      </c>
      <c r="J766" t="s">
        <v>244</v>
      </c>
      <c r="K766" t="s">
        <v>106</v>
      </c>
      <c r="L766" t="s">
        <v>1056</v>
      </c>
      <c r="M766" t="s">
        <v>1084</v>
      </c>
      <c r="N766">
        <v>1</v>
      </c>
      <c r="O766">
        <v>2021</v>
      </c>
      <c r="P766">
        <v>8962.2891990030894</v>
      </c>
      <c r="Q766">
        <v>3.956165386225861</v>
      </c>
      <c r="R766" t="s">
        <v>109</v>
      </c>
      <c r="S766">
        <v>2265.3980114701471</v>
      </c>
      <c r="T766">
        <v>0.84</v>
      </c>
      <c r="U766" t="s">
        <v>227</v>
      </c>
      <c r="V766">
        <v>0.84</v>
      </c>
      <c r="W766">
        <v>20</v>
      </c>
      <c r="X766">
        <v>30</v>
      </c>
      <c r="Y766">
        <v>26</v>
      </c>
      <c r="Z766">
        <v>8.7856310855373987E-2</v>
      </c>
      <c r="AA766">
        <v>31.536000000000001</v>
      </c>
    </row>
    <row r="767" spans="1:27" x14ac:dyDescent="0.25">
      <c r="A767" t="s">
        <v>98</v>
      </c>
      <c r="B767" t="s">
        <v>99</v>
      </c>
      <c r="C767" t="s">
        <v>1028</v>
      </c>
      <c r="D767" t="s">
        <v>101</v>
      </c>
      <c r="E767" t="s">
        <v>179</v>
      </c>
      <c r="F767" t="s">
        <v>224</v>
      </c>
      <c r="G767" t="s">
        <v>111</v>
      </c>
      <c r="H767" t="s">
        <v>104</v>
      </c>
      <c r="I767">
        <v>2016</v>
      </c>
      <c r="J767" t="s">
        <v>246</v>
      </c>
      <c r="K767" t="s">
        <v>106</v>
      </c>
      <c r="L767" t="s">
        <v>1056</v>
      </c>
      <c r="M767" t="s">
        <v>1085</v>
      </c>
      <c r="N767">
        <v>0</v>
      </c>
      <c r="O767">
        <v>2020</v>
      </c>
      <c r="P767">
        <v>8748.901360931588</v>
      </c>
      <c r="Q767">
        <v>3.956165386225861</v>
      </c>
      <c r="R767" t="s">
        <v>109</v>
      </c>
      <c r="S767">
        <v>2211.459963578</v>
      </c>
      <c r="T767">
        <v>0.82</v>
      </c>
      <c r="U767" t="s">
        <v>227</v>
      </c>
      <c r="V767">
        <v>0.82</v>
      </c>
      <c r="W767">
        <v>20</v>
      </c>
      <c r="X767">
        <v>30</v>
      </c>
      <c r="Y767">
        <v>26</v>
      </c>
      <c r="Z767">
        <v>8.7856310855373987E-2</v>
      </c>
      <c r="AA767">
        <v>31.536000000000001</v>
      </c>
    </row>
    <row r="768" spans="1:27" x14ac:dyDescent="0.25">
      <c r="A768" t="s">
        <v>98</v>
      </c>
      <c r="B768" t="s">
        <v>99</v>
      </c>
      <c r="C768" t="s">
        <v>1028</v>
      </c>
      <c r="D768" t="s">
        <v>101</v>
      </c>
      <c r="E768" t="s">
        <v>179</v>
      </c>
      <c r="F768" t="s">
        <v>224</v>
      </c>
      <c r="G768" t="s">
        <v>111</v>
      </c>
      <c r="H768" t="s">
        <v>104</v>
      </c>
      <c r="I768">
        <v>2020</v>
      </c>
      <c r="J768" t="s">
        <v>248</v>
      </c>
      <c r="K768" t="s">
        <v>106</v>
      </c>
      <c r="L768" t="s">
        <v>1056</v>
      </c>
      <c r="M768" t="s">
        <v>1085</v>
      </c>
      <c r="N768">
        <v>1</v>
      </c>
      <c r="O768">
        <v>2020</v>
      </c>
      <c r="P768">
        <v>9602.4527132175954</v>
      </c>
      <c r="Q768">
        <v>3.956165386225861</v>
      </c>
      <c r="R768" t="s">
        <v>109</v>
      </c>
      <c r="S768">
        <v>2427.2121551465862</v>
      </c>
      <c r="T768">
        <v>0.9</v>
      </c>
      <c r="U768" t="s">
        <v>227</v>
      </c>
      <c r="V768">
        <v>0.9</v>
      </c>
      <c r="W768">
        <v>20</v>
      </c>
      <c r="X768">
        <v>30</v>
      </c>
      <c r="Y768">
        <v>26</v>
      </c>
      <c r="Z768">
        <v>8.7856310855373987E-2</v>
      </c>
      <c r="AA768">
        <v>31.536000000000001</v>
      </c>
    </row>
    <row r="769" spans="1:27" x14ac:dyDescent="0.25">
      <c r="A769" t="s">
        <v>98</v>
      </c>
      <c r="B769" t="s">
        <v>99</v>
      </c>
      <c r="C769" t="s">
        <v>1028</v>
      </c>
      <c r="D769" t="s">
        <v>101</v>
      </c>
      <c r="E769" t="s">
        <v>179</v>
      </c>
      <c r="F769" t="s">
        <v>224</v>
      </c>
      <c r="G769" t="s">
        <v>114</v>
      </c>
      <c r="H769" t="s">
        <v>104</v>
      </c>
      <c r="I769">
        <v>2016</v>
      </c>
      <c r="J769" t="s">
        <v>249</v>
      </c>
      <c r="K769" t="s">
        <v>106</v>
      </c>
      <c r="L769" t="s">
        <v>1056</v>
      </c>
      <c r="M769" t="s">
        <v>1086</v>
      </c>
      <c r="N769">
        <v>1</v>
      </c>
      <c r="O769">
        <v>2020</v>
      </c>
      <c r="P769">
        <v>9602.4527132175954</v>
      </c>
      <c r="Q769">
        <v>3.956165386225861</v>
      </c>
      <c r="R769" t="s">
        <v>109</v>
      </c>
      <c r="S769">
        <v>2427.2121551465862</v>
      </c>
      <c r="T769">
        <v>0.9</v>
      </c>
      <c r="U769" t="s">
        <v>227</v>
      </c>
      <c r="V769">
        <v>0.9</v>
      </c>
      <c r="W769">
        <v>20</v>
      </c>
      <c r="X769">
        <v>30</v>
      </c>
      <c r="Y769">
        <v>26</v>
      </c>
      <c r="Z769">
        <v>8.7856310855373987E-2</v>
      </c>
      <c r="AA769">
        <v>31.536000000000001</v>
      </c>
    </row>
    <row r="770" spans="1:27" x14ac:dyDescent="0.25">
      <c r="A770" t="s">
        <v>98</v>
      </c>
      <c r="B770" t="s">
        <v>99</v>
      </c>
      <c r="C770" t="s">
        <v>1028</v>
      </c>
      <c r="D770" t="s">
        <v>101</v>
      </c>
      <c r="E770" t="s">
        <v>179</v>
      </c>
      <c r="F770" t="s">
        <v>224</v>
      </c>
      <c r="G770" t="s">
        <v>119</v>
      </c>
      <c r="H770" t="s">
        <v>104</v>
      </c>
      <c r="I770">
        <v>2016</v>
      </c>
      <c r="J770" t="s">
        <v>251</v>
      </c>
      <c r="K770" t="s">
        <v>106</v>
      </c>
      <c r="L770" t="s">
        <v>1056</v>
      </c>
      <c r="M770" t="s">
        <v>1087</v>
      </c>
      <c r="N770">
        <v>1</v>
      </c>
      <c r="O770">
        <v>2020</v>
      </c>
      <c r="P770">
        <v>10882.779741646609</v>
      </c>
      <c r="Q770">
        <v>3.956165386225861</v>
      </c>
      <c r="R770" t="s">
        <v>109</v>
      </c>
      <c r="S770">
        <v>2750.8404424994642</v>
      </c>
      <c r="T770">
        <v>0.97</v>
      </c>
      <c r="U770" t="s">
        <v>227</v>
      </c>
      <c r="V770">
        <v>0.97</v>
      </c>
      <c r="W770">
        <v>20</v>
      </c>
      <c r="X770">
        <v>30</v>
      </c>
      <c r="Y770">
        <v>26</v>
      </c>
      <c r="Z770">
        <v>8.7856310855373987E-2</v>
      </c>
      <c r="AA770">
        <v>31.536000000000001</v>
      </c>
    </row>
    <row r="771" spans="1:27" x14ac:dyDescent="0.25">
      <c r="A771" t="s">
        <v>98</v>
      </c>
      <c r="B771" t="s">
        <v>99</v>
      </c>
      <c r="C771" t="s">
        <v>1028</v>
      </c>
      <c r="D771" t="s">
        <v>101</v>
      </c>
      <c r="E771" t="s">
        <v>179</v>
      </c>
      <c r="F771" t="s">
        <v>224</v>
      </c>
      <c r="G771" t="s">
        <v>119</v>
      </c>
      <c r="H771" t="s">
        <v>104</v>
      </c>
      <c r="I771">
        <v>2022</v>
      </c>
      <c r="J771" t="s">
        <v>253</v>
      </c>
      <c r="K771" t="s">
        <v>106</v>
      </c>
      <c r="L771" t="s">
        <v>1056</v>
      </c>
      <c r="M771" t="s">
        <v>1088</v>
      </c>
      <c r="N771">
        <v>1</v>
      </c>
      <c r="O771">
        <v>2022</v>
      </c>
      <c r="P771">
        <v>10882.779741646609</v>
      </c>
      <c r="Q771">
        <v>3.956165386225861</v>
      </c>
      <c r="R771" t="s">
        <v>109</v>
      </c>
      <c r="S771">
        <v>2750.8404424994642</v>
      </c>
      <c r="T771">
        <v>0.97</v>
      </c>
      <c r="U771" t="s">
        <v>227</v>
      </c>
      <c r="V771">
        <v>0.97</v>
      </c>
      <c r="W771">
        <v>20</v>
      </c>
      <c r="X771">
        <v>30</v>
      </c>
      <c r="Y771">
        <v>26</v>
      </c>
      <c r="Z771">
        <v>8.7856310855373987E-2</v>
      </c>
      <c r="AA771">
        <v>31.536000000000001</v>
      </c>
    </row>
    <row r="772" spans="1:27" x14ac:dyDescent="0.25">
      <c r="A772" t="s">
        <v>98</v>
      </c>
      <c r="B772" t="s">
        <v>99</v>
      </c>
      <c r="C772" t="s">
        <v>1028</v>
      </c>
      <c r="D772" t="s">
        <v>101</v>
      </c>
      <c r="E772" t="s">
        <v>179</v>
      </c>
      <c r="F772" t="s">
        <v>228</v>
      </c>
      <c r="G772" t="s">
        <v>103</v>
      </c>
      <c r="H772" t="s">
        <v>255</v>
      </c>
      <c r="I772">
        <v>2016</v>
      </c>
      <c r="J772" t="s">
        <v>256</v>
      </c>
      <c r="K772" t="s">
        <v>257</v>
      </c>
      <c r="L772" t="s">
        <v>1056</v>
      </c>
      <c r="M772" t="s">
        <v>1089</v>
      </c>
      <c r="N772">
        <v>1</v>
      </c>
      <c r="O772">
        <v>2020</v>
      </c>
      <c r="P772">
        <v>5029.8561831139787</v>
      </c>
      <c r="Q772">
        <v>3.956165386225861</v>
      </c>
      <c r="R772" t="s">
        <v>109</v>
      </c>
      <c r="S772">
        <v>1271.3968431720209</v>
      </c>
      <c r="T772">
        <v>0.83</v>
      </c>
      <c r="U772" t="s">
        <v>227</v>
      </c>
      <c r="V772">
        <v>0.83</v>
      </c>
      <c r="W772">
        <v>19.7</v>
      </c>
      <c r="X772">
        <v>33.1</v>
      </c>
      <c r="Y772">
        <v>27</v>
      </c>
      <c r="Z772">
        <v>8.7856310855373987E-2</v>
      </c>
      <c r="AA772">
        <v>31.536000000000001</v>
      </c>
    </row>
    <row r="773" spans="1:27" x14ac:dyDescent="0.25">
      <c r="A773" t="s">
        <v>98</v>
      </c>
      <c r="B773" t="s">
        <v>99</v>
      </c>
      <c r="C773" t="s">
        <v>1028</v>
      </c>
      <c r="D773" t="s">
        <v>101</v>
      </c>
      <c r="E773" t="s">
        <v>179</v>
      </c>
      <c r="F773" t="s">
        <v>228</v>
      </c>
      <c r="G773" t="s">
        <v>111</v>
      </c>
      <c r="H773" t="s">
        <v>255</v>
      </c>
      <c r="I773">
        <v>2016</v>
      </c>
      <c r="J773" t="s">
        <v>259</v>
      </c>
      <c r="K773" t="s">
        <v>257</v>
      </c>
      <c r="L773" t="s">
        <v>1056</v>
      </c>
      <c r="M773" t="s">
        <v>1090</v>
      </c>
      <c r="N773">
        <v>0</v>
      </c>
      <c r="O773">
        <v>2020</v>
      </c>
      <c r="P773">
        <v>5029.8561831139787</v>
      </c>
      <c r="Q773">
        <v>3.956165386225861</v>
      </c>
      <c r="R773" t="s">
        <v>109</v>
      </c>
      <c r="S773">
        <v>1271.3968431720209</v>
      </c>
      <c r="T773">
        <v>0.83</v>
      </c>
      <c r="U773" t="s">
        <v>227</v>
      </c>
      <c r="V773">
        <v>0.83</v>
      </c>
      <c r="W773">
        <v>19.7</v>
      </c>
      <c r="X773">
        <v>33.1</v>
      </c>
      <c r="Y773">
        <v>27</v>
      </c>
      <c r="Z773">
        <v>8.7856310855373987E-2</v>
      </c>
      <c r="AA773">
        <v>31.536000000000001</v>
      </c>
    </row>
    <row r="774" spans="1:27" x14ac:dyDescent="0.25">
      <c r="A774" t="s">
        <v>98</v>
      </c>
      <c r="B774" t="s">
        <v>99</v>
      </c>
      <c r="C774" t="s">
        <v>1028</v>
      </c>
      <c r="D774" t="s">
        <v>101</v>
      </c>
      <c r="E774" t="s">
        <v>179</v>
      </c>
      <c r="F774" t="s">
        <v>228</v>
      </c>
      <c r="G774" t="s">
        <v>111</v>
      </c>
      <c r="H774" t="s">
        <v>255</v>
      </c>
      <c r="I774">
        <v>2020</v>
      </c>
      <c r="J774" t="s">
        <v>261</v>
      </c>
      <c r="K774" t="s">
        <v>257</v>
      </c>
      <c r="L774" t="s">
        <v>1056</v>
      </c>
      <c r="M774" t="s">
        <v>1090</v>
      </c>
      <c r="N774">
        <v>1</v>
      </c>
      <c r="O774">
        <v>2020</v>
      </c>
      <c r="P774">
        <v>5151.7920905834089</v>
      </c>
      <c r="Q774">
        <v>3.956165386225861</v>
      </c>
      <c r="R774" t="s">
        <v>109</v>
      </c>
      <c r="S774">
        <v>1302.2185848246761</v>
      </c>
      <c r="T774">
        <v>0.84</v>
      </c>
      <c r="U774" t="s">
        <v>227</v>
      </c>
      <c r="V774">
        <v>0.84</v>
      </c>
      <c r="W774">
        <v>19.7</v>
      </c>
      <c r="X774">
        <v>33.1</v>
      </c>
      <c r="Y774">
        <v>27</v>
      </c>
      <c r="Z774">
        <v>8.7856310855373987E-2</v>
      </c>
      <c r="AA774">
        <v>31.536000000000001</v>
      </c>
    </row>
    <row r="775" spans="1:27" x14ac:dyDescent="0.25">
      <c r="A775" t="s">
        <v>98</v>
      </c>
      <c r="B775" t="s">
        <v>99</v>
      </c>
      <c r="C775" t="s">
        <v>1028</v>
      </c>
      <c r="D775" t="s">
        <v>101</v>
      </c>
      <c r="E775" t="s">
        <v>179</v>
      </c>
      <c r="F775" t="s">
        <v>228</v>
      </c>
      <c r="G775" t="s">
        <v>114</v>
      </c>
      <c r="H775" t="s">
        <v>255</v>
      </c>
      <c r="I775">
        <v>2016</v>
      </c>
      <c r="J775" t="s">
        <v>262</v>
      </c>
      <c r="K775" t="s">
        <v>257</v>
      </c>
      <c r="L775" t="s">
        <v>1056</v>
      </c>
      <c r="M775" t="s">
        <v>1091</v>
      </c>
      <c r="N775">
        <v>1</v>
      </c>
      <c r="O775">
        <v>2020</v>
      </c>
      <c r="P775">
        <v>5304.2119749201956</v>
      </c>
      <c r="Q775">
        <v>3.956165386225861</v>
      </c>
      <c r="R775" t="s">
        <v>109</v>
      </c>
      <c r="S775">
        <v>1340.745761890495</v>
      </c>
      <c r="T775">
        <v>0.85</v>
      </c>
      <c r="U775" t="s">
        <v>227</v>
      </c>
      <c r="V775">
        <v>0.85</v>
      </c>
      <c r="W775">
        <v>19.7</v>
      </c>
      <c r="X775">
        <v>33.1</v>
      </c>
      <c r="Y775">
        <v>27</v>
      </c>
      <c r="Z775">
        <v>8.7856310855373987E-2</v>
      </c>
      <c r="AA775">
        <v>31.536000000000001</v>
      </c>
    </row>
    <row r="776" spans="1:27" x14ac:dyDescent="0.25">
      <c r="A776" t="s">
        <v>98</v>
      </c>
      <c r="B776" t="s">
        <v>99</v>
      </c>
      <c r="C776" t="s">
        <v>1028</v>
      </c>
      <c r="D776" t="s">
        <v>101</v>
      </c>
      <c r="E776" t="s">
        <v>179</v>
      </c>
      <c r="F776" t="s">
        <v>228</v>
      </c>
      <c r="G776" t="s">
        <v>119</v>
      </c>
      <c r="H776" t="s">
        <v>255</v>
      </c>
      <c r="I776">
        <v>2016</v>
      </c>
      <c r="J776" t="s">
        <v>264</v>
      </c>
      <c r="K776" t="s">
        <v>257</v>
      </c>
      <c r="L776" t="s">
        <v>1056</v>
      </c>
      <c r="M776" t="s">
        <v>1092</v>
      </c>
      <c r="N776">
        <v>0</v>
      </c>
      <c r="O776">
        <v>2020</v>
      </c>
      <c r="P776">
        <v>7864.8660317782214</v>
      </c>
      <c r="Q776">
        <v>3.956165386225861</v>
      </c>
      <c r="R776" t="s">
        <v>109</v>
      </c>
      <c r="S776">
        <v>1988.0023365962511</v>
      </c>
      <c r="T776">
        <v>0.97</v>
      </c>
      <c r="U776" t="s">
        <v>227</v>
      </c>
      <c r="V776">
        <v>0.97</v>
      </c>
      <c r="W776">
        <v>19.7</v>
      </c>
      <c r="X776">
        <v>33.1</v>
      </c>
      <c r="Y776">
        <v>27</v>
      </c>
      <c r="Z776">
        <v>8.7856310855373987E-2</v>
      </c>
      <c r="AA776">
        <v>31.536000000000001</v>
      </c>
    </row>
    <row r="777" spans="1:27" x14ac:dyDescent="0.25">
      <c r="A777" t="s">
        <v>98</v>
      </c>
      <c r="B777" t="s">
        <v>99</v>
      </c>
      <c r="C777" t="s">
        <v>1028</v>
      </c>
      <c r="D777" t="s">
        <v>101</v>
      </c>
      <c r="E777" t="s">
        <v>179</v>
      </c>
      <c r="F777" t="s">
        <v>228</v>
      </c>
      <c r="G777" t="s">
        <v>119</v>
      </c>
      <c r="H777" t="s">
        <v>255</v>
      </c>
      <c r="I777">
        <v>2020</v>
      </c>
      <c r="J777" t="s">
        <v>266</v>
      </c>
      <c r="K777" t="s">
        <v>257</v>
      </c>
      <c r="L777" t="s">
        <v>1056</v>
      </c>
      <c r="M777" t="s">
        <v>1092</v>
      </c>
      <c r="N777">
        <v>1</v>
      </c>
      <c r="O777">
        <v>2020</v>
      </c>
      <c r="P777">
        <v>7864.8660317782214</v>
      </c>
      <c r="Q777">
        <v>3.956165386225861</v>
      </c>
      <c r="R777" t="s">
        <v>109</v>
      </c>
      <c r="S777">
        <v>1988.0023365962511</v>
      </c>
      <c r="T777">
        <v>0.97</v>
      </c>
      <c r="U777" t="s">
        <v>227</v>
      </c>
      <c r="V777">
        <v>0.97</v>
      </c>
      <c r="W777">
        <v>19.7</v>
      </c>
      <c r="X777">
        <v>33.1</v>
      </c>
      <c r="Y777">
        <v>27</v>
      </c>
      <c r="Z777">
        <v>8.7856310855373987E-2</v>
      </c>
      <c r="AA777">
        <v>31.536000000000001</v>
      </c>
    </row>
    <row r="778" spans="1:27" x14ac:dyDescent="0.25">
      <c r="A778" t="s">
        <v>98</v>
      </c>
      <c r="B778" t="s">
        <v>99</v>
      </c>
      <c r="C778" t="s">
        <v>1028</v>
      </c>
      <c r="D778" t="s">
        <v>101</v>
      </c>
      <c r="E778" t="s">
        <v>179</v>
      </c>
      <c r="F778" t="s">
        <v>228</v>
      </c>
      <c r="G778" t="s">
        <v>103</v>
      </c>
      <c r="H778" t="s">
        <v>156</v>
      </c>
      <c r="I778">
        <v>2016</v>
      </c>
      <c r="J778" t="s">
        <v>267</v>
      </c>
      <c r="K778" t="s">
        <v>158</v>
      </c>
      <c r="L778" t="s">
        <v>1056</v>
      </c>
      <c r="M778" t="s">
        <v>1093</v>
      </c>
      <c r="N778">
        <v>1</v>
      </c>
      <c r="O778">
        <v>2020</v>
      </c>
      <c r="P778">
        <v>2499.6861031233111</v>
      </c>
      <c r="Q778">
        <v>3.956165386225861</v>
      </c>
      <c r="R778" t="s">
        <v>109</v>
      </c>
      <c r="S778">
        <v>631.8457038794287</v>
      </c>
      <c r="T778">
        <v>0.8</v>
      </c>
      <c r="U778" t="s">
        <v>227</v>
      </c>
      <c r="V778">
        <v>0.8</v>
      </c>
      <c r="W778">
        <v>16</v>
      </c>
      <c r="X778">
        <v>27</v>
      </c>
      <c r="Y778">
        <v>22</v>
      </c>
      <c r="Z778">
        <v>8.7856310855373987E-2</v>
      </c>
      <c r="AA778">
        <v>31.536000000000001</v>
      </c>
    </row>
    <row r="779" spans="1:27" x14ac:dyDescent="0.25">
      <c r="A779" t="s">
        <v>98</v>
      </c>
      <c r="B779" t="s">
        <v>99</v>
      </c>
      <c r="C779" t="s">
        <v>1028</v>
      </c>
      <c r="D779" t="s">
        <v>101</v>
      </c>
      <c r="E779" t="s">
        <v>179</v>
      </c>
      <c r="F779" t="s">
        <v>228</v>
      </c>
      <c r="G779" t="s">
        <v>111</v>
      </c>
      <c r="H779" t="s">
        <v>156</v>
      </c>
      <c r="I779">
        <v>2016</v>
      </c>
      <c r="J779" t="s">
        <v>269</v>
      </c>
      <c r="K779" t="s">
        <v>158</v>
      </c>
      <c r="L779" t="s">
        <v>1056</v>
      </c>
      <c r="M779" t="s">
        <v>1094</v>
      </c>
      <c r="N779">
        <v>0</v>
      </c>
      <c r="O779">
        <v>2020</v>
      </c>
      <c r="P779">
        <v>3182.5271849521182</v>
      </c>
      <c r="Q779">
        <v>3.956165386225861</v>
      </c>
      <c r="R779" t="s">
        <v>109</v>
      </c>
      <c r="S779">
        <v>804.44745713429711</v>
      </c>
      <c r="T779">
        <v>0.92</v>
      </c>
      <c r="U779" t="s">
        <v>227</v>
      </c>
      <c r="V779">
        <v>0.92</v>
      </c>
      <c r="W779">
        <v>16</v>
      </c>
      <c r="X779">
        <v>27</v>
      </c>
      <c r="Y779">
        <v>22</v>
      </c>
      <c r="Z779">
        <v>8.7856310855373987E-2</v>
      </c>
      <c r="AA779">
        <v>31.536000000000001</v>
      </c>
    </row>
    <row r="780" spans="1:27" x14ac:dyDescent="0.25">
      <c r="A780" t="s">
        <v>98</v>
      </c>
      <c r="B780" t="s">
        <v>99</v>
      </c>
      <c r="C780" t="s">
        <v>1028</v>
      </c>
      <c r="D780" t="s">
        <v>101</v>
      </c>
      <c r="E780" t="s">
        <v>179</v>
      </c>
      <c r="F780" t="s">
        <v>228</v>
      </c>
      <c r="G780" t="s">
        <v>111</v>
      </c>
      <c r="H780" t="s">
        <v>156</v>
      </c>
      <c r="I780">
        <v>2020</v>
      </c>
      <c r="J780" t="s">
        <v>271</v>
      </c>
      <c r="K780" t="s">
        <v>158</v>
      </c>
      <c r="L780" t="s">
        <v>1056</v>
      </c>
      <c r="M780" t="s">
        <v>1094</v>
      </c>
      <c r="N780">
        <v>1</v>
      </c>
      <c r="O780">
        <v>2020</v>
      </c>
      <c r="P780">
        <v>3365.4310461562618</v>
      </c>
      <c r="Q780">
        <v>3.956165386225861</v>
      </c>
      <c r="R780" t="s">
        <v>109</v>
      </c>
      <c r="S780">
        <v>850.68006961327956</v>
      </c>
      <c r="T780">
        <v>0.92</v>
      </c>
      <c r="U780" t="s">
        <v>227</v>
      </c>
      <c r="V780">
        <v>0.92</v>
      </c>
      <c r="W780">
        <v>16</v>
      </c>
      <c r="X780">
        <v>27</v>
      </c>
      <c r="Y780">
        <v>22</v>
      </c>
      <c r="Z780">
        <v>8.7856310855373987E-2</v>
      </c>
      <c r="AA780">
        <v>31.536000000000001</v>
      </c>
    </row>
    <row r="781" spans="1:27" x14ac:dyDescent="0.25">
      <c r="A781" t="s">
        <v>98</v>
      </c>
      <c r="B781" t="s">
        <v>99</v>
      </c>
      <c r="C781" t="s">
        <v>1028</v>
      </c>
      <c r="D781" t="s">
        <v>101</v>
      </c>
      <c r="E781" t="s">
        <v>179</v>
      </c>
      <c r="F781" t="s">
        <v>228</v>
      </c>
      <c r="G781" t="s">
        <v>114</v>
      </c>
      <c r="H781" t="s">
        <v>156</v>
      </c>
      <c r="I781">
        <v>2016</v>
      </c>
      <c r="J781" t="s">
        <v>272</v>
      </c>
      <c r="K781" t="s">
        <v>158</v>
      </c>
      <c r="L781" t="s">
        <v>1056</v>
      </c>
      <c r="M781" t="s">
        <v>1095</v>
      </c>
      <c r="N781">
        <v>1</v>
      </c>
      <c r="O781">
        <v>2020</v>
      </c>
      <c r="P781">
        <v>3341.043864662377</v>
      </c>
      <c r="Q781">
        <v>3.956165386225861</v>
      </c>
      <c r="R781" t="s">
        <v>109</v>
      </c>
      <c r="S781">
        <v>844.5157212827487</v>
      </c>
      <c r="T781">
        <v>0.95</v>
      </c>
      <c r="U781" t="s">
        <v>227</v>
      </c>
      <c r="V781">
        <v>0.95</v>
      </c>
      <c r="W781">
        <v>16</v>
      </c>
      <c r="X781">
        <v>27</v>
      </c>
      <c r="Y781">
        <v>22</v>
      </c>
      <c r="Z781">
        <v>8.7856310855373987E-2</v>
      </c>
      <c r="AA781">
        <v>31.536000000000001</v>
      </c>
    </row>
    <row r="782" spans="1:27" x14ac:dyDescent="0.25">
      <c r="A782" t="s">
        <v>98</v>
      </c>
      <c r="B782" t="s">
        <v>99</v>
      </c>
      <c r="C782" t="s">
        <v>1028</v>
      </c>
      <c r="D782" t="s">
        <v>101</v>
      </c>
      <c r="E782" t="s">
        <v>179</v>
      </c>
      <c r="F782" t="s">
        <v>228</v>
      </c>
      <c r="G782" t="s">
        <v>114</v>
      </c>
      <c r="H782" t="s">
        <v>156</v>
      </c>
      <c r="I782">
        <v>2022</v>
      </c>
      <c r="J782" t="s">
        <v>274</v>
      </c>
      <c r="K782" t="s">
        <v>158</v>
      </c>
      <c r="L782" t="s">
        <v>1056</v>
      </c>
      <c r="M782" t="s">
        <v>1096</v>
      </c>
      <c r="N782">
        <v>1</v>
      </c>
      <c r="O782">
        <v>2022</v>
      </c>
      <c r="P782">
        <v>3341.043864662377</v>
      </c>
      <c r="Q782">
        <v>3.956165386225861</v>
      </c>
      <c r="R782" t="s">
        <v>109</v>
      </c>
      <c r="S782">
        <v>844.5157212827487</v>
      </c>
      <c r="T782">
        <v>0.95</v>
      </c>
      <c r="U782" t="s">
        <v>227</v>
      </c>
      <c r="V782">
        <v>0.95</v>
      </c>
      <c r="W782">
        <v>16</v>
      </c>
      <c r="X782">
        <v>27</v>
      </c>
      <c r="Y782">
        <v>22</v>
      </c>
      <c r="Z782">
        <v>8.7856310855373987E-2</v>
      </c>
      <c r="AA782">
        <v>31.536000000000001</v>
      </c>
    </row>
    <row r="783" spans="1:27" x14ac:dyDescent="0.25">
      <c r="A783" t="s">
        <v>98</v>
      </c>
      <c r="B783" t="s">
        <v>99</v>
      </c>
      <c r="C783" t="s">
        <v>1028</v>
      </c>
      <c r="D783" t="s">
        <v>101</v>
      </c>
      <c r="E783" t="s">
        <v>179</v>
      </c>
      <c r="F783" t="s">
        <v>228</v>
      </c>
      <c r="G783" t="s">
        <v>119</v>
      </c>
      <c r="H783" t="s">
        <v>156</v>
      </c>
      <c r="I783">
        <v>2016</v>
      </c>
      <c r="J783" t="s">
        <v>276</v>
      </c>
      <c r="K783" t="s">
        <v>158</v>
      </c>
      <c r="L783" t="s">
        <v>1056</v>
      </c>
      <c r="M783" t="s">
        <v>1097</v>
      </c>
      <c r="N783">
        <v>1</v>
      </c>
      <c r="O783">
        <v>2020</v>
      </c>
      <c r="P783">
        <v>3706.851587070666</v>
      </c>
      <c r="Q783">
        <v>3.956165386225861</v>
      </c>
      <c r="R783" t="s">
        <v>109</v>
      </c>
      <c r="S783">
        <v>936.98094624071371</v>
      </c>
      <c r="T783">
        <v>0.99</v>
      </c>
      <c r="U783" t="s">
        <v>227</v>
      </c>
      <c r="V783">
        <v>0.99</v>
      </c>
      <c r="W783">
        <v>16</v>
      </c>
      <c r="X783">
        <v>27</v>
      </c>
      <c r="Y783">
        <v>22</v>
      </c>
      <c r="Z783">
        <v>8.7856310855373987E-2</v>
      </c>
      <c r="AA783">
        <v>31.536000000000001</v>
      </c>
    </row>
    <row r="784" spans="1:27" x14ac:dyDescent="0.25">
      <c r="A784" t="s">
        <v>98</v>
      </c>
      <c r="B784" t="s">
        <v>99</v>
      </c>
      <c r="C784" t="s">
        <v>1028</v>
      </c>
      <c r="D784" t="s">
        <v>101</v>
      </c>
      <c r="E784" t="s">
        <v>179</v>
      </c>
      <c r="F784" t="s">
        <v>228</v>
      </c>
      <c r="G784" t="s">
        <v>119</v>
      </c>
      <c r="H784" t="s">
        <v>156</v>
      </c>
      <c r="I784">
        <v>2022</v>
      </c>
      <c r="J784" t="s">
        <v>278</v>
      </c>
      <c r="K784" t="s">
        <v>158</v>
      </c>
      <c r="L784" t="s">
        <v>1056</v>
      </c>
      <c r="M784" t="s">
        <v>1098</v>
      </c>
      <c r="N784">
        <v>1</v>
      </c>
      <c r="O784">
        <v>2022</v>
      </c>
      <c r="P784">
        <v>3706.851587070666</v>
      </c>
      <c r="Q784">
        <v>3.956165386225861</v>
      </c>
      <c r="R784" t="s">
        <v>109</v>
      </c>
      <c r="S784">
        <v>936.98094624071371</v>
      </c>
      <c r="T784">
        <v>0.99</v>
      </c>
      <c r="U784" t="s">
        <v>227</v>
      </c>
      <c r="V784">
        <v>0.99</v>
      </c>
      <c r="W784">
        <v>16</v>
      </c>
      <c r="X784">
        <v>27</v>
      </c>
      <c r="Y784">
        <v>22</v>
      </c>
      <c r="Z784">
        <v>8.7856310855373987E-2</v>
      </c>
      <c r="AA784">
        <v>31.536000000000001</v>
      </c>
    </row>
    <row r="785" spans="1:27" x14ac:dyDescent="0.25">
      <c r="A785" t="s">
        <v>98</v>
      </c>
      <c r="B785" t="s">
        <v>99</v>
      </c>
      <c r="C785" t="s">
        <v>1028</v>
      </c>
      <c r="D785" t="s">
        <v>101</v>
      </c>
      <c r="E785" t="s">
        <v>179</v>
      </c>
      <c r="F785" t="s">
        <v>228</v>
      </c>
      <c r="G785" t="s">
        <v>103</v>
      </c>
      <c r="H785" t="s">
        <v>148</v>
      </c>
      <c r="I785">
        <v>2016</v>
      </c>
      <c r="J785" t="s">
        <v>280</v>
      </c>
      <c r="K785" t="s">
        <v>150</v>
      </c>
      <c r="L785" t="s">
        <v>1056</v>
      </c>
      <c r="M785" t="s">
        <v>1099</v>
      </c>
      <c r="N785">
        <v>1</v>
      </c>
      <c r="O785">
        <v>2020</v>
      </c>
      <c r="P785">
        <v>5029.8561831139787</v>
      </c>
      <c r="Q785">
        <v>3.956165386225861</v>
      </c>
      <c r="R785" t="s">
        <v>109</v>
      </c>
      <c r="S785">
        <v>1271.3968431720209</v>
      </c>
      <c r="T785">
        <v>0.83</v>
      </c>
      <c r="U785" t="s">
        <v>227</v>
      </c>
      <c r="V785">
        <v>0.83</v>
      </c>
      <c r="W785">
        <v>19.7</v>
      </c>
      <c r="X785">
        <v>33.1</v>
      </c>
      <c r="Y785">
        <v>27</v>
      </c>
      <c r="Z785">
        <v>8.7856310855373987E-2</v>
      </c>
      <c r="AA785">
        <v>31.536000000000001</v>
      </c>
    </row>
    <row r="786" spans="1:27" x14ac:dyDescent="0.25">
      <c r="A786" t="s">
        <v>98</v>
      </c>
      <c r="B786" t="s">
        <v>99</v>
      </c>
      <c r="C786" t="s">
        <v>1028</v>
      </c>
      <c r="D786" t="s">
        <v>101</v>
      </c>
      <c r="E786" t="s">
        <v>179</v>
      </c>
      <c r="F786" t="s">
        <v>228</v>
      </c>
      <c r="G786" t="s">
        <v>111</v>
      </c>
      <c r="H786" t="s">
        <v>148</v>
      </c>
      <c r="I786">
        <v>2016</v>
      </c>
      <c r="J786" t="s">
        <v>282</v>
      </c>
      <c r="K786" t="s">
        <v>150</v>
      </c>
      <c r="L786" t="s">
        <v>1056</v>
      </c>
      <c r="M786" t="s">
        <v>1100</v>
      </c>
      <c r="N786">
        <v>1</v>
      </c>
      <c r="O786">
        <v>2020</v>
      </c>
      <c r="P786">
        <v>5029.8561831139787</v>
      </c>
      <c r="Q786">
        <v>3.956165386225861</v>
      </c>
      <c r="R786" t="s">
        <v>109</v>
      </c>
      <c r="S786">
        <v>1271.3968431720209</v>
      </c>
      <c r="T786">
        <v>0.83</v>
      </c>
      <c r="U786" t="s">
        <v>227</v>
      </c>
      <c r="V786">
        <v>0.83</v>
      </c>
      <c r="W786">
        <v>19.7</v>
      </c>
      <c r="X786">
        <v>33.1</v>
      </c>
      <c r="Y786">
        <v>27</v>
      </c>
      <c r="Z786">
        <v>8.7856310855373987E-2</v>
      </c>
      <c r="AA786">
        <v>31.536000000000001</v>
      </c>
    </row>
    <row r="787" spans="1:27" x14ac:dyDescent="0.25">
      <c r="A787" t="s">
        <v>98</v>
      </c>
      <c r="B787" t="s">
        <v>99</v>
      </c>
      <c r="C787" t="s">
        <v>1028</v>
      </c>
      <c r="D787" t="s">
        <v>101</v>
      </c>
      <c r="E787" t="s">
        <v>179</v>
      </c>
      <c r="F787" t="s">
        <v>228</v>
      </c>
      <c r="G787" t="s">
        <v>111</v>
      </c>
      <c r="H787" t="s">
        <v>148</v>
      </c>
      <c r="I787">
        <v>2022</v>
      </c>
      <c r="J787" t="s">
        <v>284</v>
      </c>
      <c r="K787" t="s">
        <v>150</v>
      </c>
      <c r="L787" t="s">
        <v>1056</v>
      </c>
      <c r="M787" t="s">
        <v>1101</v>
      </c>
      <c r="N787">
        <v>1</v>
      </c>
      <c r="O787">
        <v>2022</v>
      </c>
      <c r="P787">
        <v>5151.7920905834089</v>
      </c>
      <c r="Q787">
        <v>3.956165386225861</v>
      </c>
      <c r="R787" t="s">
        <v>109</v>
      </c>
      <c r="S787">
        <v>1302.2185848246761</v>
      </c>
      <c r="T787">
        <v>0.84</v>
      </c>
      <c r="U787" t="s">
        <v>227</v>
      </c>
      <c r="V787">
        <v>0.84</v>
      </c>
      <c r="W787">
        <v>19.7</v>
      </c>
      <c r="X787">
        <v>33.1</v>
      </c>
      <c r="Y787">
        <v>27</v>
      </c>
      <c r="Z787">
        <v>8.7856310855373987E-2</v>
      </c>
      <c r="AA787">
        <v>31.536000000000001</v>
      </c>
    </row>
    <row r="788" spans="1:27" x14ac:dyDescent="0.25">
      <c r="A788" t="s">
        <v>98</v>
      </c>
      <c r="B788" t="s">
        <v>99</v>
      </c>
      <c r="C788" t="s">
        <v>1028</v>
      </c>
      <c r="D788" t="s">
        <v>101</v>
      </c>
      <c r="E788" t="s">
        <v>179</v>
      </c>
      <c r="F788" t="s">
        <v>228</v>
      </c>
      <c r="G788" t="s">
        <v>114</v>
      </c>
      <c r="H788" t="s">
        <v>148</v>
      </c>
      <c r="I788">
        <v>2016</v>
      </c>
      <c r="J788" t="s">
        <v>286</v>
      </c>
      <c r="K788" t="s">
        <v>150</v>
      </c>
      <c r="L788" t="s">
        <v>1056</v>
      </c>
      <c r="M788" t="s">
        <v>1102</v>
      </c>
      <c r="N788">
        <v>1</v>
      </c>
      <c r="O788">
        <v>2020</v>
      </c>
      <c r="P788">
        <v>5304.2119749201956</v>
      </c>
      <c r="Q788">
        <v>3.956165386225861</v>
      </c>
      <c r="R788" t="s">
        <v>109</v>
      </c>
      <c r="S788">
        <v>1340.745761890495</v>
      </c>
      <c r="T788">
        <v>0.85</v>
      </c>
      <c r="U788" t="s">
        <v>227</v>
      </c>
      <c r="V788">
        <v>0.85</v>
      </c>
      <c r="W788">
        <v>19.7</v>
      </c>
      <c r="X788">
        <v>33.1</v>
      </c>
      <c r="Y788">
        <v>27</v>
      </c>
      <c r="Z788">
        <v>8.7856310855373987E-2</v>
      </c>
      <c r="AA788">
        <v>31.536000000000001</v>
      </c>
    </row>
    <row r="789" spans="1:27" x14ac:dyDescent="0.25">
      <c r="A789" t="s">
        <v>98</v>
      </c>
      <c r="B789" t="s">
        <v>99</v>
      </c>
      <c r="C789" t="s">
        <v>1028</v>
      </c>
      <c r="D789" t="s">
        <v>101</v>
      </c>
      <c r="E789" t="s">
        <v>179</v>
      </c>
      <c r="F789" t="s">
        <v>228</v>
      </c>
      <c r="G789" t="s">
        <v>119</v>
      </c>
      <c r="H789" t="s">
        <v>148</v>
      </c>
      <c r="I789">
        <v>2016</v>
      </c>
      <c r="J789" t="s">
        <v>288</v>
      </c>
      <c r="K789" t="s">
        <v>150</v>
      </c>
      <c r="L789" t="s">
        <v>1056</v>
      </c>
      <c r="M789" t="s">
        <v>1103</v>
      </c>
      <c r="N789">
        <v>1</v>
      </c>
      <c r="O789">
        <v>2020</v>
      </c>
      <c r="P789">
        <v>7864.8660317782214</v>
      </c>
      <c r="Q789">
        <v>3.956165386225861</v>
      </c>
      <c r="R789" t="s">
        <v>109</v>
      </c>
      <c r="S789">
        <v>1988.0023365962511</v>
      </c>
      <c r="T789">
        <v>0.97</v>
      </c>
      <c r="U789" t="s">
        <v>227</v>
      </c>
      <c r="V789">
        <v>0.97</v>
      </c>
      <c r="W789">
        <v>19.7</v>
      </c>
      <c r="X789">
        <v>33.1</v>
      </c>
      <c r="Y789">
        <v>27</v>
      </c>
      <c r="Z789">
        <v>8.7856310855373987E-2</v>
      </c>
      <c r="AA789">
        <v>31.536000000000001</v>
      </c>
    </row>
    <row r="790" spans="1:27" x14ac:dyDescent="0.25">
      <c r="A790" t="s">
        <v>98</v>
      </c>
      <c r="B790" t="s">
        <v>99</v>
      </c>
      <c r="C790" t="s">
        <v>1028</v>
      </c>
      <c r="D790" t="s">
        <v>101</v>
      </c>
      <c r="E790" t="s">
        <v>179</v>
      </c>
      <c r="F790" t="s">
        <v>228</v>
      </c>
      <c r="G790" t="s">
        <v>119</v>
      </c>
      <c r="H790" t="s">
        <v>148</v>
      </c>
      <c r="I790">
        <v>2022</v>
      </c>
      <c r="J790" t="s">
        <v>290</v>
      </c>
      <c r="K790" t="s">
        <v>150</v>
      </c>
      <c r="L790" t="s">
        <v>1056</v>
      </c>
      <c r="M790" t="s">
        <v>1104</v>
      </c>
      <c r="N790">
        <v>1</v>
      </c>
      <c r="O790">
        <v>2022</v>
      </c>
      <c r="P790">
        <v>7864.8660317782214</v>
      </c>
      <c r="Q790">
        <v>3.956165386225861</v>
      </c>
      <c r="R790" t="s">
        <v>109</v>
      </c>
      <c r="S790">
        <v>1988.0023365962511</v>
      </c>
      <c r="T790">
        <v>0.97</v>
      </c>
      <c r="U790" t="s">
        <v>227</v>
      </c>
      <c r="V790">
        <v>0.97</v>
      </c>
      <c r="W790">
        <v>19.7</v>
      </c>
      <c r="X790">
        <v>33.1</v>
      </c>
      <c r="Y790">
        <v>27</v>
      </c>
      <c r="Z790">
        <v>8.7856310855373987E-2</v>
      </c>
      <c r="AA790">
        <v>31.536000000000001</v>
      </c>
    </row>
    <row r="791" spans="1:27" x14ac:dyDescent="0.25">
      <c r="A791" t="s">
        <v>98</v>
      </c>
      <c r="B791" t="s">
        <v>99</v>
      </c>
      <c r="C791" t="s">
        <v>1028</v>
      </c>
      <c r="D791" t="s">
        <v>101</v>
      </c>
      <c r="E791" t="s">
        <v>179</v>
      </c>
      <c r="F791" t="s">
        <v>224</v>
      </c>
      <c r="G791" t="s">
        <v>103</v>
      </c>
      <c r="H791" t="s">
        <v>148</v>
      </c>
      <c r="I791">
        <v>2016</v>
      </c>
      <c r="J791" t="s">
        <v>292</v>
      </c>
      <c r="K791" t="s">
        <v>150</v>
      </c>
      <c r="L791" t="s">
        <v>1056</v>
      </c>
      <c r="M791" t="s">
        <v>1105</v>
      </c>
      <c r="N791">
        <v>1</v>
      </c>
      <c r="O791">
        <v>2020</v>
      </c>
      <c r="P791">
        <v>11126.65155658547</v>
      </c>
      <c r="Q791">
        <v>3.956165386225861</v>
      </c>
      <c r="R791" t="s">
        <v>109</v>
      </c>
      <c r="S791">
        <v>2812.4839258047741</v>
      </c>
      <c r="T791">
        <v>0.84</v>
      </c>
      <c r="U791" t="s">
        <v>227</v>
      </c>
      <c r="V791">
        <v>0.84</v>
      </c>
      <c r="W791">
        <v>18</v>
      </c>
      <c r="X791">
        <v>28</v>
      </c>
      <c r="Y791">
        <v>24</v>
      </c>
      <c r="Z791">
        <v>8.7856310855373987E-2</v>
      </c>
      <c r="AA791">
        <v>31.536000000000001</v>
      </c>
    </row>
    <row r="792" spans="1:27" x14ac:dyDescent="0.25">
      <c r="A792" t="s">
        <v>98</v>
      </c>
      <c r="B792" t="s">
        <v>99</v>
      </c>
      <c r="C792" t="s">
        <v>1028</v>
      </c>
      <c r="D792" t="s">
        <v>101</v>
      </c>
      <c r="E792" t="s">
        <v>179</v>
      </c>
      <c r="F792" t="s">
        <v>224</v>
      </c>
      <c r="G792" t="s">
        <v>103</v>
      </c>
      <c r="H792" t="s">
        <v>148</v>
      </c>
      <c r="I792">
        <v>2022</v>
      </c>
      <c r="J792" t="s">
        <v>294</v>
      </c>
      <c r="K792" t="s">
        <v>150</v>
      </c>
      <c r="L792" t="s">
        <v>1056</v>
      </c>
      <c r="M792" t="s">
        <v>1106</v>
      </c>
      <c r="N792">
        <v>1</v>
      </c>
      <c r="O792">
        <v>2022</v>
      </c>
      <c r="P792">
        <v>11492.45927899376</v>
      </c>
      <c r="Q792">
        <v>3.956165386225861</v>
      </c>
      <c r="R792" t="s">
        <v>109</v>
      </c>
      <c r="S792">
        <v>2904.949150762739</v>
      </c>
      <c r="T792">
        <v>0.86</v>
      </c>
      <c r="U792" t="s">
        <v>227</v>
      </c>
      <c r="V792">
        <v>0.86</v>
      </c>
      <c r="W792">
        <v>18</v>
      </c>
      <c r="X792">
        <v>28</v>
      </c>
      <c r="Y792">
        <v>24</v>
      </c>
      <c r="Z792">
        <v>8.7856310855373987E-2</v>
      </c>
      <c r="AA792">
        <v>31.536000000000001</v>
      </c>
    </row>
    <row r="793" spans="1:27" x14ac:dyDescent="0.25">
      <c r="A793" t="s">
        <v>98</v>
      </c>
      <c r="B793" t="s">
        <v>99</v>
      </c>
      <c r="C793" t="s">
        <v>1028</v>
      </c>
      <c r="D793" t="s">
        <v>101</v>
      </c>
      <c r="E793" t="s">
        <v>179</v>
      </c>
      <c r="F793" t="s">
        <v>224</v>
      </c>
      <c r="G793" t="s">
        <v>111</v>
      </c>
      <c r="H793" t="s">
        <v>148</v>
      </c>
      <c r="I793">
        <v>2016</v>
      </c>
      <c r="J793" t="s">
        <v>296</v>
      </c>
      <c r="K793" t="s">
        <v>150</v>
      </c>
      <c r="L793" t="s">
        <v>1056</v>
      </c>
      <c r="M793" t="s">
        <v>1107</v>
      </c>
      <c r="N793">
        <v>1</v>
      </c>
      <c r="O793">
        <v>2020</v>
      </c>
      <c r="P793">
        <v>11126.65155658547</v>
      </c>
      <c r="Q793">
        <v>3.956165386225861</v>
      </c>
      <c r="R793" t="s">
        <v>109</v>
      </c>
      <c r="S793">
        <v>2812.4839258047741</v>
      </c>
      <c r="T793">
        <v>0.84</v>
      </c>
      <c r="U793" t="s">
        <v>227</v>
      </c>
      <c r="V793">
        <v>0.84</v>
      </c>
      <c r="W793">
        <v>18</v>
      </c>
      <c r="X793">
        <v>28</v>
      </c>
      <c r="Y793">
        <v>24</v>
      </c>
      <c r="Z793">
        <v>8.7856310855373987E-2</v>
      </c>
      <c r="AA793">
        <v>31.536000000000001</v>
      </c>
    </row>
    <row r="794" spans="1:27" x14ac:dyDescent="0.25">
      <c r="A794" t="s">
        <v>98</v>
      </c>
      <c r="B794" t="s">
        <v>99</v>
      </c>
      <c r="C794" t="s">
        <v>1028</v>
      </c>
      <c r="D794" t="s">
        <v>101</v>
      </c>
      <c r="E794" t="s">
        <v>179</v>
      </c>
      <c r="F794" t="s">
        <v>224</v>
      </c>
      <c r="G794" t="s">
        <v>111</v>
      </c>
      <c r="H794" t="s">
        <v>148</v>
      </c>
      <c r="I794">
        <v>2022</v>
      </c>
      <c r="J794" t="s">
        <v>298</v>
      </c>
      <c r="K794" t="s">
        <v>150</v>
      </c>
      <c r="L794" t="s">
        <v>1056</v>
      </c>
      <c r="M794" t="s">
        <v>1108</v>
      </c>
      <c r="N794">
        <v>1</v>
      </c>
      <c r="O794">
        <v>2022</v>
      </c>
      <c r="P794">
        <v>11492.45927899376</v>
      </c>
      <c r="Q794">
        <v>3.956165386225861</v>
      </c>
      <c r="R794" t="s">
        <v>109</v>
      </c>
      <c r="S794">
        <v>2904.949150762739</v>
      </c>
      <c r="T794">
        <v>0.86</v>
      </c>
      <c r="U794" t="s">
        <v>227</v>
      </c>
      <c r="V794">
        <v>0.86</v>
      </c>
      <c r="W794">
        <v>18</v>
      </c>
      <c r="X794">
        <v>28</v>
      </c>
      <c r="Y794">
        <v>24</v>
      </c>
      <c r="Z794">
        <v>8.7856310855373987E-2</v>
      </c>
      <c r="AA794">
        <v>31.536000000000001</v>
      </c>
    </row>
    <row r="795" spans="1:27" x14ac:dyDescent="0.25">
      <c r="A795" t="s">
        <v>98</v>
      </c>
      <c r="B795" t="s">
        <v>99</v>
      </c>
      <c r="C795" t="s">
        <v>1028</v>
      </c>
      <c r="D795" t="s">
        <v>101</v>
      </c>
      <c r="E795" t="s">
        <v>179</v>
      </c>
      <c r="F795" t="s">
        <v>224</v>
      </c>
      <c r="G795" t="s">
        <v>114</v>
      </c>
      <c r="H795" t="s">
        <v>148</v>
      </c>
      <c r="I795">
        <v>2016</v>
      </c>
      <c r="J795" t="s">
        <v>300</v>
      </c>
      <c r="K795" t="s">
        <v>150</v>
      </c>
      <c r="L795" t="s">
        <v>1056</v>
      </c>
      <c r="M795" t="s">
        <v>1109</v>
      </c>
      <c r="N795">
        <v>1</v>
      </c>
      <c r="O795">
        <v>2020</v>
      </c>
      <c r="P795">
        <v>11492.45927899376</v>
      </c>
      <c r="Q795">
        <v>3.956165386225861</v>
      </c>
      <c r="R795" t="s">
        <v>109</v>
      </c>
      <c r="S795">
        <v>2904.949150762739</v>
      </c>
      <c r="T795">
        <v>0.87</v>
      </c>
      <c r="U795" t="s">
        <v>227</v>
      </c>
      <c r="V795">
        <v>0.87</v>
      </c>
      <c r="W795">
        <v>18</v>
      </c>
      <c r="X795">
        <v>28</v>
      </c>
      <c r="Y795">
        <v>24</v>
      </c>
      <c r="Z795">
        <v>8.7856310855373987E-2</v>
      </c>
      <c r="AA795">
        <v>31.536000000000001</v>
      </c>
    </row>
    <row r="796" spans="1:27" x14ac:dyDescent="0.25">
      <c r="A796" t="s">
        <v>98</v>
      </c>
      <c r="B796" t="s">
        <v>99</v>
      </c>
      <c r="C796" t="s">
        <v>1028</v>
      </c>
      <c r="D796" t="s">
        <v>101</v>
      </c>
      <c r="E796" t="s">
        <v>179</v>
      </c>
      <c r="F796" t="s">
        <v>224</v>
      </c>
      <c r="G796" t="s">
        <v>119</v>
      </c>
      <c r="H796" t="s">
        <v>148</v>
      </c>
      <c r="I796">
        <v>2016</v>
      </c>
      <c r="J796" t="s">
        <v>302</v>
      </c>
      <c r="K796" t="s">
        <v>150</v>
      </c>
      <c r="L796" t="s">
        <v>1056</v>
      </c>
      <c r="M796" t="s">
        <v>1110</v>
      </c>
      <c r="N796">
        <v>1</v>
      </c>
      <c r="O796">
        <v>2020</v>
      </c>
      <c r="P796">
        <v>13961.66140524971</v>
      </c>
      <c r="Q796">
        <v>3.956165386225861</v>
      </c>
      <c r="R796" t="s">
        <v>109</v>
      </c>
      <c r="S796">
        <v>3529.0894192290039</v>
      </c>
      <c r="T796">
        <v>0.9</v>
      </c>
      <c r="U796" t="s">
        <v>227</v>
      </c>
      <c r="V796">
        <v>0.9</v>
      </c>
      <c r="W796">
        <v>18</v>
      </c>
      <c r="X796">
        <v>28</v>
      </c>
      <c r="Y796">
        <v>24</v>
      </c>
      <c r="Z796">
        <v>8.7856310855373987E-2</v>
      </c>
      <c r="AA796">
        <v>31.536000000000001</v>
      </c>
    </row>
    <row r="797" spans="1:27" x14ac:dyDescent="0.25">
      <c r="A797" t="s">
        <v>98</v>
      </c>
      <c r="B797" t="s">
        <v>99</v>
      </c>
      <c r="C797" t="s">
        <v>1028</v>
      </c>
      <c r="D797" t="s">
        <v>101</v>
      </c>
      <c r="E797" t="s">
        <v>304</v>
      </c>
      <c r="F797" t="s">
        <v>180</v>
      </c>
      <c r="G797" t="s">
        <v>111</v>
      </c>
      <c r="H797" t="s">
        <v>104</v>
      </c>
      <c r="I797">
        <v>2016</v>
      </c>
      <c r="J797" t="s">
        <v>305</v>
      </c>
      <c r="K797" t="s">
        <v>106</v>
      </c>
      <c r="L797" t="s">
        <v>1111</v>
      </c>
      <c r="M797" t="s">
        <v>1112</v>
      </c>
      <c r="N797">
        <v>0</v>
      </c>
      <c r="O797">
        <v>2020</v>
      </c>
      <c r="P797">
        <v>8291.641707921226</v>
      </c>
      <c r="Q797">
        <v>2.0129588576131381</v>
      </c>
      <c r="R797" t="s">
        <v>109</v>
      </c>
      <c r="S797">
        <v>4119.1312363696416</v>
      </c>
      <c r="T797">
        <v>0.6</v>
      </c>
      <c r="U797" t="s">
        <v>184</v>
      </c>
      <c r="V797">
        <v>0.6</v>
      </c>
      <c r="W797">
        <v>12</v>
      </c>
      <c r="X797">
        <v>18</v>
      </c>
      <c r="Y797">
        <v>16</v>
      </c>
      <c r="Z797">
        <v>9.606602748064616E-2</v>
      </c>
      <c r="AA797">
        <v>31.536000000000001</v>
      </c>
    </row>
    <row r="798" spans="1:27" x14ac:dyDescent="0.25">
      <c r="A798" t="s">
        <v>98</v>
      </c>
      <c r="B798" t="s">
        <v>99</v>
      </c>
      <c r="C798" t="s">
        <v>1028</v>
      </c>
      <c r="D798" t="s">
        <v>101</v>
      </c>
      <c r="E798" t="s">
        <v>304</v>
      </c>
      <c r="F798" t="s">
        <v>180</v>
      </c>
      <c r="G798" t="s">
        <v>111</v>
      </c>
      <c r="H798" t="s">
        <v>104</v>
      </c>
      <c r="I798">
        <v>2020</v>
      </c>
      <c r="J798" t="s">
        <v>308</v>
      </c>
      <c r="K798" t="s">
        <v>106</v>
      </c>
      <c r="L798" t="s">
        <v>1111</v>
      </c>
      <c r="M798" t="s">
        <v>1112</v>
      </c>
      <c r="N798">
        <v>1</v>
      </c>
      <c r="O798">
        <v>2020</v>
      </c>
      <c r="P798">
        <v>8291.641707921226</v>
      </c>
      <c r="Q798">
        <v>2.0129588576131381</v>
      </c>
      <c r="R798" t="s">
        <v>109</v>
      </c>
      <c r="S798">
        <v>4119.1312363696416</v>
      </c>
      <c r="T798">
        <v>0.7</v>
      </c>
      <c r="U798" t="s">
        <v>184</v>
      </c>
      <c r="V798">
        <v>0.7</v>
      </c>
      <c r="W798">
        <v>12</v>
      </c>
      <c r="X798">
        <v>18</v>
      </c>
      <c r="Y798">
        <v>16</v>
      </c>
      <c r="Z798">
        <v>9.606602748064616E-2</v>
      </c>
      <c r="AA798">
        <v>31.536000000000001</v>
      </c>
    </row>
    <row r="799" spans="1:27" x14ac:dyDescent="0.25">
      <c r="A799" t="s">
        <v>98</v>
      </c>
      <c r="B799" t="s">
        <v>99</v>
      </c>
      <c r="C799" t="s">
        <v>1028</v>
      </c>
      <c r="D799" t="s">
        <v>101</v>
      </c>
      <c r="E799" t="s">
        <v>304</v>
      </c>
      <c r="F799" t="s">
        <v>180</v>
      </c>
      <c r="G799" t="s">
        <v>103</v>
      </c>
      <c r="H799" t="s">
        <v>125</v>
      </c>
      <c r="I799">
        <v>2016</v>
      </c>
      <c r="J799" t="s">
        <v>309</v>
      </c>
      <c r="K799" t="s">
        <v>127</v>
      </c>
      <c r="L799" t="s">
        <v>1111</v>
      </c>
      <c r="M799" t="s">
        <v>1113</v>
      </c>
      <c r="N799">
        <v>1</v>
      </c>
      <c r="O799">
        <v>2020</v>
      </c>
      <c r="P799">
        <v>2956.9457561336731</v>
      </c>
      <c r="Q799">
        <v>2.0129588576131381</v>
      </c>
      <c r="R799" t="s">
        <v>109</v>
      </c>
      <c r="S799">
        <v>1468.9548894406439</v>
      </c>
      <c r="T799">
        <v>4.1031652989449006</v>
      </c>
      <c r="U799" t="s">
        <v>184</v>
      </c>
      <c r="V799">
        <v>4.1031652989449006</v>
      </c>
      <c r="W799">
        <v>9</v>
      </c>
      <c r="X799">
        <v>22</v>
      </c>
      <c r="Y799">
        <v>16</v>
      </c>
      <c r="Z799">
        <v>9.606602748064616E-2</v>
      </c>
      <c r="AA799">
        <v>31.536000000000001</v>
      </c>
    </row>
    <row r="800" spans="1:27" x14ac:dyDescent="0.25">
      <c r="A800" t="s">
        <v>98</v>
      </c>
      <c r="B800" t="s">
        <v>99</v>
      </c>
      <c r="C800" t="s">
        <v>1028</v>
      </c>
      <c r="D800" t="s">
        <v>101</v>
      </c>
      <c r="E800" t="s">
        <v>304</v>
      </c>
      <c r="F800" t="s">
        <v>180</v>
      </c>
      <c r="G800" t="s">
        <v>103</v>
      </c>
      <c r="H800" t="s">
        <v>125</v>
      </c>
      <c r="I800">
        <v>2023</v>
      </c>
      <c r="J800" t="s">
        <v>311</v>
      </c>
      <c r="K800" t="s">
        <v>127</v>
      </c>
      <c r="L800" t="s">
        <v>1111</v>
      </c>
      <c r="M800" t="s">
        <v>1114</v>
      </c>
      <c r="N800">
        <v>1</v>
      </c>
      <c r="O800">
        <v>2023</v>
      </c>
      <c r="P800">
        <v>2956.9457561336731</v>
      </c>
      <c r="Q800">
        <v>2.0129588576131381</v>
      </c>
      <c r="R800" t="s">
        <v>109</v>
      </c>
      <c r="S800">
        <v>1468.9548894406439</v>
      </c>
      <c r="T800">
        <v>4.1031652989449006</v>
      </c>
      <c r="U800" t="s">
        <v>184</v>
      </c>
      <c r="V800">
        <v>4.1031652989449006</v>
      </c>
      <c r="W800">
        <v>9</v>
      </c>
      <c r="X800">
        <v>22</v>
      </c>
      <c r="Y800">
        <v>16</v>
      </c>
      <c r="Z800">
        <v>9.606602748064616E-2</v>
      </c>
      <c r="AA800">
        <v>31.536000000000001</v>
      </c>
    </row>
    <row r="801" spans="1:27" x14ac:dyDescent="0.25">
      <c r="A801" t="s">
        <v>98</v>
      </c>
      <c r="B801" t="s">
        <v>99</v>
      </c>
      <c r="C801" t="s">
        <v>1028</v>
      </c>
      <c r="D801" t="s">
        <v>101</v>
      </c>
      <c r="E801" t="s">
        <v>304</v>
      </c>
      <c r="F801" t="s">
        <v>180</v>
      </c>
      <c r="G801" t="s">
        <v>111</v>
      </c>
      <c r="H801" t="s">
        <v>125</v>
      </c>
      <c r="I801">
        <v>2016</v>
      </c>
      <c r="J801" t="s">
        <v>313</v>
      </c>
      <c r="K801" t="s">
        <v>127</v>
      </c>
      <c r="L801" t="s">
        <v>1111</v>
      </c>
      <c r="M801" t="s">
        <v>1115</v>
      </c>
      <c r="N801">
        <v>1</v>
      </c>
      <c r="O801">
        <v>2020</v>
      </c>
      <c r="P801">
        <v>3109.3656404704602</v>
      </c>
      <c r="Q801">
        <v>2.0129588576131381</v>
      </c>
      <c r="R801" t="s">
        <v>109</v>
      </c>
      <c r="S801">
        <v>1544.6742136386149</v>
      </c>
      <c r="T801">
        <v>4.484173505275499</v>
      </c>
      <c r="U801" t="s">
        <v>184</v>
      </c>
      <c r="V801">
        <v>4.484173505275499</v>
      </c>
      <c r="W801">
        <v>9</v>
      </c>
      <c r="X801">
        <v>22</v>
      </c>
      <c r="Y801">
        <v>16</v>
      </c>
      <c r="Z801">
        <v>9.606602748064616E-2</v>
      </c>
      <c r="AA801">
        <v>31.536000000000001</v>
      </c>
    </row>
    <row r="802" spans="1:27" x14ac:dyDescent="0.25">
      <c r="A802" t="s">
        <v>98</v>
      </c>
      <c r="B802" t="s">
        <v>99</v>
      </c>
      <c r="C802" t="s">
        <v>1028</v>
      </c>
      <c r="D802" t="s">
        <v>101</v>
      </c>
      <c r="E802" t="s">
        <v>304</v>
      </c>
      <c r="F802" t="s">
        <v>180</v>
      </c>
      <c r="G802" t="s">
        <v>111</v>
      </c>
      <c r="H802" t="s">
        <v>125</v>
      </c>
      <c r="I802">
        <v>2023</v>
      </c>
      <c r="J802" t="s">
        <v>315</v>
      </c>
      <c r="K802" t="s">
        <v>127</v>
      </c>
      <c r="L802" t="s">
        <v>1111</v>
      </c>
      <c r="M802" t="s">
        <v>1116</v>
      </c>
      <c r="N802">
        <v>1</v>
      </c>
      <c r="O802">
        <v>2023</v>
      </c>
      <c r="P802">
        <v>3139.8496173378171</v>
      </c>
      <c r="Q802">
        <v>2.0129588576131381</v>
      </c>
      <c r="R802" t="s">
        <v>109</v>
      </c>
      <c r="S802">
        <v>1559.8180784782101</v>
      </c>
      <c r="T802">
        <v>4.6307151230949586</v>
      </c>
      <c r="U802" t="s">
        <v>184</v>
      </c>
      <c r="V802">
        <v>4.6307151230949586</v>
      </c>
      <c r="W802">
        <v>9</v>
      </c>
      <c r="X802">
        <v>22</v>
      </c>
      <c r="Y802">
        <v>16</v>
      </c>
      <c r="Z802">
        <v>9.606602748064616E-2</v>
      </c>
      <c r="AA802">
        <v>31.536000000000001</v>
      </c>
    </row>
    <row r="803" spans="1:27" x14ac:dyDescent="0.25">
      <c r="A803" t="s">
        <v>98</v>
      </c>
      <c r="B803" t="s">
        <v>99</v>
      </c>
      <c r="C803" t="s">
        <v>1028</v>
      </c>
      <c r="D803" t="s">
        <v>101</v>
      </c>
      <c r="E803" t="s">
        <v>304</v>
      </c>
      <c r="F803" t="s">
        <v>180</v>
      </c>
      <c r="G803" t="s">
        <v>114</v>
      </c>
      <c r="H803" t="s">
        <v>125</v>
      </c>
      <c r="I803">
        <v>2016</v>
      </c>
      <c r="J803" t="s">
        <v>317</v>
      </c>
      <c r="K803" t="s">
        <v>127</v>
      </c>
      <c r="L803" t="s">
        <v>1111</v>
      </c>
      <c r="M803" t="s">
        <v>1117</v>
      </c>
      <c r="N803">
        <v>1</v>
      </c>
      <c r="O803">
        <v>2020</v>
      </c>
      <c r="P803">
        <v>3017.9137098683868</v>
      </c>
      <c r="Q803">
        <v>2.0129588576131381</v>
      </c>
      <c r="R803" t="s">
        <v>109</v>
      </c>
      <c r="S803">
        <v>1499.2426191198331</v>
      </c>
      <c r="T803">
        <v>4.3962485345838216</v>
      </c>
      <c r="U803" t="s">
        <v>184</v>
      </c>
      <c r="V803">
        <v>4.3962485345838216</v>
      </c>
      <c r="W803">
        <v>9</v>
      </c>
      <c r="X803">
        <v>22</v>
      </c>
      <c r="Y803">
        <v>16</v>
      </c>
      <c r="Z803">
        <v>9.606602748064616E-2</v>
      </c>
      <c r="AA803">
        <v>31.536000000000001</v>
      </c>
    </row>
    <row r="804" spans="1:27" x14ac:dyDescent="0.25">
      <c r="A804" t="s">
        <v>98</v>
      </c>
      <c r="B804" t="s">
        <v>99</v>
      </c>
      <c r="C804" t="s">
        <v>1028</v>
      </c>
      <c r="D804" t="s">
        <v>101</v>
      </c>
      <c r="E804" t="s">
        <v>304</v>
      </c>
      <c r="F804" t="s">
        <v>180</v>
      </c>
      <c r="G804" t="s">
        <v>114</v>
      </c>
      <c r="H804" t="s">
        <v>125</v>
      </c>
      <c r="I804">
        <v>2022</v>
      </c>
      <c r="J804" t="s">
        <v>319</v>
      </c>
      <c r="K804" t="s">
        <v>127</v>
      </c>
      <c r="L804" t="s">
        <v>1111</v>
      </c>
      <c r="M804" t="s">
        <v>1118</v>
      </c>
      <c r="N804">
        <v>1</v>
      </c>
      <c r="O804">
        <v>2022</v>
      </c>
      <c r="P804">
        <v>3017.9137098683868</v>
      </c>
      <c r="Q804">
        <v>2.0129588576131381</v>
      </c>
      <c r="R804" t="s">
        <v>109</v>
      </c>
      <c r="S804">
        <v>1499.2426191198331</v>
      </c>
      <c r="T804">
        <v>4.3962485345838216</v>
      </c>
      <c r="U804" t="s">
        <v>184</v>
      </c>
      <c r="V804">
        <v>4.3962485345838216</v>
      </c>
      <c r="W804">
        <v>9</v>
      </c>
      <c r="X804">
        <v>22</v>
      </c>
      <c r="Y804">
        <v>16</v>
      </c>
      <c r="Z804">
        <v>9.606602748064616E-2</v>
      </c>
      <c r="AA804">
        <v>31.536000000000001</v>
      </c>
    </row>
    <row r="805" spans="1:27" x14ac:dyDescent="0.25">
      <c r="A805" t="s">
        <v>98</v>
      </c>
      <c r="B805" t="s">
        <v>99</v>
      </c>
      <c r="C805" t="s">
        <v>1028</v>
      </c>
      <c r="D805" t="s">
        <v>101</v>
      </c>
      <c r="E805" t="s">
        <v>304</v>
      </c>
      <c r="F805" t="s">
        <v>180</v>
      </c>
      <c r="G805" t="s">
        <v>114</v>
      </c>
      <c r="H805" t="s">
        <v>125</v>
      </c>
      <c r="I805">
        <v>2023</v>
      </c>
      <c r="J805" t="s">
        <v>321</v>
      </c>
      <c r="K805" t="s">
        <v>127</v>
      </c>
      <c r="L805" t="s">
        <v>1111</v>
      </c>
      <c r="M805" t="s">
        <v>1119</v>
      </c>
      <c r="N805">
        <v>1</v>
      </c>
      <c r="O805">
        <v>2023</v>
      </c>
      <c r="P805">
        <v>3266.447780092843</v>
      </c>
      <c r="Q805">
        <v>2.0129588576131381</v>
      </c>
      <c r="R805" t="s">
        <v>109</v>
      </c>
      <c r="S805">
        <v>1622.7096583414659</v>
      </c>
      <c r="T805">
        <v>4.6893317702227444</v>
      </c>
      <c r="U805" t="s">
        <v>184</v>
      </c>
      <c r="V805">
        <v>4.6893317702227444</v>
      </c>
      <c r="W805">
        <v>9</v>
      </c>
      <c r="X805">
        <v>22</v>
      </c>
      <c r="Y805">
        <v>16</v>
      </c>
      <c r="Z805">
        <v>9.606602748064616E-2</v>
      </c>
      <c r="AA805">
        <v>31.536000000000001</v>
      </c>
    </row>
    <row r="806" spans="1:27" x14ac:dyDescent="0.25">
      <c r="A806" t="s">
        <v>98</v>
      </c>
      <c r="B806" t="s">
        <v>99</v>
      </c>
      <c r="C806" t="s">
        <v>1028</v>
      </c>
      <c r="D806" t="s">
        <v>101</v>
      </c>
      <c r="E806" t="s">
        <v>304</v>
      </c>
      <c r="F806" t="s">
        <v>180</v>
      </c>
      <c r="G806" t="s">
        <v>119</v>
      </c>
      <c r="H806" t="s">
        <v>125</v>
      </c>
      <c r="I806">
        <v>2016</v>
      </c>
      <c r="J806" t="s">
        <v>323</v>
      </c>
      <c r="K806" t="s">
        <v>127</v>
      </c>
      <c r="L806" t="s">
        <v>1111</v>
      </c>
      <c r="M806" t="s">
        <v>1120</v>
      </c>
      <c r="N806">
        <v>1</v>
      </c>
      <c r="O806">
        <v>2020</v>
      </c>
      <c r="P806">
        <v>3719.0451778176089</v>
      </c>
      <c r="Q806">
        <v>2.0129588576131381</v>
      </c>
      <c r="R806" t="s">
        <v>109</v>
      </c>
      <c r="S806">
        <v>1847.5515104305009</v>
      </c>
      <c r="T806">
        <v>5.5685814771395066</v>
      </c>
      <c r="U806" t="s">
        <v>184</v>
      </c>
      <c r="V806">
        <v>5.5685814771395066</v>
      </c>
      <c r="W806">
        <v>9</v>
      </c>
      <c r="X806">
        <v>22</v>
      </c>
      <c r="Y806">
        <v>16</v>
      </c>
      <c r="Z806">
        <v>9.606602748064616E-2</v>
      </c>
      <c r="AA806">
        <v>31.536000000000001</v>
      </c>
    </row>
    <row r="807" spans="1:27" x14ac:dyDescent="0.25">
      <c r="A807" t="s">
        <v>98</v>
      </c>
      <c r="B807" t="s">
        <v>99</v>
      </c>
      <c r="C807" t="s">
        <v>1028</v>
      </c>
      <c r="D807" t="s">
        <v>101</v>
      </c>
      <c r="E807" t="s">
        <v>304</v>
      </c>
      <c r="F807" t="s">
        <v>180</v>
      </c>
      <c r="G807" t="s">
        <v>119</v>
      </c>
      <c r="H807" t="s">
        <v>125</v>
      </c>
      <c r="I807">
        <v>2022</v>
      </c>
      <c r="J807" t="s">
        <v>325</v>
      </c>
      <c r="K807" t="s">
        <v>127</v>
      </c>
      <c r="L807" t="s">
        <v>1111</v>
      </c>
      <c r="M807" t="s">
        <v>1121</v>
      </c>
      <c r="N807">
        <v>1</v>
      </c>
      <c r="O807">
        <v>2022</v>
      </c>
      <c r="P807">
        <v>3914.784397702746</v>
      </c>
      <c r="Q807">
        <v>2.0129588576131381</v>
      </c>
      <c r="R807" t="s">
        <v>109</v>
      </c>
      <c r="S807">
        <v>1944.791063611053</v>
      </c>
      <c r="T807">
        <v>5.8616647127784294</v>
      </c>
      <c r="U807" t="s">
        <v>184</v>
      </c>
      <c r="V807">
        <v>5.8616647127784294</v>
      </c>
      <c r="W807">
        <v>9</v>
      </c>
      <c r="X807">
        <v>22</v>
      </c>
      <c r="Y807">
        <v>16</v>
      </c>
      <c r="Z807">
        <v>9.606602748064616E-2</v>
      </c>
      <c r="AA807">
        <v>31.536000000000001</v>
      </c>
    </row>
    <row r="808" spans="1:27" x14ac:dyDescent="0.25">
      <c r="A808" t="s">
        <v>98</v>
      </c>
      <c r="B808" t="s">
        <v>99</v>
      </c>
      <c r="C808" t="s">
        <v>1028</v>
      </c>
      <c r="D808" t="s">
        <v>101</v>
      </c>
      <c r="E808" t="s">
        <v>304</v>
      </c>
      <c r="F808" t="s">
        <v>201</v>
      </c>
      <c r="G808" t="s">
        <v>103</v>
      </c>
      <c r="H808" t="s">
        <v>125</v>
      </c>
      <c r="I808">
        <v>2016</v>
      </c>
      <c r="J808" t="s">
        <v>327</v>
      </c>
      <c r="K808" t="s">
        <v>127</v>
      </c>
      <c r="L808" t="s">
        <v>1111</v>
      </c>
      <c r="M808" t="s">
        <v>1122</v>
      </c>
      <c r="N808">
        <v>1</v>
      </c>
      <c r="O808">
        <v>2020</v>
      </c>
      <c r="P808">
        <v>9511.0007826155233</v>
      </c>
      <c r="Q808">
        <v>2.0129588576131381</v>
      </c>
      <c r="R808" t="s">
        <v>109</v>
      </c>
      <c r="S808">
        <v>4724.8858299534113</v>
      </c>
      <c r="T808">
        <v>14.1</v>
      </c>
      <c r="U808" t="s">
        <v>329</v>
      </c>
      <c r="V808">
        <v>4.1348973607038122</v>
      </c>
      <c r="W808">
        <v>8</v>
      </c>
      <c r="X808">
        <v>20.8</v>
      </c>
      <c r="Y808">
        <v>15</v>
      </c>
      <c r="Z808">
        <v>9.606602748064616E-2</v>
      </c>
      <c r="AA808">
        <v>31.536000000000001</v>
      </c>
    </row>
    <row r="809" spans="1:27" x14ac:dyDescent="0.25">
      <c r="A809" t="s">
        <v>98</v>
      </c>
      <c r="B809" t="s">
        <v>99</v>
      </c>
      <c r="C809" t="s">
        <v>1028</v>
      </c>
      <c r="D809" t="s">
        <v>101</v>
      </c>
      <c r="E809" t="s">
        <v>304</v>
      </c>
      <c r="F809" t="s">
        <v>201</v>
      </c>
      <c r="G809" t="s">
        <v>111</v>
      </c>
      <c r="H809" t="s">
        <v>125</v>
      </c>
      <c r="I809">
        <v>2016</v>
      </c>
      <c r="J809" t="s">
        <v>330</v>
      </c>
      <c r="K809" t="s">
        <v>127</v>
      </c>
      <c r="L809" t="s">
        <v>1111</v>
      </c>
      <c r="M809" t="s">
        <v>1123</v>
      </c>
      <c r="N809">
        <v>1</v>
      </c>
      <c r="O809">
        <v>2020</v>
      </c>
      <c r="P809">
        <v>9846.3245281564559</v>
      </c>
      <c r="Q809">
        <v>2.0129588576131381</v>
      </c>
      <c r="R809" t="s">
        <v>109</v>
      </c>
      <c r="S809">
        <v>4891.4683431889489</v>
      </c>
      <c r="T809">
        <v>17.3</v>
      </c>
      <c r="U809" t="s">
        <v>329</v>
      </c>
      <c r="V809">
        <v>5.0733137829912023</v>
      </c>
      <c r="W809">
        <v>8</v>
      </c>
      <c r="X809">
        <v>20.8</v>
      </c>
      <c r="Y809">
        <v>15</v>
      </c>
      <c r="Z809">
        <v>9.606602748064616E-2</v>
      </c>
      <c r="AA809">
        <v>31.536000000000001</v>
      </c>
    </row>
    <row r="810" spans="1:27" x14ac:dyDescent="0.25">
      <c r="A810" t="s">
        <v>98</v>
      </c>
      <c r="B810" t="s">
        <v>99</v>
      </c>
      <c r="C810" t="s">
        <v>1028</v>
      </c>
      <c r="D810" t="s">
        <v>101</v>
      </c>
      <c r="E810" t="s">
        <v>304</v>
      </c>
      <c r="F810" t="s">
        <v>201</v>
      </c>
      <c r="G810" t="s">
        <v>114</v>
      </c>
      <c r="H810" t="s">
        <v>125</v>
      </c>
      <c r="I810">
        <v>2016</v>
      </c>
      <c r="J810" t="s">
        <v>332</v>
      </c>
      <c r="K810" t="s">
        <v>127</v>
      </c>
      <c r="L810" t="s">
        <v>1111</v>
      </c>
      <c r="M810" t="s">
        <v>1124</v>
      </c>
      <c r="N810">
        <v>0</v>
      </c>
      <c r="O810">
        <v>2020</v>
      </c>
      <c r="P810">
        <v>9846.3245281564559</v>
      </c>
      <c r="Q810">
        <v>2.0129588576131381</v>
      </c>
      <c r="R810" t="s">
        <v>109</v>
      </c>
      <c r="S810">
        <v>4891.4683431889489</v>
      </c>
      <c r="T810">
        <v>17.100000000000001</v>
      </c>
      <c r="U810" t="s">
        <v>329</v>
      </c>
      <c r="V810">
        <v>5.0146627565982396</v>
      </c>
      <c r="W810">
        <v>8</v>
      </c>
      <c r="X810">
        <v>20.8</v>
      </c>
      <c r="Y810">
        <v>15</v>
      </c>
      <c r="Z810">
        <v>9.606602748064616E-2</v>
      </c>
      <c r="AA810">
        <v>31.536000000000001</v>
      </c>
    </row>
    <row r="811" spans="1:27" x14ac:dyDescent="0.25">
      <c r="A811" t="s">
        <v>98</v>
      </c>
      <c r="B811" t="s">
        <v>99</v>
      </c>
      <c r="C811" t="s">
        <v>1028</v>
      </c>
      <c r="D811" t="s">
        <v>101</v>
      </c>
      <c r="E811" t="s">
        <v>304</v>
      </c>
      <c r="F811" t="s">
        <v>201</v>
      </c>
      <c r="G811" t="s">
        <v>114</v>
      </c>
      <c r="H811" t="s">
        <v>125</v>
      </c>
      <c r="I811">
        <v>2020</v>
      </c>
      <c r="J811" t="s">
        <v>334</v>
      </c>
      <c r="K811" t="s">
        <v>127</v>
      </c>
      <c r="L811" t="s">
        <v>1111</v>
      </c>
      <c r="M811" t="s">
        <v>1124</v>
      </c>
      <c r="N811">
        <v>1</v>
      </c>
      <c r="O811">
        <v>2020</v>
      </c>
      <c r="P811">
        <v>9846.3245281564559</v>
      </c>
      <c r="Q811">
        <v>2.0129588576131381</v>
      </c>
      <c r="R811" t="s">
        <v>109</v>
      </c>
      <c r="S811">
        <v>4891.4683431889489</v>
      </c>
      <c r="T811">
        <v>17.100000000000001</v>
      </c>
      <c r="U811" t="s">
        <v>329</v>
      </c>
      <c r="V811">
        <v>5.0146627565982396</v>
      </c>
      <c r="W811">
        <v>8</v>
      </c>
      <c r="X811">
        <v>20.8</v>
      </c>
      <c r="Y811">
        <v>15</v>
      </c>
      <c r="Z811">
        <v>9.606602748064616E-2</v>
      </c>
      <c r="AA811">
        <v>31.536000000000001</v>
      </c>
    </row>
    <row r="812" spans="1:27" x14ac:dyDescent="0.25">
      <c r="A812" t="s">
        <v>98</v>
      </c>
      <c r="B812" t="s">
        <v>99</v>
      </c>
      <c r="C812" t="s">
        <v>1028</v>
      </c>
      <c r="D812" t="s">
        <v>101</v>
      </c>
      <c r="E812" t="s">
        <v>304</v>
      </c>
      <c r="F812" t="s">
        <v>201</v>
      </c>
      <c r="G812" t="s">
        <v>114</v>
      </c>
      <c r="H812" t="s">
        <v>125</v>
      </c>
      <c r="I812">
        <v>2022</v>
      </c>
      <c r="J812" t="s">
        <v>335</v>
      </c>
      <c r="K812" t="s">
        <v>127</v>
      </c>
      <c r="L812" t="s">
        <v>1111</v>
      </c>
      <c r="M812" t="s">
        <v>1125</v>
      </c>
      <c r="N812">
        <v>1</v>
      </c>
      <c r="O812">
        <v>2022</v>
      </c>
      <c r="P812">
        <v>9846.3245281564559</v>
      </c>
      <c r="Q812">
        <v>2.0129588576131381</v>
      </c>
      <c r="R812" t="s">
        <v>109</v>
      </c>
      <c r="S812">
        <v>4891.4683431889489</v>
      </c>
      <c r="T812">
        <v>17.100000000000001</v>
      </c>
      <c r="U812" t="s">
        <v>329</v>
      </c>
      <c r="V812">
        <v>5.0146627565982396</v>
      </c>
      <c r="W812">
        <v>8</v>
      </c>
      <c r="X812">
        <v>20.8</v>
      </c>
      <c r="Y812">
        <v>15</v>
      </c>
      <c r="Z812">
        <v>9.606602748064616E-2</v>
      </c>
      <c r="AA812">
        <v>31.536000000000001</v>
      </c>
    </row>
    <row r="813" spans="1:27" x14ac:dyDescent="0.25">
      <c r="A813" t="s">
        <v>98</v>
      </c>
      <c r="B813" t="s">
        <v>99</v>
      </c>
      <c r="C813" t="s">
        <v>1028</v>
      </c>
      <c r="D813" t="s">
        <v>101</v>
      </c>
      <c r="E813" t="s">
        <v>304</v>
      </c>
      <c r="F813" t="s">
        <v>201</v>
      </c>
      <c r="G813" t="s">
        <v>114</v>
      </c>
      <c r="H813" t="s">
        <v>125</v>
      </c>
      <c r="I813">
        <v>2023</v>
      </c>
      <c r="J813" t="s">
        <v>337</v>
      </c>
      <c r="K813" t="s">
        <v>127</v>
      </c>
      <c r="L813" t="s">
        <v>1111</v>
      </c>
      <c r="M813" t="s">
        <v>1126</v>
      </c>
      <c r="N813">
        <v>1</v>
      </c>
      <c r="O813">
        <v>2023</v>
      </c>
      <c r="P813">
        <v>9846.3245281564559</v>
      </c>
      <c r="Q813">
        <v>2.0129588576131381</v>
      </c>
      <c r="R813" t="s">
        <v>109</v>
      </c>
      <c r="S813">
        <v>4891.4683431889489</v>
      </c>
      <c r="T813">
        <v>17.100000000000001</v>
      </c>
      <c r="U813" t="s">
        <v>329</v>
      </c>
      <c r="V813">
        <v>5.0146627565982396</v>
      </c>
      <c r="W813">
        <v>8</v>
      </c>
      <c r="X813">
        <v>20.8</v>
      </c>
      <c r="Y813">
        <v>15</v>
      </c>
      <c r="Z813">
        <v>9.606602748064616E-2</v>
      </c>
      <c r="AA813">
        <v>31.536000000000001</v>
      </c>
    </row>
    <row r="814" spans="1:27" x14ac:dyDescent="0.25">
      <c r="A814" t="s">
        <v>98</v>
      </c>
      <c r="B814" t="s">
        <v>99</v>
      </c>
      <c r="C814" t="s">
        <v>1028</v>
      </c>
      <c r="D814" t="s">
        <v>101</v>
      </c>
      <c r="E814" t="s">
        <v>304</v>
      </c>
      <c r="F814" t="s">
        <v>201</v>
      </c>
      <c r="G814" t="s">
        <v>114</v>
      </c>
      <c r="H814" t="s">
        <v>125</v>
      </c>
      <c r="I814">
        <v>2024</v>
      </c>
      <c r="J814" t="s">
        <v>339</v>
      </c>
      <c r="K814" t="s">
        <v>127</v>
      </c>
      <c r="L814" t="s">
        <v>1111</v>
      </c>
      <c r="M814" t="s">
        <v>1127</v>
      </c>
      <c r="N814">
        <v>1</v>
      </c>
      <c r="O814">
        <v>2024</v>
      </c>
      <c r="P814">
        <v>9846.3245281564559</v>
      </c>
      <c r="Q814">
        <v>2.0129588576131381</v>
      </c>
      <c r="R814" t="s">
        <v>109</v>
      </c>
      <c r="S814">
        <v>4891.4683431889489</v>
      </c>
      <c r="T814">
        <v>17.100000000000001</v>
      </c>
      <c r="U814" t="s">
        <v>329</v>
      </c>
      <c r="V814">
        <v>5.0146627565982396</v>
      </c>
      <c r="W814">
        <v>8</v>
      </c>
      <c r="X814">
        <v>20.8</v>
      </c>
      <c r="Y814">
        <v>15</v>
      </c>
      <c r="Z814">
        <v>9.606602748064616E-2</v>
      </c>
      <c r="AA814">
        <v>31.536000000000001</v>
      </c>
    </row>
    <row r="815" spans="1:27" x14ac:dyDescent="0.25">
      <c r="A815" t="s">
        <v>98</v>
      </c>
      <c r="B815" t="s">
        <v>99</v>
      </c>
      <c r="C815" t="s">
        <v>1028</v>
      </c>
      <c r="D815" t="s">
        <v>101</v>
      </c>
      <c r="E815" t="s">
        <v>304</v>
      </c>
      <c r="F815" t="s">
        <v>201</v>
      </c>
      <c r="G815" t="s">
        <v>119</v>
      </c>
      <c r="H815" t="s">
        <v>125</v>
      </c>
      <c r="I815">
        <v>2016</v>
      </c>
      <c r="J815" t="s">
        <v>341</v>
      </c>
      <c r="K815" t="s">
        <v>127</v>
      </c>
      <c r="L815" t="s">
        <v>1111</v>
      </c>
      <c r="M815" t="s">
        <v>1128</v>
      </c>
      <c r="N815">
        <v>0</v>
      </c>
      <c r="O815">
        <v>2020</v>
      </c>
      <c r="P815">
        <v>10395.03611176889</v>
      </c>
      <c r="Q815">
        <v>2.0129588576131381</v>
      </c>
      <c r="R815" t="s">
        <v>109</v>
      </c>
      <c r="S815">
        <v>5164.0579103016453</v>
      </c>
      <c r="T815">
        <v>22.4</v>
      </c>
      <c r="U815" t="s">
        <v>329</v>
      </c>
      <c r="V815">
        <v>6.5689149560117297</v>
      </c>
      <c r="W815">
        <v>8</v>
      </c>
      <c r="X815">
        <v>20.8</v>
      </c>
      <c r="Y815">
        <v>15</v>
      </c>
      <c r="Z815">
        <v>9.606602748064616E-2</v>
      </c>
      <c r="AA815">
        <v>31.536000000000001</v>
      </c>
    </row>
    <row r="816" spans="1:27" x14ac:dyDescent="0.25">
      <c r="A816" t="s">
        <v>98</v>
      </c>
      <c r="B816" t="s">
        <v>99</v>
      </c>
      <c r="C816" t="s">
        <v>1028</v>
      </c>
      <c r="D816" t="s">
        <v>101</v>
      </c>
      <c r="E816" t="s">
        <v>304</v>
      </c>
      <c r="F816" t="s">
        <v>201</v>
      </c>
      <c r="G816" t="s">
        <v>119</v>
      </c>
      <c r="H816" t="s">
        <v>125</v>
      </c>
      <c r="I816">
        <v>2020</v>
      </c>
      <c r="J816" t="s">
        <v>343</v>
      </c>
      <c r="K816" t="s">
        <v>127</v>
      </c>
      <c r="L816" t="s">
        <v>1111</v>
      </c>
      <c r="M816" t="s">
        <v>1128</v>
      </c>
      <c r="N816">
        <v>1</v>
      </c>
      <c r="O816">
        <v>2020</v>
      </c>
      <c r="P816">
        <v>10395.03611176889</v>
      </c>
      <c r="Q816">
        <v>2.0129588576131381</v>
      </c>
      <c r="R816" t="s">
        <v>109</v>
      </c>
      <c r="S816">
        <v>5164.0579103016453</v>
      </c>
      <c r="T816">
        <v>22.4</v>
      </c>
      <c r="U816" t="s">
        <v>329</v>
      </c>
      <c r="V816">
        <v>6.5689149560117297</v>
      </c>
      <c r="W816">
        <v>8</v>
      </c>
      <c r="X816">
        <v>20.8</v>
      </c>
      <c r="Y816">
        <v>15</v>
      </c>
      <c r="Z816">
        <v>9.606602748064616E-2</v>
      </c>
      <c r="AA816">
        <v>31.536000000000001</v>
      </c>
    </row>
    <row r="817" spans="1:27" x14ac:dyDescent="0.25">
      <c r="A817" t="s">
        <v>98</v>
      </c>
      <c r="B817" t="s">
        <v>99</v>
      </c>
      <c r="C817" t="s">
        <v>1028</v>
      </c>
      <c r="D817" t="s">
        <v>101</v>
      </c>
      <c r="E817" t="s">
        <v>304</v>
      </c>
      <c r="F817" t="s">
        <v>201</v>
      </c>
      <c r="G817" t="s">
        <v>119</v>
      </c>
      <c r="H817" t="s">
        <v>125</v>
      </c>
      <c r="I817">
        <v>2022</v>
      </c>
      <c r="J817" t="s">
        <v>344</v>
      </c>
      <c r="K817" t="s">
        <v>127</v>
      </c>
      <c r="L817" t="s">
        <v>1111</v>
      </c>
      <c r="M817" t="s">
        <v>1129</v>
      </c>
      <c r="N817">
        <v>1</v>
      </c>
      <c r="O817">
        <v>2022</v>
      </c>
      <c r="P817">
        <v>10395.03611176889</v>
      </c>
      <c r="Q817">
        <v>2.0129588576131381</v>
      </c>
      <c r="R817" t="s">
        <v>109</v>
      </c>
      <c r="S817">
        <v>5164.0579103016453</v>
      </c>
      <c r="T817">
        <v>22.4</v>
      </c>
      <c r="U817" t="s">
        <v>329</v>
      </c>
      <c r="V817">
        <v>6.5689149560117297</v>
      </c>
      <c r="W817">
        <v>8</v>
      </c>
      <c r="X817">
        <v>20.8</v>
      </c>
      <c r="Y817">
        <v>15</v>
      </c>
      <c r="Z817">
        <v>9.606602748064616E-2</v>
      </c>
      <c r="AA817">
        <v>31.536000000000001</v>
      </c>
    </row>
    <row r="818" spans="1:27" x14ac:dyDescent="0.25">
      <c r="A818" t="s">
        <v>98</v>
      </c>
      <c r="B818" t="s">
        <v>99</v>
      </c>
      <c r="C818" t="s">
        <v>1028</v>
      </c>
      <c r="D818" t="s">
        <v>101</v>
      </c>
      <c r="E818" t="s">
        <v>304</v>
      </c>
      <c r="F818" t="s">
        <v>201</v>
      </c>
      <c r="G818" t="s">
        <v>119</v>
      </c>
      <c r="H818" t="s">
        <v>125</v>
      </c>
      <c r="I818">
        <v>2023</v>
      </c>
      <c r="J818" t="s">
        <v>346</v>
      </c>
      <c r="K818" t="s">
        <v>127</v>
      </c>
      <c r="L818" t="s">
        <v>1111</v>
      </c>
      <c r="M818" t="s">
        <v>1130</v>
      </c>
      <c r="N818">
        <v>1</v>
      </c>
      <c r="O818">
        <v>2023</v>
      </c>
      <c r="P818">
        <v>10395.03611176889</v>
      </c>
      <c r="Q818">
        <v>2.0129588576131381</v>
      </c>
      <c r="R818" t="s">
        <v>109</v>
      </c>
      <c r="S818">
        <v>5164.0579103016453</v>
      </c>
      <c r="T818">
        <v>22.4</v>
      </c>
      <c r="U818" t="s">
        <v>329</v>
      </c>
      <c r="V818">
        <v>6.5689149560117297</v>
      </c>
      <c r="W818">
        <v>8</v>
      </c>
      <c r="X818">
        <v>20.8</v>
      </c>
      <c r="Y818">
        <v>15</v>
      </c>
      <c r="Z818">
        <v>9.606602748064616E-2</v>
      </c>
      <c r="AA818">
        <v>31.536000000000001</v>
      </c>
    </row>
    <row r="819" spans="1:27" x14ac:dyDescent="0.25">
      <c r="A819" t="s">
        <v>98</v>
      </c>
      <c r="B819" t="s">
        <v>99</v>
      </c>
      <c r="C819" t="s">
        <v>1028</v>
      </c>
      <c r="D819" t="s">
        <v>101</v>
      </c>
      <c r="E819" t="s">
        <v>304</v>
      </c>
      <c r="F819" t="s">
        <v>201</v>
      </c>
      <c r="G819" t="s">
        <v>119</v>
      </c>
      <c r="H819" t="s">
        <v>125</v>
      </c>
      <c r="I819">
        <v>2024</v>
      </c>
      <c r="J819" t="s">
        <v>348</v>
      </c>
      <c r="K819" t="s">
        <v>127</v>
      </c>
      <c r="L819" t="s">
        <v>1111</v>
      </c>
      <c r="M819" t="s">
        <v>1131</v>
      </c>
      <c r="N819">
        <v>1</v>
      </c>
      <c r="O819">
        <v>2024</v>
      </c>
      <c r="P819">
        <v>10395.03611176889</v>
      </c>
      <c r="Q819">
        <v>2.0129588576131381</v>
      </c>
      <c r="R819" t="s">
        <v>109</v>
      </c>
      <c r="S819">
        <v>5164.0579103016453</v>
      </c>
      <c r="T819">
        <v>22.4</v>
      </c>
      <c r="U819" t="s">
        <v>329</v>
      </c>
      <c r="V819">
        <v>6.5689149560117297</v>
      </c>
      <c r="W819">
        <v>8</v>
      </c>
      <c r="X819">
        <v>20.8</v>
      </c>
      <c r="Y819">
        <v>15</v>
      </c>
      <c r="Z819">
        <v>9.606602748064616E-2</v>
      </c>
      <c r="AA819">
        <v>31.536000000000001</v>
      </c>
    </row>
    <row r="820" spans="1:27" x14ac:dyDescent="0.25">
      <c r="A820" t="s">
        <v>98</v>
      </c>
      <c r="B820" t="s">
        <v>99</v>
      </c>
      <c r="C820" t="s">
        <v>1028</v>
      </c>
      <c r="D820" t="s">
        <v>101</v>
      </c>
      <c r="E820" t="s">
        <v>304</v>
      </c>
      <c r="F820" t="s">
        <v>350</v>
      </c>
      <c r="G820" t="s">
        <v>103</v>
      </c>
      <c r="H820" t="s">
        <v>125</v>
      </c>
      <c r="I820">
        <v>2016</v>
      </c>
      <c r="J820" t="s">
        <v>351</v>
      </c>
      <c r="K820" t="s">
        <v>127</v>
      </c>
      <c r="L820" t="s">
        <v>1111</v>
      </c>
      <c r="M820" t="s">
        <v>1132</v>
      </c>
      <c r="N820">
        <v>1</v>
      </c>
      <c r="O820">
        <v>2020</v>
      </c>
      <c r="P820">
        <v>756.00262631046473</v>
      </c>
      <c r="Q820">
        <v>2.0129588576131381</v>
      </c>
      <c r="R820" t="s">
        <v>109</v>
      </c>
      <c r="S820">
        <v>375.56784802193789</v>
      </c>
      <c r="T820">
        <v>3.1946072684642441</v>
      </c>
      <c r="U820" t="s">
        <v>184</v>
      </c>
      <c r="V820">
        <v>3.1946072684642441</v>
      </c>
      <c r="W820">
        <v>6</v>
      </c>
      <c r="X820">
        <v>13</v>
      </c>
      <c r="Y820">
        <v>10</v>
      </c>
      <c r="Z820">
        <v>9.606602748064616E-2</v>
      </c>
      <c r="AA820">
        <v>31.536000000000001</v>
      </c>
    </row>
    <row r="821" spans="1:27" x14ac:dyDescent="0.25">
      <c r="A821" t="s">
        <v>98</v>
      </c>
      <c r="B821" t="s">
        <v>99</v>
      </c>
      <c r="C821" t="s">
        <v>1028</v>
      </c>
      <c r="D821" t="s">
        <v>101</v>
      </c>
      <c r="E821" t="s">
        <v>304</v>
      </c>
      <c r="F821" t="s">
        <v>350</v>
      </c>
      <c r="G821" t="s">
        <v>111</v>
      </c>
      <c r="H821" t="s">
        <v>125</v>
      </c>
      <c r="I821">
        <v>2016</v>
      </c>
      <c r="J821" t="s">
        <v>353</v>
      </c>
      <c r="K821" t="s">
        <v>127</v>
      </c>
      <c r="L821" t="s">
        <v>1111</v>
      </c>
      <c r="M821" t="s">
        <v>1133</v>
      </c>
      <c r="N821">
        <v>1</v>
      </c>
      <c r="O821">
        <v>2020</v>
      </c>
      <c r="P821">
        <v>780.38980780435065</v>
      </c>
      <c r="Q821">
        <v>2.0129588576131381</v>
      </c>
      <c r="R821" t="s">
        <v>109</v>
      </c>
      <c r="S821">
        <v>387.68293989361331</v>
      </c>
      <c r="T821">
        <v>3.5169988276670581</v>
      </c>
      <c r="U821" t="s">
        <v>184</v>
      </c>
      <c r="V821">
        <v>3.5169988276670581</v>
      </c>
      <c r="W821">
        <v>6</v>
      </c>
      <c r="X821">
        <v>13</v>
      </c>
      <c r="Y821">
        <v>10</v>
      </c>
      <c r="Z821">
        <v>9.606602748064616E-2</v>
      </c>
      <c r="AA821">
        <v>31.536000000000001</v>
      </c>
    </row>
    <row r="822" spans="1:27" x14ac:dyDescent="0.25">
      <c r="A822" t="s">
        <v>98</v>
      </c>
      <c r="B822" t="s">
        <v>99</v>
      </c>
      <c r="C822" t="s">
        <v>1028</v>
      </c>
      <c r="D822" t="s">
        <v>101</v>
      </c>
      <c r="E822" t="s">
        <v>304</v>
      </c>
      <c r="F822" t="s">
        <v>350</v>
      </c>
      <c r="G822" t="s">
        <v>111</v>
      </c>
      <c r="H822" t="s">
        <v>125</v>
      </c>
      <c r="I822">
        <v>2030</v>
      </c>
      <c r="J822" t="s">
        <v>355</v>
      </c>
      <c r="K822" t="s">
        <v>127</v>
      </c>
      <c r="L822" t="s">
        <v>1111</v>
      </c>
      <c r="M822" t="s">
        <v>1134</v>
      </c>
      <c r="N822">
        <v>1</v>
      </c>
      <c r="O822">
        <v>2030</v>
      </c>
      <c r="P822">
        <v>780.38980780435065</v>
      </c>
      <c r="Q822">
        <v>2.0129588576131381</v>
      </c>
      <c r="R822" t="s">
        <v>109</v>
      </c>
      <c r="S822">
        <v>387.68293989361331</v>
      </c>
      <c r="T822">
        <v>3.5902696365767879</v>
      </c>
      <c r="U822" t="s">
        <v>184</v>
      </c>
      <c r="V822">
        <v>3.5902696365767879</v>
      </c>
      <c r="W822">
        <v>6</v>
      </c>
      <c r="X822">
        <v>13</v>
      </c>
      <c r="Y822">
        <v>10</v>
      </c>
      <c r="Z822">
        <v>9.606602748064616E-2</v>
      </c>
      <c r="AA822">
        <v>31.536000000000001</v>
      </c>
    </row>
    <row r="823" spans="1:27" x14ac:dyDescent="0.25">
      <c r="A823" t="s">
        <v>98</v>
      </c>
      <c r="B823" t="s">
        <v>99</v>
      </c>
      <c r="C823" t="s">
        <v>1028</v>
      </c>
      <c r="D823" t="s">
        <v>101</v>
      </c>
      <c r="E823" t="s">
        <v>304</v>
      </c>
      <c r="F823" t="s">
        <v>350</v>
      </c>
      <c r="G823" t="s">
        <v>111</v>
      </c>
      <c r="H823" t="s">
        <v>125</v>
      </c>
      <c r="I823">
        <v>2040</v>
      </c>
      <c r="J823" t="s">
        <v>357</v>
      </c>
      <c r="K823" t="s">
        <v>127</v>
      </c>
      <c r="L823" t="s">
        <v>1111</v>
      </c>
      <c r="M823" t="s">
        <v>1135</v>
      </c>
      <c r="N823">
        <v>1</v>
      </c>
      <c r="O823">
        <v>2040</v>
      </c>
      <c r="P823">
        <v>780.38980780435065</v>
      </c>
      <c r="Q823">
        <v>2.0129588576131381</v>
      </c>
      <c r="R823" t="s">
        <v>109</v>
      </c>
      <c r="S823">
        <v>387.68293989361331</v>
      </c>
      <c r="T823">
        <v>3.6635404454865181</v>
      </c>
      <c r="U823" t="s">
        <v>184</v>
      </c>
      <c r="V823">
        <v>3.6635404454865181</v>
      </c>
      <c r="W823">
        <v>6</v>
      </c>
      <c r="X823">
        <v>13</v>
      </c>
      <c r="Y823">
        <v>10</v>
      </c>
      <c r="Z823">
        <v>9.606602748064616E-2</v>
      </c>
      <c r="AA823">
        <v>31.536000000000001</v>
      </c>
    </row>
    <row r="824" spans="1:27" x14ac:dyDescent="0.25">
      <c r="A824" t="s">
        <v>98</v>
      </c>
      <c r="B824" t="s">
        <v>99</v>
      </c>
      <c r="C824" t="s">
        <v>1028</v>
      </c>
      <c r="D824" t="s">
        <v>101</v>
      </c>
      <c r="E824" t="s">
        <v>304</v>
      </c>
      <c r="F824" t="s">
        <v>350</v>
      </c>
      <c r="G824" t="s">
        <v>114</v>
      </c>
      <c r="H824" t="s">
        <v>125</v>
      </c>
      <c r="I824">
        <v>2016</v>
      </c>
      <c r="J824" t="s">
        <v>359</v>
      </c>
      <c r="K824" t="s">
        <v>127</v>
      </c>
      <c r="L824" t="s">
        <v>1111</v>
      </c>
      <c r="M824" t="s">
        <v>1136</v>
      </c>
      <c r="N824">
        <v>1</v>
      </c>
      <c r="O824">
        <v>2020</v>
      </c>
      <c r="P824">
        <v>780.38980780435065</v>
      </c>
      <c r="Q824">
        <v>2.0129588576131381</v>
      </c>
      <c r="R824" t="s">
        <v>109</v>
      </c>
      <c r="S824">
        <v>387.68293989361331</v>
      </c>
      <c r="T824">
        <v>3.5169988276670581</v>
      </c>
      <c r="U824" t="s">
        <v>184</v>
      </c>
      <c r="V824">
        <v>3.5169988276670581</v>
      </c>
      <c r="W824">
        <v>6</v>
      </c>
      <c r="X824">
        <v>13</v>
      </c>
      <c r="Y824">
        <v>10</v>
      </c>
      <c r="Z824">
        <v>9.606602748064616E-2</v>
      </c>
      <c r="AA824">
        <v>31.536000000000001</v>
      </c>
    </row>
    <row r="825" spans="1:27" x14ac:dyDescent="0.25">
      <c r="A825" t="s">
        <v>98</v>
      </c>
      <c r="B825" t="s">
        <v>99</v>
      </c>
      <c r="C825" t="s">
        <v>1028</v>
      </c>
      <c r="D825" t="s">
        <v>101</v>
      </c>
      <c r="E825" t="s">
        <v>304</v>
      </c>
      <c r="F825" t="s">
        <v>350</v>
      </c>
      <c r="G825" t="s">
        <v>119</v>
      </c>
      <c r="H825" t="s">
        <v>125</v>
      </c>
      <c r="I825">
        <v>2016</v>
      </c>
      <c r="J825" t="s">
        <v>361</v>
      </c>
      <c r="K825" t="s">
        <v>127</v>
      </c>
      <c r="L825" t="s">
        <v>1111</v>
      </c>
      <c r="M825" t="s">
        <v>1137</v>
      </c>
      <c r="N825">
        <v>1</v>
      </c>
      <c r="O825">
        <v>2020</v>
      </c>
      <c r="P825">
        <v>859.64814765948006</v>
      </c>
      <c r="Q825">
        <v>2.0129588576131381</v>
      </c>
      <c r="R825" t="s">
        <v>109</v>
      </c>
      <c r="S825">
        <v>427.05698847655839</v>
      </c>
      <c r="T825">
        <v>3.6049237983587341</v>
      </c>
      <c r="U825" t="s">
        <v>184</v>
      </c>
      <c r="V825">
        <v>3.6049237983587341</v>
      </c>
      <c r="W825">
        <v>6</v>
      </c>
      <c r="X825">
        <v>13</v>
      </c>
      <c r="Y825">
        <v>10</v>
      </c>
      <c r="Z825">
        <v>9.606602748064616E-2</v>
      </c>
      <c r="AA825">
        <v>31.536000000000001</v>
      </c>
    </row>
    <row r="826" spans="1:27" x14ac:dyDescent="0.25">
      <c r="A826" t="s">
        <v>98</v>
      </c>
      <c r="B826" t="s">
        <v>99</v>
      </c>
      <c r="C826" t="s">
        <v>1028</v>
      </c>
      <c r="D826" t="s">
        <v>101</v>
      </c>
      <c r="E826" t="s">
        <v>304</v>
      </c>
      <c r="F826" t="s">
        <v>350</v>
      </c>
      <c r="G826" t="s">
        <v>119</v>
      </c>
      <c r="H826" t="s">
        <v>125</v>
      </c>
      <c r="I826">
        <v>2022</v>
      </c>
      <c r="J826" t="s">
        <v>363</v>
      </c>
      <c r="K826" t="s">
        <v>127</v>
      </c>
      <c r="L826" t="s">
        <v>1111</v>
      </c>
      <c r="M826" t="s">
        <v>1138</v>
      </c>
      <c r="N826">
        <v>1</v>
      </c>
      <c r="O826">
        <v>2022</v>
      </c>
      <c r="P826">
        <v>859.64814765948006</v>
      </c>
      <c r="Q826">
        <v>2.0129588576131381</v>
      </c>
      <c r="R826" t="s">
        <v>109</v>
      </c>
      <c r="S826">
        <v>427.05698847655839</v>
      </c>
      <c r="T826">
        <v>3.6635404454865181</v>
      </c>
      <c r="U826" t="s">
        <v>184</v>
      </c>
      <c r="V826">
        <v>3.6635404454865181</v>
      </c>
      <c r="W826">
        <v>6</v>
      </c>
      <c r="X826">
        <v>13</v>
      </c>
      <c r="Y826">
        <v>10</v>
      </c>
      <c r="Z826">
        <v>9.606602748064616E-2</v>
      </c>
      <c r="AA826">
        <v>31.536000000000001</v>
      </c>
    </row>
    <row r="827" spans="1:27" x14ac:dyDescent="0.25">
      <c r="A827" t="s">
        <v>98</v>
      </c>
      <c r="B827" t="s">
        <v>99</v>
      </c>
      <c r="C827" t="s">
        <v>1028</v>
      </c>
      <c r="D827" t="s">
        <v>101</v>
      </c>
      <c r="E827" t="s">
        <v>304</v>
      </c>
      <c r="F827" t="s">
        <v>350</v>
      </c>
      <c r="G827" t="s">
        <v>119</v>
      </c>
      <c r="H827" t="s">
        <v>125</v>
      </c>
      <c r="I827">
        <v>2030</v>
      </c>
      <c r="J827" t="s">
        <v>365</v>
      </c>
      <c r="K827" t="s">
        <v>127</v>
      </c>
      <c r="L827" t="s">
        <v>1111</v>
      </c>
      <c r="M827" t="s">
        <v>1139</v>
      </c>
      <c r="N827">
        <v>1</v>
      </c>
      <c r="O827">
        <v>2030</v>
      </c>
      <c r="P827">
        <v>859.64814765948006</v>
      </c>
      <c r="Q827">
        <v>2.0129588576131381</v>
      </c>
      <c r="R827" t="s">
        <v>109</v>
      </c>
      <c r="S827">
        <v>427.05698847655839</v>
      </c>
      <c r="T827">
        <v>3.8100820633059791</v>
      </c>
      <c r="U827" t="s">
        <v>184</v>
      </c>
      <c r="V827">
        <v>3.8100820633059791</v>
      </c>
      <c r="W827">
        <v>6</v>
      </c>
      <c r="X827">
        <v>13</v>
      </c>
      <c r="Y827">
        <v>10</v>
      </c>
      <c r="Z827">
        <v>9.606602748064616E-2</v>
      </c>
      <c r="AA827">
        <v>31.536000000000001</v>
      </c>
    </row>
    <row r="828" spans="1:27" x14ac:dyDescent="0.25">
      <c r="A828" t="s">
        <v>98</v>
      </c>
      <c r="B828" t="s">
        <v>99</v>
      </c>
      <c r="C828" t="s">
        <v>1028</v>
      </c>
      <c r="D828" t="s">
        <v>101</v>
      </c>
      <c r="E828" t="s">
        <v>304</v>
      </c>
      <c r="F828" t="s">
        <v>350</v>
      </c>
      <c r="G828" t="s">
        <v>119</v>
      </c>
      <c r="H828" t="s">
        <v>125</v>
      </c>
      <c r="I828">
        <v>2040</v>
      </c>
      <c r="J828" t="s">
        <v>367</v>
      </c>
      <c r="K828" t="s">
        <v>127</v>
      </c>
      <c r="L828" t="s">
        <v>1111</v>
      </c>
      <c r="M828" t="s">
        <v>1140</v>
      </c>
      <c r="N828">
        <v>1</v>
      </c>
      <c r="O828">
        <v>2040</v>
      </c>
      <c r="P828">
        <v>859.64814765948006</v>
      </c>
      <c r="Q828">
        <v>2.0129588576131381</v>
      </c>
      <c r="R828" t="s">
        <v>109</v>
      </c>
      <c r="S828">
        <v>427.05698847655839</v>
      </c>
      <c r="T828">
        <v>3.9566236811254401</v>
      </c>
      <c r="U828" t="s">
        <v>184</v>
      </c>
      <c r="V828">
        <v>3.9566236811254401</v>
      </c>
      <c r="W828">
        <v>6</v>
      </c>
      <c r="X828">
        <v>13</v>
      </c>
      <c r="Y828">
        <v>10</v>
      </c>
      <c r="Z828">
        <v>9.606602748064616E-2</v>
      </c>
      <c r="AA828">
        <v>31.536000000000001</v>
      </c>
    </row>
    <row r="829" spans="1:27" x14ac:dyDescent="0.25">
      <c r="A829" t="s">
        <v>98</v>
      </c>
      <c r="B829" t="s">
        <v>99</v>
      </c>
      <c r="C829" t="s">
        <v>1028</v>
      </c>
      <c r="D829" t="s">
        <v>101</v>
      </c>
      <c r="E829" t="s">
        <v>304</v>
      </c>
      <c r="F829" t="s">
        <v>369</v>
      </c>
      <c r="G829" t="s">
        <v>103</v>
      </c>
      <c r="H829" t="s">
        <v>125</v>
      </c>
      <c r="I829">
        <v>2016</v>
      </c>
      <c r="J829" t="s">
        <v>370</v>
      </c>
      <c r="K829" t="s">
        <v>127</v>
      </c>
      <c r="L829" t="s">
        <v>1111</v>
      </c>
      <c r="M829" t="s">
        <v>1141</v>
      </c>
      <c r="N829">
        <v>1</v>
      </c>
      <c r="O829">
        <v>2020</v>
      </c>
      <c r="P829">
        <v>4328.724715164758</v>
      </c>
      <c r="Q829">
        <v>2.0129588576131381</v>
      </c>
      <c r="R829" t="s">
        <v>109</v>
      </c>
      <c r="S829">
        <v>2150.4288072223858</v>
      </c>
      <c r="T829">
        <v>3.8100820633059791</v>
      </c>
      <c r="U829" t="s">
        <v>184</v>
      </c>
      <c r="V829">
        <v>3.8100820633059791</v>
      </c>
      <c r="W829">
        <v>11</v>
      </c>
      <c r="X829">
        <v>25</v>
      </c>
      <c r="Y829">
        <v>19</v>
      </c>
      <c r="Z829">
        <v>9.606602748064616E-2</v>
      </c>
      <c r="AA829">
        <v>31.536000000000001</v>
      </c>
    </row>
    <row r="830" spans="1:27" x14ac:dyDescent="0.25">
      <c r="A830" t="s">
        <v>98</v>
      </c>
      <c r="B830" t="s">
        <v>99</v>
      </c>
      <c r="C830" t="s">
        <v>1028</v>
      </c>
      <c r="D830" t="s">
        <v>101</v>
      </c>
      <c r="E830" t="s">
        <v>304</v>
      </c>
      <c r="F830" t="s">
        <v>369</v>
      </c>
      <c r="G830" t="s">
        <v>103</v>
      </c>
      <c r="H830" t="s">
        <v>125</v>
      </c>
      <c r="I830">
        <v>2023</v>
      </c>
      <c r="J830" t="s">
        <v>372</v>
      </c>
      <c r="K830" t="s">
        <v>127</v>
      </c>
      <c r="L830" t="s">
        <v>1111</v>
      </c>
      <c r="M830" t="s">
        <v>1142</v>
      </c>
      <c r="N830">
        <v>1</v>
      </c>
      <c r="O830">
        <v>2023</v>
      </c>
      <c r="P830">
        <v>4328.724715164758</v>
      </c>
      <c r="Q830">
        <v>2.0129588576131381</v>
      </c>
      <c r="R830" t="s">
        <v>109</v>
      </c>
      <c r="S830">
        <v>2150.4288072223858</v>
      </c>
      <c r="T830">
        <v>3.8100820633059791</v>
      </c>
      <c r="U830" t="s">
        <v>184</v>
      </c>
      <c r="V830">
        <v>3.8100820633059791</v>
      </c>
      <c r="W830">
        <v>11</v>
      </c>
      <c r="X830">
        <v>25</v>
      </c>
      <c r="Y830">
        <v>19</v>
      </c>
      <c r="Z830">
        <v>9.606602748064616E-2</v>
      </c>
      <c r="AA830">
        <v>31.536000000000001</v>
      </c>
    </row>
    <row r="831" spans="1:27" x14ac:dyDescent="0.25">
      <c r="A831" t="s">
        <v>98</v>
      </c>
      <c r="B831" t="s">
        <v>99</v>
      </c>
      <c r="C831" t="s">
        <v>1028</v>
      </c>
      <c r="D831" t="s">
        <v>101</v>
      </c>
      <c r="E831" t="s">
        <v>304</v>
      </c>
      <c r="F831" t="s">
        <v>369</v>
      </c>
      <c r="G831" t="s">
        <v>111</v>
      </c>
      <c r="H831" t="s">
        <v>125</v>
      </c>
      <c r="I831">
        <v>2016</v>
      </c>
      <c r="J831" t="s">
        <v>374</v>
      </c>
      <c r="K831" t="s">
        <v>127</v>
      </c>
      <c r="L831" t="s">
        <v>1111</v>
      </c>
      <c r="M831" t="s">
        <v>1143</v>
      </c>
      <c r="N831">
        <v>1</v>
      </c>
      <c r="O831">
        <v>2020</v>
      </c>
      <c r="P831">
        <v>4450.6606226341873</v>
      </c>
      <c r="Q831">
        <v>2.0129588576131381</v>
      </c>
      <c r="R831" t="s">
        <v>109</v>
      </c>
      <c r="S831">
        <v>2211.0042665807632</v>
      </c>
      <c r="T831">
        <v>4.0738569753810081</v>
      </c>
      <c r="U831" t="s">
        <v>184</v>
      </c>
      <c r="V831">
        <v>4.0738569753810081</v>
      </c>
      <c r="W831">
        <v>11</v>
      </c>
      <c r="X831">
        <v>25</v>
      </c>
      <c r="Y831">
        <v>19</v>
      </c>
      <c r="Z831">
        <v>9.606602748064616E-2</v>
      </c>
      <c r="AA831">
        <v>31.536000000000001</v>
      </c>
    </row>
    <row r="832" spans="1:27" x14ac:dyDescent="0.25">
      <c r="A832" t="s">
        <v>98</v>
      </c>
      <c r="B832" t="s">
        <v>99</v>
      </c>
      <c r="C832" t="s">
        <v>1028</v>
      </c>
      <c r="D832" t="s">
        <v>101</v>
      </c>
      <c r="E832" t="s">
        <v>304</v>
      </c>
      <c r="F832" t="s">
        <v>369</v>
      </c>
      <c r="G832" t="s">
        <v>111</v>
      </c>
      <c r="H832" t="s">
        <v>125</v>
      </c>
      <c r="I832">
        <v>2023</v>
      </c>
      <c r="J832" t="s">
        <v>376</v>
      </c>
      <c r="K832" t="s">
        <v>127</v>
      </c>
      <c r="L832" t="s">
        <v>1111</v>
      </c>
      <c r="M832" t="s">
        <v>1144</v>
      </c>
      <c r="N832">
        <v>1</v>
      </c>
      <c r="O832">
        <v>2023</v>
      </c>
      <c r="P832">
        <v>4511.628576368902</v>
      </c>
      <c r="Q832">
        <v>2.0129588576131381</v>
      </c>
      <c r="R832" t="s">
        <v>109</v>
      </c>
      <c r="S832">
        <v>2241.2919962599522</v>
      </c>
      <c r="T832">
        <v>4.2203985932004704</v>
      </c>
      <c r="U832" t="s">
        <v>184</v>
      </c>
      <c r="V832">
        <v>4.2203985932004704</v>
      </c>
      <c r="W832">
        <v>11</v>
      </c>
      <c r="X832">
        <v>25</v>
      </c>
      <c r="Y832">
        <v>19</v>
      </c>
      <c r="Z832">
        <v>9.606602748064616E-2</v>
      </c>
      <c r="AA832">
        <v>31.536000000000001</v>
      </c>
    </row>
    <row r="833" spans="1:27" x14ac:dyDescent="0.25">
      <c r="A833" t="s">
        <v>98</v>
      </c>
      <c r="B833" t="s">
        <v>99</v>
      </c>
      <c r="C833" t="s">
        <v>1028</v>
      </c>
      <c r="D833" t="s">
        <v>101</v>
      </c>
      <c r="E833" t="s">
        <v>304</v>
      </c>
      <c r="F833" t="s">
        <v>369</v>
      </c>
      <c r="G833" t="s">
        <v>114</v>
      </c>
      <c r="H833" t="s">
        <v>125</v>
      </c>
      <c r="I833">
        <v>2016</v>
      </c>
      <c r="J833" t="s">
        <v>378</v>
      </c>
      <c r="K833" t="s">
        <v>127</v>
      </c>
      <c r="L833" t="s">
        <v>1111</v>
      </c>
      <c r="M833" t="s">
        <v>1145</v>
      </c>
      <c r="N833">
        <v>1</v>
      </c>
      <c r="O833">
        <v>2020</v>
      </c>
      <c r="P833">
        <v>4877.436298777192</v>
      </c>
      <c r="Q833">
        <v>2.0129588576131381</v>
      </c>
      <c r="R833" t="s">
        <v>109</v>
      </c>
      <c r="S833">
        <v>2423.0183743350831</v>
      </c>
      <c r="T833">
        <v>4.3962485345838216</v>
      </c>
      <c r="U833" t="s">
        <v>184</v>
      </c>
      <c r="V833">
        <v>4.3962485345838216</v>
      </c>
      <c r="W833">
        <v>11</v>
      </c>
      <c r="X833">
        <v>25</v>
      </c>
      <c r="Y833">
        <v>19</v>
      </c>
      <c r="Z833">
        <v>9.606602748064616E-2</v>
      </c>
      <c r="AA833">
        <v>31.536000000000001</v>
      </c>
    </row>
    <row r="834" spans="1:27" x14ac:dyDescent="0.25">
      <c r="A834" t="s">
        <v>98</v>
      </c>
      <c r="B834" t="s">
        <v>99</v>
      </c>
      <c r="C834" t="s">
        <v>1028</v>
      </c>
      <c r="D834" t="s">
        <v>101</v>
      </c>
      <c r="E834" t="s">
        <v>304</v>
      </c>
      <c r="F834" t="s">
        <v>369</v>
      </c>
      <c r="G834" t="s">
        <v>114</v>
      </c>
      <c r="H834" t="s">
        <v>125</v>
      </c>
      <c r="I834">
        <v>2023</v>
      </c>
      <c r="J834" t="s">
        <v>380</v>
      </c>
      <c r="K834" t="s">
        <v>127</v>
      </c>
      <c r="L834" t="s">
        <v>1111</v>
      </c>
      <c r="M834" t="s">
        <v>1146</v>
      </c>
      <c r="N834">
        <v>1</v>
      </c>
      <c r="O834">
        <v>2023</v>
      </c>
      <c r="P834">
        <v>5202.5987186956727</v>
      </c>
      <c r="Q834">
        <v>2.0129588576131381</v>
      </c>
      <c r="R834" t="s">
        <v>109</v>
      </c>
      <c r="S834">
        <v>2584.552932624089</v>
      </c>
      <c r="T834">
        <v>4.6893317702227444</v>
      </c>
      <c r="U834" t="s">
        <v>184</v>
      </c>
      <c r="V834">
        <v>4.6893317702227444</v>
      </c>
      <c r="W834">
        <v>11</v>
      </c>
      <c r="X834">
        <v>25</v>
      </c>
      <c r="Y834">
        <v>19</v>
      </c>
      <c r="Z834">
        <v>9.606602748064616E-2</v>
      </c>
      <c r="AA834">
        <v>31.536000000000001</v>
      </c>
    </row>
    <row r="835" spans="1:27" x14ac:dyDescent="0.25">
      <c r="A835" t="s">
        <v>98</v>
      </c>
      <c r="B835" t="s">
        <v>99</v>
      </c>
      <c r="C835" t="s">
        <v>1028</v>
      </c>
      <c r="D835" t="s">
        <v>101</v>
      </c>
      <c r="E835" t="s">
        <v>304</v>
      </c>
      <c r="F835" t="s">
        <v>369</v>
      </c>
      <c r="G835" t="s">
        <v>119</v>
      </c>
      <c r="H835" t="s">
        <v>125</v>
      </c>
      <c r="I835">
        <v>2016</v>
      </c>
      <c r="J835" t="s">
        <v>382</v>
      </c>
      <c r="K835" t="s">
        <v>127</v>
      </c>
      <c r="L835" t="s">
        <v>1111</v>
      </c>
      <c r="M835" t="s">
        <v>1147</v>
      </c>
      <c r="N835">
        <v>1</v>
      </c>
      <c r="O835">
        <v>2020</v>
      </c>
      <c r="P835">
        <v>5670.0196973284856</v>
      </c>
      <c r="Q835">
        <v>2.0129588576131381</v>
      </c>
      <c r="R835" t="s">
        <v>109</v>
      </c>
      <c r="S835">
        <v>2816.7588601645339</v>
      </c>
      <c r="T835">
        <v>4.835873388042204</v>
      </c>
      <c r="U835" t="s">
        <v>184</v>
      </c>
      <c r="V835">
        <v>4.835873388042204</v>
      </c>
      <c r="W835">
        <v>11</v>
      </c>
      <c r="X835">
        <v>25</v>
      </c>
      <c r="Y835">
        <v>19</v>
      </c>
      <c r="Z835">
        <v>9.606602748064616E-2</v>
      </c>
      <c r="AA835">
        <v>31.536000000000001</v>
      </c>
    </row>
    <row r="836" spans="1:27" x14ac:dyDescent="0.25">
      <c r="A836" t="s">
        <v>98</v>
      </c>
      <c r="B836" t="s">
        <v>99</v>
      </c>
      <c r="C836" t="s">
        <v>1028</v>
      </c>
      <c r="D836" t="s">
        <v>101</v>
      </c>
      <c r="E836" t="s">
        <v>304</v>
      </c>
      <c r="F836" t="s">
        <v>369</v>
      </c>
      <c r="G836" t="s">
        <v>119</v>
      </c>
      <c r="H836" t="s">
        <v>125</v>
      </c>
      <c r="I836">
        <v>2022</v>
      </c>
      <c r="J836" t="s">
        <v>384</v>
      </c>
      <c r="K836" t="s">
        <v>127</v>
      </c>
      <c r="L836" t="s">
        <v>1111</v>
      </c>
      <c r="M836" t="s">
        <v>1148</v>
      </c>
      <c r="N836">
        <v>1</v>
      </c>
      <c r="O836">
        <v>2022</v>
      </c>
      <c r="P836">
        <v>5670.0196973284856</v>
      </c>
      <c r="Q836">
        <v>2.0129588576131381</v>
      </c>
      <c r="R836" t="s">
        <v>109</v>
      </c>
      <c r="S836">
        <v>2816.7588601645339</v>
      </c>
      <c r="T836">
        <v>4.835873388042204</v>
      </c>
      <c r="U836" t="s">
        <v>184</v>
      </c>
      <c r="V836">
        <v>4.835873388042204</v>
      </c>
      <c r="W836">
        <v>11</v>
      </c>
      <c r="X836">
        <v>25</v>
      </c>
      <c r="Y836">
        <v>19</v>
      </c>
      <c r="Z836">
        <v>9.606602748064616E-2</v>
      </c>
      <c r="AA836">
        <v>31.536000000000001</v>
      </c>
    </row>
    <row r="837" spans="1:27" x14ac:dyDescent="0.25">
      <c r="A837" t="s">
        <v>98</v>
      </c>
      <c r="B837" t="s">
        <v>99</v>
      </c>
      <c r="C837" t="s">
        <v>1028</v>
      </c>
      <c r="D837" t="s">
        <v>101</v>
      </c>
      <c r="E837" t="s">
        <v>386</v>
      </c>
      <c r="G837" t="s">
        <v>387</v>
      </c>
      <c r="H837" t="s">
        <v>125</v>
      </c>
      <c r="I837">
        <v>2016</v>
      </c>
      <c r="J837" t="s">
        <v>388</v>
      </c>
      <c r="K837" t="s">
        <v>127</v>
      </c>
      <c r="L837" t="s">
        <v>1149</v>
      </c>
      <c r="M837" t="s">
        <v>1150</v>
      </c>
      <c r="N837">
        <v>1</v>
      </c>
      <c r="O837">
        <v>2020</v>
      </c>
      <c r="P837">
        <v>853.55135228600852</v>
      </c>
      <c r="Q837">
        <v>1.662261447689525</v>
      </c>
      <c r="R837" t="s">
        <v>391</v>
      </c>
      <c r="S837">
        <v>513.48802769408508</v>
      </c>
      <c r="T837">
        <v>404.78399999999999</v>
      </c>
      <c r="U837" t="s">
        <v>392</v>
      </c>
      <c r="V837">
        <v>1.1306815642458099</v>
      </c>
      <c r="W837">
        <v>11.625999787885601</v>
      </c>
      <c r="X837">
        <v>21.895260974855479</v>
      </c>
      <c r="Y837">
        <v>17</v>
      </c>
      <c r="Z837">
        <v>0.65</v>
      </c>
      <c r="AA837">
        <v>1</v>
      </c>
    </row>
    <row r="838" spans="1:27" x14ac:dyDescent="0.25">
      <c r="A838" t="s">
        <v>98</v>
      </c>
      <c r="B838" t="s">
        <v>99</v>
      </c>
      <c r="C838" t="s">
        <v>1028</v>
      </c>
      <c r="D838" t="s">
        <v>101</v>
      </c>
      <c r="E838" t="s">
        <v>386</v>
      </c>
      <c r="G838" t="s">
        <v>393</v>
      </c>
      <c r="H838" t="s">
        <v>125</v>
      </c>
      <c r="I838">
        <v>2016</v>
      </c>
      <c r="J838" t="s">
        <v>394</v>
      </c>
      <c r="K838" t="s">
        <v>127</v>
      </c>
      <c r="L838" t="s">
        <v>1149</v>
      </c>
      <c r="M838" t="s">
        <v>1151</v>
      </c>
      <c r="N838">
        <v>1</v>
      </c>
      <c r="O838">
        <v>2020</v>
      </c>
      <c r="P838">
        <v>914.51930602072343</v>
      </c>
      <c r="Q838">
        <v>1.662261447689525</v>
      </c>
      <c r="R838" t="s">
        <v>391</v>
      </c>
      <c r="S838">
        <v>550.16574395794828</v>
      </c>
      <c r="T838">
        <v>389</v>
      </c>
      <c r="U838" t="s">
        <v>392</v>
      </c>
      <c r="V838">
        <v>1.08659217877095</v>
      </c>
      <c r="W838">
        <v>11.625999787885601</v>
      </c>
      <c r="X838">
        <v>21.895260974855479</v>
      </c>
      <c r="Y838">
        <v>17</v>
      </c>
      <c r="Z838">
        <v>0.65</v>
      </c>
      <c r="AA838">
        <v>1</v>
      </c>
    </row>
    <row r="839" spans="1:27" x14ac:dyDescent="0.25">
      <c r="A839" t="s">
        <v>98</v>
      </c>
      <c r="B839" t="s">
        <v>99</v>
      </c>
      <c r="C839" t="s">
        <v>1028</v>
      </c>
      <c r="D839" t="s">
        <v>101</v>
      </c>
      <c r="E839" t="s">
        <v>386</v>
      </c>
      <c r="G839" t="s">
        <v>396</v>
      </c>
      <c r="H839" t="s">
        <v>125</v>
      </c>
      <c r="I839">
        <v>2016</v>
      </c>
      <c r="J839" t="s">
        <v>397</v>
      </c>
      <c r="K839" t="s">
        <v>127</v>
      </c>
      <c r="L839" t="s">
        <v>1149</v>
      </c>
      <c r="M839" t="s">
        <v>1152</v>
      </c>
      <c r="N839">
        <v>1</v>
      </c>
      <c r="O839">
        <v>2020</v>
      </c>
      <c r="P839">
        <v>1036.455213490153</v>
      </c>
      <c r="Q839">
        <v>1.662261447689525</v>
      </c>
      <c r="R839" t="s">
        <v>391</v>
      </c>
      <c r="S839">
        <v>623.5211764856748</v>
      </c>
      <c r="T839">
        <v>364.30560000000003</v>
      </c>
      <c r="U839" t="s">
        <v>392</v>
      </c>
      <c r="V839">
        <v>1.0176134078212291</v>
      </c>
      <c r="W839">
        <v>11.625999787885601</v>
      </c>
      <c r="X839">
        <v>21.895260974855479</v>
      </c>
      <c r="Y839">
        <v>17</v>
      </c>
      <c r="Z839">
        <v>0.65</v>
      </c>
      <c r="AA839">
        <v>1</v>
      </c>
    </row>
    <row r="840" spans="1:27" x14ac:dyDescent="0.25">
      <c r="A840" t="s">
        <v>98</v>
      </c>
      <c r="B840" t="s">
        <v>99</v>
      </c>
      <c r="C840" t="s">
        <v>1028</v>
      </c>
      <c r="D840" t="s">
        <v>101</v>
      </c>
      <c r="E840" t="s">
        <v>386</v>
      </c>
      <c r="G840" t="s">
        <v>399</v>
      </c>
      <c r="H840" t="s">
        <v>125</v>
      </c>
      <c r="I840">
        <v>2016</v>
      </c>
      <c r="J840" t="s">
        <v>400</v>
      </c>
      <c r="K840" t="s">
        <v>127</v>
      </c>
      <c r="L840" t="s">
        <v>1149</v>
      </c>
      <c r="M840" t="s">
        <v>1153</v>
      </c>
      <c r="N840">
        <v>1</v>
      </c>
      <c r="O840">
        <v>2020</v>
      </c>
      <c r="P840">
        <v>1073.035985730982</v>
      </c>
      <c r="Q840">
        <v>1.662261447689525</v>
      </c>
      <c r="R840" t="s">
        <v>391</v>
      </c>
      <c r="S840">
        <v>645.5278062439927</v>
      </c>
      <c r="T840">
        <v>358</v>
      </c>
      <c r="U840" t="s">
        <v>392</v>
      </c>
      <c r="V840">
        <v>1</v>
      </c>
      <c r="W840">
        <v>11.625999787885601</v>
      </c>
      <c r="X840">
        <v>21.895260974855479</v>
      </c>
      <c r="Y840">
        <v>17</v>
      </c>
      <c r="Z840">
        <v>0.65</v>
      </c>
      <c r="AA840">
        <v>1</v>
      </c>
    </row>
    <row r="841" spans="1:27" x14ac:dyDescent="0.25">
      <c r="A841" t="s">
        <v>98</v>
      </c>
      <c r="B841" t="s">
        <v>99</v>
      </c>
      <c r="C841" t="s">
        <v>1028</v>
      </c>
      <c r="D841" t="s">
        <v>101</v>
      </c>
      <c r="E841" t="s">
        <v>386</v>
      </c>
      <c r="G841" t="s">
        <v>402</v>
      </c>
      <c r="H841" t="s">
        <v>125</v>
      </c>
      <c r="I841">
        <v>2016</v>
      </c>
      <c r="J841" t="s">
        <v>403</v>
      </c>
      <c r="K841" t="s">
        <v>127</v>
      </c>
      <c r="L841" t="s">
        <v>1149</v>
      </c>
      <c r="M841" t="s">
        <v>1154</v>
      </c>
      <c r="N841">
        <v>1</v>
      </c>
      <c r="O841">
        <v>2020</v>
      </c>
      <c r="P841">
        <v>1597.3603878495301</v>
      </c>
      <c r="Q841">
        <v>1.662261447689525</v>
      </c>
      <c r="R841" t="s">
        <v>391</v>
      </c>
      <c r="S841">
        <v>960.95616611321634</v>
      </c>
      <c r="T841">
        <v>705.226</v>
      </c>
      <c r="U841" t="s">
        <v>392</v>
      </c>
      <c r="V841">
        <v>1.9699050279329611</v>
      </c>
      <c r="W841">
        <v>11.625999787885601</v>
      </c>
      <c r="X841">
        <v>21.895260974855479</v>
      </c>
      <c r="Y841">
        <v>17</v>
      </c>
      <c r="Z841">
        <v>0.65</v>
      </c>
      <c r="AA841">
        <v>1</v>
      </c>
    </row>
    <row r="842" spans="1:27" x14ac:dyDescent="0.25">
      <c r="A842" t="s">
        <v>98</v>
      </c>
      <c r="B842" t="s">
        <v>99</v>
      </c>
      <c r="C842" t="s">
        <v>1028</v>
      </c>
      <c r="D842" t="s">
        <v>101</v>
      </c>
      <c r="E842" t="s">
        <v>386</v>
      </c>
      <c r="G842" t="s">
        <v>405</v>
      </c>
      <c r="H842" t="s">
        <v>125</v>
      </c>
      <c r="I842">
        <v>2016</v>
      </c>
      <c r="J842" t="s">
        <v>406</v>
      </c>
      <c r="K842" t="s">
        <v>127</v>
      </c>
      <c r="L842" t="s">
        <v>1149</v>
      </c>
      <c r="M842" t="s">
        <v>1155</v>
      </c>
      <c r="N842">
        <v>1</v>
      </c>
      <c r="O842">
        <v>2020</v>
      </c>
      <c r="P842">
        <v>1731.489886065903</v>
      </c>
      <c r="Q842">
        <v>1.662261447689525</v>
      </c>
      <c r="R842" t="s">
        <v>391</v>
      </c>
      <c r="S842">
        <v>1041.6471418937149</v>
      </c>
      <c r="T842">
        <v>671</v>
      </c>
      <c r="U842" t="s">
        <v>392</v>
      </c>
      <c r="V842">
        <v>1.8743016759776541</v>
      </c>
      <c r="W842">
        <v>11.625999787885601</v>
      </c>
      <c r="X842">
        <v>21.895260974855479</v>
      </c>
      <c r="Y842">
        <v>17</v>
      </c>
      <c r="Z842">
        <v>0.65</v>
      </c>
      <c r="AA842">
        <v>1</v>
      </c>
    </row>
    <row r="843" spans="1:27" x14ac:dyDescent="0.25">
      <c r="A843" t="s">
        <v>98</v>
      </c>
      <c r="B843" t="s">
        <v>99</v>
      </c>
      <c r="C843" t="s">
        <v>1028</v>
      </c>
      <c r="D843" t="s">
        <v>101</v>
      </c>
      <c r="E843" t="s">
        <v>386</v>
      </c>
      <c r="G843" t="s">
        <v>408</v>
      </c>
      <c r="H843" t="s">
        <v>125</v>
      </c>
      <c r="I843">
        <v>2016</v>
      </c>
      <c r="J843" t="s">
        <v>409</v>
      </c>
      <c r="K843" t="s">
        <v>127</v>
      </c>
      <c r="L843" t="s">
        <v>1149</v>
      </c>
      <c r="M843" t="s">
        <v>1156</v>
      </c>
      <c r="N843">
        <v>1</v>
      </c>
      <c r="O843">
        <v>2020</v>
      </c>
      <c r="P843">
        <v>1890.006565776162</v>
      </c>
      <c r="Q843">
        <v>1.662261447689525</v>
      </c>
      <c r="R843" t="s">
        <v>391</v>
      </c>
      <c r="S843">
        <v>1137.00920417976</v>
      </c>
      <c r="T843">
        <v>634.70339999999999</v>
      </c>
      <c r="U843" t="s">
        <v>392</v>
      </c>
      <c r="V843">
        <v>1.772914525139665</v>
      </c>
      <c r="W843">
        <v>11.625999787885601</v>
      </c>
      <c r="X843">
        <v>21.895260974855479</v>
      </c>
      <c r="Y843">
        <v>17</v>
      </c>
      <c r="Z843">
        <v>0.65</v>
      </c>
      <c r="AA843">
        <v>1</v>
      </c>
    </row>
    <row r="844" spans="1:27" x14ac:dyDescent="0.25">
      <c r="A844" t="s">
        <v>98</v>
      </c>
      <c r="B844" t="s">
        <v>99</v>
      </c>
      <c r="C844" t="s">
        <v>1028</v>
      </c>
      <c r="D844" t="s">
        <v>101</v>
      </c>
      <c r="E844" t="s">
        <v>386</v>
      </c>
      <c r="G844" t="s">
        <v>411</v>
      </c>
      <c r="H844" t="s">
        <v>125</v>
      </c>
      <c r="I844">
        <v>2016</v>
      </c>
      <c r="J844" t="s">
        <v>412</v>
      </c>
      <c r="K844" t="s">
        <v>127</v>
      </c>
      <c r="L844" t="s">
        <v>1149</v>
      </c>
      <c r="M844" t="s">
        <v>1157</v>
      </c>
      <c r="N844">
        <v>1</v>
      </c>
      <c r="O844">
        <v>2020</v>
      </c>
      <c r="P844">
        <v>2414.3309678947098</v>
      </c>
      <c r="Q844">
        <v>1.662261447689525</v>
      </c>
      <c r="R844" t="s">
        <v>391</v>
      </c>
      <c r="S844">
        <v>1452.4375640489829</v>
      </c>
      <c r="T844">
        <v>509</v>
      </c>
      <c r="U844" t="s">
        <v>392</v>
      </c>
      <c r="V844">
        <v>1.4217877094972069</v>
      </c>
      <c r="W844">
        <v>11.625999787885601</v>
      </c>
      <c r="X844">
        <v>21.895260974855479</v>
      </c>
      <c r="Y844">
        <v>17</v>
      </c>
      <c r="Z844">
        <v>0.65</v>
      </c>
      <c r="AA844">
        <v>1</v>
      </c>
    </row>
    <row r="845" spans="1:27" x14ac:dyDescent="0.25">
      <c r="A845" t="s">
        <v>98</v>
      </c>
      <c r="B845" t="s">
        <v>99</v>
      </c>
      <c r="C845" t="s">
        <v>1028</v>
      </c>
      <c r="D845" t="s">
        <v>101</v>
      </c>
      <c r="E845" t="s">
        <v>386</v>
      </c>
      <c r="G845" t="s">
        <v>414</v>
      </c>
      <c r="H845" t="s">
        <v>125</v>
      </c>
      <c r="I845">
        <v>2016</v>
      </c>
      <c r="J845" t="s">
        <v>415</v>
      </c>
      <c r="K845" t="s">
        <v>127</v>
      </c>
      <c r="L845" t="s">
        <v>1149</v>
      </c>
      <c r="M845" t="s">
        <v>1158</v>
      </c>
      <c r="N845">
        <v>1</v>
      </c>
      <c r="O845">
        <v>2020</v>
      </c>
      <c r="P845">
        <v>1255.939846935127</v>
      </c>
      <c r="Q845">
        <v>1.662261447689525</v>
      </c>
      <c r="R845" t="s">
        <v>391</v>
      </c>
      <c r="S845">
        <v>755.56095503558242</v>
      </c>
      <c r="T845">
        <v>520.54999999999995</v>
      </c>
      <c r="U845" t="s">
        <v>392</v>
      </c>
      <c r="V845">
        <v>1.4540502793296091</v>
      </c>
      <c r="W845">
        <v>11.625999787885601</v>
      </c>
      <c r="X845">
        <v>21.895260974855479</v>
      </c>
      <c r="Y845">
        <v>17</v>
      </c>
      <c r="Z845">
        <v>0.65</v>
      </c>
      <c r="AA845">
        <v>1</v>
      </c>
    </row>
    <row r="846" spans="1:27" x14ac:dyDescent="0.25">
      <c r="A846" t="s">
        <v>98</v>
      </c>
      <c r="B846" t="s">
        <v>99</v>
      </c>
      <c r="C846" t="s">
        <v>1028</v>
      </c>
      <c r="D846" t="s">
        <v>101</v>
      </c>
      <c r="E846" t="s">
        <v>386</v>
      </c>
      <c r="G846" t="s">
        <v>417</v>
      </c>
      <c r="H846" t="s">
        <v>125</v>
      </c>
      <c r="I846">
        <v>2016</v>
      </c>
      <c r="J846" t="s">
        <v>418</v>
      </c>
      <c r="K846" t="s">
        <v>127</v>
      </c>
      <c r="L846" t="s">
        <v>1149</v>
      </c>
      <c r="M846" t="s">
        <v>1159</v>
      </c>
      <c r="N846">
        <v>1</v>
      </c>
      <c r="O846">
        <v>2020</v>
      </c>
      <c r="P846">
        <v>1365.682163657614</v>
      </c>
      <c r="Q846">
        <v>1.662261447689525</v>
      </c>
      <c r="R846" t="s">
        <v>391</v>
      </c>
      <c r="S846">
        <v>821.58084431053612</v>
      </c>
      <c r="T846">
        <v>480</v>
      </c>
      <c r="U846" t="s">
        <v>392</v>
      </c>
      <c r="V846">
        <v>1.3407821229050281</v>
      </c>
      <c r="W846">
        <v>11.625999787885601</v>
      </c>
      <c r="X846">
        <v>21.895260974855479</v>
      </c>
      <c r="Y846">
        <v>17</v>
      </c>
      <c r="Z846">
        <v>0.65</v>
      </c>
      <c r="AA846">
        <v>1</v>
      </c>
    </row>
    <row r="847" spans="1:27" x14ac:dyDescent="0.25">
      <c r="A847" t="s">
        <v>98</v>
      </c>
      <c r="B847" t="s">
        <v>99</v>
      </c>
      <c r="C847" t="s">
        <v>1028</v>
      </c>
      <c r="D847" t="s">
        <v>101</v>
      </c>
      <c r="E847" t="s">
        <v>386</v>
      </c>
      <c r="G847" t="s">
        <v>420</v>
      </c>
      <c r="H847" t="s">
        <v>125</v>
      </c>
      <c r="I847">
        <v>2016</v>
      </c>
      <c r="J847" t="s">
        <v>421</v>
      </c>
      <c r="K847" t="s">
        <v>127</v>
      </c>
      <c r="L847" t="s">
        <v>1149</v>
      </c>
      <c r="M847" t="s">
        <v>1160</v>
      </c>
      <c r="N847">
        <v>1</v>
      </c>
      <c r="O847">
        <v>2020</v>
      </c>
      <c r="P847">
        <v>1414.456526645386</v>
      </c>
      <c r="Q847">
        <v>1.662261447689525</v>
      </c>
      <c r="R847" t="s">
        <v>391</v>
      </c>
      <c r="S847">
        <v>850.92301732162673</v>
      </c>
      <c r="T847">
        <v>469</v>
      </c>
      <c r="U847" t="s">
        <v>392</v>
      </c>
      <c r="V847">
        <v>1.310055865921788</v>
      </c>
      <c r="W847">
        <v>11.625999787885601</v>
      </c>
      <c r="X847">
        <v>21.895260974855479</v>
      </c>
      <c r="Y847">
        <v>17</v>
      </c>
      <c r="Z847">
        <v>0.65</v>
      </c>
      <c r="AA847">
        <v>1</v>
      </c>
    </row>
    <row r="848" spans="1:27" x14ac:dyDescent="0.25">
      <c r="A848" t="s">
        <v>98</v>
      </c>
      <c r="B848" t="s">
        <v>99</v>
      </c>
      <c r="C848" t="s">
        <v>1028</v>
      </c>
      <c r="D848" t="s">
        <v>101</v>
      </c>
      <c r="E848" t="s">
        <v>386</v>
      </c>
      <c r="G848" t="s">
        <v>423</v>
      </c>
      <c r="H848" t="s">
        <v>125</v>
      </c>
      <c r="I848">
        <v>2016</v>
      </c>
      <c r="J848" t="s">
        <v>424</v>
      </c>
      <c r="K848" t="s">
        <v>127</v>
      </c>
      <c r="L848" t="s">
        <v>1149</v>
      </c>
      <c r="M848" t="s">
        <v>1161</v>
      </c>
      <c r="N848">
        <v>1</v>
      </c>
      <c r="O848">
        <v>2020</v>
      </c>
      <c r="P848">
        <v>1414.456526645386</v>
      </c>
      <c r="Q848">
        <v>1.662261447689525</v>
      </c>
      <c r="R848" t="s">
        <v>391</v>
      </c>
      <c r="S848">
        <v>850.92301732162673</v>
      </c>
      <c r="T848">
        <v>469</v>
      </c>
      <c r="U848" t="s">
        <v>392</v>
      </c>
      <c r="V848">
        <v>1.310055865921788</v>
      </c>
      <c r="W848">
        <v>11.625999787885601</v>
      </c>
      <c r="X848">
        <v>21.895260974855479</v>
      </c>
      <c r="Y848">
        <v>17</v>
      </c>
      <c r="Z848">
        <v>0.65</v>
      </c>
      <c r="AA848">
        <v>1</v>
      </c>
    </row>
    <row r="849" spans="1:27" x14ac:dyDescent="0.25">
      <c r="A849" t="s">
        <v>98</v>
      </c>
      <c r="B849" t="s">
        <v>99</v>
      </c>
      <c r="C849" t="s">
        <v>1028</v>
      </c>
      <c r="D849" t="s">
        <v>101</v>
      </c>
      <c r="E849" t="s">
        <v>426</v>
      </c>
      <c r="G849" t="s">
        <v>427</v>
      </c>
      <c r="H849" t="s">
        <v>125</v>
      </c>
      <c r="I849">
        <v>2016</v>
      </c>
      <c r="J849" t="s">
        <v>428</v>
      </c>
      <c r="K849" t="s">
        <v>127</v>
      </c>
      <c r="L849" t="s">
        <v>1162</v>
      </c>
      <c r="M849" t="s">
        <v>1163</v>
      </c>
      <c r="N849">
        <v>1</v>
      </c>
      <c r="O849">
        <v>2020</v>
      </c>
      <c r="P849">
        <v>609.67953734714899</v>
      </c>
      <c r="Q849">
        <v>9.1750986966314119E-2</v>
      </c>
      <c r="R849" t="s">
        <v>391</v>
      </c>
      <c r="S849">
        <v>6644.9371010143959</v>
      </c>
      <c r="T849">
        <v>300.25599999999997</v>
      </c>
      <c r="U849" t="s">
        <v>392</v>
      </c>
      <c r="V849">
        <v>1.0918399999999999</v>
      </c>
      <c r="W849">
        <v>16.5973520403479</v>
      </c>
      <c r="X849">
        <v>27.331519839424129</v>
      </c>
      <c r="Y849">
        <v>22</v>
      </c>
      <c r="Z849">
        <v>0.65</v>
      </c>
      <c r="AA849">
        <v>1</v>
      </c>
    </row>
    <row r="850" spans="1:27" x14ac:dyDescent="0.25">
      <c r="A850" t="s">
        <v>98</v>
      </c>
      <c r="B850" t="s">
        <v>99</v>
      </c>
      <c r="C850" t="s">
        <v>1028</v>
      </c>
      <c r="D850" t="s">
        <v>101</v>
      </c>
      <c r="E850" t="s">
        <v>426</v>
      </c>
      <c r="G850" t="s">
        <v>431</v>
      </c>
      <c r="H850" t="s">
        <v>125</v>
      </c>
      <c r="I850">
        <v>2016</v>
      </c>
      <c r="J850" t="s">
        <v>432</v>
      </c>
      <c r="K850" t="s">
        <v>127</v>
      </c>
      <c r="L850" t="s">
        <v>1162</v>
      </c>
      <c r="M850" t="s">
        <v>1164</v>
      </c>
      <c r="N850">
        <v>1</v>
      </c>
      <c r="O850">
        <v>2020</v>
      </c>
      <c r="P850">
        <v>609.67953734714899</v>
      </c>
      <c r="Q850">
        <v>9.1750986966314119E-2</v>
      </c>
      <c r="R850" t="s">
        <v>391</v>
      </c>
      <c r="S850">
        <v>6644.9371010143959</v>
      </c>
      <c r="T850">
        <v>297</v>
      </c>
      <c r="U850" t="s">
        <v>392</v>
      </c>
      <c r="V850">
        <v>1.08</v>
      </c>
      <c r="W850">
        <v>16.5973520403479</v>
      </c>
      <c r="X850">
        <v>27.331519839424129</v>
      </c>
      <c r="Y850">
        <v>22</v>
      </c>
      <c r="Z850">
        <v>0.65</v>
      </c>
      <c r="AA850">
        <v>1</v>
      </c>
    </row>
    <row r="851" spans="1:27" x14ac:dyDescent="0.25">
      <c r="A851" t="s">
        <v>98</v>
      </c>
      <c r="B851" t="s">
        <v>99</v>
      </c>
      <c r="C851" t="s">
        <v>1028</v>
      </c>
      <c r="D851" t="s">
        <v>101</v>
      </c>
      <c r="E851" t="s">
        <v>426</v>
      </c>
      <c r="G851" t="s">
        <v>434</v>
      </c>
      <c r="H851" t="s">
        <v>125</v>
      </c>
      <c r="I851">
        <v>2016</v>
      </c>
      <c r="J851" t="s">
        <v>435</v>
      </c>
      <c r="K851" t="s">
        <v>127</v>
      </c>
      <c r="L851" t="s">
        <v>1162</v>
      </c>
      <c r="M851" t="s">
        <v>1165</v>
      </c>
      <c r="N851">
        <v>1</v>
      </c>
      <c r="O851">
        <v>2020</v>
      </c>
      <c r="P851">
        <v>670.6474910818639</v>
      </c>
      <c r="Q851">
        <v>9.1750986966314119E-2</v>
      </c>
      <c r="R851" t="s">
        <v>391</v>
      </c>
      <c r="S851">
        <v>7309.4308111158361</v>
      </c>
      <c r="T851">
        <v>277</v>
      </c>
      <c r="U851" t="s">
        <v>392</v>
      </c>
      <c r="V851">
        <v>1.0072727272727271</v>
      </c>
      <c r="W851">
        <v>16.5973520403479</v>
      </c>
      <c r="X851">
        <v>27.331519839424129</v>
      </c>
      <c r="Y851">
        <v>22</v>
      </c>
      <c r="Z851">
        <v>0.65</v>
      </c>
      <c r="AA851">
        <v>1</v>
      </c>
    </row>
    <row r="852" spans="1:27" x14ac:dyDescent="0.25">
      <c r="A852" t="s">
        <v>98</v>
      </c>
      <c r="B852" t="s">
        <v>99</v>
      </c>
      <c r="C852" t="s">
        <v>1028</v>
      </c>
      <c r="D852" t="s">
        <v>101</v>
      </c>
      <c r="E852" t="s">
        <v>426</v>
      </c>
      <c r="G852" t="s">
        <v>437</v>
      </c>
      <c r="H852" t="s">
        <v>125</v>
      </c>
      <c r="I852">
        <v>2016</v>
      </c>
      <c r="J852" t="s">
        <v>438</v>
      </c>
      <c r="K852" t="s">
        <v>127</v>
      </c>
      <c r="L852" t="s">
        <v>1162</v>
      </c>
      <c r="M852" t="s">
        <v>1166</v>
      </c>
      <c r="N852">
        <v>1</v>
      </c>
      <c r="O852">
        <v>2020</v>
      </c>
      <c r="P852">
        <v>658.45390033492083</v>
      </c>
      <c r="Q852">
        <v>9.1750986966314119E-2</v>
      </c>
      <c r="R852" t="s">
        <v>391</v>
      </c>
      <c r="S852">
        <v>7176.5320690955468</v>
      </c>
      <c r="T852">
        <v>275</v>
      </c>
      <c r="U852" t="s">
        <v>392</v>
      </c>
      <c r="V852">
        <v>1</v>
      </c>
      <c r="W852">
        <v>16.5973520403479</v>
      </c>
      <c r="X852">
        <v>27.331519839424129</v>
      </c>
      <c r="Y852">
        <v>22</v>
      </c>
      <c r="Z852">
        <v>0.65</v>
      </c>
      <c r="AA852">
        <v>1</v>
      </c>
    </row>
    <row r="853" spans="1:27" x14ac:dyDescent="0.25">
      <c r="A853" t="s">
        <v>98</v>
      </c>
      <c r="B853" t="s">
        <v>99</v>
      </c>
      <c r="C853" t="s">
        <v>1028</v>
      </c>
      <c r="D853" t="s">
        <v>101</v>
      </c>
      <c r="E853" t="s">
        <v>426</v>
      </c>
      <c r="G853" t="s">
        <v>440</v>
      </c>
      <c r="H853" t="s">
        <v>125</v>
      </c>
      <c r="I853">
        <v>2016</v>
      </c>
      <c r="J853" t="s">
        <v>441</v>
      </c>
      <c r="K853" t="s">
        <v>127</v>
      </c>
      <c r="L853" t="s">
        <v>1162</v>
      </c>
      <c r="M853" t="s">
        <v>1167</v>
      </c>
      <c r="N853">
        <v>1</v>
      </c>
      <c r="O853">
        <v>2020</v>
      </c>
      <c r="P853">
        <v>841.35776153906556</v>
      </c>
      <c r="Q853">
        <v>9.1750986966314119E-2</v>
      </c>
      <c r="R853" t="s">
        <v>391</v>
      </c>
      <c r="S853">
        <v>9170.0131993998657</v>
      </c>
      <c r="T853">
        <v>477.41800000000001</v>
      </c>
      <c r="U853" t="s">
        <v>392</v>
      </c>
      <c r="V853">
        <v>1.736065454545455</v>
      </c>
      <c r="W853">
        <v>16.5973520403479</v>
      </c>
      <c r="X853">
        <v>27.331519839424129</v>
      </c>
      <c r="Y853">
        <v>22</v>
      </c>
      <c r="Z853">
        <v>0.65</v>
      </c>
      <c r="AA853">
        <v>1</v>
      </c>
    </row>
    <row r="854" spans="1:27" x14ac:dyDescent="0.25">
      <c r="A854" t="s">
        <v>98</v>
      </c>
      <c r="B854" t="s">
        <v>99</v>
      </c>
      <c r="C854" t="s">
        <v>1028</v>
      </c>
      <c r="D854" t="s">
        <v>101</v>
      </c>
      <c r="E854" t="s">
        <v>426</v>
      </c>
      <c r="G854" t="s">
        <v>443</v>
      </c>
      <c r="H854" t="s">
        <v>125</v>
      </c>
      <c r="I854">
        <v>2016</v>
      </c>
      <c r="J854" t="s">
        <v>444</v>
      </c>
      <c r="K854" t="s">
        <v>127</v>
      </c>
      <c r="L854" t="s">
        <v>1162</v>
      </c>
      <c r="M854" t="s">
        <v>1168</v>
      </c>
      <c r="N854">
        <v>1</v>
      </c>
      <c r="O854">
        <v>2020</v>
      </c>
      <c r="P854">
        <v>914.51930602072343</v>
      </c>
      <c r="Q854">
        <v>9.1750986966314119E-2</v>
      </c>
      <c r="R854" t="s">
        <v>391</v>
      </c>
      <c r="S854">
        <v>9967.4056515215943</v>
      </c>
      <c r="T854">
        <v>446</v>
      </c>
      <c r="U854" t="s">
        <v>392</v>
      </c>
      <c r="V854">
        <v>1.621818181818182</v>
      </c>
      <c r="W854">
        <v>16.5973520403479</v>
      </c>
      <c r="X854">
        <v>27.331519839424129</v>
      </c>
      <c r="Y854">
        <v>22</v>
      </c>
      <c r="Z854">
        <v>0.65</v>
      </c>
      <c r="AA854">
        <v>1</v>
      </c>
    </row>
    <row r="855" spans="1:27" x14ac:dyDescent="0.25">
      <c r="A855" t="s">
        <v>98</v>
      </c>
      <c r="B855" t="s">
        <v>99</v>
      </c>
      <c r="C855" t="s">
        <v>1028</v>
      </c>
      <c r="D855" t="s">
        <v>101</v>
      </c>
      <c r="E855" t="s">
        <v>426</v>
      </c>
      <c r="G855" t="s">
        <v>446</v>
      </c>
      <c r="H855" t="s">
        <v>125</v>
      </c>
      <c r="I855">
        <v>2016</v>
      </c>
      <c r="J855" t="s">
        <v>447</v>
      </c>
      <c r="K855" t="s">
        <v>127</v>
      </c>
      <c r="L855" t="s">
        <v>1162</v>
      </c>
      <c r="M855" t="s">
        <v>1169</v>
      </c>
      <c r="N855">
        <v>1</v>
      </c>
      <c r="O855">
        <v>2020</v>
      </c>
      <c r="P855">
        <v>963.29366900849539</v>
      </c>
      <c r="Q855">
        <v>9.1750986966314119E-2</v>
      </c>
      <c r="R855" t="s">
        <v>391</v>
      </c>
      <c r="S855">
        <v>10499.00061960275</v>
      </c>
      <c r="T855">
        <v>429.67619999999999</v>
      </c>
      <c r="U855" t="s">
        <v>392</v>
      </c>
      <c r="V855">
        <v>1.5624589090909089</v>
      </c>
      <c r="W855">
        <v>16.5973520403479</v>
      </c>
      <c r="X855">
        <v>27.331519839424129</v>
      </c>
      <c r="Y855">
        <v>22</v>
      </c>
      <c r="Z855">
        <v>0.65</v>
      </c>
      <c r="AA855">
        <v>1</v>
      </c>
    </row>
    <row r="856" spans="1:27" x14ac:dyDescent="0.25">
      <c r="A856" t="s">
        <v>98</v>
      </c>
      <c r="B856" t="s">
        <v>99</v>
      </c>
      <c r="C856" t="s">
        <v>1028</v>
      </c>
      <c r="D856" t="s">
        <v>101</v>
      </c>
      <c r="E856" t="s">
        <v>426</v>
      </c>
      <c r="G856" t="s">
        <v>449</v>
      </c>
      <c r="H856" t="s">
        <v>125</v>
      </c>
      <c r="I856">
        <v>2016</v>
      </c>
      <c r="J856" t="s">
        <v>450</v>
      </c>
      <c r="K856" t="s">
        <v>127</v>
      </c>
      <c r="L856" t="s">
        <v>1162</v>
      </c>
      <c r="M856" t="s">
        <v>1170</v>
      </c>
      <c r="N856">
        <v>1</v>
      </c>
      <c r="O856">
        <v>2020</v>
      </c>
      <c r="P856">
        <v>987.6808505023813</v>
      </c>
      <c r="Q856">
        <v>9.1750986966314119E-2</v>
      </c>
      <c r="R856" t="s">
        <v>391</v>
      </c>
      <c r="S856">
        <v>10764.798103643319</v>
      </c>
      <c r="T856">
        <v>419</v>
      </c>
      <c r="U856" t="s">
        <v>392</v>
      </c>
      <c r="V856">
        <v>1.5236363636363639</v>
      </c>
      <c r="W856">
        <v>16.5973520403479</v>
      </c>
      <c r="X856">
        <v>27.331519839424129</v>
      </c>
      <c r="Y856">
        <v>22</v>
      </c>
      <c r="Z856">
        <v>0.65</v>
      </c>
      <c r="AA856">
        <v>1</v>
      </c>
    </row>
    <row r="857" spans="1:27" x14ac:dyDescent="0.25">
      <c r="A857" t="s">
        <v>98</v>
      </c>
      <c r="B857" t="s">
        <v>99</v>
      </c>
      <c r="C857" t="s">
        <v>1028</v>
      </c>
      <c r="D857" t="s">
        <v>101</v>
      </c>
      <c r="E857" t="s">
        <v>452</v>
      </c>
      <c r="G857" t="s">
        <v>111</v>
      </c>
      <c r="H857" t="s">
        <v>104</v>
      </c>
      <c r="I857">
        <v>2016</v>
      </c>
      <c r="J857" t="s">
        <v>453</v>
      </c>
      <c r="K857" t="s">
        <v>106</v>
      </c>
      <c r="L857" t="s">
        <v>1171</v>
      </c>
      <c r="M857" t="s">
        <v>1172</v>
      </c>
      <c r="N857">
        <v>1</v>
      </c>
      <c r="O857">
        <v>2020</v>
      </c>
      <c r="P857">
        <v>451.16285763689018</v>
      </c>
      <c r="Q857">
        <v>15.381322890595991</v>
      </c>
      <c r="R857" t="s">
        <v>391</v>
      </c>
      <c r="S857">
        <v>29.33186312035145</v>
      </c>
      <c r="T857">
        <v>0.45</v>
      </c>
      <c r="U857" t="s">
        <v>456</v>
      </c>
      <c r="V857">
        <v>0.45</v>
      </c>
      <c r="W857">
        <v>9</v>
      </c>
      <c r="X857">
        <v>15</v>
      </c>
      <c r="Y857">
        <v>13</v>
      </c>
      <c r="Z857">
        <v>9.0000000000000011E-2</v>
      </c>
      <c r="AA857">
        <v>1</v>
      </c>
    </row>
    <row r="858" spans="1:27" x14ac:dyDescent="0.25">
      <c r="A858" t="s">
        <v>98</v>
      </c>
      <c r="B858" t="s">
        <v>99</v>
      </c>
      <c r="C858" t="s">
        <v>1028</v>
      </c>
      <c r="D858" t="s">
        <v>101</v>
      </c>
      <c r="E858" t="s">
        <v>452</v>
      </c>
      <c r="G858" t="s">
        <v>119</v>
      </c>
      <c r="H858" t="s">
        <v>104</v>
      </c>
      <c r="I858">
        <v>2016</v>
      </c>
      <c r="J858" t="s">
        <v>457</v>
      </c>
      <c r="K858" t="s">
        <v>106</v>
      </c>
      <c r="L858" t="s">
        <v>1171</v>
      </c>
      <c r="M858" t="s">
        <v>1173</v>
      </c>
      <c r="N858">
        <v>1</v>
      </c>
      <c r="O858">
        <v>2020</v>
      </c>
      <c r="P858">
        <v>521.3437466026287</v>
      </c>
      <c r="Q858">
        <v>15.381322890595991</v>
      </c>
      <c r="R858" t="s">
        <v>391</v>
      </c>
      <c r="S858">
        <v>33.89459738351723</v>
      </c>
      <c r="T858">
        <v>0.52</v>
      </c>
      <c r="U858" t="s">
        <v>456</v>
      </c>
      <c r="V858">
        <v>0.52</v>
      </c>
      <c r="W858">
        <v>9</v>
      </c>
      <c r="X858">
        <v>15</v>
      </c>
      <c r="Y858">
        <v>13</v>
      </c>
      <c r="Z858">
        <v>9.0000000000000011E-2</v>
      </c>
      <c r="AA858">
        <v>1</v>
      </c>
    </row>
    <row r="859" spans="1:27" x14ac:dyDescent="0.25">
      <c r="A859" t="s">
        <v>98</v>
      </c>
      <c r="B859" t="s">
        <v>99</v>
      </c>
      <c r="C859" t="s">
        <v>1028</v>
      </c>
      <c r="D859" t="s">
        <v>101</v>
      </c>
      <c r="E859" t="s">
        <v>452</v>
      </c>
      <c r="G859" t="s">
        <v>111</v>
      </c>
      <c r="H859" t="s">
        <v>156</v>
      </c>
      <c r="I859">
        <v>2016</v>
      </c>
      <c r="J859" t="s">
        <v>459</v>
      </c>
      <c r="K859" t="s">
        <v>158</v>
      </c>
      <c r="L859" t="s">
        <v>1171</v>
      </c>
      <c r="M859" t="s">
        <v>1174</v>
      </c>
      <c r="N859">
        <v>1</v>
      </c>
      <c r="O859">
        <v>2020</v>
      </c>
      <c r="P859">
        <v>451.16285763689018</v>
      </c>
      <c r="Q859">
        <v>15.381322890595991</v>
      </c>
      <c r="R859" t="s">
        <v>391</v>
      </c>
      <c r="S859">
        <v>29.33186312035145</v>
      </c>
      <c r="T859">
        <v>0.45</v>
      </c>
      <c r="U859" t="s">
        <v>456</v>
      </c>
      <c r="V859">
        <v>0.45</v>
      </c>
      <c r="W859">
        <v>9</v>
      </c>
      <c r="X859">
        <v>15</v>
      </c>
      <c r="Y859">
        <v>13</v>
      </c>
      <c r="Z859">
        <v>9.0000000000000011E-2</v>
      </c>
      <c r="AA859">
        <v>1</v>
      </c>
    </row>
    <row r="860" spans="1:27" x14ac:dyDescent="0.25">
      <c r="A860" t="s">
        <v>98</v>
      </c>
      <c r="B860" t="s">
        <v>99</v>
      </c>
      <c r="C860" t="s">
        <v>1028</v>
      </c>
      <c r="D860" t="s">
        <v>101</v>
      </c>
      <c r="E860" t="s">
        <v>452</v>
      </c>
      <c r="G860" t="s">
        <v>119</v>
      </c>
      <c r="H860" t="s">
        <v>156</v>
      </c>
      <c r="I860">
        <v>2016</v>
      </c>
      <c r="J860" t="s">
        <v>461</v>
      </c>
      <c r="K860" t="s">
        <v>158</v>
      </c>
      <c r="L860" t="s">
        <v>1171</v>
      </c>
      <c r="M860" t="s">
        <v>1175</v>
      </c>
      <c r="N860">
        <v>1</v>
      </c>
      <c r="O860">
        <v>2020</v>
      </c>
      <c r="P860">
        <v>521.3437466026287</v>
      </c>
      <c r="Q860">
        <v>15.381322890595991</v>
      </c>
      <c r="R860" t="s">
        <v>391</v>
      </c>
      <c r="S860">
        <v>33.89459738351723</v>
      </c>
      <c r="T860">
        <v>0.52</v>
      </c>
      <c r="U860" t="s">
        <v>456</v>
      </c>
      <c r="V860">
        <v>0.52</v>
      </c>
      <c r="W860">
        <v>9</v>
      </c>
      <c r="X860">
        <v>15</v>
      </c>
      <c r="Y860">
        <v>13</v>
      </c>
      <c r="Z860">
        <v>9.0000000000000011E-2</v>
      </c>
      <c r="AA860">
        <v>1</v>
      </c>
    </row>
    <row r="861" spans="1:27" x14ac:dyDescent="0.25">
      <c r="A861" t="s">
        <v>98</v>
      </c>
      <c r="B861" t="s">
        <v>99</v>
      </c>
      <c r="C861" t="s">
        <v>1028</v>
      </c>
      <c r="D861" t="s">
        <v>101</v>
      </c>
      <c r="E861" t="s">
        <v>452</v>
      </c>
      <c r="G861" t="s">
        <v>111</v>
      </c>
      <c r="H861" t="s">
        <v>125</v>
      </c>
      <c r="I861">
        <v>2016</v>
      </c>
      <c r="J861" t="s">
        <v>463</v>
      </c>
      <c r="K861" t="s">
        <v>127</v>
      </c>
      <c r="L861" t="s">
        <v>1171</v>
      </c>
      <c r="M861" t="s">
        <v>1176</v>
      </c>
      <c r="N861">
        <v>1</v>
      </c>
      <c r="O861">
        <v>2020</v>
      </c>
      <c r="P861">
        <v>938.90648751460947</v>
      </c>
      <c r="Q861">
        <v>15.381322890595991</v>
      </c>
      <c r="R861" t="s">
        <v>391</v>
      </c>
      <c r="S861">
        <v>61.041985412623298</v>
      </c>
      <c r="T861">
        <v>228.0913607809874</v>
      </c>
      <c r="U861" t="s">
        <v>392</v>
      </c>
      <c r="V861">
        <v>0.9</v>
      </c>
      <c r="W861">
        <v>10</v>
      </c>
      <c r="X861">
        <v>20</v>
      </c>
      <c r="Y861">
        <v>16</v>
      </c>
      <c r="Z861">
        <v>9.0000000000000011E-2</v>
      </c>
      <c r="AA861">
        <v>1</v>
      </c>
    </row>
    <row r="862" spans="1:27" x14ac:dyDescent="0.25">
      <c r="A862" t="s">
        <v>98</v>
      </c>
      <c r="B862" t="s">
        <v>99</v>
      </c>
      <c r="C862" t="s">
        <v>1028</v>
      </c>
      <c r="D862" t="s">
        <v>101</v>
      </c>
      <c r="E862" t="s">
        <v>465</v>
      </c>
      <c r="G862" t="s">
        <v>466</v>
      </c>
      <c r="H862" t="s">
        <v>125</v>
      </c>
      <c r="I862">
        <v>2030</v>
      </c>
      <c r="J862" t="s">
        <v>467</v>
      </c>
      <c r="K862" t="s">
        <v>127</v>
      </c>
      <c r="L862" t="s">
        <v>1177</v>
      </c>
      <c r="M862" t="s">
        <v>1178</v>
      </c>
      <c r="N862">
        <v>1</v>
      </c>
      <c r="O862">
        <v>2030</v>
      </c>
      <c r="P862">
        <v>1646.1347508373019</v>
      </c>
      <c r="Q862">
        <v>1.242076820996882</v>
      </c>
      <c r="R862" t="s">
        <v>391</v>
      </c>
      <c r="S862">
        <v>1325.3083247428499</v>
      </c>
      <c r="T862">
        <v>0.28000000000000003</v>
      </c>
      <c r="U862" t="s">
        <v>470</v>
      </c>
      <c r="V862">
        <v>2.333333333333333</v>
      </c>
      <c r="W862">
        <v>6</v>
      </c>
      <c r="X862">
        <v>17</v>
      </c>
      <c r="Y862">
        <v>12</v>
      </c>
      <c r="Z862">
        <v>0.02</v>
      </c>
      <c r="AA862">
        <v>1</v>
      </c>
    </row>
    <row r="863" spans="1:27" x14ac:dyDescent="0.25">
      <c r="A863" t="s">
        <v>98</v>
      </c>
      <c r="B863" t="s">
        <v>99</v>
      </c>
      <c r="C863" t="s">
        <v>1028</v>
      </c>
      <c r="D863" t="s">
        <v>101</v>
      </c>
      <c r="E863" t="s">
        <v>465</v>
      </c>
      <c r="G863" t="s">
        <v>471</v>
      </c>
      <c r="H863" t="s">
        <v>125</v>
      </c>
      <c r="I863">
        <v>2016</v>
      </c>
      <c r="J863" t="s">
        <v>472</v>
      </c>
      <c r="K863" t="s">
        <v>127</v>
      </c>
      <c r="L863" t="s">
        <v>1177</v>
      </c>
      <c r="M863" t="s">
        <v>1179</v>
      </c>
      <c r="N863">
        <v>1</v>
      </c>
      <c r="O863">
        <v>2020</v>
      </c>
      <c r="P863">
        <v>792.58339855129361</v>
      </c>
      <c r="Q863">
        <v>1.242076820996882</v>
      </c>
      <c r="R863" t="s">
        <v>391</v>
      </c>
      <c r="S863">
        <v>638.11141561692773</v>
      </c>
      <c r="T863">
        <v>0.26</v>
      </c>
      <c r="U863" t="s">
        <v>470</v>
      </c>
      <c r="V863">
        <v>2.166666666666667</v>
      </c>
      <c r="W863">
        <v>6</v>
      </c>
      <c r="X863">
        <v>17</v>
      </c>
      <c r="Y863">
        <v>12</v>
      </c>
      <c r="Z863">
        <v>0.02</v>
      </c>
      <c r="AA863">
        <v>1</v>
      </c>
    </row>
    <row r="864" spans="1:27" x14ac:dyDescent="0.25">
      <c r="A864" t="s">
        <v>98</v>
      </c>
      <c r="B864" t="s">
        <v>99</v>
      </c>
      <c r="C864" t="s">
        <v>1028</v>
      </c>
      <c r="D864" t="s">
        <v>101</v>
      </c>
      <c r="E864" t="s">
        <v>465</v>
      </c>
      <c r="G864" t="s">
        <v>474</v>
      </c>
      <c r="H864" t="s">
        <v>125</v>
      </c>
      <c r="I864">
        <v>2016</v>
      </c>
      <c r="J864" t="s">
        <v>475</v>
      </c>
      <c r="K864" t="s">
        <v>127</v>
      </c>
      <c r="L864" t="s">
        <v>1177</v>
      </c>
      <c r="M864" t="s">
        <v>1180</v>
      </c>
      <c r="N864">
        <v>0</v>
      </c>
      <c r="O864">
        <v>2020</v>
      </c>
      <c r="P864">
        <v>792.58339855129361</v>
      </c>
      <c r="Q864">
        <v>1.242076820996882</v>
      </c>
      <c r="R864" t="s">
        <v>391</v>
      </c>
      <c r="S864">
        <v>638.11141561692773</v>
      </c>
      <c r="T864">
        <v>0.26</v>
      </c>
      <c r="U864" t="s">
        <v>470</v>
      </c>
      <c r="V864">
        <v>2.166666666666667</v>
      </c>
      <c r="W864">
        <v>6</v>
      </c>
      <c r="X864">
        <v>17</v>
      </c>
      <c r="Y864">
        <v>12</v>
      </c>
      <c r="Z864">
        <v>0.02</v>
      </c>
      <c r="AA864">
        <v>1</v>
      </c>
    </row>
    <row r="865" spans="1:27" x14ac:dyDescent="0.25">
      <c r="A865" t="s">
        <v>98</v>
      </c>
      <c r="B865" t="s">
        <v>99</v>
      </c>
      <c r="C865" t="s">
        <v>1028</v>
      </c>
      <c r="D865" t="s">
        <v>101</v>
      </c>
      <c r="E865" t="s">
        <v>465</v>
      </c>
      <c r="G865" t="s">
        <v>474</v>
      </c>
      <c r="H865" t="s">
        <v>125</v>
      </c>
      <c r="I865">
        <v>2020</v>
      </c>
      <c r="J865" t="s">
        <v>477</v>
      </c>
      <c r="K865" t="s">
        <v>127</v>
      </c>
      <c r="L865" t="s">
        <v>1177</v>
      </c>
      <c r="M865" t="s">
        <v>1180</v>
      </c>
      <c r="N865">
        <v>1</v>
      </c>
      <c r="O865">
        <v>2020</v>
      </c>
      <c r="P865">
        <v>914.51930602072343</v>
      </c>
      <c r="Q865">
        <v>1.242076820996882</v>
      </c>
      <c r="R865" t="s">
        <v>391</v>
      </c>
      <c r="S865">
        <v>736.28240263491671</v>
      </c>
      <c r="T865">
        <v>0.24</v>
      </c>
      <c r="U865" t="s">
        <v>470</v>
      </c>
      <c r="V865">
        <v>2</v>
      </c>
      <c r="W865">
        <v>6</v>
      </c>
      <c r="X865">
        <v>17</v>
      </c>
      <c r="Y865">
        <v>12</v>
      </c>
      <c r="Z865">
        <v>0.02</v>
      </c>
      <c r="AA865">
        <v>1</v>
      </c>
    </row>
    <row r="866" spans="1:27" x14ac:dyDescent="0.25">
      <c r="A866" t="s">
        <v>98</v>
      </c>
      <c r="B866" t="s">
        <v>99</v>
      </c>
      <c r="C866" t="s">
        <v>1028</v>
      </c>
      <c r="D866" t="s">
        <v>101</v>
      </c>
      <c r="E866" t="s">
        <v>465</v>
      </c>
      <c r="G866" t="s">
        <v>478</v>
      </c>
      <c r="H866" t="s">
        <v>125</v>
      </c>
      <c r="I866">
        <v>2016</v>
      </c>
      <c r="J866" t="s">
        <v>479</v>
      </c>
      <c r="K866" t="s">
        <v>127</v>
      </c>
      <c r="L866" t="s">
        <v>1177</v>
      </c>
      <c r="M866" t="s">
        <v>1181</v>
      </c>
      <c r="N866">
        <v>1</v>
      </c>
      <c r="O866">
        <v>2020</v>
      </c>
      <c r="P866">
        <v>1158.3911209595831</v>
      </c>
      <c r="Q866">
        <v>1.242076820996882</v>
      </c>
      <c r="R866" t="s">
        <v>391</v>
      </c>
      <c r="S866">
        <v>932.62437667089455</v>
      </c>
      <c r="T866">
        <v>0.15</v>
      </c>
      <c r="U866" t="s">
        <v>470</v>
      </c>
      <c r="V866">
        <v>1.25</v>
      </c>
      <c r="W866">
        <v>6</v>
      </c>
      <c r="X866">
        <v>17</v>
      </c>
      <c r="Y866">
        <v>12</v>
      </c>
      <c r="Z866">
        <v>0.02</v>
      </c>
      <c r="AA866">
        <v>1</v>
      </c>
    </row>
    <row r="867" spans="1:27" x14ac:dyDescent="0.25">
      <c r="A867" t="s">
        <v>98</v>
      </c>
      <c r="B867" t="s">
        <v>99</v>
      </c>
      <c r="C867" t="s">
        <v>1028</v>
      </c>
      <c r="D867" t="s">
        <v>101</v>
      </c>
      <c r="E867" t="s">
        <v>465</v>
      </c>
      <c r="G867" t="s">
        <v>481</v>
      </c>
      <c r="H867" t="s">
        <v>125</v>
      </c>
      <c r="I867">
        <v>2016</v>
      </c>
      <c r="J867" t="s">
        <v>482</v>
      </c>
      <c r="K867" t="s">
        <v>127</v>
      </c>
      <c r="L867" t="s">
        <v>1177</v>
      </c>
      <c r="M867" t="s">
        <v>1182</v>
      </c>
      <c r="N867">
        <v>1</v>
      </c>
      <c r="O867">
        <v>2020</v>
      </c>
      <c r="P867">
        <v>1371.7789590310849</v>
      </c>
      <c r="Q867">
        <v>1.242076820996882</v>
      </c>
      <c r="R867" t="s">
        <v>391</v>
      </c>
      <c r="S867">
        <v>1104.4236039523751</v>
      </c>
      <c r="T867">
        <v>0.12</v>
      </c>
      <c r="U867" t="s">
        <v>470</v>
      </c>
      <c r="V867">
        <v>1</v>
      </c>
      <c r="W867">
        <v>6</v>
      </c>
      <c r="X867">
        <v>17</v>
      </c>
      <c r="Y867">
        <v>12</v>
      </c>
      <c r="Z867">
        <v>0.02</v>
      </c>
      <c r="AA867">
        <v>1</v>
      </c>
    </row>
    <row r="868" spans="1:27" x14ac:dyDescent="0.25">
      <c r="A868" t="s">
        <v>98</v>
      </c>
      <c r="B868" t="s">
        <v>99</v>
      </c>
      <c r="C868" t="s">
        <v>1028</v>
      </c>
      <c r="D868" t="s">
        <v>101</v>
      </c>
      <c r="E868" t="s">
        <v>465</v>
      </c>
      <c r="G868" t="s">
        <v>484</v>
      </c>
      <c r="H868" t="s">
        <v>125</v>
      </c>
      <c r="I868">
        <v>2016</v>
      </c>
      <c r="J868" t="s">
        <v>485</v>
      </c>
      <c r="K868" t="s">
        <v>127</v>
      </c>
      <c r="L868" t="s">
        <v>1177</v>
      </c>
      <c r="M868" t="s">
        <v>1183</v>
      </c>
      <c r="N868">
        <v>1</v>
      </c>
      <c r="O868">
        <v>2020</v>
      </c>
      <c r="P868">
        <v>1158.3911209595831</v>
      </c>
      <c r="Q868">
        <v>1.242076820996882</v>
      </c>
      <c r="R868" t="s">
        <v>391</v>
      </c>
      <c r="S868">
        <v>932.62437667089455</v>
      </c>
      <c r="T868">
        <v>0.15</v>
      </c>
      <c r="U868" t="s">
        <v>470</v>
      </c>
      <c r="V868">
        <v>1.25</v>
      </c>
      <c r="W868">
        <v>6</v>
      </c>
      <c r="X868">
        <v>17</v>
      </c>
      <c r="Y868">
        <v>12</v>
      </c>
      <c r="Z868">
        <v>0.02</v>
      </c>
      <c r="AA868">
        <v>1</v>
      </c>
    </row>
    <row r="869" spans="1:27" x14ac:dyDescent="0.25">
      <c r="A869" t="s">
        <v>98</v>
      </c>
      <c r="B869" t="s">
        <v>99</v>
      </c>
      <c r="C869" t="s">
        <v>1028</v>
      </c>
      <c r="D869" t="s">
        <v>101</v>
      </c>
      <c r="E869" t="s">
        <v>465</v>
      </c>
      <c r="G869" t="s">
        <v>487</v>
      </c>
      <c r="H869" t="s">
        <v>125</v>
      </c>
      <c r="I869">
        <v>2016</v>
      </c>
      <c r="J869" t="s">
        <v>488</v>
      </c>
      <c r="K869" t="s">
        <v>127</v>
      </c>
      <c r="L869" t="s">
        <v>1177</v>
      </c>
      <c r="M869" t="s">
        <v>1184</v>
      </c>
      <c r="N869">
        <v>1</v>
      </c>
      <c r="O869">
        <v>2020</v>
      </c>
      <c r="P869">
        <v>1219.359074694298</v>
      </c>
      <c r="Q869">
        <v>1.242076820996882</v>
      </c>
      <c r="R869" t="s">
        <v>391</v>
      </c>
      <c r="S869">
        <v>981.70987017988898</v>
      </c>
      <c r="T869">
        <v>0.21</v>
      </c>
      <c r="U869" t="s">
        <v>470</v>
      </c>
      <c r="V869">
        <v>1.75</v>
      </c>
      <c r="W869">
        <v>6</v>
      </c>
      <c r="X869">
        <v>17</v>
      </c>
      <c r="Y869">
        <v>12</v>
      </c>
      <c r="Z869">
        <v>0.02</v>
      </c>
      <c r="AA869">
        <v>1</v>
      </c>
    </row>
    <row r="870" spans="1:27" x14ac:dyDescent="0.25">
      <c r="A870" t="s">
        <v>98</v>
      </c>
      <c r="B870" t="s">
        <v>99</v>
      </c>
      <c r="C870" t="s">
        <v>1028</v>
      </c>
      <c r="D870" t="s">
        <v>101</v>
      </c>
      <c r="E870" t="s">
        <v>465</v>
      </c>
      <c r="G870" t="s">
        <v>487</v>
      </c>
      <c r="H870" t="s">
        <v>125</v>
      </c>
      <c r="I870">
        <v>2030</v>
      </c>
      <c r="J870" t="s">
        <v>490</v>
      </c>
      <c r="K870" t="s">
        <v>127</v>
      </c>
      <c r="L870" t="s">
        <v>1177</v>
      </c>
      <c r="M870" t="s">
        <v>1185</v>
      </c>
      <c r="N870">
        <v>1</v>
      </c>
      <c r="O870">
        <v>2030</v>
      </c>
      <c r="P870">
        <v>1280.3270284290129</v>
      </c>
      <c r="Q870">
        <v>1.242076820996882</v>
      </c>
      <c r="R870" t="s">
        <v>391</v>
      </c>
      <c r="S870">
        <v>1030.795363688884</v>
      </c>
      <c r="T870">
        <v>0.17</v>
      </c>
      <c r="U870" t="s">
        <v>470</v>
      </c>
      <c r="V870">
        <v>1.416666666666667</v>
      </c>
      <c r="W870">
        <v>6</v>
      </c>
      <c r="X870">
        <v>17</v>
      </c>
      <c r="Y870">
        <v>12</v>
      </c>
      <c r="Z870">
        <v>0.02</v>
      </c>
      <c r="AA870">
        <v>1</v>
      </c>
    </row>
    <row r="871" spans="1:27" x14ac:dyDescent="0.25">
      <c r="A871" t="s">
        <v>98</v>
      </c>
      <c r="B871" t="s">
        <v>99</v>
      </c>
      <c r="C871" t="s">
        <v>1028</v>
      </c>
      <c r="D871" t="s">
        <v>101</v>
      </c>
      <c r="E871" t="s">
        <v>465</v>
      </c>
      <c r="G871" t="s">
        <v>492</v>
      </c>
      <c r="H871" t="s">
        <v>125</v>
      </c>
      <c r="I871">
        <v>2016</v>
      </c>
      <c r="J871" t="s">
        <v>493</v>
      </c>
      <c r="K871" t="s">
        <v>127</v>
      </c>
      <c r="L871" t="s">
        <v>1177</v>
      </c>
      <c r="M871" t="s">
        <v>1186</v>
      </c>
      <c r="N871">
        <v>1</v>
      </c>
      <c r="O871">
        <v>2020</v>
      </c>
      <c r="P871">
        <v>1158.3911209595831</v>
      </c>
      <c r="Q871">
        <v>1.242076820996882</v>
      </c>
      <c r="R871" t="s">
        <v>391</v>
      </c>
      <c r="S871">
        <v>932.62437667089455</v>
      </c>
      <c r="T871">
        <v>0.28999999999999998</v>
      </c>
      <c r="U871" t="s">
        <v>470</v>
      </c>
      <c r="V871">
        <v>2.416666666666667</v>
      </c>
      <c r="W871">
        <v>6</v>
      </c>
      <c r="X871">
        <v>17</v>
      </c>
      <c r="Y871">
        <v>12</v>
      </c>
      <c r="Z871">
        <v>0.02</v>
      </c>
      <c r="AA871">
        <v>1</v>
      </c>
    </row>
    <row r="872" spans="1:27" x14ac:dyDescent="0.25">
      <c r="A872" t="s">
        <v>98</v>
      </c>
      <c r="B872" t="s">
        <v>99</v>
      </c>
      <c r="C872" t="s">
        <v>1028</v>
      </c>
      <c r="D872" t="s">
        <v>101</v>
      </c>
      <c r="E872" t="s">
        <v>465</v>
      </c>
      <c r="G872" t="s">
        <v>466</v>
      </c>
      <c r="H872" t="s">
        <v>125</v>
      </c>
      <c r="I872">
        <v>2016</v>
      </c>
      <c r="J872" t="s">
        <v>495</v>
      </c>
      <c r="K872" t="s">
        <v>127</v>
      </c>
      <c r="L872" t="s">
        <v>1177</v>
      </c>
      <c r="M872" t="s">
        <v>1187</v>
      </c>
      <c r="N872">
        <v>0</v>
      </c>
      <c r="O872">
        <v>2020</v>
      </c>
      <c r="P872">
        <v>1280.3270284290129</v>
      </c>
      <c r="Q872">
        <v>1.242076820996882</v>
      </c>
      <c r="R872" t="s">
        <v>391</v>
      </c>
      <c r="S872">
        <v>1030.795363688884</v>
      </c>
      <c r="T872">
        <v>0.17</v>
      </c>
      <c r="U872" t="s">
        <v>470</v>
      </c>
      <c r="V872">
        <v>1.416666666666667</v>
      </c>
      <c r="W872">
        <v>6</v>
      </c>
      <c r="X872">
        <v>17</v>
      </c>
      <c r="Y872">
        <v>12</v>
      </c>
      <c r="Z872">
        <v>0.02</v>
      </c>
      <c r="AA872">
        <v>1</v>
      </c>
    </row>
    <row r="873" spans="1:27" x14ac:dyDescent="0.25">
      <c r="A873" t="s">
        <v>98</v>
      </c>
      <c r="B873" t="s">
        <v>99</v>
      </c>
      <c r="C873" t="s">
        <v>1028</v>
      </c>
      <c r="D873" t="s">
        <v>101</v>
      </c>
      <c r="E873" t="s">
        <v>465</v>
      </c>
      <c r="G873" t="s">
        <v>466</v>
      </c>
      <c r="H873" t="s">
        <v>125</v>
      </c>
      <c r="I873">
        <v>2020</v>
      </c>
      <c r="J873" t="s">
        <v>497</v>
      </c>
      <c r="K873" t="s">
        <v>127</v>
      </c>
      <c r="L873" t="s">
        <v>1177</v>
      </c>
      <c r="M873" t="s">
        <v>1187</v>
      </c>
      <c r="N873">
        <v>1</v>
      </c>
      <c r="O873">
        <v>2020</v>
      </c>
      <c r="P873">
        <v>1646.1347508373019</v>
      </c>
      <c r="Q873">
        <v>1.242076820996882</v>
      </c>
      <c r="R873" t="s">
        <v>391</v>
      </c>
      <c r="S873">
        <v>1325.3083247428499</v>
      </c>
      <c r="T873">
        <v>0.28000000000000003</v>
      </c>
      <c r="U873" t="s">
        <v>470</v>
      </c>
      <c r="V873">
        <v>2.333333333333333</v>
      </c>
      <c r="W873">
        <v>6</v>
      </c>
      <c r="X873">
        <v>17</v>
      </c>
      <c r="Y873">
        <v>12</v>
      </c>
      <c r="Z873">
        <v>0.02</v>
      </c>
      <c r="AA873">
        <v>1</v>
      </c>
    </row>
    <row r="874" spans="1:27" x14ac:dyDescent="0.25">
      <c r="A874" t="s">
        <v>98</v>
      </c>
      <c r="B874" t="s">
        <v>99</v>
      </c>
      <c r="C874" t="s">
        <v>1028</v>
      </c>
      <c r="D874" t="s">
        <v>101</v>
      </c>
      <c r="E874" t="s">
        <v>498</v>
      </c>
      <c r="G874" t="s">
        <v>103</v>
      </c>
      <c r="H874" t="s">
        <v>104</v>
      </c>
      <c r="I874">
        <v>2016</v>
      </c>
      <c r="J874" t="s">
        <v>499</v>
      </c>
      <c r="K874" t="s">
        <v>106</v>
      </c>
      <c r="L874" t="s">
        <v>1188</v>
      </c>
      <c r="M874" t="s">
        <v>1189</v>
      </c>
      <c r="N874">
        <v>1</v>
      </c>
      <c r="O874">
        <v>2020</v>
      </c>
      <c r="P874">
        <v>792.58339855129361</v>
      </c>
      <c r="Q874">
        <v>25.171625566225039</v>
      </c>
      <c r="R874" t="s">
        <v>391</v>
      </c>
      <c r="S874">
        <v>31.487175767256439</v>
      </c>
      <c r="T874">
        <v>3.3</v>
      </c>
      <c r="U874" t="s">
        <v>502</v>
      </c>
      <c r="V874">
        <v>1</v>
      </c>
      <c r="W874">
        <v>8</v>
      </c>
      <c r="X874">
        <v>18</v>
      </c>
      <c r="Y874">
        <v>14</v>
      </c>
      <c r="Z874">
        <v>0.02</v>
      </c>
      <c r="AA874">
        <v>1</v>
      </c>
    </row>
    <row r="875" spans="1:27" x14ac:dyDescent="0.25">
      <c r="A875" t="s">
        <v>98</v>
      </c>
      <c r="B875" t="s">
        <v>99</v>
      </c>
      <c r="C875" t="s">
        <v>1028</v>
      </c>
      <c r="D875" t="s">
        <v>101</v>
      </c>
      <c r="E875" t="s">
        <v>498</v>
      </c>
      <c r="G875" t="s">
        <v>111</v>
      </c>
      <c r="H875" t="s">
        <v>104</v>
      </c>
      <c r="I875">
        <v>2016</v>
      </c>
      <c r="J875" t="s">
        <v>503</v>
      </c>
      <c r="K875" t="s">
        <v>106</v>
      </c>
      <c r="L875" t="s">
        <v>1188</v>
      </c>
      <c r="M875" t="s">
        <v>1190</v>
      </c>
      <c r="N875">
        <v>1</v>
      </c>
      <c r="O875">
        <v>2020</v>
      </c>
      <c r="P875">
        <v>804.77698929823669</v>
      </c>
      <c r="Q875">
        <v>25.171625566225039</v>
      </c>
      <c r="R875" t="s">
        <v>391</v>
      </c>
      <c r="S875">
        <v>31.971593855983471</v>
      </c>
      <c r="T875">
        <v>3.32</v>
      </c>
      <c r="U875" t="s">
        <v>502</v>
      </c>
      <c r="V875">
        <v>1.0060606060606061</v>
      </c>
      <c r="W875">
        <v>8</v>
      </c>
      <c r="X875">
        <v>18</v>
      </c>
      <c r="Y875">
        <v>14</v>
      </c>
      <c r="Z875">
        <v>0.02</v>
      </c>
      <c r="AA875">
        <v>1</v>
      </c>
    </row>
    <row r="876" spans="1:27" x14ac:dyDescent="0.25">
      <c r="A876" t="s">
        <v>98</v>
      </c>
      <c r="B876" t="s">
        <v>99</v>
      </c>
      <c r="C876" t="s">
        <v>1028</v>
      </c>
      <c r="D876" t="s">
        <v>101</v>
      </c>
      <c r="E876" t="s">
        <v>498</v>
      </c>
      <c r="G876" t="s">
        <v>114</v>
      </c>
      <c r="H876" t="s">
        <v>104</v>
      </c>
      <c r="I876">
        <v>2016</v>
      </c>
      <c r="J876" t="s">
        <v>505</v>
      </c>
      <c r="K876" t="s">
        <v>106</v>
      </c>
      <c r="L876" t="s">
        <v>1188</v>
      </c>
      <c r="M876" t="s">
        <v>1191</v>
      </c>
      <c r="N876">
        <v>1</v>
      </c>
      <c r="O876">
        <v>2020</v>
      </c>
      <c r="P876">
        <v>843.56142251742892</v>
      </c>
      <c r="Q876">
        <v>25.171625566225039</v>
      </c>
      <c r="R876" t="s">
        <v>391</v>
      </c>
      <c r="S876">
        <v>33.512393559886291</v>
      </c>
      <c r="T876">
        <v>3.48</v>
      </c>
      <c r="U876" t="s">
        <v>502</v>
      </c>
      <c r="V876">
        <v>1.0545454545454549</v>
      </c>
      <c r="W876">
        <v>8</v>
      </c>
      <c r="X876">
        <v>18</v>
      </c>
      <c r="Y876">
        <v>14</v>
      </c>
      <c r="Z876">
        <v>0.02</v>
      </c>
      <c r="AA876">
        <v>1</v>
      </c>
    </row>
    <row r="877" spans="1:27" x14ac:dyDescent="0.25">
      <c r="A877" t="s">
        <v>98</v>
      </c>
      <c r="B877" t="s">
        <v>99</v>
      </c>
      <c r="C877" t="s">
        <v>1028</v>
      </c>
      <c r="D877" t="s">
        <v>101</v>
      </c>
      <c r="E877" t="s">
        <v>498</v>
      </c>
      <c r="G877" t="s">
        <v>119</v>
      </c>
      <c r="H877" t="s">
        <v>104</v>
      </c>
      <c r="I877">
        <v>2016</v>
      </c>
      <c r="J877" t="s">
        <v>507</v>
      </c>
      <c r="K877" t="s">
        <v>106</v>
      </c>
      <c r="L877" t="s">
        <v>1188</v>
      </c>
      <c r="M877" t="s">
        <v>1192</v>
      </c>
      <c r="N877">
        <v>1</v>
      </c>
      <c r="O877">
        <v>2020</v>
      </c>
      <c r="P877">
        <v>938.90648751460947</v>
      </c>
      <c r="Q877">
        <v>25.171625566225039</v>
      </c>
      <c r="R877" t="s">
        <v>391</v>
      </c>
      <c r="S877">
        <v>37.300192831980709</v>
      </c>
      <c r="T877">
        <v>3.49</v>
      </c>
      <c r="U877" t="s">
        <v>502</v>
      </c>
      <c r="V877">
        <v>1.0575757575757581</v>
      </c>
      <c r="W877">
        <v>8</v>
      </c>
      <c r="X877">
        <v>18</v>
      </c>
      <c r="Y877">
        <v>14</v>
      </c>
      <c r="Z877">
        <v>0.02</v>
      </c>
      <c r="AA877">
        <v>1</v>
      </c>
    </row>
    <row r="878" spans="1:27" x14ac:dyDescent="0.25">
      <c r="A878" t="s">
        <v>98</v>
      </c>
      <c r="B878" t="s">
        <v>99</v>
      </c>
      <c r="C878" t="s">
        <v>1028</v>
      </c>
      <c r="D878" t="s">
        <v>101</v>
      </c>
      <c r="E878" t="s">
        <v>498</v>
      </c>
      <c r="G878" t="s">
        <v>119</v>
      </c>
      <c r="H878" t="s">
        <v>104</v>
      </c>
      <c r="I878">
        <v>2030</v>
      </c>
      <c r="J878" t="s">
        <v>509</v>
      </c>
      <c r="K878" t="s">
        <v>106</v>
      </c>
      <c r="L878" t="s">
        <v>1188</v>
      </c>
      <c r="M878" t="s">
        <v>1193</v>
      </c>
      <c r="N878">
        <v>1</v>
      </c>
      <c r="O878">
        <v>2030</v>
      </c>
      <c r="P878">
        <v>987.6808505023813</v>
      </c>
      <c r="Q878">
        <v>25.171625566225039</v>
      </c>
      <c r="R878" t="s">
        <v>391</v>
      </c>
      <c r="S878">
        <v>39.237865186888797</v>
      </c>
      <c r="T878">
        <v>3.61</v>
      </c>
      <c r="U878" t="s">
        <v>502</v>
      </c>
      <c r="V878">
        <v>1.093939393939394</v>
      </c>
      <c r="W878">
        <v>8</v>
      </c>
      <c r="X878">
        <v>18</v>
      </c>
      <c r="Y878">
        <v>14</v>
      </c>
      <c r="Z878">
        <v>0.02</v>
      </c>
      <c r="AA878">
        <v>1</v>
      </c>
    </row>
    <row r="879" spans="1:27" x14ac:dyDescent="0.25">
      <c r="A879" t="s">
        <v>98</v>
      </c>
      <c r="B879" t="s">
        <v>99</v>
      </c>
      <c r="C879" t="s">
        <v>1028</v>
      </c>
      <c r="D879" t="s">
        <v>101</v>
      </c>
      <c r="E879" t="s">
        <v>498</v>
      </c>
      <c r="G879" t="s">
        <v>103</v>
      </c>
      <c r="H879" t="s">
        <v>125</v>
      </c>
      <c r="I879">
        <v>2016</v>
      </c>
      <c r="J879" t="s">
        <v>511</v>
      </c>
      <c r="K879" t="s">
        <v>127</v>
      </c>
      <c r="L879" t="s">
        <v>1188</v>
      </c>
      <c r="M879" t="s">
        <v>1194</v>
      </c>
      <c r="N879">
        <v>1</v>
      </c>
      <c r="O879">
        <v>2020</v>
      </c>
      <c r="P879">
        <v>646.26030958797787</v>
      </c>
      <c r="Q879">
        <v>25.171625566225039</v>
      </c>
      <c r="R879" t="s">
        <v>391</v>
      </c>
      <c r="S879">
        <v>25.674158702532171</v>
      </c>
      <c r="T879">
        <v>3.73</v>
      </c>
      <c r="U879" t="s">
        <v>502</v>
      </c>
      <c r="V879">
        <v>1.1303030303030299</v>
      </c>
      <c r="W879">
        <v>8</v>
      </c>
      <c r="X879">
        <v>18</v>
      </c>
      <c r="Y879">
        <v>14</v>
      </c>
      <c r="Z879">
        <v>0.02</v>
      </c>
      <c r="AA879">
        <v>1</v>
      </c>
    </row>
    <row r="880" spans="1:27" x14ac:dyDescent="0.25">
      <c r="A880" t="s">
        <v>98</v>
      </c>
      <c r="B880" t="s">
        <v>99</v>
      </c>
      <c r="C880" t="s">
        <v>1028</v>
      </c>
      <c r="D880" t="s">
        <v>101</v>
      </c>
      <c r="E880" t="s">
        <v>498</v>
      </c>
      <c r="G880" t="s">
        <v>111</v>
      </c>
      <c r="H880" t="s">
        <v>125</v>
      </c>
      <c r="I880">
        <v>2016</v>
      </c>
      <c r="J880" t="s">
        <v>513</v>
      </c>
      <c r="K880" t="s">
        <v>127</v>
      </c>
      <c r="L880" t="s">
        <v>1188</v>
      </c>
      <c r="M880" t="s">
        <v>1195</v>
      </c>
      <c r="N880">
        <v>1</v>
      </c>
      <c r="O880">
        <v>2020</v>
      </c>
      <c r="P880">
        <v>658.45390033492083</v>
      </c>
      <c r="Q880">
        <v>25.171625566225039</v>
      </c>
      <c r="R880" t="s">
        <v>391</v>
      </c>
      <c r="S880">
        <v>26.1585767912592</v>
      </c>
      <c r="T880">
        <v>3.74</v>
      </c>
      <c r="U880" t="s">
        <v>502</v>
      </c>
      <c r="V880">
        <v>1.133333333333334</v>
      </c>
      <c r="W880">
        <v>8</v>
      </c>
      <c r="X880">
        <v>18</v>
      </c>
      <c r="Y880">
        <v>14</v>
      </c>
      <c r="Z880">
        <v>0.02</v>
      </c>
      <c r="AA880">
        <v>1</v>
      </c>
    </row>
    <row r="881" spans="1:27" x14ac:dyDescent="0.25">
      <c r="A881" t="s">
        <v>98</v>
      </c>
      <c r="B881" t="s">
        <v>99</v>
      </c>
      <c r="C881" t="s">
        <v>1028</v>
      </c>
      <c r="D881" t="s">
        <v>101</v>
      </c>
      <c r="E881" t="s">
        <v>498</v>
      </c>
      <c r="G881" t="s">
        <v>114</v>
      </c>
      <c r="H881" t="s">
        <v>125</v>
      </c>
      <c r="I881">
        <v>2016</v>
      </c>
      <c r="J881" t="s">
        <v>515</v>
      </c>
      <c r="K881" t="s">
        <v>127</v>
      </c>
      <c r="L881" t="s">
        <v>1188</v>
      </c>
      <c r="M881" t="s">
        <v>1196</v>
      </c>
      <c r="N881">
        <v>1</v>
      </c>
      <c r="O881">
        <v>2020</v>
      </c>
      <c r="P881">
        <v>691.90476692947561</v>
      </c>
      <c r="Q881">
        <v>25.171625566225039</v>
      </c>
      <c r="R881" t="s">
        <v>391</v>
      </c>
      <c r="S881">
        <v>27.48748844643012</v>
      </c>
      <c r="T881">
        <v>3.93</v>
      </c>
      <c r="U881" t="s">
        <v>502</v>
      </c>
      <c r="V881">
        <v>1.1909090909090909</v>
      </c>
      <c r="W881">
        <v>8</v>
      </c>
      <c r="X881">
        <v>18</v>
      </c>
      <c r="Y881">
        <v>14</v>
      </c>
      <c r="Z881">
        <v>0.02</v>
      </c>
      <c r="AA881">
        <v>1</v>
      </c>
    </row>
    <row r="882" spans="1:27" x14ac:dyDescent="0.25">
      <c r="A882" t="s">
        <v>98</v>
      </c>
      <c r="B882" t="s">
        <v>99</v>
      </c>
      <c r="C882" t="s">
        <v>1028</v>
      </c>
      <c r="D882" t="s">
        <v>101</v>
      </c>
      <c r="E882" t="s">
        <v>498</v>
      </c>
      <c r="G882" t="s">
        <v>119</v>
      </c>
      <c r="H882" t="s">
        <v>125</v>
      </c>
      <c r="I882">
        <v>2016</v>
      </c>
      <c r="J882" t="s">
        <v>517</v>
      </c>
      <c r="K882" t="s">
        <v>127</v>
      </c>
      <c r="L882" t="s">
        <v>1188</v>
      </c>
      <c r="M882" t="s">
        <v>1197</v>
      </c>
      <c r="N882">
        <v>1</v>
      </c>
      <c r="O882">
        <v>2020</v>
      </c>
      <c r="P882">
        <v>938.90648751460947</v>
      </c>
      <c r="Q882">
        <v>25.171625566225039</v>
      </c>
      <c r="R882" t="s">
        <v>391</v>
      </c>
      <c r="S882">
        <v>37.300192831980709</v>
      </c>
      <c r="T882">
        <v>4.5</v>
      </c>
      <c r="U882" t="s">
        <v>502</v>
      </c>
      <c r="V882">
        <v>1.363636363636364</v>
      </c>
      <c r="W882">
        <v>8</v>
      </c>
      <c r="X882">
        <v>18</v>
      </c>
      <c r="Y882">
        <v>14</v>
      </c>
      <c r="Z882">
        <v>0.02</v>
      </c>
      <c r="AA882">
        <v>1</v>
      </c>
    </row>
    <row r="883" spans="1:27" x14ac:dyDescent="0.25">
      <c r="A883" t="s">
        <v>98</v>
      </c>
      <c r="B883" t="s">
        <v>519</v>
      </c>
      <c r="C883" t="s">
        <v>1028</v>
      </c>
      <c r="D883" t="s">
        <v>101</v>
      </c>
      <c r="E883" t="s">
        <v>102</v>
      </c>
      <c r="G883" t="s">
        <v>103</v>
      </c>
      <c r="H883" t="s">
        <v>104</v>
      </c>
      <c r="I883">
        <v>2016</v>
      </c>
      <c r="J883" t="s">
        <v>105</v>
      </c>
      <c r="K883" t="s">
        <v>106</v>
      </c>
      <c r="L883" t="s">
        <v>1198</v>
      </c>
      <c r="M883" t="s">
        <v>1199</v>
      </c>
      <c r="N883">
        <v>1</v>
      </c>
      <c r="O883">
        <v>2020</v>
      </c>
      <c r="P883">
        <v>2225.3303113170941</v>
      </c>
      <c r="Q883">
        <v>2.210318051644093</v>
      </c>
      <c r="R883" t="s">
        <v>109</v>
      </c>
      <c r="S883">
        <v>1006.791900225324</v>
      </c>
      <c r="T883">
        <v>0.61014999999999997</v>
      </c>
      <c r="U883" t="s">
        <v>110</v>
      </c>
      <c r="V883">
        <v>0.61014999999999997</v>
      </c>
      <c r="W883">
        <v>6</v>
      </c>
      <c r="X883">
        <v>20</v>
      </c>
      <c r="Y883">
        <v>14</v>
      </c>
      <c r="Z883">
        <v>0.24</v>
      </c>
      <c r="AA883">
        <v>31.536000000000001</v>
      </c>
    </row>
    <row r="884" spans="1:27" x14ac:dyDescent="0.25">
      <c r="A884" t="s">
        <v>98</v>
      </c>
      <c r="B884" t="s">
        <v>519</v>
      </c>
      <c r="C884" t="s">
        <v>1028</v>
      </c>
      <c r="D884" t="s">
        <v>101</v>
      </c>
      <c r="E884" t="s">
        <v>102</v>
      </c>
      <c r="G884" t="s">
        <v>111</v>
      </c>
      <c r="H884" t="s">
        <v>104</v>
      </c>
      <c r="I884">
        <v>2016</v>
      </c>
      <c r="J884" t="s">
        <v>112</v>
      </c>
      <c r="K884" t="s">
        <v>106</v>
      </c>
      <c r="L884" t="s">
        <v>1198</v>
      </c>
      <c r="M884" t="s">
        <v>1200</v>
      </c>
      <c r="N884">
        <v>1</v>
      </c>
      <c r="O884">
        <v>2020</v>
      </c>
      <c r="P884">
        <v>2347.266218786523</v>
      </c>
      <c r="Q884">
        <v>2.210318051644093</v>
      </c>
      <c r="R884" t="s">
        <v>109</v>
      </c>
      <c r="S884">
        <v>1061.9585796897261</v>
      </c>
      <c r="T884">
        <v>0.63</v>
      </c>
      <c r="U884" t="s">
        <v>110</v>
      </c>
      <c r="V884">
        <v>0.63</v>
      </c>
      <c r="W884">
        <v>6</v>
      </c>
      <c r="X884">
        <v>20</v>
      </c>
      <c r="Y884">
        <v>14</v>
      </c>
      <c r="Z884">
        <v>0.24</v>
      </c>
      <c r="AA884">
        <v>31.536000000000001</v>
      </c>
    </row>
    <row r="885" spans="1:27" x14ac:dyDescent="0.25">
      <c r="A885" t="s">
        <v>98</v>
      </c>
      <c r="B885" t="s">
        <v>519</v>
      </c>
      <c r="C885" t="s">
        <v>1028</v>
      </c>
      <c r="D885" t="s">
        <v>101</v>
      </c>
      <c r="E885" t="s">
        <v>102</v>
      </c>
      <c r="G885" t="s">
        <v>114</v>
      </c>
      <c r="H885" t="s">
        <v>104</v>
      </c>
      <c r="I885">
        <v>2016</v>
      </c>
      <c r="J885" t="s">
        <v>115</v>
      </c>
      <c r="K885" t="s">
        <v>106</v>
      </c>
      <c r="L885" t="s">
        <v>1198</v>
      </c>
      <c r="M885" t="s">
        <v>1201</v>
      </c>
      <c r="N885">
        <v>1</v>
      </c>
      <c r="O885">
        <v>2020</v>
      </c>
      <c r="P885">
        <v>2469.2021262559529</v>
      </c>
      <c r="Q885">
        <v>2.210318051644093</v>
      </c>
      <c r="R885" t="s">
        <v>109</v>
      </c>
      <c r="S885">
        <v>1117.125259154127</v>
      </c>
      <c r="T885">
        <v>0.66</v>
      </c>
      <c r="U885" t="s">
        <v>110</v>
      </c>
      <c r="V885">
        <v>0.66</v>
      </c>
      <c r="W885">
        <v>6</v>
      </c>
      <c r="X885">
        <v>20</v>
      </c>
      <c r="Y885">
        <v>14</v>
      </c>
      <c r="Z885">
        <v>0.24</v>
      </c>
      <c r="AA885">
        <v>31.536000000000001</v>
      </c>
    </row>
    <row r="886" spans="1:27" x14ac:dyDescent="0.25">
      <c r="A886" t="s">
        <v>98</v>
      </c>
      <c r="B886" t="s">
        <v>519</v>
      </c>
      <c r="C886" t="s">
        <v>1028</v>
      </c>
      <c r="D886" t="s">
        <v>101</v>
      </c>
      <c r="E886" t="s">
        <v>102</v>
      </c>
      <c r="G886" t="s">
        <v>114</v>
      </c>
      <c r="H886" t="s">
        <v>104</v>
      </c>
      <c r="I886">
        <v>2023</v>
      </c>
      <c r="J886" t="s">
        <v>117</v>
      </c>
      <c r="K886" t="s">
        <v>106</v>
      </c>
      <c r="L886" t="s">
        <v>1198</v>
      </c>
      <c r="M886" t="s">
        <v>1202</v>
      </c>
      <c r="N886">
        <v>1</v>
      </c>
      <c r="O886">
        <v>2023</v>
      </c>
      <c r="P886">
        <v>3865.2553631628971</v>
      </c>
      <c r="Q886">
        <v>2.210318051644093</v>
      </c>
      <c r="R886" t="s">
        <v>109</v>
      </c>
      <c r="S886">
        <v>1748.732658762759</v>
      </c>
      <c r="T886">
        <v>0.83499999999999996</v>
      </c>
      <c r="U886" t="s">
        <v>110</v>
      </c>
      <c r="V886">
        <v>0.83499999999999996</v>
      </c>
      <c r="W886">
        <v>6</v>
      </c>
      <c r="X886">
        <v>20</v>
      </c>
      <c r="Y886">
        <v>14</v>
      </c>
      <c r="Z886">
        <v>0.24</v>
      </c>
      <c r="AA886">
        <v>31.536000000000001</v>
      </c>
    </row>
    <row r="887" spans="1:27" x14ac:dyDescent="0.25">
      <c r="A887" t="s">
        <v>98</v>
      </c>
      <c r="B887" t="s">
        <v>519</v>
      </c>
      <c r="C887" t="s">
        <v>1028</v>
      </c>
      <c r="D887" t="s">
        <v>101</v>
      </c>
      <c r="E887" t="s">
        <v>102</v>
      </c>
      <c r="G887" t="s">
        <v>119</v>
      </c>
      <c r="H887" t="s">
        <v>104</v>
      </c>
      <c r="I887">
        <v>2016</v>
      </c>
      <c r="J887" t="s">
        <v>120</v>
      </c>
      <c r="K887" t="s">
        <v>106</v>
      </c>
      <c r="L887" t="s">
        <v>1198</v>
      </c>
      <c r="M887" t="s">
        <v>1203</v>
      </c>
      <c r="N887">
        <v>0</v>
      </c>
      <c r="O887">
        <v>2020</v>
      </c>
      <c r="P887">
        <v>3749.5291546849662</v>
      </c>
      <c r="Q887">
        <v>2.210318051644093</v>
      </c>
      <c r="R887" t="s">
        <v>109</v>
      </c>
      <c r="S887">
        <v>1696.3753935303409</v>
      </c>
      <c r="T887">
        <v>0.81</v>
      </c>
      <c r="U887" t="s">
        <v>110</v>
      </c>
      <c r="V887">
        <v>0.81</v>
      </c>
      <c r="W887">
        <v>6</v>
      </c>
      <c r="X887">
        <v>20</v>
      </c>
      <c r="Y887">
        <v>14</v>
      </c>
      <c r="Z887">
        <v>0.24</v>
      </c>
      <c r="AA887">
        <v>31.536000000000001</v>
      </c>
    </row>
    <row r="888" spans="1:27" x14ac:dyDescent="0.25">
      <c r="A888" t="s">
        <v>98</v>
      </c>
      <c r="B888" t="s">
        <v>519</v>
      </c>
      <c r="C888" t="s">
        <v>1028</v>
      </c>
      <c r="D888" t="s">
        <v>101</v>
      </c>
      <c r="E888" t="s">
        <v>102</v>
      </c>
      <c r="G888" t="s">
        <v>119</v>
      </c>
      <c r="H888" t="s">
        <v>104</v>
      </c>
      <c r="I888">
        <v>2018</v>
      </c>
      <c r="J888" t="s">
        <v>122</v>
      </c>
      <c r="K888" t="s">
        <v>106</v>
      </c>
      <c r="L888" t="s">
        <v>1198</v>
      </c>
      <c r="M888" t="s">
        <v>1203</v>
      </c>
      <c r="N888">
        <v>1</v>
      </c>
      <c r="O888">
        <v>2020</v>
      </c>
      <c r="P888">
        <v>3749.5291546849662</v>
      </c>
      <c r="Q888">
        <v>2.210318051644093</v>
      </c>
      <c r="R888" t="s">
        <v>109</v>
      </c>
      <c r="S888">
        <v>1696.3753935303409</v>
      </c>
      <c r="T888">
        <v>0.81</v>
      </c>
      <c r="U888" t="s">
        <v>110</v>
      </c>
      <c r="V888">
        <v>0.81</v>
      </c>
      <c r="W888">
        <v>6</v>
      </c>
      <c r="X888">
        <v>20</v>
      </c>
      <c r="Y888">
        <v>14</v>
      </c>
      <c r="Z888">
        <v>0.24</v>
      </c>
      <c r="AA888">
        <v>31.536000000000001</v>
      </c>
    </row>
    <row r="889" spans="1:27" x14ac:dyDescent="0.25">
      <c r="A889" t="s">
        <v>98</v>
      </c>
      <c r="B889" t="s">
        <v>519</v>
      </c>
      <c r="C889" t="s">
        <v>1028</v>
      </c>
      <c r="D889" t="s">
        <v>101</v>
      </c>
      <c r="E889" t="s">
        <v>102</v>
      </c>
      <c r="G889" t="s">
        <v>119</v>
      </c>
      <c r="H889" t="s">
        <v>104</v>
      </c>
      <c r="I889">
        <v>2022</v>
      </c>
      <c r="J889" t="s">
        <v>123</v>
      </c>
      <c r="K889" t="s">
        <v>106</v>
      </c>
      <c r="L889" t="s">
        <v>1198</v>
      </c>
      <c r="M889" t="s">
        <v>1204</v>
      </c>
      <c r="N889">
        <v>1</v>
      </c>
      <c r="O889">
        <v>2022</v>
      </c>
      <c r="P889">
        <v>3749.5291546849662</v>
      </c>
      <c r="Q889">
        <v>2.210318051644093</v>
      </c>
      <c r="R889" t="s">
        <v>109</v>
      </c>
      <c r="S889">
        <v>1696.3753935303409</v>
      </c>
      <c r="T889">
        <v>0.81</v>
      </c>
      <c r="U889" t="s">
        <v>110</v>
      </c>
      <c r="V889">
        <v>0.81</v>
      </c>
      <c r="W889">
        <v>6</v>
      </c>
      <c r="X889">
        <v>20</v>
      </c>
      <c r="Y889">
        <v>14</v>
      </c>
      <c r="Z889">
        <v>0.24</v>
      </c>
      <c r="AA889">
        <v>31.536000000000001</v>
      </c>
    </row>
    <row r="890" spans="1:27" x14ac:dyDescent="0.25">
      <c r="A890" t="s">
        <v>98</v>
      </c>
      <c r="B890" t="s">
        <v>519</v>
      </c>
      <c r="C890" t="s">
        <v>1028</v>
      </c>
      <c r="D890" t="s">
        <v>101</v>
      </c>
      <c r="E890" t="s">
        <v>102</v>
      </c>
      <c r="G890" t="s">
        <v>103</v>
      </c>
      <c r="H890" t="s">
        <v>125</v>
      </c>
      <c r="I890">
        <v>2016</v>
      </c>
      <c r="J890" t="s">
        <v>126</v>
      </c>
      <c r="K890" t="s">
        <v>127</v>
      </c>
      <c r="L890" t="s">
        <v>1198</v>
      </c>
      <c r="M890" t="s">
        <v>1205</v>
      </c>
      <c r="N890">
        <v>1</v>
      </c>
      <c r="O890">
        <v>2020</v>
      </c>
      <c r="P890">
        <v>945.00328288808089</v>
      </c>
      <c r="Q890">
        <v>2.210318051644093</v>
      </c>
      <c r="R890" t="s">
        <v>109</v>
      </c>
      <c r="S890">
        <v>427.54176584911039</v>
      </c>
      <c r="T890">
        <v>0.91554999999999997</v>
      </c>
      <c r="U890" t="s">
        <v>110</v>
      </c>
      <c r="V890">
        <v>0.91554999999999997</v>
      </c>
      <c r="W890">
        <v>6</v>
      </c>
      <c r="X890">
        <v>20</v>
      </c>
      <c r="Y890">
        <v>14</v>
      </c>
      <c r="Z890">
        <v>0.24</v>
      </c>
      <c r="AA890">
        <v>31.536000000000001</v>
      </c>
    </row>
    <row r="891" spans="1:27" x14ac:dyDescent="0.25">
      <c r="A891" t="s">
        <v>98</v>
      </c>
      <c r="B891" t="s">
        <v>519</v>
      </c>
      <c r="C891" t="s">
        <v>1028</v>
      </c>
      <c r="D891" t="s">
        <v>101</v>
      </c>
      <c r="E891" t="s">
        <v>102</v>
      </c>
      <c r="G891" t="s">
        <v>111</v>
      </c>
      <c r="H891" t="s">
        <v>125</v>
      </c>
      <c r="I891">
        <v>2016</v>
      </c>
      <c r="J891" t="s">
        <v>129</v>
      </c>
      <c r="K891" t="s">
        <v>127</v>
      </c>
      <c r="L891" t="s">
        <v>1198</v>
      </c>
      <c r="M891" t="s">
        <v>1206</v>
      </c>
      <c r="N891">
        <v>1</v>
      </c>
      <c r="O891">
        <v>2020</v>
      </c>
      <c r="P891">
        <v>1036.455213490153</v>
      </c>
      <c r="Q891">
        <v>2.210318051644093</v>
      </c>
      <c r="R891" t="s">
        <v>109</v>
      </c>
      <c r="S891">
        <v>468.9167754474114</v>
      </c>
      <c r="T891">
        <v>0.93</v>
      </c>
      <c r="U891" t="s">
        <v>110</v>
      </c>
      <c r="V891">
        <v>0.93</v>
      </c>
      <c r="W891">
        <v>6</v>
      </c>
      <c r="X891">
        <v>20</v>
      </c>
      <c r="Y891">
        <v>14</v>
      </c>
      <c r="Z891">
        <v>0.24</v>
      </c>
      <c r="AA891">
        <v>31.536000000000001</v>
      </c>
    </row>
    <row r="892" spans="1:27" x14ac:dyDescent="0.25">
      <c r="A892" t="s">
        <v>98</v>
      </c>
      <c r="B892" t="s">
        <v>519</v>
      </c>
      <c r="C892" t="s">
        <v>1028</v>
      </c>
      <c r="D892" t="s">
        <v>101</v>
      </c>
      <c r="E892" t="s">
        <v>102</v>
      </c>
      <c r="G892" t="s">
        <v>119</v>
      </c>
      <c r="H892" t="s">
        <v>125</v>
      </c>
      <c r="I892">
        <v>2016</v>
      </c>
      <c r="J892" t="s">
        <v>131</v>
      </c>
      <c r="K892" t="s">
        <v>127</v>
      </c>
      <c r="L892" t="s">
        <v>1198</v>
      </c>
      <c r="M892" t="s">
        <v>1207</v>
      </c>
      <c r="N892">
        <v>1</v>
      </c>
      <c r="O892">
        <v>2020</v>
      </c>
      <c r="P892">
        <v>1493.714866500515</v>
      </c>
      <c r="Q892">
        <v>2.210318051644093</v>
      </c>
      <c r="R892" t="s">
        <v>109</v>
      </c>
      <c r="S892">
        <v>675.79182343891648</v>
      </c>
      <c r="T892">
        <v>0.95</v>
      </c>
      <c r="U892" t="s">
        <v>110</v>
      </c>
      <c r="V892">
        <v>0.95</v>
      </c>
      <c r="W892">
        <v>6</v>
      </c>
      <c r="X892">
        <v>20</v>
      </c>
      <c r="Y892">
        <v>14</v>
      </c>
      <c r="Z892">
        <v>0.24</v>
      </c>
      <c r="AA892">
        <v>31.536000000000001</v>
      </c>
    </row>
    <row r="893" spans="1:27" x14ac:dyDescent="0.25">
      <c r="A893" t="s">
        <v>98</v>
      </c>
      <c r="B893" t="s">
        <v>519</v>
      </c>
      <c r="C893" t="s">
        <v>1028</v>
      </c>
      <c r="D893" t="s">
        <v>101</v>
      </c>
      <c r="E893" t="s">
        <v>102</v>
      </c>
      <c r="G893" t="s">
        <v>133</v>
      </c>
      <c r="H893" t="s">
        <v>125</v>
      </c>
      <c r="I893">
        <v>2016</v>
      </c>
      <c r="J893" t="s">
        <v>134</v>
      </c>
      <c r="K893" t="s">
        <v>127</v>
      </c>
      <c r="L893" t="s">
        <v>1198</v>
      </c>
      <c r="M893" t="s">
        <v>1208</v>
      </c>
      <c r="N893">
        <v>1</v>
      </c>
      <c r="O893">
        <v>2020</v>
      </c>
      <c r="P893">
        <v>2530.170079990668</v>
      </c>
      <c r="Q893">
        <v>2.210318051644093</v>
      </c>
      <c r="R893" t="s">
        <v>109</v>
      </c>
      <c r="S893">
        <v>1144.708598886328</v>
      </c>
      <c r="T893">
        <v>3.28</v>
      </c>
      <c r="U893" t="s">
        <v>110</v>
      </c>
      <c r="V893">
        <v>3.28</v>
      </c>
      <c r="W893">
        <v>6</v>
      </c>
      <c r="X893">
        <v>20</v>
      </c>
      <c r="Y893">
        <v>14</v>
      </c>
      <c r="Z893">
        <v>0.24</v>
      </c>
      <c r="AA893">
        <v>31.536000000000001</v>
      </c>
    </row>
    <row r="894" spans="1:27" x14ac:dyDescent="0.25">
      <c r="A894" t="s">
        <v>98</v>
      </c>
      <c r="B894" t="s">
        <v>519</v>
      </c>
      <c r="C894" t="s">
        <v>1028</v>
      </c>
      <c r="D894" t="s">
        <v>101</v>
      </c>
      <c r="E894" t="s">
        <v>102</v>
      </c>
      <c r="G894" t="s">
        <v>133</v>
      </c>
      <c r="H894" t="s">
        <v>125</v>
      </c>
      <c r="I894">
        <v>2022</v>
      </c>
      <c r="J894" t="s">
        <v>136</v>
      </c>
      <c r="K894" t="s">
        <v>127</v>
      </c>
      <c r="L894" t="s">
        <v>1198</v>
      </c>
      <c r="M894" t="s">
        <v>1209</v>
      </c>
      <c r="N894">
        <v>1</v>
      </c>
      <c r="O894">
        <v>2022</v>
      </c>
      <c r="P894">
        <v>2530.170079990668</v>
      </c>
      <c r="Q894">
        <v>2.210318051644093</v>
      </c>
      <c r="R894" t="s">
        <v>109</v>
      </c>
      <c r="S894">
        <v>1144.708598886328</v>
      </c>
      <c r="T894">
        <v>3.28</v>
      </c>
      <c r="U894" t="s">
        <v>110</v>
      </c>
      <c r="V894">
        <v>3.28</v>
      </c>
      <c r="W894">
        <v>6</v>
      </c>
      <c r="X894">
        <v>20</v>
      </c>
      <c r="Y894">
        <v>14</v>
      </c>
      <c r="Z894">
        <v>0.24</v>
      </c>
      <c r="AA894">
        <v>31.536000000000001</v>
      </c>
    </row>
    <row r="895" spans="1:27" x14ac:dyDescent="0.25">
      <c r="A895" t="s">
        <v>98</v>
      </c>
      <c r="B895" t="s">
        <v>519</v>
      </c>
      <c r="C895" t="s">
        <v>1028</v>
      </c>
      <c r="D895" t="s">
        <v>101</v>
      </c>
      <c r="E895" t="s">
        <v>102</v>
      </c>
      <c r="G895" t="s">
        <v>138</v>
      </c>
      <c r="H895" t="s">
        <v>125</v>
      </c>
      <c r="I895">
        <v>2016</v>
      </c>
      <c r="J895" t="s">
        <v>139</v>
      </c>
      <c r="K895" t="s">
        <v>127</v>
      </c>
      <c r="L895" t="s">
        <v>1198</v>
      </c>
      <c r="M895" t="s">
        <v>1210</v>
      </c>
      <c r="N895">
        <v>1</v>
      </c>
      <c r="O895">
        <v>2020</v>
      </c>
      <c r="P895">
        <v>2316.7822419191662</v>
      </c>
      <c r="Q895">
        <v>2.210318051644093</v>
      </c>
      <c r="R895" t="s">
        <v>109</v>
      </c>
      <c r="S895">
        <v>1048.166909823625</v>
      </c>
      <c r="T895">
        <v>2</v>
      </c>
      <c r="U895" t="s">
        <v>110</v>
      </c>
      <c r="V895">
        <v>2</v>
      </c>
      <c r="W895">
        <v>6</v>
      </c>
      <c r="X895">
        <v>20</v>
      </c>
      <c r="Y895">
        <v>14</v>
      </c>
      <c r="Z895">
        <v>0.24</v>
      </c>
      <c r="AA895">
        <v>31.536000000000001</v>
      </c>
    </row>
    <row r="896" spans="1:27" x14ac:dyDescent="0.25">
      <c r="A896" t="s">
        <v>98</v>
      </c>
      <c r="B896" t="s">
        <v>519</v>
      </c>
      <c r="C896" t="s">
        <v>1028</v>
      </c>
      <c r="D896" t="s">
        <v>101</v>
      </c>
      <c r="E896" t="s">
        <v>102</v>
      </c>
      <c r="G896" t="s">
        <v>138</v>
      </c>
      <c r="H896" t="s">
        <v>125</v>
      </c>
      <c r="I896">
        <v>2022</v>
      </c>
      <c r="J896" t="s">
        <v>141</v>
      </c>
      <c r="K896" t="s">
        <v>127</v>
      </c>
      <c r="L896" t="s">
        <v>1198</v>
      </c>
      <c r="M896" t="s">
        <v>1211</v>
      </c>
      <c r="N896">
        <v>1</v>
      </c>
      <c r="O896">
        <v>2022</v>
      </c>
      <c r="P896">
        <v>2805.3845753706141</v>
      </c>
      <c r="Q896">
        <v>2.210318051644093</v>
      </c>
      <c r="R896" t="s">
        <v>109</v>
      </c>
      <c r="S896">
        <v>1269.222125423938</v>
      </c>
      <c r="T896">
        <v>3.3</v>
      </c>
      <c r="U896" t="s">
        <v>110</v>
      </c>
      <c r="V896">
        <v>3.3</v>
      </c>
      <c r="W896">
        <v>6</v>
      </c>
      <c r="X896">
        <v>20</v>
      </c>
      <c r="Y896">
        <v>14</v>
      </c>
      <c r="Z896">
        <v>0.24</v>
      </c>
      <c r="AA896">
        <v>31.536000000000001</v>
      </c>
    </row>
    <row r="897" spans="1:27" x14ac:dyDescent="0.25">
      <c r="A897" t="s">
        <v>98</v>
      </c>
      <c r="B897" t="s">
        <v>519</v>
      </c>
      <c r="C897" t="s">
        <v>1028</v>
      </c>
      <c r="D897" t="s">
        <v>101</v>
      </c>
      <c r="E897" t="s">
        <v>102</v>
      </c>
      <c r="G897" t="s">
        <v>143</v>
      </c>
      <c r="H897" t="s">
        <v>125</v>
      </c>
      <c r="I897">
        <v>2016</v>
      </c>
      <c r="J897" t="s">
        <v>144</v>
      </c>
      <c r="K897" t="s">
        <v>127</v>
      </c>
      <c r="L897" t="s">
        <v>1198</v>
      </c>
      <c r="M897" t="s">
        <v>1212</v>
      </c>
      <c r="N897">
        <v>1</v>
      </c>
      <c r="O897">
        <v>2020</v>
      </c>
      <c r="P897">
        <v>3017.9137098683868</v>
      </c>
      <c r="Q897">
        <v>2.210318051644093</v>
      </c>
      <c r="R897" t="s">
        <v>109</v>
      </c>
      <c r="S897">
        <v>1365.3753167439329</v>
      </c>
      <c r="T897">
        <v>3.55</v>
      </c>
      <c r="U897" t="s">
        <v>110</v>
      </c>
      <c r="V897">
        <v>3.55</v>
      </c>
      <c r="W897">
        <v>6</v>
      </c>
      <c r="X897">
        <v>20</v>
      </c>
      <c r="Y897">
        <v>14</v>
      </c>
      <c r="Z897">
        <v>0.24</v>
      </c>
      <c r="AA897">
        <v>31.536000000000001</v>
      </c>
    </row>
    <row r="898" spans="1:27" x14ac:dyDescent="0.25">
      <c r="A898" t="s">
        <v>98</v>
      </c>
      <c r="B898" t="s">
        <v>519</v>
      </c>
      <c r="C898" t="s">
        <v>1028</v>
      </c>
      <c r="D898" t="s">
        <v>101</v>
      </c>
      <c r="E898" t="s">
        <v>102</v>
      </c>
      <c r="G898" t="s">
        <v>143</v>
      </c>
      <c r="H898" t="s">
        <v>125</v>
      </c>
      <c r="I898">
        <v>2022</v>
      </c>
      <c r="J898" t="s">
        <v>146</v>
      </c>
      <c r="K898" t="s">
        <v>127</v>
      </c>
      <c r="L898" t="s">
        <v>1198</v>
      </c>
      <c r="M898" t="s">
        <v>1213</v>
      </c>
      <c r="N898">
        <v>1</v>
      </c>
      <c r="O898">
        <v>2022</v>
      </c>
      <c r="P898">
        <v>3017.9137098683868</v>
      </c>
      <c r="Q898">
        <v>2.210318051644093</v>
      </c>
      <c r="R898" t="s">
        <v>109</v>
      </c>
      <c r="S898">
        <v>1365.3753167439329</v>
      </c>
      <c r="T898">
        <v>3.55</v>
      </c>
      <c r="U898" t="s">
        <v>110</v>
      </c>
      <c r="V898">
        <v>3.55</v>
      </c>
      <c r="W898">
        <v>6</v>
      </c>
      <c r="X898">
        <v>20</v>
      </c>
      <c r="Y898">
        <v>14</v>
      </c>
      <c r="Z898">
        <v>0.24</v>
      </c>
      <c r="AA898">
        <v>31.536000000000001</v>
      </c>
    </row>
    <row r="899" spans="1:27" x14ac:dyDescent="0.25">
      <c r="A899" t="s">
        <v>98</v>
      </c>
      <c r="B899" t="s">
        <v>519</v>
      </c>
      <c r="C899" t="s">
        <v>1028</v>
      </c>
      <c r="D899" t="s">
        <v>101</v>
      </c>
      <c r="E899" t="s">
        <v>102</v>
      </c>
      <c r="G899" t="s">
        <v>103</v>
      </c>
      <c r="H899" t="s">
        <v>148</v>
      </c>
      <c r="I899">
        <v>2016</v>
      </c>
      <c r="J899" t="s">
        <v>149</v>
      </c>
      <c r="K899" t="s">
        <v>150</v>
      </c>
      <c r="L899" t="s">
        <v>1198</v>
      </c>
      <c r="M899" t="s">
        <v>1214</v>
      </c>
      <c r="N899">
        <v>1</v>
      </c>
      <c r="O899">
        <v>2020</v>
      </c>
      <c r="P899">
        <v>2926.4617792663148</v>
      </c>
      <c r="Q899">
        <v>2.210318051644093</v>
      </c>
      <c r="R899" t="s">
        <v>109</v>
      </c>
      <c r="S899">
        <v>1324.000307145632</v>
      </c>
      <c r="T899">
        <v>0.63670000000000004</v>
      </c>
      <c r="U899" t="s">
        <v>110</v>
      </c>
      <c r="V899">
        <v>0.63670000000000004</v>
      </c>
      <c r="W899">
        <v>6</v>
      </c>
      <c r="X899">
        <v>20</v>
      </c>
      <c r="Y899">
        <v>14</v>
      </c>
      <c r="Z899">
        <v>0.24</v>
      </c>
      <c r="AA899">
        <v>31.536000000000001</v>
      </c>
    </row>
    <row r="900" spans="1:27" x14ac:dyDescent="0.25">
      <c r="A900" t="s">
        <v>98</v>
      </c>
      <c r="B900" t="s">
        <v>519</v>
      </c>
      <c r="C900" t="s">
        <v>1028</v>
      </c>
      <c r="D900" t="s">
        <v>101</v>
      </c>
      <c r="E900" t="s">
        <v>102</v>
      </c>
      <c r="G900" t="s">
        <v>111</v>
      </c>
      <c r="H900" t="s">
        <v>148</v>
      </c>
      <c r="I900">
        <v>2016</v>
      </c>
      <c r="J900" t="s">
        <v>152</v>
      </c>
      <c r="K900" t="s">
        <v>150</v>
      </c>
      <c r="L900" t="s">
        <v>1198</v>
      </c>
      <c r="M900" t="s">
        <v>1215</v>
      </c>
      <c r="N900">
        <v>1</v>
      </c>
      <c r="O900">
        <v>2020</v>
      </c>
      <c r="P900">
        <v>3109.3656404704602</v>
      </c>
      <c r="Q900">
        <v>2.210318051644093</v>
      </c>
      <c r="R900" t="s">
        <v>109</v>
      </c>
      <c r="S900">
        <v>1406.7503263422341</v>
      </c>
      <c r="T900">
        <v>0.67</v>
      </c>
      <c r="U900" t="s">
        <v>110</v>
      </c>
      <c r="V900">
        <v>0.67</v>
      </c>
      <c r="W900">
        <v>6</v>
      </c>
      <c r="X900">
        <v>20</v>
      </c>
      <c r="Y900">
        <v>14</v>
      </c>
      <c r="Z900">
        <v>0.24</v>
      </c>
      <c r="AA900">
        <v>31.536000000000001</v>
      </c>
    </row>
    <row r="901" spans="1:27" x14ac:dyDescent="0.25">
      <c r="A901" t="s">
        <v>98</v>
      </c>
      <c r="B901" t="s">
        <v>519</v>
      </c>
      <c r="C901" t="s">
        <v>1028</v>
      </c>
      <c r="D901" t="s">
        <v>101</v>
      </c>
      <c r="E901" t="s">
        <v>102</v>
      </c>
      <c r="G901" t="s">
        <v>119</v>
      </c>
      <c r="H901" t="s">
        <v>148</v>
      </c>
      <c r="I901">
        <v>2016</v>
      </c>
      <c r="J901" t="s">
        <v>154</v>
      </c>
      <c r="K901" t="s">
        <v>150</v>
      </c>
      <c r="L901" t="s">
        <v>1198</v>
      </c>
      <c r="M901" t="s">
        <v>1216</v>
      </c>
      <c r="N901">
        <v>1</v>
      </c>
      <c r="O901">
        <v>2020</v>
      </c>
      <c r="P901">
        <v>3078.881663603102</v>
      </c>
      <c r="Q901">
        <v>2.210318051644093</v>
      </c>
      <c r="R901" t="s">
        <v>109</v>
      </c>
      <c r="S901">
        <v>1392.9586564761339</v>
      </c>
      <c r="T901">
        <v>0.69</v>
      </c>
      <c r="U901" t="s">
        <v>110</v>
      </c>
      <c r="V901">
        <v>0.69</v>
      </c>
      <c r="W901">
        <v>6</v>
      </c>
      <c r="X901">
        <v>20</v>
      </c>
      <c r="Y901">
        <v>14</v>
      </c>
      <c r="Z901">
        <v>0.24</v>
      </c>
      <c r="AA901">
        <v>31.536000000000001</v>
      </c>
    </row>
    <row r="902" spans="1:27" x14ac:dyDescent="0.25">
      <c r="A902" t="s">
        <v>98</v>
      </c>
      <c r="B902" t="s">
        <v>519</v>
      </c>
      <c r="C902" t="s">
        <v>1028</v>
      </c>
      <c r="D902" t="s">
        <v>101</v>
      </c>
      <c r="E902" t="s">
        <v>102</v>
      </c>
      <c r="G902" t="s">
        <v>103</v>
      </c>
      <c r="H902" t="s">
        <v>156</v>
      </c>
      <c r="I902">
        <v>2016</v>
      </c>
      <c r="J902" t="s">
        <v>157</v>
      </c>
      <c r="K902" t="s">
        <v>158</v>
      </c>
      <c r="L902" t="s">
        <v>1198</v>
      </c>
      <c r="M902" t="s">
        <v>1217</v>
      </c>
      <c r="N902">
        <v>1</v>
      </c>
      <c r="O902">
        <v>2020</v>
      </c>
      <c r="P902">
        <v>2225.3303113170941</v>
      </c>
      <c r="Q902">
        <v>2.210318051644093</v>
      </c>
      <c r="R902" t="s">
        <v>109</v>
      </c>
      <c r="S902">
        <v>1006.791900225324</v>
      </c>
      <c r="T902">
        <v>0.61014999999999997</v>
      </c>
      <c r="U902" t="s">
        <v>110</v>
      </c>
      <c r="V902">
        <v>0.61014999999999997</v>
      </c>
      <c r="W902">
        <v>6</v>
      </c>
      <c r="X902">
        <v>20</v>
      </c>
      <c r="Y902">
        <v>14</v>
      </c>
      <c r="Z902">
        <v>0.24</v>
      </c>
      <c r="AA902">
        <v>31.536000000000001</v>
      </c>
    </row>
    <row r="903" spans="1:27" x14ac:dyDescent="0.25">
      <c r="A903" t="s">
        <v>98</v>
      </c>
      <c r="B903" t="s">
        <v>519</v>
      </c>
      <c r="C903" t="s">
        <v>1028</v>
      </c>
      <c r="D903" t="s">
        <v>101</v>
      </c>
      <c r="E903" t="s">
        <v>102</v>
      </c>
      <c r="G903" t="s">
        <v>111</v>
      </c>
      <c r="H903" t="s">
        <v>156</v>
      </c>
      <c r="I903">
        <v>2016</v>
      </c>
      <c r="J903" t="s">
        <v>160</v>
      </c>
      <c r="K903" t="s">
        <v>158</v>
      </c>
      <c r="L903" t="s">
        <v>1198</v>
      </c>
      <c r="M903" t="s">
        <v>1218</v>
      </c>
      <c r="N903">
        <v>1</v>
      </c>
      <c r="O903">
        <v>2020</v>
      </c>
      <c r="P903">
        <v>2347.266218786523</v>
      </c>
      <c r="Q903">
        <v>2.210318051644093</v>
      </c>
      <c r="R903" t="s">
        <v>109</v>
      </c>
      <c r="S903">
        <v>1061.9585796897261</v>
      </c>
      <c r="T903">
        <v>0.63</v>
      </c>
      <c r="U903" t="s">
        <v>110</v>
      </c>
      <c r="V903">
        <v>0.63</v>
      </c>
      <c r="W903">
        <v>6</v>
      </c>
      <c r="X903">
        <v>20</v>
      </c>
      <c r="Y903">
        <v>14</v>
      </c>
      <c r="Z903">
        <v>0.24</v>
      </c>
      <c r="AA903">
        <v>31.536000000000001</v>
      </c>
    </row>
    <row r="904" spans="1:27" x14ac:dyDescent="0.25">
      <c r="A904" t="s">
        <v>98</v>
      </c>
      <c r="B904" t="s">
        <v>519</v>
      </c>
      <c r="C904" t="s">
        <v>1028</v>
      </c>
      <c r="D904" t="s">
        <v>101</v>
      </c>
      <c r="E904" t="s">
        <v>102</v>
      </c>
      <c r="G904" t="s">
        <v>114</v>
      </c>
      <c r="H904" t="s">
        <v>156</v>
      </c>
      <c r="I904">
        <v>2016</v>
      </c>
      <c r="J904" t="s">
        <v>162</v>
      </c>
      <c r="K904" t="s">
        <v>158</v>
      </c>
      <c r="L904" t="s">
        <v>1198</v>
      </c>
      <c r="M904" t="s">
        <v>1219</v>
      </c>
      <c r="N904">
        <v>1</v>
      </c>
      <c r="O904">
        <v>2020</v>
      </c>
      <c r="P904">
        <v>2469.2021262559529</v>
      </c>
      <c r="Q904">
        <v>2.210318051644093</v>
      </c>
      <c r="R904" t="s">
        <v>109</v>
      </c>
      <c r="S904">
        <v>1117.125259154127</v>
      </c>
      <c r="T904">
        <v>0.66</v>
      </c>
      <c r="U904" t="s">
        <v>110</v>
      </c>
      <c r="V904">
        <v>0.66</v>
      </c>
      <c r="W904">
        <v>6</v>
      </c>
      <c r="X904">
        <v>20</v>
      </c>
      <c r="Y904">
        <v>14</v>
      </c>
      <c r="Z904">
        <v>0.24</v>
      </c>
      <c r="AA904">
        <v>31.536000000000001</v>
      </c>
    </row>
    <row r="905" spans="1:27" x14ac:dyDescent="0.25">
      <c r="A905" t="s">
        <v>98</v>
      </c>
      <c r="B905" t="s">
        <v>519</v>
      </c>
      <c r="C905" t="s">
        <v>1028</v>
      </c>
      <c r="D905" t="s">
        <v>101</v>
      </c>
      <c r="E905" t="s">
        <v>102</v>
      </c>
      <c r="G905" t="s">
        <v>114</v>
      </c>
      <c r="H905" t="s">
        <v>156</v>
      </c>
      <c r="I905">
        <v>2023</v>
      </c>
      <c r="J905" t="s">
        <v>164</v>
      </c>
      <c r="K905" t="s">
        <v>158</v>
      </c>
      <c r="L905" t="s">
        <v>1198</v>
      </c>
      <c r="M905" t="s">
        <v>1220</v>
      </c>
      <c r="N905">
        <v>1</v>
      </c>
      <c r="O905">
        <v>2023</v>
      </c>
      <c r="P905">
        <v>3865.2553631628971</v>
      </c>
      <c r="Q905">
        <v>2.210318051644093</v>
      </c>
      <c r="R905" t="s">
        <v>109</v>
      </c>
      <c r="S905">
        <v>1748.732658762759</v>
      </c>
      <c r="T905">
        <v>0.83499999999999996</v>
      </c>
      <c r="U905" t="s">
        <v>110</v>
      </c>
      <c r="V905">
        <v>0.83499999999999996</v>
      </c>
      <c r="W905">
        <v>6</v>
      </c>
      <c r="X905">
        <v>20</v>
      </c>
      <c r="Y905">
        <v>14</v>
      </c>
      <c r="Z905">
        <v>0.24</v>
      </c>
      <c r="AA905">
        <v>31.536000000000001</v>
      </c>
    </row>
    <row r="906" spans="1:27" x14ac:dyDescent="0.25">
      <c r="A906" t="s">
        <v>98</v>
      </c>
      <c r="B906" t="s">
        <v>519</v>
      </c>
      <c r="C906" t="s">
        <v>1028</v>
      </c>
      <c r="D906" t="s">
        <v>101</v>
      </c>
      <c r="E906" t="s">
        <v>102</v>
      </c>
      <c r="G906" t="s">
        <v>119</v>
      </c>
      <c r="H906" t="s">
        <v>156</v>
      </c>
      <c r="I906">
        <v>2016</v>
      </c>
      <c r="J906" t="s">
        <v>166</v>
      </c>
      <c r="K906" t="s">
        <v>158</v>
      </c>
      <c r="L906" t="s">
        <v>1198</v>
      </c>
      <c r="M906" t="s">
        <v>1221</v>
      </c>
      <c r="N906">
        <v>0</v>
      </c>
      <c r="O906">
        <v>2020</v>
      </c>
      <c r="P906">
        <v>3749.5291546849662</v>
      </c>
      <c r="Q906">
        <v>2.210318051644093</v>
      </c>
      <c r="R906" t="s">
        <v>109</v>
      </c>
      <c r="S906">
        <v>1696.3753935303409</v>
      </c>
      <c r="T906">
        <v>0.81</v>
      </c>
      <c r="U906" t="s">
        <v>110</v>
      </c>
      <c r="V906">
        <v>0.81</v>
      </c>
      <c r="W906">
        <v>6</v>
      </c>
      <c r="X906">
        <v>20</v>
      </c>
      <c r="Y906">
        <v>14</v>
      </c>
      <c r="Z906">
        <v>0.24</v>
      </c>
      <c r="AA906">
        <v>31.536000000000001</v>
      </c>
    </row>
    <row r="907" spans="1:27" x14ac:dyDescent="0.25">
      <c r="A907" t="s">
        <v>98</v>
      </c>
      <c r="B907" t="s">
        <v>519</v>
      </c>
      <c r="C907" t="s">
        <v>1028</v>
      </c>
      <c r="D907" t="s">
        <v>101</v>
      </c>
      <c r="E907" t="s">
        <v>102</v>
      </c>
      <c r="G907" t="s">
        <v>119</v>
      </c>
      <c r="H907" t="s">
        <v>156</v>
      </c>
      <c r="I907">
        <v>2018</v>
      </c>
      <c r="J907" t="s">
        <v>168</v>
      </c>
      <c r="K907" t="s">
        <v>158</v>
      </c>
      <c r="L907" t="s">
        <v>1198</v>
      </c>
      <c r="M907" t="s">
        <v>1221</v>
      </c>
      <c r="N907">
        <v>1</v>
      </c>
      <c r="O907">
        <v>2020</v>
      </c>
      <c r="P907">
        <v>3749.5291546849662</v>
      </c>
      <c r="Q907">
        <v>2.210318051644093</v>
      </c>
      <c r="R907" t="s">
        <v>109</v>
      </c>
      <c r="S907">
        <v>1696.3753935303409</v>
      </c>
      <c r="T907">
        <v>0.81</v>
      </c>
      <c r="U907" t="s">
        <v>110</v>
      </c>
      <c r="V907">
        <v>0.81</v>
      </c>
      <c r="W907">
        <v>6</v>
      </c>
      <c r="X907">
        <v>20</v>
      </c>
      <c r="Y907">
        <v>14</v>
      </c>
      <c r="Z907">
        <v>0.24</v>
      </c>
      <c r="AA907">
        <v>31.536000000000001</v>
      </c>
    </row>
    <row r="908" spans="1:27" x14ac:dyDescent="0.25">
      <c r="A908" t="s">
        <v>98</v>
      </c>
      <c r="B908" t="s">
        <v>519</v>
      </c>
      <c r="C908" t="s">
        <v>1028</v>
      </c>
      <c r="D908" t="s">
        <v>101</v>
      </c>
      <c r="E908" t="s">
        <v>102</v>
      </c>
      <c r="G908" t="s">
        <v>111</v>
      </c>
      <c r="H908" t="s">
        <v>169</v>
      </c>
      <c r="I908">
        <v>2016</v>
      </c>
      <c r="J908" t="s">
        <v>170</v>
      </c>
      <c r="K908" t="s">
        <v>171</v>
      </c>
      <c r="L908" t="s">
        <v>1198</v>
      </c>
      <c r="M908" t="s">
        <v>1222</v>
      </c>
      <c r="N908">
        <v>0</v>
      </c>
      <c r="O908">
        <v>2020</v>
      </c>
      <c r="P908">
        <v>13412.949821637279</v>
      </c>
      <c r="Q908">
        <v>2.210318051644093</v>
      </c>
      <c r="R908" t="s">
        <v>109</v>
      </c>
      <c r="S908">
        <v>6068.3347410841479</v>
      </c>
      <c r="T908">
        <v>1</v>
      </c>
      <c r="U908" t="s">
        <v>173</v>
      </c>
      <c r="V908">
        <v>1</v>
      </c>
      <c r="W908">
        <v>15</v>
      </c>
      <c r="X908">
        <v>30</v>
      </c>
      <c r="Y908">
        <v>23</v>
      </c>
      <c r="Z908">
        <v>0.24</v>
      </c>
      <c r="AA908">
        <v>31.536000000000001</v>
      </c>
    </row>
    <row r="909" spans="1:27" x14ac:dyDescent="0.25">
      <c r="A909" t="s">
        <v>98</v>
      </c>
      <c r="B909" t="s">
        <v>519</v>
      </c>
      <c r="C909" t="s">
        <v>1028</v>
      </c>
      <c r="D909" t="s">
        <v>101</v>
      </c>
      <c r="E909" t="s">
        <v>102</v>
      </c>
      <c r="G909" t="s">
        <v>111</v>
      </c>
      <c r="H909" t="s">
        <v>169</v>
      </c>
      <c r="I909">
        <v>2020</v>
      </c>
      <c r="J909" t="s">
        <v>174</v>
      </c>
      <c r="K909" t="s">
        <v>171</v>
      </c>
      <c r="L909" t="s">
        <v>1198</v>
      </c>
      <c r="M909" t="s">
        <v>1222</v>
      </c>
      <c r="N909">
        <v>1</v>
      </c>
      <c r="O909">
        <v>2020</v>
      </c>
      <c r="P909">
        <v>13412.949821637279</v>
      </c>
      <c r="Q909">
        <v>2.210318051644093</v>
      </c>
      <c r="R909" t="s">
        <v>109</v>
      </c>
      <c r="S909">
        <v>6068.3347410841479</v>
      </c>
      <c r="T909">
        <v>1</v>
      </c>
      <c r="U909" t="s">
        <v>173</v>
      </c>
      <c r="V909">
        <v>1</v>
      </c>
      <c r="W909">
        <v>15</v>
      </c>
      <c r="X909">
        <v>30</v>
      </c>
      <c r="Y909">
        <v>23</v>
      </c>
      <c r="Z909">
        <v>0.24</v>
      </c>
      <c r="AA909">
        <v>31.536000000000001</v>
      </c>
    </row>
    <row r="910" spans="1:27" x14ac:dyDescent="0.25">
      <c r="A910" t="s">
        <v>98</v>
      </c>
      <c r="B910" t="s">
        <v>519</v>
      </c>
      <c r="C910" t="s">
        <v>1028</v>
      </c>
      <c r="D910" t="s">
        <v>101</v>
      </c>
      <c r="E910" t="s">
        <v>102</v>
      </c>
      <c r="G910" t="s">
        <v>111</v>
      </c>
      <c r="H910" t="s">
        <v>169</v>
      </c>
      <c r="I910">
        <v>2023</v>
      </c>
      <c r="J910" t="s">
        <v>175</v>
      </c>
      <c r="K910" t="s">
        <v>171</v>
      </c>
      <c r="L910" t="s">
        <v>1198</v>
      </c>
      <c r="M910" t="s">
        <v>1223</v>
      </c>
      <c r="N910">
        <v>1</v>
      </c>
      <c r="O910">
        <v>2023</v>
      </c>
      <c r="P910">
        <v>13412.949821637279</v>
      </c>
      <c r="Q910">
        <v>2.210318051644093</v>
      </c>
      <c r="R910" t="s">
        <v>109</v>
      </c>
      <c r="S910">
        <v>6068.3347410841479</v>
      </c>
      <c r="T910">
        <v>1</v>
      </c>
      <c r="U910" t="s">
        <v>173</v>
      </c>
      <c r="V910">
        <v>1</v>
      </c>
      <c r="W910">
        <v>15</v>
      </c>
      <c r="X910">
        <v>30</v>
      </c>
      <c r="Y910">
        <v>23</v>
      </c>
      <c r="Z910">
        <v>0.24</v>
      </c>
      <c r="AA910">
        <v>31.536000000000001</v>
      </c>
    </row>
    <row r="911" spans="1:27" x14ac:dyDescent="0.25">
      <c r="A911" t="s">
        <v>98</v>
      </c>
      <c r="B911" t="s">
        <v>519</v>
      </c>
      <c r="C911" t="s">
        <v>1028</v>
      </c>
      <c r="D911" t="s">
        <v>101</v>
      </c>
      <c r="E911" t="s">
        <v>102</v>
      </c>
      <c r="G911" t="s">
        <v>111</v>
      </c>
      <c r="H911" t="s">
        <v>169</v>
      </c>
      <c r="I911">
        <v>2024</v>
      </c>
      <c r="J911" t="s">
        <v>177</v>
      </c>
      <c r="K911" t="s">
        <v>171</v>
      </c>
      <c r="L911" t="s">
        <v>1198</v>
      </c>
      <c r="M911" t="s">
        <v>1224</v>
      </c>
      <c r="N911">
        <v>1</v>
      </c>
      <c r="O911">
        <v>2024</v>
      </c>
      <c r="P911">
        <v>13412.949821637279</v>
      </c>
      <c r="Q911">
        <v>2.210318051644093</v>
      </c>
      <c r="R911" t="s">
        <v>109</v>
      </c>
      <c r="S911">
        <v>6068.3347410841479</v>
      </c>
      <c r="T911">
        <v>1</v>
      </c>
      <c r="U911" t="s">
        <v>173</v>
      </c>
      <c r="V911">
        <v>1</v>
      </c>
      <c r="W911">
        <v>15</v>
      </c>
      <c r="X911">
        <v>30</v>
      </c>
      <c r="Y911">
        <v>23</v>
      </c>
      <c r="Z911">
        <v>0.24</v>
      </c>
      <c r="AA911">
        <v>31.536000000000001</v>
      </c>
    </row>
    <row r="912" spans="1:27" x14ac:dyDescent="0.25">
      <c r="A912" t="s">
        <v>98</v>
      </c>
      <c r="B912" t="s">
        <v>519</v>
      </c>
      <c r="C912" t="s">
        <v>1028</v>
      </c>
      <c r="D912" t="s">
        <v>101</v>
      </c>
      <c r="E912" t="s">
        <v>179</v>
      </c>
      <c r="F912" t="s">
        <v>180</v>
      </c>
      <c r="G912" t="s">
        <v>103</v>
      </c>
      <c r="H912" t="s">
        <v>125</v>
      </c>
      <c r="I912">
        <v>2016</v>
      </c>
      <c r="J912" t="s">
        <v>181</v>
      </c>
      <c r="K912" t="s">
        <v>127</v>
      </c>
      <c r="L912" t="s">
        <v>1225</v>
      </c>
      <c r="M912" t="s">
        <v>1226</v>
      </c>
      <c r="N912">
        <v>1</v>
      </c>
      <c r="O912">
        <v>2020</v>
      </c>
      <c r="P912">
        <v>2956.9457561336731</v>
      </c>
      <c r="Q912">
        <v>17.168943682756151</v>
      </c>
      <c r="R912" t="s">
        <v>109</v>
      </c>
      <c r="S912">
        <v>172.22642293966629</v>
      </c>
      <c r="T912">
        <v>2.4032825322391562</v>
      </c>
      <c r="U912" t="s">
        <v>184</v>
      </c>
      <c r="V912">
        <v>2.4032825322391562</v>
      </c>
      <c r="W912">
        <v>9</v>
      </c>
      <c r="X912">
        <v>22</v>
      </c>
      <c r="Y912">
        <v>16</v>
      </c>
      <c r="Z912">
        <v>9.1249964693936397E-2</v>
      </c>
      <c r="AA912">
        <v>31.536000000000001</v>
      </c>
    </row>
    <row r="913" spans="1:27" x14ac:dyDescent="0.25">
      <c r="A913" t="s">
        <v>98</v>
      </c>
      <c r="B913" t="s">
        <v>519</v>
      </c>
      <c r="C913" t="s">
        <v>1028</v>
      </c>
      <c r="D913" t="s">
        <v>101</v>
      </c>
      <c r="E913" t="s">
        <v>179</v>
      </c>
      <c r="F913" t="s">
        <v>180</v>
      </c>
      <c r="G913" t="s">
        <v>103</v>
      </c>
      <c r="H913" t="s">
        <v>125</v>
      </c>
      <c r="I913">
        <v>2023</v>
      </c>
      <c r="J913" t="s">
        <v>185</v>
      </c>
      <c r="K913" t="s">
        <v>127</v>
      </c>
      <c r="L913" t="s">
        <v>1225</v>
      </c>
      <c r="M913" t="s">
        <v>1227</v>
      </c>
      <c r="N913">
        <v>1</v>
      </c>
      <c r="O913">
        <v>2023</v>
      </c>
      <c r="P913">
        <v>2956.9457561336731</v>
      </c>
      <c r="Q913">
        <v>17.168943682756151</v>
      </c>
      <c r="R913" t="s">
        <v>109</v>
      </c>
      <c r="S913">
        <v>172.22642293966629</v>
      </c>
      <c r="T913">
        <v>2.4032825322391562</v>
      </c>
      <c r="U913" t="s">
        <v>184</v>
      </c>
      <c r="V913">
        <v>2.4032825322391562</v>
      </c>
      <c r="W913">
        <v>9</v>
      </c>
      <c r="X913">
        <v>22</v>
      </c>
      <c r="Y913">
        <v>16</v>
      </c>
      <c r="Z913">
        <v>9.1249964693936397E-2</v>
      </c>
      <c r="AA913">
        <v>31.536000000000001</v>
      </c>
    </row>
    <row r="914" spans="1:27" x14ac:dyDescent="0.25">
      <c r="A914" t="s">
        <v>98</v>
      </c>
      <c r="B914" t="s">
        <v>519</v>
      </c>
      <c r="C914" t="s">
        <v>1028</v>
      </c>
      <c r="D914" t="s">
        <v>101</v>
      </c>
      <c r="E914" t="s">
        <v>179</v>
      </c>
      <c r="F914" t="s">
        <v>180</v>
      </c>
      <c r="G914" t="s">
        <v>111</v>
      </c>
      <c r="H914" t="s">
        <v>125</v>
      </c>
      <c r="I914">
        <v>2016</v>
      </c>
      <c r="J914" t="s">
        <v>187</v>
      </c>
      <c r="K914" t="s">
        <v>127</v>
      </c>
      <c r="L914" t="s">
        <v>1225</v>
      </c>
      <c r="M914" t="s">
        <v>1228</v>
      </c>
      <c r="N914">
        <v>1</v>
      </c>
      <c r="O914">
        <v>2020</v>
      </c>
      <c r="P914">
        <v>3109.3656404704602</v>
      </c>
      <c r="Q914">
        <v>17.168943682756151</v>
      </c>
      <c r="R914" t="s">
        <v>109</v>
      </c>
      <c r="S914">
        <v>181.1040736066594</v>
      </c>
      <c r="T914">
        <v>2.5205158264947238</v>
      </c>
      <c r="U914" t="s">
        <v>184</v>
      </c>
      <c r="V914">
        <v>2.5205158264947238</v>
      </c>
      <c r="W914">
        <v>9</v>
      </c>
      <c r="X914">
        <v>22</v>
      </c>
      <c r="Y914">
        <v>16</v>
      </c>
      <c r="Z914">
        <v>9.1249964693936397E-2</v>
      </c>
      <c r="AA914">
        <v>31.536000000000001</v>
      </c>
    </row>
    <row r="915" spans="1:27" x14ac:dyDescent="0.25">
      <c r="A915" t="s">
        <v>98</v>
      </c>
      <c r="B915" t="s">
        <v>519</v>
      </c>
      <c r="C915" t="s">
        <v>1028</v>
      </c>
      <c r="D915" t="s">
        <v>101</v>
      </c>
      <c r="E915" t="s">
        <v>179</v>
      </c>
      <c r="F915" t="s">
        <v>180</v>
      </c>
      <c r="G915" t="s">
        <v>111</v>
      </c>
      <c r="H915" t="s">
        <v>125</v>
      </c>
      <c r="I915">
        <v>2023</v>
      </c>
      <c r="J915" t="s">
        <v>189</v>
      </c>
      <c r="K915" t="s">
        <v>127</v>
      </c>
      <c r="L915" t="s">
        <v>1225</v>
      </c>
      <c r="M915" t="s">
        <v>1229</v>
      </c>
      <c r="N915">
        <v>1</v>
      </c>
      <c r="O915">
        <v>2023</v>
      </c>
      <c r="P915">
        <v>3139.8496173378171</v>
      </c>
      <c r="Q915">
        <v>17.168943682756151</v>
      </c>
      <c r="R915" t="s">
        <v>109</v>
      </c>
      <c r="S915">
        <v>182.879603740058</v>
      </c>
      <c r="T915">
        <v>2.5791324736225092</v>
      </c>
      <c r="U915" t="s">
        <v>184</v>
      </c>
      <c r="V915">
        <v>2.5791324736225092</v>
      </c>
      <c r="W915">
        <v>9</v>
      </c>
      <c r="X915">
        <v>22</v>
      </c>
      <c r="Y915">
        <v>16</v>
      </c>
      <c r="Z915">
        <v>9.1249964693936397E-2</v>
      </c>
      <c r="AA915">
        <v>31.536000000000001</v>
      </c>
    </row>
    <row r="916" spans="1:27" x14ac:dyDescent="0.25">
      <c r="A916" t="s">
        <v>98</v>
      </c>
      <c r="B916" t="s">
        <v>519</v>
      </c>
      <c r="C916" t="s">
        <v>1028</v>
      </c>
      <c r="D916" t="s">
        <v>101</v>
      </c>
      <c r="E916" t="s">
        <v>179</v>
      </c>
      <c r="F916" t="s">
        <v>180</v>
      </c>
      <c r="G916" t="s">
        <v>114</v>
      </c>
      <c r="H916" t="s">
        <v>125</v>
      </c>
      <c r="I916">
        <v>2016</v>
      </c>
      <c r="J916" t="s">
        <v>191</v>
      </c>
      <c r="K916" t="s">
        <v>127</v>
      </c>
      <c r="L916" t="s">
        <v>1225</v>
      </c>
      <c r="M916" t="s">
        <v>1230</v>
      </c>
      <c r="N916">
        <v>1</v>
      </c>
      <c r="O916">
        <v>2020</v>
      </c>
      <c r="P916">
        <v>3017.9137098683868</v>
      </c>
      <c r="Q916">
        <v>17.168943682756151</v>
      </c>
      <c r="R916" t="s">
        <v>109</v>
      </c>
      <c r="S916">
        <v>175.7774832064635</v>
      </c>
      <c r="T916">
        <v>2.4912075029308318</v>
      </c>
      <c r="U916" t="s">
        <v>184</v>
      </c>
      <c r="V916">
        <v>2.4912075029308318</v>
      </c>
      <c r="W916">
        <v>9</v>
      </c>
      <c r="X916">
        <v>22</v>
      </c>
      <c r="Y916">
        <v>16</v>
      </c>
      <c r="Z916">
        <v>9.1249964693936397E-2</v>
      </c>
      <c r="AA916">
        <v>31.536000000000001</v>
      </c>
    </row>
    <row r="917" spans="1:27" x14ac:dyDescent="0.25">
      <c r="A917" t="s">
        <v>98</v>
      </c>
      <c r="B917" t="s">
        <v>519</v>
      </c>
      <c r="C917" t="s">
        <v>1028</v>
      </c>
      <c r="D917" t="s">
        <v>101</v>
      </c>
      <c r="E917" t="s">
        <v>179</v>
      </c>
      <c r="F917" t="s">
        <v>180</v>
      </c>
      <c r="G917" t="s">
        <v>114</v>
      </c>
      <c r="H917" t="s">
        <v>125</v>
      </c>
      <c r="I917">
        <v>2022</v>
      </c>
      <c r="J917" t="s">
        <v>193</v>
      </c>
      <c r="K917" t="s">
        <v>127</v>
      </c>
      <c r="L917" t="s">
        <v>1225</v>
      </c>
      <c r="M917" t="s">
        <v>1231</v>
      </c>
      <c r="N917">
        <v>1</v>
      </c>
      <c r="O917">
        <v>2022</v>
      </c>
      <c r="P917">
        <v>3017.9137098683868</v>
      </c>
      <c r="Q917">
        <v>17.168943682756151</v>
      </c>
      <c r="R917" t="s">
        <v>109</v>
      </c>
      <c r="S917">
        <v>175.7774832064635</v>
      </c>
      <c r="T917">
        <v>2.4912075029308318</v>
      </c>
      <c r="U917" t="s">
        <v>184</v>
      </c>
      <c r="V917">
        <v>2.4912075029308318</v>
      </c>
      <c r="W917">
        <v>9</v>
      </c>
      <c r="X917">
        <v>22</v>
      </c>
      <c r="Y917">
        <v>16</v>
      </c>
      <c r="Z917">
        <v>9.1249964693936397E-2</v>
      </c>
      <c r="AA917">
        <v>31.536000000000001</v>
      </c>
    </row>
    <row r="918" spans="1:27" x14ac:dyDescent="0.25">
      <c r="A918" t="s">
        <v>98</v>
      </c>
      <c r="B918" t="s">
        <v>519</v>
      </c>
      <c r="C918" t="s">
        <v>1028</v>
      </c>
      <c r="D918" t="s">
        <v>101</v>
      </c>
      <c r="E918" t="s">
        <v>179</v>
      </c>
      <c r="F918" t="s">
        <v>180</v>
      </c>
      <c r="G918" t="s">
        <v>114</v>
      </c>
      <c r="H918" t="s">
        <v>125</v>
      </c>
      <c r="I918">
        <v>2023</v>
      </c>
      <c r="J918" t="s">
        <v>195</v>
      </c>
      <c r="K918" t="s">
        <v>127</v>
      </c>
      <c r="L918" t="s">
        <v>1225</v>
      </c>
      <c r="M918" t="s">
        <v>1232</v>
      </c>
      <c r="N918">
        <v>1</v>
      </c>
      <c r="O918">
        <v>2023</v>
      </c>
      <c r="P918">
        <v>3266.447780092843</v>
      </c>
      <c r="Q918">
        <v>17.168943682756151</v>
      </c>
      <c r="R918" t="s">
        <v>109</v>
      </c>
      <c r="S918">
        <v>190.2532759411134</v>
      </c>
      <c r="T918">
        <v>2.6963657678780768</v>
      </c>
      <c r="U918" t="s">
        <v>184</v>
      </c>
      <c r="V918">
        <v>2.6963657678780768</v>
      </c>
      <c r="W918">
        <v>9</v>
      </c>
      <c r="X918">
        <v>22</v>
      </c>
      <c r="Y918">
        <v>16</v>
      </c>
      <c r="Z918">
        <v>9.1249964693936397E-2</v>
      </c>
      <c r="AA918">
        <v>31.536000000000001</v>
      </c>
    </row>
    <row r="919" spans="1:27" x14ac:dyDescent="0.25">
      <c r="A919" t="s">
        <v>98</v>
      </c>
      <c r="B919" t="s">
        <v>519</v>
      </c>
      <c r="C919" t="s">
        <v>1028</v>
      </c>
      <c r="D919" t="s">
        <v>101</v>
      </c>
      <c r="E919" t="s">
        <v>179</v>
      </c>
      <c r="F919" t="s">
        <v>180</v>
      </c>
      <c r="G919" t="s">
        <v>119</v>
      </c>
      <c r="H919" t="s">
        <v>125</v>
      </c>
      <c r="I919">
        <v>2016</v>
      </c>
      <c r="J919" t="s">
        <v>197</v>
      </c>
      <c r="K919" t="s">
        <v>127</v>
      </c>
      <c r="L919" t="s">
        <v>1225</v>
      </c>
      <c r="M919" t="s">
        <v>1233</v>
      </c>
      <c r="N919">
        <v>1</v>
      </c>
      <c r="O919">
        <v>2020</v>
      </c>
      <c r="P919">
        <v>3719.0451778176089</v>
      </c>
      <c r="Q919">
        <v>17.168943682756151</v>
      </c>
      <c r="R919" t="s">
        <v>109</v>
      </c>
      <c r="S919">
        <v>216.61467627463179</v>
      </c>
      <c r="T919">
        <v>2.6377491207502932</v>
      </c>
      <c r="U919" t="s">
        <v>184</v>
      </c>
      <c r="V919">
        <v>2.6377491207502932</v>
      </c>
      <c r="W919">
        <v>9</v>
      </c>
      <c r="X919">
        <v>22</v>
      </c>
      <c r="Y919">
        <v>16</v>
      </c>
      <c r="Z919">
        <v>9.1249964693936397E-2</v>
      </c>
      <c r="AA919">
        <v>31.536000000000001</v>
      </c>
    </row>
    <row r="920" spans="1:27" x14ac:dyDescent="0.25">
      <c r="A920" t="s">
        <v>98</v>
      </c>
      <c r="B920" t="s">
        <v>519</v>
      </c>
      <c r="C920" t="s">
        <v>1028</v>
      </c>
      <c r="D920" t="s">
        <v>101</v>
      </c>
      <c r="E920" t="s">
        <v>179</v>
      </c>
      <c r="F920" t="s">
        <v>180</v>
      </c>
      <c r="G920" t="s">
        <v>119</v>
      </c>
      <c r="H920" t="s">
        <v>125</v>
      </c>
      <c r="I920">
        <v>2022</v>
      </c>
      <c r="J920" t="s">
        <v>199</v>
      </c>
      <c r="K920" t="s">
        <v>127</v>
      </c>
      <c r="L920" t="s">
        <v>1225</v>
      </c>
      <c r="M920" t="s">
        <v>1234</v>
      </c>
      <c r="N920">
        <v>1</v>
      </c>
      <c r="O920">
        <v>2022</v>
      </c>
      <c r="P920">
        <v>3914.784397702746</v>
      </c>
      <c r="Q920">
        <v>17.168943682756151</v>
      </c>
      <c r="R920" t="s">
        <v>109</v>
      </c>
      <c r="S920">
        <v>228.01544871013871</v>
      </c>
      <c r="T920">
        <v>2.9308323563892151</v>
      </c>
      <c r="U920" t="s">
        <v>184</v>
      </c>
      <c r="V920">
        <v>2.9308323563892151</v>
      </c>
      <c r="W920">
        <v>9</v>
      </c>
      <c r="X920">
        <v>22</v>
      </c>
      <c r="Y920">
        <v>16</v>
      </c>
      <c r="Z920">
        <v>9.1249964693936397E-2</v>
      </c>
      <c r="AA920">
        <v>31.536000000000001</v>
      </c>
    </row>
    <row r="921" spans="1:27" x14ac:dyDescent="0.25">
      <c r="A921" t="s">
        <v>98</v>
      </c>
      <c r="B921" t="s">
        <v>519</v>
      </c>
      <c r="C921" t="s">
        <v>1028</v>
      </c>
      <c r="D921" t="s">
        <v>101</v>
      </c>
      <c r="E921" t="s">
        <v>179</v>
      </c>
      <c r="F921" t="s">
        <v>201</v>
      </c>
      <c r="G921" t="s">
        <v>103</v>
      </c>
      <c r="H921" t="s">
        <v>125</v>
      </c>
      <c r="I921">
        <v>2016</v>
      </c>
      <c r="J921" t="s">
        <v>202</v>
      </c>
      <c r="K921" t="s">
        <v>127</v>
      </c>
      <c r="L921" t="s">
        <v>1225</v>
      </c>
      <c r="M921" t="s">
        <v>1235</v>
      </c>
      <c r="N921">
        <v>1</v>
      </c>
      <c r="O921">
        <v>2020</v>
      </c>
      <c r="P921">
        <v>9511.0007826155233</v>
      </c>
      <c r="Q921">
        <v>17.168943682756151</v>
      </c>
      <c r="R921" t="s">
        <v>109</v>
      </c>
      <c r="S921">
        <v>553.96540162036979</v>
      </c>
      <c r="T921">
        <v>3.2</v>
      </c>
      <c r="U921" t="s">
        <v>184</v>
      </c>
      <c r="V921">
        <v>3.2</v>
      </c>
      <c r="W921">
        <v>8</v>
      </c>
      <c r="X921">
        <v>20.8</v>
      </c>
      <c r="Y921">
        <v>15</v>
      </c>
      <c r="Z921">
        <v>9.1249964693936397E-2</v>
      </c>
      <c r="AA921">
        <v>31.536000000000001</v>
      </c>
    </row>
    <row r="922" spans="1:27" x14ac:dyDescent="0.25">
      <c r="A922" t="s">
        <v>98</v>
      </c>
      <c r="B922" t="s">
        <v>519</v>
      </c>
      <c r="C922" t="s">
        <v>1028</v>
      </c>
      <c r="D922" t="s">
        <v>101</v>
      </c>
      <c r="E922" t="s">
        <v>179</v>
      </c>
      <c r="F922" t="s">
        <v>201</v>
      </c>
      <c r="G922" t="s">
        <v>111</v>
      </c>
      <c r="H922" t="s">
        <v>125</v>
      </c>
      <c r="I922">
        <v>2016</v>
      </c>
      <c r="J922" t="s">
        <v>204</v>
      </c>
      <c r="K922" t="s">
        <v>127</v>
      </c>
      <c r="L922" t="s">
        <v>1225</v>
      </c>
      <c r="M922" t="s">
        <v>1236</v>
      </c>
      <c r="N922">
        <v>1</v>
      </c>
      <c r="O922">
        <v>2020</v>
      </c>
      <c r="P922">
        <v>9846.3245281564559</v>
      </c>
      <c r="Q922">
        <v>17.168943682756151</v>
      </c>
      <c r="R922" t="s">
        <v>109</v>
      </c>
      <c r="S922">
        <v>573.4962330877546</v>
      </c>
      <c r="T922">
        <v>3.7</v>
      </c>
      <c r="U922" t="s">
        <v>184</v>
      </c>
      <c r="V922">
        <v>3.7</v>
      </c>
      <c r="W922">
        <v>8</v>
      </c>
      <c r="X922">
        <v>20.8</v>
      </c>
      <c r="Y922">
        <v>15</v>
      </c>
      <c r="Z922">
        <v>9.1249964693936397E-2</v>
      </c>
      <c r="AA922">
        <v>31.536000000000001</v>
      </c>
    </row>
    <row r="923" spans="1:27" x14ac:dyDescent="0.25">
      <c r="A923" t="s">
        <v>98</v>
      </c>
      <c r="B923" t="s">
        <v>519</v>
      </c>
      <c r="C923" t="s">
        <v>1028</v>
      </c>
      <c r="D923" t="s">
        <v>101</v>
      </c>
      <c r="E923" t="s">
        <v>179</v>
      </c>
      <c r="F923" t="s">
        <v>201</v>
      </c>
      <c r="G923" t="s">
        <v>114</v>
      </c>
      <c r="H923" t="s">
        <v>125</v>
      </c>
      <c r="I923">
        <v>2016</v>
      </c>
      <c r="J923" t="s">
        <v>206</v>
      </c>
      <c r="K923" t="s">
        <v>127</v>
      </c>
      <c r="L923" t="s">
        <v>1225</v>
      </c>
      <c r="M923" t="s">
        <v>1237</v>
      </c>
      <c r="N923">
        <v>0</v>
      </c>
      <c r="O923">
        <v>2020</v>
      </c>
      <c r="P923">
        <v>9846.3245281564559</v>
      </c>
      <c r="Q923">
        <v>17.168943682756151</v>
      </c>
      <c r="R923" t="s">
        <v>109</v>
      </c>
      <c r="S923">
        <v>573.4962330877546</v>
      </c>
      <c r="T923">
        <v>3.6</v>
      </c>
      <c r="U923" t="s">
        <v>184</v>
      </c>
      <c r="V923">
        <v>3.6</v>
      </c>
      <c r="W923">
        <v>8</v>
      </c>
      <c r="X923">
        <v>20.8</v>
      </c>
      <c r="Y923">
        <v>15</v>
      </c>
      <c r="Z923">
        <v>9.1249964693936397E-2</v>
      </c>
      <c r="AA923">
        <v>31.536000000000001</v>
      </c>
    </row>
    <row r="924" spans="1:27" x14ac:dyDescent="0.25">
      <c r="A924" t="s">
        <v>98</v>
      </c>
      <c r="B924" t="s">
        <v>519</v>
      </c>
      <c r="C924" t="s">
        <v>1028</v>
      </c>
      <c r="D924" t="s">
        <v>101</v>
      </c>
      <c r="E924" t="s">
        <v>179</v>
      </c>
      <c r="F924" t="s">
        <v>201</v>
      </c>
      <c r="G924" t="s">
        <v>114</v>
      </c>
      <c r="H924" t="s">
        <v>125</v>
      </c>
      <c r="I924">
        <v>2020</v>
      </c>
      <c r="J924" t="s">
        <v>208</v>
      </c>
      <c r="K924" t="s">
        <v>127</v>
      </c>
      <c r="L924" t="s">
        <v>1225</v>
      </c>
      <c r="M924" t="s">
        <v>1237</v>
      </c>
      <c r="N924">
        <v>1</v>
      </c>
      <c r="O924">
        <v>2020</v>
      </c>
      <c r="P924">
        <v>9846.3245281564559</v>
      </c>
      <c r="Q924">
        <v>17.168943682756151</v>
      </c>
      <c r="R924" t="s">
        <v>109</v>
      </c>
      <c r="S924">
        <v>573.4962330877546</v>
      </c>
      <c r="T924">
        <v>3.6</v>
      </c>
      <c r="U924" t="s">
        <v>184</v>
      </c>
      <c r="V924">
        <v>3.6</v>
      </c>
      <c r="W924">
        <v>8</v>
      </c>
      <c r="X924">
        <v>20.8</v>
      </c>
      <c r="Y924">
        <v>15</v>
      </c>
      <c r="Z924">
        <v>9.1249964693936397E-2</v>
      </c>
      <c r="AA924">
        <v>31.536000000000001</v>
      </c>
    </row>
    <row r="925" spans="1:27" x14ac:dyDescent="0.25">
      <c r="A925" t="s">
        <v>98</v>
      </c>
      <c r="B925" t="s">
        <v>519</v>
      </c>
      <c r="C925" t="s">
        <v>1028</v>
      </c>
      <c r="D925" t="s">
        <v>101</v>
      </c>
      <c r="E925" t="s">
        <v>179</v>
      </c>
      <c r="F925" t="s">
        <v>201</v>
      </c>
      <c r="G925" t="s">
        <v>114</v>
      </c>
      <c r="H925" t="s">
        <v>125</v>
      </c>
      <c r="I925">
        <v>2022</v>
      </c>
      <c r="J925" t="s">
        <v>209</v>
      </c>
      <c r="K925" t="s">
        <v>127</v>
      </c>
      <c r="L925" t="s">
        <v>1225</v>
      </c>
      <c r="M925" t="s">
        <v>1238</v>
      </c>
      <c r="N925">
        <v>1</v>
      </c>
      <c r="O925">
        <v>2022</v>
      </c>
      <c r="P925">
        <v>9846.3245281564559</v>
      </c>
      <c r="Q925">
        <v>17.168943682756151</v>
      </c>
      <c r="R925" t="s">
        <v>109</v>
      </c>
      <c r="S925">
        <v>573.4962330877546</v>
      </c>
      <c r="T925">
        <v>3.6</v>
      </c>
      <c r="U925" t="s">
        <v>184</v>
      </c>
      <c r="V925">
        <v>3.6</v>
      </c>
      <c r="W925">
        <v>8</v>
      </c>
      <c r="X925">
        <v>20.8</v>
      </c>
      <c r="Y925">
        <v>15</v>
      </c>
      <c r="Z925">
        <v>9.1249964693936397E-2</v>
      </c>
      <c r="AA925">
        <v>31.536000000000001</v>
      </c>
    </row>
    <row r="926" spans="1:27" x14ac:dyDescent="0.25">
      <c r="A926" t="s">
        <v>98</v>
      </c>
      <c r="B926" t="s">
        <v>519</v>
      </c>
      <c r="C926" t="s">
        <v>1028</v>
      </c>
      <c r="D926" t="s">
        <v>101</v>
      </c>
      <c r="E926" t="s">
        <v>179</v>
      </c>
      <c r="F926" t="s">
        <v>201</v>
      </c>
      <c r="G926" t="s">
        <v>114</v>
      </c>
      <c r="H926" t="s">
        <v>125</v>
      </c>
      <c r="I926">
        <v>2023</v>
      </c>
      <c r="J926" t="s">
        <v>211</v>
      </c>
      <c r="K926" t="s">
        <v>127</v>
      </c>
      <c r="L926" t="s">
        <v>1225</v>
      </c>
      <c r="M926" t="s">
        <v>1239</v>
      </c>
      <c r="N926">
        <v>1</v>
      </c>
      <c r="O926">
        <v>2023</v>
      </c>
      <c r="P926">
        <v>9846.3245281564559</v>
      </c>
      <c r="Q926">
        <v>17.168943682756151</v>
      </c>
      <c r="R926" t="s">
        <v>109</v>
      </c>
      <c r="S926">
        <v>573.4962330877546</v>
      </c>
      <c r="T926">
        <v>3.6</v>
      </c>
      <c r="U926" t="s">
        <v>184</v>
      </c>
      <c r="V926">
        <v>3.6</v>
      </c>
      <c r="W926">
        <v>8</v>
      </c>
      <c r="X926">
        <v>20.8</v>
      </c>
      <c r="Y926">
        <v>15</v>
      </c>
      <c r="Z926">
        <v>9.1249964693936397E-2</v>
      </c>
      <c r="AA926">
        <v>31.536000000000001</v>
      </c>
    </row>
    <row r="927" spans="1:27" x14ac:dyDescent="0.25">
      <c r="A927" t="s">
        <v>98</v>
      </c>
      <c r="B927" t="s">
        <v>519</v>
      </c>
      <c r="C927" t="s">
        <v>1028</v>
      </c>
      <c r="D927" t="s">
        <v>101</v>
      </c>
      <c r="E927" t="s">
        <v>179</v>
      </c>
      <c r="F927" t="s">
        <v>201</v>
      </c>
      <c r="G927" t="s">
        <v>114</v>
      </c>
      <c r="H927" t="s">
        <v>125</v>
      </c>
      <c r="I927">
        <v>2024</v>
      </c>
      <c r="J927" t="s">
        <v>213</v>
      </c>
      <c r="K927" t="s">
        <v>127</v>
      </c>
      <c r="L927" t="s">
        <v>1225</v>
      </c>
      <c r="M927" t="s">
        <v>1240</v>
      </c>
      <c r="N927">
        <v>1</v>
      </c>
      <c r="O927">
        <v>2024</v>
      </c>
      <c r="P927">
        <v>9846.3245281564559</v>
      </c>
      <c r="Q927">
        <v>17.168943682756151</v>
      </c>
      <c r="R927" t="s">
        <v>109</v>
      </c>
      <c r="S927">
        <v>573.4962330877546</v>
      </c>
      <c r="T927">
        <v>3.6</v>
      </c>
      <c r="U927" t="s">
        <v>184</v>
      </c>
      <c r="V927">
        <v>3.6</v>
      </c>
      <c r="W927">
        <v>8</v>
      </c>
      <c r="X927">
        <v>20.8</v>
      </c>
      <c r="Y927">
        <v>15</v>
      </c>
      <c r="Z927">
        <v>9.1249964693936397E-2</v>
      </c>
      <c r="AA927">
        <v>31.536000000000001</v>
      </c>
    </row>
    <row r="928" spans="1:27" x14ac:dyDescent="0.25">
      <c r="A928" t="s">
        <v>98</v>
      </c>
      <c r="B928" t="s">
        <v>519</v>
      </c>
      <c r="C928" t="s">
        <v>1028</v>
      </c>
      <c r="D928" t="s">
        <v>101</v>
      </c>
      <c r="E928" t="s">
        <v>179</v>
      </c>
      <c r="F928" t="s">
        <v>201</v>
      </c>
      <c r="G928" t="s">
        <v>119</v>
      </c>
      <c r="H928" t="s">
        <v>125</v>
      </c>
      <c r="I928">
        <v>2016</v>
      </c>
      <c r="J928" t="s">
        <v>215</v>
      </c>
      <c r="K928" t="s">
        <v>127</v>
      </c>
      <c r="L928" t="s">
        <v>1225</v>
      </c>
      <c r="M928" t="s">
        <v>1241</v>
      </c>
      <c r="N928">
        <v>0</v>
      </c>
      <c r="O928">
        <v>2020</v>
      </c>
      <c r="P928">
        <v>10395.03611176889</v>
      </c>
      <c r="Q928">
        <v>17.168943682756151</v>
      </c>
      <c r="R928" t="s">
        <v>109</v>
      </c>
      <c r="S928">
        <v>605.45577548892982</v>
      </c>
      <c r="T928">
        <v>4.5</v>
      </c>
      <c r="U928" t="s">
        <v>184</v>
      </c>
      <c r="V928">
        <v>4.5</v>
      </c>
      <c r="W928">
        <v>8</v>
      </c>
      <c r="X928">
        <v>20.8</v>
      </c>
      <c r="Y928">
        <v>15</v>
      </c>
      <c r="Z928">
        <v>9.1249964693936397E-2</v>
      </c>
      <c r="AA928">
        <v>31.536000000000001</v>
      </c>
    </row>
    <row r="929" spans="1:27" x14ac:dyDescent="0.25">
      <c r="A929" t="s">
        <v>98</v>
      </c>
      <c r="B929" t="s">
        <v>519</v>
      </c>
      <c r="C929" t="s">
        <v>1028</v>
      </c>
      <c r="D929" t="s">
        <v>101</v>
      </c>
      <c r="E929" t="s">
        <v>179</v>
      </c>
      <c r="F929" t="s">
        <v>201</v>
      </c>
      <c r="G929" t="s">
        <v>119</v>
      </c>
      <c r="H929" t="s">
        <v>125</v>
      </c>
      <c r="I929">
        <v>2020</v>
      </c>
      <c r="J929" t="s">
        <v>217</v>
      </c>
      <c r="K929" t="s">
        <v>127</v>
      </c>
      <c r="L929" t="s">
        <v>1225</v>
      </c>
      <c r="M929" t="s">
        <v>1241</v>
      </c>
      <c r="N929">
        <v>1</v>
      </c>
      <c r="O929">
        <v>2020</v>
      </c>
      <c r="P929">
        <v>10395.03611176889</v>
      </c>
      <c r="Q929">
        <v>17.168943682756151</v>
      </c>
      <c r="R929" t="s">
        <v>109</v>
      </c>
      <c r="S929">
        <v>605.45577548892982</v>
      </c>
      <c r="T929">
        <v>4.5</v>
      </c>
      <c r="U929" t="s">
        <v>184</v>
      </c>
      <c r="V929">
        <v>4.5</v>
      </c>
      <c r="W929">
        <v>8</v>
      </c>
      <c r="X929">
        <v>20.8</v>
      </c>
      <c r="Y929">
        <v>15</v>
      </c>
      <c r="Z929">
        <v>9.1249964693936397E-2</v>
      </c>
      <c r="AA929">
        <v>31.536000000000001</v>
      </c>
    </row>
    <row r="930" spans="1:27" x14ac:dyDescent="0.25">
      <c r="A930" t="s">
        <v>98</v>
      </c>
      <c r="B930" t="s">
        <v>519</v>
      </c>
      <c r="C930" t="s">
        <v>1028</v>
      </c>
      <c r="D930" t="s">
        <v>101</v>
      </c>
      <c r="E930" t="s">
        <v>179</v>
      </c>
      <c r="F930" t="s">
        <v>201</v>
      </c>
      <c r="G930" t="s">
        <v>119</v>
      </c>
      <c r="H930" t="s">
        <v>125</v>
      </c>
      <c r="I930">
        <v>2022</v>
      </c>
      <c r="J930" t="s">
        <v>218</v>
      </c>
      <c r="K930" t="s">
        <v>127</v>
      </c>
      <c r="L930" t="s">
        <v>1225</v>
      </c>
      <c r="M930" t="s">
        <v>1242</v>
      </c>
      <c r="N930">
        <v>1</v>
      </c>
      <c r="O930">
        <v>2022</v>
      </c>
      <c r="P930">
        <v>10395.03611176889</v>
      </c>
      <c r="Q930">
        <v>17.168943682756151</v>
      </c>
      <c r="R930" t="s">
        <v>109</v>
      </c>
      <c r="S930">
        <v>605.45577548892982</v>
      </c>
      <c r="T930">
        <v>4.5</v>
      </c>
      <c r="U930" t="s">
        <v>184</v>
      </c>
      <c r="V930">
        <v>4.5</v>
      </c>
      <c r="W930">
        <v>8</v>
      </c>
      <c r="X930">
        <v>20.8</v>
      </c>
      <c r="Y930">
        <v>15</v>
      </c>
      <c r="Z930">
        <v>9.1249964693936397E-2</v>
      </c>
      <c r="AA930">
        <v>31.536000000000001</v>
      </c>
    </row>
    <row r="931" spans="1:27" x14ac:dyDescent="0.25">
      <c r="A931" t="s">
        <v>98</v>
      </c>
      <c r="B931" t="s">
        <v>519</v>
      </c>
      <c r="C931" t="s">
        <v>1028</v>
      </c>
      <c r="D931" t="s">
        <v>101</v>
      </c>
      <c r="E931" t="s">
        <v>179</v>
      </c>
      <c r="F931" t="s">
        <v>201</v>
      </c>
      <c r="G931" t="s">
        <v>119</v>
      </c>
      <c r="H931" t="s">
        <v>125</v>
      </c>
      <c r="I931">
        <v>2023</v>
      </c>
      <c r="J931" t="s">
        <v>220</v>
      </c>
      <c r="K931" t="s">
        <v>127</v>
      </c>
      <c r="L931" t="s">
        <v>1225</v>
      </c>
      <c r="M931" t="s">
        <v>1243</v>
      </c>
      <c r="N931">
        <v>1</v>
      </c>
      <c r="O931">
        <v>2023</v>
      </c>
      <c r="P931">
        <v>10395.03611176889</v>
      </c>
      <c r="Q931">
        <v>17.168943682756151</v>
      </c>
      <c r="R931" t="s">
        <v>109</v>
      </c>
      <c r="S931">
        <v>605.45577548892982</v>
      </c>
      <c r="T931">
        <v>4.5</v>
      </c>
      <c r="U931" t="s">
        <v>184</v>
      </c>
      <c r="V931">
        <v>4.5</v>
      </c>
      <c r="W931">
        <v>8</v>
      </c>
      <c r="X931">
        <v>20.8</v>
      </c>
      <c r="Y931">
        <v>15</v>
      </c>
      <c r="Z931">
        <v>9.1249964693936397E-2</v>
      </c>
      <c r="AA931">
        <v>31.536000000000001</v>
      </c>
    </row>
    <row r="932" spans="1:27" x14ac:dyDescent="0.25">
      <c r="A932" t="s">
        <v>98</v>
      </c>
      <c r="B932" t="s">
        <v>519</v>
      </c>
      <c r="C932" t="s">
        <v>1028</v>
      </c>
      <c r="D932" t="s">
        <v>101</v>
      </c>
      <c r="E932" t="s">
        <v>179</v>
      </c>
      <c r="F932" t="s">
        <v>201</v>
      </c>
      <c r="G932" t="s">
        <v>119</v>
      </c>
      <c r="H932" t="s">
        <v>125</v>
      </c>
      <c r="I932">
        <v>2024</v>
      </c>
      <c r="J932" t="s">
        <v>222</v>
      </c>
      <c r="K932" t="s">
        <v>127</v>
      </c>
      <c r="L932" t="s">
        <v>1225</v>
      </c>
      <c r="M932" t="s">
        <v>1244</v>
      </c>
      <c r="N932">
        <v>1</v>
      </c>
      <c r="O932">
        <v>2024</v>
      </c>
      <c r="P932">
        <v>10395.03611176889</v>
      </c>
      <c r="Q932">
        <v>17.168943682756151</v>
      </c>
      <c r="R932" t="s">
        <v>109</v>
      </c>
      <c r="S932">
        <v>605.45577548892982</v>
      </c>
      <c r="T932">
        <v>4.5</v>
      </c>
      <c r="U932" t="s">
        <v>184</v>
      </c>
      <c r="V932">
        <v>4.5</v>
      </c>
      <c r="W932">
        <v>8</v>
      </c>
      <c r="X932">
        <v>20.8</v>
      </c>
      <c r="Y932">
        <v>15</v>
      </c>
      <c r="Z932">
        <v>9.1249964693936397E-2</v>
      </c>
      <c r="AA932">
        <v>31.536000000000001</v>
      </c>
    </row>
    <row r="933" spans="1:27" x14ac:dyDescent="0.25">
      <c r="A933" t="s">
        <v>98</v>
      </c>
      <c r="B933" t="s">
        <v>519</v>
      </c>
      <c r="C933" t="s">
        <v>1028</v>
      </c>
      <c r="D933" t="s">
        <v>101</v>
      </c>
      <c r="E933" t="s">
        <v>179</v>
      </c>
      <c r="F933" t="s">
        <v>224</v>
      </c>
      <c r="G933" t="s">
        <v>111</v>
      </c>
      <c r="H933" t="s">
        <v>125</v>
      </c>
      <c r="I933">
        <v>2016</v>
      </c>
      <c r="J933" t="s">
        <v>225</v>
      </c>
      <c r="K933" t="s">
        <v>127</v>
      </c>
      <c r="L933" t="s">
        <v>1225</v>
      </c>
      <c r="M933" t="s">
        <v>1245</v>
      </c>
      <c r="N933">
        <v>1</v>
      </c>
      <c r="O933">
        <v>2020</v>
      </c>
      <c r="P933">
        <v>1341.294982163728</v>
      </c>
      <c r="Q933">
        <v>17.168943682756151</v>
      </c>
      <c r="R933" t="s">
        <v>109</v>
      </c>
      <c r="S933">
        <v>78.123325869539329</v>
      </c>
      <c r="T933">
        <v>0.98</v>
      </c>
      <c r="U933" t="s">
        <v>227</v>
      </c>
      <c r="V933">
        <v>0.98</v>
      </c>
      <c r="W933">
        <v>15</v>
      </c>
      <c r="X933">
        <v>30</v>
      </c>
      <c r="Y933">
        <v>23</v>
      </c>
      <c r="Z933">
        <v>9.1249964693936397E-2</v>
      </c>
      <c r="AA933">
        <v>31.536000000000001</v>
      </c>
    </row>
    <row r="934" spans="1:27" x14ac:dyDescent="0.25">
      <c r="A934" t="s">
        <v>98</v>
      </c>
      <c r="B934" t="s">
        <v>519</v>
      </c>
      <c r="C934" t="s">
        <v>1028</v>
      </c>
      <c r="D934" t="s">
        <v>101</v>
      </c>
      <c r="E934" t="s">
        <v>179</v>
      </c>
      <c r="F934" t="s">
        <v>228</v>
      </c>
      <c r="G934" t="s">
        <v>103</v>
      </c>
      <c r="H934" t="s">
        <v>104</v>
      </c>
      <c r="I934">
        <v>2016</v>
      </c>
      <c r="J934" t="s">
        <v>229</v>
      </c>
      <c r="K934" t="s">
        <v>106</v>
      </c>
      <c r="L934" t="s">
        <v>1225</v>
      </c>
      <c r="M934" t="s">
        <v>1246</v>
      </c>
      <c r="N934">
        <v>1</v>
      </c>
      <c r="O934">
        <v>2020</v>
      </c>
      <c r="P934">
        <v>2499.6861031233111</v>
      </c>
      <c r="Q934">
        <v>17.168943682756151</v>
      </c>
      <c r="R934" t="s">
        <v>109</v>
      </c>
      <c r="S934">
        <v>145.59347093868689</v>
      </c>
      <c r="T934">
        <v>0.8</v>
      </c>
      <c r="U934" t="s">
        <v>227</v>
      </c>
      <c r="V934">
        <v>0.8</v>
      </c>
      <c r="W934">
        <v>16</v>
      </c>
      <c r="X934">
        <v>27</v>
      </c>
      <c r="Y934">
        <v>22</v>
      </c>
      <c r="Z934">
        <v>9.1249964693936397E-2</v>
      </c>
      <c r="AA934">
        <v>31.536000000000001</v>
      </c>
    </row>
    <row r="935" spans="1:27" x14ac:dyDescent="0.25">
      <c r="A935" t="s">
        <v>98</v>
      </c>
      <c r="B935" t="s">
        <v>519</v>
      </c>
      <c r="C935" t="s">
        <v>1028</v>
      </c>
      <c r="D935" t="s">
        <v>101</v>
      </c>
      <c r="E935" t="s">
        <v>179</v>
      </c>
      <c r="F935" t="s">
        <v>228</v>
      </c>
      <c r="G935" t="s">
        <v>111</v>
      </c>
      <c r="H935" t="s">
        <v>104</v>
      </c>
      <c r="I935">
        <v>2016</v>
      </c>
      <c r="J935" t="s">
        <v>231</v>
      </c>
      <c r="K935" t="s">
        <v>106</v>
      </c>
      <c r="L935" t="s">
        <v>1225</v>
      </c>
      <c r="M935" t="s">
        <v>1247</v>
      </c>
      <c r="N935">
        <v>0</v>
      </c>
      <c r="O935">
        <v>2020</v>
      </c>
      <c r="P935">
        <v>3182.5271849521182</v>
      </c>
      <c r="Q935">
        <v>17.168943682756151</v>
      </c>
      <c r="R935" t="s">
        <v>109</v>
      </c>
      <c r="S935">
        <v>185.36534592681599</v>
      </c>
      <c r="T935">
        <v>0.92</v>
      </c>
      <c r="U935" t="s">
        <v>227</v>
      </c>
      <c r="V935">
        <v>0.92</v>
      </c>
      <c r="W935">
        <v>16</v>
      </c>
      <c r="X935">
        <v>27</v>
      </c>
      <c r="Y935">
        <v>22</v>
      </c>
      <c r="Z935">
        <v>9.1249964693936397E-2</v>
      </c>
      <c r="AA935">
        <v>31.536000000000001</v>
      </c>
    </row>
    <row r="936" spans="1:27" x14ac:dyDescent="0.25">
      <c r="A936" t="s">
        <v>98</v>
      </c>
      <c r="B936" t="s">
        <v>519</v>
      </c>
      <c r="C936" t="s">
        <v>1028</v>
      </c>
      <c r="D936" t="s">
        <v>101</v>
      </c>
      <c r="E936" t="s">
        <v>179</v>
      </c>
      <c r="F936" t="s">
        <v>228</v>
      </c>
      <c r="G936" t="s">
        <v>111</v>
      </c>
      <c r="H936" t="s">
        <v>104</v>
      </c>
      <c r="I936">
        <v>2020</v>
      </c>
      <c r="J936" t="s">
        <v>233</v>
      </c>
      <c r="K936" t="s">
        <v>106</v>
      </c>
      <c r="L936" t="s">
        <v>1225</v>
      </c>
      <c r="M936" t="s">
        <v>1247</v>
      </c>
      <c r="N936">
        <v>1</v>
      </c>
      <c r="O936">
        <v>2020</v>
      </c>
      <c r="P936">
        <v>3365.4310461562618</v>
      </c>
      <c r="Q936">
        <v>17.168943682756151</v>
      </c>
      <c r="R936" t="s">
        <v>109</v>
      </c>
      <c r="S936">
        <v>196.01852672720781</v>
      </c>
      <c r="T936">
        <v>0.92</v>
      </c>
      <c r="U936" t="s">
        <v>227</v>
      </c>
      <c r="V936">
        <v>0.92</v>
      </c>
      <c r="W936">
        <v>16</v>
      </c>
      <c r="X936">
        <v>27</v>
      </c>
      <c r="Y936">
        <v>22</v>
      </c>
      <c r="Z936">
        <v>9.1249964693936397E-2</v>
      </c>
      <c r="AA936">
        <v>31.536000000000001</v>
      </c>
    </row>
    <row r="937" spans="1:27" x14ac:dyDescent="0.25">
      <c r="A937" t="s">
        <v>98</v>
      </c>
      <c r="B937" t="s">
        <v>519</v>
      </c>
      <c r="C937" t="s">
        <v>1028</v>
      </c>
      <c r="D937" t="s">
        <v>101</v>
      </c>
      <c r="E937" t="s">
        <v>179</v>
      </c>
      <c r="F937" t="s">
        <v>228</v>
      </c>
      <c r="G937" t="s">
        <v>114</v>
      </c>
      <c r="H937" t="s">
        <v>104</v>
      </c>
      <c r="I937">
        <v>2016</v>
      </c>
      <c r="J937" t="s">
        <v>234</v>
      </c>
      <c r="K937" t="s">
        <v>106</v>
      </c>
      <c r="L937" t="s">
        <v>1225</v>
      </c>
      <c r="M937" t="s">
        <v>1248</v>
      </c>
      <c r="N937">
        <v>1</v>
      </c>
      <c r="O937">
        <v>2020</v>
      </c>
      <c r="P937">
        <v>3341.043864662377</v>
      </c>
      <c r="Q937">
        <v>17.168943682756151</v>
      </c>
      <c r="R937" t="s">
        <v>109</v>
      </c>
      <c r="S937">
        <v>194.5981026204889</v>
      </c>
      <c r="T937">
        <v>0.95</v>
      </c>
      <c r="U937" t="s">
        <v>227</v>
      </c>
      <c r="V937">
        <v>0.95</v>
      </c>
      <c r="W937">
        <v>16</v>
      </c>
      <c r="X937">
        <v>27</v>
      </c>
      <c r="Y937">
        <v>22</v>
      </c>
      <c r="Z937">
        <v>9.1249964693936397E-2</v>
      </c>
      <c r="AA937">
        <v>31.536000000000001</v>
      </c>
    </row>
    <row r="938" spans="1:27" x14ac:dyDescent="0.25">
      <c r="A938" t="s">
        <v>98</v>
      </c>
      <c r="B938" t="s">
        <v>519</v>
      </c>
      <c r="C938" t="s">
        <v>1028</v>
      </c>
      <c r="D938" t="s">
        <v>101</v>
      </c>
      <c r="E938" t="s">
        <v>179</v>
      </c>
      <c r="F938" t="s">
        <v>228</v>
      </c>
      <c r="G938" t="s">
        <v>114</v>
      </c>
      <c r="H938" t="s">
        <v>104</v>
      </c>
      <c r="I938">
        <v>2022</v>
      </c>
      <c r="J938" t="s">
        <v>236</v>
      </c>
      <c r="K938" t="s">
        <v>106</v>
      </c>
      <c r="L938" t="s">
        <v>1225</v>
      </c>
      <c r="M938" t="s">
        <v>1249</v>
      </c>
      <c r="N938">
        <v>1</v>
      </c>
      <c r="O938">
        <v>2022</v>
      </c>
      <c r="P938">
        <v>3341.043864662377</v>
      </c>
      <c r="Q938">
        <v>17.168943682756151</v>
      </c>
      <c r="R938" t="s">
        <v>109</v>
      </c>
      <c r="S938">
        <v>194.5981026204889</v>
      </c>
      <c r="T938">
        <v>0.95</v>
      </c>
      <c r="U938" t="s">
        <v>227</v>
      </c>
      <c r="V938">
        <v>0.95</v>
      </c>
      <c r="W938">
        <v>16</v>
      </c>
      <c r="X938">
        <v>27</v>
      </c>
      <c r="Y938">
        <v>22</v>
      </c>
      <c r="Z938">
        <v>9.1249964693936397E-2</v>
      </c>
      <c r="AA938">
        <v>31.536000000000001</v>
      </c>
    </row>
    <row r="939" spans="1:27" x14ac:dyDescent="0.25">
      <c r="A939" t="s">
        <v>98</v>
      </c>
      <c r="B939" t="s">
        <v>519</v>
      </c>
      <c r="C939" t="s">
        <v>1028</v>
      </c>
      <c r="D939" t="s">
        <v>101</v>
      </c>
      <c r="E939" t="s">
        <v>179</v>
      </c>
      <c r="F939" t="s">
        <v>228</v>
      </c>
      <c r="G939" t="s">
        <v>119</v>
      </c>
      <c r="H939" t="s">
        <v>104</v>
      </c>
      <c r="I939">
        <v>2016</v>
      </c>
      <c r="J939" t="s">
        <v>238</v>
      </c>
      <c r="K939" t="s">
        <v>106</v>
      </c>
      <c r="L939" t="s">
        <v>1225</v>
      </c>
      <c r="M939" t="s">
        <v>1250</v>
      </c>
      <c r="N939">
        <v>1</v>
      </c>
      <c r="O939">
        <v>2020</v>
      </c>
      <c r="P939">
        <v>3706.851587070666</v>
      </c>
      <c r="Q939">
        <v>17.168943682756151</v>
      </c>
      <c r="R939" t="s">
        <v>109</v>
      </c>
      <c r="S939">
        <v>215.90446422127229</v>
      </c>
      <c r="T939">
        <v>0.99</v>
      </c>
      <c r="U939" t="s">
        <v>227</v>
      </c>
      <c r="V939">
        <v>0.99</v>
      </c>
      <c r="W939">
        <v>16</v>
      </c>
      <c r="X939">
        <v>27</v>
      </c>
      <c r="Y939">
        <v>22</v>
      </c>
      <c r="Z939">
        <v>9.1249964693936397E-2</v>
      </c>
      <c r="AA939">
        <v>31.536000000000001</v>
      </c>
    </row>
    <row r="940" spans="1:27" x14ac:dyDescent="0.25">
      <c r="A940" t="s">
        <v>98</v>
      </c>
      <c r="B940" t="s">
        <v>519</v>
      </c>
      <c r="C940" t="s">
        <v>1028</v>
      </c>
      <c r="D940" t="s">
        <v>101</v>
      </c>
      <c r="E940" t="s">
        <v>179</v>
      </c>
      <c r="F940" t="s">
        <v>228</v>
      </c>
      <c r="G940" t="s">
        <v>119</v>
      </c>
      <c r="H940" t="s">
        <v>104</v>
      </c>
      <c r="I940">
        <v>2022</v>
      </c>
      <c r="J940" t="s">
        <v>240</v>
      </c>
      <c r="K940" t="s">
        <v>106</v>
      </c>
      <c r="L940" t="s">
        <v>1225</v>
      </c>
      <c r="M940" t="s">
        <v>1251</v>
      </c>
      <c r="N940">
        <v>1</v>
      </c>
      <c r="O940">
        <v>2022</v>
      </c>
      <c r="P940">
        <v>3706.851587070666</v>
      </c>
      <c r="Q940">
        <v>17.168943682756151</v>
      </c>
      <c r="R940" t="s">
        <v>109</v>
      </c>
      <c r="S940">
        <v>215.90446422127229</v>
      </c>
      <c r="T940">
        <v>0.99</v>
      </c>
      <c r="U940" t="s">
        <v>227</v>
      </c>
      <c r="V940">
        <v>0.99</v>
      </c>
      <c r="W940">
        <v>16</v>
      </c>
      <c r="X940">
        <v>27</v>
      </c>
      <c r="Y940">
        <v>22</v>
      </c>
      <c r="Z940">
        <v>9.1249964693936397E-2</v>
      </c>
      <c r="AA940">
        <v>31.536000000000001</v>
      </c>
    </row>
    <row r="941" spans="1:27" x14ac:dyDescent="0.25">
      <c r="A941" t="s">
        <v>98</v>
      </c>
      <c r="B941" t="s">
        <v>519</v>
      </c>
      <c r="C941" t="s">
        <v>1028</v>
      </c>
      <c r="D941" t="s">
        <v>101</v>
      </c>
      <c r="E941" t="s">
        <v>179</v>
      </c>
      <c r="F941" t="s">
        <v>224</v>
      </c>
      <c r="G941" t="s">
        <v>103</v>
      </c>
      <c r="H941" t="s">
        <v>104</v>
      </c>
      <c r="I941">
        <v>2016</v>
      </c>
      <c r="J941" t="s">
        <v>242</v>
      </c>
      <c r="K941" t="s">
        <v>106</v>
      </c>
      <c r="L941" t="s">
        <v>1225</v>
      </c>
      <c r="M941" t="s">
        <v>1252</v>
      </c>
      <c r="N941">
        <v>1</v>
      </c>
      <c r="O941">
        <v>2020</v>
      </c>
      <c r="P941">
        <v>8748.901360931588</v>
      </c>
      <c r="Q941">
        <v>17.168943682756151</v>
      </c>
      <c r="R941" t="s">
        <v>109</v>
      </c>
      <c r="S941">
        <v>509.57714828540429</v>
      </c>
      <c r="T941">
        <v>0.82</v>
      </c>
      <c r="U941" t="s">
        <v>227</v>
      </c>
      <c r="V941">
        <v>0.82</v>
      </c>
      <c r="W941">
        <v>20</v>
      </c>
      <c r="X941">
        <v>30</v>
      </c>
      <c r="Y941">
        <v>26</v>
      </c>
      <c r="Z941">
        <v>9.1249964693936397E-2</v>
      </c>
      <c r="AA941">
        <v>31.536000000000001</v>
      </c>
    </row>
    <row r="942" spans="1:27" x14ac:dyDescent="0.25">
      <c r="A942" t="s">
        <v>98</v>
      </c>
      <c r="B942" t="s">
        <v>519</v>
      </c>
      <c r="C942" t="s">
        <v>1028</v>
      </c>
      <c r="D942" t="s">
        <v>101</v>
      </c>
      <c r="E942" t="s">
        <v>179</v>
      </c>
      <c r="F942" t="s">
        <v>224</v>
      </c>
      <c r="G942" t="s">
        <v>103</v>
      </c>
      <c r="H942" t="s">
        <v>104</v>
      </c>
      <c r="I942">
        <v>2021</v>
      </c>
      <c r="J942" t="s">
        <v>244</v>
      </c>
      <c r="K942" t="s">
        <v>106</v>
      </c>
      <c r="L942" t="s">
        <v>1225</v>
      </c>
      <c r="M942" t="s">
        <v>1253</v>
      </c>
      <c r="N942">
        <v>1</v>
      </c>
      <c r="O942">
        <v>2021</v>
      </c>
      <c r="P942">
        <v>8962.2891990030894</v>
      </c>
      <c r="Q942">
        <v>17.168943682756151</v>
      </c>
      <c r="R942" t="s">
        <v>109</v>
      </c>
      <c r="S942">
        <v>522.00585921919458</v>
      </c>
      <c r="T942">
        <v>0.84</v>
      </c>
      <c r="U942" t="s">
        <v>227</v>
      </c>
      <c r="V942">
        <v>0.84</v>
      </c>
      <c r="W942">
        <v>20</v>
      </c>
      <c r="X942">
        <v>30</v>
      </c>
      <c r="Y942">
        <v>26</v>
      </c>
      <c r="Z942">
        <v>9.1249964693936397E-2</v>
      </c>
      <c r="AA942">
        <v>31.536000000000001</v>
      </c>
    </row>
    <row r="943" spans="1:27" x14ac:dyDescent="0.25">
      <c r="A943" t="s">
        <v>98</v>
      </c>
      <c r="B943" t="s">
        <v>519</v>
      </c>
      <c r="C943" t="s">
        <v>1028</v>
      </c>
      <c r="D943" t="s">
        <v>101</v>
      </c>
      <c r="E943" t="s">
        <v>179</v>
      </c>
      <c r="F943" t="s">
        <v>224</v>
      </c>
      <c r="G943" t="s">
        <v>111</v>
      </c>
      <c r="H943" t="s">
        <v>104</v>
      </c>
      <c r="I943">
        <v>2016</v>
      </c>
      <c r="J943" t="s">
        <v>246</v>
      </c>
      <c r="K943" t="s">
        <v>106</v>
      </c>
      <c r="L943" t="s">
        <v>1225</v>
      </c>
      <c r="M943" t="s">
        <v>1254</v>
      </c>
      <c r="N943">
        <v>0</v>
      </c>
      <c r="O943">
        <v>2020</v>
      </c>
      <c r="P943">
        <v>8748.901360931588</v>
      </c>
      <c r="Q943">
        <v>17.168943682756151</v>
      </c>
      <c r="R943" t="s">
        <v>109</v>
      </c>
      <c r="S943">
        <v>509.57714828540429</v>
      </c>
      <c r="T943">
        <v>0.82</v>
      </c>
      <c r="U943" t="s">
        <v>227</v>
      </c>
      <c r="V943">
        <v>0.82</v>
      </c>
      <c r="W943">
        <v>20</v>
      </c>
      <c r="X943">
        <v>30</v>
      </c>
      <c r="Y943">
        <v>26</v>
      </c>
      <c r="Z943">
        <v>9.1249964693936397E-2</v>
      </c>
      <c r="AA943">
        <v>31.536000000000001</v>
      </c>
    </row>
    <row r="944" spans="1:27" x14ac:dyDescent="0.25">
      <c r="A944" t="s">
        <v>98</v>
      </c>
      <c r="B944" t="s">
        <v>519</v>
      </c>
      <c r="C944" t="s">
        <v>1028</v>
      </c>
      <c r="D944" t="s">
        <v>101</v>
      </c>
      <c r="E944" t="s">
        <v>179</v>
      </c>
      <c r="F944" t="s">
        <v>224</v>
      </c>
      <c r="G944" t="s">
        <v>111</v>
      </c>
      <c r="H944" t="s">
        <v>104</v>
      </c>
      <c r="I944">
        <v>2020</v>
      </c>
      <c r="J944" t="s">
        <v>248</v>
      </c>
      <c r="K944" t="s">
        <v>106</v>
      </c>
      <c r="L944" t="s">
        <v>1225</v>
      </c>
      <c r="M944" t="s">
        <v>1254</v>
      </c>
      <c r="N944">
        <v>1</v>
      </c>
      <c r="O944">
        <v>2020</v>
      </c>
      <c r="P944">
        <v>9602.4527132175954</v>
      </c>
      <c r="Q944">
        <v>17.168943682756151</v>
      </c>
      <c r="R944" t="s">
        <v>109</v>
      </c>
      <c r="S944">
        <v>559.29199202056566</v>
      </c>
      <c r="T944">
        <v>0.9</v>
      </c>
      <c r="U944" t="s">
        <v>227</v>
      </c>
      <c r="V944">
        <v>0.9</v>
      </c>
      <c r="W944">
        <v>20</v>
      </c>
      <c r="X944">
        <v>30</v>
      </c>
      <c r="Y944">
        <v>26</v>
      </c>
      <c r="Z944">
        <v>9.1249964693936397E-2</v>
      </c>
      <c r="AA944">
        <v>31.536000000000001</v>
      </c>
    </row>
    <row r="945" spans="1:27" x14ac:dyDescent="0.25">
      <c r="A945" t="s">
        <v>98</v>
      </c>
      <c r="B945" t="s">
        <v>519</v>
      </c>
      <c r="C945" t="s">
        <v>1028</v>
      </c>
      <c r="D945" t="s">
        <v>101</v>
      </c>
      <c r="E945" t="s">
        <v>179</v>
      </c>
      <c r="F945" t="s">
        <v>224</v>
      </c>
      <c r="G945" t="s">
        <v>114</v>
      </c>
      <c r="H945" t="s">
        <v>104</v>
      </c>
      <c r="I945">
        <v>2016</v>
      </c>
      <c r="J945" t="s">
        <v>249</v>
      </c>
      <c r="K945" t="s">
        <v>106</v>
      </c>
      <c r="L945" t="s">
        <v>1225</v>
      </c>
      <c r="M945" t="s">
        <v>1255</v>
      </c>
      <c r="N945">
        <v>1</v>
      </c>
      <c r="O945">
        <v>2020</v>
      </c>
      <c r="P945">
        <v>9602.4527132175954</v>
      </c>
      <c r="Q945">
        <v>17.168943682756151</v>
      </c>
      <c r="R945" t="s">
        <v>109</v>
      </c>
      <c r="S945">
        <v>559.29199202056566</v>
      </c>
      <c r="T945">
        <v>0.9</v>
      </c>
      <c r="U945" t="s">
        <v>227</v>
      </c>
      <c r="V945">
        <v>0.9</v>
      </c>
      <c r="W945">
        <v>20</v>
      </c>
      <c r="X945">
        <v>30</v>
      </c>
      <c r="Y945">
        <v>26</v>
      </c>
      <c r="Z945">
        <v>9.1249964693936397E-2</v>
      </c>
      <c r="AA945">
        <v>31.536000000000001</v>
      </c>
    </row>
    <row r="946" spans="1:27" x14ac:dyDescent="0.25">
      <c r="A946" t="s">
        <v>98</v>
      </c>
      <c r="B946" t="s">
        <v>519</v>
      </c>
      <c r="C946" t="s">
        <v>1028</v>
      </c>
      <c r="D946" t="s">
        <v>101</v>
      </c>
      <c r="E946" t="s">
        <v>179</v>
      </c>
      <c r="F946" t="s">
        <v>224</v>
      </c>
      <c r="G946" t="s">
        <v>119</v>
      </c>
      <c r="H946" t="s">
        <v>104</v>
      </c>
      <c r="I946">
        <v>2016</v>
      </c>
      <c r="J946" t="s">
        <v>251</v>
      </c>
      <c r="K946" t="s">
        <v>106</v>
      </c>
      <c r="L946" t="s">
        <v>1225</v>
      </c>
      <c r="M946" t="s">
        <v>1256</v>
      </c>
      <c r="N946">
        <v>1</v>
      </c>
      <c r="O946">
        <v>2020</v>
      </c>
      <c r="P946">
        <v>10882.779741646609</v>
      </c>
      <c r="Q946">
        <v>17.168943682756151</v>
      </c>
      <c r="R946" t="s">
        <v>109</v>
      </c>
      <c r="S946">
        <v>633.86425762330771</v>
      </c>
      <c r="T946">
        <v>0.97</v>
      </c>
      <c r="U946" t="s">
        <v>227</v>
      </c>
      <c r="V946">
        <v>0.97</v>
      </c>
      <c r="W946">
        <v>20</v>
      </c>
      <c r="X946">
        <v>30</v>
      </c>
      <c r="Y946">
        <v>26</v>
      </c>
      <c r="Z946">
        <v>9.1249964693936397E-2</v>
      </c>
      <c r="AA946">
        <v>31.536000000000001</v>
      </c>
    </row>
    <row r="947" spans="1:27" x14ac:dyDescent="0.25">
      <c r="A947" t="s">
        <v>98</v>
      </c>
      <c r="B947" t="s">
        <v>519</v>
      </c>
      <c r="C947" t="s">
        <v>1028</v>
      </c>
      <c r="D947" t="s">
        <v>101</v>
      </c>
      <c r="E947" t="s">
        <v>179</v>
      </c>
      <c r="F947" t="s">
        <v>224</v>
      </c>
      <c r="G947" t="s">
        <v>119</v>
      </c>
      <c r="H947" t="s">
        <v>104</v>
      </c>
      <c r="I947">
        <v>2022</v>
      </c>
      <c r="J947" t="s">
        <v>253</v>
      </c>
      <c r="K947" t="s">
        <v>106</v>
      </c>
      <c r="L947" t="s">
        <v>1225</v>
      </c>
      <c r="M947" t="s">
        <v>1257</v>
      </c>
      <c r="N947">
        <v>1</v>
      </c>
      <c r="O947">
        <v>2022</v>
      </c>
      <c r="P947">
        <v>10882.779741646609</v>
      </c>
      <c r="Q947">
        <v>17.168943682756151</v>
      </c>
      <c r="R947" t="s">
        <v>109</v>
      </c>
      <c r="S947">
        <v>633.86425762330771</v>
      </c>
      <c r="T947">
        <v>0.97</v>
      </c>
      <c r="U947" t="s">
        <v>227</v>
      </c>
      <c r="V947">
        <v>0.97</v>
      </c>
      <c r="W947">
        <v>20</v>
      </c>
      <c r="X947">
        <v>30</v>
      </c>
      <c r="Y947">
        <v>26</v>
      </c>
      <c r="Z947">
        <v>9.1249964693936397E-2</v>
      </c>
      <c r="AA947">
        <v>31.536000000000001</v>
      </c>
    </row>
    <row r="948" spans="1:27" x14ac:dyDescent="0.25">
      <c r="A948" t="s">
        <v>98</v>
      </c>
      <c r="B948" t="s">
        <v>519</v>
      </c>
      <c r="C948" t="s">
        <v>1028</v>
      </c>
      <c r="D948" t="s">
        <v>101</v>
      </c>
      <c r="E948" t="s">
        <v>179</v>
      </c>
      <c r="F948" t="s">
        <v>228</v>
      </c>
      <c r="G948" t="s">
        <v>103</v>
      </c>
      <c r="H948" t="s">
        <v>255</v>
      </c>
      <c r="I948">
        <v>2016</v>
      </c>
      <c r="J948" t="s">
        <v>256</v>
      </c>
      <c r="K948" t="s">
        <v>257</v>
      </c>
      <c r="L948" t="s">
        <v>1225</v>
      </c>
      <c r="M948" t="s">
        <v>1258</v>
      </c>
      <c r="N948">
        <v>1</v>
      </c>
      <c r="O948">
        <v>2020</v>
      </c>
      <c r="P948">
        <v>5029.8561831139787</v>
      </c>
      <c r="Q948">
        <v>17.168943682756151</v>
      </c>
      <c r="R948" t="s">
        <v>109</v>
      </c>
      <c r="S948">
        <v>292.96247201077239</v>
      </c>
      <c r="T948">
        <v>0.83</v>
      </c>
      <c r="U948" t="s">
        <v>227</v>
      </c>
      <c r="V948">
        <v>0.83</v>
      </c>
      <c r="W948">
        <v>19.7</v>
      </c>
      <c r="X948">
        <v>33.1</v>
      </c>
      <c r="Y948">
        <v>27</v>
      </c>
      <c r="Z948">
        <v>9.1249964693936397E-2</v>
      </c>
      <c r="AA948">
        <v>31.536000000000001</v>
      </c>
    </row>
    <row r="949" spans="1:27" x14ac:dyDescent="0.25">
      <c r="A949" t="s">
        <v>98</v>
      </c>
      <c r="B949" t="s">
        <v>519</v>
      </c>
      <c r="C949" t="s">
        <v>1028</v>
      </c>
      <c r="D949" t="s">
        <v>101</v>
      </c>
      <c r="E949" t="s">
        <v>179</v>
      </c>
      <c r="F949" t="s">
        <v>228</v>
      </c>
      <c r="G949" t="s">
        <v>111</v>
      </c>
      <c r="H949" t="s">
        <v>255</v>
      </c>
      <c r="I949">
        <v>2016</v>
      </c>
      <c r="J949" t="s">
        <v>259</v>
      </c>
      <c r="K949" t="s">
        <v>257</v>
      </c>
      <c r="L949" t="s">
        <v>1225</v>
      </c>
      <c r="M949" t="s">
        <v>1259</v>
      </c>
      <c r="N949">
        <v>0</v>
      </c>
      <c r="O949">
        <v>2020</v>
      </c>
      <c r="P949">
        <v>5029.8561831139787</v>
      </c>
      <c r="Q949">
        <v>17.168943682756151</v>
      </c>
      <c r="R949" t="s">
        <v>109</v>
      </c>
      <c r="S949">
        <v>292.96247201077239</v>
      </c>
      <c r="T949">
        <v>0.83</v>
      </c>
      <c r="U949" t="s">
        <v>227</v>
      </c>
      <c r="V949">
        <v>0.83</v>
      </c>
      <c r="W949">
        <v>19.7</v>
      </c>
      <c r="X949">
        <v>33.1</v>
      </c>
      <c r="Y949">
        <v>27</v>
      </c>
      <c r="Z949">
        <v>9.1249964693936397E-2</v>
      </c>
      <c r="AA949">
        <v>31.536000000000001</v>
      </c>
    </row>
    <row r="950" spans="1:27" x14ac:dyDescent="0.25">
      <c r="A950" t="s">
        <v>98</v>
      </c>
      <c r="B950" t="s">
        <v>519</v>
      </c>
      <c r="C950" t="s">
        <v>1028</v>
      </c>
      <c r="D950" t="s">
        <v>101</v>
      </c>
      <c r="E950" t="s">
        <v>179</v>
      </c>
      <c r="F950" t="s">
        <v>228</v>
      </c>
      <c r="G950" t="s">
        <v>111</v>
      </c>
      <c r="H950" t="s">
        <v>255</v>
      </c>
      <c r="I950">
        <v>2020</v>
      </c>
      <c r="J950" t="s">
        <v>261</v>
      </c>
      <c r="K950" t="s">
        <v>257</v>
      </c>
      <c r="L950" t="s">
        <v>1225</v>
      </c>
      <c r="M950" t="s">
        <v>1259</v>
      </c>
      <c r="N950">
        <v>1</v>
      </c>
      <c r="O950">
        <v>2020</v>
      </c>
      <c r="P950">
        <v>5151.7920905834089</v>
      </c>
      <c r="Q950">
        <v>17.168943682756151</v>
      </c>
      <c r="R950" t="s">
        <v>109</v>
      </c>
      <c r="S950">
        <v>300.06459254436697</v>
      </c>
      <c r="T950">
        <v>0.84</v>
      </c>
      <c r="U950" t="s">
        <v>227</v>
      </c>
      <c r="V950">
        <v>0.84</v>
      </c>
      <c r="W950">
        <v>19.7</v>
      </c>
      <c r="X950">
        <v>33.1</v>
      </c>
      <c r="Y950">
        <v>27</v>
      </c>
      <c r="Z950">
        <v>9.1249964693936397E-2</v>
      </c>
      <c r="AA950">
        <v>31.536000000000001</v>
      </c>
    </row>
    <row r="951" spans="1:27" x14ac:dyDescent="0.25">
      <c r="A951" t="s">
        <v>98</v>
      </c>
      <c r="B951" t="s">
        <v>519</v>
      </c>
      <c r="C951" t="s">
        <v>1028</v>
      </c>
      <c r="D951" t="s">
        <v>101</v>
      </c>
      <c r="E951" t="s">
        <v>179</v>
      </c>
      <c r="F951" t="s">
        <v>228</v>
      </c>
      <c r="G951" t="s">
        <v>114</v>
      </c>
      <c r="H951" t="s">
        <v>255</v>
      </c>
      <c r="I951">
        <v>2016</v>
      </c>
      <c r="J951" t="s">
        <v>262</v>
      </c>
      <c r="K951" t="s">
        <v>257</v>
      </c>
      <c r="L951" t="s">
        <v>1225</v>
      </c>
      <c r="M951" t="s">
        <v>1260</v>
      </c>
      <c r="N951">
        <v>1</v>
      </c>
      <c r="O951">
        <v>2020</v>
      </c>
      <c r="P951">
        <v>5304.2119749201956</v>
      </c>
      <c r="Q951">
        <v>17.168943682756151</v>
      </c>
      <c r="R951" t="s">
        <v>109</v>
      </c>
      <c r="S951">
        <v>308.94224321136011</v>
      </c>
      <c r="T951">
        <v>0.85</v>
      </c>
      <c r="U951" t="s">
        <v>227</v>
      </c>
      <c r="V951">
        <v>0.85</v>
      </c>
      <c r="W951">
        <v>19.7</v>
      </c>
      <c r="X951">
        <v>33.1</v>
      </c>
      <c r="Y951">
        <v>27</v>
      </c>
      <c r="Z951">
        <v>9.1249964693936397E-2</v>
      </c>
      <c r="AA951">
        <v>31.536000000000001</v>
      </c>
    </row>
    <row r="952" spans="1:27" x14ac:dyDescent="0.25">
      <c r="A952" t="s">
        <v>98</v>
      </c>
      <c r="B952" t="s">
        <v>519</v>
      </c>
      <c r="C952" t="s">
        <v>1028</v>
      </c>
      <c r="D952" t="s">
        <v>101</v>
      </c>
      <c r="E952" t="s">
        <v>179</v>
      </c>
      <c r="F952" t="s">
        <v>228</v>
      </c>
      <c r="G952" t="s">
        <v>119</v>
      </c>
      <c r="H952" t="s">
        <v>255</v>
      </c>
      <c r="I952">
        <v>2016</v>
      </c>
      <c r="J952" t="s">
        <v>264</v>
      </c>
      <c r="K952" t="s">
        <v>257</v>
      </c>
      <c r="L952" t="s">
        <v>1225</v>
      </c>
      <c r="M952" t="s">
        <v>1261</v>
      </c>
      <c r="N952">
        <v>0</v>
      </c>
      <c r="O952">
        <v>2020</v>
      </c>
      <c r="P952">
        <v>7864.8660317782214</v>
      </c>
      <c r="Q952">
        <v>17.168943682756151</v>
      </c>
      <c r="R952" t="s">
        <v>109</v>
      </c>
      <c r="S952">
        <v>458.08677441684432</v>
      </c>
      <c r="T952">
        <v>0.97</v>
      </c>
      <c r="U952" t="s">
        <v>227</v>
      </c>
      <c r="V952">
        <v>0.97</v>
      </c>
      <c r="W952">
        <v>19.7</v>
      </c>
      <c r="X952">
        <v>33.1</v>
      </c>
      <c r="Y952">
        <v>27</v>
      </c>
      <c r="Z952">
        <v>9.1249964693936397E-2</v>
      </c>
      <c r="AA952">
        <v>31.536000000000001</v>
      </c>
    </row>
    <row r="953" spans="1:27" x14ac:dyDescent="0.25">
      <c r="A953" t="s">
        <v>98</v>
      </c>
      <c r="B953" t="s">
        <v>519</v>
      </c>
      <c r="C953" t="s">
        <v>1028</v>
      </c>
      <c r="D953" t="s">
        <v>101</v>
      </c>
      <c r="E953" t="s">
        <v>179</v>
      </c>
      <c r="F953" t="s">
        <v>228</v>
      </c>
      <c r="G953" t="s">
        <v>119</v>
      </c>
      <c r="H953" t="s">
        <v>255</v>
      </c>
      <c r="I953">
        <v>2020</v>
      </c>
      <c r="J953" t="s">
        <v>266</v>
      </c>
      <c r="K953" t="s">
        <v>257</v>
      </c>
      <c r="L953" t="s">
        <v>1225</v>
      </c>
      <c r="M953" t="s">
        <v>1261</v>
      </c>
      <c r="N953">
        <v>1</v>
      </c>
      <c r="O953">
        <v>2020</v>
      </c>
      <c r="P953">
        <v>7864.8660317782214</v>
      </c>
      <c r="Q953">
        <v>17.168943682756151</v>
      </c>
      <c r="R953" t="s">
        <v>109</v>
      </c>
      <c r="S953">
        <v>458.08677441684432</v>
      </c>
      <c r="T953">
        <v>0.97</v>
      </c>
      <c r="U953" t="s">
        <v>227</v>
      </c>
      <c r="V953">
        <v>0.97</v>
      </c>
      <c r="W953">
        <v>19.7</v>
      </c>
      <c r="X953">
        <v>33.1</v>
      </c>
      <c r="Y953">
        <v>27</v>
      </c>
      <c r="Z953">
        <v>9.1249964693936397E-2</v>
      </c>
      <c r="AA953">
        <v>31.536000000000001</v>
      </c>
    </row>
    <row r="954" spans="1:27" x14ac:dyDescent="0.25">
      <c r="A954" t="s">
        <v>98</v>
      </c>
      <c r="B954" t="s">
        <v>519</v>
      </c>
      <c r="C954" t="s">
        <v>1028</v>
      </c>
      <c r="D954" t="s">
        <v>101</v>
      </c>
      <c r="E954" t="s">
        <v>179</v>
      </c>
      <c r="F954" t="s">
        <v>228</v>
      </c>
      <c r="G954" t="s">
        <v>103</v>
      </c>
      <c r="H954" t="s">
        <v>156</v>
      </c>
      <c r="I954">
        <v>2016</v>
      </c>
      <c r="J954" t="s">
        <v>267</v>
      </c>
      <c r="K954" t="s">
        <v>158</v>
      </c>
      <c r="L954" t="s">
        <v>1225</v>
      </c>
      <c r="M954" t="s">
        <v>1262</v>
      </c>
      <c r="N954">
        <v>1</v>
      </c>
      <c r="O954">
        <v>2020</v>
      </c>
      <c r="P954">
        <v>2499.6861031233111</v>
      </c>
      <c r="Q954">
        <v>17.168943682756151</v>
      </c>
      <c r="R954" t="s">
        <v>109</v>
      </c>
      <c r="S954">
        <v>145.59347093868689</v>
      </c>
      <c r="T954">
        <v>0.8</v>
      </c>
      <c r="U954" t="s">
        <v>227</v>
      </c>
      <c r="V954">
        <v>0.8</v>
      </c>
      <c r="W954">
        <v>16</v>
      </c>
      <c r="X954">
        <v>27</v>
      </c>
      <c r="Y954">
        <v>22</v>
      </c>
      <c r="Z954">
        <v>9.1249964693936397E-2</v>
      </c>
      <c r="AA954">
        <v>31.536000000000001</v>
      </c>
    </row>
    <row r="955" spans="1:27" x14ac:dyDescent="0.25">
      <c r="A955" t="s">
        <v>98</v>
      </c>
      <c r="B955" t="s">
        <v>519</v>
      </c>
      <c r="C955" t="s">
        <v>1028</v>
      </c>
      <c r="D955" t="s">
        <v>101</v>
      </c>
      <c r="E955" t="s">
        <v>179</v>
      </c>
      <c r="F955" t="s">
        <v>228</v>
      </c>
      <c r="G955" t="s">
        <v>111</v>
      </c>
      <c r="H955" t="s">
        <v>156</v>
      </c>
      <c r="I955">
        <v>2016</v>
      </c>
      <c r="J955" t="s">
        <v>269</v>
      </c>
      <c r="K955" t="s">
        <v>158</v>
      </c>
      <c r="L955" t="s">
        <v>1225</v>
      </c>
      <c r="M955" t="s">
        <v>1263</v>
      </c>
      <c r="N955">
        <v>0</v>
      </c>
      <c r="O955">
        <v>2020</v>
      </c>
      <c r="P955">
        <v>3182.5271849521182</v>
      </c>
      <c r="Q955">
        <v>17.168943682756151</v>
      </c>
      <c r="R955" t="s">
        <v>109</v>
      </c>
      <c r="S955">
        <v>185.36534592681599</v>
      </c>
      <c r="T955">
        <v>0.92</v>
      </c>
      <c r="U955" t="s">
        <v>227</v>
      </c>
      <c r="V955">
        <v>0.92</v>
      </c>
      <c r="W955">
        <v>16</v>
      </c>
      <c r="X955">
        <v>27</v>
      </c>
      <c r="Y955">
        <v>22</v>
      </c>
      <c r="Z955">
        <v>9.1249964693936397E-2</v>
      </c>
      <c r="AA955">
        <v>31.536000000000001</v>
      </c>
    </row>
    <row r="956" spans="1:27" x14ac:dyDescent="0.25">
      <c r="A956" t="s">
        <v>98</v>
      </c>
      <c r="B956" t="s">
        <v>519</v>
      </c>
      <c r="C956" t="s">
        <v>1028</v>
      </c>
      <c r="D956" t="s">
        <v>101</v>
      </c>
      <c r="E956" t="s">
        <v>179</v>
      </c>
      <c r="F956" t="s">
        <v>228</v>
      </c>
      <c r="G956" t="s">
        <v>111</v>
      </c>
      <c r="H956" t="s">
        <v>156</v>
      </c>
      <c r="I956">
        <v>2020</v>
      </c>
      <c r="J956" t="s">
        <v>271</v>
      </c>
      <c r="K956" t="s">
        <v>158</v>
      </c>
      <c r="L956" t="s">
        <v>1225</v>
      </c>
      <c r="M956" t="s">
        <v>1263</v>
      </c>
      <c r="N956">
        <v>1</v>
      </c>
      <c r="O956">
        <v>2020</v>
      </c>
      <c r="P956">
        <v>3365.4310461562618</v>
      </c>
      <c r="Q956">
        <v>17.168943682756151</v>
      </c>
      <c r="R956" t="s">
        <v>109</v>
      </c>
      <c r="S956">
        <v>196.01852672720781</v>
      </c>
      <c r="T956">
        <v>0.92</v>
      </c>
      <c r="U956" t="s">
        <v>227</v>
      </c>
      <c r="V956">
        <v>0.92</v>
      </c>
      <c r="W956">
        <v>16</v>
      </c>
      <c r="X956">
        <v>27</v>
      </c>
      <c r="Y956">
        <v>22</v>
      </c>
      <c r="Z956">
        <v>9.1249964693936397E-2</v>
      </c>
      <c r="AA956">
        <v>31.536000000000001</v>
      </c>
    </row>
    <row r="957" spans="1:27" x14ac:dyDescent="0.25">
      <c r="A957" t="s">
        <v>98</v>
      </c>
      <c r="B957" t="s">
        <v>519</v>
      </c>
      <c r="C957" t="s">
        <v>1028</v>
      </c>
      <c r="D957" t="s">
        <v>101</v>
      </c>
      <c r="E957" t="s">
        <v>179</v>
      </c>
      <c r="F957" t="s">
        <v>228</v>
      </c>
      <c r="G957" t="s">
        <v>114</v>
      </c>
      <c r="H957" t="s">
        <v>156</v>
      </c>
      <c r="I957">
        <v>2016</v>
      </c>
      <c r="J957" t="s">
        <v>272</v>
      </c>
      <c r="K957" t="s">
        <v>158</v>
      </c>
      <c r="L957" t="s">
        <v>1225</v>
      </c>
      <c r="M957" t="s">
        <v>1264</v>
      </c>
      <c r="N957">
        <v>1</v>
      </c>
      <c r="O957">
        <v>2020</v>
      </c>
      <c r="P957">
        <v>3341.043864662377</v>
      </c>
      <c r="Q957">
        <v>17.168943682756151</v>
      </c>
      <c r="R957" t="s">
        <v>109</v>
      </c>
      <c r="S957">
        <v>194.5981026204889</v>
      </c>
      <c r="T957">
        <v>0.95</v>
      </c>
      <c r="U957" t="s">
        <v>227</v>
      </c>
      <c r="V957">
        <v>0.95</v>
      </c>
      <c r="W957">
        <v>16</v>
      </c>
      <c r="X957">
        <v>27</v>
      </c>
      <c r="Y957">
        <v>22</v>
      </c>
      <c r="Z957">
        <v>9.1249964693936397E-2</v>
      </c>
      <c r="AA957">
        <v>31.536000000000001</v>
      </c>
    </row>
    <row r="958" spans="1:27" x14ac:dyDescent="0.25">
      <c r="A958" t="s">
        <v>98</v>
      </c>
      <c r="B958" t="s">
        <v>519</v>
      </c>
      <c r="C958" t="s">
        <v>1028</v>
      </c>
      <c r="D958" t="s">
        <v>101</v>
      </c>
      <c r="E958" t="s">
        <v>179</v>
      </c>
      <c r="F958" t="s">
        <v>228</v>
      </c>
      <c r="G958" t="s">
        <v>114</v>
      </c>
      <c r="H958" t="s">
        <v>156</v>
      </c>
      <c r="I958">
        <v>2022</v>
      </c>
      <c r="J958" t="s">
        <v>274</v>
      </c>
      <c r="K958" t="s">
        <v>158</v>
      </c>
      <c r="L958" t="s">
        <v>1225</v>
      </c>
      <c r="M958" t="s">
        <v>1265</v>
      </c>
      <c r="N958">
        <v>1</v>
      </c>
      <c r="O958">
        <v>2022</v>
      </c>
      <c r="P958">
        <v>3341.043864662377</v>
      </c>
      <c r="Q958">
        <v>17.168943682756151</v>
      </c>
      <c r="R958" t="s">
        <v>109</v>
      </c>
      <c r="S958">
        <v>194.5981026204889</v>
      </c>
      <c r="T958">
        <v>0.95</v>
      </c>
      <c r="U958" t="s">
        <v>227</v>
      </c>
      <c r="V958">
        <v>0.95</v>
      </c>
      <c r="W958">
        <v>16</v>
      </c>
      <c r="X958">
        <v>27</v>
      </c>
      <c r="Y958">
        <v>22</v>
      </c>
      <c r="Z958">
        <v>9.1249964693936397E-2</v>
      </c>
      <c r="AA958">
        <v>31.536000000000001</v>
      </c>
    </row>
    <row r="959" spans="1:27" x14ac:dyDescent="0.25">
      <c r="A959" t="s">
        <v>98</v>
      </c>
      <c r="B959" t="s">
        <v>519</v>
      </c>
      <c r="C959" t="s">
        <v>1028</v>
      </c>
      <c r="D959" t="s">
        <v>101</v>
      </c>
      <c r="E959" t="s">
        <v>179</v>
      </c>
      <c r="F959" t="s">
        <v>228</v>
      </c>
      <c r="G959" t="s">
        <v>119</v>
      </c>
      <c r="H959" t="s">
        <v>156</v>
      </c>
      <c r="I959">
        <v>2016</v>
      </c>
      <c r="J959" t="s">
        <v>276</v>
      </c>
      <c r="K959" t="s">
        <v>158</v>
      </c>
      <c r="L959" t="s">
        <v>1225</v>
      </c>
      <c r="M959" t="s">
        <v>1266</v>
      </c>
      <c r="N959">
        <v>1</v>
      </c>
      <c r="O959">
        <v>2020</v>
      </c>
      <c r="P959">
        <v>3706.851587070666</v>
      </c>
      <c r="Q959">
        <v>17.168943682756151</v>
      </c>
      <c r="R959" t="s">
        <v>109</v>
      </c>
      <c r="S959">
        <v>215.90446422127229</v>
      </c>
      <c r="T959">
        <v>0.99</v>
      </c>
      <c r="U959" t="s">
        <v>227</v>
      </c>
      <c r="V959">
        <v>0.99</v>
      </c>
      <c r="W959">
        <v>16</v>
      </c>
      <c r="X959">
        <v>27</v>
      </c>
      <c r="Y959">
        <v>22</v>
      </c>
      <c r="Z959">
        <v>9.1249964693936397E-2</v>
      </c>
      <c r="AA959">
        <v>31.536000000000001</v>
      </c>
    </row>
    <row r="960" spans="1:27" x14ac:dyDescent="0.25">
      <c r="A960" t="s">
        <v>98</v>
      </c>
      <c r="B960" t="s">
        <v>519</v>
      </c>
      <c r="C960" t="s">
        <v>1028</v>
      </c>
      <c r="D960" t="s">
        <v>101</v>
      </c>
      <c r="E960" t="s">
        <v>179</v>
      </c>
      <c r="F960" t="s">
        <v>228</v>
      </c>
      <c r="G960" t="s">
        <v>119</v>
      </c>
      <c r="H960" t="s">
        <v>156</v>
      </c>
      <c r="I960">
        <v>2022</v>
      </c>
      <c r="J960" t="s">
        <v>278</v>
      </c>
      <c r="K960" t="s">
        <v>158</v>
      </c>
      <c r="L960" t="s">
        <v>1225</v>
      </c>
      <c r="M960" t="s">
        <v>1267</v>
      </c>
      <c r="N960">
        <v>1</v>
      </c>
      <c r="O960">
        <v>2022</v>
      </c>
      <c r="P960">
        <v>3706.851587070666</v>
      </c>
      <c r="Q960">
        <v>17.168943682756151</v>
      </c>
      <c r="R960" t="s">
        <v>109</v>
      </c>
      <c r="S960">
        <v>215.90446422127229</v>
      </c>
      <c r="T960">
        <v>0.99</v>
      </c>
      <c r="U960" t="s">
        <v>227</v>
      </c>
      <c r="V960">
        <v>0.99</v>
      </c>
      <c r="W960">
        <v>16</v>
      </c>
      <c r="X960">
        <v>27</v>
      </c>
      <c r="Y960">
        <v>22</v>
      </c>
      <c r="Z960">
        <v>9.1249964693936397E-2</v>
      </c>
      <c r="AA960">
        <v>31.536000000000001</v>
      </c>
    </row>
    <row r="961" spans="1:27" x14ac:dyDescent="0.25">
      <c r="A961" t="s">
        <v>98</v>
      </c>
      <c r="B961" t="s">
        <v>519</v>
      </c>
      <c r="C961" t="s">
        <v>1028</v>
      </c>
      <c r="D961" t="s">
        <v>101</v>
      </c>
      <c r="E961" t="s">
        <v>179</v>
      </c>
      <c r="F961" t="s">
        <v>228</v>
      </c>
      <c r="G961" t="s">
        <v>103</v>
      </c>
      <c r="H961" t="s">
        <v>148</v>
      </c>
      <c r="I961">
        <v>2016</v>
      </c>
      <c r="J961" t="s">
        <v>280</v>
      </c>
      <c r="K961" t="s">
        <v>150</v>
      </c>
      <c r="L961" t="s">
        <v>1225</v>
      </c>
      <c r="M961" t="s">
        <v>1268</v>
      </c>
      <c r="N961">
        <v>1</v>
      </c>
      <c r="O961">
        <v>2020</v>
      </c>
      <c r="P961">
        <v>5029.8561831139787</v>
      </c>
      <c r="Q961">
        <v>17.168943682756151</v>
      </c>
      <c r="R961" t="s">
        <v>109</v>
      </c>
      <c r="S961">
        <v>292.96247201077239</v>
      </c>
      <c r="T961">
        <v>0.83</v>
      </c>
      <c r="U961" t="s">
        <v>227</v>
      </c>
      <c r="V961">
        <v>0.83</v>
      </c>
      <c r="W961">
        <v>19.7</v>
      </c>
      <c r="X961">
        <v>33.1</v>
      </c>
      <c r="Y961">
        <v>27</v>
      </c>
      <c r="Z961">
        <v>9.1249964693936397E-2</v>
      </c>
      <c r="AA961">
        <v>31.536000000000001</v>
      </c>
    </row>
    <row r="962" spans="1:27" x14ac:dyDescent="0.25">
      <c r="A962" t="s">
        <v>98</v>
      </c>
      <c r="B962" t="s">
        <v>519</v>
      </c>
      <c r="C962" t="s">
        <v>1028</v>
      </c>
      <c r="D962" t="s">
        <v>101</v>
      </c>
      <c r="E962" t="s">
        <v>179</v>
      </c>
      <c r="F962" t="s">
        <v>228</v>
      </c>
      <c r="G962" t="s">
        <v>111</v>
      </c>
      <c r="H962" t="s">
        <v>148</v>
      </c>
      <c r="I962">
        <v>2016</v>
      </c>
      <c r="J962" t="s">
        <v>282</v>
      </c>
      <c r="K962" t="s">
        <v>150</v>
      </c>
      <c r="L962" t="s">
        <v>1225</v>
      </c>
      <c r="M962" t="s">
        <v>1269</v>
      </c>
      <c r="N962">
        <v>1</v>
      </c>
      <c r="O962">
        <v>2020</v>
      </c>
      <c r="P962">
        <v>5029.8561831139787</v>
      </c>
      <c r="Q962">
        <v>17.168943682756151</v>
      </c>
      <c r="R962" t="s">
        <v>109</v>
      </c>
      <c r="S962">
        <v>292.96247201077239</v>
      </c>
      <c r="T962">
        <v>0.83</v>
      </c>
      <c r="U962" t="s">
        <v>227</v>
      </c>
      <c r="V962">
        <v>0.83</v>
      </c>
      <c r="W962">
        <v>19.7</v>
      </c>
      <c r="X962">
        <v>33.1</v>
      </c>
      <c r="Y962">
        <v>27</v>
      </c>
      <c r="Z962">
        <v>9.1249964693936397E-2</v>
      </c>
      <c r="AA962">
        <v>31.536000000000001</v>
      </c>
    </row>
    <row r="963" spans="1:27" x14ac:dyDescent="0.25">
      <c r="A963" t="s">
        <v>98</v>
      </c>
      <c r="B963" t="s">
        <v>519</v>
      </c>
      <c r="C963" t="s">
        <v>1028</v>
      </c>
      <c r="D963" t="s">
        <v>101</v>
      </c>
      <c r="E963" t="s">
        <v>179</v>
      </c>
      <c r="F963" t="s">
        <v>228</v>
      </c>
      <c r="G963" t="s">
        <v>111</v>
      </c>
      <c r="H963" t="s">
        <v>148</v>
      </c>
      <c r="I963">
        <v>2022</v>
      </c>
      <c r="J963" t="s">
        <v>284</v>
      </c>
      <c r="K963" t="s">
        <v>150</v>
      </c>
      <c r="L963" t="s">
        <v>1225</v>
      </c>
      <c r="M963" t="s">
        <v>1270</v>
      </c>
      <c r="N963">
        <v>1</v>
      </c>
      <c r="O963">
        <v>2022</v>
      </c>
      <c r="P963">
        <v>5151.7920905834089</v>
      </c>
      <c r="Q963">
        <v>17.168943682756151</v>
      </c>
      <c r="R963" t="s">
        <v>109</v>
      </c>
      <c r="S963">
        <v>300.06459254436697</v>
      </c>
      <c r="T963">
        <v>0.84</v>
      </c>
      <c r="U963" t="s">
        <v>227</v>
      </c>
      <c r="V963">
        <v>0.84</v>
      </c>
      <c r="W963">
        <v>19.7</v>
      </c>
      <c r="X963">
        <v>33.1</v>
      </c>
      <c r="Y963">
        <v>27</v>
      </c>
      <c r="Z963">
        <v>9.1249964693936397E-2</v>
      </c>
      <c r="AA963">
        <v>31.536000000000001</v>
      </c>
    </row>
    <row r="964" spans="1:27" x14ac:dyDescent="0.25">
      <c r="A964" t="s">
        <v>98</v>
      </c>
      <c r="B964" t="s">
        <v>519</v>
      </c>
      <c r="C964" t="s">
        <v>1028</v>
      </c>
      <c r="D964" t="s">
        <v>101</v>
      </c>
      <c r="E964" t="s">
        <v>179</v>
      </c>
      <c r="F964" t="s">
        <v>228</v>
      </c>
      <c r="G964" t="s">
        <v>114</v>
      </c>
      <c r="H964" t="s">
        <v>148</v>
      </c>
      <c r="I964">
        <v>2016</v>
      </c>
      <c r="J964" t="s">
        <v>286</v>
      </c>
      <c r="K964" t="s">
        <v>150</v>
      </c>
      <c r="L964" t="s">
        <v>1225</v>
      </c>
      <c r="M964" t="s">
        <v>1271</v>
      </c>
      <c r="N964">
        <v>1</v>
      </c>
      <c r="O964">
        <v>2020</v>
      </c>
      <c r="P964">
        <v>5304.2119749201956</v>
      </c>
      <c r="Q964">
        <v>17.168943682756151</v>
      </c>
      <c r="R964" t="s">
        <v>109</v>
      </c>
      <c r="S964">
        <v>308.94224321136011</v>
      </c>
      <c r="T964">
        <v>0.85</v>
      </c>
      <c r="U964" t="s">
        <v>227</v>
      </c>
      <c r="V964">
        <v>0.85</v>
      </c>
      <c r="W964">
        <v>19.7</v>
      </c>
      <c r="X964">
        <v>33.1</v>
      </c>
      <c r="Y964">
        <v>27</v>
      </c>
      <c r="Z964">
        <v>9.1249964693936397E-2</v>
      </c>
      <c r="AA964">
        <v>31.536000000000001</v>
      </c>
    </row>
    <row r="965" spans="1:27" x14ac:dyDescent="0.25">
      <c r="A965" t="s">
        <v>98</v>
      </c>
      <c r="B965" t="s">
        <v>519</v>
      </c>
      <c r="C965" t="s">
        <v>1028</v>
      </c>
      <c r="D965" t="s">
        <v>101</v>
      </c>
      <c r="E965" t="s">
        <v>179</v>
      </c>
      <c r="F965" t="s">
        <v>228</v>
      </c>
      <c r="G965" t="s">
        <v>119</v>
      </c>
      <c r="H965" t="s">
        <v>148</v>
      </c>
      <c r="I965">
        <v>2016</v>
      </c>
      <c r="J965" t="s">
        <v>288</v>
      </c>
      <c r="K965" t="s">
        <v>150</v>
      </c>
      <c r="L965" t="s">
        <v>1225</v>
      </c>
      <c r="M965" t="s">
        <v>1272</v>
      </c>
      <c r="N965">
        <v>1</v>
      </c>
      <c r="O965">
        <v>2020</v>
      </c>
      <c r="P965">
        <v>7864.8660317782214</v>
      </c>
      <c r="Q965">
        <v>17.168943682756151</v>
      </c>
      <c r="R965" t="s">
        <v>109</v>
      </c>
      <c r="S965">
        <v>458.08677441684432</v>
      </c>
      <c r="T965">
        <v>0.97</v>
      </c>
      <c r="U965" t="s">
        <v>227</v>
      </c>
      <c r="V965">
        <v>0.97</v>
      </c>
      <c r="W965">
        <v>19.7</v>
      </c>
      <c r="X965">
        <v>33.1</v>
      </c>
      <c r="Y965">
        <v>27</v>
      </c>
      <c r="Z965">
        <v>9.1249964693936397E-2</v>
      </c>
      <c r="AA965">
        <v>31.536000000000001</v>
      </c>
    </row>
    <row r="966" spans="1:27" x14ac:dyDescent="0.25">
      <c r="A966" t="s">
        <v>98</v>
      </c>
      <c r="B966" t="s">
        <v>519</v>
      </c>
      <c r="C966" t="s">
        <v>1028</v>
      </c>
      <c r="D966" t="s">
        <v>101</v>
      </c>
      <c r="E966" t="s">
        <v>179</v>
      </c>
      <c r="F966" t="s">
        <v>228</v>
      </c>
      <c r="G966" t="s">
        <v>119</v>
      </c>
      <c r="H966" t="s">
        <v>148</v>
      </c>
      <c r="I966">
        <v>2022</v>
      </c>
      <c r="J966" t="s">
        <v>290</v>
      </c>
      <c r="K966" t="s">
        <v>150</v>
      </c>
      <c r="L966" t="s">
        <v>1225</v>
      </c>
      <c r="M966" t="s">
        <v>1273</v>
      </c>
      <c r="N966">
        <v>1</v>
      </c>
      <c r="O966">
        <v>2022</v>
      </c>
      <c r="P966">
        <v>7864.8660317782214</v>
      </c>
      <c r="Q966">
        <v>17.168943682756151</v>
      </c>
      <c r="R966" t="s">
        <v>109</v>
      </c>
      <c r="S966">
        <v>458.08677441684432</v>
      </c>
      <c r="T966">
        <v>0.97</v>
      </c>
      <c r="U966" t="s">
        <v>227</v>
      </c>
      <c r="V966">
        <v>0.97</v>
      </c>
      <c r="W966">
        <v>19.7</v>
      </c>
      <c r="X966">
        <v>33.1</v>
      </c>
      <c r="Y966">
        <v>27</v>
      </c>
      <c r="Z966">
        <v>9.1249964693936397E-2</v>
      </c>
      <c r="AA966">
        <v>31.536000000000001</v>
      </c>
    </row>
    <row r="967" spans="1:27" x14ac:dyDescent="0.25">
      <c r="A967" t="s">
        <v>98</v>
      </c>
      <c r="B967" t="s">
        <v>519</v>
      </c>
      <c r="C967" t="s">
        <v>1028</v>
      </c>
      <c r="D967" t="s">
        <v>101</v>
      </c>
      <c r="E967" t="s">
        <v>179</v>
      </c>
      <c r="F967" t="s">
        <v>224</v>
      </c>
      <c r="G967" t="s">
        <v>103</v>
      </c>
      <c r="H967" t="s">
        <v>148</v>
      </c>
      <c r="I967">
        <v>2016</v>
      </c>
      <c r="J967" t="s">
        <v>292</v>
      </c>
      <c r="K967" t="s">
        <v>150</v>
      </c>
      <c r="L967" t="s">
        <v>1225</v>
      </c>
      <c r="M967" t="s">
        <v>1274</v>
      </c>
      <c r="N967">
        <v>1</v>
      </c>
      <c r="O967">
        <v>2020</v>
      </c>
      <c r="P967">
        <v>11126.65155658547</v>
      </c>
      <c r="Q967">
        <v>17.168943682756151</v>
      </c>
      <c r="R967" t="s">
        <v>109</v>
      </c>
      <c r="S967">
        <v>648.06849869049665</v>
      </c>
      <c r="T967">
        <v>0.84</v>
      </c>
      <c r="U967" t="s">
        <v>227</v>
      </c>
      <c r="V967">
        <v>0.84</v>
      </c>
      <c r="W967">
        <v>18</v>
      </c>
      <c r="X967">
        <v>28</v>
      </c>
      <c r="Y967">
        <v>24</v>
      </c>
      <c r="Z967">
        <v>9.1249964693936397E-2</v>
      </c>
      <c r="AA967">
        <v>31.536000000000001</v>
      </c>
    </row>
    <row r="968" spans="1:27" x14ac:dyDescent="0.25">
      <c r="A968" t="s">
        <v>98</v>
      </c>
      <c r="B968" t="s">
        <v>519</v>
      </c>
      <c r="C968" t="s">
        <v>1028</v>
      </c>
      <c r="D968" t="s">
        <v>101</v>
      </c>
      <c r="E968" t="s">
        <v>179</v>
      </c>
      <c r="F968" t="s">
        <v>224</v>
      </c>
      <c r="G968" t="s">
        <v>103</v>
      </c>
      <c r="H968" t="s">
        <v>148</v>
      </c>
      <c r="I968">
        <v>2022</v>
      </c>
      <c r="J968" t="s">
        <v>294</v>
      </c>
      <c r="K968" t="s">
        <v>150</v>
      </c>
      <c r="L968" t="s">
        <v>1225</v>
      </c>
      <c r="M968" t="s">
        <v>1275</v>
      </c>
      <c r="N968">
        <v>1</v>
      </c>
      <c r="O968">
        <v>2022</v>
      </c>
      <c r="P968">
        <v>11492.45927899376</v>
      </c>
      <c r="Q968">
        <v>17.168943682756151</v>
      </c>
      <c r="R968" t="s">
        <v>109</v>
      </c>
      <c r="S968">
        <v>669.37486029128013</v>
      </c>
      <c r="T968">
        <v>0.86</v>
      </c>
      <c r="U968" t="s">
        <v>227</v>
      </c>
      <c r="V968">
        <v>0.86</v>
      </c>
      <c r="W968">
        <v>18</v>
      </c>
      <c r="X968">
        <v>28</v>
      </c>
      <c r="Y968">
        <v>24</v>
      </c>
      <c r="Z968">
        <v>9.1249964693936397E-2</v>
      </c>
      <c r="AA968">
        <v>31.536000000000001</v>
      </c>
    </row>
    <row r="969" spans="1:27" x14ac:dyDescent="0.25">
      <c r="A969" t="s">
        <v>98</v>
      </c>
      <c r="B969" t="s">
        <v>519</v>
      </c>
      <c r="C969" t="s">
        <v>1028</v>
      </c>
      <c r="D969" t="s">
        <v>101</v>
      </c>
      <c r="E969" t="s">
        <v>179</v>
      </c>
      <c r="F969" t="s">
        <v>224</v>
      </c>
      <c r="G969" t="s">
        <v>111</v>
      </c>
      <c r="H969" t="s">
        <v>148</v>
      </c>
      <c r="I969">
        <v>2016</v>
      </c>
      <c r="J969" t="s">
        <v>296</v>
      </c>
      <c r="K969" t="s">
        <v>150</v>
      </c>
      <c r="L969" t="s">
        <v>1225</v>
      </c>
      <c r="M969" t="s">
        <v>1276</v>
      </c>
      <c r="N969">
        <v>1</v>
      </c>
      <c r="O969">
        <v>2020</v>
      </c>
      <c r="P969">
        <v>11126.65155658547</v>
      </c>
      <c r="Q969">
        <v>17.168943682756151</v>
      </c>
      <c r="R969" t="s">
        <v>109</v>
      </c>
      <c r="S969">
        <v>648.06849869049665</v>
      </c>
      <c r="T969">
        <v>0.84</v>
      </c>
      <c r="U969" t="s">
        <v>227</v>
      </c>
      <c r="V969">
        <v>0.84</v>
      </c>
      <c r="W969">
        <v>18</v>
      </c>
      <c r="X969">
        <v>28</v>
      </c>
      <c r="Y969">
        <v>24</v>
      </c>
      <c r="Z969">
        <v>9.1249964693936397E-2</v>
      </c>
      <c r="AA969">
        <v>31.536000000000001</v>
      </c>
    </row>
    <row r="970" spans="1:27" x14ac:dyDescent="0.25">
      <c r="A970" t="s">
        <v>98</v>
      </c>
      <c r="B970" t="s">
        <v>519</v>
      </c>
      <c r="C970" t="s">
        <v>1028</v>
      </c>
      <c r="D970" t="s">
        <v>101</v>
      </c>
      <c r="E970" t="s">
        <v>179</v>
      </c>
      <c r="F970" t="s">
        <v>224</v>
      </c>
      <c r="G970" t="s">
        <v>111</v>
      </c>
      <c r="H970" t="s">
        <v>148</v>
      </c>
      <c r="I970">
        <v>2022</v>
      </c>
      <c r="J970" t="s">
        <v>298</v>
      </c>
      <c r="K970" t="s">
        <v>150</v>
      </c>
      <c r="L970" t="s">
        <v>1225</v>
      </c>
      <c r="M970" t="s">
        <v>1277</v>
      </c>
      <c r="N970">
        <v>1</v>
      </c>
      <c r="O970">
        <v>2022</v>
      </c>
      <c r="P970">
        <v>11492.45927899376</v>
      </c>
      <c r="Q970">
        <v>17.168943682756151</v>
      </c>
      <c r="R970" t="s">
        <v>109</v>
      </c>
      <c r="S970">
        <v>669.37486029128013</v>
      </c>
      <c r="T970">
        <v>0.86</v>
      </c>
      <c r="U970" t="s">
        <v>227</v>
      </c>
      <c r="V970">
        <v>0.86</v>
      </c>
      <c r="W970">
        <v>18</v>
      </c>
      <c r="X970">
        <v>28</v>
      </c>
      <c r="Y970">
        <v>24</v>
      </c>
      <c r="Z970">
        <v>9.1249964693936397E-2</v>
      </c>
      <c r="AA970">
        <v>31.536000000000001</v>
      </c>
    </row>
    <row r="971" spans="1:27" x14ac:dyDescent="0.25">
      <c r="A971" t="s">
        <v>98</v>
      </c>
      <c r="B971" t="s">
        <v>519</v>
      </c>
      <c r="C971" t="s">
        <v>1028</v>
      </c>
      <c r="D971" t="s">
        <v>101</v>
      </c>
      <c r="E971" t="s">
        <v>179</v>
      </c>
      <c r="F971" t="s">
        <v>224</v>
      </c>
      <c r="G971" t="s">
        <v>114</v>
      </c>
      <c r="H971" t="s">
        <v>148</v>
      </c>
      <c r="I971">
        <v>2016</v>
      </c>
      <c r="J971" t="s">
        <v>300</v>
      </c>
      <c r="K971" t="s">
        <v>150</v>
      </c>
      <c r="L971" t="s">
        <v>1225</v>
      </c>
      <c r="M971" t="s">
        <v>1278</v>
      </c>
      <c r="N971">
        <v>1</v>
      </c>
      <c r="O971">
        <v>2020</v>
      </c>
      <c r="P971">
        <v>11492.45927899376</v>
      </c>
      <c r="Q971">
        <v>17.168943682756151</v>
      </c>
      <c r="R971" t="s">
        <v>109</v>
      </c>
      <c r="S971">
        <v>669.37486029128013</v>
      </c>
      <c r="T971">
        <v>0.87</v>
      </c>
      <c r="U971" t="s">
        <v>227</v>
      </c>
      <c r="V971">
        <v>0.87</v>
      </c>
      <c r="W971">
        <v>18</v>
      </c>
      <c r="X971">
        <v>28</v>
      </c>
      <c r="Y971">
        <v>24</v>
      </c>
      <c r="Z971">
        <v>9.1249964693936397E-2</v>
      </c>
      <c r="AA971">
        <v>31.536000000000001</v>
      </c>
    </row>
    <row r="972" spans="1:27" x14ac:dyDescent="0.25">
      <c r="A972" t="s">
        <v>98</v>
      </c>
      <c r="B972" t="s">
        <v>519</v>
      </c>
      <c r="C972" t="s">
        <v>1028</v>
      </c>
      <c r="D972" t="s">
        <v>101</v>
      </c>
      <c r="E972" t="s">
        <v>179</v>
      </c>
      <c r="F972" t="s">
        <v>224</v>
      </c>
      <c r="G972" t="s">
        <v>119</v>
      </c>
      <c r="H972" t="s">
        <v>148</v>
      </c>
      <c r="I972">
        <v>2016</v>
      </c>
      <c r="J972" t="s">
        <v>302</v>
      </c>
      <c r="K972" t="s">
        <v>150</v>
      </c>
      <c r="L972" t="s">
        <v>1225</v>
      </c>
      <c r="M972" t="s">
        <v>1279</v>
      </c>
      <c r="N972">
        <v>1</v>
      </c>
      <c r="O972">
        <v>2020</v>
      </c>
      <c r="P972">
        <v>13961.66140524971</v>
      </c>
      <c r="Q972">
        <v>17.168943682756151</v>
      </c>
      <c r="R972" t="s">
        <v>109</v>
      </c>
      <c r="S972">
        <v>813.19280109656847</v>
      </c>
      <c r="T972">
        <v>0.9</v>
      </c>
      <c r="U972" t="s">
        <v>227</v>
      </c>
      <c r="V972">
        <v>0.9</v>
      </c>
      <c r="W972">
        <v>18</v>
      </c>
      <c r="X972">
        <v>28</v>
      </c>
      <c r="Y972">
        <v>24</v>
      </c>
      <c r="Z972">
        <v>9.1249964693936397E-2</v>
      </c>
      <c r="AA972">
        <v>31.536000000000001</v>
      </c>
    </row>
    <row r="973" spans="1:27" x14ac:dyDescent="0.25">
      <c r="A973" t="s">
        <v>98</v>
      </c>
      <c r="B973" t="s">
        <v>519</v>
      </c>
      <c r="C973" t="s">
        <v>1028</v>
      </c>
      <c r="D973" t="s">
        <v>101</v>
      </c>
      <c r="E973" t="s">
        <v>304</v>
      </c>
      <c r="F973" t="s">
        <v>180</v>
      </c>
      <c r="G973" t="s">
        <v>111</v>
      </c>
      <c r="H973" t="s">
        <v>104</v>
      </c>
      <c r="I973">
        <v>2016</v>
      </c>
      <c r="J973" t="s">
        <v>305</v>
      </c>
      <c r="K973" t="s">
        <v>106</v>
      </c>
      <c r="L973" t="s">
        <v>1280</v>
      </c>
      <c r="M973" t="s">
        <v>1281</v>
      </c>
      <c r="N973">
        <v>0</v>
      </c>
      <c r="O973">
        <v>2020</v>
      </c>
      <c r="P973">
        <v>8291.641707921226</v>
      </c>
      <c r="Q973">
        <v>5.1641446916145979</v>
      </c>
      <c r="R973" t="s">
        <v>109</v>
      </c>
      <c r="S973">
        <v>1605.617619774476</v>
      </c>
      <c r="T973">
        <v>0.6</v>
      </c>
      <c r="U973" t="s">
        <v>184</v>
      </c>
      <c r="V973">
        <v>0.6</v>
      </c>
      <c r="W973">
        <v>12</v>
      </c>
      <c r="X973">
        <v>18</v>
      </c>
      <c r="Y973">
        <v>16</v>
      </c>
      <c r="Z973">
        <v>5.8273038403982118E-2</v>
      </c>
      <c r="AA973">
        <v>31.536000000000001</v>
      </c>
    </row>
    <row r="974" spans="1:27" x14ac:dyDescent="0.25">
      <c r="A974" t="s">
        <v>98</v>
      </c>
      <c r="B974" t="s">
        <v>519</v>
      </c>
      <c r="C974" t="s">
        <v>1028</v>
      </c>
      <c r="D974" t="s">
        <v>101</v>
      </c>
      <c r="E974" t="s">
        <v>304</v>
      </c>
      <c r="F974" t="s">
        <v>180</v>
      </c>
      <c r="G974" t="s">
        <v>111</v>
      </c>
      <c r="H974" t="s">
        <v>104</v>
      </c>
      <c r="I974">
        <v>2020</v>
      </c>
      <c r="J974" t="s">
        <v>308</v>
      </c>
      <c r="K974" t="s">
        <v>106</v>
      </c>
      <c r="L974" t="s">
        <v>1280</v>
      </c>
      <c r="M974" t="s">
        <v>1281</v>
      </c>
      <c r="N974">
        <v>1</v>
      </c>
      <c r="O974">
        <v>2020</v>
      </c>
      <c r="P974">
        <v>8291.641707921226</v>
      </c>
      <c r="Q974">
        <v>5.1641446916145979</v>
      </c>
      <c r="R974" t="s">
        <v>109</v>
      </c>
      <c r="S974">
        <v>1605.617619774476</v>
      </c>
      <c r="T974">
        <v>0.7</v>
      </c>
      <c r="U974" t="s">
        <v>184</v>
      </c>
      <c r="V974">
        <v>0.7</v>
      </c>
      <c r="W974">
        <v>12</v>
      </c>
      <c r="X974">
        <v>18</v>
      </c>
      <c r="Y974">
        <v>16</v>
      </c>
      <c r="Z974">
        <v>5.8273038403982118E-2</v>
      </c>
      <c r="AA974">
        <v>31.536000000000001</v>
      </c>
    </row>
    <row r="975" spans="1:27" x14ac:dyDescent="0.25">
      <c r="A975" t="s">
        <v>98</v>
      </c>
      <c r="B975" t="s">
        <v>519</v>
      </c>
      <c r="C975" t="s">
        <v>1028</v>
      </c>
      <c r="D975" t="s">
        <v>101</v>
      </c>
      <c r="E975" t="s">
        <v>304</v>
      </c>
      <c r="F975" t="s">
        <v>180</v>
      </c>
      <c r="G975" t="s">
        <v>103</v>
      </c>
      <c r="H975" t="s">
        <v>125</v>
      </c>
      <c r="I975">
        <v>2016</v>
      </c>
      <c r="J975" t="s">
        <v>309</v>
      </c>
      <c r="K975" t="s">
        <v>127</v>
      </c>
      <c r="L975" t="s">
        <v>1280</v>
      </c>
      <c r="M975" t="s">
        <v>1282</v>
      </c>
      <c r="N975">
        <v>1</v>
      </c>
      <c r="O975">
        <v>2020</v>
      </c>
      <c r="P975">
        <v>2956.9457561336731</v>
      </c>
      <c r="Q975">
        <v>5.1641446916145979</v>
      </c>
      <c r="R975" t="s">
        <v>109</v>
      </c>
      <c r="S975">
        <v>572.59157764016243</v>
      </c>
      <c r="T975">
        <v>4.1031652989449006</v>
      </c>
      <c r="U975" t="s">
        <v>184</v>
      </c>
      <c r="V975">
        <v>4.1031652989449006</v>
      </c>
      <c r="W975">
        <v>9</v>
      </c>
      <c r="X975">
        <v>22</v>
      </c>
      <c r="Y975">
        <v>16</v>
      </c>
      <c r="Z975">
        <v>5.8273038403982118E-2</v>
      </c>
      <c r="AA975">
        <v>31.536000000000001</v>
      </c>
    </row>
    <row r="976" spans="1:27" x14ac:dyDescent="0.25">
      <c r="A976" t="s">
        <v>98</v>
      </c>
      <c r="B976" t="s">
        <v>519</v>
      </c>
      <c r="C976" t="s">
        <v>1028</v>
      </c>
      <c r="D976" t="s">
        <v>101</v>
      </c>
      <c r="E976" t="s">
        <v>304</v>
      </c>
      <c r="F976" t="s">
        <v>180</v>
      </c>
      <c r="G976" t="s">
        <v>103</v>
      </c>
      <c r="H976" t="s">
        <v>125</v>
      </c>
      <c r="I976">
        <v>2023</v>
      </c>
      <c r="J976" t="s">
        <v>311</v>
      </c>
      <c r="K976" t="s">
        <v>127</v>
      </c>
      <c r="L976" t="s">
        <v>1280</v>
      </c>
      <c r="M976" t="s">
        <v>1283</v>
      </c>
      <c r="N976">
        <v>1</v>
      </c>
      <c r="O976">
        <v>2023</v>
      </c>
      <c r="P976">
        <v>2956.9457561336731</v>
      </c>
      <c r="Q976">
        <v>5.1641446916145979</v>
      </c>
      <c r="R976" t="s">
        <v>109</v>
      </c>
      <c r="S976">
        <v>572.59157764016243</v>
      </c>
      <c r="T976">
        <v>4.1031652989449006</v>
      </c>
      <c r="U976" t="s">
        <v>184</v>
      </c>
      <c r="V976">
        <v>4.1031652989449006</v>
      </c>
      <c r="W976">
        <v>9</v>
      </c>
      <c r="X976">
        <v>22</v>
      </c>
      <c r="Y976">
        <v>16</v>
      </c>
      <c r="Z976">
        <v>5.8273038403982118E-2</v>
      </c>
      <c r="AA976">
        <v>31.536000000000001</v>
      </c>
    </row>
    <row r="977" spans="1:27" x14ac:dyDescent="0.25">
      <c r="A977" t="s">
        <v>98</v>
      </c>
      <c r="B977" t="s">
        <v>519</v>
      </c>
      <c r="C977" t="s">
        <v>1028</v>
      </c>
      <c r="D977" t="s">
        <v>101</v>
      </c>
      <c r="E977" t="s">
        <v>304</v>
      </c>
      <c r="F977" t="s">
        <v>180</v>
      </c>
      <c r="G977" t="s">
        <v>111</v>
      </c>
      <c r="H977" t="s">
        <v>125</v>
      </c>
      <c r="I977">
        <v>2016</v>
      </c>
      <c r="J977" t="s">
        <v>313</v>
      </c>
      <c r="K977" t="s">
        <v>127</v>
      </c>
      <c r="L977" t="s">
        <v>1280</v>
      </c>
      <c r="M977" t="s">
        <v>1284</v>
      </c>
      <c r="N977">
        <v>1</v>
      </c>
      <c r="O977">
        <v>2020</v>
      </c>
      <c r="P977">
        <v>3109.3656404704602</v>
      </c>
      <c r="Q977">
        <v>5.1641446916145979</v>
      </c>
      <c r="R977" t="s">
        <v>109</v>
      </c>
      <c r="S977">
        <v>602.10660741542847</v>
      </c>
      <c r="T977">
        <v>4.484173505275499</v>
      </c>
      <c r="U977" t="s">
        <v>184</v>
      </c>
      <c r="V977">
        <v>4.484173505275499</v>
      </c>
      <c r="W977">
        <v>9</v>
      </c>
      <c r="X977">
        <v>22</v>
      </c>
      <c r="Y977">
        <v>16</v>
      </c>
      <c r="Z977">
        <v>5.8273038403982118E-2</v>
      </c>
      <c r="AA977">
        <v>31.536000000000001</v>
      </c>
    </row>
    <row r="978" spans="1:27" x14ac:dyDescent="0.25">
      <c r="A978" t="s">
        <v>98</v>
      </c>
      <c r="B978" t="s">
        <v>519</v>
      </c>
      <c r="C978" t="s">
        <v>1028</v>
      </c>
      <c r="D978" t="s">
        <v>101</v>
      </c>
      <c r="E978" t="s">
        <v>304</v>
      </c>
      <c r="F978" t="s">
        <v>180</v>
      </c>
      <c r="G978" t="s">
        <v>111</v>
      </c>
      <c r="H978" t="s">
        <v>125</v>
      </c>
      <c r="I978">
        <v>2023</v>
      </c>
      <c r="J978" t="s">
        <v>315</v>
      </c>
      <c r="K978" t="s">
        <v>127</v>
      </c>
      <c r="L978" t="s">
        <v>1280</v>
      </c>
      <c r="M978" t="s">
        <v>1285</v>
      </c>
      <c r="N978">
        <v>1</v>
      </c>
      <c r="O978">
        <v>2023</v>
      </c>
      <c r="P978">
        <v>3139.8496173378171</v>
      </c>
      <c r="Q978">
        <v>5.1641446916145979</v>
      </c>
      <c r="R978" t="s">
        <v>109</v>
      </c>
      <c r="S978">
        <v>608.0096133704817</v>
      </c>
      <c r="T978">
        <v>4.6307151230949586</v>
      </c>
      <c r="U978" t="s">
        <v>184</v>
      </c>
      <c r="V978">
        <v>4.6307151230949586</v>
      </c>
      <c r="W978">
        <v>9</v>
      </c>
      <c r="X978">
        <v>22</v>
      </c>
      <c r="Y978">
        <v>16</v>
      </c>
      <c r="Z978">
        <v>5.8273038403982118E-2</v>
      </c>
      <c r="AA978">
        <v>31.536000000000001</v>
      </c>
    </row>
    <row r="979" spans="1:27" x14ac:dyDescent="0.25">
      <c r="A979" t="s">
        <v>98</v>
      </c>
      <c r="B979" t="s">
        <v>519</v>
      </c>
      <c r="C979" t="s">
        <v>1028</v>
      </c>
      <c r="D979" t="s">
        <v>101</v>
      </c>
      <c r="E979" t="s">
        <v>304</v>
      </c>
      <c r="F979" t="s">
        <v>180</v>
      </c>
      <c r="G979" t="s">
        <v>114</v>
      </c>
      <c r="H979" t="s">
        <v>125</v>
      </c>
      <c r="I979">
        <v>2016</v>
      </c>
      <c r="J979" t="s">
        <v>317</v>
      </c>
      <c r="K979" t="s">
        <v>127</v>
      </c>
      <c r="L979" t="s">
        <v>1280</v>
      </c>
      <c r="M979" t="s">
        <v>1286</v>
      </c>
      <c r="N979">
        <v>1</v>
      </c>
      <c r="O979">
        <v>2020</v>
      </c>
      <c r="P979">
        <v>3017.9137098683868</v>
      </c>
      <c r="Q979">
        <v>5.1641446916145979</v>
      </c>
      <c r="R979" t="s">
        <v>109</v>
      </c>
      <c r="S979">
        <v>584.39758955026878</v>
      </c>
      <c r="T979">
        <v>4.3962485345838216</v>
      </c>
      <c r="U979" t="s">
        <v>184</v>
      </c>
      <c r="V979">
        <v>4.3962485345838216</v>
      </c>
      <c r="W979">
        <v>9</v>
      </c>
      <c r="X979">
        <v>22</v>
      </c>
      <c r="Y979">
        <v>16</v>
      </c>
      <c r="Z979">
        <v>5.8273038403982118E-2</v>
      </c>
      <c r="AA979">
        <v>31.536000000000001</v>
      </c>
    </row>
    <row r="980" spans="1:27" x14ac:dyDescent="0.25">
      <c r="A980" t="s">
        <v>98</v>
      </c>
      <c r="B980" t="s">
        <v>519</v>
      </c>
      <c r="C980" t="s">
        <v>1028</v>
      </c>
      <c r="D980" t="s">
        <v>101</v>
      </c>
      <c r="E980" t="s">
        <v>304</v>
      </c>
      <c r="F980" t="s">
        <v>180</v>
      </c>
      <c r="G980" t="s">
        <v>114</v>
      </c>
      <c r="H980" t="s">
        <v>125</v>
      </c>
      <c r="I980">
        <v>2022</v>
      </c>
      <c r="J980" t="s">
        <v>319</v>
      </c>
      <c r="K980" t="s">
        <v>127</v>
      </c>
      <c r="L980" t="s">
        <v>1280</v>
      </c>
      <c r="M980" t="s">
        <v>1287</v>
      </c>
      <c r="N980">
        <v>1</v>
      </c>
      <c r="O980">
        <v>2022</v>
      </c>
      <c r="P980">
        <v>3017.9137098683868</v>
      </c>
      <c r="Q980">
        <v>5.1641446916145979</v>
      </c>
      <c r="R980" t="s">
        <v>109</v>
      </c>
      <c r="S980">
        <v>584.39758955026878</v>
      </c>
      <c r="T980">
        <v>4.3962485345838216</v>
      </c>
      <c r="U980" t="s">
        <v>184</v>
      </c>
      <c r="V980">
        <v>4.3962485345838216</v>
      </c>
      <c r="W980">
        <v>9</v>
      </c>
      <c r="X980">
        <v>22</v>
      </c>
      <c r="Y980">
        <v>16</v>
      </c>
      <c r="Z980">
        <v>5.8273038403982118E-2</v>
      </c>
      <c r="AA980">
        <v>31.536000000000001</v>
      </c>
    </row>
    <row r="981" spans="1:27" x14ac:dyDescent="0.25">
      <c r="A981" t="s">
        <v>98</v>
      </c>
      <c r="B981" t="s">
        <v>519</v>
      </c>
      <c r="C981" t="s">
        <v>1028</v>
      </c>
      <c r="D981" t="s">
        <v>101</v>
      </c>
      <c r="E981" t="s">
        <v>304</v>
      </c>
      <c r="F981" t="s">
        <v>180</v>
      </c>
      <c r="G981" t="s">
        <v>114</v>
      </c>
      <c r="H981" t="s">
        <v>125</v>
      </c>
      <c r="I981">
        <v>2023</v>
      </c>
      <c r="J981" t="s">
        <v>321</v>
      </c>
      <c r="K981" t="s">
        <v>127</v>
      </c>
      <c r="L981" t="s">
        <v>1280</v>
      </c>
      <c r="M981" t="s">
        <v>1288</v>
      </c>
      <c r="N981">
        <v>1</v>
      </c>
      <c r="O981">
        <v>2023</v>
      </c>
      <c r="P981">
        <v>3266.447780092843</v>
      </c>
      <c r="Q981">
        <v>5.1641446916145979</v>
      </c>
      <c r="R981" t="s">
        <v>109</v>
      </c>
      <c r="S981">
        <v>632.52444986617331</v>
      </c>
      <c r="T981">
        <v>4.6893317702227444</v>
      </c>
      <c r="U981" t="s">
        <v>184</v>
      </c>
      <c r="V981">
        <v>4.6893317702227444</v>
      </c>
      <c r="W981">
        <v>9</v>
      </c>
      <c r="X981">
        <v>22</v>
      </c>
      <c r="Y981">
        <v>16</v>
      </c>
      <c r="Z981">
        <v>5.8273038403982118E-2</v>
      </c>
      <c r="AA981">
        <v>31.536000000000001</v>
      </c>
    </row>
    <row r="982" spans="1:27" x14ac:dyDescent="0.25">
      <c r="A982" t="s">
        <v>98</v>
      </c>
      <c r="B982" t="s">
        <v>519</v>
      </c>
      <c r="C982" t="s">
        <v>1028</v>
      </c>
      <c r="D982" t="s">
        <v>101</v>
      </c>
      <c r="E982" t="s">
        <v>304</v>
      </c>
      <c r="F982" t="s">
        <v>180</v>
      </c>
      <c r="G982" t="s">
        <v>119</v>
      </c>
      <c r="H982" t="s">
        <v>125</v>
      </c>
      <c r="I982">
        <v>2016</v>
      </c>
      <c r="J982" t="s">
        <v>323</v>
      </c>
      <c r="K982" t="s">
        <v>127</v>
      </c>
      <c r="L982" t="s">
        <v>1280</v>
      </c>
      <c r="M982" t="s">
        <v>1289</v>
      </c>
      <c r="N982">
        <v>1</v>
      </c>
      <c r="O982">
        <v>2020</v>
      </c>
      <c r="P982">
        <v>3719.0451778176089</v>
      </c>
      <c r="Q982">
        <v>5.1641446916145979</v>
      </c>
      <c r="R982" t="s">
        <v>109</v>
      </c>
      <c r="S982">
        <v>720.16672651649299</v>
      </c>
      <c r="T982">
        <v>5.5685814771395066</v>
      </c>
      <c r="U982" t="s">
        <v>184</v>
      </c>
      <c r="V982">
        <v>5.5685814771395066</v>
      </c>
      <c r="W982">
        <v>9</v>
      </c>
      <c r="X982">
        <v>22</v>
      </c>
      <c r="Y982">
        <v>16</v>
      </c>
      <c r="Z982">
        <v>5.8273038403982118E-2</v>
      </c>
      <c r="AA982">
        <v>31.536000000000001</v>
      </c>
    </row>
    <row r="983" spans="1:27" x14ac:dyDescent="0.25">
      <c r="A983" t="s">
        <v>98</v>
      </c>
      <c r="B983" t="s">
        <v>519</v>
      </c>
      <c r="C983" t="s">
        <v>1028</v>
      </c>
      <c r="D983" t="s">
        <v>101</v>
      </c>
      <c r="E983" t="s">
        <v>304</v>
      </c>
      <c r="F983" t="s">
        <v>180</v>
      </c>
      <c r="G983" t="s">
        <v>119</v>
      </c>
      <c r="H983" t="s">
        <v>125</v>
      </c>
      <c r="I983">
        <v>2022</v>
      </c>
      <c r="J983" t="s">
        <v>325</v>
      </c>
      <c r="K983" t="s">
        <v>127</v>
      </c>
      <c r="L983" t="s">
        <v>1280</v>
      </c>
      <c r="M983" t="s">
        <v>1290</v>
      </c>
      <c r="N983">
        <v>1</v>
      </c>
      <c r="O983">
        <v>2022</v>
      </c>
      <c r="P983">
        <v>3914.784397702746</v>
      </c>
      <c r="Q983">
        <v>5.1641446916145979</v>
      </c>
      <c r="R983" t="s">
        <v>109</v>
      </c>
      <c r="S983">
        <v>758.07023843841353</v>
      </c>
      <c r="T983">
        <v>5.8616647127784294</v>
      </c>
      <c r="U983" t="s">
        <v>184</v>
      </c>
      <c r="V983">
        <v>5.8616647127784294</v>
      </c>
      <c r="W983">
        <v>9</v>
      </c>
      <c r="X983">
        <v>22</v>
      </c>
      <c r="Y983">
        <v>16</v>
      </c>
      <c r="Z983">
        <v>5.8273038403982118E-2</v>
      </c>
      <c r="AA983">
        <v>31.536000000000001</v>
      </c>
    </row>
    <row r="984" spans="1:27" x14ac:dyDescent="0.25">
      <c r="A984" t="s">
        <v>98</v>
      </c>
      <c r="B984" t="s">
        <v>519</v>
      </c>
      <c r="C984" t="s">
        <v>1028</v>
      </c>
      <c r="D984" t="s">
        <v>101</v>
      </c>
      <c r="E984" t="s">
        <v>304</v>
      </c>
      <c r="F984" t="s">
        <v>201</v>
      </c>
      <c r="G984" t="s">
        <v>103</v>
      </c>
      <c r="H984" t="s">
        <v>125</v>
      </c>
      <c r="I984">
        <v>2016</v>
      </c>
      <c r="J984" t="s">
        <v>327</v>
      </c>
      <c r="K984" t="s">
        <v>127</v>
      </c>
      <c r="L984" t="s">
        <v>1280</v>
      </c>
      <c r="M984" t="s">
        <v>1291</v>
      </c>
      <c r="N984">
        <v>1</v>
      </c>
      <c r="O984">
        <v>2020</v>
      </c>
      <c r="P984">
        <v>9511.0007826155233</v>
      </c>
      <c r="Q984">
        <v>5.1641446916145979</v>
      </c>
      <c r="R984" t="s">
        <v>109</v>
      </c>
      <c r="S984">
        <v>1841.737857976605</v>
      </c>
      <c r="T984">
        <v>14.1</v>
      </c>
      <c r="U984" t="s">
        <v>329</v>
      </c>
      <c r="V984">
        <v>4.1348973607038122</v>
      </c>
      <c r="W984">
        <v>8</v>
      </c>
      <c r="X984">
        <v>20.8</v>
      </c>
      <c r="Y984">
        <v>15</v>
      </c>
      <c r="Z984">
        <v>5.8273038403982118E-2</v>
      </c>
      <c r="AA984">
        <v>31.536000000000001</v>
      </c>
    </row>
    <row r="985" spans="1:27" x14ac:dyDescent="0.25">
      <c r="A985" t="s">
        <v>98</v>
      </c>
      <c r="B985" t="s">
        <v>519</v>
      </c>
      <c r="C985" t="s">
        <v>1028</v>
      </c>
      <c r="D985" t="s">
        <v>101</v>
      </c>
      <c r="E985" t="s">
        <v>304</v>
      </c>
      <c r="F985" t="s">
        <v>201</v>
      </c>
      <c r="G985" t="s">
        <v>111</v>
      </c>
      <c r="H985" t="s">
        <v>125</v>
      </c>
      <c r="I985">
        <v>2016</v>
      </c>
      <c r="J985" t="s">
        <v>330</v>
      </c>
      <c r="K985" t="s">
        <v>127</v>
      </c>
      <c r="L985" t="s">
        <v>1280</v>
      </c>
      <c r="M985" t="s">
        <v>1292</v>
      </c>
      <c r="N985">
        <v>1</v>
      </c>
      <c r="O985">
        <v>2020</v>
      </c>
      <c r="P985">
        <v>9846.3245281564559</v>
      </c>
      <c r="Q985">
        <v>5.1641446916145979</v>
      </c>
      <c r="R985" t="s">
        <v>109</v>
      </c>
      <c r="S985">
        <v>1906.6709234821899</v>
      </c>
      <c r="T985">
        <v>17.3</v>
      </c>
      <c r="U985" t="s">
        <v>329</v>
      </c>
      <c r="V985">
        <v>5.0733137829912023</v>
      </c>
      <c r="W985">
        <v>8</v>
      </c>
      <c r="X985">
        <v>20.8</v>
      </c>
      <c r="Y985">
        <v>15</v>
      </c>
      <c r="Z985">
        <v>5.8273038403982118E-2</v>
      </c>
      <c r="AA985">
        <v>31.536000000000001</v>
      </c>
    </row>
    <row r="986" spans="1:27" x14ac:dyDescent="0.25">
      <c r="A986" t="s">
        <v>98</v>
      </c>
      <c r="B986" t="s">
        <v>519</v>
      </c>
      <c r="C986" t="s">
        <v>1028</v>
      </c>
      <c r="D986" t="s">
        <v>101</v>
      </c>
      <c r="E986" t="s">
        <v>304</v>
      </c>
      <c r="F986" t="s">
        <v>201</v>
      </c>
      <c r="G986" t="s">
        <v>114</v>
      </c>
      <c r="H986" t="s">
        <v>125</v>
      </c>
      <c r="I986">
        <v>2016</v>
      </c>
      <c r="J986" t="s">
        <v>332</v>
      </c>
      <c r="K986" t="s">
        <v>127</v>
      </c>
      <c r="L986" t="s">
        <v>1280</v>
      </c>
      <c r="M986" t="s">
        <v>1293</v>
      </c>
      <c r="N986">
        <v>0</v>
      </c>
      <c r="O986">
        <v>2020</v>
      </c>
      <c r="P986">
        <v>9846.3245281564559</v>
      </c>
      <c r="Q986">
        <v>5.1641446916145979</v>
      </c>
      <c r="R986" t="s">
        <v>109</v>
      </c>
      <c r="S986">
        <v>1906.6709234821899</v>
      </c>
      <c r="T986">
        <v>17.100000000000001</v>
      </c>
      <c r="U986" t="s">
        <v>329</v>
      </c>
      <c r="V986">
        <v>5.0146627565982396</v>
      </c>
      <c r="W986">
        <v>8</v>
      </c>
      <c r="X986">
        <v>20.8</v>
      </c>
      <c r="Y986">
        <v>15</v>
      </c>
      <c r="Z986">
        <v>5.8273038403982118E-2</v>
      </c>
      <c r="AA986">
        <v>31.536000000000001</v>
      </c>
    </row>
    <row r="987" spans="1:27" x14ac:dyDescent="0.25">
      <c r="A987" t="s">
        <v>98</v>
      </c>
      <c r="B987" t="s">
        <v>519</v>
      </c>
      <c r="C987" t="s">
        <v>1028</v>
      </c>
      <c r="D987" t="s">
        <v>101</v>
      </c>
      <c r="E987" t="s">
        <v>304</v>
      </c>
      <c r="F987" t="s">
        <v>201</v>
      </c>
      <c r="G987" t="s">
        <v>114</v>
      </c>
      <c r="H987" t="s">
        <v>125</v>
      </c>
      <c r="I987">
        <v>2020</v>
      </c>
      <c r="J987" t="s">
        <v>334</v>
      </c>
      <c r="K987" t="s">
        <v>127</v>
      </c>
      <c r="L987" t="s">
        <v>1280</v>
      </c>
      <c r="M987" t="s">
        <v>1293</v>
      </c>
      <c r="N987">
        <v>1</v>
      </c>
      <c r="O987">
        <v>2020</v>
      </c>
      <c r="P987">
        <v>9846.3245281564559</v>
      </c>
      <c r="Q987">
        <v>5.1641446916145979</v>
      </c>
      <c r="R987" t="s">
        <v>109</v>
      </c>
      <c r="S987">
        <v>1906.6709234821899</v>
      </c>
      <c r="T987">
        <v>17.100000000000001</v>
      </c>
      <c r="U987" t="s">
        <v>329</v>
      </c>
      <c r="V987">
        <v>5.0146627565982396</v>
      </c>
      <c r="W987">
        <v>8</v>
      </c>
      <c r="X987">
        <v>20.8</v>
      </c>
      <c r="Y987">
        <v>15</v>
      </c>
      <c r="Z987">
        <v>5.8273038403982118E-2</v>
      </c>
      <c r="AA987">
        <v>31.536000000000001</v>
      </c>
    </row>
    <row r="988" spans="1:27" x14ac:dyDescent="0.25">
      <c r="A988" t="s">
        <v>98</v>
      </c>
      <c r="B988" t="s">
        <v>519</v>
      </c>
      <c r="C988" t="s">
        <v>1028</v>
      </c>
      <c r="D988" t="s">
        <v>101</v>
      </c>
      <c r="E988" t="s">
        <v>304</v>
      </c>
      <c r="F988" t="s">
        <v>201</v>
      </c>
      <c r="G988" t="s">
        <v>114</v>
      </c>
      <c r="H988" t="s">
        <v>125</v>
      </c>
      <c r="I988">
        <v>2022</v>
      </c>
      <c r="J988" t="s">
        <v>335</v>
      </c>
      <c r="K988" t="s">
        <v>127</v>
      </c>
      <c r="L988" t="s">
        <v>1280</v>
      </c>
      <c r="M988" t="s">
        <v>1294</v>
      </c>
      <c r="N988">
        <v>1</v>
      </c>
      <c r="O988">
        <v>2022</v>
      </c>
      <c r="P988">
        <v>9846.3245281564559</v>
      </c>
      <c r="Q988">
        <v>5.1641446916145979</v>
      </c>
      <c r="R988" t="s">
        <v>109</v>
      </c>
      <c r="S988">
        <v>1906.6709234821899</v>
      </c>
      <c r="T988">
        <v>17.100000000000001</v>
      </c>
      <c r="U988" t="s">
        <v>329</v>
      </c>
      <c r="V988">
        <v>5.0146627565982396</v>
      </c>
      <c r="W988">
        <v>8</v>
      </c>
      <c r="X988">
        <v>20.8</v>
      </c>
      <c r="Y988">
        <v>15</v>
      </c>
      <c r="Z988">
        <v>5.8273038403982118E-2</v>
      </c>
      <c r="AA988">
        <v>31.536000000000001</v>
      </c>
    </row>
    <row r="989" spans="1:27" x14ac:dyDescent="0.25">
      <c r="A989" t="s">
        <v>98</v>
      </c>
      <c r="B989" t="s">
        <v>519</v>
      </c>
      <c r="C989" t="s">
        <v>1028</v>
      </c>
      <c r="D989" t="s">
        <v>101</v>
      </c>
      <c r="E989" t="s">
        <v>304</v>
      </c>
      <c r="F989" t="s">
        <v>201</v>
      </c>
      <c r="G989" t="s">
        <v>114</v>
      </c>
      <c r="H989" t="s">
        <v>125</v>
      </c>
      <c r="I989">
        <v>2023</v>
      </c>
      <c r="J989" t="s">
        <v>337</v>
      </c>
      <c r="K989" t="s">
        <v>127</v>
      </c>
      <c r="L989" t="s">
        <v>1280</v>
      </c>
      <c r="M989" t="s">
        <v>1295</v>
      </c>
      <c r="N989">
        <v>1</v>
      </c>
      <c r="O989">
        <v>2023</v>
      </c>
      <c r="P989">
        <v>9846.3245281564559</v>
      </c>
      <c r="Q989">
        <v>5.1641446916145979</v>
      </c>
      <c r="R989" t="s">
        <v>109</v>
      </c>
      <c r="S989">
        <v>1906.6709234821899</v>
      </c>
      <c r="T989">
        <v>17.100000000000001</v>
      </c>
      <c r="U989" t="s">
        <v>329</v>
      </c>
      <c r="V989">
        <v>5.0146627565982396</v>
      </c>
      <c r="W989">
        <v>8</v>
      </c>
      <c r="X989">
        <v>20.8</v>
      </c>
      <c r="Y989">
        <v>15</v>
      </c>
      <c r="Z989">
        <v>5.8273038403982118E-2</v>
      </c>
      <c r="AA989">
        <v>31.536000000000001</v>
      </c>
    </row>
    <row r="990" spans="1:27" x14ac:dyDescent="0.25">
      <c r="A990" t="s">
        <v>98</v>
      </c>
      <c r="B990" t="s">
        <v>519</v>
      </c>
      <c r="C990" t="s">
        <v>1028</v>
      </c>
      <c r="D990" t="s">
        <v>101</v>
      </c>
      <c r="E990" t="s">
        <v>304</v>
      </c>
      <c r="F990" t="s">
        <v>201</v>
      </c>
      <c r="G990" t="s">
        <v>114</v>
      </c>
      <c r="H990" t="s">
        <v>125</v>
      </c>
      <c r="I990">
        <v>2024</v>
      </c>
      <c r="J990" t="s">
        <v>339</v>
      </c>
      <c r="K990" t="s">
        <v>127</v>
      </c>
      <c r="L990" t="s">
        <v>1280</v>
      </c>
      <c r="M990" t="s">
        <v>1296</v>
      </c>
      <c r="N990">
        <v>1</v>
      </c>
      <c r="O990">
        <v>2024</v>
      </c>
      <c r="P990">
        <v>9846.3245281564559</v>
      </c>
      <c r="Q990">
        <v>5.1641446916145979</v>
      </c>
      <c r="R990" t="s">
        <v>109</v>
      </c>
      <c r="S990">
        <v>1906.6709234821899</v>
      </c>
      <c r="T990">
        <v>17.100000000000001</v>
      </c>
      <c r="U990" t="s">
        <v>329</v>
      </c>
      <c r="V990">
        <v>5.0146627565982396</v>
      </c>
      <c r="W990">
        <v>8</v>
      </c>
      <c r="X990">
        <v>20.8</v>
      </c>
      <c r="Y990">
        <v>15</v>
      </c>
      <c r="Z990">
        <v>5.8273038403982118E-2</v>
      </c>
      <c r="AA990">
        <v>31.536000000000001</v>
      </c>
    </row>
    <row r="991" spans="1:27" x14ac:dyDescent="0.25">
      <c r="A991" t="s">
        <v>98</v>
      </c>
      <c r="B991" t="s">
        <v>519</v>
      </c>
      <c r="C991" t="s">
        <v>1028</v>
      </c>
      <c r="D991" t="s">
        <v>101</v>
      </c>
      <c r="E991" t="s">
        <v>304</v>
      </c>
      <c r="F991" t="s">
        <v>201</v>
      </c>
      <c r="G991" t="s">
        <v>119</v>
      </c>
      <c r="H991" t="s">
        <v>125</v>
      </c>
      <c r="I991">
        <v>2016</v>
      </c>
      <c r="J991" t="s">
        <v>341</v>
      </c>
      <c r="K991" t="s">
        <v>127</v>
      </c>
      <c r="L991" t="s">
        <v>1280</v>
      </c>
      <c r="M991" t="s">
        <v>1297</v>
      </c>
      <c r="N991">
        <v>0</v>
      </c>
      <c r="O991">
        <v>2020</v>
      </c>
      <c r="P991">
        <v>10395.03611176889</v>
      </c>
      <c r="Q991">
        <v>5.1641446916145979</v>
      </c>
      <c r="R991" t="s">
        <v>109</v>
      </c>
      <c r="S991">
        <v>2012.9250306731481</v>
      </c>
      <c r="T991">
        <v>22.4</v>
      </c>
      <c r="U991" t="s">
        <v>329</v>
      </c>
      <c r="V991">
        <v>6.5689149560117297</v>
      </c>
      <c r="W991">
        <v>8</v>
      </c>
      <c r="X991">
        <v>20.8</v>
      </c>
      <c r="Y991">
        <v>15</v>
      </c>
      <c r="Z991">
        <v>5.8273038403982118E-2</v>
      </c>
      <c r="AA991">
        <v>31.536000000000001</v>
      </c>
    </row>
    <row r="992" spans="1:27" x14ac:dyDescent="0.25">
      <c r="A992" t="s">
        <v>98</v>
      </c>
      <c r="B992" t="s">
        <v>519</v>
      </c>
      <c r="C992" t="s">
        <v>1028</v>
      </c>
      <c r="D992" t="s">
        <v>101</v>
      </c>
      <c r="E992" t="s">
        <v>304</v>
      </c>
      <c r="F992" t="s">
        <v>201</v>
      </c>
      <c r="G992" t="s">
        <v>119</v>
      </c>
      <c r="H992" t="s">
        <v>125</v>
      </c>
      <c r="I992">
        <v>2020</v>
      </c>
      <c r="J992" t="s">
        <v>343</v>
      </c>
      <c r="K992" t="s">
        <v>127</v>
      </c>
      <c r="L992" t="s">
        <v>1280</v>
      </c>
      <c r="M992" t="s">
        <v>1297</v>
      </c>
      <c r="N992">
        <v>1</v>
      </c>
      <c r="O992">
        <v>2020</v>
      </c>
      <c r="P992">
        <v>10395.03611176889</v>
      </c>
      <c r="Q992">
        <v>5.1641446916145979</v>
      </c>
      <c r="R992" t="s">
        <v>109</v>
      </c>
      <c r="S992">
        <v>2012.9250306731481</v>
      </c>
      <c r="T992">
        <v>22.4</v>
      </c>
      <c r="U992" t="s">
        <v>329</v>
      </c>
      <c r="V992">
        <v>6.5689149560117297</v>
      </c>
      <c r="W992">
        <v>8</v>
      </c>
      <c r="X992">
        <v>20.8</v>
      </c>
      <c r="Y992">
        <v>15</v>
      </c>
      <c r="Z992">
        <v>5.8273038403982118E-2</v>
      </c>
      <c r="AA992">
        <v>31.536000000000001</v>
      </c>
    </row>
    <row r="993" spans="1:27" x14ac:dyDescent="0.25">
      <c r="A993" t="s">
        <v>98</v>
      </c>
      <c r="B993" t="s">
        <v>519</v>
      </c>
      <c r="C993" t="s">
        <v>1028</v>
      </c>
      <c r="D993" t="s">
        <v>101</v>
      </c>
      <c r="E993" t="s">
        <v>304</v>
      </c>
      <c r="F993" t="s">
        <v>201</v>
      </c>
      <c r="G993" t="s">
        <v>119</v>
      </c>
      <c r="H993" t="s">
        <v>125</v>
      </c>
      <c r="I993">
        <v>2022</v>
      </c>
      <c r="J993" t="s">
        <v>344</v>
      </c>
      <c r="K993" t="s">
        <v>127</v>
      </c>
      <c r="L993" t="s">
        <v>1280</v>
      </c>
      <c r="M993" t="s">
        <v>1298</v>
      </c>
      <c r="N993">
        <v>1</v>
      </c>
      <c r="O993">
        <v>2022</v>
      </c>
      <c r="P993">
        <v>10395.03611176889</v>
      </c>
      <c r="Q993">
        <v>5.1641446916145979</v>
      </c>
      <c r="R993" t="s">
        <v>109</v>
      </c>
      <c r="S993">
        <v>2012.9250306731481</v>
      </c>
      <c r="T993">
        <v>22.4</v>
      </c>
      <c r="U993" t="s">
        <v>329</v>
      </c>
      <c r="V993">
        <v>6.5689149560117297</v>
      </c>
      <c r="W993">
        <v>8</v>
      </c>
      <c r="X993">
        <v>20.8</v>
      </c>
      <c r="Y993">
        <v>15</v>
      </c>
      <c r="Z993">
        <v>5.8273038403982118E-2</v>
      </c>
      <c r="AA993">
        <v>31.536000000000001</v>
      </c>
    </row>
    <row r="994" spans="1:27" x14ac:dyDescent="0.25">
      <c r="A994" t="s">
        <v>98</v>
      </c>
      <c r="B994" t="s">
        <v>519</v>
      </c>
      <c r="C994" t="s">
        <v>1028</v>
      </c>
      <c r="D994" t="s">
        <v>101</v>
      </c>
      <c r="E994" t="s">
        <v>304</v>
      </c>
      <c r="F994" t="s">
        <v>201</v>
      </c>
      <c r="G994" t="s">
        <v>119</v>
      </c>
      <c r="H994" t="s">
        <v>125</v>
      </c>
      <c r="I994">
        <v>2023</v>
      </c>
      <c r="J994" t="s">
        <v>346</v>
      </c>
      <c r="K994" t="s">
        <v>127</v>
      </c>
      <c r="L994" t="s">
        <v>1280</v>
      </c>
      <c r="M994" t="s">
        <v>1299</v>
      </c>
      <c r="N994">
        <v>1</v>
      </c>
      <c r="O994">
        <v>2023</v>
      </c>
      <c r="P994">
        <v>10395.03611176889</v>
      </c>
      <c r="Q994">
        <v>5.1641446916145979</v>
      </c>
      <c r="R994" t="s">
        <v>109</v>
      </c>
      <c r="S994">
        <v>2012.9250306731481</v>
      </c>
      <c r="T994">
        <v>22.4</v>
      </c>
      <c r="U994" t="s">
        <v>329</v>
      </c>
      <c r="V994">
        <v>6.5689149560117297</v>
      </c>
      <c r="W994">
        <v>8</v>
      </c>
      <c r="X994">
        <v>20.8</v>
      </c>
      <c r="Y994">
        <v>15</v>
      </c>
      <c r="Z994">
        <v>5.8273038403982118E-2</v>
      </c>
      <c r="AA994">
        <v>31.536000000000001</v>
      </c>
    </row>
    <row r="995" spans="1:27" x14ac:dyDescent="0.25">
      <c r="A995" t="s">
        <v>98</v>
      </c>
      <c r="B995" t="s">
        <v>519</v>
      </c>
      <c r="C995" t="s">
        <v>1028</v>
      </c>
      <c r="D995" t="s">
        <v>101</v>
      </c>
      <c r="E995" t="s">
        <v>304</v>
      </c>
      <c r="F995" t="s">
        <v>201</v>
      </c>
      <c r="G995" t="s">
        <v>119</v>
      </c>
      <c r="H995" t="s">
        <v>125</v>
      </c>
      <c r="I995">
        <v>2024</v>
      </c>
      <c r="J995" t="s">
        <v>348</v>
      </c>
      <c r="K995" t="s">
        <v>127</v>
      </c>
      <c r="L995" t="s">
        <v>1280</v>
      </c>
      <c r="M995" t="s">
        <v>1300</v>
      </c>
      <c r="N995">
        <v>1</v>
      </c>
      <c r="O995">
        <v>2024</v>
      </c>
      <c r="P995">
        <v>10395.03611176889</v>
      </c>
      <c r="Q995">
        <v>5.1641446916145979</v>
      </c>
      <c r="R995" t="s">
        <v>109</v>
      </c>
      <c r="S995">
        <v>2012.9250306731481</v>
      </c>
      <c r="T995">
        <v>22.4</v>
      </c>
      <c r="U995" t="s">
        <v>329</v>
      </c>
      <c r="V995">
        <v>6.5689149560117297</v>
      </c>
      <c r="W995">
        <v>8</v>
      </c>
      <c r="X995">
        <v>20.8</v>
      </c>
      <c r="Y995">
        <v>15</v>
      </c>
      <c r="Z995">
        <v>5.8273038403982118E-2</v>
      </c>
      <c r="AA995">
        <v>31.536000000000001</v>
      </c>
    </row>
    <row r="996" spans="1:27" x14ac:dyDescent="0.25">
      <c r="A996" t="s">
        <v>98</v>
      </c>
      <c r="B996" t="s">
        <v>519</v>
      </c>
      <c r="C996" t="s">
        <v>1028</v>
      </c>
      <c r="D996" t="s">
        <v>101</v>
      </c>
      <c r="E996" t="s">
        <v>304</v>
      </c>
      <c r="F996" t="s">
        <v>350</v>
      </c>
      <c r="G996" t="s">
        <v>103</v>
      </c>
      <c r="H996" t="s">
        <v>125</v>
      </c>
      <c r="I996">
        <v>2016</v>
      </c>
      <c r="J996" t="s">
        <v>351</v>
      </c>
      <c r="K996" t="s">
        <v>127</v>
      </c>
      <c r="L996" t="s">
        <v>1280</v>
      </c>
      <c r="M996" t="s">
        <v>1301</v>
      </c>
      <c r="N996">
        <v>1</v>
      </c>
      <c r="O996">
        <v>2020</v>
      </c>
      <c r="P996">
        <v>756.00262631046473</v>
      </c>
      <c r="Q996">
        <v>5.1641446916145979</v>
      </c>
      <c r="R996" t="s">
        <v>109</v>
      </c>
      <c r="S996">
        <v>146.39454768531991</v>
      </c>
      <c r="T996">
        <v>3.1946072684642441</v>
      </c>
      <c r="U996" t="s">
        <v>184</v>
      </c>
      <c r="V996">
        <v>3.1946072684642441</v>
      </c>
      <c r="W996">
        <v>6</v>
      </c>
      <c r="X996">
        <v>13</v>
      </c>
      <c r="Y996">
        <v>10</v>
      </c>
      <c r="Z996">
        <v>5.8273038403982118E-2</v>
      </c>
      <c r="AA996">
        <v>31.536000000000001</v>
      </c>
    </row>
    <row r="997" spans="1:27" x14ac:dyDescent="0.25">
      <c r="A997" t="s">
        <v>98</v>
      </c>
      <c r="B997" t="s">
        <v>519</v>
      </c>
      <c r="C997" t="s">
        <v>1028</v>
      </c>
      <c r="D997" t="s">
        <v>101</v>
      </c>
      <c r="E997" t="s">
        <v>304</v>
      </c>
      <c r="F997" t="s">
        <v>350</v>
      </c>
      <c r="G997" t="s">
        <v>111</v>
      </c>
      <c r="H997" t="s">
        <v>125</v>
      </c>
      <c r="I997">
        <v>2016</v>
      </c>
      <c r="J997" t="s">
        <v>353</v>
      </c>
      <c r="K997" t="s">
        <v>127</v>
      </c>
      <c r="L997" t="s">
        <v>1280</v>
      </c>
      <c r="M997" t="s">
        <v>1302</v>
      </c>
      <c r="N997">
        <v>1</v>
      </c>
      <c r="O997">
        <v>2020</v>
      </c>
      <c r="P997">
        <v>780.38980780435065</v>
      </c>
      <c r="Q997">
        <v>5.1641446916145979</v>
      </c>
      <c r="R997" t="s">
        <v>109</v>
      </c>
      <c r="S997">
        <v>151.1169524493624</v>
      </c>
      <c r="T997">
        <v>3.5169988276670581</v>
      </c>
      <c r="U997" t="s">
        <v>184</v>
      </c>
      <c r="V997">
        <v>3.5169988276670581</v>
      </c>
      <c r="W997">
        <v>6</v>
      </c>
      <c r="X997">
        <v>13</v>
      </c>
      <c r="Y997">
        <v>10</v>
      </c>
      <c r="Z997">
        <v>5.8273038403982118E-2</v>
      </c>
      <c r="AA997">
        <v>31.536000000000001</v>
      </c>
    </row>
    <row r="998" spans="1:27" x14ac:dyDescent="0.25">
      <c r="A998" t="s">
        <v>98</v>
      </c>
      <c r="B998" t="s">
        <v>519</v>
      </c>
      <c r="C998" t="s">
        <v>1028</v>
      </c>
      <c r="D998" t="s">
        <v>101</v>
      </c>
      <c r="E998" t="s">
        <v>304</v>
      </c>
      <c r="F998" t="s">
        <v>350</v>
      </c>
      <c r="G998" t="s">
        <v>111</v>
      </c>
      <c r="H998" t="s">
        <v>125</v>
      </c>
      <c r="I998">
        <v>2030</v>
      </c>
      <c r="J998" t="s">
        <v>355</v>
      </c>
      <c r="K998" t="s">
        <v>127</v>
      </c>
      <c r="L998" t="s">
        <v>1280</v>
      </c>
      <c r="M998" t="s">
        <v>1303</v>
      </c>
      <c r="N998">
        <v>1</v>
      </c>
      <c r="O998">
        <v>2030</v>
      </c>
      <c r="P998">
        <v>780.38980780435065</v>
      </c>
      <c r="Q998">
        <v>5.1641446916145979</v>
      </c>
      <c r="R998" t="s">
        <v>109</v>
      </c>
      <c r="S998">
        <v>151.1169524493624</v>
      </c>
      <c r="T998">
        <v>3.5902696365767879</v>
      </c>
      <c r="U998" t="s">
        <v>184</v>
      </c>
      <c r="V998">
        <v>3.5902696365767879</v>
      </c>
      <c r="W998">
        <v>6</v>
      </c>
      <c r="X998">
        <v>13</v>
      </c>
      <c r="Y998">
        <v>10</v>
      </c>
      <c r="Z998">
        <v>5.8273038403982118E-2</v>
      </c>
      <c r="AA998">
        <v>31.536000000000001</v>
      </c>
    </row>
    <row r="999" spans="1:27" x14ac:dyDescent="0.25">
      <c r="A999" t="s">
        <v>98</v>
      </c>
      <c r="B999" t="s">
        <v>519</v>
      </c>
      <c r="C999" t="s">
        <v>1028</v>
      </c>
      <c r="D999" t="s">
        <v>101</v>
      </c>
      <c r="E999" t="s">
        <v>304</v>
      </c>
      <c r="F999" t="s">
        <v>350</v>
      </c>
      <c r="G999" t="s">
        <v>111</v>
      </c>
      <c r="H999" t="s">
        <v>125</v>
      </c>
      <c r="I999">
        <v>2040</v>
      </c>
      <c r="J999" t="s">
        <v>357</v>
      </c>
      <c r="K999" t="s">
        <v>127</v>
      </c>
      <c r="L999" t="s">
        <v>1280</v>
      </c>
      <c r="M999" t="s">
        <v>1304</v>
      </c>
      <c r="N999">
        <v>1</v>
      </c>
      <c r="O999">
        <v>2040</v>
      </c>
      <c r="P999">
        <v>780.38980780435065</v>
      </c>
      <c r="Q999">
        <v>5.1641446916145979</v>
      </c>
      <c r="R999" t="s">
        <v>109</v>
      </c>
      <c r="S999">
        <v>151.1169524493624</v>
      </c>
      <c r="T999">
        <v>3.6635404454865181</v>
      </c>
      <c r="U999" t="s">
        <v>184</v>
      </c>
      <c r="V999">
        <v>3.6635404454865181</v>
      </c>
      <c r="W999">
        <v>6</v>
      </c>
      <c r="X999">
        <v>13</v>
      </c>
      <c r="Y999">
        <v>10</v>
      </c>
      <c r="Z999">
        <v>5.8273038403982118E-2</v>
      </c>
      <c r="AA999">
        <v>31.536000000000001</v>
      </c>
    </row>
    <row r="1000" spans="1:27" x14ac:dyDescent="0.25">
      <c r="A1000" t="s">
        <v>98</v>
      </c>
      <c r="B1000" t="s">
        <v>519</v>
      </c>
      <c r="C1000" t="s">
        <v>1028</v>
      </c>
      <c r="D1000" t="s">
        <v>101</v>
      </c>
      <c r="E1000" t="s">
        <v>304</v>
      </c>
      <c r="F1000" t="s">
        <v>350</v>
      </c>
      <c r="G1000" t="s">
        <v>114</v>
      </c>
      <c r="H1000" t="s">
        <v>125</v>
      </c>
      <c r="I1000">
        <v>2016</v>
      </c>
      <c r="J1000" t="s">
        <v>359</v>
      </c>
      <c r="K1000" t="s">
        <v>127</v>
      </c>
      <c r="L1000" t="s">
        <v>1280</v>
      </c>
      <c r="M1000" t="s">
        <v>1305</v>
      </c>
      <c r="N1000">
        <v>1</v>
      </c>
      <c r="O1000">
        <v>2020</v>
      </c>
      <c r="P1000">
        <v>780.38980780435065</v>
      </c>
      <c r="Q1000">
        <v>5.1641446916145979</v>
      </c>
      <c r="R1000" t="s">
        <v>109</v>
      </c>
      <c r="S1000">
        <v>151.1169524493624</v>
      </c>
      <c r="T1000">
        <v>3.5169988276670581</v>
      </c>
      <c r="U1000" t="s">
        <v>184</v>
      </c>
      <c r="V1000">
        <v>3.5169988276670581</v>
      </c>
      <c r="W1000">
        <v>6</v>
      </c>
      <c r="X1000">
        <v>13</v>
      </c>
      <c r="Y1000">
        <v>10</v>
      </c>
      <c r="Z1000">
        <v>5.8273038403982118E-2</v>
      </c>
      <c r="AA1000">
        <v>31.536000000000001</v>
      </c>
    </row>
    <row r="1001" spans="1:27" x14ac:dyDescent="0.25">
      <c r="A1001" t="s">
        <v>98</v>
      </c>
      <c r="B1001" t="s">
        <v>519</v>
      </c>
      <c r="C1001" t="s">
        <v>1028</v>
      </c>
      <c r="D1001" t="s">
        <v>101</v>
      </c>
      <c r="E1001" t="s">
        <v>304</v>
      </c>
      <c r="F1001" t="s">
        <v>350</v>
      </c>
      <c r="G1001" t="s">
        <v>119</v>
      </c>
      <c r="H1001" t="s">
        <v>125</v>
      </c>
      <c r="I1001">
        <v>2016</v>
      </c>
      <c r="J1001" t="s">
        <v>361</v>
      </c>
      <c r="K1001" t="s">
        <v>127</v>
      </c>
      <c r="L1001" t="s">
        <v>1280</v>
      </c>
      <c r="M1001" t="s">
        <v>1306</v>
      </c>
      <c r="N1001">
        <v>1</v>
      </c>
      <c r="O1001">
        <v>2020</v>
      </c>
      <c r="P1001">
        <v>859.64814765948006</v>
      </c>
      <c r="Q1001">
        <v>5.1641446916145979</v>
      </c>
      <c r="R1001" t="s">
        <v>109</v>
      </c>
      <c r="S1001">
        <v>166.46476793250079</v>
      </c>
      <c r="T1001">
        <v>3.6049237983587341</v>
      </c>
      <c r="U1001" t="s">
        <v>184</v>
      </c>
      <c r="V1001">
        <v>3.6049237983587341</v>
      </c>
      <c r="W1001">
        <v>6</v>
      </c>
      <c r="X1001">
        <v>13</v>
      </c>
      <c r="Y1001">
        <v>10</v>
      </c>
      <c r="Z1001">
        <v>5.8273038403982118E-2</v>
      </c>
      <c r="AA1001">
        <v>31.536000000000001</v>
      </c>
    </row>
    <row r="1002" spans="1:27" x14ac:dyDescent="0.25">
      <c r="A1002" t="s">
        <v>98</v>
      </c>
      <c r="B1002" t="s">
        <v>519</v>
      </c>
      <c r="C1002" t="s">
        <v>1028</v>
      </c>
      <c r="D1002" t="s">
        <v>101</v>
      </c>
      <c r="E1002" t="s">
        <v>304</v>
      </c>
      <c r="F1002" t="s">
        <v>350</v>
      </c>
      <c r="G1002" t="s">
        <v>119</v>
      </c>
      <c r="H1002" t="s">
        <v>125</v>
      </c>
      <c r="I1002">
        <v>2022</v>
      </c>
      <c r="J1002" t="s">
        <v>363</v>
      </c>
      <c r="K1002" t="s">
        <v>127</v>
      </c>
      <c r="L1002" t="s">
        <v>1280</v>
      </c>
      <c r="M1002" t="s">
        <v>1307</v>
      </c>
      <c r="N1002">
        <v>1</v>
      </c>
      <c r="O1002">
        <v>2022</v>
      </c>
      <c r="P1002">
        <v>859.64814765948006</v>
      </c>
      <c r="Q1002">
        <v>5.1641446916145979</v>
      </c>
      <c r="R1002" t="s">
        <v>109</v>
      </c>
      <c r="S1002">
        <v>166.46476793250079</v>
      </c>
      <c r="T1002">
        <v>3.6635404454865181</v>
      </c>
      <c r="U1002" t="s">
        <v>184</v>
      </c>
      <c r="V1002">
        <v>3.6635404454865181</v>
      </c>
      <c r="W1002">
        <v>6</v>
      </c>
      <c r="X1002">
        <v>13</v>
      </c>
      <c r="Y1002">
        <v>10</v>
      </c>
      <c r="Z1002">
        <v>5.8273038403982118E-2</v>
      </c>
      <c r="AA1002">
        <v>31.536000000000001</v>
      </c>
    </row>
    <row r="1003" spans="1:27" x14ac:dyDescent="0.25">
      <c r="A1003" t="s">
        <v>98</v>
      </c>
      <c r="B1003" t="s">
        <v>519</v>
      </c>
      <c r="C1003" t="s">
        <v>1028</v>
      </c>
      <c r="D1003" t="s">
        <v>101</v>
      </c>
      <c r="E1003" t="s">
        <v>304</v>
      </c>
      <c r="F1003" t="s">
        <v>350</v>
      </c>
      <c r="G1003" t="s">
        <v>119</v>
      </c>
      <c r="H1003" t="s">
        <v>125</v>
      </c>
      <c r="I1003">
        <v>2030</v>
      </c>
      <c r="J1003" t="s">
        <v>365</v>
      </c>
      <c r="K1003" t="s">
        <v>127</v>
      </c>
      <c r="L1003" t="s">
        <v>1280</v>
      </c>
      <c r="M1003" t="s">
        <v>1308</v>
      </c>
      <c r="N1003">
        <v>1</v>
      </c>
      <c r="O1003">
        <v>2030</v>
      </c>
      <c r="P1003">
        <v>859.64814765948006</v>
      </c>
      <c r="Q1003">
        <v>5.1641446916145979</v>
      </c>
      <c r="R1003" t="s">
        <v>109</v>
      </c>
      <c r="S1003">
        <v>166.46476793250079</v>
      </c>
      <c r="T1003">
        <v>3.8100820633059791</v>
      </c>
      <c r="U1003" t="s">
        <v>184</v>
      </c>
      <c r="V1003">
        <v>3.8100820633059791</v>
      </c>
      <c r="W1003">
        <v>6</v>
      </c>
      <c r="X1003">
        <v>13</v>
      </c>
      <c r="Y1003">
        <v>10</v>
      </c>
      <c r="Z1003">
        <v>5.8273038403982118E-2</v>
      </c>
      <c r="AA1003">
        <v>31.536000000000001</v>
      </c>
    </row>
    <row r="1004" spans="1:27" x14ac:dyDescent="0.25">
      <c r="A1004" t="s">
        <v>98</v>
      </c>
      <c r="B1004" t="s">
        <v>519</v>
      </c>
      <c r="C1004" t="s">
        <v>1028</v>
      </c>
      <c r="D1004" t="s">
        <v>101</v>
      </c>
      <c r="E1004" t="s">
        <v>304</v>
      </c>
      <c r="F1004" t="s">
        <v>350</v>
      </c>
      <c r="G1004" t="s">
        <v>119</v>
      </c>
      <c r="H1004" t="s">
        <v>125</v>
      </c>
      <c r="I1004">
        <v>2040</v>
      </c>
      <c r="J1004" t="s">
        <v>367</v>
      </c>
      <c r="K1004" t="s">
        <v>127</v>
      </c>
      <c r="L1004" t="s">
        <v>1280</v>
      </c>
      <c r="M1004" t="s">
        <v>1309</v>
      </c>
      <c r="N1004">
        <v>1</v>
      </c>
      <c r="O1004">
        <v>2040</v>
      </c>
      <c r="P1004">
        <v>859.64814765948006</v>
      </c>
      <c r="Q1004">
        <v>5.1641446916145979</v>
      </c>
      <c r="R1004" t="s">
        <v>109</v>
      </c>
      <c r="S1004">
        <v>166.46476793250079</v>
      </c>
      <c r="T1004">
        <v>3.9566236811254401</v>
      </c>
      <c r="U1004" t="s">
        <v>184</v>
      </c>
      <c r="V1004">
        <v>3.9566236811254401</v>
      </c>
      <c r="W1004">
        <v>6</v>
      </c>
      <c r="X1004">
        <v>13</v>
      </c>
      <c r="Y1004">
        <v>10</v>
      </c>
      <c r="Z1004">
        <v>5.8273038403982118E-2</v>
      </c>
      <c r="AA1004">
        <v>31.536000000000001</v>
      </c>
    </row>
    <row r="1005" spans="1:27" x14ac:dyDescent="0.25">
      <c r="A1005" t="s">
        <v>98</v>
      </c>
      <c r="B1005" t="s">
        <v>519</v>
      </c>
      <c r="C1005" t="s">
        <v>1028</v>
      </c>
      <c r="D1005" t="s">
        <v>101</v>
      </c>
      <c r="E1005" t="s">
        <v>304</v>
      </c>
      <c r="F1005" t="s">
        <v>369</v>
      </c>
      <c r="G1005" t="s">
        <v>103</v>
      </c>
      <c r="H1005" t="s">
        <v>125</v>
      </c>
      <c r="I1005">
        <v>2016</v>
      </c>
      <c r="J1005" t="s">
        <v>370</v>
      </c>
      <c r="K1005" t="s">
        <v>127</v>
      </c>
      <c r="L1005" t="s">
        <v>1280</v>
      </c>
      <c r="M1005" t="s">
        <v>1310</v>
      </c>
      <c r="N1005">
        <v>1</v>
      </c>
      <c r="O1005">
        <v>2020</v>
      </c>
      <c r="P1005">
        <v>4328.724715164758</v>
      </c>
      <c r="Q1005">
        <v>5.1641446916145979</v>
      </c>
      <c r="R1005" t="s">
        <v>109</v>
      </c>
      <c r="S1005">
        <v>838.22684561755739</v>
      </c>
      <c r="T1005">
        <v>3.8100820633059791</v>
      </c>
      <c r="U1005" t="s">
        <v>184</v>
      </c>
      <c r="V1005">
        <v>3.8100820633059791</v>
      </c>
      <c r="W1005">
        <v>11</v>
      </c>
      <c r="X1005">
        <v>25</v>
      </c>
      <c r="Y1005">
        <v>19</v>
      </c>
      <c r="Z1005">
        <v>5.8273038403982118E-2</v>
      </c>
      <c r="AA1005">
        <v>31.536000000000001</v>
      </c>
    </row>
    <row r="1006" spans="1:27" x14ac:dyDescent="0.25">
      <c r="A1006" t="s">
        <v>98</v>
      </c>
      <c r="B1006" t="s">
        <v>519</v>
      </c>
      <c r="C1006" t="s">
        <v>1028</v>
      </c>
      <c r="D1006" t="s">
        <v>101</v>
      </c>
      <c r="E1006" t="s">
        <v>304</v>
      </c>
      <c r="F1006" t="s">
        <v>369</v>
      </c>
      <c r="G1006" t="s">
        <v>103</v>
      </c>
      <c r="H1006" t="s">
        <v>125</v>
      </c>
      <c r="I1006">
        <v>2023</v>
      </c>
      <c r="J1006" t="s">
        <v>372</v>
      </c>
      <c r="K1006" t="s">
        <v>127</v>
      </c>
      <c r="L1006" t="s">
        <v>1280</v>
      </c>
      <c r="M1006" t="s">
        <v>1311</v>
      </c>
      <c r="N1006">
        <v>1</v>
      </c>
      <c r="O1006">
        <v>2023</v>
      </c>
      <c r="P1006">
        <v>4328.724715164758</v>
      </c>
      <c r="Q1006">
        <v>5.1641446916145979</v>
      </c>
      <c r="R1006" t="s">
        <v>109</v>
      </c>
      <c r="S1006">
        <v>838.22684561755739</v>
      </c>
      <c r="T1006">
        <v>3.8100820633059791</v>
      </c>
      <c r="U1006" t="s">
        <v>184</v>
      </c>
      <c r="V1006">
        <v>3.8100820633059791</v>
      </c>
      <c r="W1006">
        <v>11</v>
      </c>
      <c r="X1006">
        <v>25</v>
      </c>
      <c r="Y1006">
        <v>19</v>
      </c>
      <c r="Z1006">
        <v>5.8273038403982118E-2</v>
      </c>
      <c r="AA1006">
        <v>31.536000000000001</v>
      </c>
    </row>
    <row r="1007" spans="1:27" x14ac:dyDescent="0.25">
      <c r="A1007" t="s">
        <v>98</v>
      </c>
      <c r="B1007" t="s">
        <v>519</v>
      </c>
      <c r="C1007" t="s">
        <v>1028</v>
      </c>
      <c r="D1007" t="s">
        <v>101</v>
      </c>
      <c r="E1007" t="s">
        <v>304</v>
      </c>
      <c r="F1007" t="s">
        <v>369</v>
      </c>
      <c r="G1007" t="s">
        <v>111</v>
      </c>
      <c r="H1007" t="s">
        <v>125</v>
      </c>
      <c r="I1007">
        <v>2016</v>
      </c>
      <c r="J1007" t="s">
        <v>374</v>
      </c>
      <c r="K1007" t="s">
        <v>127</v>
      </c>
      <c r="L1007" t="s">
        <v>1280</v>
      </c>
      <c r="M1007" t="s">
        <v>1312</v>
      </c>
      <c r="N1007">
        <v>1</v>
      </c>
      <c r="O1007">
        <v>2020</v>
      </c>
      <c r="P1007">
        <v>4450.6606226341873</v>
      </c>
      <c r="Q1007">
        <v>5.1641446916145979</v>
      </c>
      <c r="R1007" t="s">
        <v>109</v>
      </c>
      <c r="S1007">
        <v>861.8388694377702</v>
      </c>
      <c r="T1007">
        <v>4.0738569753810081</v>
      </c>
      <c r="U1007" t="s">
        <v>184</v>
      </c>
      <c r="V1007">
        <v>4.0738569753810081</v>
      </c>
      <c r="W1007">
        <v>11</v>
      </c>
      <c r="X1007">
        <v>25</v>
      </c>
      <c r="Y1007">
        <v>19</v>
      </c>
      <c r="Z1007">
        <v>5.8273038403982118E-2</v>
      </c>
      <c r="AA1007">
        <v>31.536000000000001</v>
      </c>
    </row>
    <row r="1008" spans="1:27" x14ac:dyDescent="0.25">
      <c r="A1008" t="s">
        <v>98</v>
      </c>
      <c r="B1008" t="s">
        <v>519</v>
      </c>
      <c r="C1008" t="s">
        <v>1028</v>
      </c>
      <c r="D1008" t="s">
        <v>101</v>
      </c>
      <c r="E1008" t="s">
        <v>304</v>
      </c>
      <c r="F1008" t="s">
        <v>369</v>
      </c>
      <c r="G1008" t="s">
        <v>111</v>
      </c>
      <c r="H1008" t="s">
        <v>125</v>
      </c>
      <c r="I1008">
        <v>2023</v>
      </c>
      <c r="J1008" t="s">
        <v>376</v>
      </c>
      <c r="K1008" t="s">
        <v>127</v>
      </c>
      <c r="L1008" t="s">
        <v>1280</v>
      </c>
      <c r="M1008" t="s">
        <v>1313</v>
      </c>
      <c r="N1008">
        <v>1</v>
      </c>
      <c r="O1008">
        <v>2023</v>
      </c>
      <c r="P1008">
        <v>4511.628576368902</v>
      </c>
      <c r="Q1008">
        <v>5.1641446916145979</v>
      </c>
      <c r="R1008" t="s">
        <v>109</v>
      </c>
      <c r="S1008">
        <v>873.64488134787655</v>
      </c>
      <c r="T1008">
        <v>4.2203985932004704</v>
      </c>
      <c r="U1008" t="s">
        <v>184</v>
      </c>
      <c r="V1008">
        <v>4.2203985932004704</v>
      </c>
      <c r="W1008">
        <v>11</v>
      </c>
      <c r="X1008">
        <v>25</v>
      </c>
      <c r="Y1008">
        <v>19</v>
      </c>
      <c r="Z1008">
        <v>5.8273038403982118E-2</v>
      </c>
      <c r="AA1008">
        <v>31.536000000000001</v>
      </c>
    </row>
    <row r="1009" spans="1:27" x14ac:dyDescent="0.25">
      <c r="A1009" t="s">
        <v>98</v>
      </c>
      <c r="B1009" t="s">
        <v>519</v>
      </c>
      <c r="C1009" t="s">
        <v>1028</v>
      </c>
      <c r="D1009" t="s">
        <v>101</v>
      </c>
      <c r="E1009" t="s">
        <v>304</v>
      </c>
      <c r="F1009" t="s">
        <v>369</v>
      </c>
      <c r="G1009" t="s">
        <v>114</v>
      </c>
      <c r="H1009" t="s">
        <v>125</v>
      </c>
      <c r="I1009">
        <v>2016</v>
      </c>
      <c r="J1009" t="s">
        <v>378</v>
      </c>
      <c r="K1009" t="s">
        <v>127</v>
      </c>
      <c r="L1009" t="s">
        <v>1280</v>
      </c>
      <c r="M1009" t="s">
        <v>1314</v>
      </c>
      <c r="N1009">
        <v>1</v>
      </c>
      <c r="O1009">
        <v>2020</v>
      </c>
      <c r="P1009">
        <v>4877.436298777192</v>
      </c>
      <c r="Q1009">
        <v>5.1641446916145979</v>
      </c>
      <c r="R1009" t="s">
        <v>109</v>
      </c>
      <c r="S1009">
        <v>944.48095280851533</v>
      </c>
      <c r="T1009">
        <v>4.3962485345838216</v>
      </c>
      <c r="U1009" t="s">
        <v>184</v>
      </c>
      <c r="V1009">
        <v>4.3962485345838216</v>
      </c>
      <c r="W1009">
        <v>11</v>
      </c>
      <c r="X1009">
        <v>25</v>
      </c>
      <c r="Y1009">
        <v>19</v>
      </c>
      <c r="Z1009">
        <v>5.8273038403982118E-2</v>
      </c>
      <c r="AA1009">
        <v>31.536000000000001</v>
      </c>
    </row>
    <row r="1010" spans="1:27" x14ac:dyDescent="0.25">
      <c r="A1010" t="s">
        <v>98</v>
      </c>
      <c r="B1010" t="s">
        <v>519</v>
      </c>
      <c r="C1010" t="s">
        <v>1028</v>
      </c>
      <c r="D1010" t="s">
        <v>101</v>
      </c>
      <c r="E1010" t="s">
        <v>304</v>
      </c>
      <c r="F1010" t="s">
        <v>369</v>
      </c>
      <c r="G1010" t="s">
        <v>114</v>
      </c>
      <c r="H1010" t="s">
        <v>125</v>
      </c>
      <c r="I1010">
        <v>2023</v>
      </c>
      <c r="J1010" t="s">
        <v>380</v>
      </c>
      <c r="K1010" t="s">
        <v>127</v>
      </c>
      <c r="L1010" t="s">
        <v>1280</v>
      </c>
      <c r="M1010" t="s">
        <v>1315</v>
      </c>
      <c r="N1010">
        <v>1</v>
      </c>
      <c r="O1010">
        <v>2023</v>
      </c>
      <c r="P1010">
        <v>5202.5987186956727</v>
      </c>
      <c r="Q1010">
        <v>5.1641446916145979</v>
      </c>
      <c r="R1010" t="s">
        <v>109</v>
      </c>
      <c r="S1010">
        <v>1007.446349662417</v>
      </c>
      <c r="T1010">
        <v>4.6893317702227444</v>
      </c>
      <c r="U1010" t="s">
        <v>184</v>
      </c>
      <c r="V1010">
        <v>4.6893317702227444</v>
      </c>
      <c r="W1010">
        <v>11</v>
      </c>
      <c r="X1010">
        <v>25</v>
      </c>
      <c r="Y1010">
        <v>19</v>
      </c>
      <c r="Z1010">
        <v>5.8273038403982118E-2</v>
      </c>
      <c r="AA1010">
        <v>31.536000000000001</v>
      </c>
    </row>
    <row r="1011" spans="1:27" x14ac:dyDescent="0.25">
      <c r="A1011" t="s">
        <v>98</v>
      </c>
      <c r="B1011" t="s">
        <v>519</v>
      </c>
      <c r="C1011" t="s">
        <v>1028</v>
      </c>
      <c r="D1011" t="s">
        <v>101</v>
      </c>
      <c r="E1011" t="s">
        <v>304</v>
      </c>
      <c r="F1011" t="s">
        <v>369</v>
      </c>
      <c r="G1011" t="s">
        <v>119</v>
      </c>
      <c r="H1011" t="s">
        <v>125</v>
      </c>
      <c r="I1011">
        <v>2016</v>
      </c>
      <c r="J1011" t="s">
        <v>382</v>
      </c>
      <c r="K1011" t="s">
        <v>127</v>
      </c>
      <c r="L1011" t="s">
        <v>1280</v>
      </c>
      <c r="M1011" t="s">
        <v>1316</v>
      </c>
      <c r="N1011">
        <v>1</v>
      </c>
      <c r="O1011">
        <v>2020</v>
      </c>
      <c r="P1011">
        <v>5670.0196973284856</v>
      </c>
      <c r="Q1011">
        <v>5.1641446916145979</v>
      </c>
      <c r="R1011" t="s">
        <v>109</v>
      </c>
      <c r="S1011">
        <v>1097.959107639899</v>
      </c>
      <c r="T1011">
        <v>4.835873388042204</v>
      </c>
      <c r="U1011" t="s">
        <v>184</v>
      </c>
      <c r="V1011">
        <v>4.835873388042204</v>
      </c>
      <c r="W1011">
        <v>11</v>
      </c>
      <c r="X1011">
        <v>25</v>
      </c>
      <c r="Y1011">
        <v>19</v>
      </c>
      <c r="Z1011">
        <v>5.8273038403982118E-2</v>
      </c>
      <c r="AA1011">
        <v>31.536000000000001</v>
      </c>
    </row>
    <row r="1012" spans="1:27" x14ac:dyDescent="0.25">
      <c r="A1012" t="s">
        <v>98</v>
      </c>
      <c r="B1012" t="s">
        <v>519</v>
      </c>
      <c r="C1012" t="s">
        <v>1028</v>
      </c>
      <c r="D1012" t="s">
        <v>101</v>
      </c>
      <c r="E1012" t="s">
        <v>304</v>
      </c>
      <c r="F1012" t="s">
        <v>369</v>
      </c>
      <c r="G1012" t="s">
        <v>119</v>
      </c>
      <c r="H1012" t="s">
        <v>125</v>
      </c>
      <c r="I1012">
        <v>2022</v>
      </c>
      <c r="J1012" t="s">
        <v>384</v>
      </c>
      <c r="K1012" t="s">
        <v>127</v>
      </c>
      <c r="L1012" t="s">
        <v>1280</v>
      </c>
      <c r="M1012" t="s">
        <v>1317</v>
      </c>
      <c r="N1012">
        <v>1</v>
      </c>
      <c r="O1012">
        <v>2022</v>
      </c>
      <c r="P1012">
        <v>5670.0196973284856</v>
      </c>
      <c r="Q1012">
        <v>5.1641446916145979</v>
      </c>
      <c r="R1012" t="s">
        <v>109</v>
      </c>
      <c r="S1012">
        <v>1097.959107639899</v>
      </c>
      <c r="T1012">
        <v>4.835873388042204</v>
      </c>
      <c r="U1012" t="s">
        <v>184</v>
      </c>
      <c r="V1012">
        <v>4.835873388042204</v>
      </c>
      <c r="W1012">
        <v>11</v>
      </c>
      <c r="X1012">
        <v>25</v>
      </c>
      <c r="Y1012">
        <v>19</v>
      </c>
      <c r="Z1012">
        <v>5.8273038403982118E-2</v>
      </c>
      <c r="AA1012">
        <v>31.536000000000001</v>
      </c>
    </row>
    <row r="1013" spans="1:27" x14ac:dyDescent="0.25">
      <c r="A1013" t="s">
        <v>98</v>
      </c>
      <c r="B1013" t="s">
        <v>519</v>
      </c>
      <c r="C1013" t="s">
        <v>1028</v>
      </c>
      <c r="D1013" t="s">
        <v>101</v>
      </c>
      <c r="E1013" t="s">
        <v>386</v>
      </c>
      <c r="G1013" t="s">
        <v>387</v>
      </c>
      <c r="H1013" t="s">
        <v>125</v>
      </c>
      <c r="I1013">
        <v>2016</v>
      </c>
      <c r="J1013" t="s">
        <v>388</v>
      </c>
      <c r="K1013" t="s">
        <v>127</v>
      </c>
      <c r="L1013" t="s">
        <v>1318</v>
      </c>
      <c r="M1013" t="s">
        <v>1319</v>
      </c>
      <c r="N1013">
        <v>1</v>
      </c>
      <c r="O1013">
        <v>2020</v>
      </c>
      <c r="P1013">
        <v>853.55135228600852</v>
      </c>
      <c r="Q1013">
        <v>4.3717947668625428</v>
      </c>
      <c r="R1013" t="s">
        <v>391</v>
      </c>
      <c r="S1013">
        <v>195.24048995981741</v>
      </c>
      <c r="T1013">
        <v>404.78399999999999</v>
      </c>
      <c r="U1013" t="s">
        <v>392</v>
      </c>
      <c r="V1013">
        <v>1.1306815642458099</v>
      </c>
      <c r="W1013">
        <v>11.625999787885601</v>
      </c>
      <c r="X1013">
        <v>21.895260974855479</v>
      </c>
      <c r="Y1013">
        <v>17</v>
      </c>
      <c r="Z1013">
        <v>0.65</v>
      </c>
      <c r="AA1013">
        <v>1</v>
      </c>
    </row>
    <row r="1014" spans="1:27" x14ac:dyDescent="0.25">
      <c r="A1014" t="s">
        <v>98</v>
      </c>
      <c r="B1014" t="s">
        <v>519</v>
      </c>
      <c r="C1014" t="s">
        <v>1028</v>
      </c>
      <c r="D1014" t="s">
        <v>101</v>
      </c>
      <c r="E1014" t="s">
        <v>386</v>
      </c>
      <c r="G1014" t="s">
        <v>393</v>
      </c>
      <c r="H1014" t="s">
        <v>125</v>
      </c>
      <c r="I1014">
        <v>2016</v>
      </c>
      <c r="J1014" t="s">
        <v>394</v>
      </c>
      <c r="K1014" t="s">
        <v>127</v>
      </c>
      <c r="L1014" t="s">
        <v>1318</v>
      </c>
      <c r="M1014" t="s">
        <v>1320</v>
      </c>
      <c r="N1014">
        <v>1</v>
      </c>
      <c r="O1014">
        <v>2020</v>
      </c>
      <c r="P1014">
        <v>914.51930602072343</v>
      </c>
      <c r="Q1014">
        <v>4.3717947668625428</v>
      </c>
      <c r="R1014" t="s">
        <v>391</v>
      </c>
      <c r="S1014">
        <v>209.18623924266149</v>
      </c>
      <c r="T1014">
        <v>389</v>
      </c>
      <c r="U1014" t="s">
        <v>392</v>
      </c>
      <c r="V1014">
        <v>1.08659217877095</v>
      </c>
      <c r="W1014">
        <v>11.625999787885601</v>
      </c>
      <c r="X1014">
        <v>21.895260974855479</v>
      </c>
      <c r="Y1014">
        <v>17</v>
      </c>
      <c r="Z1014">
        <v>0.65</v>
      </c>
      <c r="AA1014">
        <v>1</v>
      </c>
    </row>
    <row r="1015" spans="1:27" x14ac:dyDescent="0.25">
      <c r="A1015" t="s">
        <v>98</v>
      </c>
      <c r="B1015" t="s">
        <v>519</v>
      </c>
      <c r="C1015" t="s">
        <v>1028</v>
      </c>
      <c r="D1015" t="s">
        <v>101</v>
      </c>
      <c r="E1015" t="s">
        <v>386</v>
      </c>
      <c r="G1015" t="s">
        <v>396</v>
      </c>
      <c r="H1015" t="s">
        <v>125</v>
      </c>
      <c r="I1015">
        <v>2016</v>
      </c>
      <c r="J1015" t="s">
        <v>397</v>
      </c>
      <c r="K1015" t="s">
        <v>127</v>
      </c>
      <c r="L1015" t="s">
        <v>1318</v>
      </c>
      <c r="M1015" t="s">
        <v>1321</v>
      </c>
      <c r="N1015">
        <v>1</v>
      </c>
      <c r="O1015">
        <v>2020</v>
      </c>
      <c r="P1015">
        <v>1036.455213490153</v>
      </c>
      <c r="Q1015">
        <v>4.3717947668625428</v>
      </c>
      <c r="R1015" t="s">
        <v>391</v>
      </c>
      <c r="S1015">
        <v>237.0777378083497</v>
      </c>
      <c r="T1015">
        <v>364.30560000000003</v>
      </c>
      <c r="U1015" t="s">
        <v>392</v>
      </c>
      <c r="V1015">
        <v>1.0176134078212291</v>
      </c>
      <c r="W1015">
        <v>11.625999787885601</v>
      </c>
      <c r="X1015">
        <v>21.895260974855479</v>
      </c>
      <c r="Y1015">
        <v>17</v>
      </c>
      <c r="Z1015">
        <v>0.65</v>
      </c>
      <c r="AA1015">
        <v>1</v>
      </c>
    </row>
    <row r="1016" spans="1:27" x14ac:dyDescent="0.25">
      <c r="A1016" t="s">
        <v>98</v>
      </c>
      <c r="B1016" t="s">
        <v>519</v>
      </c>
      <c r="C1016" t="s">
        <v>1028</v>
      </c>
      <c r="D1016" t="s">
        <v>101</v>
      </c>
      <c r="E1016" t="s">
        <v>386</v>
      </c>
      <c r="G1016" t="s">
        <v>399</v>
      </c>
      <c r="H1016" t="s">
        <v>125</v>
      </c>
      <c r="I1016">
        <v>2016</v>
      </c>
      <c r="J1016" t="s">
        <v>400</v>
      </c>
      <c r="K1016" t="s">
        <v>127</v>
      </c>
      <c r="L1016" t="s">
        <v>1318</v>
      </c>
      <c r="M1016" t="s">
        <v>1322</v>
      </c>
      <c r="N1016">
        <v>1</v>
      </c>
      <c r="O1016">
        <v>2020</v>
      </c>
      <c r="P1016">
        <v>1073.035985730982</v>
      </c>
      <c r="Q1016">
        <v>4.3717947668625428</v>
      </c>
      <c r="R1016" t="s">
        <v>391</v>
      </c>
      <c r="S1016">
        <v>245.4451873780562</v>
      </c>
      <c r="T1016">
        <v>358</v>
      </c>
      <c r="U1016" t="s">
        <v>392</v>
      </c>
      <c r="V1016">
        <v>1</v>
      </c>
      <c r="W1016">
        <v>11.625999787885601</v>
      </c>
      <c r="X1016">
        <v>21.895260974855479</v>
      </c>
      <c r="Y1016">
        <v>17</v>
      </c>
      <c r="Z1016">
        <v>0.65</v>
      </c>
      <c r="AA1016">
        <v>1</v>
      </c>
    </row>
    <row r="1017" spans="1:27" x14ac:dyDescent="0.25">
      <c r="A1017" t="s">
        <v>98</v>
      </c>
      <c r="B1017" t="s">
        <v>519</v>
      </c>
      <c r="C1017" t="s">
        <v>1028</v>
      </c>
      <c r="D1017" t="s">
        <v>101</v>
      </c>
      <c r="E1017" t="s">
        <v>386</v>
      </c>
      <c r="G1017" t="s">
        <v>402</v>
      </c>
      <c r="H1017" t="s">
        <v>125</v>
      </c>
      <c r="I1017">
        <v>2016</v>
      </c>
      <c r="J1017" t="s">
        <v>403</v>
      </c>
      <c r="K1017" t="s">
        <v>127</v>
      </c>
      <c r="L1017" t="s">
        <v>1318</v>
      </c>
      <c r="M1017" t="s">
        <v>1323</v>
      </c>
      <c r="N1017">
        <v>1</v>
      </c>
      <c r="O1017">
        <v>2020</v>
      </c>
      <c r="P1017">
        <v>1597.3603878495301</v>
      </c>
      <c r="Q1017">
        <v>4.3717947668625428</v>
      </c>
      <c r="R1017" t="s">
        <v>391</v>
      </c>
      <c r="S1017">
        <v>365.37863121051538</v>
      </c>
      <c r="T1017">
        <v>705.226</v>
      </c>
      <c r="U1017" t="s">
        <v>392</v>
      </c>
      <c r="V1017">
        <v>1.9699050279329611</v>
      </c>
      <c r="W1017">
        <v>11.625999787885601</v>
      </c>
      <c r="X1017">
        <v>21.895260974855479</v>
      </c>
      <c r="Y1017">
        <v>17</v>
      </c>
      <c r="Z1017">
        <v>0.65</v>
      </c>
      <c r="AA1017">
        <v>1</v>
      </c>
    </row>
    <row r="1018" spans="1:27" x14ac:dyDescent="0.25">
      <c r="A1018" t="s">
        <v>98</v>
      </c>
      <c r="B1018" t="s">
        <v>519</v>
      </c>
      <c r="C1018" t="s">
        <v>1028</v>
      </c>
      <c r="D1018" t="s">
        <v>101</v>
      </c>
      <c r="E1018" t="s">
        <v>386</v>
      </c>
      <c r="G1018" t="s">
        <v>405</v>
      </c>
      <c r="H1018" t="s">
        <v>125</v>
      </c>
      <c r="I1018">
        <v>2016</v>
      </c>
      <c r="J1018" t="s">
        <v>406</v>
      </c>
      <c r="K1018" t="s">
        <v>127</v>
      </c>
      <c r="L1018" t="s">
        <v>1318</v>
      </c>
      <c r="M1018" t="s">
        <v>1324</v>
      </c>
      <c r="N1018">
        <v>1</v>
      </c>
      <c r="O1018">
        <v>2020</v>
      </c>
      <c r="P1018">
        <v>1731.489886065903</v>
      </c>
      <c r="Q1018">
        <v>4.3717947668625428</v>
      </c>
      <c r="R1018" t="s">
        <v>391</v>
      </c>
      <c r="S1018">
        <v>396.05927963277242</v>
      </c>
      <c r="T1018">
        <v>671</v>
      </c>
      <c r="U1018" t="s">
        <v>392</v>
      </c>
      <c r="V1018">
        <v>1.8743016759776541</v>
      </c>
      <c r="W1018">
        <v>11.625999787885601</v>
      </c>
      <c r="X1018">
        <v>21.895260974855479</v>
      </c>
      <c r="Y1018">
        <v>17</v>
      </c>
      <c r="Z1018">
        <v>0.65</v>
      </c>
      <c r="AA1018">
        <v>1</v>
      </c>
    </row>
    <row r="1019" spans="1:27" x14ac:dyDescent="0.25">
      <c r="A1019" t="s">
        <v>98</v>
      </c>
      <c r="B1019" t="s">
        <v>519</v>
      </c>
      <c r="C1019" t="s">
        <v>1028</v>
      </c>
      <c r="D1019" t="s">
        <v>101</v>
      </c>
      <c r="E1019" t="s">
        <v>386</v>
      </c>
      <c r="G1019" t="s">
        <v>408</v>
      </c>
      <c r="H1019" t="s">
        <v>125</v>
      </c>
      <c r="I1019">
        <v>2016</v>
      </c>
      <c r="J1019" t="s">
        <v>409</v>
      </c>
      <c r="K1019" t="s">
        <v>127</v>
      </c>
      <c r="L1019" t="s">
        <v>1318</v>
      </c>
      <c r="M1019" t="s">
        <v>1325</v>
      </c>
      <c r="N1019">
        <v>1</v>
      </c>
      <c r="O1019">
        <v>2020</v>
      </c>
      <c r="P1019">
        <v>1890.006565776162</v>
      </c>
      <c r="Q1019">
        <v>4.3717947668625428</v>
      </c>
      <c r="R1019" t="s">
        <v>391</v>
      </c>
      <c r="S1019">
        <v>432.31822776816711</v>
      </c>
      <c r="T1019">
        <v>634.70339999999999</v>
      </c>
      <c r="U1019" t="s">
        <v>392</v>
      </c>
      <c r="V1019">
        <v>1.772914525139665</v>
      </c>
      <c r="W1019">
        <v>11.625999787885601</v>
      </c>
      <c r="X1019">
        <v>21.895260974855479</v>
      </c>
      <c r="Y1019">
        <v>17</v>
      </c>
      <c r="Z1019">
        <v>0.65</v>
      </c>
      <c r="AA1019">
        <v>1</v>
      </c>
    </row>
    <row r="1020" spans="1:27" x14ac:dyDescent="0.25">
      <c r="A1020" t="s">
        <v>98</v>
      </c>
      <c r="B1020" t="s">
        <v>519</v>
      </c>
      <c r="C1020" t="s">
        <v>1028</v>
      </c>
      <c r="D1020" t="s">
        <v>101</v>
      </c>
      <c r="E1020" t="s">
        <v>386</v>
      </c>
      <c r="G1020" t="s">
        <v>411</v>
      </c>
      <c r="H1020" t="s">
        <v>125</v>
      </c>
      <c r="I1020">
        <v>2016</v>
      </c>
      <c r="J1020" t="s">
        <v>412</v>
      </c>
      <c r="K1020" t="s">
        <v>127</v>
      </c>
      <c r="L1020" t="s">
        <v>1318</v>
      </c>
      <c r="M1020" t="s">
        <v>1326</v>
      </c>
      <c r="N1020">
        <v>1</v>
      </c>
      <c r="O1020">
        <v>2020</v>
      </c>
      <c r="P1020">
        <v>2414.3309678947098</v>
      </c>
      <c r="Q1020">
        <v>4.3717947668625428</v>
      </c>
      <c r="R1020" t="s">
        <v>391</v>
      </c>
      <c r="S1020">
        <v>552.25167160062631</v>
      </c>
      <c r="T1020">
        <v>509</v>
      </c>
      <c r="U1020" t="s">
        <v>392</v>
      </c>
      <c r="V1020">
        <v>1.4217877094972069</v>
      </c>
      <c r="W1020">
        <v>11.625999787885601</v>
      </c>
      <c r="X1020">
        <v>21.895260974855479</v>
      </c>
      <c r="Y1020">
        <v>17</v>
      </c>
      <c r="Z1020">
        <v>0.65</v>
      </c>
      <c r="AA1020">
        <v>1</v>
      </c>
    </row>
    <row r="1021" spans="1:27" x14ac:dyDescent="0.25">
      <c r="A1021" t="s">
        <v>98</v>
      </c>
      <c r="B1021" t="s">
        <v>519</v>
      </c>
      <c r="C1021" t="s">
        <v>1028</v>
      </c>
      <c r="D1021" t="s">
        <v>101</v>
      </c>
      <c r="E1021" t="s">
        <v>386</v>
      </c>
      <c r="G1021" t="s">
        <v>414</v>
      </c>
      <c r="H1021" t="s">
        <v>125</v>
      </c>
      <c r="I1021">
        <v>2016</v>
      </c>
      <c r="J1021" t="s">
        <v>415</v>
      </c>
      <c r="K1021" t="s">
        <v>127</v>
      </c>
      <c r="L1021" t="s">
        <v>1318</v>
      </c>
      <c r="M1021" t="s">
        <v>1327</v>
      </c>
      <c r="N1021">
        <v>1</v>
      </c>
      <c r="O1021">
        <v>2020</v>
      </c>
      <c r="P1021">
        <v>1255.939846935127</v>
      </c>
      <c r="Q1021">
        <v>4.3717947668625428</v>
      </c>
      <c r="R1021" t="s">
        <v>391</v>
      </c>
      <c r="S1021">
        <v>287.28243522658852</v>
      </c>
      <c r="T1021">
        <v>520.54999999999995</v>
      </c>
      <c r="U1021" t="s">
        <v>392</v>
      </c>
      <c r="V1021">
        <v>1.4540502793296091</v>
      </c>
      <c r="W1021">
        <v>11.625999787885601</v>
      </c>
      <c r="X1021">
        <v>21.895260974855479</v>
      </c>
      <c r="Y1021">
        <v>17</v>
      </c>
      <c r="Z1021">
        <v>0.65</v>
      </c>
      <c r="AA1021">
        <v>1</v>
      </c>
    </row>
    <row r="1022" spans="1:27" x14ac:dyDescent="0.25">
      <c r="A1022" t="s">
        <v>98</v>
      </c>
      <c r="B1022" t="s">
        <v>519</v>
      </c>
      <c r="C1022" t="s">
        <v>1028</v>
      </c>
      <c r="D1022" t="s">
        <v>101</v>
      </c>
      <c r="E1022" t="s">
        <v>386</v>
      </c>
      <c r="G1022" t="s">
        <v>417</v>
      </c>
      <c r="H1022" t="s">
        <v>125</v>
      </c>
      <c r="I1022">
        <v>2016</v>
      </c>
      <c r="J1022" t="s">
        <v>418</v>
      </c>
      <c r="K1022" t="s">
        <v>127</v>
      </c>
      <c r="L1022" t="s">
        <v>1318</v>
      </c>
      <c r="M1022" t="s">
        <v>1328</v>
      </c>
      <c r="N1022">
        <v>1</v>
      </c>
      <c r="O1022">
        <v>2020</v>
      </c>
      <c r="P1022">
        <v>1365.682163657614</v>
      </c>
      <c r="Q1022">
        <v>4.3717947668625428</v>
      </c>
      <c r="R1022" t="s">
        <v>391</v>
      </c>
      <c r="S1022">
        <v>312.38478393570779</v>
      </c>
      <c r="T1022">
        <v>480</v>
      </c>
      <c r="U1022" t="s">
        <v>392</v>
      </c>
      <c r="V1022">
        <v>1.3407821229050281</v>
      </c>
      <c r="W1022">
        <v>11.625999787885601</v>
      </c>
      <c r="X1022">
        <v>21.895260974855479</v>
      </c>
      <c r="Y1022">
        <v>17</v>
      </c>
      <c r="Z1022">
        <v>0.65</v>
      </c>
      <c r="AA1022">
        <v>1</v>
      </c>
    </row>
    <row r="1023" spans="1:27" x14ac:dyDescent="0.25">
      <c r="A1023" t="s">
        <v>98</v>
      </c>
      <c r="B1023" t="s">
        <v>519</v>
      </c>
      <c r="C1023" t="s">
        <v>1028</v>
      </c>
      <c r="D1023" t="s">
        <v>101</v>
      </c>
      <c r="E1023" t="s">
        <v>386</v>
      </c>
      <c r="G1023" t="s">
        <v>420</v>
      </c>
      <c r="H1023" t="s">
        <v>125</v>
      </c>
      <c r="I1023">
        <v>2016</v>
      </c>
      <c r="J1023" t="s">
        <v>421</v>
      </c>
      <c r="K1023" t="s">
        <v>127</v>
      </c>
      <c r="L1023" t="s">
        <v>1318</v>
      </c>
      <c r="M1023" t="s">
        <v>1329</v>
      </c>
      <c r="N1023">
        <v>1</v>
      </c>
      <c r="O1023">
        <v>2020</v>
      </c>
      <c r="P1023">
        <v>1414.456526645386</v>
      </c>
      <c r="Q1023">
        <v>4.3717947668625428</v>
      </c>
      <c r="R1023" t="s">
        <v>391</v>
      </c>
      <c r="S1023">
        <v>323.54138336198309</v>
      </c>
      <c r="T1023">
        <v>469</v>
      </c>
      <c r="U1023" t="s">
        <v>392</v>
      </c>
      <c r="V1023">
        <v>1.310055865921788</v>
      </c>
      <c r="W1023">
        <v>11.625999787885601</v>
      </c>
      <c r="X1023">
        <v>21.895260974855479</v>
      </c>
      <c r="Y1023">
        <v>17</v>
      </c>
      <c r="Z1023">
        <v>0.65</v>
      </c>
      <c r="AA1023">
        <v>1</v>
      </c>
    </row>
    <row r="1024" spans="1:27" x14ac:dyDescent="0.25">
      <c r="A1024" t="s">
        <v>98</v>
      </c>
      <c r="B1024" t="s">
        <v>519</v>
      </c>
      <c r="C1024" t="s">
        <v>1028</v>
      </c>
      <c r="D1024" t="s">
        <v>101</v>
      </c>
      <c r="E1024" t="s">
        <v>386</v>
      </c>
      <c r="G1024" t="s">
        <v>423</v>
      </c>
      <c r="H1024" t="s">
        <v>125</v>
      </c>
      <c r="I1024">
        <v>2016</v>
      </c>
      <c r="J1024" t="s">
        <v>424</v>
      </c>
      <c r="K1024" t="s">
        <v>127</v>
      </c>
      <c r="L1024" t="s">
        <v>1318</v>
      </c>
      <c r="M1024" t="s">
        <v>1330</v>
      </c>
      <c r="N1024">
        <v>1</v>
      </c>
      <c r="O1024">
        <v>2020</v>
      </c>
      <c r="P1024">
        <v>1414.456526645386</v>
      </c>
      <c r="Q1024">
        <v>4.3717947668625428</v>
      </c>
      <c r="R1024" t="s">
        <v>391</v>
      </c>
      <c r="S1024">
        <v>323.54138336198309</v>
      </c>
      <c r="T1024">
        <v>469</v>
      </c>
      <c r="U1024" t="s">
        <v>392</v>
      </c>
      <c r="V1024">
        <v>1.310055865921788</v>
      </c>
      <c r="W1024">
        <v>11.625999787885601</v>
      </c>
      <c r="X1024">
        <v>21.895260974855479</v>
      </c>
      <c r="Y1024">
        <v>17</v>
      </c>
      <c r="Z1024">
        <v>0.65</v>
      </c>
      <c r="AA1024">
        <v>1</v>
      </c>
    </row>
    <row r="1025" spans="1:27" x14ac:dyDescent="0.25">
      <c r="A1025" t="s">
        <v>98</v>
      </c>
      <c r="B1025" t="s">
        <v>519</v>
      </c>
      <c r="C1025" t="s">
        <v>1028</v>
      </c>
      <c r="D1025" t="s">
        <v>101</v>
      </c>
      <c r="E1025" t="s">
        <v>426</v>
      </c>
      <c r="G1025" t="s">
        <v>427</v>
      </c>
      <c r="H1025" t="s">
        <v>125</v>
      </c>
      <c r="I1025">
        <v>2016</v>
      </c>
      <c r="J1025" t="s">
        <v>428</v>
      </c>
      <c r="K1025" t="s">
        <v>127</v>
      </c>
      <c r="L1025" t="s">
        <v>1331</v>
      </c>
      <c r="M1025" t="s">
        <v>1332</v>
      </c>
      <c r="N1025">
        <v>1</v>
      </c>
      <c r="O1025">
        <v>2020</v>
      </c>
      <c r="P1025">
        <v>609.67953734714899</v>
      </c>
      <c r="Q1025">
        <v>0.72117223912657968</v>
      </c>
      <c r="R1025" t="s">
        <v>391</v>
      </c>
      <c r="S1025">
        <v>845.40072990821056</v>
      </c>
      <c r="T1025">
        <v>300.25599999999997</v>
      </c>
      <c r="U1025" t="s">
        <v>392</v>
      </c>
      <c r="V1025">
        <v>1.0918399999999999</v>
      </c>
      <c r="W1025">
        <v>16.5973520403479</v>
      </c>
      <c r="X1025">
        <v>27.331519839424129</v>
      </c>
      <c r="Y1025">
        <v>22</v>
      </c>
      <c r="Z1025">
        <v>0.65</v>
      </c>
      <c r="AA1025">
        <v>1</v>
      </c>
    </row>
    <row r="1026" spans="1:27" x14ac:dyDescent="0.25">
      <c r="A1026" t="s">
        <v>98</v>
      </c>
      <c r="B1026" t="s">
        <v>519</v>
      </c>
      <c r="C1026" t="s">
        <v>1028</v>
      </c>
      <c r="D1026" t="s">
        <v>101</v>
      </c>
      <c r="E1026" t="s">
        <v>426</v>
      </c>
      <c r="G1026" t="s">
        <v>431</v>
      </c>
      <c r="H1026" t="s">
        <v>125</v>
      </c>
      <c r="I1026">
        <v>2016</v>
      </c>
      <c r="J1026" t="s">
        <v>432</v>
      </c>
      <c r="K1026" t="s">
        <v>127</v>
      </c>
      <c r="L1026" t="s">
        <v>1331</v>
      </c>
      <c r="M1026" t="s">
        <v>1333</v>
      </c>
      <c r="N1026">
        <v>1</v>
      </c>
      <c r="O1026">
        <v>2020</v>
      </c>
      <c r="P1026">
        <v>609.67953734714899</v>
      </c>
      <c r="Q1026">
        <v>0.72117223912657968</v>
      </c>
      <c r="R1026" t="s">
        <v>391</v>
      </c>
      <c r="S1026">
        <v>845.40072990821056</v>
      </c>
      <c r="T1026">
        <v>297</v>
      </c>
      <c r="U1026" t="s">
        <v>392</v>
      </c>
      <c r="V1026">
        <v>1.08</v>
      </c>
      <c r="W1026">
        <v>16.5973520403479</v>
      </c>
      <c r="X1026">
        <v>27.331519839424129</v>
      </c>
      <c r="Y1026">
        <v>22</v>
      </c>
      <c r="Z1026">
        <v>0.65</v>
      </c>
      <c r="AA1026">
        <v>1</v>
      </c>
    </row>
    <row r="1027" spans="1:27" x14ac:dyDescent="0.25">
      <c r="A1027" t="s">
        <v>98</v>
      </c>
      <c r="B1027" t="s">
        <v>519</v>
      </c>
      <c r="C1027" t="s">
        <v>1028</v>
      </c>
      <c r="D1027" t="s">
        <v>101</v>
      </c>
      <c r="E1027" t="s">
        <v>426</v>
      </c>
      <c r="G1027" t="s">
        <v>434</v>
      </c>
      <c r="H1027" t="s">
        <v>125</v>
      </c>
      <c r="I1027">
        <v>2016</v>
      </c>
      <c r="J1027" t="s">
        <v>435</v>
      </c>
      <c r="K1027" t="s">
        <v>127</v>
      </c>
      <c r="L1027" t="s">
        <v>1331</v>
      </c>
      <c r="M1027" t="s">
        <v>1334</v>
      </c>
      <c r="N1027">
        <v>1</v>
      </c>
      <c r="O1027">
        <v>2020</v>
      </c>
      <c r="P1027">
        <v>670.6474910818639</v>
      </c>
      <c r="Q1027">
        <v>0.72117223912657968</v>
      </c>
      <c r="R1027" t="s">
        <v>391</v>
      </c>
      <c r="S1027">
        <v>929.94080289903161</v>
      </c>
      <c r="T1027">
        <v>277</v>
      </c>
      <c r="U1027" t="s">
        <v>392</v>
      </c>
      <c r="V1027">
        <v>1.0072727272727271</v>
      </c>
      <c r="W1027">
        <v>16.5973520403479</v>
      </c>
      <c r="X1027">
        <v>27.331519839424129</v>
      </c>
      <c r="Y1027">
        <v>22</v>
      </c>
      <c r="Z1027">
        <v>0.65</v>
      </c>
      <c r="AA1027">
        <v>1</v>
      </c>
    </row>
    <row r="1028" spans="1:27" x14ac:dyDescent="0.25">
      <c r="A1028" t="s">
        <v>98</v>
      </c>
      <c r="B1028" t="s">
        <v>519</v>
      </c>
      <c r="C1028" t="s">
        <v>1028</v>
      </c>
      <c r="D1028" t="s">
        <v>101</v>
      </c>
      <c r="E1028" t="s">
        <v>426</v>
      </c>
      <c r="G1028" t="s">
        <v>437</v>
      </c>
      <c r="H1028" t="s">
        <v>125</v>
      </c>
      <c r="I1028">
        <v>2016</v>
      </c>
      <c r="J1028" t="s">
        <v>438</v>
      </c>
      <c r="K1028" t="s">
        <v>127</v>
      </c>
      <c r="L1028" t="s">
        <v>1331</v>
      </c>
      <c r="M1028" t="s">
        <v>1335</v>
      </c>
      <c r="N1028">
        <v>1</v>
      </c>
      <c r="O1028">
        <v>2020</v>
      </c>
      <c r="P1028">
        <v>658.45390033492083</v>
      </c>
      <c r="Q1028">
        <v>0.72117223912657968</v>
      </c>
      <c r="R1028" t="s">
        <v>391</v>
      </c>
      <c r="S1028">
        <v>913.0327883008672</v>
      </c>
      <c r="T1028">
        <v>275</v>
      </c>
      <c r="U1028" t="s">
        <v>392</v>
      </c>
      <c r="V1028">
        <v>1</v>
      </c>
      <c r="W1028">
        <v>16.5973520403479</v>
      </c>
      <c r="X1028">
        <v>27.331519839424129</v>
      </c>
      <c r="Y1028">
        <v>22</v>
      </c>
      <c r="Z1028">
        <v>0.65</v>
      </c>
      <c r="AA1028">
        <v>1</v>
      </c>
    </row>
    <row r="1029" spans="1:27" x14ac:dyDescent="0.25">
      <c r="A1029" t="s">
        <v>98</v>
      </c>
      <c r="B1029" t="s">
        <v>519</v>
      </c>
      <c r="C1029" t="s">
        <v>1028</v>
      </c>
      <c r="D1029" t="s">
        <v>101</v>
      </c>
      <c r="E1029" t="s">
        <v>426</v>
      </c>
      <c r="G1029" t="s">
        <v>440</v>
      </c>
      <c r="H1029" t="s">
        <v>125</v>
      </c>
      <c r="I1029">
        <v>2016</v>
      </c>
      <c r="J1029" t="s">
        <v>441</v>
      </c>
      <c r="K1029" t="s">
        <v>127</v>
      </c>
      <c r="L1029" t="s">
        <v>1331</v>
      </c>
      <c r="M1029" t="s">
        <v>1336</v>
      </c>
      <c r="N1029">
        <v>1</v>
      </c>
      <c r="O1029">
        <v>2020</v>
      </c>
      <c r="P1029">
        <v>841.35776153906556</v>
      </c>
      <c r="Q1029">
        <v>0.72117223912657968</v>
      </c>
      <c r="R1029" t="s">
        <v>391</v>
      </c>
      <c r="S1029">
        <v>1166.6530072733301</v>
      </c>
      <c r="T1029">
        <v>477.41800000000001</v>
      </c>
      <c r="U1029" t="s">
        <v>392</v>
      </c>
      <c r="V1029">
        <v>1.736065454545455</v>
      </c>
      <c r="W1029">
        <v>16.5973520403479</v>
      </c>
      <c r="X1029">
        <v>27.331519839424129</v>
      </c>
      <c r="Y1029">
        <v>22</v>
      </c>
      <c r="Z1029">
        <v>0.65</v>
      </c>
      <c r="AA1029">
        <v>1</v>
      </c>
    </row>
    <row r="1030" spans="1:27" x14ac:dyDescent="0.25">
      <c r="A1030" t="s">
        <v>98</v>
      </c>
      <c r="B1030" t="s">
        <v>519</v>
      </c>
      <c r="C1030" t="s">
        <v>1028</v>
      </c>
      <c r="D1030" t="s">
        <v>101</v>
      </c>
      <c r="E1030" t="s">
        <v>426</v>
      </c>
      <c r="G1030" t="s">
        <v>443</v>
      </c>
      <c r="H1030" t="s">
        <v>125</v>
      </c>
      <c r="I1030">
        <v>2016</v>
      </c>
      <c r="J1030" t="s">
        <v>444</v>
      </c>
      <c r="K1030" t="s">
        <v>127</v>
      </c>
      <c r="L1030" t="s">
        <v>1331</v>
      </c>
      <c r="M1030" t="s">
        <v>1337</v>
      </c>
      <c r="N1030">
        <v>1</v>
      </c>
      <c r="O1030">
        <v>2020</v>
      </c>
      <c r="P1030">
        <v>914.51930602072343</v>
      </c>
      <c r="Q1030">
        <v>0.72117223912657968</v>
      </c>
      <c r="R1030" t="s">
        <v>391</v>
      </c>
      <c r="S1030">
        <v>1268.1010948623159</v>
      </c>
      <c r="T1030">
        <v>446</v>
      </c>
      <c r="U1030" t="s">
        <v>392</v>
      </c>
      <c r="V1030">
        <v>1.621818181818182</v>
      </c>
      <c r="W1030">
        <v>16.5973520403479</v>
      </c>
      <c r="X1030">
        <v>27.331519839424129</v>
      </c>
      <c r="Y1030">
        <v>22</v>
      </c>
      <c r="Z1030">
        <v>0.65</v>
      </c>
      <c r="AA1030">
        <v>1</v>
      </c>
    </row>
    <row r="1031" spans="1:27" x14ac:dyDescent="0.25">
      <c r="A1031" t="s">
        <v>98</v>
      </c>
      <c r="B1031" t="s">
        <v>519</v>
      </c>
      <c r="C1031" t="s">
        <v>1028</v>
      </c>
      <c r="D1031" t="s">
        <v>101</v>
      </c>
      <c r="E1031" t="s">
        <v>426</v>
      </c>
      <c r="G1031" t="s">
        <v>446</v>
      </c>
      <c r="H1031" t="s">
        <v>125</v>
      </c>
      <c r="I1031">
        <v>2016</v>
      </c>
      <c r="J1031" t="s">
        <v>447</v>
      </c>
      <c r="K1031" t="s">
        <v>127</v>
      </c>
      <c r="L1031" t="s">
        <v>1331</v>
      </c>
      <c r="M1031" t="s">
        <v>1338</v>
      </c>
      <c r="N1031">
        <v>1</v>
      </c>
      <c r="O1031">
        <v>2020</v>
      </c>
      <c r="P1031">
        <v>963.29366900849539</v>
      </c>
      <c r="Q1031">
        <v>0.72117223912657968</v>
      </c>
      <c r="R1031" t="s">
        <v>391</v>
      </c>
      <c r="S1031">
        <v>1335.7331532549731</v>
      </c>
      <c r="T1031">
        <v>429.67619999999999</v>
      </c>
      <c r="U1031" t="s">
        <v>392</v>
      </c>
      <c r="V1031">
        <v>1.5624589090909089</v>
      </c>
      <c r="W1031">
        <v>16.5973520403479</v>
      </c>
      <c r="X1031">
        <v>27.331519839424129</v>
      </c>
      <c r="Y1031">
        <v>22</v>
      </c>
      <c r="Z1031">
        <v>0.65</v>
      </c>
      <c r="AA1031">
        <v>1</v>
      </c>
    </row>
    <row r="1032" spans="1:27" x14ac:dyDescent="0.25">
      <c r="A1032" t="s">
        <v>98</v>
      </c>
      <c r="B1032" t="s">
        <v>519</v>
      </c>
      <c r="C1032" t="s">
        <v>1028</v>
      </c>
      <c r="D1032" t="s">
        <v>101</v>
      </c>
      <c r="E1032" t="s">
        <v>426</v>
      </c>
      <c r="G1032" t="s">
        <v>449</v>
      </c>
      <c r="H1032" t="s">
        <v>125</v>
      </c>
      <c r="I1032">
        <v>2016</v>
      </c>
      <c r="J1032" t="s">
        <v>450</v>
      </c>
      <c r="K1032" t="s">
        <v>127</v>
      </c>
      <c r="L1032" t="s">
        <v>1331</v>
      </c>
      <c r="M1032" t="s">
        <v>1339</v>
      </c>
      <c r="N1032">
        <v>1</v>
      </c>
      <c r="O1032">
        <v>2020</v>
      </c>
      <c r="P1032">
        <v>987.6808505023813</v>
      </c>
      <c r="Q1032">
        <v>0.72117223912657968</v>
      </c>
      <c r="R1032" t="s">
        <v>391</v>
      </c>
      <c r="S1032">
        <v>1369.549182451301</v>
      </c>
      <c r="T1032">
        <v>419</v>
      </c>
      <c r="U1032" t="s">
        <v>392</v>
      </c>
      <c r="V1032">
        <v>1.5236363636363639</v>
      </c>
      <c r="W1032">
        <v>16.5973520403479</v>
      </c>
      <c r="X1032">
        <v>27.331519839424129</v>
      </c>
      <c r="Y1032">
        <v>22</v>
      </c>
      <c r="Z1032">
        <v>0.65</v>
      </c>
      <c r="AA1032">
        <v>1</v>
      </c>
    </row>
    <row r="1033" spans="1:27" x14ac:dyDescent="0.25">
      <c r="A1033" t="s">
        <v>98</v>
      </c>
      <c r="B1033" t="s">
        <v>519</v>
      </c>
      <c r="C1033" t="s">
        <v>1028</v>
      </c>
      <c r="D1033" t="s">
        <v>101</v>
      </c>
      <c r="E1033" t="s">
        <v>452</v>
      </c>
      <c r="G1033" t="s">
        <v>111</v>
      </c>
      <c r="H1033" t="s">
        <v>104</v>
      </c>
      <c r="I1033">
        <v>2016</v>
      </c>
      <c r="J1033" t="s">
        <v>453</v>
      </c>
      <c r="K1033" t="s">
        <v>106</v>
      </c>
      <c r="L1033" t="s">
        <v>1340</v>
      </c>
      <c r="M1033" t="s">
        <v>1341</v>
      </c>
      <c r="N1033">
        <v>1</v>
      </c>
      <c r="O1033">
        <v>2020</v>
      </c>
      <c r="P1033">
        <v>451.16285763689018</v>
      </c>
      <c r="Q1033">
        <v>17.42129846998877</v>
      </c>
      <c r="R1033" t="s">
        <v>391</v>
      </c>
      <c r="S1033">
        <v>25.89720039606101</v>
      </c>
      <c r="T1033">
        <v>0.45</v>
      </c>
      <c r="U1033" t="s">
        <v>456</v>
      </c>
      <c r="V1033">
        <v>0.45</v>
      </c>
      <c r="W1033">
        <v>9</v>
      </c>
      <c r="X1033">
        <v>15</v>
      </c>
      <c r="Y1033">
        <v>13</v>
      </c>
      <c r="Z1033">
        <v>9.0000000000000011E-2</v>
      </c>
      <c r="AA1033">
        <v>1</v>
      </c>
    </row>
    <row r="1034" spans="1:27" x14ac:dyDescent="0.25">
      <c r="A1034" t="s">
        <v>98</v>
      </c>
      <c r="B1034" t="s">
        <v>519</v>
      </c>
      <c r="C1034" t="s">
        <v>1028</v>
      </c>
      <c r="D1034" t="s">
        <v>101</v>
      </c>
      <c r="E1034" t="s">
        <v>452</v>
      </c>
      <c r="G1034" t="s">
        <v>119</v>
      </c>
      <c r="H1034" t="s">
        <v>104</v>
      </c>
      <c r="I1034">
        <v>2016</v>
      </c>
      <c r="J1034" t="s">
        <v>457</v>
      </c>
      <c r="K1034" t="s">
        <v>106</v>
      </c>
      <c r="L1034" t="s">
        <v>1340</v>
      </c>
      <c r="M1034" t="s">
        <v>1342</v>
      </c>
      <c r="N1034">
        <v>1</v>
      </c>
      <c r="O1034">
        <v>2020</v>
      </c>
      <c r="P1034">
        <v>521.3437466026287</v>
      </c>
      <c r="Q1034">
        <v>17.42129846998877</v>
      </c>
      <c r="R1034" t="s">
        <v>391</v>
      </c>
      <c r="S1034">
        <v>29.925653791003828</v>
      </c>
      <c r="T1034">
        <v>0.52</v>
      </c>
      <c r="U1034" t="s">
        <v>456</v>
      </c>
      <c r="V1034">
        <v>0.52</v>
      </c>
      <c r="W1034">
        <v>9</v>
      </c>
      <c r="X1034">
        <v>15</v>
      </c>
      <c r="Y1034">
        <v>13</v>
      </c>
      <c r="Z1034">
        <v>9.0000000000000011E-2</v>
      </c>
      <c r="AA1034">
        <v>1</v>
      </c>
    </row>
    <row r="1035" spans="1:27" x14ac:dyDescent="0.25">
      <c r="A1035" t="s">
        <v>98</v>
      </c>
      <c r="B1035" t="s">
        <v>519</v>
      </c>
      <c r="C1035" t="s">
        <v>1028</v>
      </c>
      <c r="D1035" t="s">
        <v>101</v>
      </c>
      <c r="E1035" t="s">
        <v>452</v>
      </c>
      <c r="G1035" t="s">
        <v>111</v>
      </c>
      <c r="H1035" t="s">
        <v>156</v>
      </c>
      <c r="I1035">
        <v>2016</v>
      </c>
      <c r="J1035" t="s">
        <v>459</v>
      </c>
      <c r="K1035" t="s">
        <v>158</v>
      </c>
      <c r="L1035" t="s">
        <v>1340</v>
      </c>
      <c r="M1035" t="s">
        <v>1343</v>
      </c>
      <c r="N1035">
        <v>1</v>
      </c>
      <c r="O1035">
        <v>2020</v>
      </c>
      <c r="P1035">
        <v>451.16285763689018</v>
      </c>
      <c r="Q1035">
        <v>17.42129846998877</v>
      </c>
      <c r="R1035" t="s">
        <v>391</v>
      </c>
      <c r="S1035">
        <v>25.89720039606101</v>
      </c>
      <c r="T1035">
        <v>0.45</v>
      </c>
      <c r="U1035" t="s">
        <v>456</v>
      </c>
      <c r="V1035">
        <v>0.45</v>
      </c>
      <c r="W1035">
        <v>9</v>
      </c>
      <c r="X1035">
        <v>15</v>
      </c>
      <c r="Y1035">
        <v>13</v>
      </c>
      <c r="Z1035">
        <v>9.0000000000000011E-2</v>
      </c>
      <c r="AA1035">
        <v>1</v>
      </c>
    </row>
    <row r="1036" spans="1:27" x14ac:dyDescent="0.25">
      <c r="A1036" t="s">
        <v>98</v>
      </c>
      <c r="B1036" t="s">
        <v>519</v>
      </c>
      <c r="C1036" t="s">
        <v>1028</v>
      </c>
      <c r="D1036" t="s">
        <v>101</v>
      </c>
      <c r="E1036" t="s">
        <v>452</v>
      </c>
      <c r="G1036" t="s">
        <v>119</v>
      </c>
      <c r="H1036" t="s">
        <v>156</v>
      </c>
      <c r="I1036">
        <v>2016</v>
      </c>
      <c r="J1036" t="s">
        <v>461</v>
      </c>
      <c r="K1036" t="s">
        <v>158</v>
      </c>
      <c r="L1036" t="s">
        <v>1340</v>
      </c>
      <c r="M1036" t="s">
        <v>1344</v>
      </c>
      <c r="N1036">
        <v>1</v>
      </c>
      <c r="O1036">
        <v>2020</v>
      </c>
      <c r="P1036">
        <v>521.3437466026287</v>
      </c>
      <c r="Q1036">
        <v>17.42129846998877</v>
      </c>
      <c r="R1036" t="s">
        <v>391</v>
      </c>
      <c r="S1036">
        <v>29.925653791003828</v>
      </c>
      <c r="T1036">
        <v>0.52</v>
      </c>
      <c r="U1036" t="s">
        <v>456</v>
      </c>
      <c r="V1036">
        <v>0.52</v>
      </c>
      <c r="W1036">
        <v>9</v>
      </c>
      <c r="X1036">
        <v>15</v>
      </c>
      <c r="Y1036">
        <v>13</v>
      </c>
      <c r="Z1036">
        <v>9.0000000000000011E-2</v>
      </c>
      <c r="AA1036">
        <v>1</v>
      </c>
    </row>
    <row r="1037" spans="1:27" x14ac:dyDescent="0.25">
      <c r="A1037" t="s">
        <v>98</v>
      </c>
      <c r="B1037" t="s">
        <v>519</v>
      </c>
      <c r="C1037" t="s">
        <v>1028</v>
      </c>
      <c r="D1037" t="s">
        <v>101</v>
      </c>
      <c r="E1037" t="s">
        <v>452</v>
      </c>
      <c r="G1037" t="s">
        <v>111</v>
      </c>
      <c r="H1037" t="s">
        <v>125</v>
      </c>
      <c r="I1037">
        <v>2016</v>
      </c>
      <c r="J1037" t="s">
        <v>463</v>
      </c>
      <c r="K1037" t="s">
        <v>127</v>
      </c>
      <c r="L1037" t="s">
        <v>1340</v>
      </c>
      <c r="M1037" t="s">
        <v>1345</v>
      </c>
      <c r="N1037">
        <v>1</v>
      </c>
      <c r="O1037">
        <v>2020</v>
      </c>
      <c r="P1037">
        <v>938.90648751460947</v>
      </c>
      <c r="Q1037">
        <v>17.42129846998877</v>
      </c>
      <c r="R1037" t="s">
        <v>391</v>
      </c>
      <c r="S1037">
        <v>53.894173797208047</v>
      </c>
      <c r="T1037">
        <v>228.0913607809874</v>
      </c>
      <c r="U1037" t="s">
        <v>392</v>
      </c>
      <c r="V1037">
        <v>0.9</v>
      </c>
      <c r="W1037">
        <v>10</v>
      </c>
      <c r="X1037">
        <v>20</v>
      </c>
      <c r="Y1037">
        <v>16</v>
      </c>
      <c r="Z1037">
        <v>9.0000000000000011E-2</v>
      </c>
      <c r="AA1037">
        <v>1</v>
      </c>
    </row>
    <row r="1038" spans="1:27" x14ac:dyDescent="0.25">
      <c r="A1038" t="s">
        <v>98</v>
      </c>
      <c r="B1038" t="s">
        <v>519</v>
      </c>
      <c r="C1038" t="s">
        <v>1028</v>
      </c>
      <c r="D1038" t="s">
        <v>101</v>
      </c>
      <c r="E1038" t="s">
        <v>465</v>
      </c>
      <c r="G1038" t="s">
        <v>466</v>
      </c>
      <c r="H1038" t="s">
        <v>125</v>
      </c>
      <c r="I1038">
        <v>2030</v>
      </c>
      <c r="J1038" t="s">
        <v>467</v>
      </c>
      <c r="K1038" t="s">
        <v>127</v>
      </c>
      <c r="L1038" t="s">
        <v>1346</v>
      </c>
      <c r="M1038" t="s">
        <v>1347</v>
      </c>
      <c r="N1038">
        <v>1</v>
      </c>
      <c r="O1038">
        <v>2030</v>
      </c>
      <c r="P1038">
        <v>1646.1347508373019</v>
      </c>
      <c r="Q1038">
        <v>9.4642370851586541</v>
      </c>
      <c r="R1038" t="s">
        <v>391</v>
      </c>
      <c r="S1038">
        <v>173.93211264949059</v>
      </c>
      <c r="T1038">
        <v>0.28000000000000003</v>
      </c>
      <c r="U1038" t="s">
        <v>470</v>
      </c>
      <c r="V1038">
        <v>2.333333333333333</v>
      </c>
      <c r="W1038">
        <v>6</v>
      </c>
      <c r="X1038">
        <v>17</v>
      </c>
      <c r="Y1038">
        <v>12</v>
      </c>
      <c r="Z1038">
        <v>0.02</v>
      </c>
      <c r="AA1038">
        <v>1</v>
      </c>
    </row>
    <row r="1039" spans="1:27" x14ac:dyDescent="0.25">
      <c r="A1039" t="s">
        <v>98</v>
      </c>
      <c r="B1039" t="s">
        <v>519</v>
      </c>
      <c r="C1039" t="s">
        <v>1028</v>
      </c>
      <c r="D1039" t="s">
        <v>101</v>
      </c>
      <c r="E1039" t="s">
        <v>465</v>
      </c>
      <c r="G1039" t="s">
        <v>471</v>
      </c>
      <c r="H1039" t="s">
        <v>125</v>
      </c>
      <c r="I1039">
        <v>2016</v>
      </c>
      <c r="J1039" t="s">
        <v>472</v>
      </c>
      <c r="K1039" t="s">
        <v>127</v>
      </c>
      <c r="L1039" t="s">
        <v>1346</v>
      </c>
      <c r="M1039" t="s">
        <v>1348</v>
      </c>
      <c r="N1039">
        <v>1</v>
      </c>
      <c r="O1039">
        <v>2020</v>
      </c>
      <c r="P1039">
        <v>792.58339855129361</v>
      </c>
      <c r="Q1039">
        <v>9.4642370851586541</v>
      </c>
      <c r="R1039" t="s">
        <v>391</v>
      </c>
      <c r="S1039">
        <v>83.745091275680693</v>
      </c>
      <c r="T1039">
        <v>0.26</v>
      </c>
      <c r="U1039" t="s">
        <v>470</v>
      </c>
      <c r="V1039">
        <v>2.166666666666667</v>
      </c>
      <c r="W1039">
        <v>6</v>
      </c>
      <c r="X1039">
        <v>17</v>
      </c>
      <c r="Y1039">
        <v>12</v>
      </c>
      <c r="Z1039">
        <v>0.02</v>
      </c>
      <c r="AA1039">
        <v>1</v>
      </c>
    </row>
    <row r="1040" spans="1:27" x14ac:dyDescent="0.25">
      <c r="A1040" t="s">
        <v>98</v>
      </c>
      <c r="B1040" t="s">
        <v>519</v>
      </c>
      <c r="C1040" t="s">
        <v>1028</v>
      </c>
      <c r="D1040" t="s">
        <v>101</v>
      </c>
      <c r="E1040" t="s">
        <v>465</v>
      </c>
      <c r="G1040" t="s">
        <v>474</v>
      </c>
      <c r="H1040" t="s">
        <v>125</v>
      </c>
      <c r="I1040">
        <v>2016</v>
      </c>
      <c r="J1040" t="s">
        <v>475</v>
      </c>
      <c r="K1040" t="s">
        <v>127</v>
      </c>
      <c r="L1040" t="s">
        <v>1346</v>
      </c>
      <c r="M1040" t="s">
        <v>1349</v>
      </c>
      <c r="N1040">
        <v>0</v>
      </c>
      <c r="O1040">
        <v>2020</v>
      </c>
      <c r="P1040">
        <v>792.58339855129361</v>
      </c>
      <c r="Q1040">
        <v>9.4642370851586541</v>
      </c>
      <c r="R1040" t="s">
        <v>391</v>
      </c>
      <c r="S1040">
        <v>83.745091275680693</v>
      </c>
      <c r="T1040">
        <v>0.26</v>
      </c>
      <c r="U1040" t="s">
        <v>470</v>
      </c>
      <c r="V1040">
        <v>2.166666666666667</v>
      </c>
      <c r="W1040">
        <v>6</v>
      </c>
      <c r="X1040">
        <v>17</v>
      </c>
      <c r="Y1040">
        <v>12</v>
      </c>
      <c r="Z1040">
        <v>0.02</v>
      </c>
      <c r="AA1040">
        <v>1</v>
      </c>
    </row>
    <row r="1041" spans="1:27" x14ac:dyDescent="0.25">
      <c r="A1041" t="s">
        <v>98</v>
      </c>
      <c r="B1041" t="s">
        <v>519</v>
      </c>
      <c r="C1041" t="s">
        <v>1028</v>
      </c>
      <c r="D1041" t="s">
        <v>101</v>
      </c>
      <c r="E1041" t="s">
        <v>465</v>
      </c>
      <c r="G1041" t="s">
        <v>474</v>
      </c>
      <c r="H1041" t="s">
        <v>125</v>
      </c>
      <c r="I1041">
        <v>2020</v>
      </c>
      <c r="J1041" t="s">
        <v>477</v>
      </c>
      <c r="K1041" t="s">
        <v>127</v>
      </c>
      <c r="L1041" t="s">
        <v>1346</v>
      </c>
      <c r="M1041" t="s">
        <v>1349</v>
      </c>
      <c r="N1041">
        <v>1</v>
      </c>
      <c r="O1041">
        <v>2020</v>
      </c>
      <c r="P1041">
        <v>914.51930602072343</v>
      </c>
      <c r="Q1041">
        <v>9.4642370851586541</v>
      </c>
      <c r="R1041" t="s">
        <v>391</v>
      </c>
      <c r="S1041">
        <v>96.62895147193926</v>
      </c>
      <c r="T1041">
        <v>0.24</v>
      </c>
      <c r="U1041" t="s">
        <v>470</v>
      </c>
      <c r="V1041">
        <v>2</v>
      </c>
      <c r="W1041">
        <v>6</v>
      </c>
      <c r="X1041">
        <v>17</v>
      </c>
      <c r="Y1041">
        <v>12</v>
      </c>
      <c r="Z1041">
        <v>0.02</v>
      </c>
      <c r="AA1041">
        <v>1</v>
      </c>
    </row>
    <row r="1042" spans="1:27" x14ac:dyDescent="0.25">
      <c r="A1042" t="s">
        <v>98</v>
      </c>
      <c r="B1042" t="s">
        <v>519</v>
      </c>
      <c r="C1042" t="s">
        <v>1028</v>
      </c>
      <c r="D1042" t="s">
        <v>101</v>
      </c>
      <c r="E1042" t="s">
        <v>465</v>
      </c>
      <c r="G1042" t="s">
        <v>478</v>
      </c>
      <c r="H1042" t="s">
        <v>125</v>
      </c>
      <c r="I1042">
        <v>2016</v>
      </c>
      <c r="J1042" t="s">
        <v>479</v>
      </c>
      <c r="K1042" t="s">
        <v>127</v>
      </c>
      <c r="L1042" t="s">
        <v>1346</v>
      </c>
      <c r="M1042" t="s">
        <v>1350</v>
      </c>
      <c r="N1042">
        <v>1</v>
      </c>
      <c r="O1042">
        <v>2020</v>
      </c>
      <c r="P1042">
        <v>1158.3911209595831</v>
      </c>
      <c r="Q1042">
        <v>9.4642370851586541</v>
      </c>
      <c r="R1042" t="s">
        <v>391</v>
      </c>
      <c r="S1042">
        <v>122.39667186445639</v>
      </c>
      <c r="T1042">
        <v>0.15</v>
      </c>
      <c r="U1042" t="s">
        <v>470</v>
      </c>
      <c r="V1042">
        <v>1.25</v>
      </c>
      <c r="W1042">
        <v>6</v>
      </c>
      <c r="X1042">
        <v>17</v>
      </c>
      <c r="Y1042">
        <v>12</v>
      </c>
      <c r="Z1042">
        <v>0.02</v>
      </c>
      <c r="AA1042">
        <v>1</v>
      </c>
    </row>
    <row r="1043" spans="1:27" x14ac:dyDescent="0.25">
      <c r="A1043" t="s">
        <v>98</v>
      </c>
      <c r="B1043" t="s">
        <v>519</v>
      </c>
      <c r="C1043" t="s">
        <v>1028</v>
      </c>
      <c r="D1043" t="s">
        <v>101</v>
      </c>
      <c r="E1043" t="s">
        <v>465</v>
      </c>
      <c r="G1043" t="s">
        <v>481</v>
      </c>
      <c r="H1043" t="s">
        <v>125</v>
      </c>
      <c r="I1043">
        <v>2016</v>
      </c>
      <c r="J1043" t="s">
        <v>482</v>
      </c>
      <c r="K1043" t="s">
        <v>127</v>
      </c>
      <c r="L1043" t="s">
        <v>1346</v>
      </c>
      <c r="M1043" t="s">
        <v>1351</v>
      </c>
      <c r="N1043">
        <v>1</v>
      </c>
      <c r="O1043">
        <v>2020</v>
      </c>
      <c r="P1043">
        <v>1371.7789590310849</v>
      </c>
      <c r="Q1043">
        <v>9.4642370851586541</v>
      </c>
      <c r="R1043" t="s">
        <v>391</v>
      </c>
      <c r="S1043">
        <v>144.94342720790891</v>
      </c>
      <c r="T1043">
        <v>0.12</v>
      </c>
      <c r="U1043" t="s">
        <v>470</v>
      </c>
      <c r="V1043">
        <v>1</v>
      </c>
      <c r="W1043">
        <v>6</v>
      </c>
      <c r="X1043">
        <v>17</v>
      </c>
      <c r="Y1043">
        <v>12</v>
      </c>
      <c r="Z1043">
        <v>0.02</v>
      </c>
      <c r="AA1043">
        <v>1</v>
      </c>
    </row>
    <row r="1044" spans="1:27" x14ac:dyDescent="0.25">
      <c r="A1044" t="s">
        <v>98</v>
      </c>
      <c r="B1044" t="s">
        <v>519</v>
      </c>
      <c r="C1044" t="s">
        <v>1028</v>
      </c>
      <c r="D1044" t="s">
        <v>101</v>
      </c>
      <c r="E1044" t="s">
        <v>465</v>
      </c>
      <c r="G1044" t="s">
        <v>484</v>
      </c>
      <c r="H1044" t="s">
        <v>125</v>
      </c>
      <c r="I1044">
        <v>2016</v>
      </c>
      <c r="J1044" t="s">
        <v>485</v>
      </c>
      <c r="K1044" t="s">
        <v>127</v>
      </c>
      <c r="L1044" t="s">
        <v>1346</v>
      </c>
      <c r="M1044" t="s">
        <v>1352</v>
      </c>
      <c r="N1044">
        <v>1</v>
      </c>
      <c r="O1044">
        <v>2020</v>
      </c>
      <c r="P1044">
        <v>1158.3911209595831</v>
      </c>
      <c r="Q1044">
        <v>9.4642370851586541</v>
      </c>
      <c r="R1044" t="s">
        <v>391</v>
      </c>
      <c r="S1044">
        <v>122.39667186445639</v>
      </c>
      <c r="T1044">
        <v>0.15</v>
      </c>
      <c r="U1044" t="s">
        <v>470</v>
      </c>
      <c r="V1044">
        <v>1.25</v>
      </c>
      <c r="W1044">
        <v>6</v>
      </c>
      <c r="X1044">
        <v>17</v>
      </c>
      <c r="Y1044">
        <v>12</v>
      </c>
      <c r="Z1044">
        <v>0.02</v>
      </c>
      <c r="AA1044">
        <v>1</v>
      </c>
    </row>
    <row r="1045" spans="1:27" x14ac:dyDescent="0.25">
      <c r="A1045" t="s">
        <v>98</v>
      </c>
      <c r="B1045" t="s">
        <v>519</v>
      </c>
      <c r="C1045" t="s">
        <v>1028</v>
      </c>
      <c r="D1045" t="s">
        <v>101</v>
      </c>
      <c r="E1045" t="s">
        <v>465</v>
      </c>
      <c r="G1045" t="s">
        <v>487</v>
      </c>
      <c r="H1045" t="s">
        <v>125</v>
      </c>
      <c r="I1045">
        <v>2016</v>
      </c>
      <c r="J1045" t="s">
        <v>488</v>
      </c>
      <c r="K1045" t="s">
        <v>127</v>
      </c>
      <c r="L1045" t="s">
        <v>1346</v>
      </c>
      <c r="M1045" t="s">
        <v>1353</v>
      </c>
      <c r="N1045">
        <v>1</v>
      </c>
      <c r="O1045">
        <v>2020</v>
      </c>
      <c r="P1045">
        <v>1219.359074694298</v>
      </c>
      <c r="Q1045">
        <v>9.4642370851586541</v>
      </c>
      <c r="R1045" t="s">
        <v>391</v>
      </c>
      <c r="S1045">
        <v>128.8386019625857</v>
      </c>
      <c r="T1045">
        <v>0.21</v>
      </c>
      <c r="U1045" t="s">
        <v>470</v>
      </c>
      <c r="V1045">
        <v>1.75</v>
      </c>
      <c r="W1045">
        <v>6</v>
      </c>
      <c r="X1045">
        <v>17</v>
      </c>
      <c r="Y1045">
        <v>12</v>
      </c>
      <c r="Z1045">
        <v>0.02</v>
      </c>
      <c r="AA1045">
        <v>1</v>
      </c>
    </row>
    <row r="1046" spans="1:27" x14ac:dyDescent="0.25">
      <c r="A1046" t="s">
        <v>98</v>
      </c>
      <c r="B1046" t="s">
        <v>519</v>
      </c>
      <c r="C1046" t="s">
        <v>1028</v>
      </c>
      <c r="D1046" t="s">
        <v>101</v>
      </c>
      <c r="E1046" t="s">
        <v>465</v>
      </c>
      <c r="G1046" t="s">
        <v>487</v>
      </c>
      <c r="H1046" t="s">
        <v>125</v>
      </c>
      <c r="I1046">
        <v>2030</v>
      </c>
      <c r="J1046" t="s">
        <v>490</v>
      </c>
      <c r="K1046" t="s">
        <v>127</v>
      </c>
      <c r="L1046" t="s">
        <v>1346</v>
      </c>
      <c r="M1046" t="s">
        <v>1354</v>
      </c>
      <c r="N1046">
        <v>1</v>
      </c>
      <c r="O1046">
        <v>2030</v>
      </c>
      <c r="P1046">
        <v>1280.3270284290129</v>
      </c>
      <c r="Q1046">
        <v>9.4642370851586541</v>
      </c>
      <c r="R1046" t="s">
        <v>391</v>
      </c>
      <c r="S1046">
        <v>135.28053206071499</v>
      </c>
      <c r="T1046">
        <v>0.17</v>
      </c>
      <c r="U1046" t="s">
        <v>470</v>
      </c>
      <c r="V1046">
        <v>1.416666666666667</v>
      </c>
      <c r="W1046">
        <v>6</v>
      </c>
      <c r="X1046">
        <v>17</v>
      </c>
      <c r="Y1046">
        <v>12</v>
      </c>
      <c r="Z1046">
        <v>0.02</v>
      </c>
      <c r="AA1046">
        <v>1</v>
      </c>
    </row>
    <row r="1047" spans="1:27" x14ac:dyDescent="0.25">
      <c r="A1047" t="s">
        <v>98</v>
      </c>
      <c r="B1047" t="s">
        <v>519</v>
      </c>
      <c r="C1047" t="s">
        <v>1028</v>
      </c>
      <c r="D1047" t="s">
        <v>101</v>
      </c>
      <c r="E1047" t="s">
        <v>465</v>
      </c>
      <c r="G1047" t="s">
        <v>492</v>
      </c>
      <c r="H1047" t="s">
        <v>125</v>
      </c>
      <c r="I1047">
        <v>2016</v>
      </c>
      <c r="J1047" t="s">
        <v>493</v>
      </c>
      <c r="K1047" t="s">
        <v>127</v>
      </c>
      <c r="L1047" t="s">
        <v>1346</v>
      </c>
      <c r="M1047" t="s">
        <v>1355</v>
      </c>
      <c r="N1047">
        <v>1</v>
      </c>
      <c r="O1047">
        <v>2020</v>
      </c>
      <c r="P1047">
        <v>1158.3911209595831</v>
      </c>
      <c r="Q1047">
        <v>9.4642370851586541</v>
      </c>
      <c r="R1047" t="s">
        <v>391</v>
      </c>
      <c r="S1047">
        <v>122.39667186445639</v>
      </c>
      <c r="T1047">
        <v>0.28999999999999998</v>
      </c>
      <c r="U1047" t="s">
        <v>470</v>
      </c>
      <c r="V1047">
        <v>2.416666666666667</v>
      </c>
      <c r="W1047">
        <v>6</v>
      </c>
      <c r="X1047">
        <v>17</v>
      </c>
      <c r="Y1047">
        <v>12</v>
      </c>
      <c r="Z1047">
        <v>0.02</v>
      </c>
      <c r="AA1047">
        <v>1</v>
      </c>
    </row>
    <row r="1048" spans="1:27" x14ac:dyDescent="0.25">
      <c r="A1048" t="s">
        <v>98</v>
      </c>
      <c r="B1048" t="s">
        <v>519</v>
      </c>
      <c r="C1048" t="s">
        <v>1028</v>
      </c>
      <c r="D1048" t="s">
        <v>101</v>
      </c>
      <c r="E1048" t="s">
        <v>465</v>
      </c>
      <c r="G1048" t="s">
        <v>466</v>
      </c>
      <c r="H1048" t="s">
        <v>125</v>
      </c>
      <c r="I1048">
        <v>2016</v>
      </c>
      <c r="J1048" t="s">
        <v>495</v>
      </c>
      <c r="K1048" t="s">
        <v>127</v>
      </c>
      <c r="L1048" t="s">
        <v>1346</v>
      </c>
      <c r="M1048" t="s">
        <v>1356</v>
      </c>
      <c r="N1048">
        <v>0</v>
      </c>
      <c r="O1048">
        <v>2020</v>
      </c>
      <c r="P1048">
        <v>1280.3270284290129</v>
      </c>
      <c r="Q1048">
        <v>9.4642370851586541</v>
      </c>
      <c r="R1048" t="s">
        <v>391</v>
      </c>
      <c r="S1048">
        <v>135.28053206071499</v>
      </c>
      <c r="T1048">
        <v>0.17</v>
      </c>
      <c r="U1048" t="s">
        <v>470</v>
      </c>
      <c r="V1048">
        <v>1.416666666666667</v>
      </c>
      <c r="W1048">
        <v>6</v>
      </c>
      <c r="X1048">
        <v>17</v>
      </c>
      <c r="Y1048">
        <v>12</v>
      </c>
      <c r="Z1048">
        <v>0.02</v>
      </c>
      <c r="AA1048">
        <v>1</v>
      </c>
    </row>
    <row r="1049" spans="1:27" x14ac:dyDescent="0.25">
      <c r="A1049" t="s">
        <v>98</v>
      </c>
      <c r="B1049" t="s">
        <v>519</v>
      </c>
      <c r="C1049" t="s">
        <v>1028</v>
      </c>
      <c r="D1049" t="s">
        <v>101</v>
      </c>
      <c r="E1049" t="s">
        <v>465</v>
      </c>
      <c r="G1049" t="s">
        <v>466</v>
      </c>
      <c r="H1049" t="s">
        <v>125</v>
      </c>
      <c r="I1049">
        <v>2020</v>
      </c>
      <c r="J1049" t="s">
        <v>497</v>
      </c>
      <c r="K1049" t="s">
        <v>127</v>
      </c>
      <c r="L1049" t="s">
        <v>1346</v>
      </c>
      <c r="M1049" t="s">
        <v>1356</v>
      </c>
      <c r="N1049">
        <v>1</v>
      </c>
      <c r="O1049">
        <v>2020</v>
      </c>
      <c r="P1049">
        <v>1646.1347508373019</v>
      </c>
      <c r="Q1049">
        <v>9.4642370851586541</v>
      </c>
      <c r="R1049" t="s">
        <v>391</v>
      </c>
      <c r="S1049">
        <v>173.93211264949059</v>
      </c>
      <c r="T1049">
        <v>0.28000000000000003</v>
      </c>
      <c r="U1049" t="s">
        <v>470</v>
      </c>
      <c r="V1049">
        <v>2.333333333333333</v>
      </c>
      <c r="W1049">
        <v>6</v>
      </c>
      <c r="X1049">
        <v>17</v>
      </c>
      <c r="Y1049">
        <v>12</v>
      </c>
      <c r="Z1049">
        <v>0.02</v>
      </c>
      <c r="AA1049">
        <v>1</v>
      </c>
    </row>
    <row r="1050" spans="1:27" x14ac:dyDescent="0.25">
      <c r="A1050" t="s">
        <v>98</v>
      </c>
      <c r="B1050" t="s">
        <v>519</v>
      </c>
      <c r="C1050" t="s">
        <v>1028</v>
      </c>
      <c r="D1050" t="s">
        <v>101</v>
      </c>
      <c r="E1050" t="s">
        <v>498</v>
      </c>
      <c r="G1050" t="s">
        <v>103</v>
      </c>
      <c r="H1050" t="s">
        <v>104</v>
      </c>
      <c r="I1050">
        <v>2016</v>
      </c>
      <c r="J1050" t="s">
        <v>499</v>
      </c>
      <c r="K1050" t="s">
        <v>106</v>
      </c>
      <c r="L1050" t="s">
        <v>1357</v>
      </c>
      <c r="M1050" t="s">
        <v>1358</v>
      </c>
      <c r="N1050">
        <v>1</v>
      </c>
      <c r="O1050">
        <v>2020</v>
      </c>
      <c r="P1050">
        <v>792.58339855129361</v>
      </c>
      <c r="Q1050">
        <v>110.40985293857921</v>
      </c>
      <c r="R1050" t="s">
        <v>391</v>
      </c>
      <c r="S1050">
        <v>7.1785567814514337</v>
      </c>
      <c r="T1050">
        <v>3.3</v>
      </c>
      <c r="U1050" t="s">
        <v>502</v>
      </c>
      <c r="V1050">
        <v>1</v>
      </c>
      <c r="W1050">
        <v>8</v>
      </c>
      <c r="X1050">
        <v>18</v>
      </c>
      <c r="Y1050">
        <v>14</v>
      </c>
      <c r="Z1050">
        <v>0.02</v>
      </c>
      <c r="AA1050">
        <v>1</v>
      </c>
    </row>
    <row r="1051" spans="1:27" x14ac:dyDescent="0.25">
      <c r="A1051" t="s">
        <v>98</v>
      </c>
      <c r="B1051" t="s">
        <v>519</v>
      </c>
      <c r="C1051" t="s">
        <v>1028</v>
      </c>
      <c r="D1051" t="s">
        <v>101</v>
      </c>
      <c r="E1051" t="s">
        <v>498</v>
      </c>
      <c r="G1051" t="s">
        <v>111</v>
      </c>
      <c r="H1051" t="s">
        <v>104</v>
      </c>
      <c r="I1051">
        <v>2016</v>
      </c>
      <c r="J1051" t="s">
        <v>503</v>
      </c>
      <c r="K1051" t="s">
        <v>106</v>
      </c>
      <c r="L1051" t="s">
        <v>1357</v>
      </c>
      <c r="M1051" t="s">
        <v>1359</v>
      </c>
      <c r="N1051">
        <v>1</v>
      </c>
      <c r="O1051">
        <v>2020</v>
      </c>
      <c r="P1051">
        <v>804.77698929823669</v>
      </c>
      <c r="Q1051">
        <v>110.40985293857921</v>
      </c>
      <c r="R1051" t="s">
        <v>391</v>
      </c>
      <c r="S1051">
        <v>7.2889961165506874</v>
      </c>
      <c r="T1051">
        <v>3.32</v>
      </c>
      <c r="U1051" t="s">
        <v>502</v>
      </c>
      <c r="V1051">
        <v>1.0060606060606061</v>
      </c>
      <c r="W1051">
        <v>8</v>
      </c>
      <c r="X1051">
        <v>18</v>
      </c>
      <c r="Y1051">
        <v>14</v>
      </c>
      <c r="Z1051">
        <v>0.02</v>
      </c>
      <c r="AA1051">
        <v>1</v>
      </c>
    </row>
    <row r="1052" spans="1:27" x14ac:dyDescent="0.25">
      <c r="A1052" t="s">
        <v>98</v>
      </c>
      <c r="B1052" t="s">
        <v>519</v>
      </c>
      <c r="C1052" t="s">
        <v>1028</v>
      </c>
      <c r="D1052" t="s">
        <v>101</v>
      </c>
      <c r="E1052" t="s">
        <v>498</v>
      </c>
      <c r="G1052" t="s">
        <v>114</v>
      </c>
      <c r="H1052" t="s">
        <v>104</v>
      </c>
      <c r="I1052">
        <v>2016</v>
      </c>
      <c r="J1052" t="s">
        <v>505</v>
      </c>
      <c r="K1052" t="s">
        <v>106</v>
      </c>
      <c r="L1052" t="s">
        <v>1357</v>
      </c>
      <c r="M1052" t="s">
        <v>1360</v>
      </c>
      <c r="N1052">
        <v>1</v>
      </c>
      <c r="O1052">
        <v>2020</v>
      </c>
      <c r="P1052">
        <v>843.56142251742892</v>
      </c>
      <c r="Q1052">
        <v>110.40985293857921</v>
      </c>
      <c r="R1052" t="s">
        <v>391</v>
      </c>
      <c r="S1052">
        <v>7.6402730378302399</v>
      </c>
      <c r="T1052">
        <v>3.48</v>
      </c>
      <c r="U1052" t="s">
        <v>502</v>
      </c>
      <c r="V1052">
        <v>1.0545454545454549</v>
      </c>
      <c r="W1052">
        <v>8</v>
      </c>
      <c r="X1052">
        <v>18</v>
      </c>
      <c r="Y1052">
        <v>14</v>
      </c>
      <c r="Z1052">
        <v>0.02</v>
      </c>
      <c r="AA1052">
        <v>1</v>
      </c>
    </row>
    <row r="1053" spans="1:27" x14ac:dyDescent="0.25">
      <c r="A1053" t="s">
        <v>98</v>
      </c>
      <c r="B1053" t="s">
        <v>519</v>
      </c>
      <c r="C1053" t="s">
        <v>1028</v>
      </c>
      <c r="D1053" t="s">
        <v>101</v>
      </c>
      <c r="E1053" t="s">
        <v>498</v>
      </c>
      <c r="G1053" t="s">
        <v>119</v>
      </c>
      <c r="H1053" t="s">
        <v>104</v>
      </c>
      <c r="I1053">
        <v>2016</v>
      </c>
      <c r="J1053" t="s">
        <v>507</v>
      </c>
      <c r="K1053" t="s">
        <v>106</v>
      </c>
      <c r="L1053" t="s">
        <v>1357</v>
      </c>
      <c r="M1053" t="s">
        <v>1361</v>
      </c>
      <c r="N1053">
        <v>1</v>
      </c>
      <c r="O1053">
        <v>2020</v>
      </c>
      <c r="P1053">
        <v>938.90648751460947</v>
      </c>
      <c r="Q1053">
        <v>110.40985293857921</v>
      </c>
      <c r="R1053" t="s">
        <v>391</v>
      </c>
      <c r="S1053">
        <v>8.5038288026424684</v>
      </c>
      <c r="T1053">
        <v>3.49</v>
      </c>
      <c r="U1053" t="s">
        <v>502</v>
      </c>
      <c r="V1053">
        <v>1.0575757575757581</v>
      </c>
      <c r="W1053">
        <v>8</v>
      </c>
      <c r="X1053">
        <v>18</v>
      </c>
      <c r="Y1053">
        <v>14</v>
      </c>
      <c r="Z1053">
        <v>0.02</v>
      </c>
      <c r="AA1053">
        <v>1</v>
      </c>
    </row>
    <row r="1054" spans="1:27" x14ac:dyDescent="0.25">
      <c r="A1054" t="s">
        <v>98</v>
      </c>
      <c r="B1054" t="s">
        <v>519</v>
      </c>
      <c r="C1054" t="s">
        <v>1028</v>
      </c>
      <c r="D1054" t="s">
        <v>101</v>
      </c>
      <c r="E1054" t="s">
        <v>498</v>
      </c>
      <c r="G1054" t="s">
        <v>119</v>
      </c>
      <c r="H1054" t="s">
        <v>104</v>
      </c>
      <c r="I1054">
        <v>2030</v>
      </c>
      <c r="J1054" t="s">
        <v>509</v>
      </c>
      <c r="K1054" t="s">
        <v>106</v>
      </c>
      <c r="L1054" t="s">
        <v>1357</v>
      </c>
      <c r="M1054" t="s">
        <v>1362</v>
      </c>
      <c r="N1054">
        <v>1</v>
      </c>
      <c r="O1054">
        <v>2030</v>
      </c>
      <c r="P1054">
        <v>987.6808505023813</v>
      </c>
      <c r="Q1054">
        <v>110.40985293857921</v>
      </c>
      <c r="R1054" t="s">
        <v>391</v>
      </c>
      <c r="S1054">
        <v>8.9455861430394794</v>
      </c>
      <c r="T1054">
        <v>3.61</v>
      </c>
      <c r="U1054" t="s">
        <v>502</v>
      </c>
      <c r="V1054">
        <v>1.093939393939394</v>
      </c>
      <c r="W1054">
        <v>8</v>
      </c>
      <c r="X1054">
        <v>18</v>
      </c>
      <c r="Y1054">
        <v>14</v>
      </c>
      <c r="Z1054">
        <v>0.02</v>
      </c>
      <c r="AA1054">
        <v>1</v>
      </c>
    </row>
    <row r="1055" spans="1:27" x14ac:dyDescent="0.25">
      <c r="A1055" t="s">
        <v>98</v>
      </c>
      <c r="B1055" t="s">
        <v>519</v>
      </c>
      <c r="C1055" t="s">
        <v>1028</v>
      </c>
      <c r="D1055" t="s">
        <v>101</v>
      </c>
      <c r="E1055" t="s">
        <v>498</v>
      </c>
      <c r="G1055" t="s">
        <v>103</v>
      </c>
      <c r="H1055" t="s">
        <v>125</v>
      </c>
      <c r="I1055">
        <v>2016</v>
      </c>
      <c r="J1055" t="s">
        <v>511</v>
      </c>
      <c r="K1055" t="s">
        <v>127</v>
      </c>
      <c r="L1055" t="s">
        <v>1357</v>
      </c>
      <c r="M1055" t="s">
        <v>1363</v>
      </c>
      <c r="N1055">
        <v>1</v>
      </c>
      <c r="O1055">
        <v>2020</v>
      </c>
      <c r="P1055">
        <v>646.26030958797787</v>
      </c>
      <c r="Q1055">
        <v>110.40985293857921</v>
      </c>
      <c r="R1055" t="s">
        <v>391</v>
      </c>
      <c r="S1055">
        <v>5.8532847602603999</v>
      </c>
      <c r="T1055">
        <v>3.73</v>
      </c>
      <c r="U1055" t="s">
        <v>502</v>
      </c>
      <c r="V1055">
        <v>1.1303030303030299</v>
      </c>
      <c r="W1055">
        <v>8</v>
      </c>
      <c r="X1055">
        <v>18</v>
      </c>
      <c r="Y1055">
        <v>14</v>
      </c>
      <c r="Z1055">
        <v>0.02</v>
      </c>
      <c r="AA1055">
        <v>1</v>
      </c>
    </row>
    <row r="1056" spans="1:27" x14ac:dyDescent="0.25">
      <c r="A1056" t="s">
        <v>98</v>
      </c>
      <c r="B1056" t="s">
        <v>519</v>
      </c>
      <c r="C1056" t="s">
        <v>1028</v>
      </c>
      <c r="D1056" t="s">
        <v>101</v>
      </c>
      <c r="E1056" t="s">
        <v>498</v>
      </c>
      <c r="G1056" t="s">
        <v>111</v>
      </c>
      <c r="H1056" t="s">
        <v>125</v>
      </c>
      <c r="I1056">
        <v>2016</v>
      </c>
      <c r="J1056" t="s">
        <v>513</v>
      </c>
      <c r="K1056" t="s">
        <v>127</v>
      </c>
      <c r="L1056" t="s">
        <v>1357</v>
      </c>
      <c r="M1056" t="s">
        <v>1364</v>
      </c>
      <c r="N1056">
        <v>1</v>
      </c>
      <c r="O1056">
        <v>2020</v>
      </c>
      <c r="P1056">
        <v>658.45390033492083</v>
      </c>
      <c r="Q1056">
        <v>110.40985293857921</v>
      </c>
      <c r="R1056" t="s">
        <v>391</v>
      </c>
      <c r="S1056">
        <v>5.9637240953596526</v>
      </c>
      <c r="T1056">
        <v>3.74</v>
      </c>
      <c r="U1056" t="s">
        <v>502</v>
      </c>
      <c r="V1056">
        <v>1.133333333333334</v>
      </c>
      <c r="W1056">
        <v>8</v>
      </c>
      <c r="X1056">
        <v>18</v>
      </c>
      <c r="Y1056">
        <v>14</v>
      </c>
      <c r="Z1056">
        <v>0.02</v>
      </c>
      <c r="AA1056">
        <v>1</v>
      </c>
    </row>
    <row r="1057" spans="1:27" x14ac:dyDescent="0.25">
      <c r="A1057" t="s">
        <v>98</v>
      </c>
      <c r="B1057" t="s">
        <v>519</v>
      </c>
      <c r="C1057" t="s">
        <v>1028</v>
      </c>
      <c r="D1057" t="s">
        <v>101</v>
      </c>
      <c r="E1057" t="s">
        <v>498</v>
      </c>
      <c r="G1057" t="s">
        <v>114</v>
      </c>
      <c r="H1057" t="s">
        <v>125</v>
      </c>
      <c r="I1057">
        <v>2016</v>
      </c>
      <c r="J1057" t="s">
        <v>515</v>
      </c>
      <c r="K1057" t="s">
        <v>127</v>
      </c>
      <c r="L1057" t="s">
        <v>1357</v>
      </c>
      <c r="M1057" t="s">
        <v>1365</v>
      </c>
      <c r="N1057">
        <v>1</v>
      </c>
      <c r="O1057">
        <v>2020</v>
      </c>
      <c r="P1057">
        <v>691.90476692947561</v>
      </c>
      <c r="Q1057">
        <v>110.40985293857921</v>
      </c>
      <c r="R1057" t="s">
        <v>391</v>
      </c>
      <c r="S1057">
        <v>6.2666940360330043</v>
      </c>
      <c r="T1057">
        <v>3.93</v>
      </c>
      <c r="U1057" t="s">
        <v>502</v>
      </c>
      <c r="V1057">
        <v>1.1909090909090909</v>
      </c>
      <c r="W1057">
        <v>8</v>
      </c>
      <c r="X1057">
        <v>18</v>
      </c>
      <c r="Y1057">
        <v>14</v>
      </c>
      <c r="Z1057">
        <v>0.02</v>
      </c>
      <c r="AA1057">
        <v>1</v>
      </c>
    </row>
    <row r="1058" spans="1:27" x14ac:dyDescent="0.25">
      <c r="A1058" t="s">
        <v>98</v>
      </c>
      <c r="B1058" t="s">
        <v>519</v>
      </c>
      <c r="C1058" t="s">
        <v>1028</v>
      </c>
      <c r="D1058" t="s">
        <v>101</v>
      </c>
      <c r="E1058" t="s">
        <v>498</v>
      </c>
      <c r="G1058" t="s">
        <v>119</v>
      </c>
      <c r="H1058" t="s">
        <v>125</v>
      </c>
      <c r="I1058">
        <v>2016</v>
      </c>
      <c r="J1058" t="s">
        <v>517</v>
      </c>
      <c r="K1058" t="s">
        <v>127</v>
      </c>
      <c r="L1058" t="s">
        <v>1357</v>
      </c>
      <c r="M1058" t="s">
        <v>1366</v>
      </c>
      <c r="N1058">
        <v>1</v>
      </c>
      <c r="O1058">
        <v>2020</v>
      </c>
      <c r="P1058">
        <v>938.90648751460947</v>
      </c>
      <c r="Q1058">
        <v>110.40985293857921</v>
      </c>
      <c r="R1058" t="s">
        <v>391</v>
      </c>
      <c r="S1058">
        <v>8.5038288026424684</v>
      </c>
      <c r="T1058">
        <v>4.5</v>
      </c>
      <c r="U1058" t="s">
        <v>502</v>
      </c>
      <c r="V1058">
        <v>1.363636363636364</v>
      </c>
      <c r="W1058">
        <v>8</v>
      </c>
      <c r="X1058">
        <v>18</v>
      </c>
      <c r="Y1058">
        <v>14</v>
      </c>
      <c r="Z1058">
        <v>0.02</v>
      </c>
      <c r="AA1058">
        <v>1</v>
      </c>
    </row>
    <row r="1059" spans="1:27" x14ac:dyDescent="0.25">
      <c r="A1059" t="s">
        <v>98</v>
      </c>
      <c r="B1059" t="s">
        <v>99</v>
      </c>
      <c r="C1059" t="s">
        <v>1367</v>
      </c>
      <c r="D1059" t="s">
        <v>101</v>
      </c>
      <c r="E1059" t="s">
        <v>102</v>
      </c>
      <c r="G1059" t="s">
        <v>103</v>
      </c>
      <c r="H1059" t="s">
        <v>104</v>
      </c>
      <c r="I1059">
        <v>2016</v>
      </c>
      <c r="J1059" t="s">
        <v>105</v>
      </c>
      <c r="K1059" t="s">
        <v>106</v>
      </c>
      <c r="L1059" t="s">
        <v>1368</v>
      </c>
      <c r="M1059" t="s">
        <v>1369</v>
      </c>
      <c r="N1059">
        <v>1</v>
      </c>
      <c r="O1059">
        <v>2020</v>
      </c>
      <c r="P1059">
        <v>2225.3303113170941</v>
      </c>
      <c r="Q1059">
        <v>1.615518797047149</v>
      </c>
      <c r="R1059" t="s">
        <v>109</v>
      </c>
      <c r="S1059">
        <v>1377.4710114079519</v>
      </c>
      <c r="T1059">
        <v>0.61014999999999997</v>
      </c>
      <c r="U1059" t="s">
        <v>110</v>
      </c>
      <c r="V1059">
        <v>0.61014999999999997</v>
      </c>
      <c r="W1059">
        <v>6</v>
      </c>
      <c r="X1059">
        <v>20</v>
      </c>
      <c r="Y1059">
        <v>14</v>
      </c>
      <c r="Z1059">
        <v>0.24</v>
      </c>
      <c r="AA1059">
        <v>31.536000000000001</v>
      </c>
    </row>
    <row r="1060" spans="1:27" x14ac:dyDescent="0.25">
      <c r="A1060" t="s">
        <v>98</v>
      </c>
      <c r="B1060" t="s">
        <v>99</v>
      </c>
      <c r="C1060" t="s">
        <v>1367</v>
      </c>
      <c r="D1060" t="s">
        <v>101</v>
      </c>
      <c r="E1060" t="s">
        <v>102</v>
      </c>
      <c r="G1060" t="s">
        <v>111</v>
      </c>
      <c r="H1060" t="s">
        <v>104</v>
      </c>
      <c r="I1060">
        <v>2016</v>
      </c>
      <c r="J1060" t="s">
        <v>112</v>
      </c>
      <c r="K1060" t="s">
        <v>106</v>
      </c>
      <c r="L1060" t="s">
        <v>1368</v>
      </c>
      <c r="M1060" t="s">
        <v>1370</v>
      </c>
      <c r="N1060">
        <v>1</v>
      </c>
      <c r="O1060">
        <v>2020</v>
      </c>
      <c r="P1060">
        <v>2347.266218786523</v>
      </c>
      <c r="Q1060">
        <v>1.615518797047149</v>
      </c>
      <c r="R1060" t="s">
        <v>109</v>
      </c>
      <c r="S1060">
        <v>1452.948875046744</v>
      </c>
      <c r="T1060">
        <v>0.63</v>
      </c>
      <c r="U1060" t="s">
        <v>110</v>
      </c>
      <c r="V1060">
        <v>0.63</v>
      </c>
      <c r="W1060">
        <v>6</v>
      </c>
      <c r="X1060">
        <v>20</v>
      </c>
      <c r="Y1060">
        <v>14</v>
      </c>
      <c r="Z1060">
        <v>0.24</v>
      </c>
      <c r="AA1060">
        <v>31.536000000000001</v>
      </c>
    </row>
    <row r="1061" spans="1:27" x14ac:dyDescent="0.25">
      <c r="A1061" t="s">
        <v>98</v>
      </c>
      <c r="B1061" t="s">
        <v>99</v>
      </c>
      <c r="C1061" t="s">
        <v>1367</v>
      </c>
      <c r="D1061" t="s">
        <v>101</v>
      </c>
      <c r="E1061" t="s">
        <v>102</v>
      </c>
      <c r="G1061" t="s">
        <v>114</v>
      </c>
      <c r="H1061" t="s">
        <v>104</v>
      </c>
      <c r="I1061">
        <v>2016</v>
      </c>
      <c r="J1061" t="s">
        <v>115</v>
      </c>
      <c r="K1061" t="s">
        <v>106</v>
      </c>
      <c r="L1061" t="s">
        <v>1368</v>
      </c>
      <c r="M1061" t="s">
        <v>1371</v>
      </c>
      <c r="N1061">
        <v>1</v>
      </c>
      <c r="O1061">
        <v>2020</v>
      </c>
      <c r="P1061">
        <v>2469.2021262559529</v>
      </c>
      <c r="Q1061">
        <v>1.615518797047149</v>
      </c>
      <c r="R1061" t="s">
        <v>109</v>
      </c>
      <c r="S1061">
        <v>1528.4267386855361</v>
      </c>
      <c r="T1061">
        <v>0.66</v>
      </c>
      <c r="U1061" t="s">
        <v>110</v>
      </c>
      <c r="V1061">
        <v>0.66</v>
      </c>
      <c r="W1061">
        <v>6</v>
      </c>
      <c r="X1061">
        <v>20</v>
      </c>
      <c r="Y1061">
        <v>14</v>
      </c>
      <c r="Z1061">
        <v>0.24</v>
      </c>
      <c r="AA1061">
        <v>31.536000000000001</v>
      </c>
    </row>
    <row r="1062" spans="1:27" x14ac:dyDescent="0.25">
      <c r="A1062" t="s">
        <v>98</v>
      </c>
      <c r="B1062" t="s">
        <v>99</v>
      </c>
      <c r="C1062" t="s">
        <v>1367</v>
      </c>
      <c r="D1062" t="s">
        <v>101</v>
      </c>
      <c r="E1062" t="s">
        <v>102</v>
      </c>
      <c r="G1062" t="s">
        <v>114</v>
      </c>
      <c r="H1062" t="s">
        <v>104</v>
      </c>
      <c r="I1062">
        <v>2023</v>
      </c>
      <c r="J1062" t="s">
        <v>117</v>
      </c>
      <c r="K1062" t="s">
        <v>106</v>
      </c>
      <c r="L1062" t="s">
        <v>1368</v>
      </c>
      <c r="M1062" t="s">
        <v>1372</v>
      </c>
      <c r="N1062">
        <v>1</v>
      </c>
      <c r="O1062">
        <v>2023</v>
      </c>
      <c r="P1062">
        <v>3865.2553631628971</v>
      </c>
      <c r="Q1062">
        <v>1.615518797047149</v>
      </c>
      <c r="R1062" t="s">
        <v>109</v>
      </c>
      <c r="S1062">
        <v>2392.5783904389259</v>
      </c>
      <c r="T1062">
        <v>0.83499999999999996</v>
      </c>
      <c r="U1062" t="s">
        <v>110</v>
      </c>
      <c r="V1062">
        <v>0.83499999999999996</v>
      </c>
      <c r="W1062">
        <v>6</v>
      </c>
      <c r="X1062">
        <v>20</v>
      </c>
      <c r="Y1062">
        <v>14</v>
      </c>
      <c r="Z1062">
        <v>0.24</v>
      </c>
      <c r="AA1062">
        <v>31.536000000000001</v>
      </c>
    </row>
    <row r="1063" spans="1:27" x14ac:dyDescent="0.25">
      <c r="A1063" t="s">
        <v>98</v>
      </c>
      <c r="B1063" t="s">
        <v>99</v>
      </c>
      <c r="C1063" t="s">
        <v>1367</v>
      </c>
      <c r="D1063" t="s">
        <v>101</v>
      </c>
      <c r="E1063" t="s">
        <v>102</v>
      </c>
      <c r="G1063" t="s">
        <v>119</v>
      </c>
      <c r="H1063" t="s">
        <v>104</v>
      </c>
      <c r="I1063">
        <v>2016</v>
      </c>
      <c r="J1063" t="s">
        <v>120</v>
      </c>
      <c r="K1063" t="s">
        <v>106</v>
      </c>
      <c r="L1063" t="s">
        <v>1368</v>
      </c>
      <c r="M1063" t="s">
        <v>1373</v>
      </c>
      <c r="N1063">
        <v>0</v>
      </c>
      <c r="O1063">
        <v>2020</v>
      </c>
      <c r="P1063">
        <v>3749.5291546849662</v>
      </c>
      <c r="Q1063">
        <v>1.615518797047149</v>
      </c>
      <c r="R1063" t="s">
        <v>109</v>
      </c>
      <c r="S1063">
        <v>2320.9443068928508</v>
      </c>
      <c r="T1063">
        <v>0.81</v>
      </c>
      <c r="U1063" t="s">
        <v>110</v>
      </c>
      <c r="V1063">
        <v>0.81</v>
      </c>
      <c r="W1063">
        <v>6</v>
      </c>
      <c r="X1063">
        <v>20</v>
      </c>
      <c r="Y1063">
        <v>14</v>
      </c>
      <c r="Z1063">
        <v>0.24</v>
      </c>
      <c r="AA1063">
        <v>31.536000000000001</v>
      </c>
    </row>
    <row r="1064" spans="1:27" x14ac:dyDescent="0.25">
      <c r="A1064" t="s">
        <v>98</v>
      </c>
      <c r="B1064" t="s">
        <v>99</v>
      </c>
      <c r="C1064" t="s">
        <v>1367</v>
      </c>
      <c r="D1064" t="s">
        <v>101</v>
      </c>
      <c r="E1064" t="s">
        <v>102</v>
      </c>
      <c r="G1064" t="s">
        <v>119</v>
      </c>
      <c r="H1064" t="s">
        <v>104</v>
      </c>
      <c r="I1064">
        <v>2018</v>
      </c>
      <c r="J1064" t="s">
        <v>122</v>
      </c>
      <c r="K1064" t="s">
        <v>106</v>
      </c>
      <c r="L1064" t="s">
        <v>1368</v>
      </c>
      <c r="M1064" t="s">
        <v>1373</v>
      </c>
      <c r="N1064">
        <v>1</v>
      </c>
      <c r="O1064">
        <v>2020</v>
      </c>
      <c r="P1064">
        <v>3749.5291546849662</v>
      </c>
      <c r="Q1064">
        <v>1.615518797047149</v>
      </c>
      <c r="R1064" t="s">
        <v>109</v>
      </c>
      <c r="S1064">
        <v>2320.9443068928508</v>
      </c>
      <c r="T1064">
        <v>0.81</v>
      </c>
      <c r="U1064" t="s">
        <v>110</v>
      </c>
      <c r="V1064">
        <v>0.81</v>
      </c>
      <c r="W1064">
        <v>6</v>
      </c>
      <c r="X1064">
        <v>20</v>
      </c>
      <c r="Y1064">
        <v>14</v>
      </c>
      <c r="Z1064">
        <v>0.24</v>
      </c>
      <c r="AA1064">
        <v>31.536000000000001</v>
      </c>
    </row>
    <row r="1065" spans="1:27" x14ac:dyDescent="0.25">
      <c r="A1065" t="s">
        <v>98</v>
      </c>
      <c r="B1065" t="s">
        <v>99</v>
      </c>
      <c r="C1065" t="s">
        <v>1367</v>
      </c>
      <c r="D1065" t="s">
        <v>101</v>
      </c>
      <c r="E1065" t="s">
        <v>102</v>
      </c>
      <c r="G1065" t="s">
        <v>119</v>
      </c>
      <c r="H1065" t="s">
        <v>104</v>
      </c>
      <c r="I1065">
        <v>2022</v>
      </c>
      <c r="J1065" t="s">
        <v>123</v>
      </c>
      <c r="K1065" t="s">
        <v>106</v>
      </c>
      <c r="L1065" t="s">
        <v>1368</v>
      </c>
      <c r="M1065" t="s">
        <v>1374</v>
      </c>
      <c r="N1065">
        <v>1</v>
      </c>
      <c r="O1065">
        <v>2022</v>
      </c>
      <c r="P1065">
        <v>3749.5291546849662</v>
      </c>
      <c r="Q1065">
        <v>1.615518797047149</v>
      </c>
      <c r="R1065" t="s">
        <v>109</v>
      </c>
      <c r="S1065">
        <v>2320.9443068928508</v>
      </c>
      <c r="T1065">
        <v>0.81</v>
      </c>
      <c r="U1065" t="s">
        <v>110</v>
      </c>
      <c r="V1065">
        <v>0.81</v>
      </c>
      <c r="W1065">
        <v>6</v>
      </c>
      <c r="X1065">
        <v>20</v>
      </c>
      <c r="Y1065">
        <v>14</v>
      </c>
      <c r="Z1065">
        <v>0.24</v>
      </c>
      <c r="AA1065">
        <v>31.536000000000001</v>
      </c>
    </row>
    <row r="1066" spans="1:27" x14ac:dyDescent="0.25">
      <c r="A1066" t="s">
        <v>98</v>
      </c>
      <c r="B1066" t="s">
        <v>99</v>
      </c>
      <c r="C1066" t="s">
        <v>1367</v>
      </c>
      <c r="D1066" t="s">
        <v>101</v>
      </c>
      <c r="E1066" t="s">
        <v>102</v>
      </c>
      <c r="G1066" t="s">
        <v>103</v>
      </c>
      <c r="H1066" t="s">
        <v>125</v>
      </c>
      <c r="I1066">
        <v>2016</v>
      </c>
      <c r="J1066" t="s">
        <v>126</v>
      </c>
      <c r="K1066" t="s">
        <v>127</v>
      </c>
      <c r="L1066" t="s">
        <v>1368</v>
      </c>
      <c r="M1066" t="s">
        <v>1375</v>
      </c>
      <c r="N1066">
        <v>1</v>
      </c>
      <c r="O1066">
        <v>2020</v>
      </c>
      <c r="P1066">
        <v>945.00328288808089</v>
      </c>
      <c r="Q1066">
        <v>1.615518797047149</v>
      </c>
      <c r="R1066" t="s">
        <v>109</v>
      </c>
      <c r="S1066">
        <v>584.95344320063714</v>
      </c>
      <c r="T1066">
        <v>0.91554999999999997</v>
      </c>
      <c r="U1066" t="s">
        <v>110</v>
      </c>
      <c r="V1066">
        <v>0.91554999999999997</v>
      </c>
      <c r="W1066">
        <v>6</v>
      </c>
      <c r="X1066">
        <v>20</v>
      </c>
      <c r="Y1066">
        <v>14</v>
      </c>
      <c r="Z1066">
        <v>0.24</v>
      </c>
      <c r="AA1066">
        <v>31.536000000000001</v>
      </c>
    </row>
    <row r="1067" spans="1:27" x14ac:dyDescent="0.25">
      <c r="A1067" t="s">
        <v>98</v>
      </c>
      <c r="B1067" t="s">
        <v>99</v>
      </c>
      <c r="C1067" t="s">
        <v>1367</v>
      </c>
      <c r="D1067" t="s">
        <v>101</v>
      </c>
      <c r="E1067" t="s">
        <v>102</v>
      </c>
      <c r="G1067" t="s">
        <v>111</v>
      </c>
      <c r="H1067" t="s">
        <v>125</v>
      </c>
      <c r="I1067">
        <v>2016</v>
      </c>
      <c r="J1067" t="s">
        <v>129</v>
      </c>
      <c r="K1067" t="s">
        <v>127</v>
      </c>
      <c r="L1067" t="s">
        <v>1368</v>
      </c>
      <c r="M1067" t="s">
        <v>1376</v>
      </c>
      <c r="N1067">
        <v>1</v>
      </c>
      <c r="O1067">
        <v>2020</v>
      </c>
      <c r="P1067">
        <v>1036.455213490153</v>
      </c>
      <c r="Q1067">
        <v>1.615518797047149</v>
      </c>
      <c r="R1067" t="s">
        <v>109</v>
      </c>
      <c r="S1067">
        <v>641.56184092973115</v>
      </c>
      <c r="T1067">
        <v>0.93</v>
      </c>
      <c r="U1067" t="s">
        <v>110</v>
      </c>
      <c r="V1067">
        <v>0.93</v>
      </c>
      <c r="W1067">
        <v>6</v>
      </c>
      <c r="X1067">
        <v>20</v>
      </c>
      <c r="Y1067">
        <v>14</v>
      </c>
      <c r="Z1067">
        <v>0.24</v>
      </c>
      <c r="AA1067">
        <v>31.536000000000001</v>
      </c>
    </row>
    <row r="1068" spans="1:27" x14ac:dyDescent="0.25">
      <c r="A1068" t="s">
        <v>98</v>
      </c>
      <c r="B1068" t="s">
        <v>99</v>
      </c>
      <c r="C1068" t="s">
        <v>1367</v>
      </c>
      <c r="D1068" t="s">
        <v>101</v>
      </c>
      <c r="E1068" t="s">
        <v>102</v>
      </c>
      <c r="G1068" t="s">
        <v>119</v>
      </c>
      <c r="H1068" t="s">
        <v>125</v>
      </c>
      <c r="I1068">
        <v>2016</v>
      </c>
      <c r="J1068" t="s">
        <v>131</v>
      </c>
      <c r="K1068" t="s">
        <v>127</v>
      </c>
      <c r="L1068" t="s">
        <v>1368</v>
      </c>
      <c r="M1068" t="s">
        <v>1377</v>
      </c>
      <c r="N1068">
        <v>1</v>
      </c>
      <c r="O1068">
        <v>2020</v>
      </c>
      <c r="P1068">
        <v>1493.714866500515</v>
      </c>
      <c r="Q1068">
        <v>1.615518797047149</v>
      </c>
      <c r="R1068" t="s">
        <v>109</v>
      </c>
      <c r="S1068">
        <v>924.60382957520073</v>
      </c>
      <c r="T1068">
        <v>0.95</v>
      </c>
      <c r="U1068" t="s">
        <v>110</v>
      </c>
      <c r="V1068">
        <v>0.95</v>
      </c>
      <c r="W1068">
        <v>6</v>
      </c>
      <c r="X1068">
        <v>20</v>
      </c>
      <c r="Y1068">
        <v>14</v>
      </c>
      <c r="Z1068">
        <v>0.24</v>
      </c>
      <c r="AA1068">
        <v>31.536000000000001</v>
      </c>
    </row>
    <row r="1069" spans="1:27" x14ac:dyDescent="0.25">
      <c r="A1069" t="s">
        <v>98</v>
      </c>
      <c r="B1069" t="s">
        <v>99</v>
      </c>
      <c r="C1069" t="s">
        <v>1367</v>
      </c>
      <c r="D1069" t="s">
        <v>101</v>
      </c>
      <c r="E1069" t="s">
        <v>102</v>
      </c>
      <c r="G1069" t="s">
        <v>133</v>
      </c>
      <c r="H1069" t="s">
        <v>125</v>
      </c>
      <c r="I1069">
        <v>2016</v>
      </c>
      <c r="J1069" t="s">
        <v>134</v>
      </c>
      <c r="K1069" t="s">
        <v>127</v>
      </c>
      <c r="L1069" t="s">
        <v>1368</v>
      </c>
      <c r="M1069" t="s">
        <v>1378</v>
      </c>
      <c r="N1069">
        <v>1</v>
      </c>
      <c r="O1069">
        <v>2020</v>
      </c>
      <c r="P1069">
        <v>2530.170079990668</v>
      </c>
      <c r="Q1069">
        <v>1.615518797047149</v>
      </c>
      <c r="R1069" t="s">
        <v>109</v>
      </c>
      <c r="S1069">
        <v>1566.165670504932</v>
      </c>
      <c r="T1069">
        <v>3.28</v>
      </c>
      <c r="U1069" t="s">
        <v>110</v>
      </c>
      <c r="V1069">
        <v>3.28</v>
      </c>
      <c r="W1069">
        <v>6</v>
      </c>
      <c r="X1069">
        <v>20</v>
      </c>
      <c r="Y1069">
        <v>14</v>
      </c>
      <c r="Z1069">
        <v>0.24</v>
      </c>
      <c r="AA1069">
        <v>31.536000000000001</v>
      </c>
    </row>
    <row r="1070" spans="1:27" x14ac:dyDescent="0.25">
      <c r="A1070" t="s">
        <v>98</v>
      </c>
      <c r="B1070" t="s">
        <v>99</v>
      </c>
      <c r="C1070" t="s">
        <v>1367</v>
      </c>
      <c r="D1070" t="s">
        <v>101</v>
      </c>
      <c r="E1070" t="s">
        <v>102</v>
      </c>
      <c r="G1070" t="s">
        <v>133</v>
      </c>
      <c r="H1070" t="s">
        <v>125</v>
      </c>
      <c r="I1070">
        <v>2022</v>
      </c>
      <c r="J1070" t="s">
        <v>136</v>
      </c>
      <c r="K1070" t="s">
        <v>127</v>
      </c>
      <c r="L1070" t="s">
        <v>1368</v>
      </c>
      <c r="M1070" t="s">
        <v>1379</v>
      </c>
      <c r="N1070">
        <v>1</v>
      </c>
      <c r="O1070">
        <v>2022</v>
      </c>
      <c r="P1070">
        <v>2530.170079990668</v>
      </c>
      <c r="Q1070">
        <v>1.615518797047149</v>
      </c>
      <c r="R1070" t="s">
        <v>109</v>
      </c>
      <c r="S1070">
        <v>1566.165670504932</v>
      </c>
      <c r="T1070">
        <v>3.28</v>
      </c>
      <c r="U1070" t="s">
        <v>110</v>
      </c>
      <c r="V1070">
        <v>3.28</v>
      </c>
      <c r="W1070">
        <v>6</v>
      </c>
      <c r="X1070">
        <v>20</v>
      </c>
      <c r="Y1070">
        <v>14</v>
      </c>
      <c r="Z1070">
        <v>0.24</v>
      </c>
      <c r="AA1070">
        <v>31.536000000000001</v>
      </c>
    </row>
    <row r="1071" spans="1:27" x14ac:dyDescent="0.25">
      <c r="A1071" t="s">
        <v>98</v>
      </c>
      <c r="B1071" t="s">
        <v>99</v>
      </c>
      <c r="C1071" t="s">
        <v>1367</v>
      </c>
      <c r="D1071" t="s">
        <v>101</v>
      </c>
      <c r="E1071" t="s">
        <v>102</v>
      </c>
      <c r="G1071" t="s">
        <v>138</v>
      </c>
      <c r="H1071" t="s">
        <v>125</v>
      </c>
      <c r="I1071">
        <v>2016</v>
      </c>
      <c r="J1071" t="s">
        <v>139</v>
      </c>
      <c r="K1071" t="s">
        <v>127</v>
      </c>
      <c r="L1071" t="s">
        <v>1368</v>
      </c>
      <c r="M1071" t="s">
        <v>1380</v>
      </c>
      <c r="N1071">
        <v>1</v>
      </c>
      <c r="O1071">
        <v>2020</v>
      </c>
      <c r="P1071">
        <v>2316.7822419191662</v>
      </c>
      <c r="Q1071">
        <v>1.615518797047149</v>
      </c>
      <c r="R1071" t="s">
        <v>109</v>
      </c>
      <c r="S1071">
        <v>1434.079409137046</v>
      </c>
      <c r="T1071">
        <v>2</v>
      </c>
      <c r="U1071" t="s">
        <v>110</v>
      </c>
      <c r="V1071">
        <v>2</v>
      </c>
      <c r="W1071">
        <v>6</v>
      </c>
      <c r="X1071">
        <v>20</v>
      </c>
      <c r="Y1071">
        <v>14</v>
      </c>
      <c r="Z1071">
        <v>0.24</v>
      </c>
      <c r="AA1071">
        <v>31.536000000000001</v>
      </c>
    </row>
    <row r="1072" spans="1:27" x14ac:dyDescent="0.25">
      <c r="A1072" t="s">
        <v>98</v>
      </c>
      <c r="B1072" t="s">
        <v>99</v>
      </c>
      <c r="C1072" t="s">
        <v>1367</v>
      </c>
      <c r="D1072" t="s">
        <v>101</v>
      </c>
      <c r="E1072" t="s">
        <v>102</v>
      </c>
      <c r="G1072" t="s">
        <v>138</v>
      </c>
      <c r="H1072" t="s">
        <v>125</v>
      </c>
      <c r="I1072">
        <v>2022</v>
      </c>
      <c r="J1072" t="s">
        <v>141</v>
      </c>
      <c r="K1072" t="s">
        <v>127</v>
      </c>
      <c r="L1072" t="s">
        <v>1368</v>
      </c>
      <c r="M1072" t="s">
        <v>1381</v>
      </c>
      <c r="N1072">
        <v>1</v>
      </c>
      <c r="O1072">
        <v>2022</v>
      </c>
      <c r="P1072">
        <v>2805.3845753706141</v>
      </c>
      <c r="Q1072">
        <v>1.615518797047149</v>
      </c>
      <c r="R1072" t="s">
        <v>109</v>
      </c>
      <c r="S1072">
        <v>1736.522397943191</v>
      </c>
      <c r="T1072">
        <v>3.3</v>
      </c>
      <c r="U1072" t="s">
        <v>110</v>
      </c>
      <c r="V1072">
        <v>3.3</v>
      </c>
      <c r="W1072">
        <v>6</v>
      </c>
      <c r="X1072">
        <v>20</v>
      </c>
      <c r="Y1072">
        <v>14</v>
      </c>
      <c r="Z1072">
        <v>0.24</v>
      </c>
      <c r="AA1072">
        <v>31.536000000000001</v>
      </c>
    </row>
    <row r="1073" spans="1:27" x14ac:dyDescent="0.25">
      <c r="A1073" t="s">
        <v>98</v>
      </c>
      <c r="B1073" t="s">
        <v>99</v>
      </c>
      <c r="C1073" t="s">
        <v>1367</v>
      </c>
      <c r="D1073" t="s">
        <v>101</v>
      </c>
      <c r="E1073" t="s">
        <v>102</v>
      </c>
      <c r="G1073" t="s">
        <v>143</v>
      </c>
      <c r="H1073" t="s">
        <v>125</v>
      </c>
      <c r="I1073">
        <v>2016</v>
      </c>
      <c r="J1073" t="s">
        <v>144</v>
      </c>
      <c r="K1073" t="s">
        <v>127</v>
      </c>
      <c r="L1073" t="s">
        <v>1368</v>
      </c>
      <c r="M1073" t="s">
        <v>1382</v>
      </c>
      <c r="N1073">
        <v>1</v>
      </c>
      <c r="O1073">
        <v>2020</v>
      </c>
      <c r="P1073">
        <v>3017.9137098683868</v>
      </c>
      <c r="Q1073">
        <v>1.615518797047149</v>
      </c>
      <c r="R1073" t="s">
        <v>109</v>
      </c>
      <c r="S1073">
        <v>1868.077125060099</v>
      </c>
      <c r="T1073">
        <v>3.55</v>
      </c>
      <c r="U1073" t="s">
        <v>110</v>
      </c>
      <c r="V1073">
        <v>3.55</v>
      </c>
      <c r="W1073">
        <v>6</v>
      </c>
      <c r="X1073">
        <v>20</v>
      </c>
      <c r="Y1073">
        <v>14</v>
      </c>
      <c r="Z1073">
        <v>0.24</v>
      </c>
      <c r="AA1073">
        <v>31.536000000000001</v>
      </c>
    </row>
    <row r="1074" spans="1:27" x14ac:dyDescent="0.25">
      <c r="A1074" t="s">
        <v>98</v>
      </c>
      <c r="B1074" t="s">
        <v>99</v>
      </c>
      <c r="C1074" t="s">
        <v>1367</v>
      </c>
      <c r="D1074" t="s">
        <v>101</v>
      </c>
      <c r="E1074" t="s">
        <v>102</v>
      </c>
      <c r="G1074" t="s">
        <v>143</v>
      </c>
      <c r="H1074" t="s">
        <v>125</v>
      </c>
      <c r="I1074">
        <v>2022</v>
      </c>
      <c r="J1074" t="s">
        <v>146</v>
      </c>
      <c r="K1074" t="s">
        <v>127</v>
      </c>
      <c r="L1074" t="s">
        <v>1368</v>
      </c>
      <c r="M1074" t="s">
        <v>1383</v>
      </c>
      <c r="N1074">
        <v>1</v>
      </c>
      <c r="O1074">
        <v>2022</v>
      </c>
      <c r="P1074">
        <v>3017.9137098683868</v>
      </c>
      <c r="Q1074">
        <v>1.615518797047149</v>
      </c>
      <c r="R1074" t="s">
        <v>109</v>
      </c>
      <c r="S1074">
        <v>1868.077125060099</v>
      </c>
      <c r="T1074">
        <v>3.55</v>
      </c>
      <c r="U1074" t="s">
        <v>110</v>
      </c>
      <c r="V1074">
        <v>3.55</v>
      </c>
      <c r="W1074">
        <v>6</v>
      </c>
      <c r="X1074">
        <v>20</v>
      </c>
      <c r="Y1074">
        <v>14</v>
      </c>
      <c r="Z1074">
        <v>0.24</v>
      </c>
      <c r="AA1074">
        <v>31.536000000000001</v>
      </c>
    </row>
    <row r="1075" spans="1:27" x14ac:dyDescent="0.25">
      <c r="A1075" t="s">
        <v>98</v>
      </c>
      <c r="B1075" t="s">
        <v>99</v>
      </c>
      <c r="C1075" t="s">
        <v>1367</v>
      </c>
      <c r="D1075" t="s">
        <v>101</v>
      </c>
      <c r="E1075" t="s">
        <v>102</v>
      </c>
      <c r="G1075" t="s">
        <v>103</v>
      </c>
      <c r="H1075" t="s">
        <v>148</v>
      </c>
      <c r="I1075">
        <v>2016</v>
      </c>
      <c r="J1075" t="s">
        <v>149</v>
      </c>
      <c r="K1075" t="s">
        <v>150</v>
      </c>
      <c r="L1075" t="s">
        <v>1368</v>
      </c>
      <c r="M1075" t="s">
        <v>1384</v>
      </c>
      <c r="N1075">
        <v>1</v>
      </c>
      <c r="O1075">
        <v>2020</v>
      </c>
      <c r="P1075">
        <v>2926.4617792663148</v>
      </c>
      <c r="Q1075">
        <v>1.615518797047149</v>
      </c>
      <c r="R1075" t="s">
        <v>109</v>
      </c>
      <c r="S1075">
        <v>1811.468727331006</v>
      </c>
      <c r="T1075">
        <v>0.63670000000000004</v>
      </c>
      <c r="U1075" t="s">
        <v>110</v>
      </c>
      <c r="V1075">
        <v>0.63670000000000004</v>
      </c>
      <c r="W1075">
        <v>6</v>
      </c>
      <c r="X1075">
        <v>20</v>
      </c>
      <c r="Y1075">
        <v>14</v>
      </c>
      <c r="Z1075">
        <v>0.24</v>
      </c>
      <c r="AA1075">
        <v>31.536000000000001</v>
      </c>
    </row>
    <row r="1076" spans="1:27" x14ac:dyDescent="0.25">
      <c r="A1076" t="s">
        <v>98</v>
      </c>
      <c r="B1076" t="s">
        <v>99</v>
      </c>
      <c r="C1076" t="s">
        <v>1367</v>
      </c>
      <c r="D1076" t="s">
        <v>101</v>
      </c>
      <c r="E1076" t="s">
        <v>102</v>
      </c>
      <c r="G1076" t="s">
        <v>111</v>
      </c>
      <c r="H1076" t="s">
        <v>148</v>
      </c>
      <c r="I1076">
        <v>2016</v>
      </c>
      <c r="J1076" t="s">
        <v>152</v>
      </c>
      <c r="K1076" t="s">
        <v>150</v>
      </c>
      <c r="L1076" t="s">
        <v>1368</v>
      </c>
      <c r="M1076" t="s">
        <v>1385</v>
      </c>
      <c r="N1076">
        <v>1</v>
      </c>
      <c r="O1076">
        <v>2020</v>
      </c>
      <c r="P1076">
        <v>3109.3656404704602</v>
      </c>
      <c r="Q1076">
        <v>1.615518797047149</v>
      </c>
      <c r="R1076" t="s">
        <v>109</v>
      </c>
      <c r="S1076">
        <v>1924.6855227891931</v>
      </c>
      <c r="T1076">
        <v>0.67</v>
      </c>
      <c r="U1076" t="s">
        <v>110</v>
      </c>
      <c r="V1076">
        <v>0.67</v>
      </c>
      <c r="W1076">
        <v>6</v>
      </c>
      <c r="X1076">
        <v>20</v>
      </c>
      <c r="Y1076">
        <v>14</v>
      </c>
      <c r="Z1076">
        <v>0.24</v>
      </c>
      <c r="AA1076">
        <v>31.536000000000001</v>
      </c>
    </row>
    <row r="1077" spans="1:27" x14ac:dyDescent="0.25">
      <c r="A1077" t="s">
        <v>98</v>
      </c>
      <c r="B1077" t="s">
        <v>99</v>
      </c>
      <c r="C1077" t="s">
        <v>1367</v>
      </c>
      <c r="D1077" t="s">
        <v>101</v>
      </c>
      <c r="E1077" t="s">
        <v>102</v>
      </c>
      <c r="G1077" t="s">
        <v>119</v>
      </c>
      <c r="H1077" t="s">
        <v>148</v>
      </c>
      <c r="I1077">
        <v>2016</v>
      </c>
      <c r="J1077" t="s">
        <v>154</v>
      </c>
      <c r="K1077" t="s">
        <v>150</v>
      </c>
      <c r="L1077" t="s">
        <v>1368</v>
      </c>
      <c r="M1077" t="s">
        <v>1386</v>
      </c>
      <c r="N1077">
        <v>1</v>
      </c>
      <c r="O1077">
        <v>2020</v>
      </c>
      <c r="P1077">
        <v>3078.881663603102</v>
      </c>
      <c r="Q1077">
        <v>1.615518797047149</v>
      </c>
      <c r="R1077" t="s">
        <v>109</v>
      </c>
      <c r="S1077">
        <v>1905.8160568794949</v>
      </c>
      <c r="T1077">
        <v>0.69</v>
      </c>
      <c r="U1077" t="s">
        <v>110</v>
      </c>
      <c r="V1077">
        <v>0.69</v>
      </c>
      <c r="W1077">
        <v>6</v>
      </c>
      <c r="X1077">
        <v>20</v>
      </c>
      <c r="Y1077">
        <v>14</v>
      </c>
      <c r="Z1077">
        <v>0.24</v>
      </c>
      <c r="AA1077">
        <v>31.536000000000001</v>
      </c>
    </row>
    <row r="1078" spans="1:27" x14ac:dyDescent="0.25">
      <c r="A1078" t="s">
        <v>98</v>
      </c>
      <c r="B1078" t="s">
        <v>99</v>
      </c>
      <c r="C1078" t="s">
        <v>1367</v>
      </c>
      <c r="D1078" t="s">
        <v>101</v>
      </c>
      <c r="E1078" t="s">
        <v>102</v>
      </c>
      <c r="G1078" t="s">
        <v>103</v>
      </c>
      <c r="H1078" t="s">
        <v>156</v>
      </c>
      <c r="I1078">
        <v>2016</v>
      </c>
      <c r="J1078" t="s">
        <v>157</v>
      </c>
      <c r="K1078" t="s">
        <v>158</v>
      </c>
      <c r="L1078" t="s">
        <v>1368</v>
      </c>
      <c r="M1078" t="s">
        <v>1387</v>
      </c>
      <c r="N1078">
        <v>1</v>
      </c>
      <c r="O1078">
        <v>2020</v>
      </c>
      <c r="P1078">
        <v>2225.3303113170941</v>
      </c>
      <c r="Q1078">
        <v>1.615518797047149</v>
      </c>
      <c r="R1078" t="s">
        <v>109</v>
      </c>
      <c r="S1078">
        <v>1377.4710114079519</v>
      </c>
      <c r="T1078">
        <v>0.61014999999999997</v>
      </c>
      <c r="U1078" t="s">
        <v>110</v>
      </c>
      <c r="V1078">
        <v>0.61014999999999997</v>
      </c>
      <c r="W1078">
        <v>6</v>
      </c>
      <c r="X1078">
        <v>20</v>
      </c>
      <c r="Y1078">
        <v>14</v>
      </c>
      <c r="Z1078">
        <v>0.24</v>
      </c>
      <c r="AA1078">
        <v>31.536000000000001</v>
      </c>
    </row>
    <row r="1079" spans="1:27" x14ac:dyDescent="0.25">
      <c r="A1079" t="s">
        <v>98</v>
      </c>
      <c r="B1079" t="s">
        <v>99</v>
      </c>
      <c r="C1079" t="s">
        <v>1367</v>
      </c>
      <c r="D1079" t="s">
        <v>101</v>
      </c>
      <c r="E1079" t="s">
        <v>102</v>
      </c>
      <c r="G1079" t="s">
        <v>111</v>
      </c>
      <c r="H1079" t="s">
        <v>156</v>
      </c>
      <c r="I1079">
        <v>2016</v>
      </c>
      <c r="J1079" t="s">
        <v>160</v>
      </c>
      <c r="K1079" t="s">
        <v>158</v>
      </c>
      <c r="L1079" t="s">
        <v>1368</v>
      </c>
      <c r="M1079" t="s">
        <v>1388</v>
      </c>
      <c r="N1079">
        <v>1</v>
      </c>
      <c r="O1079">
        <v>2020</v>
      </c>
      <c r="P1079">
        <v>2347.266218786523</v>
      </c>
      <c r="Q1079">
        <v>1.615518797047149</v>
      </c>
      <c r="R1079" t="s">
        <v>109</v>
      </c>
      <c r="S1079">
        <v>1452.948875046744</v>
      </c>
      <c r="T1079">
        <v>0.63</v>
      </c>
      <c r="U1079" t="s">
        <v>110</v>
      </c>
      <c r="V1079">
        <v>0.63</v>
      </c>
      <c r="W1079">
        <v>6</v>
      </c>
      <c r="X1079">
        <v>20</v>
      </c>
      <c r="Y1079">
        <v>14</v>
      </c>
      <c r="Z1079">
        <v>0.24</v>
      </c>
      <c r="AA1079">
        <v>31.536000000000001</v>
      </c>
    </row>
    <row r="1080" spans="1:27" x14ac:dyDescent="0.25">
      <c r="A1080" t="s">
        <v>98</v>
      </c>
      <c r="B1080" t="s">
        <v>99</v>
      </c>
      <c r="C1080" t="s">
        <v>1367</v>
      </c>
      <c r="D1080" t="s">
        <v>101</v>
      </c>
      <c r="E1080" t="s">
        <v>102</v>
      </c>
      <c r="G1080" t="s">
        <v>114</v>
      </c>
      <c r="H1080" t="s">
        <v>156</v>
      </c>
      <c r="I1080">
        <v>2016</v>
      </c>
      <c r="J1080" t="s">
        <v>162</v>
      </c>
      <c r="K1080" t="s">
        <v>158</v>
      </c>
      <c r="L1080" t="s">
        <v>1368</v>
      </c>
      <c r="M1080" t="s">
        <v>1389</v>
      </c>
      <c r="N1080">
        <v>1</v>
      </c>
      <c r="O1080">
        <v>2020</v>
      </c>
      <c r="P1080">
        <v>2469.2021262559529</v>
      </c>
      <c r="Q1080">
        <v>1.615518797047149</v>
      </c>
      <c r="R1080" t="s">
        <v>109</v>
      </c>
      <c r="S1080">
        <v>1528.4267386855361</v>
      </c>
      <c r="T1080">
        <v>0.66</v>
      </c>
      <c r="U1080" t="s">
        <v>110</v>
      </c>
      <c r="V1080">
        <v>0.66</v>
      </c>
      <c r="W1080">
        <v>6</v>
      </c>
      <c r="X1080">
        <v>20</v>
      </c>
      <c r="Y1080">
        <v>14</v>
      </c>
      <c r="Z1080">
        <v>0.24</v>
      </c>
      <c r="AA1080">
        <v>31.536000000000001</v>
      </c>
    </row>
    <row r="1081" spans="1:27" x14ac:dyDescent="0.25">
      <c r="A1081" t="s">
        <v>98</v>
      </c>
      <c r="B1081" t="s">
        <v>99</v>
      </c>
      <c r="C1081" t="s">
        <v>1367</v>
      </c>
      <c r="D1081" t="s">
        <v>101</v>
      </c>
      <c r="E1081" t="s">
        <v>102</v>
      </c>
      <c r="G1081" t="s">
        <v>114</v>
      </c>
      <c r="H1081" t="s">
        <v>156</v>
      </c>
      <c r="I1081">
        <v>2023</v>
      </c>
      <c r="J1081" t="s">
        <v>164</v>
      </c>
      <c r="K1081" t="s">
        <v>158</v>
      </c>
      <c r="L1081" t="s">
        <v>1368</v>
      </c>
      <c r="M1081" t="s">
        <v>1390</v>
      </c>
      <c r="N1081">
        <v>1</v>
      </c>
      <c r="O1081">
        <v>2023</v>
      </c>
      <c r="P1081">
        <v>3865.2553631628971</v>
      </c>
      <c r="Q1081">
        <v>1.615518797047149</v>
      </c>
      <c r="R1081" t="s">
        <v>109</v>
      </c>
      <c r="S1081">
        <v>2392.5783904389259</v>
      </c>
      <c r="T1081">
        <v>0.83499999999999996</v>
      </c>
      <c r="U1081" t="s">
        <v>110</v>
      </c>
      <c r="V1081">
        <v>0.83499999999999996</v>
      </c>
      <c r="W1081">
        <v>6</v>
      </c>
      <c r="X1081">
        <v>20</v>
      </c>
      <c r="Y1081">
        <v>14</v>
      </c>
      <c r="Z1081">
        <v>0.24</v>
      </c>
      <c r="AA1081">
        <v>31.536000000000001</v>
      </c>
    </row>
    <row r="1082" spans="1:27" x14ac:dyDescent="0.25">
      <c r="A1082" t="s">
        <v>98</v>
      </c>
      <c r="B1082" t="s">
        <v>99</v>
      </c>
      <c r="C1082" t="s">
        <v>1367</v>
      </c>
      <c r="D1082" t="s">
        <v>101</v>
      </c>
      <c r="E1082" t="s">
        <v>102</v>
      </c>
      <c r="G1082" t="s">
        <v>119</v>
      </c>
      <c r="H1082" t="s">
        <v>156</v>
      </c>
      <c r="I1082">
        <v>2016</v>
      </c>
      <c r="J1082" t="s">
        <v>166</v>
      </c>
      <c r="K1082" t="s">
        <v>158</v>
      </c>
      <c r="L1082" t="s">
        <v>1368</v>
      </c>
      <c r="M1082" t="s">
        <v>1391</v>
      </c>
      <c r="N1082">
        <v>0</v>
      </c>
      <c r="O1082">
        <v>2020</v>
      </c>
      <c r="P1082">
        <v>3749.5291546849662</v>
      </c>
      <c r="Q1082">
        <v>1.615518797047149</v>
      </c>
      <c r="R1082" t="s">
        <v>109</v>
      </c>
      <c r="S1082">
        <v>2320.9443068928508</v>
      </c>
      <c r="T1082">
        <v>0.81</v>
      </c>
      <c r="U1082" t="s">
        <v>110</v>
      </c>
      <c r="V1082">
        <v>0.81</v>
      </c>
      <c r="W1082">
        <v>6</v>
      </c>
      <c r="X1082">
        <v>20</v>
      </c>
      <c r="Y1082">
        <v>14</v>
      </c>
      <c r="Z1082">
        <v>0.24</v>
      </c>
      <c r="AA1082">
        <v>31.536000000000001</v>
      </c>
    </row>
    <row r="1083" spans="1:27" x14ac:dyDescent="0.25">
      <c r="A1083" t="s">
        <v>98</v>
      </c>
      <c r="B1083" t="s">
        <v>99</v>
      </c>
      <c r="C1083" t="s">
        <v>1367</v>
      </c>
      <c r="D1083" t="s">
        <v>101</v>
      </c>
      <c r="E1083" t="s">
        <v>102</v>
      </c>
      <c r="G1083" t="s">
        <v>119</v>
      </c>
      <c r="H1083" t="s">
        <v>156</v>
      </c>
      <c r="I1083">
        <v>2018</v>
      </c>
      <c r="J1083" t="s">
        <v>168</v>
      </c>
      <c r="K1083" t="s">
        <v>158</v>
      </c>
      <c r="L1083" t="s">
        <v>1368</v>
      </c>
      <c r="M1083" t="s">
        <v>1391</v>
      </c>
      <c r="N1083">
        <v>1</v>
      </c>
      <c r="O1083">
        <v>2020</v>
      </c>
      <c r="P1083">
        <v>3749.5291546849662</v>
      </c>
      <c r="Q1083">
        <v>1.615518797047149</v>
      </c>
      <c r="R1083" t="s">
        <v>109</v>
      </c>
      <c r="S1083">
        <v>2320.9443068928508</v>
      </c>
      <c r="T1083">
        <v>0.81</v>
      </c>
      <c r="U1083" t="s">
        <v>110</v>
      </c>
      <c r="V1083">
        <v>0.81</v>
      </c>
      <c r="W1083">
        <v>6</v>
      </c>
      <c r="X1083">
        <v>20</v>
      </c>
      <c r="Y1083">
        <v>14</v>
      </c>
      <c r="Z1083">
        <v>0.24</v>
      </c>
      <c r="AA1083">
        <v>31.536000000000001</v>
      </c>
    </row>
    <row r="1084" spans="1:27" x14ac:dyDescent="0.25">
      <c r="A1084" t="s">
        <v>98</v>
      </c>
      <c r="B1084" t="s">
        <v>99</v>
      </c>
      <c r="C1084" t="s">
        <v>1367</v>
      </c>
      <c r="D1084" t="s">
        <v>101</v>
      </c>
      <c r="E1084" t="s">
        <v>102</v>
      </c>
      <c r="G1084" t="s">
        <v>111</v>
      </c>
      <c r="H1084" t="s">
        <v>169</v>
      </c>
      <c r="I1084">
        <v>2016</v>
      </c>
      <c r="J1084" t="s">
        <v>170</v>
      </c>
      <c r="K1084" t="s">
        <v>171</v>
      </c>
      <c r="L1084" t="s">
        <v>1368</v>
      </c>
      <c r="M1084" t="s">
        <v>1392</v>
      </c>
      <c r="N1084">
        <v>0</v>
      </c>
      <c r="O1084">
        <v>2020</v>
      </c>
      <c r="P1084">
        <v>13412.949821637279</v>
      </c>
      <c r="Q1084">
        <v>1.615518797047149</v>
      </c>
      <c r="R1084" t="s">
        <v>109</v>
      </c>
      <c r="S1084">
        <v>8302.5650002671082</v>
      </c>
      <c r="T1084">
        <v>1</v>
      </c>
      <c r="U1084" t="s">
        <v>173</v>
      </c>
      <c r="V1084">
        <v>1</v>
      </c>
      <c r="W1084">
        <v>15</v>
      </c>
      <c r="X1084">
        <v>30</v>
      </c>
      <c r="Y1084">
        <v>23</v>
      </c>
      <c r="Z1084">
        <v>0.24</v>
      </c>
      <c r="AA1084">
        <v>31.536000000000001</v>
      </c>
    </row>
    <row r="1085" spans="1:27" x14ac:dyDescent="0.25">
      <c r="A1085" t="s">
        <v>98</v>
      </c>
      <c r="B1085" t="s">
        <v>99</v>
      </c>
      <c r="C1085" t="s">
        <v>1367</v>
      </c>
      <c r="D1085" t="s">
        <v>101</v>
      </c>
      <c r="E1085" t="s">
        <v>102</v>
      </c>
      <c r="G1085" t="s">
        <v>111</v>
      </c>
      <c r="H1085" t="s">
        <v>169</v>
      </c>
      <c r="I1085">
        <v>2020</v>
      </c>
      <c r="J1085" t="s">
        <v>174</v>
      </c>
      <c r="K1085" t="s">
        <v>171</v>
      </c>
      <c r="L1085" t="s">
        <v>1368</v>
      </c>
      <c r="M1085" t="s">
        <v>1392</v>
      </c>
      <c r="N1085">
        <v>1</v>
      </c>
      <c r="O1085">
        <v>2020</v>
      </c>
      <c r="P1085">
        <v>13412.949821637279</v>
      </c>
      <c r="Q1085">
        <v>1.615518797047149</v>
      </c>
      <c r="R1085" t="s">
        <v>109</v>
      </c>
      <c r="S1085">
        <v>8302.5650002671082</v>
      </c>
      <c r="T1085">
        <v>1</v>
      </c>
      <c r="U1085" t="s">
        <v>173</v>
      </c>
      <c r="V1085">
        <v>1</v>
      </c>
      <c r="W1085">
        <v>15</v>
      </c>
      <c r="X1085">
        <v>30</v>
      </c>
      <c r="Y1085">
        <v>23</v>
      </c>
      <c r="Z1085">
        <v>0.24</v>
      </c>
      <c r="AA1085">
        <v>31.536000000000001</v>
      </c>
    </row>
    <row r="1086" spans="1:27" x14ac:dyDescent="0.25">
      <c r="A1086" t="s">
        <v>98</v>
      </c>
      <c r="B1086" t="s">
        <v>99</v>
      </c>
      <c r="C1086" t="s">
        <v>1367</v>
      </c>
      <c r="D1086" t="s">
        <v>101</v>
      </c>
      <c r="E1086" t="s">
        <v>102</v>
      </c>
      <c r="G1086" t="s">
        <v>111</v>
      </c>
      <c r="H1086" t="s">
        <v>169</v>
      </c>
      <c r="I1086">
        <v>2023</v>
      </c>
      <c r="J1086" t="s">
        <v>175</v>
      </c>
      <c r="K1086" t="s">
        <v>171</v>
      </c>
      <c r="L1086" t="s">
        <v>1368</v>
      </c>
      <c r="M1086" t="s">
        <v>1393</v>
      </c>
      <c r="N1086">
        <v>1</v>
      </c>
      <c r="O1086">
        <v>2023</v>
      </c>
      <c r="P1086">
        <v>13412.949821637279</v>
      </c>
      <c r="Q1086">
        <v>1.615518797047149</v>
      </c>
      <c r="R1086" t="s">
        <v>109</v>
      </c>
      <c r="S1086">
        <v>8302.5650002671082</v>
      </c>
      <c r="T1086">
        <v>1</v>
      </c>
      <c r="U1086" t="s">
        <v>173</v>
      </c>
      <c r="V1086">
        <v>1</v>
      </c>
      <c r="W1086">
        <v>15</v>
      </c>
      <c r="X1086">
        <v>30</v>
      </c>
      <c r="Y1086">
        <v>23</v>
      </c>
      <c r="Z1086">
        <v>0.24</v>
      </c>
      <c r="AA1086">
        <v>31.536000000000001</v>
      </c>
    </row>
    <row r="1087" spans="1:27" x14ac:dyDescent="0.25">
      <c r="A1087" t="s">
        <v>98</v>
      </c>
      <c r="B1087" t="s">
        <v>99</v>
      </c>
      <c r="C1087" t="s">
        <v>1367</v>
      </c>
      <c r="D1087" t="s">
        <v>101</v>
      </c>
      <c r="E1087" t="s">
        <v>102</v>
      </c>
      <c r="G1087" t="s">
        <v>111</v>
      </c>
      <c r="H1087" t="s">
        <v>169</v>
      </c>
      <c r="I1087">
        <v>2024</v>
      </c>
      <c r="J1087" t="s">
        <v>177</v>
      </c>
      <c r="K1087" t="s">
        <v>171</v>
      </c>
      <c r="L1087" t="s">
        <v>1368</v>
      </c>
      <c r="M1087" t="s">
        <v>1394</v>
      </c>
      <c r="N1087">
        <v>1</v>
      </c>
      <c r="O1087">
        <v>2024</v>
      </c>
      <c r="P1087">
        <v>13412.949821637279</v>
      </c>
      <c r="Q1087">
        <v>1.615518797047149</v>
      </c>
      <c r="R1087" t="s">
        <v>109</v>
      </c>
      <c r="S1087">
        <v>8302.5650002671082</v>
      </c>
      <c r="T1087">
        <v>1</v>
      </c>
      <c r="U1087" t="s">
        <v>173</v>
      </c>
      <c r="V1087">
        <v>1</v>
      </c>
      <c r="W1087">
        <v>15</v>
      </c>
      <c r="X1087">
        <v>30</v>
      </c>
      <c r="Y1087">
        <v>23</v>
      </c>
      <c r="Z1087">
        <v>0.24</v>
      </c>
      <c r="AA1087">
        <v>31.536000000000001</v>
      </c>
    </row>
    <row r="1088" spans="1:27" x14ac:dyDescent="0.25">
      <c r="A1088" t="s">
        <v>98</v>
      </c>
      <c r="B1088" t="s">
        <v>99</v>
      </c>
      <c r="C1088" t="s">
        <v>1367</v>
      </c>
      <c r="D1088" t="s">
        <v>101</v>
      </c>
      <c r="E1088" t="s">
        <v>179</v>
      </c>
      <c r="F1088" t="s">
        <v>180</v>
      </c>
      <c r="G1088" t="s">
        <v>103</v>
      </c>
      <c r="H1088" t="s">
        <v>125</v>
      </c>
      <c r="I1088">
        <v>2016</v>
      </c>
      <c r="J1088" t="s">
        <v>181</v>
      </c>
      <c r="K1088" t="s">
        <v>127</v>
      </c>
      <c r="L1088" t="s">
        <v>1395</v>
      </c>
      <c r="M1088" t="s">
        <v>1396</v>
      </c>
      <c r="N1088">
        <v>1</v>
      </c>
      <c r="O1088">
        <v>2020</v>
      </c>
      <c r="P1088">
        <v>2956.9457561336731</v>
      </c>
      <c r="Q1088">
        <v>4.0938754601769656</v>
      </c>
      <c r="R1088" t="s">
        <v>109</v>
      </c>
      <c r="S1088">
        <v>722.28522457443125</v>
      </c>
      <c r="T1088">
        <v>2.4032825322391562</v>
      </c>
      <c r="U1088" t="s">
        <v>184</v>
      </c>
      <c r="V1088">
        <v>2.4032825322391562</v>
      </c>
      <c r="W1088">
        <v>9</v>
      </c>
      <c r="X1088">
        <v>22</v>
      </c>
      <c r="Y1088">
        <v>16</v>
      </c>
      <c r="Z1088">
        <v>0.10652957206919771</v>
      </c>
      <c r="AA1088">
        <v>31.536000000000001</v>
      </c>
    </row>
    <row r="1089" spans="1:27" x14ac:dyDescent="0.25">
      <c r="A1089" t="s">
        <v>98</v>
      </c>
      <c r="B1089" t="s">
        <v>99</v>
      </c>
      <c r="C1089" t="s">
        <v>1367</v>
      </c>
      <c r="D1089" t="s">
        <v>101</v>
      </c>
      <c r="E1089" t="s">
        <v>179</v>
      </c>
      <c r="F1089" t="s">
        <v>180</v>
      </c>
      <c r="G1089" t="s">
        <v>103</v>
      </c>
      <c r="H1089" t="s">
        <v>125</v>
      </c>
      <c r="I1089">
        <v>2023</v>
      </c>
      <c r="J1089" t="s">
        <v>185</v>
      </c>
      <c r="K1089" t="s">
        <v>127</v>
      </c>
      <c r="L1089" t="s">
        <v>1395</v>
      </c>
      <c r="M1089" t="s">
        <v>1397</v>
      </c>
      <c r="N1089">
        <v>1</v>
      </c>
      <c r="O1089">
        <v>2023</v>
      </c>
      <c r="P1089">
        <v>2956.9457561336731</v>
      </c>
      <c r="Q1089">
        <v>4.0938754601769656</v>
      </c>
      <c r="R1089" t="s">
        <v>109</v>
      </c>
      <c r="S1089">
        <v>722.28522457443125</v>
      </c>
      <c r="T1089">
        <v>2.4032825322391562</v>
      </c>
      <c r="U1089" t="s">
        <v>184</v>
      </c>
      <c r="V1089">
        <v>2.4032825322391562</v>
      </c>
      <c r="W1089">
        <v>9</v>
      </c>
      <c r="X1089">
        <v>22</v>
      </c>
      <c r="Y1089">
        <v>16</v>
      </c>
      <c r="Z1089">
        <v>0.10652957206919771</v>
      </c>
      <c r="AA1089">
        <v>31.536000000000001</v>
      </c>
    </row>
    <row r="1090" spans="1:27" x14ac:dyDescent="0.25">
      <c r="A1090" t="s">
        <v>98</v>
      </c>
      <c r="B1090" t="s">
        <v>99</v>
      </c>
      <c r="C1090" t="s">
        <v>1367</v>
      </c>
      <c r="D1090" t="s">
        <v>101</v>
      </c>
      <c r="E1090" t="s">
        <v>179</v>
      </c>
      <c r="F1090" t="s">
        <v>180</v>
      </c>
      <c r="G1090" t="s">
        <v>111</v>
      </c>
      <c r="H1090" t="s">
        <v>125</v>
      </c>
      <c r="I1090">
        <v>2016</v>
      </c>
      <c r="J1090" t="s">
        <v>187</v>
      </c>
      <c r="K1090" t="s">
        <v>127</v>
      </c>
      <c r="L1090" t="s">
        <v>1395</v>
      </c>
      <c r="M1090" t="s">
        <v>1398</v>
      </c>
      <c r="N1090">
        <v>1</v>
      </c>
      <c r="O1090">
        <v>2020</v>
      </c>
      <c r="P1090">
        <v>3109.3656404704602</v>
      </c>
      <c r="Q1090">
        <v>4.0938754601769656</v>
      </c>
      <c r="R1090" t="s">
        <v>109</v>
      </c>
      <c r="S1090">
        <v>759.51642171744311</v>
      </c>
      <c r="T1090">
        <v>2.5205158264947238</v>
      </c>
      <c r="U1090" t="s">
        <v>184</v>
      </c>
      <c r="V1090">
        <v>2.5205158264947238</v>
      </c>
      <c r="W1090">
        <v>9</v>
      </c>
      <c r="X1090">
        <v>22</v>
      </c>
      <c r="Y1090">
        <v>16</v>
      </c>
      <c r="Z1090">
        <v>0.10652957206919771</v>
      </c>
      <c r="AA1090">
        <v>31.536000000000001</v>
      </c>
    </row>
    <row r="1091" spans="1:27" x14ac:dyDescent="0.25">
      <c r="A1091" t="s">
        <v>98</v>
      </c>
      <c r="B1091" t="s">
        <v>99</v>
      </c>
      <c r="C1091" t="s">
        <v>1367</v>
      </c>
      <c r="D1091" t="s">
        <v>101</v>
      </c>
      <c r="E1091" t="s">
        <v>179</v>
      </c>
      <c r="F1091" t="s">
        <v>180</v>
      </c>
      <c r="G1091" t="s">
        <v>111</v>
      </c>
      <c r="H1091" t="s">
        <v>125</v>
      </c>
      <c r="I1091">
        <v>2023</v>
      </c>
      <c r="J1091" t="s">
        <v>189</v>
      </c>
      <c r="K1091" t="s">
        <v>127</v>
      </c>
      <c r="L1091" t="s">
        <v>1395</v>
      </c>
      <c r="M1091" t="s">
        <v>1399</v>
      </c>
      <c r="N1091">
        <v>1</v>
      </c>
      <c r="O1091">
        <v>2023</v>
      </c>
      <c r="P1091">
        <v>3139.8496173378171</v>
      </c>
      <c r="Q1091">
        <v>4.0938754601769656</v>
      </c>
      <c r="R1091" t="s">
        <v>109</v>
      </c>
      <c r="S1091">
        <v>766.96266114604555</v>
      </c>
      <c r="T1091">
        <v>2.5791324736225092</v>
      </c>
      <c r="U1091" t="s">
        <v>184</v>
      </c>
      <c r="V1091">
        <v>2.5791324736225092</v>
      </c>
      <c r="W1091">
        <v>9</v>
      </c>
      <c r="X1091">
        <v>22</v>
      </c>
      <c r="Y1091">
        <v>16</v>
      </c>
      <c r="Z1091">
        <v>0.10652957206919771</v>
      </c>
      <c r="AA1091">
        <v>31.536000000000001</v>
      </c>
    </row>
    <row r="1092" spans="1:27" x14ac:dyDescent="0.25">
      <c r="A1092" t="s">
        <v>98</v>
      </c>
      <c r="B1092" t="s">
        <v>99</v>
      </c>
      <c r="C1092" t="s">
        <v>1367</v>
      </c>
      <c r="D1092" t="s">
        <v>101</v>
      </c>
      <c r="E1092" t="s">
        <v>179</v>
      </c>
      <c r="F1092" t="s">
        <v>180</v>
      </c>
      <c r="G1092" t="s">
        <v>114</v>
      </c>
      <c r="H1092" t="s">
        <v>125</v>
      </c>
      <c r="I1092">
        <v>2016</v>
      </c>
      <c r="J1092" t="s">
        <v>191</v>
      </c>
      <c r="K1092" t="s">
        <v>127</v>
      </c>
      <c r="L1092" t="s">
        <v>1395</v>
      </c>
      <c r="M1092" t="s">
        <v>1400</v>
      </c>
      <c r="N1092">
        <v>1</v>
      </c>
      <c r="O1092">
        <v>2020</v>
      </c>
      <c r="P1092">
        <v>3017.9137098683868</v>
      </c>
      <c r="Q1092">
        <v>4.0938754601769656</v>
      </c>
      <c r="R1092" t="s">
        <v>109</v>
      </c>
      <c r="S1092">
        <v>737.1777034316359</v>
      </c>
      <c r="T1092">
        <v>2.4912075029308318</v>
      </c>
      <c r="U1092" t="s">
        <v>184</v>
      </c>
      <c r="V1092">
        <v>2.4912075029308318</v>
      </c>
      <c r="W1092">
        <v>9</v>
      </c>
      <c r="X1092">
        <v>22</v>
      </c>
      <c r="Y1092">
        <v>16</v>
      </c>
      <c r="Z1092">
        <v>0.10652957206919771</v>
      </c>
      <c r="AA1092">
        <v>31.536000000000001</v>
      </c>
    </row>
    <row r="1093" spans="1:27" x14ac:dyDescent="0.25">
      <c r="A1093" t="s">
        <v>98</v>
      </c>
      <c r="B1093" t="s">
        <v>99</v>
      </c>
      <c r="C1093" t="s">
        <v>1367</v>
      </c>
      <c r="D1093" t="s">
        <v>101</v>
      </c>
      <c r="E1093" t="s">
        <v>179</v>
      </c>
      <c r="F1093" t="s">
        <v>180</v>
      </c>
      <c r="G1093" t="s">
        <v>114</v>
      </c>
      <c r="H1093" t="s">
        <v>125</v>
      </c>
      <c r="I1093">
        <v>2022</v>
      </c>
      <c r="J1093" t="s">
        <v>193</v>
      </c>
      <c r="K1093" t="s">
        <v>127</v>
      </c>
      <c r="L1093" t="s">
        <v>1395</v>
      </c>
      <c r="M1093" t="s">
        <v>1401</v>
      </c>
      <c r="N1093">
        <v>1</v>
      </c>
      <c r="O1093">
        <v>2022</v>
      </c>
      <c r="P1093">
        <v>3017.9137098683868</v>
      </c>
      <c r="Q1093">
        <v>4.0938754601769656</v>
      </c>
      <c r="R1093" t="s">
        <v>109</v>
      </c>
      <c r="S1093">
        <v>737.1777034316359</v>
      </c>
      <c r="T1093">
        <v>2.4912075029308318</v>
      </c>
      <c r="U1093" t="s">
        <v>184</v>
      </c>
      <c r="V1093">
        <v>2.4912075029308318</v>
      </c>
      <c r="W1093">
        <v>9</v>
      </c>
      <c r="X1093">
        <v>22</v>
      </c>
      <c r="Y1093">
        <v>16</v>
      </c>
      <c r="Z1093">
        <v>0.10652957206919771</v>
      </c>
      <c r="AA1093">
        <v>31.536000000000001</v>
      </c>
    </row>
    <row r="1094" spans="1:27" x14ac:dyDescent="0.25">
      <c r="A1094" t="s">
        <v>98</v>
      </c>
      <c r="B1094" t="s">
        <v>99</v>
      </c>
      <c r="C1094" t="s">
        <v>1367</v>
      </c>
      <c r="D1094" t="s">
        <v>101</v>
      </c>
      <c r="E1094" t="s">
        <v>179</v>
      </c>
      <c r="F1094" t="s">
        <v>180</v>
      </c>
      <c r="G1094" t="s">
        <v>114</v>
      </c>
      <c r="H1094" t="s">
        <v>125</v>
      </c>
      <c r="I1094">
        <v>2023</v>
      </c>
      <c r="J1094" t="s">
        <v>195</v>
      </c>
      <c r="K1094" t="s">
        <v>127</v>
      </c>
      <c r="L1094" t="s">
        <v>1395</v>
      </c>
      <c r="M1094" t="s">
        <v>1402</v>
      </c>
      <c r="N1094">
        <v>1</v>
      </c>
      <c r="O1094">
        <v>2023</v>
      </c>
      <c r="P1094">
        <v>3266.447780092843</v>
      </c>
      <c r="Q1094">
        <v>4.0938754601769656</v>
      </c>
      <c r="R1094" t="s">
        <v>109</v>
      </c>
      <c r="S1094">
        <v>797.88645547894714</v>
      </c>
      <c r="T1094">
        <v>2.6963657678780768</v>
      </c>
      <c r="U1094" t="s">
        <v>184</v>
      </c>
      <c r="V1094">
        <v>2.6963657678780768</v>
      </c>
      <c r="W1094">
        <v>9</v>
      </c>
      <c r="X1094">
        <v>22</v>
      </c>
      <c r="Y1094">
        <v>16</v>
      </c>
      <c r="Z1094">
        <v>0.10652957206919771</v>
      </c>
      <c r="AA1094">
        <v>31.536000000000001</v>
      </c>
    </row>
    <row r="1095" spans="1:27" x14ac:dyDescent="0.25">
      <c r="A1095" t="s">
        <v>98</v>
      </c>
      <c r="B1095" t="s">
        <v>99</v>
      </c>
      <c r="C1095" t="s">
        <v>1367</v>
      </c>
      <c r="D1095" t="s">
        <v>101</v>
      </c>
      <c r="E1095" t="s">
        <v>179</v>
      </c>
      <c r="F1095" t="s">
        <v>180</v>
      </c>
      <c r="G1095" t="s">
        <v>119</v>
      </c>
      <c r="H1095" t="s">
        <v>125</v>
      </c>
      <c r="I1095">
        <v>2016</v>
      </c>
      <c r="J1095" t="s">
        <v>197</v>
      </c>
      <c r="K1095" t="s">
        <v>127</v>
      </c>
      <c r="L1095" t="s">
        <v>1395</v>
      </c>
      <c r="M1095" t="s">
        <v>1403</v>
      </c>
      <c r="N1095">
        <v>1</v>
      </c>
      <c r="O1095">
        <v>2020</v>
      </c>
      <c r="P1095">
        <v>3719.0451778176089</v>
      </c>
      <c r="Q1095">
        <v>4.0938754601769656</v>
      </c>
      <c r="R1095" t="s">
        <v>109</v>
      </c>
      <c r="S1095">
        <v>908.44121028949087</v>
      </c>
      <c r="T1095">
        <v>2.6377491207502932</v>
      </c>
      <c r="U1095" t="s">
        <v>184</v>
      </c>
      <c r="V1095">
        <v>2.6377491207502932</v>
      </c>
      <c r="W1095">
        <v>9</v>
      </c>
      <c r="X1095">
        <v>22</v>
      </c>
      <c r="Y1095">
        <v>16</v>
      </c>
      <c r="Z1095">
        <v>0.10652957206919771</v>
      </c>
      <c r="AA1095">
        <v>31.536000000000001</v>
      </c>
    </row>
    <row r="1096" spans="1:27" x14ac:dyDescent="0.25">
      <c r="A1096" t="s">
        <v>98</v>
      </c>
      <c r="B1096" t="s">
        <v>99</v>
      </c>
      <c r="C1096" t="s">
        <v>1367</v>
      </c>
      <c r="D1096" t="s">
        <v>101</v>
      </c>
      <c r="E1096" t="s">
        <v>179</v>
      </c>
      <c r="F1096" t="s">
        <v>180</v>
      </c>
      <c r="G1096" t="s">
        <v>119</v>
      </c>
      <c r="H1096" t="s">
        <v>125</v>
      </c>
      <c r="I1096">
        <v>2022</v>
      </c>
      <c r="J1096" t="s">
        <v>199</v>
      </c>
      <c r="K1096" t="s">
        <v>127</v>
      </c>
      <c r="L1096" t="s">
        <v>1395</v>
      </c>
      <c r="M1096" t="s">
        <v>1404</v>
      </c>
      <c r="N1096">
        <v>1</v>
      </c>
      <c r="O1096">
        <v>2022</v>
      </c>
      <c r="P1096">
        <v>3914.784397702746</v>
      </c>
      <c r="Q1096">
        <v>4.0938754601769656</v>
      </c>
      <c r="R1096" t="s">
        <v>109</v>
      </c>
      <c r="S1096">
        <v>956.253905567885</v>
      </c>
      <c r="T1096">
        <v>2.9308323563892151</v>
      </c>
      <c r="U1096" t="s">
        <v>184</v>
      </c>
      <c r="V1096">
        <v>2.9308323563892151</v>
      </c>
      <c r="W1096">
        <v>9</v>
      </c>
      <c r="X1096">
        <v>22</v>
      </c>
      <c r="Y1096">
        <v>16</v>
      </c>
      <c r="Z1096">
        <v>0.10652957206919771</v>
      </c>
      <c r="AA1096">
        <v>31.536000000000001</v>
      </c>
    </row>
    <row r="1097" spans="1:27" x14ac:dyDescent="0.25">
      <c r="A1097" t="s">
        <v>98</v>
      </c>
      <c r="B1097" t="s">
        <v>99</v>
      </c>
      <c r="C1097" t="s">
        <v>1367</v>
      </c>
      <c r="D1097" t="s">
        <v>101</v>
      </c>
      <c r="E1097" t="s">
        <v>179</v>
      </c>
      <c r="F1097" t="s">
        <v>201</v>
      </c>
      <c r="G1097" t="s">
        <v>103</v>
      </c>
      <c r="H1097" t="s">
        <v>125</v>
      </c>
      <c r="I1097">
        <v>2016</v>
      </c>
      <c r="J1097" t="s">
        <v>202</v>
      </c>
      <c r="K1097" t="s">
        <v>127</v>
      </c>
      <c r="L1097" t="s">
        <v>1395</v>
      </c>
      <c r="M1097" t="s">
        <v>1405</v>
      </c>
      <c r="N1097">
        <v>1</v>
      </c>
      <c r="O1097">
        <v>2020</v>
      </c>
      <c r="P1097">
        <v>9511.0007826155233</v>
      </c>
      <c r="Q1097">
        <v>4.0938754601769656</v>
      </c>
      <c r="R1097" t="s">
        <v>109</v>
      </c>
      <c r="S1097">
        <v>2323.2267017239442</v>
      </c>
      <c r="T1097">
        <v>3.2</v>
      </c>
      <c r="U1097" t="s">
        <v>184</v>
      </c>
      <c r="V1097">
        <v>3.2</v>
      </c>
      <c r="W1097">
        <v>8</v>
      </c>
      <c r="X1097">
        <v>20.8</v>
      </c>
      <c r="Y1097">
        <v>15</v>
      </c>
      <c r="Z1097">
        <v>0.10652957206919771</v>
      </c>
      <c r="AA1097">
        <v>31.536000000000001</v>
      </c>
    </row>
    <row r="1098" spans="1:27" x14ac:dyDescent="0.25">
      <c r="A1098" t="s">
        <v>98</v>
      </c>
      <c r="B1098" t="s">
        <v>99</v>
      </c>
      <c r="C1098" t="s">
        <v>1367</v>
      </c>
      <c r="D1098" t="s">
        <v>101</v>
      </c>
      <c r="E1098" t="s">
        <v>179</v>
      </c>
      <c r="F1098" t="s">
        <v>201</v>
      </c>
      <c r="G1098" t="s">
        <v>111</v>
      </c>
      <c r="H1098" t="s">
        <v>125</v>
      </c>
      <c r="I1098">
        <v>2016</v>
      </c>
      <c r="J1098" t="s">
        <v>204</v>
      </c>
      <c r="K1098" t="s">
        <v>127</v>
      </c>
      <c r="L1098" t="s">
        <v>1395</v>
      </c>
      <c r="M1098" t="s">
        <v>1406</v>
      </c>
      <c r="N1098">
        <v>1</v>
      </c>
      <c r="O1098">
        <v>2020</v>
      </c>
      <c r="P1098">
        <v>9846.3245281564559</v>
      </c>
      <c r="Q1098">
        <v>4.0938754601769656</v>
      </c>
      <c r="R1098" t="s">
        <v>109</v>
      </c>
      <c r="S1098">
        <v>2405.1353354385701</v>
      </c>
      <c r="T1098">
        <v>3.7</v>
      </c>
      <c r="U1098" t="s">
        <v>184</v>
      </c>
      <c r="V1098">
        <v>3.7</v>
      </c>
      <c r="W1098">
        <v>8</v>
      </c>
      <c r="X1098">
        <v>20.8</v>
      </c>
      <c r="Y1098">
        <v>15</v>
      </c>
      <c r="Z1098">
        <v>0.10652957206919771</v>
      </c>
      <c r="AA1098">
        <v>31.536000000000001</v>
      </c>
    </row>
    <row r="1099" spans="1:27" x14ac:dyDescent="0.25">
      <c r="A1099" t="s">
        <v>98</v>
      </c>
      <c r="B1099" t="s">
        <v>99</v>
      </c>
      <c r="C1099" t="s">
        <v>1367</v>
      </c>
      <c r="D1099" t="s">
        <v>101</v>
      </c>
      <c r="E1099" t="s">
        <v>179</v>
      </c>
      <c r="F1099" t="s">
        <v>201</v>
      </c>
      <c r="G1099" t="s">
        <v>114</v>
      </c>
      <c r="H1099" t="s">
        <v>125</v>
      </c>
      <c r="I1099">
        <v>2016</v>
      </c>
      <c r="J1099" t="s">
        <v>206</v>
      </c>
      <c r="K1099" t="s">
        <v>127</v>
      </c>
      <c r="L1099" t="s">
        <v>1395</v>
      </c>
      <c r="M1099" t="s">
        <v>1407</v>
      </c>
      <c r="N1099">
        <v>0</v>
      </c>
      <c r="O1099">
        <v>2020</v>
      </c>
      <c r="P1099">
        <v>9846.3245281564559</v>
      </c>
      <c r="Q1099">
        <v>4.0938754601769656</v>
      </c>
      <c r="R1099" t="s">
        <v>109</v>
      </c>
      <c r="S1099">
        <v>2405.1353354385701</v>
      </c>
      <c r="T1099">
        <v>3.6</v>
      </c>
      <c r="U1099" t="s">
        <v>184</v>
      </c>
      <c r="V1099">
        <v>3.6</v>
      </c>
      <c r="W1099">
        <v>8</v>
      </c>
      <c r="X1099">
        <v>20.8</v>
      </c>
      <c r="Y1099">
        <v>15</v>
      </c>
      <c r="Z1099">
        <v>0.10652957206919771</v>
      </c>
      <c r="AA1099">
        <v>31.536000000000001</v>
      </c>
    </row>
    <row r="1100" spans="1:27" x14ac:dyDescent="0.25">
      <c r="A1100" t="s">
        <v>98</v>
      </c>
      <c r="B1100" t="s">
        <v>99</v>
      </c>
      <c r="C1100" t="s">
        <v>1367</v>
      </c>
      <c r="D1100" t="s">
        <v>101</v>
      </c>
      <c r="E1100" t="s">
        <v>179</v>
      </c>
      <c r="F1100" t="s">
        <v>201</v>
      </c>
      <c r="G1100" t="s">
        <v>114</v>
      </c>
      <c r="H1100" t="s">
        <v>125</v>
      </c>
      <c r="I1100">
        <v>2020</v>
      </c>
      <c r="J1100" t="s">
        <v>208</v>
      </c>
      <c r="K1100" t="s">
        <v>127</v>
      </c>
      <c r="L1100" t="s">
        <v>1395</v>
      </c>
      <c r="M1100" t="s">
        <v>1407</v>
      </c>
      <c r="N1100">
        <v>1</v>
      </c>
      <c r="O1100">
        <v>2020</v>
      </c>
      <c r="P1100">
        <v>9846.3245281564559</v>
      </c>
      <c r="Q1100">
        <v>4.0938754601769656</v>
      </c>
      <c r="R1100" t="s">
        <v>109</v>
      </c>
      <c r="S1100">
        <v>2405.1353354385701</v>
      </c>
      <c r="T1100">
        <v>3.6</v>
      </c>
      <c r="U1100" t="s">
        <v>184</v>
      </c>
      <c r="V1100">
        <v>3.6</v>
      </c>
      <c r="W1100">
        <v>8</v>
      </c>
      <c r="X1100">
        <v>20.8</v>
      </c>
      <c r="Y1100">
        <v>15</v>
      </c>
      <c r="Z1100">
        <v>0.10652957206919771</v>
      </c>
      <c r="AA1100">
        <v>31.536000000000001</v>
      </c>
    </row>
    <row r="1101" spans="1:27" x14ac:dyDescent="0.25">
      <c r="A1101" t="s">
        <v>98</v>
      </c>
      <c r="B1101" t="s">
        <v>99</v>
      </c>
      <c r="C1101" t="s">
        <v>1367</v>
      </c>
      <c r="D1101" t="s">
        <v>101</v>
      </c>
      <c r="E1101" t="s">
        <v>179</v>
      </c>
      <c r="F1101" t="s">
        <v>201</v>
      </c>
      <c r="G1101" t="s">
        <v>114</v>
      </c>
      <c r="H1101" t="s">
        <v>125</v>
      </c>
      <c r="I1101">
        <v>2022</v>
      </c>
      <c r="J1101" t="s">
        <v>209</v>
      </c>
      <c r="K1101" t="s">
        <v>127</v>
      </c>
      <c r="L1101" t="s">
        <v>1395</v>
      </c>
      <c r="M1101" t="s">
        <v>1408</v>
      </c>
      <c r="N1101">
        <v>1</v>
      </c>
      <c r="O1101">
        <v>2022</v>
      </c>
      <c r="P1101">
        <v>9846.3245281564559</v>
      </c>
      <c r="Q1101">
        <v>4.0938754601769656</v>
      </c>
      <c r="R1101" t="s">
        <v>109</v>
      </c>
      <c r="S1101">
        <v>2405.1353354385701</v>
      </c>
      <c r="T1101">
        <v>3.6</v>
      </c>
      <c r="U1101" t="s">
        <v>184</v>
      </c>
      <c r="V1101">
        <v>3.6</v>
      </c>
      <c r="W1101">
        <v>8</v>
      </c>
      <c r="X1101">
        <v>20.8</v>
      </c>
      <c r="Y1101">
        <v>15</v>
      </c>
      <c r="Z1101">
        <v>0.10652957206919771</v>
      </c>
      <c r="AA1101">
        <v>31.536000000000001</v>
      </c>
    </row>
    <row r="1102" spans="1:27" x14ac:dyDescent="0.25">
      <c r="A1102" t="s">
        <v>98</v>
      </c>
      <c r="B1102" t="s">
        <v>99</v>
      </c>
      <c r="C1102" t="s">
        <v>1367</v>
      </c>
      <c r="D1102" t="s">
        <v>101</v>
      </c>
      <c r="E1102" t="s">
        <v>179</v>
      </c>
      <c r="F1102" t="s">
        <v>201</v>
      </c>
      <c r="G1102" t="s">
        <v>114</v>
      </c>
      <c r="H1102" t="s">
        <v>125</v>
      </c>
      <c r="I1102">
        <v>2023</v>
      </c>
      <c r="J1102" t="s">
        <v>211</v>
      </c>
      <c r="K1102" t="s">
        <v>127</v>
      </c>
      <c r="L1102" t="s">
        <v>1395</v>
      </c>
      <c r="M1102" t="s">
        <v>1409</v>
      </c>
      <c r="N1102">
        <v>1</v>
      </c>
      <c r="O1102">
        <v>2023</v>
      </c>
      <c r="P1102">
        <v>9846.3245281564559</v>
      </c>
      <c r="Q1102">
        <v>4.0938754601769656</v>
      </c>
      <c r="R1102" t="s">
        <v>109</v>
      </c>
      <c r="S1102">
        <v>2405.1353354385701</v>
      </c>
      <c r="T1102">
        <v>3.6</v>
      </c>
      <c r="U1102" t="s">
        <v>184</v>
      </c>
      <c r="V1102">
        <v>3.6</v>
      </c>
      <c r="W1102">
        <v>8</v>
      </c>
      <c r="X1102">
        <v>20.8</v>
      </c>
      <c r="Y1102">
        <v>15</v>
      </c>
      <c r="Z1102">
        <v>0.10652957206919771</v>
      </c>
      <c r="AA1102">
        <v>31.536000000000001</v>
      </c>
    </row>
    <row r="1103" spans="1:27" x14ac:dyDescent="0.25">
      <c r="A1103" t="s">
        <v>98</v>
      </c>
      <c r="B1103" t="s">
        <v>99</v>
      </c>
      <c r="C1103" t="s">
        <v>1367</v>
      </c>
      <c r="D1103" t="s">
        <v>101</v>
      </c>
      <c r="E1103" t="s">
        <v>179</v>
      </c>
      <c r="F1103" t="s">
        <v>201</v>
      </c>
      <c r="G1103" t="s">
        <v>114</v>
      </c>
      <c r="H1103" t="s">
        <v>125</v>
      </c>
      <c r="I1103">
        <v>2024</v>
      </c>
      <c r="J1103" t="s">
        <v>213</v>
      </c>
      <c r="K1103" t="s">
        <v>127</v>
      </c>
      <c r="L1103" t="s">
        <v>1395</v>
      </c>
      <c r="M1103" t="s">
        <v>1410</v>
      </c>
      <c r="N1103">
        <v>1</v>
      </c>
      <c r="O1103">
        <v>2024</v>
      </c>
      <c r="P1103">
        <v>9846.3245281564559</v>
      </c>
      <c r="Q1103">
        <v>4.0938754601769656</v>
      </c>
      <c r="R1103" t="s">
        <v>109</v>
      </c>
      <c r="S1103">
        <v>2405.1353354385701</v>
      </c>
      <c r="T1103">
        <v>3.6</v>
      </c>
      <c r="U1103" t="s">
        <v>184</v>
      </c>
      <c r="V1103">
        <v>3.6</v>
      </c>
      <c r="W1103">
        <v>8</v>
      </c>
      <c r="X1103">
        <v>20.8</v>
      </c>
      <c r="Y1103">
        <v>15</v>
      </c>
      <c r="Z1103">
        <v>0.10652957206919771</v>
      </c>
      <c r="AA1103">
        <v>31.536000000000001</v>
      </c>
    </row>
    <row r="1104" spans="1:27" x14ac:dyDescent="0.25">
      <c r="A1104" t="s">
        <v>98</v>
      </c>
      <c r="B1104" t="s">
        <v>99</v>
      </c>
      <c r="C1104" t="s">
        <v>1367</v>
      </c>
      <c r="D1104" t="s">
        <v>101</v>
      </c>
      <c r="E1104" t="s">
        <v>179</v>
      </c>
      <c r="F1104" t="s">
        <v>201</v>
      </c>
      <c r="G1104" t="s">
        <v>119</v>
      </c>
      <c r="H1104" t="s">
        <v>125</v>
      </c>
      <c r="I1104">
        <v>2016</v>
      </c>
      <c r="J1104" t="s">
        <v>215</v>
      </c>
      <c r="K1104" t="s">
        <v>127</v>
      </c>
      <c r="L1104" t="s">
        <v>1395</v>
      </c>
      <c r="M1104" t="s">
        <v>1411</v>
      </c>
      <c r="N1104">
        <v>0</v>
      </c>
      <c r="O1104">
        <v>2020</v>
      </c>
      <c r="P1104">
        <v>10395.03611176889</v>
      </c>
      <c r="Q1104">
        <v>4.0938754601769656</v>
      </c>
      <c r="R1104" t="s">
        <v>109</v>
      </c>
      <c r="S1104">
        <v>2539.1676451534131</v>
      </c>
      <c r="T1104">
        <v>4.5</v>
      </c>
      <c r="U1104" t="s">
        <v>184</v>
      </c>
      <c r="V1104">
        <v>4.5</v>
      </c>
      <c r="W1104">
        <v>8</v>
      </c>
      <c r="X1104">
        <v>20.8</v>
      </c>
      <c r="Y1104">
        <v>15</v>
      </c>
      <c r="Z1104">
        <v>0.10652957206919771</v>
      </c>
      <c r="AA1104">
        <v>31.536000000000001</v>
      </c>
    </row>
    <row r="1105" spans="1:27" x14ac:dyDescent="0.25">
      <c r="A1105" t="s">
        <v>98</v>
      </c>
      <c r="B1105" t="s">
        <v>99</v>
      </c>
      <c r="C1105" t="s">
        <v>1367</v>
      </c>
      <c r="D1105" t="s">
        <v>101</v>
      </c>
      <c r="E1105" t="s">
        <v>179</v>
      </c>
      <c r="F1105" t="s">
        <v>201</v>
      </c>
      <c r="G1105" t="s">
        <v>119</v>
      </c>
      <c r="H1105" t="s">
        <v>125</v>
      </c>
      <c r="I1105">
        <v>2020</v>
      </c>
      <c r="J1105" t="s">
        <v>217</v>
      </c>
      <c r="K1105" t="s">
        <v>127</v>
      </c>
      <c r="L1105" t="s">
        <v>1395</v>
      </c>
      <c r="M1105" t="s">
        <v>1411</v>
      </c>
      <c r="N1105">
        <v>1</v>
      </c>
      <c r="O1105">
        <v>2020</v>
      </c>
      <c r="P1105">
        <v>10395.03611176889</v>
      </c>
      <c r="Q1105">
        <v>4.0938754601769656</v>
      </c>
      <c r="R1105" t="s">
        <v>109</v>
      </c>
      <c r="S1105">
        <v>2539.1676451534131</v>
      </c>
      <c r="T1105">
        <v>4.5</v>
      </c>
      <c r="U1105" t="s">
        <v>184</v>
      </c>
      <c r="V1105">
        <v>4.5</v>
      </c>
      <c r="W1105">
        <v>8</v>
      </c>
      <c r="X1105">
        <v>20.8</v>
      </c>
      <c r="Y1105">
        <v>15</v>
      </c>
      <c r="Z1105">
        <v>0.10652957206919771</v>
      </c>
      <c r="AA1105">
        <v>31.536000000000001</v>
      </c>
    </row>
    <row r="1106" spans="1:27" x14ac:dyDescent="0.25">
      <c r="A1106" t="s">
        <v>98</v>
      </c>
      <c r="B1106" t="s">
        <v>99</v>
      </c>
      <c r="C1106" t="s">
        <v>1367</v>
      </c>
      <c r="D1106" t="s">
        <v>101</v>
      </c>
      <c r="E1106" t="s">
        <v>179</v>
      </c>
      <c r="F1106" t="s">
        <v>201</v>
      </c>
      <c r="G1106" t="s">
        <v>119</v>
      </c>
      <c r="H1106" t="s">
        <v>125</v>
      </c>
      <c r="I1106">
        <v>2022</v>
      </c>
      <c r="J1106" t="s">
        <v>218</v>
      </c>
      <c r="K1106" t="s">
        <v>127</v>
      </c>
      <c r="L1106" t="s">
        <v>1395</v>
      </c>
      <c r="M1106" t="s">
        <v>1412</v>
      </c>
      <c r="N1106">
        <v>1</v>
      </c>
      <c r="O1106">
        <v>2022</v>
      </c>
      <c r="P1106">
        <v>10395.03611176889</v>
      </c>
      <c r="Q1106">
        <v>4.0938754601769656</v>
      </c>
      <c r="R1106" t="s">
        <v>109</v>
      </c>
      <c r="S1106">
        <v>2539.1676451534131</v>
      </c>
      <c r="T1106">
        <v>4.5</v>
      </c>
      <c r="U1106" t="s">
        <v>184</v>
      </c>
      <c r="V1106">
        <v>4.5</v>
      </c>
      <c r="W1106">
        <v>8</v>
      </c>
      <c r="X1106">
        <v>20.8</v>
      </c>
      <c r="Y1106">
        <v>15</v>
      </c>
      <c r="Z1106">
        <v>0.10652957206919771</v>
      </c>
      <c r="AA1106">
        <v>31.536000000000001</v>
      </c>
    </row>
    <row r="1107" spans="1:27" x14ac:dyDescent="0.25">
      <c r="A1107" t="s">
        <v>98</v>
      </c>
      <c r="B1107" t="s">
        <v>99</v>
      </c>
      <c r="C1107" t="s">
        <v>1367</v>
      </c>
      <c r="D1107" t="s">
        <v>101</v>
      </c>
      <c r="E1107" t="s">
        <v>179</v>
      </c>
      <c r="F1107" t="s">
        <v>201</v>
      </c>
      <c r="G1107" t="s">
        <v>119</v>
      </c>
      <c r="H1107" t="s">
        <v>125</v>
      </c>
      <c r="I1107">
        <v>2023</v>
      </c>
      <c r="J1107" t="s">
        <v>220</v>
      </c>
      <c r="K1107" t="s">
        <v>127</v>
      </c>
      <c r="L1107" t="s">
        <v>1395</v>
      </c>
      <c r="M1107" t="s">
        <v>1413</v>
      </c>
      <c r="N1107">
        <v>1</v>
      </c>
      <c r="O1107">
        <v>2023</v>
      </c>
      <c r="P1107">
        <v>10395.03611176889</v>
      </c>
      <c r="Q1107">
        <v>4.0938754601769656</v>
      </c>
      <c r="R1107" t="s">
        <v>109</v>
      </c>
      <c r="S1107">
        <v>2539.1676451534131</v>
      </c>
      <c r="T1107">
        <v>4.5</v>
      </c>
      <c r="U1107" t="s">
        <v>184</v>
      </c>
      <c r="V1107">
        <v>4.5</v>
      </c>
      <c r="W1107">
        <v>8</v>
      </c>
      <c r="X1107">
        <v>20.8</v>
      </c>
      <c r="Y1107">
        <v>15</v>
      </c>
      <c r="Z1107">
        <v>0.10652957206919771</v>
      </c>
      <c r="AA1107">
        <v>31.536000000000001</v>
      </c>
    </row>
    <row r="1108" spans="1:27" x14ac:dyDescent="0.25">
      <c r="A1108" t="s">
        <v>98</v>
      </c>
      <c r="B1108" t="s">
        <v>99</v>
      </c>
      <c r="C1108" t="s">
        <v>1367</v>
      </c>
      <c r="D1108" t="s">
        <v>101</v>
      </c>
      <c r="E1108" t="s">
        <v>179</v>
      </c>
      <c r="F1108" t="s">
        <v>201</v>
      </c>
      <c r="G1108" t="s">
        <v>119</v>
      </c>
      <c r="H1108" t="s">
        <v>125</v>
      </c>
      <c r="I1108">
        <v>2024</v>
      </c>
      <c r="J1108" t="s">
        <v>222</v>
      </c>
      <c r="K1108" t="s">
        <v>127</v>
      </c>
      <c r="L1108" t="s">
        <v>1395</v>
      </c>
      <c r="M1108" t="s">
        <v>1414</v>
      </c>
      <c r="N1108">
        <v>1</v>
      </c>
      <c r="O1108">
        <v>2024</v>
      </c>
      <c r="P1108">
        <v>10395.03611176889</v>
      </c>
      <c r="Q1108">
        <v>4.0938754601769656</v>
      </c>
      <c r="R1108" t="s">
        <v>109</v>
      </c>
      <c r="S1108">
        <v>2539.1676451534131</v>
      </c>
      <c r="T1108">
        <v>4.5</v>
      </c>
      <c r="U1108" t="s">
        <v>184</v>
      </c>
      <c r="V1108">
        <v>4.5</v>
      </c>
      <c r="W1108">
        <v>8</v>
      </c>
      <c r="X1108">
        <v>20.8</v>
      </c>
      <c r="Y1108">
        <v>15</v>
      </c>
      <c r="Z1108">
        <v>0.10652957206919771</v>
      </c>
      <c r="AA1108">
        <v>31.536000000000001</v>
      </c>
    </row>
    <row r="1109" spans="1:27" x14ac:dyDescent="0.25">
      <c r="A1109" t="s">
        <v>98</v>
      </c>
      <c r="B1109" t="s">
        <v>99</v>
      </c>
      <c r="C1109" t="s">
        <v>1367</v>
      </c>
      <c r="D1109" t="s">
        <v>101</v>
      </c>
      <c r="E1109" t="s">
        <v>179</v>
      </c>
      <c r="F1109" t="s">
        <v>224</v>
      </c>
      <c r="G1109" t="s">
        <v>111</v>
      </c>
      <c r="H1109" t="s">
        <v>125</v>
      </c>
      <c r="I1109">
        <v>2016</v>
      </c>
      <c r="J1109" t="s">
        <v>225</v>
      </c>
      <c r="K1109" t="s">
        <v>127</v>
      </c>
      <c r="L1109" t="s">
        <v>1395</v>
      </c>
      <c r="M1109" t="s">
        <v>1415</v>
      </c>
      <c r="N1109">
        <v>1</v>
      </c>
      <c r="O1109">
        <v>2020</v>
      </c>
      <c r="P1109">
        <v>1341.294982163728</v>
      </c>
      <c r="Q1109">
        <v>4.0938754601769656</v>
      </c>
      <c r="R1109" t="s">
        <v>109</v>
      </c>
      <c r="S1109">
        <v>327.63453485850488</v>
      </c>
      <c r="T1109">
        <v>0.98</v>
      </c>
      <c r="U1109" t="s">
        <v>227</v>
      </c>
      <c r="V1109">
        <v>0.98</v>
      </c>
      <c r="W1109">
        <v>15</v>
      </c>
      <c r="X1109">
        <v>30</v>
      </c>
      <c r="Y1109">
        <v>23</v>
      </c>
      <c r="Z1109">
        <v>0.10652957206919771</v>
      </c>
      <c r="AA1109">
        <v>31.536000000000001</v>
      </c>
    </row>
    <row r="1110" spans="1:27" x14ac:dyDescent="0.25">
      <c r="A1110" t="s">
        <v>98</v>
      </c>
      <c r="B1110" t="s">
        <v>99</v>
      </c>
      <c r="C1110" t="s">
        <v>1367</v>
      </c>
      <c r="D1110" t="s">
        <v>101</v>
      </c>
      <c r="E1110" t="s">
        <v>179</v>
      </c>
      <c r="F1110" t="s">
        <v>228</v>
      </c>
      <c r="G1110" t="s">
        <v>103</v>
      </c>
      <c r="H1110" t="s">
        <v>104</v>
      </c>
      <c r="I1110">
        <v>2016</v>
      </c>
      <c r="J1110" t="s">
        <v>229</v>
      </c>
      <c r="K1110" t="s">
        <v>106</v>
      </c>
      <c r="L1110" t="s">
        <v>1395</v>
      </c>
      <c r="M1110" t="s">
        <v>1416</v>
      </c>
      <c r="N1110">
        <v>1</v>
      </c>
      <c r="O1110">
        <v>2020</v>
      </c>
      <c r="P1110">
        <v>2499.6861031233111</v>
      </c>
      <c r="Q1110">
        <v>4.0938754601769656</v>
      </c>
      <c r="R1110" t="s">
        <v>109</v>
      </c>
      <c r="S1110">
        <v>610.59163314539546</v>
      </c>
      <c r="T1110">
        <v>0.8</v>
      </c>
      <c r="U1110" t="s">
        <v>227</v>
      </c>
      <c r="V1110">
        <v>0.8</v>
      </c>
      <c r="W1110">
        <v>16</v>
      </c>
      <c r="X1110">
        <v>27</v>
      </c>
      <c r="Y1110">
        <v>22</v>
      </c>
      <c r="Z1110">
        <v>0.10652957206919771</v>
      </c>
      <c r="AA1110">
        <v>31.536000000000001</v>
      </c>
    </row>
    <row r="1111" spans="1:27" x14ac:dyDescent="0.25">
      <c r="A1111" t="s">
        <v>98</v>
      </c>
      <c r="B1111" t="s">
        <v>99</v>
      </c>
      <c r="C1111" t="s">
        <v>1367</v>
      </c>
      <c r="D1111" t="s">
        <v>101</v>
      </c>
      <c r="E1111" t="s">
        <v>179</v>
      </c>
      <c r="F1111" t="s">
        <v>228</v>
      </c>
      <c r="G1111" t="s">
        <v>111</v>
      </c>
      <c r="H1111" t="s">
        <v>104</v>
      </c>
      <c r="I1111">
        <v>2016</v>
      </c>
      <c r="J1111" t="s">
        <v>231</v>
      </c>
      <c r="K1111" t="s">
        <v>106</v>
      </c>
      <c r="L1111" t="s">
        <v>1395</v>
      </c>
      <c r="M1111" t="s">
        <v>1417</v>
      </c>
      <c r="N1111">
        <v>0</v>
      </c>
      <c r="O1111">
        <v>2020</v>
      </c>
      <c r="P1111">
        <v>3182.5271849521182</v>
      </c>
      <c r="Q1111">
        <v>4.0938754601769656</v>
      </c>
      <c r="R1111" t="s">
        <v>109</v>
      </c>
      <c r="S1111">
        <v>777.38739634608885</v>
      </c>
      <c r="T1111">
        <v>0.92</v>
      </c>
      <c r="U1111" t="s">
        <v>227</v>
      </c>
      <c r="V1111">
        <v>0.92</v>
      </c>
      <c r="W1111">
        <v>16</v>
      </c>
      <c r="X1111">
        <v>27</v>
      </c>
      <c r="Y1111">
        <v>22</v>
      </c>
      <c r="Z1111">
        <v>0.10652957206919771</v>
      </c>
      <c r="AA1111">
        <v>31.536000000000001</v>
      </c>
    </row>
    <row r="1112" spans="1:27" x14ac:dyDescent="0.25">
      <c r="A1112" t="s">
        <v>98</v>
      </c>
      <c r="B1112" t="s">
        <v>99</v>
      </c>
      <c r="C1112" t="s">
        <v>1367</v>
      </c>
      <c r="D1112" t="s">
        <v>101</v>
      </c>
      <c r="E1112" t="s">
        <v>179</v>
      </c>
      <c r="F1112" t="s">
        <v>228</v>
      </c>
      <c r="G1112" t="s">
        <v>111</v>
      </c>
      <c r="H1112" t="s">
        <v>104</v>
      </c>
      <c r="I1112">
        <v>2020</v>
      </c>
      <c r="J1112" t="s">
        <v>233</v>
      </c>
      <c r="K1112" t="s">
        <v>106</v>
      </c>
      <c r="L1112" t="s">
        <v>1395</v>
      </c>
      <c r="M1112" t="s">
        <v>1417</v>
      </c>
      <c r="N1112">
        <v>1</v>
      </c>
      <c r="O1112">
        <v>2020</v>
      </c>
      <c r="P1112">
        <v>3365.4310461562618</v>
      </c>
      <c r="Q1112">
        <v>4.0938754601769656</v>
      </c>
      <c r="R1112" t="s">
        <v>109</v>
      </c>
      <c r="S1112">
        <v>822.06483291770314</v>
      </c>
      <c r="T1112">
        <v>0.92</v>
      </c>
      <c r="U1112" t="s">
        <v>227</v>
      </c>
      <c r="V1112">
        <v>0.92</v>
      </c>
      <c r="W1112">
        <v>16</v>
      </c>
      <c r="X1112">
        <v>27</v>
      </c>
      <c r="Y1112">
        <v>22</v>
      </c>
      <c r="Z1112">
        <v>0.10652957206919771</v>
      </c>
      <c r="AA1112">
        <v>31.536000000000001</v>
      </c>
    </row>
    <row r="1113" spans="1:27" x14ac:dyDescent="0.25">
      <c r="A1113" t="s">
        <v>98</v>
      </c>
      <c r="B1113" t="s">
        <v>99</v>
      </c>
      <c r="C1113" t="s">
        <v>1367</v>
      </c>
      <c r="D1113" t="s">
        <v>101</v>
      </c>
      <c r="E1113" t="s">
        <v>179</v>
      </c>
      <c r="F1113" t="s">
        <v>228</v>
      </c>
      <c r="G1113" t="s">
        <v>114</v>
      </c>
      <c r="H1113" t="s">
        <v>104</v>
      </c>
      <c r="I1113">
        <v>2016</v>
      </c>
      <c r="J1113" t="s">
        <v>234</v>
      </c>
      <c r="K1113" t="s">
        <v>106</v>
      </c>
      <c r="L1113" t="s">
        <v>1395</v>
      </c>
      <c r="M1113" t="s">
        <v>1418</v>
      </c>
      <c r="N1113">
        <v>1</v>
      </c>
      <c r="O1113">
        <v>2020</v>
      </c>
      <c r="P1113">
        <v>3341.043864662377</v>
      </c>
      <c r="Q1113">
        <v>4.0938754601769656</v>
      </c>
      <c r="R1113" t="s">
        <v>109</v>
      </c>
      <c r="S1113">
        <v>816.10784137482131</v>
      </c>
      <c r="T1113">
        <v>0.95</v>
      </c>
      <c r="U1113" t="s">
        <v>227</v>
      </c>
      <c r="V1113">
        <v>0.95</v>
      </c>
      <c r="W1113">
        <v>16</v>
      </c>
      <c r="X1113">
        <v>27</v>
      </c>
      <c r="Y1113">
        <v>22</v>
      </c>
      <c r="Z1113">
        <v>0.10652957206919771</v>
      </c>
      <c r="AA1113">
        <v>31.536000000000001</v>
      </c>
    </row>
    <row r="1114" spans="1:27" x14ac:dyDescent="0.25">
      <c r="A1114" t="s">
        <v>98</v>
      </c>
      <c r="B1114" t="s">
        <v>99</v>
      </c>
      <c r="C1114" t="s">
        <v>1367</v>
      </c>
      <c r="D1114" t="s">
        <v>101</v>
      </c>
      <c r="E1114" t="s">
        <v>179</v>
      </c>
      <c r="F1114" t="s">
        <v>228</v>
      </c>
      <c r="G1114" t="s">
        <v>114</v>
      </c>
      <c r="H1114" t="s">
        <v>104</v>
      </c>
      <c r="I1114">
        <v>2022</v>
      </c>
      <c r="J1114" t="s">
        <v>236</v>
      </c>
      <c r="K1114" t="s">
        <v>106</v>
      </c>
      <c r="L1114" t="s">
        <v>1395</v>
      </c>
      <c r="M1114" t="s">
        <v>1419</v>
      </c>
      <c r="N1114">
        <v>1</v>
      </c>
      <c r="O1114">
        <v>2022</v>
      </c>
      <c r="P1114">
        <v>3341.043864662377</v>
      </c>
      <c r="Q1114">
        <v>4.0938754601769656</v>
      </c>
      <c r="R1114" t="s">
        <v>109</v>
      </c>
      <c r="S1114">
        <v>816.10784137482131</v>
      </c>
      <c r="T1114">
        <v>0.95</v>
      </c>
      <c r="U1114" t="s">
        <v>227</v>
      </c>
      <c r="V1114">
        <v>0.95</v>
      </c>
      <c r="W1114">
        <v>16</v>
      </c>
      <c r="X1114">
        <v>27</v>
      </c>
      <c r="Y1114">
        <v>22</v>
      </c>
      <c r="Z1114">
        <v>0.10652957206919771</v>
      </c>
      <c r="AA1114">
        <v>31.536000000000001</v>
      </c>
    </row>
    <row r="1115" spans="1:27" x14ac:dyDescent="0.25">
      <c r="A1115" t="s">
        <v>98</v>
      </c>
      <c r="B1115" t="s">
        <v>99</v>
      </c>
      <c r="C1115" t="s">
        <v>1367</v>
      </c>
      <c r="D1115" t="s">
        <v>101</v>
      </c>
      <c r="E1115" t="s">
        <v>179</v>
      </c>
      <c r="F1115" t="s">
        <v>228</v>
      </c>
      <c r="G1115" t="s">
        <v>119</v>
      </c>
      <c r="H1115" t="s">
        <v>104</v>
      </c>
      <c r="I1115">
        <v>2016</v>
      </c>
      <c r="J1115" t="s">
        <v>238</v>
      </c>
      <c r="K1115" t="s">
        <v>106</v>
      </c>
      <c r="L1115" t="s">
        <v>1395</v>
      </c>
      <c r="M1115" t="s">
        <v>1420</v>
      </c>
      <c r="N1115">
        <v>1</v>
      </c>
      <c r="O1115">
        <v>2020</v>
      </c>
      <c r="P1115">
        <v>3706.851587070666</v>
      </c>
      <c r="Q1115">
        <v>4.0938754601769656</v>
      </c>
      <c r="R1115" t="s">
        <v>109</v>
      </c>
      <c r="S1115">
        <v>905.46271451804978</v>
      </c>
      <c r="T1115">
        <v>0.99</v>
      </c>
      <c r="U1115" t="s">
        <v>227</v>
      </c>
      <c r="V1115">
        <v>0.99</v>
      </c>
      <c r="W1115">
        <v>16</v>
      </c>
      <c r="X1115">
        <v>27</v>
      </c>
      <c r="Y1115">
        <v>22</v>
      </c>
      <c r="Z1115">
        <v>0.10652957206919771</v>
      </c>
      <c r="AA1115">
        <v>31.536000000000001</v>
      </c>
    </row>
    <row r="1116" spans="1:27" x14ac:dyDescent="0.25">
      <c r="A1116" t="s">
        <v>98</v>
      </c>
      <c r="B1116" t="s">
        <v>99</v>
      </c>
      <c r="C1116" t="s">
        <v>1367</v>
      </c>
      <c r="D1116" t="s">
        <v>101</v>
      </c>
      <c r="E1116" t="s">
        <v>179</v>
      </c>
      <c r="F1116" t="s">
        <v>228</v>
      </c>
      <c r="G1116" t="s">
        <v>119</v>
      </c>
      <c r="H1116" t="s">
        <v>104</v>
      </c>
      <c r="I1116">
        <v>2022</v>
      </c>
      <c r="J1116" t="s">
        <v>240</v>
      </c>
      <c r="K1116" t="s">
        <v>106</v>
      </c>
      <c r="L1116" t="s">
        <v>1395</v>
      </c>
      <c r="M1116" t="s">
        <v>1421</v>
      </c>
      <c r="N1116">
        <v>1</v>
      </c>
      <c r="O1116">
        <v>2022</v>
      </c>
      <c r="P1116">
        <v>3706.851587070666</v>
      </c>
      <c r="Q1116">
        <v>4.0938754601769656</v>
      </c>
      <c r="R1116" t="s">
        <v>109</v>
      </c>
      <c r="S1116">
        <v>905.46271451804978</v>
      </c>
      <c r="T1116">
        <v>0.99</v>
      </c>
      <c r="U1116" t="s">
        <v>227</v>
      </c>
      <c r="V1116">
        <v>0.99</v>
      </c>
      <c r="W1116">
        <v>16</v>
      </c>
      <c r="X1116">
        <v>27</v>
      </c>
      <c r="Y1116">
        <v>22</v>
      </c>
      <c r="Z1116">
        <v>0.10652957206919771</v>
      </c>
      <c r="AA1116">
        <v>31.536000000000001</v>
      </c>
    </row>
    <row r="1117" spans="1:27" x14ac:dyDescent="0.25">
      <c r="A1117" t="s">
        <v>98</v>
      </c>
      <c r="B1117" t="s">
        <v>99</v>
      </c>
      <c r="C1117" t="s">
        <v>1367</v>
      </c>
      <c r="D1117" t="s">
        <v>101</v>
      </c>
      <c r="E1117" t="s">
        <v>179</v>
      </c>
      <c r="F1117" t="s">
        <v>224</v>
      </c>
      <c r="G1117" t="s">
        <v>103</v>
      </c>
      <c r="H1117" t="s">
        <v>104</v>
      </c>
      <c r="I1117">
        <v>2016</v>
      </c>
      <c r="J1117" t="s">
        <v>242</v>
      </c>
      <c r="K1117" t="s">
        <v>106</v>
      </c>
      <c r="L1117" t="s">
        <v>1395</v>
      </c>
      <c r="M1117" t="s">
        <v>1422</v>
      </c>
      <c r="N1117">
        <v>1</v>
      </c>
      <c r="O1117">
        <v>2020</v>
      </c>
      <c r="P1117">
        <v>8748.901360931588</v>
      </c>
      <c r="Q1117">
        <v>4.0938754601769656</v>
      </c>
      <c r="R1117" t="s">
        <v>109</v>
      </c>
      <c r="S1117">
        <v>2137.0707160088841</v>
      </c>
      <c r="T1117">
        <v>0.82</v>
      </c>
      <c r="U1117" t="s">
        <v>227</v>
      </c>
      <c r="V1117">
        <v>0.82</v>
      </c>
      <c r="W1117">
        <v>20</v>
      </c>
      <c r="X1117">
        <v>30</v>
      </c>
      <c r="Y1117">
        <v>26</v>
      </c>
      <c r="Z1117">
        <v>0.10652957206919771</v>
      </c>
      <c r="AA1117">
        <v>31.536000000000001</v>
      </c>
    </row>
    <row r="1118" spans="1:27" x14ac:dyDescent="0.25">
      <c r="A1118" t="s">
        <v>98</v>
      </c>
      <c r="B1118" t="s">
        <v>99</v>
      </c>
      <c r="C1118" t="s">
        <v>1367</v>
      </c>
      <c r="D1118" t="s">
        <v>101</v>
      </c>
      <c r="E1118" t="s">
        <v>179</v>
      </c>
      <c r="F1118" t="s">
        <v>224</v>
      </c>
      <c r="G1118" t="s">
        <v>103</v>
      </c>
      <c r="H1118" t="s">
        <v>104</v>
      </c>
      <c r="I1118">
        <v>2021</v>
      </c>
      <c r="J1118" t="s">
        <v>244</v>
      </c>
      <c r="K1118" t="s">
        <v>106</v>
      </c>
      <c r="L1118" t="s">
        <v>1395</v>
      </c>
      <c r="M1118" t="s">
        <v>1423</v>
      </c>
      <c r="N1118">
        <v>1</v>
      </c>
      <c r="O1118">
        <v>2021</v>
      </c>
      <c r="P1118">
        <v>8962.2891990030894</v>
      </c>
      <c r="Q1118">
        <v>4.0938754601769656</v>
      </c>
      <c r="R1118" t="s">
        <v>109</v>
      </c>
      <c r="S1118">
        <v>2189.1943920091012</v>
      </c>
      <c r="T1118">
        <v>0.84</v>
      </c>
      <c r="U1118" t="s">
        <v>227</v>
      </c>
      <c r="V1118">
        <v>0.84</v>
      </c>
      <c r="W1118">
        <v>20</v>
      </c>
      <c r="X1118">
        <v>30</v>
      </c>
      <c r="Y1118">
        <v>26</v>
      </c>
      <c r="Z1118">
        <v>0.10652957206919771</v>
      </c>
      <c r="AA1118">
        <v>31.536000000000001</v>
      </c>
    </row>
    <row r="1119" spans="1:27" x14ac:dyDescent="0.25">
      <c r="A1119" t="s">
        <v>98</v>
      </c>
      <c r="B1119" t="s">
        <v>99</v>
      </c>
      <c r="C1119" t="s">
        <v>1367</v>
      </c>
      <c r="D1119" t="s">
        <v>101</v>
      </c>
      <c r="E1119" t="s">
        <v>179</v>
      </c>
      <c r="F1119" t="s">
        <v>224</v>
      </c>
      <c r="G1119" t="s">
        <v>111</v>
      </c>
      <c r="H1119" t="s">
        <v>104</v>
      </c>
      <c r="I1119">
        <v>2016</v>
      </c>
      <c r="J1119" t="s">
        <v>246</v>
      </c>
      <c r="K1119" t="s">
        <v>106</v>
      </c>
      <c r="L1119" t="s">
        <v>1395</v>
      </c>
      <c r="M1119" t="s">
        <v>1424</v>
      </c>
      <c r="N1119">
        <v>0</v>
      </c>
      <c r="O1119">
        <v>2020</v>
      </c>
      <c r="P1119">
        <v>8748.901360931588</v>
      </c>
      <c r="Q1119">
        <v>4.0938754601769656</v>
      </c>
      <c r="R1119" t="s">
        <v>109</v>
      </c>
      <c r="S1119">
        <v>2137.0707160088841</v>
      </c>
      <c r="T1119">
        <v>0.82</v>
      </c>
      <c r="U1119" t="s">
        <v>227</v>
      </c>
      <c r="V1119">
        <v>0.82</v>
      </c>
      <c r="W1119">
        <v>20</v>
      </c>
      <c r="X1119">
        <v>30</v>
      </c>
      <c r="Y1119">
        <v>26</v>
      </c>
      <c r="Z1119">
        <v>0.10652957206919771</v>
      </c>
      <c r="AA1119">
        <v>31.536000000000001</v>
      </c>
    </row>
    <row r="1120" spans="1:27" x14ac:dyDescent="0.25">
      <c r="A1120" t="s">
        <v>98</v>
      </c>
      <c r="B1120" t="s">
        <v>99</v>
      </c>
      <c r="C1120" t="s">
        <v>1367</v>
      </c>
      <c r="D1120" t="s">
        <v>101</v>
      </c>
      <c r="E1120" t="s">
        <v>179</v>
      </c>
      <c r="F1120" t="s">
        <v>224</v>
      </c>
      <c r="G1120" t="s">
        <v>111</v>
      </c>
      <c r="H1120" t="s">
        <v>104</v>
      </c>
      <c r="I1120">
        <v>2020</v>
      </c>
      <c r="J1120" t="s">
        <v>248</v>
      </c>
      <c r="K1120" t="s">
        <v>106</v>
      </c>
      <c r="L1120" t="s">
        <v>1395</v>
      </c>
      <c r="M1120" t="s">
        <v>1424</v>
      </c>
      <c r="N1120">
        <v>1</v>
      </c>
      <c r="O1120">
        <v>2020</v>
      </c>
      <c r="P1120">
        <v>9602.4527132175954</v>
      </c>
      <c r="Q1120">
        <v>4.0938754601769656</v>
      </c>
      <c r="R1120" t="s">
        <v>109</v>
      </c>
      <c r="S1120">
        <v>2345.5654200097511</v>
      </c>
      <c r="T1120">
        <v>0.9</v>
      </c>
      <c r="U1120" t="s">
        <v>227</v>
      </c>
      <c r="V1120">
        <v>0.9</v>
      </c>
      <c r="W1120">
        <v>20</v>
      </c>
      <c r="X1120">
        <v>30</v>
      </c>
      <c r="Y1120">
        <v>26</v>
      </c>
      <c r="Z1120">
        <v>0.10652957206919771</v>
      </c>
      <c r="AA1120">
        <v>31.536000000000001</v>
      </c>
    </row>
    <row r="1121" spans="1:27" x14ac:dyDescent="0.25">
      <c r="A1121" t="s">
        <v>98</v>
      </c>
      <c r="B1121" t="s">
        <v>99</v>
      </c>
      <c r="C1121" t="s">
        <v>1367</v>
      </c>
      <c r="D1121" t="s">
        <v>101</v>
      </c>
      <c r="E1121" t="s">
        <v>179</v>
      </c>
      <c r="F1121" t="s">
        <v>224</v>
      </c>
      <c r="G1121" t="s">
        <v>114</v>
      </c>
      <c r="H1121" t="s">
        <v>104</v>
      </c>
      <c r="I1121">
        <v>2016</v>
      </c>
      <c r="J1121" t="s">
        <v>249</v>
      </c>
      <c r="K1121" t="s">
        <v>106</v>
      </c>
      <c r="L1121" t="s">
        <v>1395</v>
      </c>
      <c r="M1121" t="s">
        <v>1425</v>
      </c>
      <c r="N1121">
        <v>1</v>
      </c>
      <c r="O1121">
        <v>2020</v>
      </c>
      <c r="P1121">
        <v>9602.4527132175954</v>
      </c>
      <c r="Q1121">
        <v>4.0938754601769656</v>
      </c>
      <c r="R1121" t="s">
        <v>109</v>
      </c>
      <c r="S1121">
        <v>2345.5654200097511</v>
      </c>
      <c r="T1121">
        <v>0.9</v>
      </c>
      <c r="U1121" t="s">
        <v>227</v>
      </c>
      <c r="V1121">
        <v>0.9</v>
      </c>
      <c r="W1121">
        <v>20</v>
      </c>
      <c r="X1121">
        <v>30</v>
      </c>
      <c r="Y1121">
        <v>26</v>
      </c>
      <c r="Z1121">
        <v>0.10652957206919771</v>
      </c>
      <c r="AA1121">
        <v>31.536000000000001</v>
      </c>
    </row>
    <row r="1122" spans="1:27" x14ac:dyDescent="0.25">
      <c r="A1122" t="s">
        <v>98</v>
      </c>
      <c r="B1122" t="s">
        <v>99</v>
      </c>
      <c r="C1122" t="s">
        <v>1367</v>
      </c>
      <c r="D1122" t="s">
        <v>101</v>
      </c>
      <c r="E1122" t="s">
        <v>179</v>
      </c>
      <c r="F1122" t="s">
        <v>224</v>
      </c>
      <c r="G1122" t="s">
        <v>119</v>
      </c>
      <c r="H1122" t="s">
        <v>104</v>
      </c>
      <c r="I1122">
        <v>2016</v>
      </c>
      <c r="J1122" t="s">
        <v>251</v>
      </c>
      <c r="K1122" t="s">
        <v>106</v>
      </c>
      <c r="L1122" t="s">
        <v>1395</v>
      </c>
      <c r="M1122" t="s">
        <v>1426</v>
      </c>
      <c r="N1122">
        <v>1</v>
      </c>
      <c r="O1122">
        <v>2020</v>
      </c>
      <c r="P1122">
        <v>10882.779741646609</v>
      </c>
      <c r="Q1122">
        <v>4.0938754601769656</v>
      </c>
      <c r="R1122" t="s">
        <v>109</v>
      </c>
      <c r="S1122">
        <v>2658.3074760110512</v>
      </c>
      <c r="T1122">
        <v>0.97</v>
      </c>
      <c r="U1122" t="s">
        <v>227</v>
      </c>
      <c r="V1122">
        <v>0.97</v>
      </c>
      <c r="W1122">
        <v>20</v>
      </c>
      <c r="X1122">
        <v>30</v>
      </c>
      <c r="Y1122">
        <v>26</v>
      </c>
      <c r="Z1122">
        <v>0.10652957206919771</v>
      </c>
      <c r="AA1122">
        <v>31.536000000000001</v>
      </c>
    </row>
    <row r="1123" spans="1:27" x14ac:dyDescent="0.25">
      <c r="A1123" t="s">
        <v>98</v>
      </c>
      <c r="B1123" t="s">
        <v>99</v>
      </c>
      <c r="C1123" t="s">
        <v>1367</v>
      </c>
      <c r="D1123" t="s">
        <v>101</v>
      </c>
      <c r="E1123" t="s">
        <v>179</v>
      </c>
      <c r="F1123" t="s">
        <v>224</v>
      </c>
      <c r="G1123" t="s">
        <v>119</v>
      </c>
      <c r="H1123" t="s">
        <v>104</v>
      </c>
      <c r="I1123">
        <v>2022</v>
      </c>
      <c r="J1123" t="s">
        <v>253</v>
      </c>
      <c r="K1123" t="s">
        <v>106</v>
      </c>
      <c r="L1123" t="s">
        <v>1395</v>
      </c>
      <c r="M1123" t="s">
        <v>1427</v>
      </c>
      <c r="N1123">
        <v>1</v>
      </c>
      <c r="O1123">
        <v>2022</v>
      </c>
      <c r="P1123">
        <v>10882.779741646609</v>
      </c>
      <c r="Q1123">
        <v>4.0938754601769656</v>
      </c>
      <c r="R1123" t="s">
        <v>109</v>
      </c>
      <c r="S1123">
        <v>2658.3074760110512</v>
      </c>
      <c r="T1123">
        <v>0.97</v>
      </c>
      <c r="U1123" t="s">
        <v>227</v>
      </c>
      <c r="V1123">
        <v>0.97</v>
      </c>
      <c r="W1123">
        <v>20</v>
      </c>
      <c r="X1123">
        <v>30</v>
      </c>
      <c r="Y1123">
        <v>26</v>
      </c>
      <c r="Z1123">
        <v>0.10652957206919771</v>
      </c>
      <c r="AA1123">
        <v>31.536000000000001</v>
      </c>
    </row>
    <row r="1124" spans="1:27" x14ac:dyDescent="0.25">
      <c r="A1124" t="s">
        <v>98</v>
      </c>
      <c r="B1124" t="s">
        <v>99</v>
      </c>
      <c r="C1124" t="s">
        <v>1367</v>
      </c>
      <c r="D1124" t="s">
        <v>101</v>
      </c>
      <c r="E1124" t="s">
        <v>179</v>
      </c>
      <c r="F1124" t="s">
        <v>228</v>
      </c>
      <c r="G1124" t="s">
        <v>103</v>
      </c>
      <c r="H1124" t="s">
        <v>255</v>
      </c>
      <c r="I1124">
        <v>2016</v>
      </c>
      <c r="J1124" t="s">
        <v>256</v>
      </c>
      <c r="K1124" t="s">
        <v>257</v>
      </c>
      <c r="L1124" t="s">
        <v>1395</v>
      </c>
      <c r="M1124" t="s">
        <v>1428</v>
      </c>
      <c r="N1124">
        <v>1</v>
      </c>
      <c r="O1124">
        <v>2020</v>
      </c>
      <c r="P1124">
        <v>5029.8561831139787</v>
      </c>
      <c r="Q1124">
        <v>4.0938754601769656</v>
      </c>
      <c r="R1124" t="s">
        <v>109</v>
      </c>
      <c r="S1124">
        <v>1228.6295057193929</v>
      </c>
      <c r="T1124">
        <v>0.83</v>
      </c>
      <c r="U1124" t="s">
        <v>227</v>
      </c>
      <c r="V1124">
        <v>0.83</v>
      </c>
      <c r="W1124">
        <v>19.7</v>
      </c>
      <c r="X1124">
        <v>33.1</v>
      </c>
      <c r="Y1124">
        <v>27</v>
      </c>
      <c r="Z1124">
        <v>0.10652957206919771</v>
      </c>
      <c r="AA1124">
        <v>31.536000000000001</v>
      </c>
    </row>
    <row r="1125" spans="1:27" x14ac:dyDescent="0.25">
      <c r="A1125" t="s">
        <v>98</v>
      </c>
      <c r="B1125" t="s">
        <v>99</v>
      </c>
      <c r="C1125" t="s">
        <v>1367</v>
      </c>
      <c r="D1125" t="s">
        <v>101</v>
      </c>
      <c r="E1125" t="s">
        <v>179</v>
      </c>
      <c r="F1125" t="s">
        <v>228</v>
      </c>
      <c r="G1125" t="s">
        <v>111</v>
      </c>
      <c r="H1125" t="s">
        <v>255</v>
      </c>
      <c r="I1125">
        <v>2016</v>
      </c>
      <c r="J1125" t="s">
        <v>259</v>
      </c>
      <c r="K1125" t="s">
        <v>257</v>
      </c>
      <c r="L1125" t="s">
        <v>1395</v>
      </c>
      <c r="M1125" t="s">
        <v>1429</v>
      </c>
      <c r="N1125">
        <v>0</v>
      </c>
      <c r="O1125">
        <v>2020</v>
      </c>
      <c r="P1125">
        <v>5029.8561831139787</v>
      </c>
      <c r="Q1125">
        <v>4.0938754601769656</v>
      </c>
      <c r="R1125" t="s">
        <v>109</v>
      </c>
      <c r="S1125">
        <v>1228.6295057193929</v>
      </c>
      <c r="T1125">
        <v>0.83</v>
      </c>
      <c r="U1125" t="s">
        <v>227</v>
      </c>
      <c r="V1125">
        <v>0.83</v>
      </c>
      <c r="W1125">
        <v>19.7</v>
      </c>
      <c r="X1125">
        <v>33.1</v>
      </c>
      <c r="Y1125">
        <v>27</v>
      </c>
      <c r="Z1125">
        <v>0.10652957206919771</v>
      </c>
      <c r="AA1125">
        <v>31.536000000000001</v>
      </c>
    </row>
    <row r="1126" spans="1:27" x14ac:dyDescent="0.25">
      <c r="A1126" t="s">
        <v>98</v>
      </c>
      <c r="B1126" t="s">
        <v>99</v>
      </c>
      <c r="C1126" t="s">
        <v>1367</v>
      </c>
      <c r="D1126" t="s">
        <v>101</v>
      </c>
      <c r="E1126" t="s">
        <v>179</v>
      </c>
      <c r="F1126" t="s">
        <v>228</v>
      </c>
      <c r="G1126" t="s">
        <v>111</v>
      </c>
      <c r="H1126" t="s">
        <v>255</v>
      </c>
      <c r="I1126">
        <v>2020</v>
      </c>
      <c r="J1126" t="s">
        <v>261</v>
      </c>
      <c r="K1126" t="s">
        <v>257</v>
      </c>
      <c r="L1126" t="s">
        <v>1395</v>
      </c>
      <c r="M1126" t="s">
        <v>1429</v>
      </c>
      <c r="N1126">
        <v>1</v>
      </c>
      <c r="O1126">
        <v>2020</v>
      </c>
      <c r="P1126">
        <v>5151.7920905834089</v>
      </c>
      <c r="Q1126">
        <v>4.0938754601769656</v>
      </c>
      <c r="R1126" t="s">
        <v>109</v>
      </c>
      <c r="S1126">
        <v>1258.4144634338029</v>
      </c>
      <c r="T1126">
        <v>0.84</v>
      </c>
      <c r="U1126" t="s">
        <v>227</v>
      </c>
      <c r="V1126">
        <v>0.84</v>
      </c>
      <c r="W1126">
        <v>19.7</v>
      </c>
      <c r="X1126">
        <v>33.1</v>
      </c>
      <c r="Y1126">
        <v>27</v>
      </c>
      <c r="Z1126">
        <v>0.10652957206919771</v>
      </c>
      <c r="AA1126">
        <v>31.536000000000001</v>
      </c>
    </row>
    <row r="1127" spans="1:27" x14ac:dyDescent="0.25">
      <c r="A1127" t="s">
        <v>98</v>
      </c>
      <c r="B1127" t="s">
        <v>99</v>
      </c>
      <c r="C1127" t="s">
        <v>1367</v>
      </c>
      <c r="D1127" t="s">
        <v>101</v>
      </c>
      <c r="E1127" t="s">
        <v>179</v>
      </c>
      <c r="F1127" t="s">
        <v>228</v>
      </c>
      <c r="G1127" t="s">
        <v>114</v>
      </c>
      <c r="H1127" t="s">
        <v>255</v>
      </c>
      <c r="I1127">
        <v>2016</v>
      </c>
      <c r="J1127" t="s">
        <v>262</v>
      </c>
      <c r="K1127" t="s">
        <v>257</v>
      </c>
      <c r="L1127" t="s">
        <v>1395</v>
      </c>
      <c r="M1127" t="s">
        <v>1430</v>
      </c>
      <c r="N1127">
        <v>1</v>
      </c>
      <c r="O1127">
        <v>2020</v>
      </c>
      <c r="P1127">
        <v>5304.2119749201956</v>
      </c>
      <c r="Q1127">
        <v>4.0938754601769656</v>
      </c>
      <c r="R1127" t="s">
        <v>109</v>
      </c>
      <c r="S1127">
        <v>1295.6456605768151</v>
      </c>
      <c r="T1127">
        <v>0.85</v>
      </c>
      <c r="U1127" t="s">
        <v>227</v>
      </c>
      <c r="V1127">
        <v>0.85</v>
      </c>
      <c r="W1127">
        <v>19.7</v>
      </c>
      <c r="X1127">
        <v>33.1</v>
      </c>
      <c r="Y1127">
        <v>27</v>
      </c>
      <c r="Z1127">
        <v>0.10652957206919771</v>
      </c>
      <c r="AA1127">
        <v>31.536000000000001</v>
      </c>
    </row>
    <row r="1128" spans="1:27" x14ac:dyDescent="0.25">
      <c r="A1128" t="s">
        <v>98</v>
      </c>
      <c r="B1128" t="s">
        <v>99</v>
      </c>
      <c r="C1128" t="s">
        <v>1367</v>
      </c>
      <c r="D1128" t="s">
        <v>101</v>
      </c>
      <c r="E1128" t="s">
        <v>179</v>
      </c>
      <c r="F1128" t="s">
        <v>228</v>
      </c>
      <c r="G1128" t="s">
        <v>119</v>
      </c>
      <c r="H1128" t="s">
        <v>255</v>
      </c>
      <c r="I1128">
        <v>2016</v>
      </c>
      <c r="J1128" t="s">
        <v>264</v>
      </c>
      <c r="K1128" t="s">
        <v>257</v>
      </c>
      <c r="L1128" t="s">
        <v>1395</v>
      </c>
      <c r="M1128" t="s">
        <v>1431</v>
      </c>
      <c r="N1128">
        <v>0</v>
      </c>
      <c r="O1128">
        <v>2020</v>
      </c>
      <c r="P1128">
        <v>7864.8660317782214</v>
      </c>
      <c r="Q1128">
        <v>4.0938754601769656</v>
      </c>
      <c r="R1128" t="s">
        <v>109</v>
      </c>
      <c r="S1128">
        <v>1921.129772579415</v>
      </c>
      <c r="T1128">
        <v>0.97</v>
      </c>
      <c r="U1128" t="s">
        <v>227</v>
      </c>
      <c r="V1128">
        <v>0.97</v>
      </c>
      <c r="W1128">
        <v>19.7</v>
      </c>
      <c r="X1128">
        <v>33.1</v>
      </c>
      <c r="Y1128">
        <v>27</v>
      </c>
      <c r="Z1128">
        <v>0.10652957206919771</v>
      </c>
      <c r="AA1128">
        <v>31.536000000000001</v>
      </c>
    </row>
    <row r="1129" spans="1:27" x14ac:dyDescent="0.25">
      <c r="A1129" t="s">
        <v>98</v>
      </c>
      <c r="B1129" t="s">
        <v>99</v>
      </c>
      <c r="C1129" t="s">
        <v>1367</v>
      </c>
      <c r="D1129" t="s">
        <v>101</v>
      </c>
      <c r="E1129" t="s">
        <v>179</v>
      </c>
      <c r="F1129" t="s">
        <v>228</v>
      </c>
      <c r="G1129" t="s">
        <v>119</v>
      </c>
      <c r="H1129" t="s">
        <v>255</v>
      </c>
      <c r="I1129">
        <v>2020</v>
      </c>
      <c r="J1129" t="s">
        <v>266</v>
      </c>
      <c r="K1129" t="s">
        <v>257</v>
      </c>
      <c r="L1129" t="s">
        <v>1395</v>
      </c>
      <c r="M1129" t="s">
        <v>1431</v>
      </c>
      <c r="N1129">
        <v>1</v>
      </c>
      <c r="O1129">
        <v>2020</v>
      </c>
      <c r="P1129">
        <v>7864.8660317782214</v>
      </c>
      <c r="Q1129">
        <v>4.0938754601769656</v>
      </c>
      <c r="R1129" t="s">
        <v>109</v>
      </c>
      <c r="S1129">
        <v>1921.129772579415</v>
      </c>
      <c r="T1129">
        <v>0.97</v>
      </c>
      <c r="U1129" t="s">
        <v>227</v>
      </c>
      <c r="V1129">
        <v>0.97</v>
      </c>
      <c r="W1129">
        <v>19.7</v>
      </c>
      <c r="X1129">
        <v>33.1</v>
      </c>
      <c r="Y1129">
        <v>27</v>
      </c>
      <c r="Z1129">
        <v>0.10652957206919771</v>
      </c>
      <c r="AA1129">
        <v>31.536000000000001</v>
      </c>
    </row>
    <row r="1130" spans="1:27" x14ac:dyDescent="0.25">
      <c r="A1130" t="s">
        <v>98</v>
      </c>
      <c r="B1130" t="s">
        <v>99</v>
      </c>
      <c r="C1130" t="s">
        <v>1367</v>
      </c>
      <c r="D1130" t="s">
        <v>101</v>
      </c>
      <c r="E1130" t="s">
        <v>179</v>
      </c>
      <c r="F1130" t="s">
        <v>228</v>
      </c>
      <c r="G1130" t="s">
        <v>103</v>
      </c>
      <c r="H1130" t="s">
        <v>156</v>
      </c>
      <c r="I1130">
        <v>2016</v>
      </c>
      <c r="J1130" t="s">
        <v>267</v>
      </c>
      <c r="K1130" t="s">
        <v>158</v>
      </c>
      <c r="L1130" t="s">
        <v>1395</v>
      </c>
      <c r="M1130" t="s">
        <v>1432</v>
      </c>
      <c r="N1130">
        <v>1</v>
      </c>
      <c r="O1130">
        <v>2020</v>
      </c>
      <c r="P1130">
        <v>2499.6861031233111</v>
      </c>
      <c r="Q1130">
        <v>4.0938754601769656</v>
      </c>
      <c r="R1130" t="s">
        <v>109</v>
      </c>
      <c r="S1130">
        <v>610.59163314539546</v>
      </c>
      <c r="T1130">
        <v>0.8</v>
      </c>
      <c r="U1130" t="s">
        <v>227</v>
      </c>
      <c r="V1130">
        <v>0.8</v>
      </c>
      <c r="W1130">
        <v>16</v>
      </c>
      <c r="X1130">
        <v>27</v>
      </c>
      <c r="Y1130">
        <v>22</v>
      </c>
      <c r="Z1130">
        <v>0.10652957206919771</v>
      </c>
      <c r="AA1130">
        <v>31.536000000000001</v>
      </c>
    </row>
    <row r="1131" spans="1:27" x14ac:dyDescent="0.25">
      <c r="A1131" t="s">
        <v>98</v>
      </c>
      <c r="B1131" t="s">
        <v>99</v>
      </c>
      <c r="C1131" t="s">
        <v>1367</v>
      </c>
      <c r="D1131" t="s">
        <v>101</v>
      </c>
      <c r="E1131" t="s">
        <v>179</v>
      </c>
      <c r="F1131" t="s">
        <v>228</v>
      </c>
      <c r="G1131" t="s">
        <v>111</v>
      </c>
      <c r="H1131" t="s">
        <v>156</v>
      </c>
      <c r="I1131">
        <v>2016</v>
      </c>
      <c r="J1131" t="s">
        <v>269</v>
      </c>
      <c r="K1131" t="s">
        <v>158</v>
      </c>
      <c r="L1131" t="s">
        <v>1395</v>
      </c>
      <c r="M1131" t="s">
        <v>1433</v>
      </c>
      <c r="N1131">
        <v>0</v>
      </c>
      <c r="O1131">
        <v>2020</v>
      </c>
      <c r="P1131">
        <v>3182.5271849521182</v>
      </c>
      <c r="Q1131">
        <v>4.0938754601769656</v>
      </c>
      <c r="R1131" t="s">
        <v>109</v>
      </c>
      <c r="S1131">
        <v>777.38739634608885</v>
      </c>
      <c r="T1131">
        <v>0.92</v>
      </c>
      <c r="U1131" t="s">
        <v>227</v>
      </c>
      <c r="V1131">
        <v>0.92</v>
      </c>
      <c r="W1131">
        <v>16</v>
      </c>
      <c r="X1131">
        <v>27</v>
      </c>
      <c r="Y1131">
        <v>22</v>
      </c>
      <c r="Z1131">
        <v>0.10652957206919771</v>
      </c>
      <c r="AA1131">
        <v>31.536000000000001</v>
      </c>
    </row>
    <row r="1132" spans="1:27" x14ac:dyDescent="0.25">
      <c r="A1132" t="s">
        <v>98</v>
      </c>
      <c r="B1132" t="s">
        <v>99</v>
      </c>
      <c r="C1132" t="s">
        <v>1367</v>
      </c>
      <c r="D1132" t="s">
        <v>101</v>
      </c>
      <c r="E1132" t="s">
        <v>179</v>
      </c>
      <c r="F1132" t="s">
        <v>228</v>
      </c>
      <c r="G1132" t="s">
        <v>111</v>
      </c>
      <c r="H1132" t="s">
        <v>156</v>
      </c>
      <c r="I1132">
        <v>2020</v>
      </c>
      <c r="J1132" t="s">
        <v>271</v>
      </c>
      <c r="K1132" t="s">
        <v>158</v>
      </c>
      <c r="L1132" t="s">
        <v>1395</v>
      </c>
      <c r="M1132" t="s">
        <v>1433</v>
      </c>
      <c r="N1132">
        <v>1</v>
      </c>
      <c r="O1132">
        <v>2020</v>
      </c>
      <c r="P1132">
        <v>3365.4310461562618</v>
      </c>
      <c r="Q1132">
        <v>4.0938754601769656</v>
      </c>
      <c r="R1132" t="s">
        <v>109</v>
      </c>
      <c r="S1132">
        <v>822.06483291770314</v>
      </c>
      <c r="T1132">
        <v>0.92</v>
      </c>
      <c r="U1132" t="s">
        <v>227</v>
      </c>
      <c r="V1132">
        <v>0.92</v>
      </c>
      <c r="W1132">
        <v>16</v>
      </c>
      <c r="X1132">
        <v>27</v>
      </c>
      <c r="Y1132">
        <v>22</v>
      </c>
      <c r="Z1132">
        <v>0.10652957206919771</v>
      </c>
      <c r="AA1132">
        <v>31.536000000000001</v>
      </c>
    </row>
    <row r="1133" spans="1:27" x14ac:dyDescent="0.25">
      <c r="A1133" t="s">
        <v>98</v>
      </c>
      <c r="B1133" t="s">
        <v>99</v>
      </c>
      <c r="C1133" t="s">
        <v>1367</v>
      </c>
      <c r="D1133" t="s">
        <v>101</v>
      </c>
      <c r="E1133" t="s">
        <v>179</v>
      </c>
      <c r="F1133" t="s">
        <v>228</v>
      </c>
      <c r="G1133" t="s">
        <v>114</v>
      </c>
      <c r="H1133" t="s">
        <v>156</v>
      </c>
      <c r="I1133">
        <v>2016</v>
      </c>
      <c r="J1133" t="s">
        <v>272</v>
      </c>
      <c r="K1133" t="s">
        <v>158</v>
      </c>
      <c r="L1133" t="s">
        <v>1395</v>
      </c>
      <c r="M1133" t="s">
        <v>1434</v>
      </c>
      <c r="N1133">
        <v>1</v>
      </c>
      <c r="O1133">
        <v>2020</v>
      </c>
      <c r="P1133">
        <v>3341.043864662377</v>
      </c>
      <c r="Q1133">
        <v>4.0938754601769656</v>
      </c>
      <c r="R1133" t="s">
        <v>109</v>
      </c>
      <c r="S1133">
        <v>816.10784137482131</v>
      </c>
      <c r="T1133">
        <v>0.95</v>
      </c>
      <c r="U1133" t="s">
        <v>227</v>
      </c>
      <c r="V1133">
        <v>0.95</v>
      </c>
      <c r="W1133">
        <v>16</v>
      </c>
      <c r="X1133">
        <v>27</v>
      </c>
      <c r="Y1133">
        <v>22</v>
      </c>
      <c r="Z1133">
        <v>0.10652957206919771</v>
      </c>
      <c r="AA1133">
        <v>31.536000000000001</v>
      </c>
    </row>
    <row r="1134" spans="1:27" x14ac:dyDescent="0.25">
      <c r="A1134" t="s">
        <v>98</v>
      </c>
      <c r="B1134" t="s">
        <v>99</v>
      </c>
      <c r="C1134" t="s">
        <v>1367</v>
      </c>
      <c r="D1134" t="s">
        <v>101</v>
      </c>
      <c r="E1134" t="s">
        <v>179</v>
      </c>
      <c r="F1134" t="s">
        <v>228</v>
      </c>
      <c r="G1134" t="s">
        <v>114</v>
      </c>
      <c r="H1134" t="s">
        <v>156</v>
      </c>
      <c r="I1134">
        <v>2022</v>
      </c>
      <c r="J1134" t="s">
        <v>274</v>
      </c>
      <c r="K1134" t="s">
        <v>158</v>
      </c>
      <c r="L1134" t="s">
        <v>1395</v>
      </c>
      <c r="M1134" t="s">
        <v>1435</v>
      </c>
      <c r="N1134">
        <v>1</v>
      </c>
      <c r="O1134">
        <v>2022</v>
      </c>
      <c r="P1134">
        <v>3341.043864662377</v>
      </c>
      <c r="Q1134">
        <v>4.0938754601769656</v>
      </c>
      <c r="R1134" t="s">
        <v>109</v>
      </c>
      <c r="S1134">
        <v>816.10784137482131</v>
      </c>
      <c r="T1134">
        <v>0.95</v>
      </c>
      <c r="U1134" t="s">
        <v>227</v>
      </c>
      <c r="V1134">
        <v>0.95</v>
      </c>
      <c r="W1134">
        <v>16</v>
      </c>
      <c r="X1134">
        <v>27</v>
      </c>
      <c r="Y1134">
        <v>22</v>
      </c>
      <c r="Z1134">
        <v>0.10652957206919771</v>
      </c>
      <c r="AA1134">
        <v>31.536000000000001</v>
      </c>
    </row>
    <row r="1135" spans="1:27" x14ac:dyDescent="0.25">
      <c r="A1135" t="s">
        <v>98</v>
      </c>
      <c r="B1135" t="s">
        <v>99</v>
      </c>
      <c r="C1135" t="s">
        <v>1367</v>
      </c>
      <c r="D1135" t="s">
        <v>101</v>
      </c>
      <c r="E1135" t="s">
        <v>179</v>
      </c>
      <c r="F1135" t="s">
        <v>228</v>
      </c>
      <c r="G1135" t="s">
        <v>119</v>
      </c>
      <c r="H1135" t="s">
        <v>156</v>
      </c>
      <c r="I1135">
        <v>2016</v>
      </c>
      <c r="J1135" t="s">
        <v>276</v>
      </c>
      <c r="K1135" t="s">
        <v>158</v>
      </c>
      <c r="L1135" t="s">
        <v>1395</v>
      </c>
      <c r="M1135" t="s">
        <v>1436</v>
      </c>
      <c r="N1135">
        <v>1</v>
      </c>
      <c r="O1135">
        <v>2020</v>
      </c>
      <c r="P1135">
        <v>3706.851587070666</v>
      </c>
      <c r="Q1135">
        <v>4.0938754601769656</v>
      </c>
      <c r="R1135" t="s">
        <v>109</v>
      </c>
      <c r="S1135">
        <v>905.46271451804978</v>
      </c>
      <c r="T1135">
        <v>0.99</v>
      </c>
      <c r="U1135" t="s">
        <v>227</v>
      </c>
      <c r="V1135">
        <v>0.99</v>
      </c>
      <c r="W1135">
        <v>16</v>
      </c>
      <c r="X1135">
        <v>27</v>
      </c>
      <c r="Y1135">
        <v>22</v>
      </c>
      <c r="Z1135">
        <v>0.10652957206919771</v>
      </c>
      <c r="AA1135">
        <v>31.536000000000001</v>
      </c>
    </row>
    <row r="1136" spans="1:27" x14ac:dyDescent="0.25">
      <c r="A1136" t="s">
        <v>98</v>
      </c>
      <c r="B1136" t="s">
        <v>99</v>
      </c>
      <c r="C1136" t="s">
        <v>1367</v>
      </c>
      <c r="D1136" t="s">
        <v>101</v>
      </c>
      <c r="E1136" t="s">
        <v>179</v>
      </c>
      <c r="F1136" t="s">
        <v>228</v>
      </c>
      <c r="G1136" t="s">
        <v>119</v>
      </c>
      <c r="H1136" t="s">
        <v>156</v>
      </c>
      <c r="I1136">
        <v>2022</v>
      </c>
      <c r="J1136" t="s">
        <v>278</v>
      </c>
      <c r="K1136" t="s">
        <v>158</v>
      </c>
      <c r="L1136" t="s">
        <v>1395</v>
      </c>
      <c r="M1136" t="s">
        <v>1437</v>
      </c>
      <c r="N1136">
        <v>1</v>
      </c>
      <c r="O1136">
        <v>2022</v>
      </c>
      <c r="P1136">
        <v>3706.851587070666</v>
      </c>
      <c r="Q1136">
        <v>4.0938754601769656</v>
      </c>
      <c r="R1136" t="s">
        <v>109</v>
      </c>
      <c r="S1136">
        <v>905.46271451804978</v>
      </c>
      <c r="T1136">
        <v>0.99</v>
      </c>
      <c r="U1136" t="s">
        <v>227</v>
      </c>
      <c r="V1136">
        <v>0.99</v>
      </c>
      <c r="W1136">
        <v>16</v>
      </c>
      <c r="X1136">
        <v>27</v>
      </c>
      <c r="Y1136">
        <v>22</v>
      </c>
      <c r="Z1136">
        <v>0.10652957206919771</v>
      </c>
      <c r="AA1136">
        <v>31.536000000000001</v>
      </c>
    </row>
    <row r="1137" spans="1:27" x14ac:dyDescent="0.25">
      <c r="A1137" t="s">
        <v>98</v>
      </c>
      <c r="B1137" t="s">
        <v>99</v>
      </c>
      <c r="C1137" t="s">
        <v>1367</v>
      </c>
      <c r="D1137" t="s">
        <v>101</v>
      </c>
      <c r="E1137" t="s">
        <v>179</v>
      </c>
      <c r="F1137" t="s">
        <v>228</v>
      </c>
      <c r="G1137" t="s">
        <v>103</v>
      </c>
      <c r="H1137" t="s">
        <v>148</v>
      </c>
      <c r="I1137">
        <v>2016</v>
      </c>
      <c r="J1137" t="s">
        <v>280</v>
      </c>
      <c r="K1137" t="s">
        <v>150</v>
      </c>
      <c r="L1137" t="s">
        <v>1395</v>
      </c>
      <c r="M1137" t="s">
        <v>1438</v>
      </c>
      <c r="N1137">
        <v>1</v>
      </c>
      <c r="O1137">
        <v>2020</v>
      </c>
      <c r="P1137">
        <v>5029.8561831139787</v>
      </c>
      <c r="Q1137">
        <v>4.0938754601769656</v>
      </c>
      <c r="R1137" t="s">
        <v>109</v>
      </c>
      <c r="S1137">
        <v>1228.6295057193929</v>
      </c>
      <c r="T1137">
        <v>0.83</v>
      </c>
      <c r="U1137" t="s">
        <v>227</v>
      </c>
      <c r="V1137">
        <v>0.83</v>
      </c>
      <c r="W1137">
        <v>19.7</v>
      </c>
      <c r="X1137">
        <v>33.1</v>
      </c>
      <c r="Y1137">
        <v>27</v>
      </c>
      <c r="Z1137">
        <v>0.10652957206919771</v>
      </c>
      <c r="AA1137">
        <v>31.536000000000001</v>
      </c>
    </row>
    <row r="1138" spans="1:27" x14ac:dyDescent="0.25">
      <c r="A1138" t="s">
        <v>98</v>
      </c>
      <c r="B1138" t="s">
        <v>99</v>
      </c>
      <c r="C1138" t="s">
        <v>1367</v>
      </c>
      <c r="D1138" t="s">
        <v>101</v>
      </c>
      <c r="E1138" t="s">
        <v>179</v>
      </c>
      <c r="F1138" t="s">
        <v>228</v>
      </c>
      <c r="G1138" t="s">
        <v>111</v>
      </c>
      <c r="H1138" t="s">
        <v>148</v>
      </c>
      <c r="I1138">
        <v>2016</v>
      </c>
      <c r="J1138" t="s">
        <v>282</v>
      </c>
      <c r="K1138" t="s">
        <v>150</v>
      </c>
      <c r="L1138" t="s">
        <v>1395</v>
      </c>
      <c r="M1138" t="s">
        <v>1439</v>
      </c>
      <c r="N1138">
        <v>1</v>
      </c>
      <c r="O1138">
        <v>2020</v>
      </c>
      <c r="P1138">
        <v>5029.8561831139787</v>
      </c>
      <c r="Q1138">
        <v>4.0938754601769656</v>
      </c>
      <c r="R1138" t="s">
        <v>109</v>
      </c>
      <c r="S1138">
        <v>1228.6295057193929</v>
      </c>
      <c r="T1138">
        <v>0.83</v>
      </c>
      <c r="U1138" t="s">
        <v>227</v>
      </c>
      <c r="V1138">
        <v>0.83</v>
      </c>
      <c r="W1138">
        <v>19.7</v>
      </c>
      <c r="X1138">
        <v>33.1</v>
      </c>
      <c r="Y1138">
        <v>27</v>
      </c>
      <c r="Z1138">
        <v>0.10652957206919771</v>
      </c>
      <c r="AA1138">
        <v>31.536000000000001</v>
      </c>
    </row>
    <row r="1139" spans="1:27" x14ac:dyDescent="0.25">
      <c r="A1139" t="s">
        <v>98</v>
      </c>
      <c r="B1139" t="s">
        <v>99</v>
      </c>
      <c r="C1139" t="s">
        <v>1367</v>
      </c>
      <c r="D1139" t="s">
        <v>101</v>
      </c>
      <c r="E1139" t="s">
        <v>179</v>
      </c>
      <c r="F1139" t="s">
        <v>228</v>
      </c>
      <c r="G1139" t="s">
        <v>111</v>
      </c>
      <c r="H1139" t="s">
        <v>148</v>
      </c>
      <c r="I1139">
        <v>2022</v>
      </c>
      <c r="J1139" t="s">
        <v>284</v>
      </c>
      <c r="K1139" t="s">
        <v>150</v>
      </c>
      <c r="L1139" t="s">
        <v>1395</v>
      </c>
      <c r="M1139" t="s">
        <v>1440</v>
      </c>
      <c r="N1139">
        <v>1</v>
      </c>
      <c r="O1139">
        <v>2022</v>
      </c>
      <c r="P1139">
        <v>5151.7920905834089</v>
      </c>
      <c r="Q1139">
        <v>4.0938754601769656</v>
      </c>
      <c r="R1139" t="s">
        <v>109</v>
      </c>
      <c r="S1139">
        <v>1258.4144634338029</v>
      </c>
      <c r="T1139">
        <v>0.84</v>
      </c>
      <c r="U1139" t="s">
        <v>227</v>
      </c>
      <c r="V1139">
        <v>0.84</v>
      </c>
      <c r="W1139">
        <v>19.7</v>
      </c>
      <c r="X1139">
        <v>33.1</v>
      </c>
      <c r="Y1139">
        <v>27</v>
      </c>
      <c r="Z1139">
        <v>0.10652957206919771</v>
      </c>
      <c r="AA1139">
        <v>31.536000000000001</v>
      </c>
    </row>
    <row r="1140" spans="1:27" x14ac:dyDescent="0.25">
      <c r="A1140" t="s">
        <v>98</v>
      </c>
      <c r="B1140" t="s">
        <v>99</v>
      </c>
      <c r="C1140" t="s">
        <v>1367</v>
      </c>
      <c r="D1140" t="s">
        <v>101</v>
      </c>
      <c r="E1140" t="s">
        <v>179</v>
      </c>
      <c r="F1140" t="s">
        <v>228</v>
      </c>
      <c r="G1140" t="s">
        <v>114</v>
      </c>
      <c r="H1140" t="s">
        <v>148</v>
      </c>
      <c r="I1140">
        <v>2016</v>
      </c>
      <c r="J1140" t="s">
        <v>286</v>
      </c>
      <c r="K1140" t="s">
        <v>150</v>
      </c>
      <c r="L1140" t="s">
        <v>1395</v>
      </c>
      <c r="M1140" t="s">
        <v>1441</v>
      </c>
      <c r="N1140">
        <v>1</v>
      </c>
      <c r="O1140">
        <v>2020</v>
      </c>
      <c r="P1140">
        <v>5304.2119749201956</v>
      </c>
      <c r="Q1140">
        <v>4.0938754601769656</v>
      </c>
      <c r="R1140" t="s">
        <v>109</v>
      </c>
      <c r="S1140">
        <v>1295.6456605768151</v>
      </c>
      <c r="T1140">
        <v>0.85</v>
      </c>
      <c r="U1140" t="s">
        <v>227</v>
      </c>
      <c r="V1140">
        <v>0.85</v>
      </c>
      <c r="W1140">
        <v>19.7</v>
      </c>
      <c r="X1140">
        <v>33.1</v>
      </c>
      <c r="Y1140">
        <v>27</v>
      </c>
      <c r="Z1140">
        <v>0.10652957206919771</v>
      </c>
      <c r="AA1140">
        <v>31.536000000000001</v>
      </c>
    </row>
    <row r="1141" spans="1:27" x14ac:dyDescent="0.25">
      <c r="A1141" t="s">
        <v>98</v>
      </c>
      <c r="B1141" t="s">
        <v>99</v>
      </c>
      <c r="C1141" t="s">
        <v>1367</v>
      </c>
      <c r="D1141" t="s">
        <v>101</v>
      </c>
      <c r="E1141" t="s">
        <v>179</v>
      </c>
      <c r="F1141" t="s">
        <v>228</v>
      </c>
      <c r="G1141" t="s">
        <v>119</v>
      </c>
      <c r="H1141" t="s">
        <v>148</v>
      </c>
      <c r="I1141">
        <v>2016</v>
      </c>
      <c r="J1141" t="s">
        <v>288</v>
      </c>
      <c r="K1141" t="s">
        <v>150</v>
      </c>
      <c r="L1141" t="s">
        <v>1395</v>
      </c>
      <c r="M1141" t="s">
        <v>1442</v>
      </c>
      <c r="N1141">
        <v>1</v>
      </c>
      <c r="O1141">
        <v>2020</v>
      </c>
      <c r="P1141">
        <v>7864.8660317782214</v>
      </c>
      <c r="Q1141">
        <v>4.0938754601769656</v>
      </c>
      <c r="R1141" t="s">
        <v>109</v>
      </c>
      <c r="S1141">
        <v>1921.129772579415</v>
      </c>
      <c r="T1141">
        <v>0.97</v>
      </c>
      <c r="U1141" t="s">
        <v>227</v>
      </c>
      <c r="V1141">
        <v>0.97</v>
      </c>
      <c r="W1141">
        <v>19.7</v>
      </c>
      <c r="X1141">
        <v>33.1</v>
      </c>
      <c r="Y1141">
        <v>27</v>
      </c>
      <c r="Z1141">
        <v>0.10652957206919771</v>
      </c>
      <c r="AA1141">
        <v>31.536000000000001</v>
      </c>
    </row>
    <row r="1142" spans="1:27" x14ac:dyDescent="0.25">
      <c r="A1142" t="s">
        <v>98</v>
      </c>
      <c r="B1142" t="s">
        <v>99</v>
      </c>
      <c r="C1142" t="s">
        <v>1367</v>
      </c>
      <c r="D1142" t="s">
        <v>101</v>
      </c>
      <c r="E1142" t="s">
        <v>179</v>
      </c>
      <c r="F1142" t="s">
        <v>228</v>
      </c>
      <c r="G1142" t="s">
        <v>119</v>
      </c>
      <c r="H1142" t="s">
        <v>148</v>
      </c>
      <c r="I1142">
        <v>2022</v>
      </c>
      <c r="J1142" t="s">
        <v>290</v>
      </c>
      <c r="K1142" t="s">
        <v>150</v>
      </c>
      <c r="L1142" t="s">
        <v>1395</v>
      </c>
      <c r="M1142" t="s">
        <v>1443</v>
      </c>
      <c r="N1142">
        <v>1</v>
      </c>
      <c r="O1142">
        <v>2022</v>
      </c>
      <c r="P1142">
        <v>7864.8660317782214</v>
      </c>
      <c r="Q1142">
        <v>4.0938754601769656</v>
      </c>
      <c r="R1142" t="s">
        <v>109</v>
      </c>
      <c r="S1142">
        <v>1921.129772579415</v>
      </c>
      <c r="T1142">
        <v>0.97</v>
      </c>
      <c r="U1142" t="s">
        <v>227</v>
      </c>
      <c r="V1142">
        <v>0.97</v>
      </c>
      <c r="W1142">
        <v>19.7</v>
      </c>
      <c r="X1142">
        <v>33.1</v>
      </c>
      <c r="Y1142">
        <v>27</v>
      </c>
      <c r="Z1142">
        <v>0.10652957206919771</v>
      </c>
      <c r="AA1142">
        <v>31.536000000000001</v>
      </c>
    </row>
    <row r="1143" spans="1:27" x14ac:dyDescent="0.25">
      <c r="A1143" t="s">
        <v>98</v>
      </c>
      <c r="B1143" t="s">
        <v>99</v>
      </c>
      <c r="C1143" t="s">
        <v>1367</v>
      </c>
      <c r="D1143" t="s">
        <v>101</v>
      </c>
      <c r="E1143" t="s">
        <v>179</v>
      </c>
      <c r="F1143" t="s">
        <v>224</v>
      </c>
      <c r="G1143" t="s">
        <v>103</v>
      </c>
      <c r="H1143" t="s">
        <v>148</v>
      </c>
      <c r="I1143">
        <v>2016</v>
      </c>
      <c r="J1143" t="s">
        <v>292</v>
      </c>
      <c r="K1143" t="s">
        <v>150</v>
      </c>
      <c r="L1143" t="s">
        <v>1395</v>
      </c>
      <c r="M1143" t="s">
        <v>1444</v>
      </c>
      <c r="N1143">
        <v>1</v>
      </c>
      <c r="O1143">
        <v>2020</v>
      </c>
      <c r="P1143">
        <v>11126.65155658547</v>
      </c>
      <c r="Q1143">
        <v>4.0938754601769656</v>
      </c>
      <c r="R1143" t="s">
        <v>109</v>
      </c>
      <c r="S1143">
        <v>2717.8773914398698</v>
      </c>
      <c r="T1143">
        <v>0.84</v>
      </c>
      <c r="U1143" t="s">
        <v>227</v>
      </c>
      <c r="V1143">
        <v>0.84</v>
      </c>
      <c r="W1143">
        <v>18</v>
      </c>
      <c r="X1143">
        <v>28</v>
      </c>
      <c r="Y1143">
        <v>24</v>
      </c>
      <c r="Z1143">
        <v>0.10652957206919771</v>
      </c>
      <c r="AA1143">
        <v>31.536000000000001</v>
      </c>
    </row>
    <row r="1144" spans="1:27" x14ac:dyDescent="0.25">
      <c r="A1144" t="s">
        <v>98</v>
      </c>
      <c r="B1144" t="s">
        <v>99</v>
      </c>
      <c r="C1144" t="s">
        <v>1367</v>
      </c>
      <c r="D1144" t="s">
        <v>101</v>
      </c>
      <c r="E1144" t="s">
        <v>179</v>
      </c>
      <c r="F1144" t="s">
        <v>224</v>
      </c>
      <c r="G1144" t="s">
        <v>103</v>
      </c>
      <c r="H1144" t="s">
        <v>148</v>
      </c>
      <c r="I1144">
        <v>2022</v>
      </c>
      <c r="J1144" t="s">
        <v>294</v>
      </c>
      <c r="K1144" t="s">
        <v>150</v>
      </c>
      <c r="L1144" t="s">
        <v>1395</v>
      </c>
      <c r="M1144" t="s">
        <v>1445</v>
      </c>
      <c r="N1144">
        <v>1</v>
      </c>
      <c r="O1144">
        <v>2022</v>
      </c>
      <c r="P1144">
        <v>11492.45927899376</v>
      </c>
      <c r="Q1144">
        <v>4.0938754601769656</v>
      </c>
      <c r="R1144" t="s">
        <v>109</v>
      </c>
      <c r="S1144">
        <v>2807.2322645830991</v>
      </c>
      <c r="T1144">
        <v>0.86</v>
      </c>
      <c r="U1144" t="s">
        <v>227</v>
      </c>
      <c r="V1144">
        <v>0.86</v>
      </c>
      <c r="W1144">
        <v>18</v>
      </c>
      <c r="X1144">
        <v>28</v>
      </c>
      <c r="Y1144">
        <v>24</v>
      </c>
      <c r="Z1144">
        <v>0.10652957206919771</v>
      </c>
      <c r="AA1144">
        <v>31.536000000000001</v>
      </c>
    </row>
    <row r="1145" spans="1:27" x14ac:dyDescent="0.25">
      <c r="A1145" t="s">
        <v>98</v>
      </c>
      <c r="B1145" t="s">
        <v>99</v>
      </c>
      <c r="C1145" t="s">
        <v>1367</v>
      </c>
      <c r="D1145" t="s">
        <v>101</v>
      </c>
      <c r="E1145" t="s">
        <v>179</v>
      </c>
      <c r="F1145" t="s">
        <v>224</v>
      </c>
      <c r="G1145" t="s">
        <v>111</v>
      </c>
      <c r="H1145" t="s">
        <v>148</v>
      </c>
      <c r="I1145">
        <v>2016</v>
      </c>
      <c r="J1145" t="s">
        <v>296</v>
      </c>
      <c r="K1145" t="s">
        <v>150</v>
      </c>
      <c r="L1145" t="s">
        <v>1395</v>
      </c>
      <c r="M1145" t="s">
        <v>1446</v>
      </c>
      <c r="N1145">
        <v>1</v>
      </c>
      <c r="O1145">
        <v>2020</v>
      </c>
      <c r="P1145">
        <v>11126.65155658547</v>
      </c>
      <c r="Q1145">
        <v>4.0938754601769656</v>
      </c>
      <c r="R1145" t="s">
        <v>109</v>
      </c>
      <c r="S1145">
        <v>2717.8773914398698</v>
      </c>
      <c r="T1145">
        <v>0.84</v>
      </c>
      <c r="U1145" t="s">
        <v>227</v>
      </c>
      <c r="V1145">
        <v>0.84</v>
      </c>
      <c r="W1145">
        <v>18</v>
      </c>
      <c r="X1145">
        <v>28</v>
      </c>
      <c r="Y1145">
        <v>24</v>
      </c>
      <c r="Z1145">
        <v>0.10652957206919771</v>
      </c>
      <c r="AA1145">
        <v>31.536000000000001</v>
      </c>
    </row>
    <row r="1146" spans="1:27" x14ac:dyDescent="0.25">
      <c r="A1146" t="s">
        <v>98</v>
      </c>
      <c r="B1146" t="s">
        <v>99</v>
      </c>
      <c r="C1146" t="s">
        <v>1367</v>
      </c>
      <c r="D1146" t="s">
        <v>101</v>
      </c>
      <c r="E1146" t="s">
        <v>179</v>
      </c>
      <c r="F1146" t="s">
        <v>224</v>
      </c>
      <c r="G1146" t="s">
        <v>111</v>
      </c>
      <c r="H1146" t="s">
        <v>148</v>
      </c>
      <c r="I1146">
        <v>2022</v>
      </c>
      <c r="J1146" t="s">
        <v>298</v>
      </c>
      <c r="K1146" t="s">
        <v>150</v>
      </c>
      <c r="L1146" t="s">
        <v>1395</v>
      </c>
      <c r="M1146" t="s">
        <v>1447</v>
      </c>
      <c r="N1146">
        <v>1</v>
      </c>
      <c r="O1146">
        <v>2022</v>
      </c>
      <c r="P1146">
        <v>11492.45927899376</v>
      </c>
      <c r="Q1146">
        <v>4.0938754601769656</v>
      </c>
      <c r="R1146" t="s">
        <v>109</v>
      </c>
      <c r="S1146">
        <v>2807.2322645830991</v>
      </c>
      <c r="T1146">
        <v>0.86</v>
      </c>
      <c r="U1146" t="s">
        <v>227</v>
      </c>
      <c r="V1146">
        <v>0.86</v>
      </c>
      <c r="W1146">
        <v>18</v>
      </c>
      <c r="X1146">
        <v>28</v>
      </c>
      <c r="Y1146">
        <v>24</v>
      </c>
      <c r="Z1146">
        <v>0.10652957206919771</v>
      </c>
      <c r="AA1146">
        <v>31.536000000000001</v>
      </c>
    </row>
    <row r="1147" spans="1:27" x14ac:dyDescent="0.25">
      <c r="A1147" t="s">
        <v>98</v>
      </c>
      <c r="B1147" t="s">
        <v>99</v>
      </c>
      <c r="C1147" t="s">
        <v>1367</v>
      </c>
      <c r="D1147" t="s">
        <v>101</v>
      </c>
      <c r="E1147" t="s">
        <v>179</v>
      </c>
      <c r="F1147" t="s">
        <v>224</v>
      </c>
      <c r="G1147" t="s">
        <v>114</v>
      </c>
      <c r="H1147" t="s">
        <v>148</v>
      </c>
      <c r="I1147">
        <v>2016</v>
      </c>
      <c r="J1147" t="s">
        <v>300</v>
      </c>
      <c r="K1147" t="s">
        <v>150</v>
      </c>
      <c r="L1147" t="s">
        <v>1395</v>
      </c>
      <c r="M1147" t="s">
        <v>1448</v>
      </c>
      <c r="N1147">
        <v>1</v>
      </c>
      <c r="O1147">
        <v>2020</v>
      </c>
      <c r="P1147">
        <v>11492.45927899376</v>
      </c>
      <c r="Q1147">
        <v>4.0938754601769656</v>
      </c>
      <c r="R1147" t="s">
        <v>109</v>
      </c>
      <c r="S1147">
        <v>2807.2322645830991</v>
      </c>
      <c r="T1147">
        <v>0.87</v>
      </c>
      <c r="U1147" t="s">
        <v>227</v>
      </c>
      <c r="V1147">
        <v>0.87</v>
      </c>
      <c r="W1147">
        <v>18</v>
      </c>
      <c r="X1147">
        <v>28</v>
      </c>
      <c r="Y1147">
        <v>24</v>
      </c>
      <c r="Z1147">
        <v>0.10652957206919771</v>
      </c>
      <c r="AA1147">
        <v>31.536000000000001</v>
      </c>
    </row>
    <row r="1148" spans="1:27" x14ac:dyDescent="0.25">
      <c r="A1148" t="s">
        <v>98</v>
      </c>
      <c r="B1148" t="s">
        <v>99</v>
      </c>
      <c r="C1148" t="s">
        <v>1367</v>
      </c>
      <c r="D1148" t="s">
        <v>101</v>
      </c>
      <c r="E1148" t="s">
        <v>179</v>
      </c>
      <c r="F1148" t="s">
        <v>224</v>
      </c>
      <c r="G1148" t="s">
        <v>119</v>
      </c>
      <c r="H1148" t="s">
        <v>148</v>
      </c>
      <c r="I1148">
        <v>2016</v>
      </c>
      <c r="J1148" t="s">
        <v>302</v>
      </c>
      <c r="K1148" t="s">
        <v>150</v>
      </c>
      <c r="L1148" t="s">
        <v>1395</v>
      </c>
      <c r="M1148" t="s">
        <v>1449</v>
      </c>
      <c r="N1148">
        <v>1</v>
      </c>
      <c r="O1148">
        <v>2020</v>
      </c>
      <c r="P1148">
        <v>13961.66140524971</v>
      </c>
      <c r="Q1148">
        <v>4.0938754601769656</v>
      </c>
      <c r="R1148" t="s">
        <v>109</v>
      </c>
      <c r="S1148">
        <v>3410.3776582998921</v>
      </c>
      <c r="T1148">
        <v>0.9</v>
      </c>
      <c r="U1148" t="s">
        <v>227</v>
      </c>
      <c r="V1148">
        <v>0.9</v>
      </c>
      <c r="W1148">
        <v>18</v>
      </c>
      <c r="X1148">
        <v>28</v>
      </c>
      <c r="Y1148">
        <v>24</v>
      </c>
      <c r="Z1148">
        <v>0.10652957206919771</v>
      </c>
      <c r="AA1148">
        <v>31.536000000000001</v>
      </c>
    </row>
    <row r="1149" spans="1:27" x14ac:dyDescent="0.25">
      <c r="A1149" t="s">
        <v>98</v>
      </c>
      <c r="B1149" t="s">
        <v>99</v>
      </c>
      <c r="C1149" t="s">
        <v>1367</v>
      </c>
      <c r="D1149" t="s">
        <v>101</v>
      </c>
      <c r="E1149" t="s">
        <v>304</v>
      </c>
      <c r="F1149" t="s">
        <v>180</v>
      </c>
      <c r="G1149" t="s">
        <v>111</v>
      </c>
      <c r="H1149" t="s">
        <v>104</v>
      </c>
      <c r="I1149">
        <v>2016</v>
      </c>
      <c r="J1149" t="s">
        <v>305</v>
      </c>
      <c r="K1149" t="s">
        <v>106</v>
      </c>
      <c r="L1149" t="s">
        <v>1450</v>
      </c>
      <c r="M1149" t="s">
        <v>1451</v>
      </c>
      <c r="N1149">
        <v>0</v>
      </c>
      <c r="O1149">
        <v>2020</v>
      </c>
      <c r="P1149">
        <v>8291.641707921226</v>
      </c>
      <c r="Q1149">
        <v>2.764334235731762</v>
      </c>
      <c r="R1149" t="s">
        <v>109</v>
      </c>
      <c r="S1149">
        <v>2999.507657483503</v>
      </c>
      <c r="T1149">
        <v>0.6</v>
      </c>
      <c r="U1149" t="s">
        <v>184</v>
      </c>
      <c r="V1149">
        <v>0.6</v>
      </c>
      <c r="W1149">
        <v>12</v>
      </c>
      <c r="X1149">
        <v>18</v>
      </c>
      <c r="Y1149">
        <v>16</v>
      </c>
      <c r="Z1149">
        <v>6.1608679451578198E-2</v>
      </c>
      <c r="AA1149">
        <v>31.536000000000001</v>
      </c>
    </row>
    <row r="1150" spans="1:27" x14ac:dyDescent="0.25">
      <c r="A1150" t="s">
        <v>98</v>
      </c>
      <c r="B1150" t="s">
        <v>99</v>
      </c>
      <c r="C1150" t="s">
        <v>1367</v>
      </c>
      <c r="D1150" t="s">
        <v>101</v>
      </c>
      <c r="E1150" t="s">
        <v>304</v>
      </c>
      <c r="F1150" t="s">
        <v>180</v>
      </c>
      <c r="G1150" t="s">
        <v>111</v>
      </c>
      <c r="H1150" t="s">
        <v>104</v>
      </c>
      <c r="I1150">
        <v>2020</v>
      </c>
      <c r="J1150" t="s">
        <v>308</v>
      </c>
      <c r="K1150" t="s">
        <v>106</v>
      </c>
      <c r="L1150" t="s">
        <v>1450</v>
      </c>
      <c r="M1150" t="s">
        <v>1451</v>
      </c>
      <c r="N1150">
        <v>1</v>
      </c>
      <c r="O1150">
        <v>2020</v>
      </c>
      <c r="P1150">
        <v>8291.641707921226</v>
      </c>
      <c r="Q1150">
        <v>2.764334235731762</v>
      </c>
      <c r="R1150" t="s">
        <v>109</v>
      </c>
      <c r="S1150">
        <v>2999.507657483503</v>
      </c>
      <c r="T1150">
        <v>0.7</v>
      </c>
      <c r="U1150" t="s">
        <v>184</v>
      </c>
      <c r="V1150">
        <v>0.7</v>
      </c>
      <c r="W1150">
        <v>12</v>
      </c>
      <c r="X1150">
        <v>18</v>
      </c>
      <c r="Y1150">
        <v>16</v>
      </c>
      <c r="Z1150">
        <v>6.1608679451578198E-2</v>
      </c>
      <c r="AA1150">
        <v>31.536000000000001</v>
      </c>
    </row>
    <row r="1151" spans="1:27" x14ac:dyDescent="0.25">
      <c r="A1151" t="s">
        <v>98</v>
      </c>
      <c r="B1151" t="s">
        <v>99</v>
      </c>
      <c r="C1151" t="s">
        <v>1367</v>
      </c>
      <c r="D1151" t="s">
        <v>101</v>
      </c>
      <c r="E1151" t="s">
        <v>304</v>
      </c>
      <c r="F1151" t="s">
        <v>180</v>
      </c>
      <c r="G1151" t="s">
        <v>103</v>
      </c>
      <c r="H1151" t="s">
        <v>125</v>
      </c>
      <c r="I1151">
        <v>2016</v>
      </c>
      <c r="J1151" t="s">
        <v>309</v>
      </c>
      <c r="K1151" t="s">
        <v>127</v>
      </c>
      <c r="L1151" t="s">
        <v>1450</v>
      </c>
      <c r="M1151" t="s">
        <v>1452</v>
      </c>
      <c r="N1151">
        <v>1</v>
      </c>
      <c r="O1151">
        <v>2020</v>
      </c>
      <c r="P1151">
        <v>2956.9457561336731</v>
      </c>
      <c r="Q1151">
        <v>2.764334235731762</v>
      </c>
      <c r="R1151" t="s">
        <v>109</v>
      </c>
      <c r="S1151">
        <v>1069.6773631466911</v>
      </c>
      <c r="T1151">
        <v>4.1031652989449006</v>
      </c>
      <c r="U1151" t="s">
        <v>184</v>
      </c>
      <c r="V1151">
        <v>4.1031652989449006</v>
      </c>
      <c r="W1151">
        <v>9</v>
      </c>
      <c r="X1151">
        <v>22</v>
      </c>
      <c r="Y1151">
        <v>16</v>
      </c>
      <c r="Z1151">
        <v>6.1608679451578198E-2</v>
      </c>
      <c r="AA1151">
        <v>31.536000000000001</v>
      </c>
    </row>
    <row r="1152" spans="1:27" x14ac:dyDescent="0.25">
      <c r="A1152" t="s">
        <v>98</v>
      </c>
      <c r="B1152" t="s">
        <v>99</v>
      </c>
      <c r="C1152" t="s">
        <v>1367</v>
      </c>
      <c r="D1152" t="s">
        <v>101</v>
      </c>
      <c r="E1152" t="s">
        <v>304</v>
      </c>
      <c r="F1152" t="s">
        <v>180</v>
      </c>
      <c r="G1152" t="s">
        <v>103</v>
      </c>
      <c r="H1152" t="s">
        <v>125</v>
      </c>
      <c r="I1152">
        <v>2023</v>
      </c>
      <c r="J1152" t="s">
        <v>311</v>
      </c>
      <c r="K1152" t="s">
        <v>127</v>
      </c>
      <c r="L1152" t="s">
        <v>1450</v>
      </c>
      <c r="M1152" t="s">
        <v>1453</v>
      </c>
      <c r="N1152">
        <v>1</v>
      </c>
      <c r="O1152">
        <v>2023</v>
      </c>
      <c r="P1152">
        <v>2956.9457561336731</v>
      </c>
      <c r="Q1152">
        <v>2.764334235731762</v>
      </c>
      <c r="R1152" t="s">
        <v>109</v>
      </c>
      <c r="S1152">
        <v>1069.6773631466911</v>
      </c>
      <c r="T1152">
        <v>4.1031652989449006</v>
      </c>
      <c r="U1152" t="s">
        <v>184</v>
      </c>
      <c r="V1152">
        <v>4.1031652989449006</v>
      </c>
      <c r="W1152">
        <v>9</v>
      </c>
      <c r="X1152">
        <v>22</v>
      </c>
      <c r="Y1152">
        <v>16</v>
      </c>
      <c r="Z1152">
        <v>6.1608679451578198E-2</v>
      </c>
      <c r="AA1152">
        <v>31.536000000000001</v>
      </c>
    </row>
    <row r="1153" spans="1:27" x14ac:dyDescent="0.25">
      <c r="A1153" t="s">
        <v>98</v>
      </c>
      <c r="B1153" t="s">
        <v>99</v>
      </c>
      <c r="C1153" t="s">
        <v>1367</v>
      </c>
      <c r="D1153" t="s">
        <v>101</v>
      </c>
      <c r="E1153" t="s">
        <v>304</v>
      </c>
      <c r="F1153" t="s">
        <v>180</v>
      </c>
      <c r="G1153" t="s">
        <v>111</v>
      </c>
      <c r="H1153" t="s">
        <v>125</v>
      </c>
      <c r="I1153">
        <v>2016</v>
      </c>
      <c r="J1153" t="s">
        <v>313</v>
      </c>
      <c r="K1153" t="s">
        <v>127</v>
      </c>
      <c r="L1153" t="s">
        <v>1450</v>
      </c>
      <c r="M1153" t="s">
        <v>1454</v>
      </c>
      <c r="N1153">
        <v>1</v>
      </c>
      <c r="O1153">
        <v>2020</v>
      </c>
      <c r="P1153">
        <v>3109.3656404704602</v>
      </c>
      <c r="Q1153">
        <v>2.764334235731762</v>
      </c>
      <c r="R1153" t="s">
        <v>109</v>
      </c>
      <c r="S1153">
        <v>1124.8153715563139</v>
      </c>
      <c r="T1153">
        <v>4.484173505275499</v>
      </c>
      <c r="U1153" t="s">
        <v>184</v>
      </c>
      <c r="V1153">
        <v>4.484173505275499</v>
      </c>
      <c r="W1153">
        <v>9</v>
      </c>
      <c r="X1153">
        <v>22</v>
      </c>
      <c r="Y1153">
        <v>16</v>
      </c>
      <c r="Z1153">
        <v>6.1608679451578198E-2</v>
      </c>
      <c r="AA1153">
        <v>31.536000000000001</v>
      </c>
    </row>
    <row r="1154" spans="1:27" x14ac:dyDescent="0.25">
      <c r="A1154" t="s">
        <v>98</v>
      </c>
      <c r="B1154" t="s">
        <v>99</v>
      </c>
      <c r="C1154" t="s">
        <v>1367</v>
      </c>
      <c r="D1154" t="s">
        <v>101</v>
      </c>
      <c r="E1154" t="s">
        <v>304</v>
      </c>
      <c r="F1154" t="s">
        <v>180</v>
      </c>
      <c r="G1154" t="s">
        <v>111</v>
      </c>
      <c r="H1154" t="s">
        <v>125</v>
      </c>
      <c r="I1154">
        <v>2023</v>
      </c>
      <c r="J1154" t="s">
        <v>315</v>
      </c>
      <c r="K1154" t="s">
        <v>127</v>
      </c>
      <c r="L1154" t="s">
        <v>1450</v>
      </c>
      <c r="M1154" t="s">
        <v>1455</v>
      </c>
      <c r="N1154">
        <v>1</v>
      </c>
      <c r="O1154">
        <v>2023</v>
      </c>
      <c r="P1154">
        <v>3139.8496173378171</v>
      </c>
      <c r="Q1154">
        <v>2.764334235731762</v>
      </c>
      <c r="R1154" t="s">
        <v>109</v>
      </c>
      <c r="S1154">
        <v>1135.8429732382381</v>
      </c>
      <c r="T1154">
        <v>4.6307151230949586</v>
      </c>
      <c r="U1154" t="s">
        <v>184</v>
      </c>
      <c r="V1154">
        <v>4.6307151230949586</v>
      </c>
      <c r="W1154">
        <v>9</v>
      </c>
      <c r="X1154">
        <v>22</v>
      </c>
      <c r="Y1154">
        <v>16</v>
      </c>
      <c r="Z1154">
        <v>6.1608679451578198E-2</v>
      </c>
      <c r="AA1154">
        <v>31.536000000000001</v>
      </c>
    </row>
    <row r="1155" spans="1:27" x14ac:dyDescent="0.25">
      <c r="A1155" t="s">
        <v>98</v>
      </c>
      <c r="B1155" t="s">
        <v>99</v>
      </c>
      <c r="C1155" t="s">
        <v>1367</v>
      </c>
      <c r="D1155" t="s">
        <v>101</v>
      </c>
      <c r="E1155" t="s">
        <v>304</v>
      </c>
      <c r="F1155" t="s">
        <v>180</v>
      </c>
      <c r="G1155" t="s">
        <v>114</v>
      </c>
      <c r="H1155" t="s">
        <v>125</v>
      </c>
      <c r="I1155">
        <v>2016</v>
      </c>
      <c r="J1155" t="s">
        <v>317</v>
      </c>
      <c r="K1155" t="s">
        <v>127</v>
      </c>
      <c r="L1155" t="s">
        <v>1450</v>
      </c>
      <c r="M1155" t="s">
        <v>1456</v>
      </c>
      <c r="N1155">
        <v>1</v>
      </c>
      <c r="O1155">
        <v>2020</v>
      </c>
      <c r="P1155">
        <v>3017.9137098683868</v>
      </c>
      <c r="Q1155">
        <v>2.764334235731762</v>
      </c>
      <c r="R1155" t="s">
        <v>109</v>
      </c>
      <c r="S1155">
        <v>1091.73256651054</v>
      </c>
      <c r="T1155">
        <v>4.3962485345838216</v>
      </c>
      <c r="U1155" t="s">
        <v>184</v>
      </c>
      <c r="V1155">
        <v>4.3962485345838216</v>
      </c>
      <c r="W1155">
        <v>9</v>
      </c>
      <c r="X1155">
        <v>22</v>
      </c>
      <c r="Y1155">
        <v>16</v>
      </c>
      <c r="Z1155">
        <v>6.1608679451578198E-2</v>
      </c>
      <c r="AA1155">
        <v>31.536000000000001</v>
      </c>
    </row>
    <row r="1156" spans="1:27" x14ac:dyDescent="0.25">
      <c r="A1156" t="s">
        <v>98</v>
      </c>
      <c r="B1156" t="s">
        <v>99</v>
      </c>
      <c r="C1156" t="s">
        <v>1367</v>
      </c>
      <c r="D1156" t="s">
        <v>101</v>
      </c>
      <c r="E1156" t="s">
        <v>304</v>
      </c>
      <c r="F1156" t="s">
        <v>180</v>
      </c>
      <c r="G1156" t="s">
        <v>114</v>
      </c>
      <c r="H1156" t="s">
        <v>125</v>
      </c>
      <c r="I1156">
        <v>2022</v>
      </c>
      <c r="J1156" t="s">
        <v>319</v>
      </c>
      <c r="K1156" t="s">
        <v>127</v>
      </c>
      <c r="L1156" t="s">
        <v>1450</v>
      </c>
      <c r="M1156" t="s">
        <v>1457</v>
      </c>
      <c r="N1156">
        <v>1</v>
      </c>
      <c r="O1156">
        <v>2022</v>
      </c>
      <c r="P1156">
        <v>3017.9137098683868</v>
      </c>
      <c r="Q1156">
        <v>2.764334235731762</v>
      </c>
      <c r="R1156" t="s">
        <v>109</v>
      </c>
      <c r="S1156">
        <v>1091.73256651054</v>
      </c>
      <c r="T1156">
        <v>4.3962485345838216</v>
      </c>
      <c r="U1156" t="s">
        <v>184</v>
      </c>
      <c r="V1156">
        <v>4.3962485345838216</v>
      </c>
      <c r="W1156">
        <v>9</v>
      </c>
      <c r="X1156">
        <v>22</v>
      </c>
      <c r="Y1156">
        <v>16</v>
      </c>
      <c r="Z1156">
        <v>6.1608679451578198E-2</v>
      </c>
      <c r="AA1156">
        <v>31.536000000000001</v>
      </c>
    </row>
    <row r="1157" spans="1:27" x14ac:dyDescent="0.25">
      <c r="A1157" t="s">
        <v>98</v>
      </c>
      <c r="B1157" t="s">
        <v>99</v>
      </c>
      <c r="C1157" t="s">
        <v>1367</v>
      </c>
      <c r="D1157" t="s">
        <v>101</v>
      </c>
      <c r="E1157" t="s">
        <v>304</v>
      </c>
      <c r="F1157" t="s">
        <v>180</v>
      </c>
      <c r="G1157" t="s">
        <v>114</v>
      </c>
      <c r="H1157" t="s">
        <v>125</v>
      </c>
      <c r="I1157">
        <v>2023</v>
      </c>
      <c r="J1157" t="s">
        <v>321</v>
      </c>
      <c r="K1157" t="s">
        <v>127</v>
      </c>
      <c r="L1157" t="s">
        <v>1450</v>
      </c>
      <c r="M1157" t="s">
        <v>1458</v>
      </c>
      <c r="N1157">
        <v>1</v>
      </c>
      <c r="O1157">
        <v>2023</v>
      </c>
      <c r="P1157">
        <v>3266.447780092843</v>
      </c>
      <c r="Q1157">
        <v>2.764334235731762</v>
      </c>
      <c r="R1157" t="s">
        <v>109</v>
      </c>
      <c r="S1157">
        <v>1181.639954340819</v>
      </c>
      <c r="T1157">
        <v>4.6893317702227444</v>
      </c>
      <c r="U1157" t="s">
        <v>184</v>
      </c>
      <c r="V1157">
        <v>4.6893317702227444</v>
      </c>
      <c r="W1157">
        <v>9</v>
      </c>
      <c r="X1157">
        <v>22</v>
      </c>
      <c r="Y1157">
        <v>16</v>
      </c>
      <c r="Z1157">
        <v>6.1608679451578198E-2</v>
      </c>
      <c r="AA1157">
        <v>31.536000000000001</v>
      </c>
    </row>
    <row r="1158" spans="1:27" x14ac:dyDescent="0.25">
      <c r="A1158" t="s">
        <v>98</v>
      </c>
      <c r="B1158" t="s">
        <v>99</v>
      </c>
      <c r="C1158" t="s">
        <v>1367</v>
      </c>
      <c r="D1158" t="s">
        <v>101</v>
      </c>
      <c r="E1158" t="s">
        <v>304</v>
      </c>
      <c r="F1158" t="s">
        <v>180</v>
      </c>
      <c r="G1158" t="s">
        <v>119</v>
      </c>
      <c r="H1158" t="s">
        <v>125</v>
      </c>
      <c r="I1158">
        <v>2016</v>
      </c>
      <c r="J1158" t="s">
        <v>323</v>
      </c>
      <c r="K1158" t="s">
        <v>127</v>
      </c>
      <c r="L1158" t="s">
        <v>1450</v>
      </c>
      <c r="M1158" t="s">
        <v>1459</v>
      </c>
      <c r="N1158">
        <v>1</v>
      </c>
      <c r="O1158">
        <v>2020</v>
      </c>
      <c r="P1158">
        <v>3719.0451778176089</v>
      </c>
      <c r="Q1158">
        <v>2.764334235731762</v>
      </c>
      <c r="R1158" t="s">
        <v>109</v>
      </c>
      <c r="S1158">
        <v>1345.3674051948069</v>
      </c>
      <c r="T1158">
        <v>5.5685814771395066</v>
      </c>
      <c r="U1158" t="s">
        <v>184</v>
      </c>
      <c r="V1158">
        <v>5.5685814771395066</v>
      </c>
      <c r="W1158">
        <v>9</v>
      </c>
      <c r="X1158">
        <v>22</v>
      </c>
      <c r="Y1158">
        <v>16</v>
      </c>
      <c r="Z1158">
        <v>6.1608679451578198E-2</v>
      </c>
      <c r="AA1158">
        <v>31.536000000000001</v>
      </c>
    </row>
    <row r="1159" spans="1:27" x14ac:dyDescent="0.25">
      <c r="A1159" t="s">
        <v>98</v>
      </c>
      <c r="B1159" t="s">
        <v>99</v>
      </c>
      <c r="C1159" t="s">
        <v>1367</v>
      </c>
      <c r="D1159" t="s">
        <v>101</v>
      </c>
      <c r="E1159" t="s">
        <v>304</v>
      </c>
      <c r="F1159" t="s">
        <v>180</v>
      </c>
      <c r="G1159" t="s">
        <v>119</v>
      </c>
      <c r="H1159" t="s">
        <v>125</v>
      </c>
      <c r="I1159">
        <v>2022</v>
      </c>
      <c r="J1159" t="s">
        <v>325</v>
      </c>
      <c r="K1159" t="s">
        <v>127</v>
      </c>
      <c r="L1159" t="s">
        <v>1450</v>
      </c>
      <c r="M1159" t="s">
        <v>1460</v>
      </c>
      <c r="N1159">
        <v>1</v>
      </c>
      <c r="O1159">
        <v>2022</v>
      </c>
      <c r="P1159">
        <v>3914.784397702746</v>
      </c>
      <c r="Q1159">
        <v>2.764334235731762</v>
      </c>
      <c r="R1159" t="s">
        <v>109</v>
      </c>
      <c r="S1159">
        <v>1416.1762159945331</v>
      </c>
      <c r="T1159">
        <v>5.8616647127784294</v>
      </c>
      <c r="U1159" t="s">
        <v>184</v>
      </c>
      <c r="V1159">
        <v>5.8616647127784294</v>
      </c>
      <c r="W1159">
        <v>9</v>
      </c>
      <c r="X1159">
        <v>22</v>
      </c>
      <c r="Y1159">
        <v>16</v>
      </c>
      <c r="Z1159">
        <v>6.1608679451578198E-2</v>
      </c>
      <c r="AA1159">
        <v>31.536000000000001</v>
      </c>
    </row>
    <row r="1160" spans="1:27" x14ac:dyDescent="0.25">
      <c r="A1160" t="s">
        <v>98</v>
      </c>
      <c r="B1160" t="s">
        <v>99</v>
      </c>
      <c r="C1160" t="s">
        <v>1367</v>
      </c>
      <c r="D1160" t="s">
        <v>101</v>
      </c>
      <c r="E1160" t="s">
        <v>304</v>
      </c>
      <c r="F1160" t="s">
        <v>201</v>
      </c>
      <c r="G1160" t="s">
        <v>103</v>
      </c>
      <c r="H1160" t="s">
        <v>125</v>
      </c>
      <c r="I1160">
        <v>2016</v>
      </c>
      <c r="J1160" t="s">
        <v>327</v>
      </c>
      <c r="K1160" t="s">
        <v>127</v>
      </c>
      <c r="L1160" t="s">
        <v>1450</v>
      </c>
      <c r="M1160" t="s">
        <v>1461</v>
      </c>
      <c r="N1160">
        <v>1</v>
      </c>
      <c r="O1160">
        <v>2020</v>
      </c>
      <c r="P1160">
        <v>9511.0007826155233</v>
      </c>
      <c r="Q1160">
        <v>2.764334235731762</v>
      </c>
      <c r="R1160" t="s">
        <v>109</v>
      </c>
      <c r="S1160">
        <v>3440.6117247604889</v>
      </c>
      <c r="T1160">
        <v>14.1</v>
      </c>
      <c r="U1160" t="s">
        <v>329</v>
      </c>
      <c r="V1160">
        <v>4.1348973607038122</v>
      </c>
      <c r="W1160">
        <v>8</v>
      </c>
      <c r="X1160">
        <v>20.8</v>
      </c>
      <c r="Y1160">
        <v>15</v>
      </c>
      <c r="Z1160">
        <v>6.1608679451578198E-2</v>
      </c>
      <c r="AA1160">
        <v>31.536000000000001</v>
      </c>
    </row>
    <row r="1161" spans="1:27" x14ac:dyDescent="0.25">
      <c r="A1161" t="s">
        <v>98</v>
      </c>
      <c r="B1161" t="s">
        <v>99</v>
      </c>
      <c r="C1161" t="s">
        <v>1367</v>
      </c>
      <c r="D1161" t="s">
        <v>101</v>
      </c>
      <c r="E1161" t="s">
        <v>304</v>
      </c>
      <c r="F1161" t="s">
        <v>201</v>
      </c>
      <c r="G1161" t="s">
        <v>111</v>
      </c>
      <c r="H1161" t="s">
        <v>125</v>
      </c>
      <c r="I1161">
        <v>2016</v>
      </c>
      <c r="J1161" t="s">
        <v>330</v>
      </c>
      <c r="K1161" t="s">
        <v>127</v>
      </c>
      <c r="L1161" t="s">
        <v>1450</v>
      </c>
      <c r="M1161" t="s">
        <v>1462</v>
      </c>
      <c r="N1161">
        <v>1</v>
      </c>
      <c r="O1161">
        <v>2020</v>
      </c>
      <c r="P1161">
        <v>9846.3245281564559</v>
      </c>
      <c r="Q1161">
        <v>2.764334235731762</v>
      </c>
      <c r="R1161" t="s">
        <v>109</v>
      </c>
      <c r="S1161">
        <v>3561.9153432616599</v>
      </c>
      <c r="T1161">
        <v>17.3</v>
      </c>
      <c r="U1161" t="s">
        <v>329</v>
      </c>
      <c r="V1161">
        <v>5.0733137829912023</v>
      </c>
      <c r="W1161">
        <v>8</v>
      </c>
      <c r="X1161">
        <v>20.8</v>
      </c>
      <c r="Y1161">
        <v>15</v>
      </c>
      <c r="Z1161">
        <v>6.1608679451578198E-2</v>
      </c>
      <c r="AA1161">
        <v>31.536000000000001</v>
      </c>
    </row>
    <row r="1162" spans="1:27" x14ac:dyDescent="0.25">
      <c r="A1162" t="s">
        <v>98</v>
      </c>
      <c r="B1162" t="s">
        <v>99</v>
      </c>
      <c r="C1162" t="s">
        <v>1367</v>
      </c>
      <c r="D1162" t="s">
        <v>101</v>
      </c>
      <c r="E1162" t="s">
        <v>304</v>
      </c>
      <c r="F1162" t="s">
        <v>201</v>
      </c>
      <c r="G1162" t="s">
        <v>114</v>
      </c>
      <c r="H1162" t="s">
        <v>125</v>
      </c>
      <c r="I1162">
        <v>2016</v>
      </c>
      <c r="J1162" t="s">
        <v>332</v>
      </c>
      <c r="K1162" t="s">
        <v>127</v>
      </c>
      <c r="L1162" t="s">
        <v>1450</v>
      </c>
      <c r="M1162" t="s">
        <v>1463</v>
      </c>
      <c r="N1162">
        <v>0</v>
      </c>
      <c r="O1162">
        <v>2020</v>
      </c>
      <c r="P1162">
        <v>9846.3245281564559</v>
      </c>
      <c r="Q1162">
        <v>2.764334235731762</v>
      </c>
      <c r="R1162" t="s">
        <v>109</v>
      </c>
      <c r="S1162">
        <v>3561.9153432616599</v>
      </c>
      <c r="T1162">
        <v>17.100000000000001</v>
      </c>
      <c r="U1162" t="s">
        <v>329</v>
      </c>
      <c r="V1162">
        <v>5.0146627565982396</v>
      </c>
      <c r="W1162">
        <v>8</v>
      </c>
      <c r="X1162">
        <v>20.8</v>
      </c>
      <c r="Y1162">
        <v>15</v>
      </c>
      <c r="Z1162">
        <v>6.1608679451578198E-2</v>
      </c>
      <c r="AA1162">
        <v>31.536000000000001</v>
      </c>
    </row>
    <row r="1163" spans="1:27" x14ac:dyDescent="0.25">
      <c r="A1163" t="s">
        <v>98</v>
      </c>
      <c r="B1163" t="s">
        <v>99</v>
      </c>
      <c r="C1163" t="s">
        <v>1367</v>
      </c>
      <c r="D1163" t="s">
        <v>101</v>
      </c>
      <c r="E1163" t="s">
        <v>304</v>
      </c>
      <c r="F1163" t="s">
        <v>201</v>
      </c>
      <c r="G1163" t="s">
        <v>114</v>
      </c>
      <c r="H1163" t="s">
        <v>125</v>
      </c>
      <c r="I1163">
        <v>2020</v>
      </c>
      <c r="J1163" t="s">
        <v>334</v>
      </c>
      <c r="K1163" t="s">
        <v>127</v>
      </c>
      <c r="L1163" t="s">
        <v>1450</v>
      </c>
      <c r="M1163" t="s">
        <v>1463</v>
      </c>
      <c r="N1163">
        <v>1</v>
      </c>
      <c r="O1163">
        <v>2020</v>
      </c>
      <c r="P1163">
        <v>9846.3245281564559</v>
      </c>
      <c r="Q1163">
        <v>2.764334235731762</v>
      </c>
      <c r="R1163" t="s">
        <v>109</v>
      </c>
      <c r="S1163">
        <v>3561.9153432616599</v>
      </c>
      <c r="T1163">
        <v>17.100000000000001</v>
      </c>
      <c r="U1163" t="s">
        <v>329</v>
      </c>
      <c r="V1163">
        <v>5.0146627565982396</v>
      </c>
      <c r="W1163">
        <v>8</v>
      </c>
      <c r="X1163">
        <v>20.8</v>
      </c>
      <c r="Y1163">
        <v>15</v>
      </c>
      <c r="Z1163">
        <v>6.1608679451578198E-2</v>
      </c>
      <c r="AA1163">
        <v>31.536000000000001</v>
      </c>
    </row>
    <row r="1164" spans="1:27" x14ac:dyDescent="0.25">
      <c r="A1164" t="s">
        <v>98</v>
      </c>
      <c r="B1164" t="s">
        <v>99</v>
      </c>
      <c r="C1164" t="s">
        <v>1367</v>
      </c>
      <c r="D1164" t="s">
        <v>101</v>
      </c>
      <c r="E1164" t="s">
        <v>304</v>
      </c>
      <c r="F1164" t="s">
        <v>201</v>
      </c>
      <c r="G1164" t="s">
        <v>114</v>
      </c>
      <c r="H1164" t="s">
        <v>125</v>
      </c>
      <c r="I1164">
        <v>2022</v>
      </c>
      <c r="J1164" t="s">
        <v>335</v>
      </c>
      <c r="K1164" t="s">
        <v>127</v>
      </c>
      <c r="L1164" t="s">
        <v>1450</v>
      </c>
      <c r="M1164" t="s">
        <v>1464</v>
      </c>
      <c r="N1164">
        <v>1</v>
      </c>
      <c r="O1164">
        <v>2022</v>
      </c>
      <c r="P1164">
        <v>9846.3245281564559</v>
      </c>
      <c r="Q1164">
        <v>2.764334235731762</v>
      </c>
      <c r="R1164" t="s">
        <v>109</v>
      </c>
      <c r="S1164">
        <v>3561.9153432616599</v>
      </c>
      <c r="T1164">
        <v>17.100000000000001</v>
      </c>
      <c r="U1164" t="s">
        <v>329</v>
      </c>
      <c r="V1164">
        <v>5.0146627565982396</v>
      </c>
      <c r="W1164">
        <v>8</v>
      </c>
      <c r="X1164">
        <v>20.8</v>
      </c>
      <c r="Y1164">
        <v>15</v>
      </c>
      <c r="Z1164">
        <v>6.1608679451578198E-2</v>
      </c>
      <c r="AA1164">
        <v>31.536000000000001</v>
      </c>
    </row>
    <row r="1165" spans="1:27" x14ac:dyDescent="0.25">
      <c r="A1165" t="s">
        <v>98</v>
      </c>
      <c r="B1165" t="s">
        <v>99</v>
      </c>
      <c r="C1165" t="s">
        <v>1367</v>
      </c>
      <c r="D1165" t="s">
        <v>101</v>
      </c>
      <c r="E1165" t="s">
        <v>304</v>
      </c>
      <c r="F1165" t="s">
        <v>201</v>
      </c>
      <c r="G1165" t="s">
        <v>114</v>
      </c>
      <c r="H1165" t="s">
        <v>125</v>
      </c>
      <c r="I1165">
        <v>2023</v>
      </c>
      <c r="J1165" t="s">
        <v>337</v>
      </c>
      <c r="K1165" t="s">
        <v>127</v>
      </c>
      <c r="L1165" t="s">
        <v>1450</v>
      </c>
      <c r="M1165" t="s">
        <v>1465</v>
      </c>
      <c r="N1165">
        <v>1</v>
      </c>
      <c r="O1165">
        <v>2023</v>
      </c>
      <c r="P1165">
        <v>9846.3245281564559</v>
      </c>
      <c r="Q1165">
        <v>2.764334235731762</v>
      </c>
      <c r="R1165" t="s">
        <v>109</v>
      </c>
      <c r="S1165">
        <v>3561.9153432616599</v>
      </c>
      <c r="T1165">
        <v>17.100000000000001</v>
      </c>
      <c r="U1165" t="s">
        <v>329</v>
      </c>
      <c r="V1165">
        <v>5.0146627565982396</v>
      </c>
      <c r="W1165">
        <v>8</v>
      </c>
      <c r="X1165">
        <v>20.8</v>
      </c>
      <c r="Y1165">
        <v>15</v>
      </c>
      <c r="Z1165">
        <v>6.1608679451578198E-2</v>
      </c>
      <c r="AA1165">
        <v>31.536000000000001</v>
      </c>
    </row>
    <row r="1166" spans="1:27" x14ac:dyDescent="0.25">
      <c r="A1166" t="s">
        <v>98</v>
      </c>
      <c r="B1166" t="s">
        <v>99</v>
      </c>
      <c r="C1166" t="s">
        <v>1367</v>
      </c>
      <c r="D1166" t="s">
        <v>101</v>
      </c>
      <c r="E1166" t="s">
        <v>304</v>
      </c>
      <c r="F1166" t="s">
        <v>201</v>
      </c>
      <c r="G1166" t="s">
        <v>114</v>
      </c>
      <c r="H1166" t="s">
        <v>125</v>
      </c>
      <c r="I1166">
        <v>2024</v>
      </c>
      <c r="J1166" t="s">
        <v>339</v>
      </c>
      <c r="K1166" t="s">
        <v>127</v>
      </c>
      <c r="L1166" t="s">
        <v>1450</v>
      </c>
      <c r="M1166" t="s">
        <v>1466</v>
      </c>
      <c r="N1166">
        <v>1</v>
      </c>
      <c r="O1166">
        <v>2024</v>
      </c>
      <c r="P1166">
        <v>9846.3245281564559</v>
      </c>
      <c r="Q1166">
        <v>2.764334235731762</v>
      </c>
      <c r="R1166" t="s">
        <v>109</v>
      </c>
      <c r="S1166">
        <v>3561.9153432616599</v>
      </c>
      <c r="T1166">
        <v>17.100000000000001</v>
      </c>
      <c r="U1166" t="s">
        <v>329</v>
      </c>
      <c r="V1166">
        <v>5.0146627565982396</v>
      </c>
      <c r="W1166">
        <v>8</v>
      </c>
      <c r="X1166">
        <v>20.8</v>
      </c>
      <c r="Y1166">
        <v>15</v>
      </c>
      <c r="Z1166">
        <v>6.1608679451578198E-2</v>
      </c>
      <c r="AA1166">
        <v>31.536000000000001</v>
      </c>
    </row>
    <row r="1167" spans="1:27" x14ac:dyDescent="0.25">
      <c r="A1167" t="s">
        <v>98</v>
      </c>
      <c r="B1167" t="s">
        <v>99</v>
      </c>
      <c r="C1167" t="s">
        <v>1367</v>
      </c>
      <c r="D1167" t="s">
        <v>101</v>
      </c>
      <c r="E1167" t="s">
        <v>304</v>
      </c>
      <c r="F1167" t="s">
        <v>201</v>
      </c>
      <c r="G1167" t="s">
        <v>119</v>
      </c>
      <c r="H1167" t="s">
        <v>125</v>
      </c>
      <c r="I1167">
        <v>2016</v>
      </c>
      <c r="J1167" t="s">
        <v>341</v>
      </c>
      <c r="K1167" t="s">
        <v>127</v>
      </c>
      <c r="L1167" t="s">
        <v>1450</v>
      </c>
      <c r="M1167" t="s">
        <v>1467</v>
      </c>
      <c r="N1167">
        <v>0</v>
      </c>
      <c r="O1167">
        <v>2020</v>
      </c>
      <c r="P1167">
        <v>10395.03611176889</v>
      </c>
      <c r="Q1167">
        <v>2.764334235731762</v>
      </c>
      <c r="R1167" t="s">
        <v>109</v>
      </c>
      <c r="S1167">
        <v>3760.4121735363042</v>
      </c>
      <c r="T1167">
        <v>22.4</v>
      </c>
      <c r="U1167" t="s">
        <v>329</v>
      </c>
      <c r="V1167">
        <v>6.5689149560117297</v>
      </c>
      <c r="W1167">
        <v>8</v>
      </c>
      <c r="X1167">
        <v>20.8</v>
      </c>
      <c r="Y1167">
        <v>15</v>
      </c>
      <c r="Z1167">
        <v>6.1608679451578198E-2</v>
      </c>
      <c r="AA1167">
        <v>31.536000000000001</v>
      </c>
    </row>
    <row r="1168" spans="1:27" x14ac:dyDescent="0.25">
      <c r="A1168" t="s">
        <v>98</v>
      </c>
      <c r="B1168" t="s">
        <v>99</v>
      </c>
      <c r="C1168" t="s">
        <v>1367</v>
      </c>
      <c r="D1168" t="s">
        <v>101</v>
      </c>
      <c r="E1168" t="s">
        <v>304</v>
      </c>
      <c r="F1168" t="s">
        <v>201</v>
      </c>
      <c r="G1168" t="s">
        <v>119</v>
      </c>
      <c r="H1168" t="s">
        <v>125</v>
      </c>
      <c r="I1168">
        <v>2020</v>
      </c>
      <c r="J1168" t="s">
        <v>343</v>
      </c>
      <c r="K1168" t="s">
        <v>127</v>
      </c>
      <c r="L1168" t="s">
        <v>1450</v>
      </c>
      <c r="M1168" t="s">
        <v>1467</v>
      </c>
      <c r="N1168">
        <v>1</v>
      </c>
      <c r="O1168">
        <v>2020</v>
      </c>
      <c r="P1168">
        <v>10395.03611176889</v>
      </c>
      <c r="Q1168">
        <v>2.764334235731762</v>
      </c>
      <c r="R1168" t="s">
        <v>109</v>
      </c>
      <c r="S1168">
        <v>3760.4121735363042</v>
      </c>
      <c r="T1168">
        <v>22.4</v>
      </c>
      <c r="U1168" t="s">
        <v>329</v>
      </c>
      <c r="V1168">
        <v>6.5689149560117297</v>
      </c>
      <c r="W1168">
        <v>8</v>
      </c>
      <c r="X1168">
        <v>20.8</v>
      </c>
      <c r="Y1168">
        <v>15</v>
      </c>
      <c r="Z1168">
        <v>6.1608679451578198E-2</v>
      </c>
      <c r="AA1168">
        <v>31.536000000000001</v>
      </c>
    </row>
    <row r="1169" spans="1:27" x14ac:dyDescent="0.25">
      <c r="A1169" t="s">
        <v>98</v>
      </c>
      <c r="B1169" t="s">
        <v>99</v>
      </c>
      <c r="C1169" t="s">
        <v>1367</v>
      </c>
      <c r="D1169" t="s">
        <v>101</v>
      </c>
      <c r="E1169" t="s">
        <v>304</v>
      </c>
      <c r="F1169" t="s">
        <v>201</v>
      </c>
      <c r="G1169" t="s">
        <v>119</v>
      </c>
      <c r="H1169" t="s">
        <v>125</v>
      </c>
      <c r="I1169">
        <v>2022</v>
      </c>
      <c r="J1169" t="s">
        <v>344</v>
      </c>
      <c r="K1169" t="s">
        <v>127</v>
      </c>
      <c r="L1169" t="s">
        <v>1450</v>
      </c>
      <c r="M1169" t="s">
        <v>1468</v>
      </c>
      <c r="N1169">
        <v>1</v>
      </c>
      <c r="O1169">
        <v>2022</v>
      </c>
      <c r="P1169">
        <v>10395.03611176889</v>
      </c>
      <c r="Q1169">
        <v>2.764334235731762</v>
      </c>
      <c r="R1169" t="s">
        <v>109</v>
      </c>
      <c r="S1169">
        <v>3760.4121735363042</v>
      </c>
      <c r="T1169">
        <v>22.4</v>
      </c>
      <c r="U1169" t="s">
        <v>329</v>
      </c>
      <c r="V1169">
        <v>6.5689149560117297</v>
      </c>
      <c r="W1169">
        <v>8</v>
      </c>
      <c r="X1169">
        <v>20.8</v>
      </c>
      <c r="Y1169">
        <v>15</v>
      </c>
      <c r="Z1169">
        <v>6.1608679451578198E-2</v>
      </c>
      <c r="AA1169">
        <v>31.536000000000001</v>
      </c>
    </row>
    <row r="1170" spans="1:27" x14ac:dyDescent="0.25">
      <c r="A1170" t="s">
        <v>98</v>
      </c>
      <c r="B1170" t="s">
        <v>99</v>
      </c>
      <c r="C1170" t="s">
        <v>1367</v>
      </c>
      <c r="D1170" t="s">
        <v>101</v>
      </c>
      <c r="E1170" t="s">
        <v>304</v>
      </c>
      <c r="F1170" t="s">
        <v>201</v>
      </c>
      <c r="G1170" t="s">
        <v>119</v>
      </c>
      <c r="H1170" t="s">
        <v>125</v>
      </c>
      <c r="I1170">
        <v>2023</v>
      </c>
      <c r="J1170" t="s">
        <v>346</v>
      </c>
      <c r="K1170" t="s">
        <v>127</v>
      </c>
      <c r="L1170" t="s">
        <v>1450</v>
      </c>
      <c r="M1170" t="s">
        <v>1469</v>
      </c>
      <c r="N1170">
        <v>1</v>
      </c>
      <c r="O1170">
        <v>2023</v>
      </c>
      <c r="P1170">
        <v>10395.03611176889</v>
      </c>
      <c r="Q1170">
        <v>2.764334235731762</v>
      </c>
      <c r="R1170" t="s">
        <v>109</v>
      </c>
      <c r="S1170">
        <v>3760.4121735363042</v>
      </c>
      <c r="T1170">
        <v>22.4</v>
      </c>
      <c r="U1170" t="s">
        <v>329</v>
      </c>
      <c r="V1170">
        <v>6.5689149560117297</v>
      </c>
      <c r="W1170">
        <v>8</v>
      </c>
      <c r="X1170">
        <v>20.8</v>
      </c>
      <c r="Y1170">
        <v>15</v>
      </c>
      <c r="Z1170">
        <v>6.1608679451578198E-2</v>
      </c>
      <c r="AA1170">
        <v>31.536000000000001</v>
      </c>
    </row>
    <row r="1171" spans="1:27" x14ac:dyDescent="0.25">
      <c r="A1171" t="s">
        <v>98</v>
      </c>
      <c r="B1171" t="s">
        <v>99</v>
      </c>
      <c r="C1171" t="s">
        <v>1367</v>
      </c>
      <c r="D1171" t="s">
        <v>101</v>
      </c>
      <c r="E1171" t="s">
        <v>304</v>
      </c>
      <c r="F1171" t="s">
        <v>201</v>
      </c>
      <c r="G1171" t="s">
        <v>119</v>
      </c>
      <c r="H1171" t="s">
        <v>125</v>
      </c>
      <c r="I1171">
        <v>2024</v>
      </c>
      <c r="J1171" t="s">
        <v>348</v>
      </c>
      <c r="K1171" t="s">
        <v>127</v>
      </c>
      <c r="L1171" t="s">
        <v>1450</v>
      </c>
      <c r="M1171" t="s">
        <v>1470</v>
      </c>
      <c r="N1171">
        <v>1</v>
      </c>
      <c r="O1171">
        <v>2024</v>
      </c>
      <c r="P1171">
        <v>10395.03611176889</v>
      </c>
      <c r="Q1171">
        <v>2.764334235731762</v>
      </c>
      <c r="R1171" t="s">
        <v>109</v>
      </c>
      <c r="S1171">
        <v>3760.4121735363042</v>
      </c>
      <c r="T1171">
        <v>22.4</v>
      </c>
      <c r="U1171" t="s">
        <v>329</v>
      </c>
      <c r="V1171">
        <v>6.5689149560117297</v>
      </c>
      <c r="W1171">
        <v>8</v>
      </c>
      <c r="X1171">
        <v>20.8</v>
      </c>
      <c r="Y1171">
        <v>15</v>
      </c>
      <c r="Z1171">
        <v>6.1608679451578198E-2</v>
      </c>
      <c r="AA1171">
        <v>31.536000000000001</v>
      </c>
    </row>
    <row r="1172" spans="1:27" x14ac:dyDescent="0.25">
      <c r="A1172" t="s">
        <v>98</v>
      </c>
      <c r="B1172" t="s">
        <v>99</v>
      </c>
      <c r="C1172" t="s">
        <v>1367</v>
      </c>
      <c r="D1172" t="s">
        <v>101</v>
      </c>
      <c r="E1172" t="s">
        <v>304</v>
      </c>
      <c r="F1172" t="s">
        <v>350</v>
      </c>
      <c r="G1172" t="s">
        <v>103</v>
      </c>
      <c r="H1172" t="s">
        <v>125</v>
      </c>
      <c r="I1172">
        <v>2016</v>
      </c>
      <c r="J1172" t="s">
        <v>351</v>
      </c>
      <c r="K1172" t="s">
        <v>127</v>
      </c>
      <c r="L1172" t="s">
        <v>1450</v>
      </c>
      <c r="M1172" t="s">
        <v>1471</v>
      </c>
      <c r="N1172">
        <v>1</v>
      </c>
      <c r="O1172">
        <v>2020</v>
      </c>
      <c r="P1172">
        <v>756.00262631046473</v>
      </c>
      <c r="Q1172">
        <v>2.764334235731762</v>
      </c>
      <c r="R1172" t="s">
        <v>109</v>
      </c>
      <c r="S1172">
        <v>273.48452171173119</v>
      </c>
      <c r="T1172">
        <v>3.1946072684642441</v>
      </c>
      <c r="U1172" t="s">
        <v>184</v>
      </c>
      <c r="V1172">
        <v>3.1946072684642441</v>
      </c>
      <c r="W1172">
        <v>6</v>
      </c>
      <c r="X1172">
        <v>13</v>
      </c>
      <c r="Y1172">
        <v>10</v>
      </c>
      <c r="Z1172">
        <v>6.1608679451578198E-2</v>
      </c>
      <c r="AA1172">
        <v>31.536000000000001</v>
      </c>
    </row>
    <row r="1173" spans="1:27" x14ac:dyDescent="0.25">
      <c r="A1173" t="s">
        <v>98</v>
      </c>
      <c r="B1173" t="s">
        <v>99</v>
      </c>
      <c r="C1173" t="s">
        <v>1367</v>
      </c>
      <c r="D1173" t="s">
        <v>101</v>
      </c>
      <c r="E1173" t="s">
        <v>304</v>
      </c>
      <c r="F1173" t="s">
        <v>350</v>
      </c>
      <c r="G1173" t="s">
        <v>111</v>
      </c>
      <c r="H1173" t="s">
        <v>125</v>
      </c>
      <c r="I1173">
        <v>2016</v>
      </c>
      <c r="J1173" t="s">
        <v>353</v>
      </c>
      <c r="K1173" t="s">
        <v>127</v>
      </c>
      <c r="L1173" t="s">
        <v>1450</v>
      </c>
      <c r="M1173" t="s">
        <v>1472</v>
      </c>
      <c r="N1173">
        <v>1</v>
      </c>
      <c r="O1173">
        <v>2020</v>
      </c>
      <c r="P1173">
        <v>780.38980780435065</v>
      </c>
      <c r="Q1173">
        <v>2.764334235731762</v>
      </c>
      <c r="R1173" t="s">
        <v>109</v>
      </c>
      <c r="S1173">
        <v>282.30660305727088</v>
      </c>
      <c r="T1173">
        <v>3.5169988276670581</v>
      </c>
      <c r="U1173" t="s">
        <v>184</v>
      </c>
      <c r="V1173">
        <v>3.5169988276670581</v>
      </c>
      <c r="W1173">
        <v>6</v>
      </c>
      <c r="X1173">
        <v>13</v>
      </c>
      <c r="Y1173">
        <v>10</v>
      </c>
      <c r="Z1173">
        <v>6.1608679451578198E-2</v>
      </c>
      <c r="AA1173">
        <v>31.536000000000001</v>
      </c>
    </row>
    <row r="1174" spans="1:27" x14ac:dyDescent="0.25">
      <c r="A1174" t="s">
        <v>98</v>
      </c>
      <c r="B1174" t="s">
        <v>99</v>
      </c>
      <c r="C1174" t="s">
        <v>1367</v>
      </c>
      <c r="D1174" t="s">
        <v>101</v>
      </c>
      <c r="E1174" t="s">
        <v>304</v>
      </c>
      <c r="F1174" t="s">
        <v>350</v>
      </c>
      <c r="G1174" t="s">
        <v>111</v>
      </c>
      <c r="H1174" t="s">
        <v>125</v>
      </c>
      <c r="I1174">
        <v>2030</v>
      </c>
      <c r="J1174" t="s">
        <v>355</v>
      </c>
      <c r="K1174" t="s">
        <v>127</v>
      </c>
      <c r="L1174" t="s">
        <v>1450</v>
      </c>
      <c r="M1174" t="s">
        <v>1473</v>
      </c>
      <c r="N1174">
        <v>1</v>
      </c>
      <c r="O1174">
        <v>2030</v>
      </c>
      <c r="P1174">
        <v>780.38980780435065</v>
      </c>
      <c r="Q1174">
        <v>2.764334235731762</v>
      </c>
      <c r="R1174" t="s">
        <v>109</v>
      </c>
      <c r="S1174">
        <v>282.30660305727088</v>
      </c>
      <c r="T1174">
        <v>3.5902696365767879</v>
      </c>
      <c r="U1174" t="s">
        <v>184</v>
      </c>
      <c r="V1174">
        <v>3.5902696365767879</v>
      </c>
      <c r="W1174">
        <v>6</v>
      </c>
      <c r="X1174">
        <v>13</v>
      </c>
      <c r="Y1174">
        <v>10</v>
      </c>
      <c r="Z1174">
        <v>6.1608679451578198E-2</v>
      </c>
      <c r="AA1174">
        <v>31.536000000000001</v>
      </c>
    </row>
    <row r="1175" spans="1:27" x14ac:dyDescent="0.25">
      <c r="A1175" t="s">
        <v>98</v>
      </c>
      <c r="B1175" t="s">
        <v>99</v>
      </c>
      <c r="C1175" t="s">
        <v>1367</v>
      </c>
      <c r="D1175" t="s">
        <v>101</v>
      </c>
      <c r="E1175" t="s">
        <v>304</v>
      </c>
      <c r="F1175" t="s">
        <v>350</v>
      </c>
      <c r="G1175" t="s">
        <v>111</v>
      </c>
      <c r="H1175" t="s">
        <v>125</v>
      </c>
      <c r="I1175">
        <v>2040</v>
      </c>
      <c r="J1175" t="s">
        <v>357</v>
      </c>
      <c r="K1175" t="s">
        <v>127</v>
      </c>
      <c r="L1175" t="s">
        <v>1450</v>
      </c>
      <c r="M1175" t="s">
        <v>1474</v>
      </c>
      <c r="N1175">
        <v>1</v>
      </c>
      <c r="O1175">
        <v>2040</v>
      </c>
      <c r="P1175">
        <v>780.38980780435065</v>
      </c>
      <c r="Q1175">
        <v>2.764334235731762</v>
      </c>
      <c r="R1175" t="s">
        <v>109</v>
      </c>
      <c r="S1175">
        <v>282.30660305727088</v>
      </c>
      <c r="T1175">
        <v>3.6635404454865181</v>
      </c>
      <c r="U1175" t="s">
        <v>184</v>
      </c>
      <c r="V1175">
        <v>3.6635404454865181</v>
      </c>
      <c r="W1175">
        <v>6</v>
      </c>
      <c r="X1175">
        <v>13</v>
      </c>
      <c r="Y1175">
        <v>10</v>
      </c>
      <c r="Z1175">
        <v>6.1608679451578198E-2</v>
      </c>
      <c r="AA1175">
        <v>31.536000000000001</v>
      </c>
    </row>
    <row r="1176" spans="1:27" x14ac:dyDescent="0.25">
      <c r="A1176" t="s">
        <v>98</v>
      </c>
      <c r="B1176" t="s">
        <v>99</v>
      </c>
      <c r="C1176" t="s">
        <v>1367</v>
      </c>
      <c r="D1176" t="s">
        <v>101</v>
      </c>
      <c r="E1176" t="s">
        <v>304</v>
      </c>
      <c r="F1176" t="s">
        <v>350</v>
      </c>
      <c r="G1176" t="s">
        <v>114</v>
      </c>
      <c r="H1176" t="s">
        <v>125</v>
      </c>
      <c r="I1176">
        <v>2016</v>
      </c>
      <c r="J1176" t="s">
        <v>359</v>
      </c>
      <c r="K1176" t="s">
        <v>127</v>
      </c>
      <c r="L1176" t="s">
        <v>1450</v>
      </c>
      <c r="M1176" t="s">
        <v>1475</v>
      </c>
      <c r="N1176">
        <v>1</v>
      </c>
      <c r="O1176">
        <v>2020</v>
      </c>
      <c r="P1176">
        <v>780.38980780435065</v>
      </c>
      <c r="Q1176">
        <v>2.764334235731762</v>
      </c>
      <c r="R1176" t="s">
        <v>109</v>
      </c>
      <c r="S1176">
        <v>282.30660305727088</v>
      </c>
      <c r="T1176">
        <v>3.5169988276670581</v>
      </c>
      <c r="U1176" t="s">
        <v>184</v>
      </c>
      <c r="V1176">
        <v>3.5169988276670581</v>
      </c>
      <c r="W1176">
        <v>6</v>
      </c>
      <c r="X1176">
        <v>13</v>
      </c>
      <c r="Y1176">
        <v>10</v>
      </c>
      <c r="Z1176">
        <v>6.1608679451578198E-2</v>
      </c>
      <c r="AA1176">
        <v>31.536000000000001</v>
      </c>
    </row>
    <row r="1177" spans="1:27" x14ac:dyDescent="0.25">
      <c r="A1177" t="s">
        <v>98</v>
      </c>
      <c r="B1177" t="s">
        <v>99</v>
      </c>
      <c r="C1177" t="s">
        <v>1367</v>
      </c>
      <c r="D1177" t="s">
        <v>101</v>
      </c>
      <c r="E1177" t="s">
        <v>304</v>
      </c>
      <c r="F1177" t="s">
        <v>350</v>
      </c>
      <c r="G1177" t="s">
        <v>119</v>
      </c>
      <c r="H1177" t="s">
        <v>125</v>
      </c>
      <c r="I1177">
        <v>2016</v>
      </c>
      <c r="J1177" t="s">
        <v>361</v>
      </c>
      <c r="K1177" t="s">
        <v>127</v>
      </c>
      <c r="L1177" t="s">
        <v>1450</v>
      </c>
      <c r="M1177" t="s">
        <v>1476</v>
      </c>
      <c r="N1177">
        <v>1</v>
      </c>
      <c r="O1177">
        <v>2020</v>
      </c>
      <c r="P1177">
        <v>859.64814765948006</v>
      </c>
      <c r="Q1177">
        <v>2.764334235731762</v>
      </c>
      <c r="R1177" t="s">
        <v>109</v>
      </c>
      <c r="S1177">
        <v>310.97836743027489</v>
      </c>
      <c r="T1177">
        <v>3.6049237983587341</v>
      </c>
      <c r="U1177" t="s">
        <v>184</v>
      </c>
      <c r="V1177">
        <v>3.6049237983587341</v>
      </c>
      <c r="W1177">
        <v>6</v>
      </c>
      <c r="X1177">
        <v>13</v>
      </c>
      <c r="Y1177">
        <v>10</v>
      </c>
      <c r="Z1177">
        <v>6.1608679451578198E-2</v>
      </c>
      <c r="AA1177">
        <v>31.536000000000001</v>
      </c>
    </row>
    <row r="1178" spans="1:27" x14ac:dyDescent="0.25">
      <c r="A1178" t="s">
        <v>98</v>
      </c>
      <c r="B1178" t="s">
        <v>99</v>
      </c>
      <c r="C1178" t="s">
        <v>1367</v>
      </c>
      <c r="D1178" t="s">
        <v>101</v>
      </c>
      <c r="E1178" t="s">
        <v>304</v>
      </c>
      <c r="F1178" t="s">
        <v>350</v>
      </c>
      <c r="G1178" t="s">
        <v>119</v>
      </c>
      <c r="H1178" t="s">
        <v>125</v>
      </c>
      <c r="I1178">
        <v>2022</v>
      </c>
      <c r="J1178" t="s">
        <v>363</v>
      </c>
      <c r="K1178" t="s">
        <v>127</v>
      </c>
      <c r="L1178" t="s">
        <v>1450</v>
      </c>
      <c r="M1178" t="s">
        <v>1477</v>
      </c>
      <c r="N1178">
        <v>1</v>
      </c>
      <c r="O1178">
        <v>2022</v>
      </c>
      <c r="P1178">
        <v>859.64814765948006</v>
      </c>
      <c r="Q1178">
        <v>2.764334235731762</v>
      </c>
      <c r="R1178" t="s">
        <v>109</v>
      </c>
      <c r="S1178">
        <v>310.97836743027489</v>
      </c>
      <c r="T1178">
        <v>3.6635404454865181</v>
      </c>
      <c r="U1178" t="s">
        <v>184</v>
      </c>
      <c r="V1178">
        <v>3.6635404454865181</v>
      </c>
      <c r="W1178">
        <v>6</v>
      </c>
      <c r="X1178">
        <v>13</v>
      </c>
      <c r="Y1178">
        <v>10</v>
      </c>
      <c r="Z1178">
        <v>6.1608679451578198E-2</v>
      </c>
      <c r="AA1178">
        <v>31.536000000000001</v>
      </c>
    </row>
    <row r="1179" spans="1:27" x14ac:dyDescent="0.25">
      <c r="A1179" t="s">
        <v>98</v>
      </c>
      <c r="B1179" t="s">
        <v>99</v>
      </c>
      <c r="C1179" t="s">
        <v>1367</v>
      </c>
      <c r="D1179" t="s">
        <v>101</v>
      </c>
      <c r="E1179" t="s">
        <v>304</v>
      </c>
      <c r="F1179" t="s">
        <v>350</v>
      </c>
      <c r="G1179" t="s">
        <v>119</v>
      </c>
      <c r="H1179" t="s">
        <v>125</v>
      </c>
      <c r="I1179">
        <v>2030</v>
      </c>
      <c r="J1179" t="s">
        <v>365</v>
      </c>
      <c r="K1179" t="s">
        <v>127</v>
      </c>
      <c r="L1179" t="s">
        <v>1450</v>
      </c>
      <c r="M1179" t="s">
        <v>1478</v>
      </c>
      <c r="N1179">
        <v>1</v>
      </c>
      <c r="O1179">
        <v>2030</v>
      </c>
      <c r="P1179">
        <v>859.64814765948006</v>
      </c>
      <c r="Q1179">
        <v>2.764334235731762</v>
      </c>
      <c r="R1179" t="s">
        <v>109</v>
      </c>
      <c r="S1179">
        <v>310.97836743027489</v>
      </c>
      <c r="T1179">
        <v>3.8100820633059791</v>
      </c>
      <c r="U1179" t="s">
        <v>184</v>
      </c>
      <c r="V1179">
        <v>3.8100820633059791</v>
      </c>
      <c r="W1179">
        <v>6</v>
      </c>
      <c r="X1179">
        <v>13</v>
      </c>
      <c r="Y1179">
        <v>10</v>
      </c>
      <c r="Z1179">
        <v>6.1608679451578198E-2</v>
      </c>
      <c r="AA1179">
        <v>31.536000000000001</v>
      </c>
    </row>
    <row r="1180" spans="1:27" x14ac:dyDescent="0.25">
      <c r="A1180" t="s">
        <v>98</v>
      </c>
      <c r="B1180" t="s">
        <v>99</v>
      </c>
      <c r="C1180" t="s">
        <v>1367</v>
      </c>
      <c r="D1180" t="s">
        <v>101</v>
      </c>
      <c r="E1180" t="s">
        <v>304</v>
      </c>
      <c r="F1180" t="s">
        <v>350</v>
      </c>
      <c r="G1180" t="s">
        <v>119</v>
      </c>
      <c r="H1180" t="s">
        <v>125</v>
      </c>
      <c r="I1180">
        <v>2040</v>
      </c>
      <c r="J1180" t="s">
        <v>367</v>
      </c>
      <c r="K1180" t="s">
        <v>127</v>
      </c>
      <c r="L1180" t="s">
        <v>1450</v>
      </c>
      <c r="M1180" t="s">
        <v>1479</v>
      </c>
      <c r="N1180">
        <v>1</v>
      </c>
      <c r="O1180">
        <v>2040</v>
      </c>
      <c r="P1180">
        <v>859.64814765948006</v>
      </c>
      <c r="Q1180">
        <v>2.764334235731762</v>
      </c>
      <c r="R1180" t="s">
        <v>109</v>
      </c>
      <c r="S1180">
        <v>310.97836743027489</v>
      </c>
      <c r="T1180">
        <v>3.9566236811254401</v>
      </c>
      <c r="U1180" t="s">
        <v>184</v>
      </c>
      <c r="V1180">
        <v>3.9566236811254401</v>
      </c>
      <c r="W1180">
        <v>6</v>
      </c>
      <c r="X1180">
        <v>13</v>
      </c>
      <c r="Y1180">
        <v>10</v>
      </c>
      <c r="Z1180">
        <v>6.1608679451578198E-2</v>
      </c>
      <c r="AA1180">
        <v>31.536000000000001</v>
      </c>
    </row>
    <row r="1181" spans="1:27" x14ac:dyDescent="0.25">
      <c r="A1181" t="s">
        <v>98</v>
      </c>
      <c r="B1181" t="s">
        <v>99</v>
      </c>
      <c r="C1181" t="s">
        <v>1367</v>
      </c>
      <c r="D1181" t="s">
        <v>101</v>
      </c>
      <c r="E1181" t="s">
        <v>304</v>
      </c>
      <c r="F1181" t="s">
        <v>369</v>
      </c>
      <c r="G1181" t="s">
        <v>103</v>
      </c>
      <c r="H1181" t="s">
        <v>125</v>
      </c>
      <c r="I1181">
        <v>2016</v>
      </c>
      <c r="J1181" t="s">
        <v>370</v>
      </c>
      <c r="K1181" t="s">
        <v>127</v>
      </c>
      <c r="L1181" t="s">
        <v>1450</v>
      </c>
      <c r="M1181" t="s">
        <v>1480</v>
      </c>
      <c r="N1181">
        <v>1</v>
      </c>
      <c r="O1181">
        <v>2020</v>
      </c>
      <c r="P1181">
        <v>4328.724715164758</v>
      </c>
      <c r="Q1181">
        <v>2.764334235731762</v>
      </c>
      <c r="R1181" t="s">
        <v>109</v>
      </c>
      <c r="S1181">
        <v>1565.9194388333001</v>
      </c>
      <c r="T1181">
        <v>3.8100820633059791</v>
      </c>
      <c r="U1181" t="s">
        <v>184</v>
      </c>
      <c r="V1181">
        <v>3.8100820633059791</v>
      </c>
      <c r="W1181">
        <v>11</v>
      </c>
      <c r="X1181">
        <v>25</v>
      </c>
      <c r="Y1181">
        <v>19</v>
      </c>
      <c r="Z1181">
        <v>6.1608679451578198E-2</v>
      </c>
      <c r="AA1181">
        <v>31.536000000000001</v>
      </c>
    </row>
    <row r="1182" spans="1:27" x14ac:dyDescent="0.25">
      <c r="A1182" t="s">
        <v>98</v>
      </c>
      <c r="B1182" t="s">
        <v>99</v>
      </c>
      <c r="C1182" t="s">
        <v>1367</v>
      </c>
      <c r="D1182" t="s">
        <v>101</v>
      </c>
      <c r="E1182" t="s">
        <v>304</v>
      </c>
      <c r="F1182" t="s">
        <v>369</v>
      </c>
      <c r="G1182" t="s">
        <v>103</v>
      </c>
      <c r="H1182" t="s">
        <v>125</v>
      </c>
      <c r="I1182">
        <v>2023</v>
      </c>
      <c r="J1182" t="s">
        <v>372</v>
      </c>
      <c r="K1182" t="s">
        <v>127</v>
      </c>
      <c r="L1182" t="s">
        <v>1450</v>
      </c>
      <c r="M1182" t="s">
        <v>1481</v>
      </c>
      <c r="N1182">
        <v>1</v>
      </c>
      <c r="O1182">
        <v>2023</v>
      </c>
      <c r="P1182">
        <v>4328.724715164758</v>
      </c>
      <c r="Q1182">
        <v>2.764334235731762</v>
      </c>
      <c r="R1182" t="s">
        <v>109</v>
      </c>
      <c r="S1182">
        <v>1565.9194388333001</v>
      </c>
      <c r="T1182">
        <v>3.8100820633059791</v>
      </c>
      <c r="U1182" t="s">
        <v>184</v>
      </c>
      <c r="V1182">
        <v>3.8100820633059791</v>
      </c>
      <c r="W1182">
        <v>11</v>
      </c>
      <c r="X1182">
        <v>25</v>
      </c>
      <c r="Y1182">
        <v>19</v>
      </c>
      <c r="Z1182">
        <v>6.1608679451578198E-2</v>
      </c>
      <c r="AA1182">
        <v>31.536000000000001</v>
      </c>
    </row>
    <row r="1183" spans="1:27" x14ac:dyDescent="0.25">
      <c r="A1183" t="s">
        <v>98</v>
      </c>
      <c r="B1183" t="s">
        <v>99</v>
      </c>
      <c r="C1183" t="s">
        <v>1367</v>
      </c>
      <c r="D1183" t="s">
        <v>101</v>
      </c>
      <c r="E1183" t="s">
        <v>304</v>
      </c>
      <c r="F1183" t="s">
        <v>369</v>
      </c>
      <c r="G1183" t="s">
        <v>111</v>
      </c>
      <c r="H1183" t="s">
        <v>125</v>
      </c>
      <c r="I1183">
        <v>2016</v>
      </c>
      <c r="J1183" t="s">
        <v>374</v>
      </c>
      <c r="K1183" t="s">
        <v>127</v>
      </c>
      <c r="L1183" t="s">
        <v>1450</v>
      </c>
      <c r="M1183" t="s">
        <v>1482</v>
      </c>
      <c r="N1183">
        <v>1</v>
      </c>
      <c r="O1183">
        <v>2020</v>
      </c>
      <c r="P1183">
        <v>4450.6606226341873</v>
      </c>
      <c r="Q1183">
        <v>2.764334235731762</v>
      </c>
      <c r="R1183" t="s">
        <v>109</v>
      </c>
      <c r="S1183">
        <v>1610.029845560998</v>
      </c>
      <c r="T1183">
        <v>4.0738569753810081</v>
      </c>
      <c r="U1183" t="s">
        <v>184</v>
      </c>
      <c r="V1183">
        <v>4.0738569753810081</v>
      </c>
      <c r="W1183">
        <v>11</v>
      </c>
      <c r="X1183">
        <v>25</v>
      </c>
      <c r="Y1183">
        <v>19</v>
      </c>
      <c r="Z1183">
        <v>6.1608679451578198E-2</v>
      </c>
      <c r="AA1183">
        <v>31.536000000000001</v>
      </c>
    </row>
    <row r="1184" spans="1:27" x14ac:dyDescent="0.25">
      <c r="A1184" t="s">
        <v>98</v>
      </c>
      <c r="B1184" t="s">
        <v>99</v>
      </c>
      <c r="C1184" t="s">
        <v>1367</v>
      </c>
      <c r="D1184" t="s">
        <v>101</v>
      </c>
      <c r="E1184" t="s">
        <v>304</v>
      </c>
      <c r="F1184" t="s">
        <v>369</v>
      </c>
      <c r="G1184" t="s">
        <v>111</v>
      </c>
      <c r="H1184" t="s">
        <v>125</v>
      </c>
      <c r="I1184">
        <v>2023</v>
      </c>
      <c r="J1184" t="s">
        <v>376</v>
      </c>
      <c r="K1184" t="s">
        <v>127</v>
      </c>
      <c r="L1184" t="s">
        <v>1450</v>
      </c>
      <c r="M1184" t="s">
        <v>1483</v>
      </c>
      <c r="N1184">
        <v>1</v>
      </c>
      <c r="O1184">
        <v>2023</v>
      </c>
      <c r="P1184">
        <v>4511.628576368902</v>
      </c>
      <c r="Q1184">
        <v>2.764334235731762</v>
      </c>
      <c r="R1184" t="s">
        <v>109</v>
      </c>
      <c r="S1184">
        <v>1632.0850489248469</v>
      </c>
      <c r="T1184">
        <v>4.2203985932004704</v>
      </c>
      <c r="U1184" t="s">
        <v>184</v>
      </c>
      <c r="V1184">
        <v>4.2203985932004704</v>
      </c>
      <c r="W1184">
        <v>11</v>
      </c>
      <c r="X1184">
        <v>25</v>
      </c>
      <c r="Y1184">
        <v>19</v>
      </c>
      <c r="Z1184">
        <v>6.1608679451578198E-2</v>
      </c>
      <c r="AA1184">
        <v>31.536000000000001</v>
      </c>
    </row>
    <row r="1185" spans="1:27" x14ac:dyDescent="0.25">
      <c r="A1185" t="s">
        <v>98</v>
      </c>
      <c r="B1185" t="s">
        <v>99</v>
      </c>
      <c r="C1185" t="s">
        <v>1367</v>
      </c>
      <c r="D1185" t="s">
        <v>101</v>
      </c>
      <c r="E1185" t="s">
        <v>304</v>
      </c>
      <c r="F1185" t="s">
        <v>369</v>
      </c>
      <c r="G1185" t="s">
        <v>114</v>
      </c>
      <c r="H1185" t="s">
        <v>125</v>
      </c>
      <c r="I1185">
        <v>2016</v>
      </c>
      <c r="J1185" t="s">
        <v>378</v>
      </c>
      <c r="K1185" t="s">
        <v>127</v>
      </c>
      <c r="L1185" t="s">
        <v>1450</v>
      </c>
      <c r="M1185" t="s">
        <v>1484</v>
      </c>
      <c r="N1185">
        <v>1</v>
      </c>
      <c r="O1185">
        <v>2020</v>
      </c>
      <c r="P1185">
        <v>4877.436298777192</v>
      </c>
      <c r="Q1185">
        <v>2.764334235731762</v>
      </c>
      <c r="R1185" t="s">
        <v>109</v>
      </c>
      <c r="S1185">
        <v>1764.416269107943</v>
      </c>
      <c r="T1185">
        <v>4.3962485345838216</v>
      </c>
      <c r="U1185" t="s">
        <v>184</v>
      </c>
      <c r="V1185">
        <v>4.3962485345838216</v>
      </c>
      <c r="W1185">
        <v>11</v>
      </c>
      <c r="X1185">
        <v>25</v>
      </c>
      <c r="Y1185">
        <v>19</v>
      </c>
      <c r="Z1185">
        <v>6.1608679451578198E-2</v>
      </c>
      <c r="AA1185">
        <v>31.536000000000001</v>
      </c>
    </row>
    <row r="1186" spans="1:27" x14ac:dyDescent="0.25">
      <c r="A1186" t="s">
        <v>98</v>
      </c>
      <c r="B1186" t="s">
        <v>99</v>
      </c>
      <c r="C1186" t="s">
        <v>1367</v>
      </c>
      <c r="D1186" t="s">
        <v>101</v>
      </c>
      <c r="E1186" t="s">
        <v>304</v>
      </c>
      <c r="F1186" t="s">
        <v>369</v>
      </c>
      <c r="G1186" t="s">
        <v>114</v>
      </c>
      <c r="H1186" t="s">
        <v>125</v>
      </c>
      <c r="I1186">
        <v>2023</v>
      </c>
      <c r="J1186" t="s">
        <v>380</v>
      </c>
      <c r="K1186" t="s">
        <v>127</v>
      </c>
      <c r="L1186" t="s">
        <v>1450</v>
      </c>
      <c r="M1186" t="s">
        <v>1485</v>
      </c>
      <c r="N1186">
        <v>1</v>
      </c>
      <c r="O1186">
        <v>2023</v>
      </c>
      <c r="P1186">
        <v>5202.5987186956727</v>
      </c>
      <c r="Q1186">
        <v>2.764334235731762</v>
      </c>
      <c r="R1186" t="s">
        <v>109</v>
      </c>
      <c r="S1186">
        <v>1882.0440203818059</v>
      </c>
      <c r="T1186">
        <v>4.6893317702227444</v>
      </c>
      <c r="U1186" t="s">
        <v>184</v>
      </c>
      <c r="V1186">
        <v>4.6893317702227444</v>
      </c>
      <c r="W1186">
        <v>11</v>
      </c>
      <c r="X1186">
        <v>25</v>
      </c>
      <c r="Y1186">
        <v>19</v>
      </c>
      <c r="Z1186">
        <v>6.1608679451578198E-2</v>
      </c>
      <c r="AA1186">
        <v>31.536000000000001</v>
      </c>
    </row>
    <row r="1187" spans="1:27" x14ac:dyDescent="0.25">
      <c r="A1187" t="s">
        <v>98</v>
      </c>
      <c r="B1187" t="s">
        <v>99</v>
      </c>
      <c r="C1187" t="s">
        <v>1367</v>
      </c>
      <c r="D1187" t="s">
        <v>101</v>
      </c>
      <c r="E1187" t="s">
        <v>304</v>
      </c>
      <c r="F1187" t="s">
        <v>369</v>
      </c>
      <c r="G1187" t="s">
        <v>119</v>
      </c>
      <c r="H1187" t="s">
        <v>125</v>
      </c>
      <c r="I1187">
        <v>2016</v>
      </c>
      <c r="J1187" t="s">
        <v>382</v>
      </c>
      <c r="K1187" t="s">
        <v>127</v>
      </c>
      <c r="L1187" t="s">
        <v>1450</v>
      </c>
      <c r="M1187" t="s">
        <v>1486</v>
      </c>
      <c r="N1187">
        <v>1</v>
      </c>
      <c r="O1187">
        <v>2020</v>
      </c>
      <c r="P1187">
        <v>5670.0196973284856</v>
      </c>
      <c r="Q1187">
        <v>2.764334235731762</v>
      </c>
      <c r="R1187" t="s">
        <v>109</v>
      </c>
      <c r="S1187">
        <v>2051.1339128379841</v>
      </c>
      <c r="T1187">
        <v>4.835873388042204</v>
      </c>
      <c r="U1187" t="s">
        <v>184</v>
      </c>
      <c r="V1187">
        <v>4.835873388042204</v>
      </c>
      <c r="W1187">
        <v>11</v>
      </c>
      <c r="X1187">
        <v>25</v>
      </c>
      <c r="Y1187">
        <v>19</v>
      </c>
      <c r="Z1187">
        <v>6.1608679451578198E-2</v>
      </c>
      <c r="AA1187">
        <v>31.536000000000001</v>
      </c>
    </row>
    <row r="1188" spans="1:27" x14ac:dyDescent="0.25">
      <c r="A1188" t="s">
        <v>98</v>
      </c>
      <c r="B1188" t="s">
        <v>99</v>
      </c>
      <c r="C1188" t="s">
        <v>1367</v>
      </c>
      <c r="D1188" t="s">
        <v>101</v>
      </c>
      <c r="E1188" t="s">
        <v>304</v>
      </c>
      <c r="F1188" t="s">
        <v>369</v>
      </c>
      <c r="G1188" t="s">
        <v>119</v>
      </c>
      <c r="H1188" t="s">
        <v>125</v>
      </c>
      <c r="I1188">
        <v>2022</v>
      </c>
      <c r="J1188" t="s">
        <v>384</v>
      </c>
      <c r="K1188" t="s">
        <v>127</v>
      </c>
      <c r="L1188" t="s">
        <v>1450</v>
      </c>
      <c r="M1188" t="s">
        <v>1487</v>
      </c>
      <c r="N1188">
        <v>1</v>
      </c>
      <c r="O1188">
        <v>2022</v>
      </c>
      <c r="P1188">
        <v>5670.0196973284856</v>
      </c>
      <c r="Q1188">
        <v>2.764334235731762</v>
      </c>
      <c r="R1188" t="s">
        <v>109</v>
      </c>
      <c r="S1188">
        <v>2051.1339128379841</v>
      </c>
      <c r="T1188">
        <v>4.835873388042204</v>
      </c>
      <c r="U1188" t="s">
        <v>184</v>
      </c>
      <c r="V1188">
        <v>4.835873388042204</v>
      </c>
      <c r="W1188">
        <v>11</v>
      </c>
      <c r="X1188">
        <v>25</v>
      </c>
      <c r="Y1188">
        <v>19</v>
      </c>
      <c r="Z1188">
        <v>6.1608679451578198E-2</v>
      </c>
      <c r="AA1188">
        <v>31.536000000000001</v>
      </c>
    </row>
    <row r="1189" spans="1:27" x14ac:dyDescent="0.25">
      <c r="A1189" t="s">
        <v>98</v>
      </c>
      <c r="B1189" t="s">
        <v>99</v>
      </c>
      <c r="C1189" t="s">
        <v>1367</v>
      </c>
      <c r="D1189" t="s">
        <v>101</v>
      </c>
      <c r="E1189" t="s">
        <v>386</v>
      </c>
      <c r="G1189" t="s">
        <v>387</v>
      </c>
      <c r="H1189" t="s">
        <v>125</v>
      </c>
      <c r="I1189">
        <v>2016</v>
      </c>
      <c r="J1189" t="s">
        <v>388</v>
      </c>
      <c r="K1189" t="s">
        <v>127</v>
      </c>
      <c r="L1189" t="s">
        <v>1488</v>
      </c>
      <c r="M1189" t="s">
        <v>1489</v>
      </c>
      <c r="N1189">
        <v>1</v>
      </c>
      <c r="O1189">
        <v>2020</v>
      </c>
      <c r="P1189">
        <v>853.55135228600852</v>
      </c>
      <c r="Q1189">
        <v>2.1646303172329149</v>
      </c>
      <c r="R1189" t="s">
        <v>391</v>
      </c>
      <c r="S1189">
        <v>394.31737857996848</v>
      </c>
      <c r="T1189">
        <v>404.78399999999999</v>
      </c>
      <c r="U1189" t="s">
        <v>392</v>
      </c>
      <c r="V1189">
        <v>1.1306815642458099</v>
      </c>
      <c r="W1189">
        <v>11.625999787885601</v>
      </c>
      <c r="X1189">
        <v>21.895260974855479</v>
      </c>
      <c r="Y1189">
        <v>17</v>
      </c>
      <c r="Z1189">
        <v>0.65</v>
      </c>
      <c r="AA1189">
        <v>1</v>
      </c>
    </row>
    <row r="1190" spans="1:27" x14ac:dyDescent="0.25">
      <c r="A1190" t="s">
        <v>98</v>
      </c>
      <c r="B1190" t="s">
        <v>99</v>
      </c>
      <c r="C1190" t="s">
        <v>1367</v>
      </c>
      <c r="D1190" t="s">
        <v>101</v>
      </c>
      <c r="E1190" t="s">
        <v>386</v>
      </c>
      <c r="G1190" t="s">
        <v>393</v>
      </c>
      <c r="H1190" t="s">
        <v>125</v>
      </c>
      <c r="I1190">
        <v>2016</v>
      </c>
      <c r="J1190" t="s">
        <v>394</v>
      </c>
      <c r="K1190" t="s">
        <v>127</v>
      </c>
      <c r="L1190" t="s">
        <v>1488</v>
      </c>
      <c r="M1190" t="s">
        <v>1490</v>
      </c>
      <c r="N1190">
        <v>1</v>
      </c>
      <c r="O1190">
        <v>2020</v>
      </c>
      <c r="P1190">
        <v>914.51930602072343</v>
      </c>
      <c r="Q1190">
        <v>2.1646303172329149</v>
      </c>
      <c r="R1190" t="s">
        <v>391</v>
      </c>
      <c r="S1190">
        <v>422.48290562139482</v>
      </c>
      <c r="T1190">
        <v>389</v>
      </c>
      <c r="U1190" t="s">
        <v>392</v>
      </c>
      <c r="V1190">
        <v>1.08659217877095</v>
      </c>
      <c r="W1190">
        <v>11.625999787885601</v>
      </c>
      <c r="X1190">
        <v>21.895260974855479</v>
      </c>
      <c r="Y1190">
        <v>17</v>
      </c>
      <c r="Z1190">
        <v>0.65</v>
      </c>
      <c r="AA1190">
        <v>1</v>
      </c>
    </row>
    <row r="1191" spans="1:27" x14ac:dyDescent="0.25">
      <c r="A1191" t="s">
        <v>98</v>
      </c>
      <c r="B1191" t="s">
        <v>99</v>
      </c>
      <c r="C1191" t="s">
        <v>1367</v>
      </c>
      <c r="D1191" t="s">
        <v>101</v>
      </c>
      <c r="E1191" t="s">
        <v>386</v>
      </c>
      <c r="G1191" t="s">
        <v>396</v>
      </c>
      <c r="H1191" t="s">
        <v>125</v>
      </c>
      <c r="I1191">
        <v>2016</v>
      </c>
      <c r="J1191" t="s">
        <v>397</v>
      </c>
      <c r="K1191" t="s">
        <v>127</v>
      </c>
      <c r="L1191" t="s">
        <v>1488</v>
      </c>
      <c r="M1191" t="s">
        <v>1491</v>
      </c>
      <c r="N1191">
        <v>1</v>
      </c>
      <c r="O1191">
        <v>2020</v>
      </c>
      <c r="P1191">
        <v>1036.455213490153</v>
      </c>
      <c r="Q1191">
        <v>2.1646303172329149</v>
      </c>
      <c r="R1191" t="s">
        <v>391</v>
      </c>
      <c r="S1191">
        <v>478.81395970424751</v>
      </c>
      <c r="T1191">
        <v>364.30560000000003</v>
      </c>
      <c r="U1191" t="s">
        <v>392</v>
      </c>
      <c r="V1191">
        <v>1.0176134078212291</v>
      </c>
      <c r="W1191">
        <v>11.625999787885601</v>
      </c>
      <c r="X1191">
        <v>21.895260974855479</v>
      </c>
      <c r="Y1191">
        <v>17</v>
      </c>
      <c r="Z1191">
        <v>0.65</v>
      </c>
      <c r="AA1191">
        <v>1</v>
      </c>
    </row>
    <row r="1192" spans="1:27" x14ac:dyDescent="0.25">
      <c r="A1192" t="s">
        <v>98</v>
      </c>
      <c r="B1192" t="s">
        <v>99</v>
      </c>
      <c r="C1192" t="s">
        <v>1367</v>
      </c>
      <c r="D1192" t="s">
        <v>101</v>
      </c>
      <c r="E1192" t="s">
        <v>386</v>
      </c>
      <c r="G1192" t="s">
        <v>399</v>
      </c>
      <c r="H1192" t="s">
        <v>125</v>
      </c>
      <c r="I1192">
        <v>2016</v>
      </c>
      <c r="J1192" t="s">
        <v>400</v>
      </c>
      <c r="K1192" t="s">
        <v>127</v>
      </c>
      <c r="L1192" t="s">
        <v>1488</v>
      </c>
      <c r="M1192" t="s">
        <v>1492</v>
      </c>
      <c r="N1192">
        <v>1</v>
      </c>
      <c r="O1192">
        <v>2020</v>
      </c>
      <c r="P1192">
        <v>1073.035985730982</v>
      </c>
      <c r="Q1192">
        <v>2.1646303172329149</v>
      </c>
      <c r="R1192" t="s">
        <v>391</v>
      </c>
      <c r="S1192">
        <v>495.71327592910319</v>
      </c>
      <c r="T1192">
        <v>358</v>
      </c>
      <c r="U1192" t="s">
        <v>392</v>
      </c>
      <c r="V1192">
        <v>1</v>
      </c>
      <c r="W1192">
        <v>11.625999787885601</v>
      </c>
      <c r="X1192">
        <v>21.895260974855479</v>
      </c>
      <c r="Y1192">
        <v>17</v>
      </c>
      <c r="Z1192">
        <v>0.65</v>
      </c>
      <c r="AA1192">
        <v>1</v>
      </c>
    </row>
    <row r="1193" spans="1:27" x14ac:dyDescent="0.25">
      <c r="A1193" t="s">
        <v>98</v>
      </c>
      <c r="B1193" t="s">
        <v>99</v>
      </c>
      <c r="C1193" t="s">
        <v>1367</v>
      </c>
      <c r="D1193" t="s">
        <v>101</v>
      </c>
      <c r="E1193" t="s">
        <v>386</v>
      </c>
      <c r="G1193" t="s">
        <v>402</v>
      </c>
      <c r="H1193" t="s">
        <v>125</v>
      </c>
      <c r="I1193">
        <v>2016</v>
      </c>
      <c r="J1193" t="s">
        <v>403</v>
      </c>
      <c r="K1193" t="s">
        <v>127</v>
      </c>
      <c r="L1193" t="s">
        <v>1488</v>
      </c>
      <c r="M1193" t="s">
        <v>1493</v>
      </c>
      <c r="N1193">
        <v>1</v>
      </c>
      <c r="O1193">
        <v>2020</v>
      </c>
      <c r="P1193">
        <v>1597.3603878495301</v>
      </c>
      <c r="Q1193">
        <v>2.1646303172329149</v>
      </c>
      <c r="R1193" t="s">
        <v>391</v>
      </c>
      <c r="S1193">
        <v>737.93680848536962</v>
      </c>
      <c r="T1193">
        <v>705.226</v>
      </c>
      <c r="U1193" t="s">
        <v>392</v>
      </c>
      <c r="V1193">
        <v>1.9699050279329611</v>
      </c>
      <c r="W1193">
        <v>11.625999787885601</v>
      </c>
      <c r="X1193">
        <v>21.895260974855479</v>
      </c>
      <c r="Y1193">
        <v>17</v>
      </c>
      <c r="Z1193">
        <v>0.65</v>
      </c>
      <c r="AA1193">
        <v>1</v>
      </c>
    </row>
    <row r="1194" spans="1:27" x14ac:dyDescent="0.25">
      <c r="A1194" t="s">
        <v>98</v>
      </c>
      <c r="B1194" t="s">
        <v>99</v>
      </c>
      <c r="C1194" t="s">
        <v>1367</v>
      </c>
      <c r="D1194" t="s">
        <v>101</v>
      </c>
      <c r="E1194" t="s">
        <v>386</v>
      </c>
      <c r="G1194" t="s">
        <v>405</v>
      </c>
      <c r="H1194" t="s">
        <v>125</v>
      </c>
      <c r="I1194">
        <v>2016</v>
      </c>
      <c r="J1194" t="s">
        <v>406</v>
      </c>
      <c r="K1194" t="s">
        <v>127</v>
      </c>
      <c r="L1194" t="s">
        <v>1488</v>
      </c>
      <c r="M1194" t="s">
        <v>1494</v>
      </c>
      <c r="N1194">
        <v>1</v>
      </c>
      <c r="O1194">
        <v>2020</v>
      </c>
      <c r="P1194">
        <v>1731.489886065903</v>
      </c>
      <c r="Q1194">
        <v>2.1646303172329149</v>
      </c>
      <c r="R1194" t="s">
        <v>391</v>
      </c>
      <c r="S1194">
        <v>799.90096797650745</v>
      </c>
      <c r="T1194">
        <v>671</v>
      </c>
      <c r="U1194" t="s">
        <v>392</v>
      </c>
      <c r="V1194">
        <v>1.8743016759776541</v>
      </c>
      <c r="W1194">
        <v>11.625999787885601</v>
      </c>
      <c r="X1194">
        <v>21.895260974855479</v>
      </c>
      <c r="Y1194">
        <v>17</v>
      </c>
      <c r="Z1194">
        <v>0.65</v>
      </c>
      <c r="AA1194">
        <v>1</v>
      </c>
    </row>
    <row r="1195" spans="1:27" x14ac:dyDescent="0.25">
      <c r="A1195" t="s">
        <v>98</v>
      </c>
      <c r="B1195" t="s">
        <v>99</v>
      </c>
      <c r="C1195" t="s">
        <v>1367</v>
      </c>
      <c r="D1195" t="s">
        <v>101</v>
      </c>
      <c r="E1195" t="s">
        <v>386</v>
      </c>
      <c r="G1195" t="s">
        <v>408</v>
      </c>
      <c r="H1195" t="s">
        <v>125</v>
      </c>
      <c r="I1195">
        <v>2016</v>
      </c>
      <c r="J1195" t="s">
        <v>409</v>
      </c>
      <c r="K1195" t="s">
        <v>127</v>
      </c>
      <c r="L1195" t="s">
        <v>1488</v>
      </c>
      <c r="M1195" t="s">
        <v>1495</v>
      </c>
      <c r="N1195">
        <v>1</v>
      </c>
      <c r="O1195">
        <v>2020</v>
      </c>
      <c r="P1195">
        <v>1890.006565776162</v>
      </c>
      <c r="Q1195">
        <v>2.1646303172329149</v>
      </c>
      <c r="R1195" t="s">
        <v>391</v>
      </c>
      <c r="S1195">
        <v>873.13133828421587</v>
      </c>
      <c r="T1195">
        <v>634.70339999999999</v>
      </c>
      <c r="U1195" t="s">
        <v>392</v>
      </c>
      <c r="V1195">
        <v>1.772914525139665</v>
      </c>
      <c r="W1195">
        <v>11.625999787885601</v>
      </c>
      <c r="X1195">
        <v>21.895260974855479</v>
      </c>
      <c r="Y1195">
        <v>17</v>
      </c>
      <c r="Z1195">
        <v>0.65</v>
      </c>
      <c r="AA1195">
        <v>1</v>
      </c>
    </row>
    <row r="1196" spans="1:27" x14ac:dyDescent="0.25">
      <c r="A1196" t="s">
        <v>98</v>
      </c>
      <c r="B1196" t="s">
        <v>99</v>
      </c>
      <c r="C1196" t="s">
        <v>1367</v>
      </c>
      <c r="D1196" t="s">
        <v>101</v>
      </c>
      <c r="E1196" t="s">
        <v>386</v>
      </c>
      <c r="G1196" t="s">
        <v>411</v>
      </c>
      <c r="H1196" t="s">
        <v>125</v>
      </c>
      <c r="I1196">
        <v>2016</v>
      </c>
      <c r="J1196" t="s">
        <v>412</v>
      </c>
      <c r="K1196" t="s">
        <v>127</v>
      </c>
      <c r="L1196" t="s">
        <v>1488</v>
      </c>
      <c r="M1196" t="s">
        <v>1496</v>
      </c>
      <c r="N1196">
        <v>1</v>
      </c>
      <c r="O1196">
        <v>2020</v>
      </c>
      <c r="P1196">
        <v>2414.3309678947098</v>
      </c>
      <c r="Q1196">
        <v>2.1646303172329149</v>
      </c>
      <c r="R1196" t="s">
        <v>391</v>
      </c>
      <c r="S1196">
        <v>1115.3548708404819</v>
      </c>
      <c r="T1196">
        <v>509</v>
      </c>
      <c r="U1196" t="s">
        <v>392</v>
      </c>
      <c r="V1196">
        <v>1.4217877094972069</v>
      </c>
      <c r="W1196">
        <v>11.625999787885601</v>
      </c>
      <c r="X1196">
        <v>21.895260974855479</v>
      </c>
      <c r="Y1196">
        <v>17</v>
      </c>
      <c r="Z1196">
        <v>0.65</v>
      </c>
      <c r="AA1196">
        <v>1</v>
      </c>
    </row>
    <row r="1197" spans="1:27" x14ac:dyDescent="0.25">
      <c r="A1197" t="s">
        <v>98</v>
      </c>
      <c r="B1197" t="s">
        <v>99</v>
      </c>
      <c r="C1197" t="s">
        <v>1367</v>
      </c>
      <c r="D1197" t="s">
        <v>101</v>
      </c>
      <c r="E1197" t="s">
        <v>386</v>
      </c>
      <c r="G1197" t="s">
        <v>414</v>
      </c>
      <c r="H1197" t="s">
        <v>125</v>
      </c>
      <c r="I1197">
        <v>2016</v>
      </c>
      <c r="J1197" t="s">
        <v>415</v>
      </c>
      <c r="K1197" t="s">
        <v>127</v>
      </c>
      <c r="L1197" t="s">
        <v>1488</v>
      </c>
      <c r="M1197" t="s">
        <v>1497</v>
      </c>
      <c r="N1197">
        <v>1</v>
      </c>
      <c r="O1197">
        <v>2020</v>
      </c>
      <c r="P1197">
        <v>1255.939846935127</v>
      </c>
      <c r="Q1197">
        <v>2.1646303172329149</v>
      </c>
      <c r="R1197" t="s">
        <v>391</v>
      </c>
      <c r="S1197">
        <v>580.20985705338228</v>
      </c>
      <c r="T1197">
        <v>520.54999999999995</v>
      </c>
      <c r="U1197" t="s">
        <v>392</v>
      </c>
      <c r="V1197">
        <v>1.4540502793296091</v>
      </c>
      <c r="W1197">
        <v>11.625999787885601</v>
      </c>
      <c r="X1197">
        <v>21.895260974855479</v>
      </c>
      <c r="Y1197">
        <v>17</v>
      </c>
      <c r="Z1197">
        <v>0.65</v>
      </c>
      <c r="AA1197">
        <v>1</v>
      </c>
    </row>
    <row r="1198" spans="1:27" x14ac:dyDescent="0.25">
      <c r="A1198" t="s">
        <v>98</v>
      </c>
      <c r="B1198" t="s">
        <v>99</v>
      </c>
      <c r="C1198" t="s">
        <v>1367</v>
      </c>
      <c r="D1198" t="s">
        <v>101</v>
      </c>
      <c r="E1198" t="s">
        <v>386</v>
      </c>
      <c r="G1198" t="s">
        <v>417</v>
      </c>
      <c r="H1198" t="s">
        <v>125</v>
      </c>
      <c r="I1198">
        <v>2016</v>
      </c>
      <c r="J1198" t="s">
        <v>418</v>
      </c>
      <c r="K1198" t="s">
        <v>127</v>
      </c>
      <c r="L1198" t="s">
        <v>1488</v>
      </c>
      <c r="M1198" t="s">
        <v>1498</v>
      </c>
      <c r="N1198">
        <v>1</v>
      </c>
      <c r="O1198">
        <v>2020</v>
      </c>
      <c r="P1198">
        <v>1365.682163657614</v>
      </c>
      <c r="Q1198">
        <v>2.1646303172329149</v>
      </c>
      <c r="R1198" t="s">
        <v>391</v>
      </c>
      <c r="S1198">
        <v>630.90780572794961</v>
      </c>
      <c r="T1198">
        <v>480</v>
      </c>
      <c r="U1198" t="s">
        <v>392</v>
      </c>
      <c r="V1198">
        <v>1.3407821229050281</v>
      </c>
      <c r="W1198">
        <v>11.625999787885601</v>
      </c>
      <c r="X1198">
        <v>21.895260974855479</v>
      </c>
      <c r="Y1198">
        <v>17</v>
      </c>
      <c r="Z1198">
        <v>0.65</v>
      </c>
      <c r="AA1198">
        <v>1</v>
      </c>
    </row>
    <row r="1199" spans="1:27" x14ac:dyDescent="0.25">
      <c r="A1199" t="s">
        <v>98</v>
      </c>
      <c r="B1199" t="s">
        <v>99</v>
      </c>
      <c r="C1199" t="s">
        <v>1367</v>
      </c>
      <c r="D1199" t="s">
        <v>101</v>
      </c>
      <c r="E1199" t="s">
        <v>386</v>
      </c>
      <c r="G1199" t="s">
        <v>420</v>
      </c>
      <c r="H1199" t="s">
        <v>125</v>
      </c>
      <c r="I1199">
        <v>2016</v>
      </c>
      <c r="J1199" t="s">
        <v>421</v>
      </c>
      <c r="K1199" t="s">
        <v>127</v>
      </c>
      <c r="L1199" t="s">
        <v>1488</v>
      </c>
      <c r="M1199" t="s">
        <v>1499</v>
      </c>
      <c r="N1199">
        <v>1</v>
      </c>
      <c r="O1199">
        <v>2020</v>
      </c>
      <c r="P1199">
        <v>1414.456526645386</v>
      </c>
      <c r="Q1199">
        <v>2.1646303172329149</v>
      </c>
      <c r="R1199" t="s">
        <v>391</v>
      </c>
      <c r="S1199">
        <v>653.44022736109059</v>
      </c>
      <c r="T1199">
        <v>469</v>
      </c>
      <c r="U1199" t="s">
        <v>392</v>
      </c>
      <c r="V1199">
        <v>1.310055865921788</v>
      </c>
      <c r="W1199">
        <v>11.625999787885601</v>
      </c>
      <c r="X1199">
        <v>21.895260974855479</v>
      </c>
      <c r="Y1199">
        <v>17</v>
      </c>
      <c r="Z1199">
        <v>0.65</v>
      </c>
      <c r="AA1199">
        <v>1</v>
      </c>
    </row>
    <row r="1200" spans="1:27" x14ac:dyDescent="0.25">
      <c r="A1200" t="s">
        <v>98</v>
      </c>
      <c r="B1200" t="s">
        <v>99</v>
      </c>
      <c r="C1200" t="s">
        <v>1367</v>
      </c>
      <c r="D1200" t="s">
        <v>101</v>
      </c>
      <c r="E1200" t="s">
        <v>386</v>
      </c>
      <c r="G1200" t="s">
        <v>423</v>
      </c>
      <c r="H1200" t="s">
        <v>125</v>
      </c>
      <c r="I1200">
        <v>2016</v>
      </c>
      <c r="J1200" t="s">
        <v>424</v>
      </c>
      <c r="K1200" t="s">
        <v>127</v>
      </c>
      <c r="L1200" t="s">
        <v>1488</v>
      </c>
      <c r="M1200" t="s">
        <v>1500</v>
      </c>
      <c r="N1200">
        <v>1</v>
      </c>
      <c r="O1200">
        <v>2020</v>
      </c>
      <c r="P1200">
        <v>1414.456526645386</v>
      </c>
      <c r="Q1200">
        <v>2.1646303172329149</v>
      </c>
      <c r="R1200" t="s">
        <v>391</v>
      </c>
      <c r="S1200">
        <v>653.44022736109059</v>
      </c>
      <c r="T1200">
        <v>469</v>
      </c>
      <c r="U1200" t="s">
        <v>392</v>
      </c>
      <c r="V1200">
        <v>1.310055865921788</v>
      </c>
      <c r="W1200">
        <v>11.625999787885601</v>
      </c>
      <c r="X1200">
        <v>21.895260974855479</v>
      </c>
      <c r="Y1200">
        <v>17</v>
      </c>
      <c r="Z1200">
        <v>0.65</v>
      </c>
      <c r="AA1200">
        <v>1</v>
      </c>
    </row>
    <row r="1201" spans="1:27" x14ac:dyDescent="0.25">
      <c r="A1201" t="s">
        <v>98</v>
      </c>
      <c r="B1201" t="s">
        <v>99</v>
      </c>
      <c r="C1201" t="s">
        <v>1367</v>
      </c>
      <c r="D1201" t="s">
        <v>101</v>
      </c>
      <c r="E1201" t="s">
        <v>426</v>
      </c>
      <c r="G1201" t="s">
        <v>427</v>
      </c>
      <c r="H1201" t="s">
        <v>125</v>
      </c>
      <c r="I1201">
        <v>2016</v>
      </c>
      <c r="J1201" t="s">
        <v>428</v>
      </c>
      <c r="K1201" t="s">
        <v>127</v>
      </c>
      <c r="L1201" t="s">
        <v>1501</v>
      </c>
      <c r="M1201" t="s">
        <v>1502</v>
      </c>
      <c r="N1201">
        <v>1</v>
      </c>
      <c r="O1201">
        <v>2020</v>
      </c>
      <c r="P1201">
        <v>609.67953734714899</v>
      </c>
      <c r="Q1201">
        <v>0.1064422737763619</v>
      </c>
      <c r="R1201" t="s">
        <v>391</v>
      </c>
      <c r="S1201">
        <v>5727.7951298569787</v>
      </c>
      <c r="T1201">
        <v>300.25599999999997</v>
      </c>
      <c r="U1201" t="s">
        <v>392</v>
      </c>
      <c r="V1201">
        <v>1.0918399999999999</v>
      </c>
      <c r="W1201">
        <v>16.5973520403479</v>
      </c>
      <c r="X1201">
        <v>27.331519839424129</v>
      </c>
      <c r="Y1201">
        <v>22</v>
      </c>
      <c r="Z1201">
        <v>0.65</v>
      </c>
      <c r="AA1201">
        <v>1</v>
      </c>
    </row>
    <row r="1202" spans="1:27" x14ac:dyDescent="0.25">
      <c r="A1202" t="s">
        <v>98</v>
      </c>
      <c r="B1202" t="s">
        <v>99</v>
      </c>
      <c r="C1202" t="s">
        <v>1367</v>
      </c>
      <c r="D1202" t="s">
        <v>101</v>
      </c>
      <c r="E1202" t="s">
        <v>426</v>
      </c>
      <c r="G1202" t="s">
        <v>431</v>
      </c>
      <c r="H1202" t="s">
        <v>125</v>
      </c>
      <c r="I1202">
        <v>2016</v>
      </c>
      <c r="J1202" t="s">
        <v>432</v>
      </c>
      <c r="K1202" t="s">
        <v>127</v>
      </c>
      <c r="L1202" t="s">
        <v>1501</v>
      </c>
      <c r="M1202" t="s">
        <v>1503</v>
      </c>
      <c r="N1202">
        <v>1</v>
      </c>
      <c r="O1202">
        <v>2020</v>
      </c>
      <c r="P1202">
        <v>609.67953734714899</v>
      </c>
      <c r="Q1202">
        <v>0.1064422737763619</v>
      </c>
      <c r="R1202" t="s">
        <v>391</v>
      </c>
      <c r="S1202">
        <v>5727.7951298569787</v>
      </c>
      <c r="T1202">
        <v>297</v>
      </c>
      <c r="U1202" t="s">
        <v>392</v>
      </c>
      <c r="V1202">
        <v>1.08</v>
      </c>
      <c r="W1202">
        <v>16.5973520403479</v>
      </c>
      <c r="X1202">
        <v>27.331519839424129</v>
      </c>
      <c r="Y1202">
        <v>22</v>
      </c>
      <c r="Z1202">
        <v>0.65</v>
      </c>
      <c r="AA1202">
        <v>1</v>
      </c>
    </row>
    <row r="1203" spans="1:27" x14ac:dyDescent="0.25">
      <c r="A1203" t="s">
        <v>98</v>
      </c>
      <c r="B1203" t="s">
        <v>99</v>
      </c>
      <c r="C1203" t="s">
        <v>1367</v>
      </c>
      <c r="D1203" t="s">
        <v>101</v>
      </c>
      <c r="E1203" t="s">
        <v>426</v>
      </c>
      <c r="G1203" t="s">
        <v>434</v>
      </c>
      <c r="H1203" t="s">
        <v>125</v>
      </c>
      <c r="I1203">
        <v>2016</v>
      </c>
      <c r="J1203" t="s">
        <v>435</v>
      </c>
      <c r="K1203" t="s">
        <v>127</v>
      </c>
      <c r="L1203" t="s">
        <v>1501</v>
      </c>
      <c r="M1203" t="s">
        <v>1504</v>
      </c>
      <c r="N1203">
        <v>1</v>
      </c>
      <c r="O1203">
        <v>2020</v>
      </c>
      <c r="P1203">
        <v>670.6474910818639</v>
      </c>
      <c r="Q1203">
        <v>0.1064422737763619</v>
      </c>
      <c r="R1203" t="s">
        <v>391</v>
      </c>
      <c r="S1203">
        <v>6300.5746428426773</v>
      </c>
      <c r="T1203">
        <v>277</v>
      </c>
      <c r="U1203" t="s">
        <v>392</v>
      </c>
      <c r="V1203">
        <v>1.0072727272727271</v>
      </c>
      <c r="W1203">
        <v>16.5973520403479</v>
      </c>
      <c r="X1203">
        <v>27.331519839424129</v>
      </c>
      <c r="Y1203">
        <v>22</v>
      </c>
      <c r="Z1203">
        <v>0.65</v>
      </c>
      <c r="AA1203">
        <v>1</v>
      </c>
    </row>
    <row r="1204" spans="1:27" x14ac:dyDescent="0.25">
      <c r="A1204" t="s">
        <v>98</v>
      </c>
      <c r="B1204" t="s">
        <v>99</v>
      </c>
      <c r="C1204" t="s">
        <v>1367</v>
      </c>
      <c r="D1204" t="s">
        <v>101</v>
      </c>
      <c r="E1204" t="s">
        <v>426</v>
      </c>
      <c r="G1204" t="s">
        <v>437</v>
      </c>
      <c r="H1204" t="s">
        <v>125</v>
      </c>
      <c r="I1204">
        <v>2016</v>
      </c>
      <c r="J1204" t="s">
        <v>438</v>
      </c>
      <c r="K1204" t="s">
        <v>127</v>
      </c>
      <c r="L1204" t="s">
        <v>1501</v>
      </c>
      <c r="M1204" t="s">
        <v>1505</v>
      </c>
      <c r="N1204">
        <v>1</v>
      </c>
      <c r="O1204">
        <v>2020</v>
      </c>
      <c r="P1204">
        <v>658.45390033492083</v>
      </c>
      <c r="Q1204">
        <v>0.1064422737763619</v>
      </c>
      <c r="R1204" t="s">
        <v>391</v>
      </c>
      <c r="S1204">
        <v>6186.0187402455367</v>
      </c>
      <c r="T1204">
        <v>275</v>
      </c>
      <c r="U1204" t="s">
        <v>392</v>
      </c>
      <c r="V1204">
        <v>1</v>
      </c>
      <c r="W1204">
        <v>16.5973520403479</v>
      </c>
      <c r="X1204">
        <v>27.331519839424129</v>
      </c>
      <c r="Y1204">
        <v>22</v>
      </c>
      <c r="Z1204">
        <v>0.65</v>
      </c>
      <c r="AA1204">
        <v>1</v>
      </c>
    </row>
    <row r="1205" spans="1:27" x14ac:dyDescent="0.25">
      <c r="A1205" t="s">
        <v>98</v>
      </c>
      <c r="B1205" t="s">
        <v>99</v>
      </c>
      <c r="C1205" t="s">
        <v>1367</v>
      </c>
      <c r="D1205" t="s">
        <v>101</v>
      </c>
      <c r="E1205" t="s">
        <v>426</v>
      </c>
      <c r="G1205" t="s">
        <v>440</v>
      </c>
      <c r="H1205" t="s">
        <v>125</v>
      </c>
      <c r="I1205">
        <v>2016</v>
      </c>
      <c r="J1205" t="s">
        <v>441</v>
      </c>
      <c r="K1205" t="s">
        <v>127</v>
      </c>
      <c r="L1205" t="s">
        <v>1501</v>
      </c>
      <c r="M1205" t="s">
        <v>1506</v>
      </c>
      <c r="N1205">
        <v>1</v>
      </c>
      <c r="O1205">
        <v>2020</v>
      </c>
      <c r="P1205">
        <v>841.35776153906556</v>
      </c>
      <c r="Q1205">
        <v>0.1064422737763619</v>
      </c>
      <c r="R1205" t="s">
        <v>391</v>
      </c>
      <c r="S1205">
        <v>7904.3572792026307</v>
      </c>
      <c r="T1205">
        <v>477.41800000000001</v>
      </c>
      <c r="U1205" t="s">
        <v>392</v>
      </c>
      <c r="V1205">
        <v>1.736065454545455</v>
      </c>
      <c r="W1205">
        <v>16.5973520403479</v>
      </c>
      <c r="X1205">
        <v>27.331519839424129</v>
      </c>
      <c r="Y1205">
        <v>22</v>
      </c>
      <c r="Z1205">
        <v>0.65</v>
      </c>
      <c r="AA1205">
        <v>1</v>
      </c>
    </row>
    <row r="1206" spans="1:27" x14ac:dyDescent="0.25">
      <c r="A1206" t="s">
        <v>98</v>
      </c>
      <c r="B1206" t="s">
        <v>99</v>
      </c>
      <c r="C1206" t="s">
        <v>1367</v>
      </c>
      <c r="D1206" t="s">
        <v>101</v>
      </c>
      <c r="E1206" t="s">
        <v>426</v>
      </c>
      <c r="G1206" t="s">
        <v>443</v>
      </c>
      <c r="H1206" t="s">
        <v>125</v>
      </c>
      <c r="I1206">
        <v>2016</v>
      </c>
      <c r="J1206" t="s">
        <v>444</v>
      </c>
      <c r="K1206" t="s">
        <v>127</v>
      </c>
      <c r="L1206" t="s">
        <v>1501</v>
      </c>
      <c r="M1206" t="s">
        <v>1507</v>
      </c>
      <c r="N1206">
        <v>1</v>
      </c>
      <c r="O1206">
        <v>2020</v>
      </c>
      <c r="P1206">
        <v>914.51930602072343</v>
      </c>
      <c r="Q1206">
        <v>0.1064422737763619</v>
      </c>
      <c r="R1206" t="s">
        <v>391</v>
      </c>
      <c r="S1206">
        <v>8591.6926947854681</v>
      </c>
      <c r="T1206">
        <v>446</v>
      </c>
      <c r="U1206" t="s">
        <v>392</v>
      </c>
      <c r="V1206">
        <v>1.621818181818182</v>
      </c>
      <c r="W1206">
        <v>16.5973520403479</v>
      </c>
      <c r="X1206">
        <v>27.331519839424129</v>
      </c>
      <c r="Y1206">
        <v>22</v>
      </c>
      <c r="Z1206">
        <v>0.65</v>
      </c>
      <c r="AA1206">
        <v>1</v>
      </c>
    </row>
    <row r="1207" spans="1:27" x14ac:dyDescent="0.25">
      <c r="A1207" t="s">
        <v>98</v>
      </c>
      <c r="B1207" t="s">
        <v>99</v>
      </c>
      <c r="C1207" t="s">
        <v>1367</v>
      </c>
      <c r="D1207" t="s">
        <v>101</v>
      </c>
      <c r="E1207" t="s">
        <v>426</v>
      </c>
      <c r="G1207" t="s">
        <v>446</v>
      </c>
      <c r="H1207" t="s">
        <v>125</v>
      </c>
      <c r="I1207">
        <v>2016</v>
      </c>
      <c r="J1207" t="s">
        <v>447</v>
      </c>
      <c r="K1207" t="s">
        <v>127</v>
      </c>
      <c r="L1207" t="s">
        <v>1501</v>
      </c>
      <c r="M1207" t="s">
        <v>1508</v>
      </c>
      <c r="N1207">
        <v>1</v>
      </c>
      <c r="O1207">
        <v>2020</v>
      </c>
      <c r="P1207">
        <v>963.29366900849539</v>
      </c>
      <c r="Q1207">
        <v>0.1064422737763619</v>
      </c>
      <c r="R1207" t="s">
        <v>391</v>
      </c>
      <c r="S1207">
        <v>9049.916305174027</v>
      </c>
      <c r="T1207">
        <v>429.67619999999999</v>
      </c>
      <c r="U1207" t="s">
        <v>392</v>
      </c>
      <c r="V1207">
        <v>1.5624589090909089</v>
      </c>
      <c r="W1207">
        <v>16.5973520403479</v>
      </c>
      <c r="X1207">
        <v>27.331519839424129</v>
      </c>
      <c r="Y1207">
        <v>22</v>
      </c>
      <c r="Z1207">
        <v>0.65</v>
      </c>
      <c r="AA1207">
        <v>1</v>
      </c>
    </row>
    <row r="1208" spans="1:27" x14ac:dyDescent="0.25">
      <c r="A1208" t="s">
        <v>98</v>
      </c>
      <c r="B1208" t="s">
        <v>99</v>
      </c>
      <c r="C1208" t="s">
        <v>1367</v>
      </c>
      <c r="D1208" t="s">
        <v>101</v>
      </c>
      <c r="E1208" t="s">
        <v>426</v>
      </c>
      <c r="G1208" t="s">
        <v>449</v>
      </c>
      <c r="H1208" t="s">
        <v>125</v>
      </c>
      <c r="I1208">
        <v>2016</v>
      </c>
      <c r="J1208" t="s">
        <v>450</v>
      </c>
      <c r="K1208" t="s">
        <v>127</v>
      </c>
      <c r="L1208" t="s">
        <v>1501</v>
      </c>
      <c r="M1208" t="s">
        <v>1509</v>
      </c>
      <c r="N1208">
        <v>1</v>
      </c>
      <c r="O1208">
        <v>2020</v>
      </c>
      <c r="P1208">
        <v>987.6808505023813</v>
      </c>
      <c r="Q1208">
        <v>0.1064422737763619</v>
      </c>
      <c r="R1208" t="s">
        <v>391</v>
      </c>
      <c r="S1208">
        <v>9279.0281103683064</v>
      </c>
      <c r="T1208">
        <v>419</v>
      </c>
      <c r="U1208" t="s">
        <v>392</v>
      </c>
      <c r="V1208">
        <v>1.5236363636363639</v>
      </c>
      <c r="W1208">
        <v>16.5973520403479</v>
      </c>
      <c r="X1208">
        <v>27.331519839424129</v>
      </c>
      <c r="Y1208">
        <v>22</v>
      </c>
      <c r="Z1208">
        <v>0.65</v>
      </c>
      <c r="AA1208">
        <v>1</v>
      </c>
    </row>
    <row r="1209" spans="1:27" x14ac:dyDescent="0.25">
      <c r="A1209" t="s">
        <v>98</v>
      </c>
      <c r="B1209" t="s">
        <v>99</v>
      </c>
      <c r="C1209" t="s">
        <v>1367</v>
      </c>
      <c r="D1209" t="s">
        <v>101</v>
      </c>
      <c r="E1209" t="s">
        <v>452</v>
      </c>
      <c r="G1209" t="s">
        <v>111</v>
      </c>
      <c r="H1209" t="s">
        <v>104</v>
      </c>
      <c r="I1209">
        <v>2016</v>
      </c>
      <c r="J1209" t="s">
        <v>453</v>
      </c>
      <c r="K1209" t="s">
        <v>106</v>
      </c>
      <c r="L1209" t="s">
        <v>1510</v>
      </c>
      <c r="M1209" t="s">
        <v>1511</v>
      </c>
      <c r="N1209">
        <v>1</v>
      </c>
      <c r="O1209">
        <v>2020</v>
      </c>
      <c r="P1209">
        <v>451.16285763689018</v>
      </c>
      <c r="Q1209">
        <v>30.659778388311501</v>
      </c>
      <c r="R1209" t="s">
        <v>391</v>
      </c>
      <c r="S1209">
        <v>14.71513759567447</v>
      </c>
      <c r="T1209">
        <v>0.45</v>
      </c>
      <c r="U1209" t="s">
        <v>456</v>
      </c>
      <c r="V1209">
        <v>0.45</v>
      </c>
      <c r="W1209">
        <v>9</v>
      </c>
      <c r="X1209">
        <v>15</v>
      </c>
      <c r="Y1209">
        <v>13</v>
      </c>
      <c r="Z1209">
        <v>9.0000000000000011E-2</v>
      </c>
      <c r="AA1209">
        <v>1</v>
      </c>
    </row>
    <row r="1210" spans="1:27" x14ac:dyDescent="0.25">
      <c r="A1210" t="s">
        <v>98</v>
      </c>
      <c r="B1210" t="s">
        <v>99</v>
      </c>
      <c r="C1210" t="s">
        <v>1367</v>
      </c>
      <c r="D1210" t="s">
        <v>101</v>
      </c>
      <c r="E1210" t="s">
        <v>452</v>
      </c>
      <c r="G1210" t="s">
        <v>119</v>
      </c>
      <c r="H1210" t="s">
        <v>104</v>
      </c>
      <c r="I1210">
        <v>2016</v>
      </c>
      <c r="J1210" t="s">
        <v>457</v>
      </c>
      <c r="K1210" t="s">
        <v>106</v>
      </c>
      <c r="L1210" t="s">
        <v>1510</v>
      </c>
      <c r="M1210" t="s">
        <v>1512</v>
      </c>
      <c r="N1210">
        <v>1</v>
      </c>
      <c r="O1210">
        <v>2020</v>
      </c>
      <c r="P1210">
        <v>521.3437466026287</v>
      </c>
      <c r="Q1210">
        <v>30.659778388311501</v>
      </c>
      <c r="R1210" t="s">
        <v>391</v>
      </c>
      <c r="S1210">
        <v>17.004158999446059</v>
      </c>
      <c r="T1210">
        <v>0.52</v>
      </c>
      <c r="U1210" t="s">
        <v>456</v>
      </c>
      <c r="V1210">
        <v>0.52</v>
      </c>
      <c r="W1210">
        <v>9</v>
      </c>
      <c r="X1210">
        <v>15</v>
      </c>
      <c r="Y1210">
        <v>13</v>
      </c>
      <c r="Z1210">
        <v>9.0000000000000011E-2</v>
      </c>
      <c r="AA1210">
        <v>1</v>
      </c>
    </row>
    <row r="1211" spans="1:27" x14ac:dyDescent="0.25">
      <c r="A1211" t="s">
        <v>98</v>
      </c>
      <c r="B1211" t="s">
        <v>99</v>
      </c>
      <c r="C1211" t="s">
        <v>1367</v>
      </c>
      <c r="D1211" t="s">
        <v>101</v>
      </c>
      <c r="E1211" t="s">
        <v>452</v>
      </c>
      <c r="G1211" t="s">
        <v>111</v>
      </c>
      <c r="H1211" t="s">
        <v>156</v>
      </c>
      <c r="I1211">
        <v>2016</v>
      </c>
      <c r="J1211" t="s">
        <v>459</v>
      </c>
      <c r="K1211" t="s">
        <v>158</v>
      </c>
      <c r="L1211" t="s">
        <v>1510</v>
      </c>
      <c r="M1211" t="s">
        <v>1513</v>
      </c>
      <c r="N1211">
        <v>1</v>
      </c>
      <c r="O1211">
        <v>2020</v>
      </c>
      <c r="P1211">
        <v>451.16285763689018</v>
      </c>
      <c r="Q1211">
        <v>30.659778388311501</v>
      </c>
      <c r="R1211" t="s">
        <v>391</v>
      </c>
      <c r="S1211">
        <v>14.71513759567447</v>
      </c>
      <c r="T1211">
        <v>0.45</v>
      </c>
      <c r="U1211" t="s">
        <v>456</v>
      </c>
      <c r="V1211">
        <v>0.45</v>
      </c>
      <c r="W1211">
        <v>9</v>
      </c>
      <c r="X1211">
        <v>15</v>
      </c>
      <c r="Y1211">
        <v>13</v>
      </c>
      <c r="Z1211">
        <v>9.0000000000000011E-2</v>
      </c>
      <c r="AA1211">
        <v>1</v>
      </c>
    </row>
    <row r="1212" spans="1:27" x14ac:dyDescent="0.25">
      <c r="A1212" t="s">
        <v>98</v>
      </c>
      <c r="B1212" t="s">
        <v>99</v>
      </c>
      <c r="C1212" t="s">
        <v>1367</v>
      </c>
      <c r="D1212" t="s">
        <v>101</v>
      </c>
      <c r="E1212" t="s">
        <v>452</v>
      </c>
      <c r="G1212" t="s">
        <v>119</v>
      </c>
      <c r="H1212" t="s">
        <v>156</v>
      </c>
      <c r="I1212">
        <v>2016</v>
      </c>
      <c r="J1212" t="s">
        <v>461</v>
      </c>
      <c r="K1212" t="s">
        <v>158</v>
      </c>
      <c r="L1212" t="s">
        <v>1510</v>
      </c>
      <c r="M1212" t="s">
        <v>1514</v>
      </c>
      <c r="N1212">
        <v>1</v>
      </c>
      <c r="O1212">
        <v>2020</v>
      </c>
      <c r="P1212">
        <v>521.3437466026287</v>
      </c>
      <c r="Q1212">
        <v>30.659778388311501</v>
      </c>
      <c r="R1212" t="s">
        <v>391</v>
      </c>
      <c r="S1212">
        <v>17.004158999446059</v>
      </c>
      <c r="T1212">
        <v>0.52</v>
      </c>
      <c r="U1212" t="s">
        <v>456</v>
      </c>
      <c r="V1212">
        <v>0.52</v>
      </c>
      <c r="W1212">
        <v>9</v>
      </c>
      <c r="X1212">
        <v>15</v>
      </c>
      <c r="Y1212">
        <v>13</v>
      </c>
      <c r="Z1212">
        <v>9.0000000000000011E-2</v>
      </c>
      <c r="AA1212">
        <v>1</v>
      </c>
    </row>
    <row r="1213" spans="1:27" x14ac:dyDescent="0.25">
      <c r="A1213" t="s">
        <v>98</v>
      </c>
      <c r="B1213" t="s">
        <v>99</v>
      </c>
      <c r="C1213" t="s">
        <v>1367</v>
      </c>
      <c r="D1213" t="s">
        <v>101</v>
      </c>
      <c r="E1213" t="s">
        <v>452</v>
      </c>
      <c r="G1213" t="s">
        <v>111</v>
      </c>
      <c r="H1213" t="s">
        <v>125</v>
      </c>
      <c r="I1213">
        <v>2016</v>
      </c>
      <c r="J1213" t="s">
        <v>463</v>
      </c>
      <c r="K1213" t="s">
        <v>127</v>
      </c>
      <c r="L1213" t="s">
        <v>1510</v>
      </c>
      <c r="M1213" t="s">
        <v>1515</v>
      </c>
      <c r="N1213">
        <v>1</v>
      </c>
      <c r="O1213">
        <v>2020</v>
      </c>
      <c r="P1213">
        <v>938.90648751460947</v>
      </c>
      <c r="Q1213">
        <v>30.659778388311501</v>
      </c>
      <c r="R1213" t="s">
        <v>391</v>
      </c>
      <c r="S1213">
        <v>30.623394455863099</v>
      </c>
      <c r="T1213">
        <v>228.0913607809874</v>
      </c>
      <c r="U1213" t="s">
        <v>392</v>
      </c>
      <c r="V1213">
        <v>0.9</v>
      </c>
      <c r="W1213">
        <v>10</v>
      </c>
      <c r="X1213">
        <v>20</v>
      </c>
      <c r="Y1213">
        <v>16</v>
      </c>
      <c r="Z1213">
        <v>9.0000000000000011E-2</v>
      </c>
      <c r="AA1213">
        <v>1</v>
      </c>
    </row>
    <row r="1214" spans="1:27" x14ac:dyDescent="0.25">
      <c r="A1214" t="s">
        <v>98</v>
      </c>
      <c r="B1214" t="s">
        <v>99</v>
      </c>
      <c r="C1214" t="s">
        <v>1367</v>
      </c>
      <c r="D1214" t="s">
        <v>101</v>
      </c>
      <c r="E1214" t="s">
        <v>465</v>
      </c>
      <c r="G1214" t="s">
        <v>466</v>
      </c>
      <c r="H1214" t="s">
        <v>125</v>
      </c>
      <c r="I1214">
        <v>2030</v>
      </c>
      <c r="J1214" t="s">
        <v>467</v>
      </c>
      <c r="K1214" t="s">
        <v>127</v>
      </c>
      <c r="L1214" t="s">
        <v>1516</v>
      </c>
      <c r="M1214" t="s">
        <v>1517</v>
      </c>
      <c r="N1214">
        <v>1</v>
      </c>
      <c r="O1214">
        <v>2030</v>
      </c>
      <c r="P1214">
        <v>1646.1347508373019</v>
      </c>
      <c r="Q1214">
        <v>2.3150423430152598</v>
      </c>
      <c r="R1214" t="s">
        <v>391</v>
      </c>
      <c r="S1214">
        <v>711.06032069083892</v>
      </c>
      <c r="T1214">
        <v>0.28000000000000003</v>
      </c>
      <c r="U1214" t="s">
        <v>470</v>
      </c>
      <c r="V1214">
        <v>2.333333333333333</v>
      </c>
      <c r="W1214">
        <v>6</v>
      </c>
      <c r="X1214">
        <v>17</v>
      </c>
      <c r="Y1214">
        <v>12</v>
      </c>
      <c r="Z1214">
        <v>0.02</v>
      </c>
      <c r="AA1214">
        <v>1</v>
      </c>
    </row>
    <row r="1215" spans="1:27" x14ac:dyDescent="0.25">
      <c r="A1215" t="s">
        <v>98</v>
      </c>
      <c r="B1215" t="s">
        <v>99</v>
      </c>
      <c r="C1215" t="s">
        <v>1367</v>
      </c>
      <c r="D1215" t="s">
        <v>101</v>
      </c>
      <c r="E1215" t="s">
        <v>465</v>
      </c>
      <c r="G1215" t="s">
        <v>471</v>
      </c>
      <c r="H1215" t="s">
        <v>125</v>
      </c>
      <c r="I1215">
        <v>2016</v>
      </c>
      <c r="J1215" t="s">
        <v>472</v>
      </c>
      <c r="K1215" t="s">
        <v>127</v>
      </c>
      <c r="L1215" t="s">
        <v>1516</v>
      </c>
      <c r="M1215" t="s">
        <v>1518</v>
      </c>
      <c r="N1215">
        <v>1</v>
      </c>
      <c r="O1215">
        <v>2020</v>
      </c>
      <c r="P1215">
        <v>792.58339855129361</v>
      </c>
      <c r="Q1215">
        <v>2.3150423430152598</v>
      </c>
      <c r="R1215" t="s">
        <v>391</v>
      </c>
      <c r="S1215">
        <v>342.36237662892239</v>
      </c>
      <c r="T1215">
        <v>0.26</v>
      </c>
      <c r="U1215" t="s">
        <v>470</v>
      </c>
      <c r="V1215">
        <v>2.166666666666667</v>
      </c>
      <c r="W1215">
        <v>6</v>
      </c>
      <c r="X1215">
        <v>17</v>
      </c>
      <c r="Y1215">
        <v>12</v>
      </c>
      <c r="Z1215">
        <v>0.02</v>
      </c>
      <c r="AA1215">
        <v>1</v>
      </c>
    </row>
    <row r="1216" spans="1:27" x14ac:dyDescent="0.25">
      <c r="A1216" t="s">
        <v>98</v>
      </c>
      <c r="B1216" t="s">
        <v>99</v>
      </c>
      <c r="C1216" t="s">
        <v>1367</v>
      </c>
      <c r="D1216" t="s">
        <v>101</v>
      </c>
      <c r="E1216" t="s">
        <v>465</v>
      </c>
      <c r="G1216" t="s">
        <v>474</v>
      </c>
      <c r="H1216" t="s">
        <v>125</v>
      </c>
      <c r="I1216">
        <v>2016</v>
      </c>
      <c r="J1216" t="s">
        <v>475</v>
      </c>
      <c r="K1216" t="s">
        <v>127</v>
      </c>
      <c r="L1216" t="s">
        <v>1516</v>
      </c>
      <c r="M1216" t="s">
        <v>1519</v>
      </c>
      <c r="N1216">
        <v>0</v>
      </c>
      <c r="O1216">
        <v>2020</v>
      </c>
      <c r="P1216">
        <v>792.58339855129361</v>
      </c>
      <c r="Q1216">
        <v>2.3150423430152598</v>
      </c>
      <c r="R1216" t="s">
        <v>391</v>
      </c>
      <c r="S1216">
        <v>342.36237662892239</v>
      </c>
      <c r="T1216">
        <v>0.26</v>
      </c>
      <c r="U1216" t="s">
        <v>470</v>
      </c>
      <c r="V1216">
        <v>2.166666666666667</v>
      </c>
      <c r="W1216">
        <v>6</v>
      </c>
      <c r="X1216">
        <v>17</v>
      </c>
      <c r="Y1216">
        <v>12</v>
      </c>
      <c r="Z1216">
        <v>0.02</v>
      </c>
      <c r="AA1216">
        <v>1</v>
      </c>
    </row>
    <row r="1217" spans="1:27" x14ac:dyDescent="0.25">
      <c r="A1217" t="s">
        <v>98</v>
      </c>
      <c r="B1217" t="s">
        <v>99</v>
      </c>
      <c r="C1217" t="s">
        <v>1367</v>
      </c>
      <c r="D1217" t="s">
        <v>101</v>
      </c>
      <c r="E1217" t="s">
        <v>465</v>
      </c>
      <c r="G1217" t="s">
        <v>474</v>
      </c>
      <c r="H1217" t="s">
        <v>125</v>
      </c>
      <c r="I1217">
        <v>2020</v>
      </c>
      <c r="J1217" t="s">
        <v>477</v>
      </c>
      <c r="K1217" t="s">
        <v>127</v>
      </c>
      <c r="L1217" t="s">
        <v>1516</v>
      </c>
      <c r="M1217" t="s">
        <v>1519</v>
      </c>
      <c r="N1217">
        <v>1</v>
      </c>
      <c r="O1217">
        <v>2020</v>
      </c>
      <c r="P1217">
        <v>914.51930602072343</v>
      </c>
      <c r="Q1217">
        <v>2.3150423430152598</v>
      </c>
      <c r="R1217" t="s">
        <v>391</v>
      </c>
      <c r="S1217">
        <v>395.03351149491061</v>
      </c>
      <c r="T1217">
        <v>0.24</v>
      </c>
      <c r="U1217" t="s">
        <v>470</v>
      </c>
      <c r="V1217">
        <v>2</v>
      </c>
      <c r="W1217">
        <v>6</v>
      </c>
      <c r="X1217">
        <v>17</v>
      </c>
      <c r="Y1217">
        <v>12</v>
      </c>
      <c r="Z1217">
        <v>0.02</v>
      </c>
      <c r="AA1217">
        <v>1</v>
      </c>
    </row>
    <row r="1218" spans="1:27" x14ac:dyDescent="0.25">
      <c r="A1218" t="s">
        <v>98</v>
      </c>
      <c r="B1218" t="s">
        <v>99</v>
      </c>
      <c r="C1218" t="s">
        <v>1367</v>
      </c>
      <c r="D1218" t="s">
        <v>101</v>
      </c>
      <c r="E1218" t="s">
        <v>465</v>
      </c>
      <c r="G1218" t="s">
        <v>478</v>
      </c>
      <c r="H1218" t="s">
        <v>125</v>
      </c>
      <c r="I1218">
        <v>2016</v>
      </c>
      <c r="J1218" t="s">
        <v>479</v>
      </c>
      <c r="K1218" t="s">
        <v>127</v>
      </c>
      <c r="L1218" t="s">
        <v>1516</v>
      </c>
      <c r="M1218" t="s">
        <v>1520</v>
      </c>
      <c r="N1218">
        <v>1</v>
      </c>
      <c r="O1218">
        <v>2020</v>
      </c>
      <c r="P1218">
        <v>1158.3911209595831</v>
      </c>
      <c r="Q1218">
        <v>2.3150423430152598</v>
      </c>
      <c r="R1218" t="s">
        <v>391</v>
      </c>
      <c r="S1218">
        <v>500.37578122688672</v>
      </c>
      <c r="T1218">
        <v>0.15</v>
      </c>
      <c r="U1218" t="s">
        <v>470</v>
      </c>
      <c r="V1218">
        <v>1.25</v>
      </c>
      <c r="W1218">
        <v>6</v>
      </c>
      <c r="X1218">
        <v>17</v>
      </c>
      <c r="Y1218">
        <v>12</v>
      </c>
      <c r="Z1218">
        <v>0.02</v>
      </c>
      <c r="AA1218">
        <v>1</v>
      </c>
    </row>
    <row r="1219" spans="1:27" x14ac:dyDescent="0.25">
      <c r="A1219" t="s">
        <v>98</v>
      </c>
      <c r="B1219" t="s">
        <v>99</v>
      </c>
      <c r="C1219" t="s">
        <v>1367</v>
      </c>
      <c r="D1219" t="s">
        <v>101</v>
      </c>
      <c r="E1219" t="s">
        <v>465</v>
      </c>
      <c r="G1219" t="s">
        <v>481</v>
      </c>
      <c r="H1219" t="s">
        <v>125</v>
      </c>
      <c r="I1219">
        <v>2016</v>
      </c>
      <c r="J1219" t="s">
        <v>482</v>
      </c>
      <c r="K1219" t="s">
        <v>127</v>
      </c>
      <c r="L1219" t="s">
        <v>1516</v>
      </c>
      <c r="M1219" t="s">
        <v>1521</v>
      </c>
      <c r="N1219">
        <v>1</v>
      </c>
      <c r="O1219">
        <v>2020</v>
      </c>
      <c r="P1219">
        <v>1371.7789590310849</v>
      </c>
      <c r="Q1219">
        <v>2.3150423430152598</v>
      </c>
      <c r="R1219" t="s">
        <v>391</v>
      </c>
      <c r="S1219">
        <v>592.55026724236586</v>
      </c>
      <c r="T1219">
        <v>0.12</v>
      </c>
      <c r="U1219" t="s">
        <v>470</v>
      </c>
      <c r="V1219">
        <v>1</v>
      </c>
      <c r="W1219">
        <v>6</v>
      </c>
      <c r="X1219">
        <v>17</v>
      </c>
      <c r="Y1219">
        <v>12</v>
      </c>
      <c r="Z1219">
        <v>0.02</v>
      </c>
      <c r="AA1219">
        <v>1</v>
      </c>
    </row>
    <row r="1220" spans="1:27" x14ac:dyDescent="0.25">
      <c r="A1220" t="s">
        <v>98</v>
      </c>
      <c r="B1220" t="s">
        <v>99</v>
      </c>
      <c r="C1220" t="s">
        <v>1367</v>
      </c>
      <c r="D1220" t="s">
        <v>101</v>
      </c>
      <c r="E1220" t="s">
        <v>465</v>
      </c>
      <c r="G1220" t="s">
        <v>484</v>
      </c>
      <c r="H1220" t="s">
        <v>125</v>
      </c>
      <c r="I1220">
        <v>2016</v>
      </c>
      <c r="J1220" t="s">
        <v>485</v>
      </c>
      <c r="K1220" t="s">
        <v>127</v>
      </c>
      <c r="L1220" t="s">
        <v>1516</v>
      </c>
      <c r="M1220" t="s">
        <v>1522</v>
      </c>
      <c r="N1220">
        <v>1</v>
      </c>
      <c r="O1220">
        <v>2020</v>
      </c>
      <c r="P1220">
        <v>1158.3911209595831</v>
      </c>
      <c r="Q1220">
        <v>2.3150423430152598</v>
      </c>
      <c r="R1220" t="s">
        <v>391</v>
      </c>
      <c r="S1220">
        <v>500.37578122688672</v>
      </c>
      <c r="T1220">
        <v>0.15</v>
      </c>
      <c r="U1220" t="s">
        <v>470</v>
      </c>
      <c r="V1220">
        <v>1.25</v>
      </c>
      <c r="W1220">
        <v>6</v>
      </c>
      <c r="X1220">
        <v>17</v>
      </c>
      <c r="Y1220">
        <v>12</v>
      </c>
      <c r="Z1220">
        <v>0.02</v>
      </c>
      <c r="AA1220">
        <v>1</v>
      </c>
    </row>
    <row r="1221" spans="1:27" x14ac:dyDescent="0.25">
      <c r="A1221" t="s">
        <v>98</v>
      </c>
      <c r="B1221" t="s">
        <v>99</v>
      </c>
      <c r="C1221" t="s">
        <v>1367</v>
      </c>
      <c r="D1221" t="s">
        <v>101</v>
      </c>
      <c r="E1221" t="s">
        <v>465</v>
      </c>
      <c r="G1221" t="s">
        <v>487</v>
      </c>
      <c r="H1221" t="s">
        <v>125</v>
      </c>
      <c r="I1221">
        <v>2016</v>
      </c>
      <c r="J1221" t="s">
        <v>488</v>
      </c>
      <c r="K1221" t="s">
        <v>127</v>
      </c>
      <c r="L1221" t="s">
        <v>1516</v>
      </c>
      <c r="M1221" t="s">
        <v>1523</v>
      </c>
      <c r="N1221">
        <v>1</v>
      </c>
      <c r="O1221">
        <v>2020</v>
      </c>
      <c r="P1221">
        <v>1219.359074694298</v>
      </c>
      <c r="Q1221">
        <v>2.3150423430152598</v>
      </c>
      <c r="R1221" t="s">
        <v>391</v>
      </c>
      <c r="S1221">
        <v>526.71134865988074</v>
      </c>
      <c r="T1221">
        <v>0.21</v>
      </c>
      <c r="U1221" t="s">
        <v>470</v>
      </c>
      <c r="V1221">
        <v>1.75</v>
      </c>
      <c r="W1221">
        <v>6</v>
      </c>
      <c r="X1221">
        <v>17</v>
      </c>
      <c r="Y1221">
        <v>12</v>
      </c>
      <c r="Z1221">
        <v>0.02</v>
      </c>
      <c r="AA1221">
        <v>1</v>
      </c>
    </row>
    <row r="1222" spans="1:27" x14ac:dyDescent="0.25">
      <c r="A1222" t="s">
        <v>98</v>
      </c>
      <c r="B1222" t="s">
        <v>99</v>
      </c>
      <c r="C1222" t="s">
        <v>1367</v>
      </c>
      <c r="D1222" t="s">
        <v>101</v>
      </c>
      <c r="E1222" t="s">
        <v>465</v>
      </c>
      <c r="G1222" t="s">
        <v>487</v>
      </c>
      <c r="H1222" t="s">
        <v>125</v>
      </c>
      <c r="I1222">
        <v>2030</v>
      </c>
      <c r="J1222" t="s">
        <v>490</v>
      </c>
      <c r="K1222" t="s">
        <v>127</v>
      </c>
      <c r="L1222" t="s">
        <v>1516</v>
      </c>
      <c r="M1222" t="s">
        <v>1524</v>
      </c>
      <c r="N1222">
        <v>1</v>
      </c>
      <c r="O1222">
        <v>2030</v>
      </c>
      <c r="P1222">
        <v>1280.3270284290129</v>
      </c>
      <c r="Q1222">
        <v>2.3150423430152598</v>
      </c>
      <c r="R1222" t="s">
        <v>391</v>
      </c>
      <c r="S1222">
        <v>553.04691609287477</v>
      </c>
      <c r="T1222">
        <v>0.17</v>
      </c>
      <c r="U1222" t="s">
        <v>470</v>
      </c>
      <c r="V1222">
        <v>1.416666666666667</v>
      </c>
      <c r="W1222">
        <v>6</v>
      </c>
      <c r="X1222">
        <v>17</v>
      </c>
      <c r="Y1222">
        <v>12</v>
      </c>
      <c r="Z1222">
        <v>0.02</v>
      </c>
      <c r="AA1222">
        <v>1</v>
      </c>
    </row>
    <row r="1223" spans="1:27" x14ac:dyDescent="0.25">
      <c r="A1223" t="s">
        <v>98</v>
      </c>
      <c r="B1223" t="s">
        <v>99</v>
      </c>
      <c r="C1223" t="s">
        <v>1367</v>
      </c>
      <c r="D1223" t="s">
        <v>101</v>
      </c>
      <c r="E1223" t="s">
        <v>465</v>
      </c>
      <c r="G1223" t="s">
        <v>492</v>
      </c>
      <c r="H1223" t="s">
        <v>125</v>
      </c>
      <c r="I1223">
        <v>2016</v>
      </c>
      <c r="J1223" t="s">
        <v>493</v>
      </c>
      <c r="K1223" t="s">
        <v>127</v>
      </c>
      <c r="L1223" t="s">
        <v>1516</v>
      </c>
      <c r="M1223" t="s">
        <v>1525</v>
      </c>
      <c r="N1223">
        <v>1</v>
      </c>
      <c r="O1223">
        <v>2020</v>
      </c>
      <c r="P1223">
        <v>1158.3911209595831</v>
      </c>
      <c r="Q1223">
        <v>2.3150423430152598</v>
      </c>
      <c r="R1223" t="s">
        <v>391</v>
      </c>
      <c r="S1223">
        <v>500.37578122688672</v>
      </c>
      <c r="T1223">
        <v>0.28999999999999998</v>
      </c>
      <c r="U1223" t="s">
        <v>470</v>
      </c>
      <c r="V1223">
        <v>2.416666666666667</v>
      </c>
      <c r="W1223">
        <v>6</v>
      </c>
      <c r="X1223">
        <v>17</v>
      </c>
      <c r="Y1223">
        <v>12</v>
      </c>
      <c r="Z1223">
        <v>0.02</v>
      </c>
      <c r="AA1223">
        <v>1</v>
      </c>
    </row>
    <row r="1224" spans="1:27" x14ac:dyDescent="0.25">
      <c r="A1224" t="s">
        <v>98</v>
      </c>
      <c r="B1224" t="s">
        <v>99</v>
      </c>
      <c r="C1224" t="s">
        <v>1367</v>
      </c>
      <c r="D1224" t="s">
        <v>101</v>
      </c>
      <c r="E1224" t="s">
        <v>465</v>
      </c>
      <c r="G1224" t="s">
        <v>466</v>
      </c>
      <c r="H1224" t="s">
        <v>125</v>
      </c>
      <c r="I1224">
        <v>2016</v>
      </c>
      <c r="J1224" t="s">
        <v>495</v>
      </c>
      <c r="K1224" t="s">
        <v>127</v>
      </c>
      <c r="L1224" t="s">
        <v>1516</v>
      </c>
      <c r="M1224" t="s">
        <v>1526</v>
      </c>
      <c r="N1224">
        <v>0</v>
      </c>
      <c r="O1224">
        <v>2020</v>
      </c>
      <c r="P1224">
        <v>1280.3270284290129</v>
      </c>
      <c r="Q1224">
        <v>2.3150423430152598</v>
      </c>
      <c r="R1224" t="s">
        <v>391</v>
      </c>
      <c r="S1224">
        <v>553.04691609287477</v>
      </c>
      <c r="T1224">
        <v>0.17</v>
      </c>
      <c r="U1224" t="s">
        <v>470</v>
      </c>
      <c r="V1224">
        <v>1.416666666666667</v>
      </c>
      <c r="W1224">
        <v>6</v>
      </c>
      <c r="X1224">
        <v>17</v>
      </c>
      <c r="Y1224">
        <v>12</v>
      </c>
      <c r="Z1224">
        <v>0.02</v>
      </c>
      <c r="AA1224">
        <v>1</v>
      </c>
    </row>
    <row r="1225" spans="1:27" x14ac:dyDescent="0.25">
      <c r="A1225" t="s">
        <v>98</v>
      </c>
      <c r="B1225" t="s">
        <v>99</v>
      </c>
      <c r="C1225" t="s">
        <v>1367</v>
      </c>
      <c r="D1225" t="s">
        <v>101</v>
      </c>
      <c r="E1225" t="s">
        <v>465</v>
      </c>
      <c r="G1225" t="s">
        <v>466</v>
      </c>
      <c r="H1225" t="s">
        <v>125</v>
      </c>
      <c r="I1225">
        <v>2020</v>
      </c>
      <c r="J1225" t="s">
        <v>497</v>
      </c>
      <c r="K1225" t="s">
        <v>127</v>
      </c>
      <c r="L1225" t="s">
        <v>1516</v>
      </c>
      <c r="M1225" t="s">
        <v>1526</v>
      </c>
      <c r="N1225">
        <v>1</v>
      </c>
      <c r="O1225">
        <v>2020</v>
      </c>
      <c r="P1225">
        <v>1646.1347508373019</v>
      </c>
      <c r="Q1225">
        <v>2.3150423430152598</v>
      </c>
      <c r="R1225" t="s">
        <v>391</v>
      </c>
      <c r="S1225">
        <v>711.06032069083892</v>
      </c>
      <c r="T1225">
        <v>0.28000000000000003</v>
      </c>
      <c r="U1225" t="s">
        <v>470</v>
      </c>
      <c r="V1225">
        <v>2.333333333333333</v>
      </c>
      <c r="W1225">
        <v>6</v>
      </c>
      <c r="X1225">
        <v>17</v>
      </c>
      <c r="Y1225">
        <v>12</v>
      </c>
      <c r="Z1225">
        <v>0.02</v>
      </c>
      <c r="AA1225">
        <v>1</v>
      </c>
    </row>
    <row r="1226" spans="1:27" x14ac:dyDescent="0.25">
      <c r="A1226" t="s">
        <v>98</v>
      </c>
      <c r="B1226" t="s">
        <v>99</v>
      </c>
      <c r="C1226" t="s">
        <v>1367</v>
      </c>
      <c r="D1226" t="s">
        <v>101</v>
      </c>
      <c r="E1226" t="s">
        <v>498</v>
      </c>
      <c r="G1226" t="s">
        <v>103</v>
      </c>
      <c r="H1226" t="s">
        <v>104</v>
      </c>
      <c r="I1226">
        <v>2016</v>
      </c>
      <c r="J1226" t="s">
        <v>499</v>
      </c>
      <c r="K1226" t="s">
        <v>106</v>
      </c>
      <c r="L1226" t="s">
        <v>1527</v>
      </c>
      <c r="M1226" t="s">
        <v>1528</v>
      </c>
      <c r="N1226">
        <v>1</v>
      </c>
      <c r="O1226">
        <v>2020</v>
      </c>
      <c r="P1226">
        <v>792.58339855129361</v>
      </c>
      <c r="Q1226">
        <v>29.59868669025969</v>
      </c>
      <c r="R1226" t="s">
        <v>391</v>
      </c>
      <c r="S1226">
        <v>26.77765425356241</v>
      </c>
      <c r="T1226">
        <v>3.3</v>
      </c>
      <c r="U1226" t="s">
        <v>502</v>
      </c>
      <c r="V1226">
        <v>1</v>
      </c>
      <c r="W1226">
        <v>8</v>
      </c>
      <c r="X1226">
        <v>18</v>
      </c>
      <c r="Y1226">
        <v>14</v>
      </c>
      <c r="Z1226">
        <v>0.02</v>
      </c>
      <c r="AA1226">
        <v>1</v>
      </c>
    </row>
    <row r="1227" spans="1:27" x14ac:dyDescent="0.25">
      <c r="A1227" t="s">
        <v>98</v>
      </c>
      <c r="B1227" t="s">
        <v>99</v>
      </c>
      <c r="C1227" t="s">
        <v>1367</v>
      </c>
      <c r="D1227" t="s">
        <v>101</v>
      </c>
      <c r="E1227" t="s">
        <v>498</v>
      </c>
      <c r="G1227" t="s">
        <v>111</v>
      </c>
      <c r="H1227" t="s">
        <v>104</v>
      </c>
      <c r="I1227">
        <v>2016</v>
      </c>
      <c r="J1227" t="s">
        <v>503</v>
      </c>
      <c r="K1227" t="s">
        <v>106</v>
      </c>
      <c r="L1227" t="s">
        <v>1527</v>
      </c>
      <c r="M1227" t="s">
        <v>1529</v>
      </c>
      <c r="N1227">
        <v>1</v>
      </c>
      <c r="O1227">
        <v>2020</v>
      </c>
      <c r="P1227">
        <v>804.77698929823669</v>
      </c>
      <c r="Q1227">
        <v>29.59868669025969</v>
      </c>
      <c r="R1227" t="s">
        <v>391</v>
      </c>
      <c r="S1227">
        <v>27.189618165155679</v>
      </c>
      <c r="T1227">
        <v>3.32</v>
      </c>
      <c r="U1227" t="s">
        <v>502</v>
      </c>
      <c r="V1227">
        <v>1.0060606060606061</v>
      </c>
      <c r="W1227">
        <v>8</v>
      </c>
      <c r="X1227">
        <v>18</v>
      </c>
      <c r="Y1227">
        <v>14</v>
      </c>
      <c r="Z1227">
        <v>0.02</v>
      </c>
      <c r="AA1227">
        <v>1</v>
      </c>
    </row>
    <row r="1228" spans="1:27" x14ac:dyDescent="0.25">
      <c r="A1228" t="s">
        <v>98</v>
      </c>
      <c r="B1228" t="s">
        <v>99</v>
      </c>
      <c r="C1228" t="s">
        <v>1367</v>
      </c>
      <c r="D1228" t="s">
        <v>101</v>
      </c>
      <c r="E1228" t="s">
        <v>498</v>
      </c>
      <c r="G1228" t="s">
        <v>114</v>
      </c>
      <c r="H1228" t="s">
        <v>104</v>
      </c>
      <c r="I1228">
        <v>2016</v>
      </c>
      <c r="J1228" t="s">
        <v>505</v>
      </c>
      <c r="K1228" t="s">
        <v>106</v>
      </c>
      <c r="L1228" t="s">
        <v>1527</v>
      </c>
      <c r="M1228" t="s">
        <v>1530</v>
      </c>
      <c r="N1228">
        <v>1</v>
      </c>
      <c r="O1228">
        <v>2020</v>
      </c>
      <c r="P1228">
        <v>843.56142251742892</v>
      </c>
      <c r="Q1228">
        <v>29.59868669025969</v>
      </c>
      <c r="R1228" t="s">
        <v>391</v>
      </c>
      <c r="S1228">
        <v>28.49996120925957</v>
      </c>
      <c r="T1228">
        <v>3.48</v>
      </c>
      <c r="U1228" t="s">
        <v>502</v>
      </c>
      <c r="V1228">
        <v>1.0545454545454549</v>
      </c>
      <c r="W1228">
        <v>8</v>
      </c>
      <c r="X1228">
        <v>18</v>
      </c>
      <c r="Y1228">
        <v>14</v>
      </c>
      <c r="Z1228">
        <v>0.02</v>
      </c>
      <c r="AA1228">
        <v>1</v>
      </c>
    </row>
    <row r="1229" spans="1:27" x14ac:dyDescent="0.25">
      <c r="A1229" t="s">
        <v>98</v>
      </c>
      <c r="B1229" t="s">
        <v>99</v>
      </c>
      <c r="C1229" t="s">
        <v>1367</v>
      </c>
      <c r="D1229" t="s">
        <v>101</v>
      </c>
      <c r="E1229" t="s">
        <v>498</v>
      </c>
      <c r="G1229" t="s">
        <v>119</v>
      </c>
      <c r="H1229" t="s">
        <v>104</v>
      </c>
      <c r="I1229">
        <v>2016</v>
      </c>
      <c r="J1229" t="s">
        <v>507</v>
      </c>
      <c r="K1229" t="s">
        <v>106</v>
      </c>
      <c r="L1229" t="s">
        <v>1527</v>
      </c>
      <c r="M1229" t="s">
        <v>1531</v>
      </c>
      <c r="N1229">
        <v>1</v>
      </c>
      <c r="O1229">
        <v>2020</v>
      </c>
      <c r="P1229">
        <v>938.90648751460947</v>
      </c>
      <c r="Q1229">
        <v>29.59868669025969</v>
      </c>
      <c r="R1229" t="s">
        <v>391</v>
      </c>
      <c r="S1229">
        <v>31.721221192681629</v>
      </c>
      <c r="T1229">
        <v>3.49</v>
      </c>
      <c r="U1229" t="s">
        <v>502</v>
      </c>
      <c r="V1229">
        <v>1.0575757575757581</v>
      </c>
      <c r="W1229">
        <v>8</v>
      </c>
      <c r="X1229">
        <v>18</v>
      </c>
      <c r="Y1229">
        <v>14</v>
      </c>
      <c r="Z1229">
        <v>0.02</v>
      </c>
      <c r="AA1229">
        <v>1</v>
      </c>
    </row>
    <row r="1230" spans="1:27" x14ac:dyDescent="0.25">
      <c r="A1230" t="s">
        <v>98</v>
      </c>
      <c r="B1230" t="s">
        <v>99</v>
      </c>
      <c r="C1230" t="s">
        <v>1367</v>
      </c>
      <c r="D1230" t="s">
        <v>101</v>
      </c>
      <c r="E1230" t="s">
        <v>498</v>
      </c>
      <c r="G1230" t="s">
        <v>119</v>
      </c>
      <c r="H1230" t="s">
        <v>104</v>
      </c>
      <c r="I1230">
        <v>2030</v>
      </c>
      <c r="J1230" t="s">
        <v>509</v>
      </c>
      <c r="K1230" t="s">
        <v>106</v>
      </c>
      <c r="L1230" t="s">
        <v>1527</v>
      </c>
      <c r="M1230" t="s">
        <v>1532</v>
      </c>
      <c r="N1230">
        <v>1</v>
      </c>
      <c r="O1230">
        <v>2030</v>
      </c>
      <c r="P1230">
        <v>987.6808505023813</v>
      </c>
      <c r="Q1230">
        <v>29.59868669025969</v>
      </c>
      <c r="R1230" t="s">
        <v>391</v>
      </c>
      <c r="S1230">
        <v>33.369076839054699</v>
      </c>
      <c r="T1230">
        <v>3.61</v>
      </c>
      <c r="U1230" t="s">
        <v>502</v>
      </c>
      <c r="V1230">
        <v>1.093939393939394</v>
      </c>
      <c r="W1230">
        <v>8</v>
      </c>
      <c r="X1230">
        <v>18</v>
      </c>
      <c r="Y1230">
        <v>14</v>
      </c>
      <c r="Z1230">
        <v>0.02</v>
      </c>
      <c r="AA1230">
        <v>1</v>
      </c>
    </row>
    <row r="1231" spans="1:27" x14ac:dyDescent="0.25">
      <c r="A1231" t="s">
        <v>98</v>
      </c>
      <c r="B1231" t="s">
        <v>99</v>
      </c>
      <c r="C1231" t="s">
        <v>1367</v>
      </c>
      <c r="D1231" t="s">
        <v>101</v>
      </c>
      <c r="E1231" t="s">
        <v>498</v>
      </c>
      <c r="G1231" t="s">
        <v>103</v>
      </c>
      <c r="H1231" t="s">
        <v>125</v>
      </c>
      <c r="I1231">
        <v>2016</v>
      </c>
      <c r="J1231" t="s">
        <v>511</v>
      </c>
      <c r="K1231" t="s">
        <v>127</v>
      </c>
      <c r="L1231" t="s">
        <v>1527</v>
      </c>
      <c r="M1231" t="s">
        <v>1533</v>
      </c>
      <c r="N1231">
        <v>1</v>
      </c>
      <c r="O1231">
        <v>2020</v>
      </c>
      <c r="P1231">
        <v>646.26030958797787</v>
      </c>
      <c r="Q1231">
        <v>29.59868669025969</v>
      </c>
      <c r="R1231" t="s">
        <v>391</v>
      </c>
      <c r="S1231">
        <v>21.834087314443199</v>
      </c>
      <c r="T1231">
        <v>3.73</v>
      </c>
      <c r="U1231" t="s">
        <v>502</v>
      </c>
      <c r="V1231">
        <v>1.1303030303030299</v>
      </c>
      <c r="W1231">
        <v>8</v>
      </c>
      <c r="X1231">
        <v>18</v>
      </c>
      <c r="Y1231">
        <v>14</v>
      </c>
      <c r="Z1231">
        <v>0.02</v>
      </c>
      <c r="AA1231">
        <v>1</v>
      </c>
    </row>
    <row r="1232" spans="1:27" x14ac:dyDescent="0.25">
      <c r="A1232" t="s">
        <v>98</v>
      </c>
      <c r="B1232" t="s">
        <v>99</v>
      </c>
      <c r="C1232" t="s">
        <v>1367</v>
      </c>
      <c r="D1232" t="s">
        <v>101</v>
      </c>
      <c r="E1232" t="s">
        <v>498</v>
      </c>
      <c r="G1232" t="s">
        <v>111</v>
      </c>
      <c r="H1232" t="s">
        <v>125</v>
      </c>
      <c r="I1232">
        <v>2016</v>
      </c>
      <c r="J1232" t="s">
        <v>513</v>
      </c>
      <c r="K1232" t="s">
        <v>127</v>
      </c>
      <c r="L1232" t="s">
        <v>1527</v>
      </c>
      <c r="M1232" t="s">
        <v>1534</v>
      </c>
      <c r="N1232">
        <v>1</v>
      </c>
      <c r="O1232">
        <v>2020</v>
      </c>
      <c r="P1232">
        <v>658.45390033492083</v>
      </c>
      <c r="Q1232">
        <v>29.59868669025969</v>
      </c>
      <c r="R1232" t="s">
        <v>391</v>
      </c>
      <c r="S1232">
        <v>22.24605122603646</v>
      </c>
      <c r="T1232">
        <v>3.74</v>
      </c>
      <c r="U1232" t="s">
        <v>502</v>
      </c>
      <c r="V1232">
        <v>1.133333333333334</v>
      </c>
      <c r="W1232">
        <v>8</v>
      </c>
      <c r="X1232">
        <v>18</v>
      </c>
      <c r="Y1232">
        <v>14</v>
      </c>
      <c r="Z1232">
        <v>0.02</v>
      </c>
      <c r="AA1232">
        <v>1</v>
      </c>
    </row>
    <row r="1233" spans="1:27" x14ac:dyDescent="0.25">
      <c r="A1233" t="s">
        <v>98</v>
      </c>
      <c r="B1233" t="s">
        <v>99</v>
      </c>
      <c r="C1233" t="s">
        <v>1367</v>
      </c>
      <c r="D1233" t="s">
        <v>101</v>
      </c>
      <c r="E1233" t="s">
        <v>498</v>
      </c>
      <c r="G1233" t="s">
        <v>114</v>
      </c>
      <c r="H1233" t="s">
        <v>125</v>
      </c>
      <c r="I1233">
        <v>2016</v>
      </c>
      <c r="J1233" t="s">
        <v>515</v>
      </c>
      <c r="K1233" t="s">
        <v>127</v>
      </c>
      <c r="L1233" t="s">
        <v>1527</v>
      </c>
      <c r="M1233" t="s">
        <v>1535</v>
      </c>
      <c r="N1233">
        <v>1</v>
      </c>
      <c r="O1233">
        <v>2020</v>
      </c>
      <c r="P1233">
        <v>691.90476692947561</v>
      </c>
      <c r="Q1233">
        <v>29.59868669025969</v>
      </c>
      <c r="R1233" t="s">
        <v>391</v>
      </c>
      <c r="S1233">
        <v>23.376198213455432</v>
      </c>
      <c r="T1233">
        <v>3.93</v>
      </c>
      <c r="U1233" t="s">
        <v>502</v>
      </c>
      <c r="V1233">
        <v>1.1909090909090909</v>
      </c>
      <c r="W1233">
        <v>8</v>
      </c>
      <c r="X1233">
        <v>18</v>
      </c>
      <c r="Y1233">
        <v>14</v>
      </c>
      <c r="Z1233">
        <v>0.02</v>
      </c>
      <c r="AA1233">
        <v>1</v>
      </c>
    </row>
    <row r="1234" spans="1:27" x14ac:dyDescent="0.25">
      <c r="A1234" t="s">
        <v>98</v>
      </c>
      <c r="B1234" t="s">
        <v>99</v>
      </c>
      <c r="C1234" t="s">
        <v>1367</v>
      </c>
      <c r="D1234" t="s">
        <v>101</v>
      </c>
      <c r="E1234" t="s">
        <v>498</v>
      </c>
      <c r="G1234" t="s">
        <v>119</v>
      </c>
      <c r="H1234" t="s">
        <v>125</v>
      </c>
      <c r="I1234">
        <v>2016</v>
      </c>
      <c r="J1234" t="s">
        <v>517</v>
      </c>
      <c r="K1234" t="s">
        <v>127</v>
      </c>
      <c r="L1234" t="s">
        <v>1527</v>
      </c>
      <c r="M1234" t="s">
        <v>1536</v>
      </c>
      <c r="N1234">
        <v>1</v>
      </c>
      <c r="O1234">
        <v>2020</v>
      </c>
      <c r="P1234">
        <v>938.90648751460947</v>
      </c>
      <c r="Q1234">
        <v>29.59868669025969</v>
      </c>
      <c r="R1234" t="s">
        <v>391</v>
      </c>
      <c r="S1234">
        <v>31.721221192681629</v>
      </c>
      <c r="T1234">
        <v>4.5</v>
      </c>
      <c r="U1234" t="s">
        <v>502</v>
      </c>
      <c r="V1234">
        <v>1.363636363636364</v>
      </c>
      <c r="W1234">
        <v>8</v>
      </c>
      <c r="X1234">
        <v>18</v>
      </c>
      <c r="Y1234">
        <v>14</v>
      </c>
      <c r="Z1234">
        <v>0.02</v>
      </c>
      <c r="AA1234">
        <v>1</v>
      </c>
    </row>
    <row r="1235" spans="1:27" x14ac:dyDescent="0.25">
      <c r="A1235" t="s">
        <v>98</v>
      </c>
      <c r="B1235" t="s">
        <v>519</v>
      </c>
      <c r="C1235" t="s">
        <v>1367</v>
      </c>
      <c r="D1235" t="s">
        <v>101</v>
      </c>
      <c r="E1235" t="s">
        <v>102</v>
      </c>
      <c r="G1235" t="s">
        <v>103</v>
      </c>
      <c r="H1235" t="s">
        <v>104</v>
      </c>
      <c r="I1235">
        <v>2016</v>
      </c>
      <c r="J1235" t="s">
        <v>105</v>
      </c>
      <c r="K1235" t="s">
        <v>106</v>
      </c>
      <c r="L1235" t="s">
        <v>1537</v>
      </c>
      <c r="M1235" t="s">
        <v>1538</v>
      </c>
      <c r="N1235">
        <v>1</v>
      </c>
      <c r="O1235">
        <v>2020</v>
      </c>
      <c r="P1235">
        <v>2225.3303113170941</v>
      </c>
      <c r="Q1235">
        <v>2.6125724148833172</v>
      </c>
      <c r="R1235" t="s">
        <v>109</v>
      </c>
      <c r="S1235">
        <v>851.77746601005958</v>
      </c>
      <c r="T1235">
        <v>0.61014999999999997</v>
      </c>
      <c r="U1235" t="s">
        <v>110</v>
      </c>
      <c r="V1235">
        <v>0.61014999999999997</v>
      </c>
      <c r="W1235">
        <v>6</v>
      </c>
      <c r="X1235">
        <v>20</v>
      </c>
      <c r="Y1235">
        <v>14</v>
      </c>
      <c r="Z1235">
        <v>0.24</v>
      </c>
      <c r="AA1235">
        <v>31.536000000000001</v>
      </c>
    </row>
    <row r="1236" spans="1:27" x14ac:dyDescent="0.25">
      <c r="A1236" t="s">
        <v>98</v>
      </c>
      <c r="B1236" t="s">
        <v>519</v>
      </c>
      <c r="C1236" t="s">
        <v>1367</v>
      </c>
      <c r="D1236" t="s">
        <v>101</v>
      </c>
      <c r="E1236" t="s">
        <v>102</v>
      </c>
      <c r="G1236" t="s">
        <v>111</v>
      </c>
      <c r="H1236" t="s">
        <v>104</v>
      </c>
      <c r="I1236">
        <v>2016</v>
      </c>
      <c r="J1236" t="s">
        <v>112</v>
      </c>
      <c r="K1236" t="s">
        <v>106</v>
      </c>
      <c r="L1236" t="s">
        <v>1537</v>
      </c>
      <c r="M1236" t="s">
        <v>1539</v>
      </c>
      <c r="N1236">
        <v>1</v>
      </c>
      <c r="O1236">
        <v>2020</v>
      </c>
      <c r="P1236">
        <v>2347.266218786523</v>
      </c>
      <c r="Q1236">
        <v>2.6125724148833172</v>
      </c>
      <c r="R1236" t="s">
        <v>109</v>
      </c>
      <c r="S1236">
        <v>898.45020387362456</v>
      </c>
      <c r="T1236">
        <v>0.63</v>
      </c>
      <c r="U1236" t="s">
        <v>110</v>
      </c>
      <c r="V1236">
        <v>0.63</v>
      </c>
      <c r="W1236">
        <v>6</v>
      </c>
      <c r="X1236">
        <v>20</v>
      </c>
      <c r="Y1236">
        <v>14</v>
      </c>
      <c r="Z1236">
        <v>0.24</v>
      </c>
      <c r="AA1236">
        <v>31.536000000000001</v>
      </c>
    </row>
    <row r="1237" spans="1:27" x14ac:dyDescent="0.25">
      <c r="A1237" t="s">
        <v>98</v>
      </c>
      <c r="B1237" t="s">
        <v>519</v>
      </c>
      <c r="C1237" t="s">
        <v>1367</v>
      </c>
      <c r="D1237" t="s">
        <v>101</v>
      </c>
      <c r="E1237" t="s">
        <v>102</v>
      </c>
      <c r="G1237" t="s">
        <v>114</v>
      </c>
      <c r="H1237" t="s">
        <v>104</v>
      </c>
      <c r="I1237">
        <v>2016</v>
      </c>
      <c r="J1237" t="s">
        <v>115</v>
      </c>
      <c r="K1237" t="s">
        <v>106</v>
      </c>
      <c r="L1237" t="s">
        <v>1537</v>
      </c>
      <c r="M1237" t="s">
        <v>1540</v>
      </c>
      <c r="N1237">
        <v>1</v>
      </c>
      <c r="O1237">
        <v>2020</v>
      </c>
      <c r="P1237">
        <v>2469.2021262559529</v>
      </c>
      <c r="Q1237">
        <v>2.6125724148833172</v>
      </c>
      <c r="R1237" t="s">
        <v>109</v>
      </c>
      <c r="S1237">
        <v>945.12294173718942</v>
      </c>
      <c r="T1237">
        <v>0.66</v>
      </c>
      <c r="U1237" t="s">
        <v>110</v>
      </c>
      <c r="V1237">
        <v>0.66</v>
      </c>
      <c r="W1237">
        <v>6</v>
      </c>
      <c r="X1237">
        <v>20</v>
      </c>
      <c r="Y1237">
        <v>14</v>
      </c>
      <c r="Z1237">
        <v>0.24</v>
      </c>
      <c r="AA1237">
        <v>31.536000000000001</v>
      </c>
    </row>
    <row r="1238" spans="1:27" x14ac:dyDescent="0.25">
      <c r="A1238" t="s">
        <v>98</v>
      </c>
      <c r="B1238" t="s">
        <v>519</v>
      </c>
      <c r="C1238" t="s">
        <v>1367</v>
      </c>
      <c r="D1238" t="s">
        <v>101</v>
      </c>
      <c r="E1238" t="s">
        <v>102</v>
      </c>
      <c r="G1238" t="s">
        <v>114</v>
      </c>
      <c r="H1238" t="s">
        <v>104</v>
      </c>
      <c r="I1238">
        <v>2023</v>
      </c>
      <c r="J1238" t="s">
        <v>117</v>
      </c>
      <c r="K1238" t="s">
        <v>106</v>
      </c>
      <c r="L1238" t="s">
        <v>1537</v>
      </c>
      <c r="M1238" t="s">
        <v>1541</v>
      </c>
      <c r="N1238">
        <v>1</v>
      </c>
      <c r="O1238">
        <v>2023</v>
      </c>
      <c r="P1238">
        <v>3865.2553631628971</v>
      </c>
      <c r="Q1238">
        <v>2.6125724148833172</v>
      </c>
      <c r="R1238" t="s">
        <v>109</v>
      </c>
      <c r="S1238">
        <v>1479.482574776986</v>
      </c>
      <c r="T1238">
        <v>0.83499999999999996</v>
      </c>
      <c r="U1238" t="s">
        <v>110</v>
      </c>
      <c r="V1238">
        <v>0.83499999999999996</v>
      </c>
      <c r="W1238">
        <v>6</v>
      </c>
      <c r="X1238">
        <v>20</v>
      </c>
      <c r="Y1238">
        <v>14</v>
      </c>
      <c r="Z1238">
        <v>0.24</v>
      </c>
      <c r="AA1238">
        <v>31.536000000000001</v>
      </c>
    </row>
    <row r="1239" spans="1:27" x14ac:dyDescent="0.25">
      <c r="A1239" t="s">
        <v>98</v>
      </c>
      <c r="B1239" t="s">
        <v>519</v>
      </c>
      <c r="C1239" t="s">
        <v>1367</v>
      </c>
      <c r="D1239" t="s">
        <v>101</v>
      </c>
      <c r="E1239" t="s">
        <v>102</v>
      </c>
      <c r="G1239" t="s">
        <v>119</v>
      </c>
      <c r="H1239" t="s">
        <v>104</v>
      </c>
      <c r="I1239">
        <v>2016</v>
      </c>
      <c r="J1239" t="s">
        <v>120</v>
      </c>
      <c r="K1239" t="s">
        <v>106</v>
      </c>
      <c r="L1239" t="s">
        <v>1537</v>
      </c>
      <c r="M1239" t="s">
        <v>1542</v>
      </c>
      <c r="N1239">
        <v>0</v>
      </c>
      <c r="O1239">
        <v>2020</v>
      </c>
      <c r="P1239">
        <v>3749.5291546849662</v>
      </c>
      <c r="Q1239">
        <v>2.6125724148833172</v>
      </c>
      <c r="R1239" t="s">
        <v>109</v>
      </c>
      <c r="S1239">
        <v>1435.186689304621</v>
      </c>
      <c r="T1239">
        <v>0.81</v>
      </c>
      <c r="U1239" t="s">
        <v>110</v>
      </c>
      <c r="V1239">
        <v>0.81</v>
      </c>
      <c r="W1239">
        <v>6</v>
      </c>
      <c r="X1239">
        <v>20</v>
      </c>
      <c r="Y1239">
        <v>14</v>
      </c>
      <c r="Z1239">
        <v>0.24</v>
      </c>
      <c r="AA1239">
        <v>31.536000000000001</v>
      </c>
    </row>
    <row r="1240" spans="1:27" x14ac:dyDescent="0.25">
      <c r="A1240" t="s">
        <v>98</v>
      </c>
      <c r="B1240" t="s">
        <v>519</v>
      </c>
      <c r="C1240" t="s">
        <v>1367</v>
      </c>
      <c r="D1240" t="s">
        <v>101</v>
      </c>
      <c r="E1240" t="s">
        <v>102</v>
      </c>
      <c r="G1240" t="s">
        <v>119</v>
      </c>
      <c r="H1240" t="s">
        <v>104</v>
      </c>
      <c r="I1240">
        <v>2018</v>
      </c>
      <c r="J1240" t="s">
        <v>122</v>
      </c>
      <c r="K1240" t="s">
        <v>106</v>
      </c>
      <c r="L1240" t="s">
        <v>1537</v>
      </c>
      <c r="M1240" t="s">
        <v>1542</v>
      </c>
      <c r="N1240">
        <v>1</v>
      </c>
      <c r="O1240">
        <v>2020</v>
      </c>
      <c r="P1240">
        <v>3749.5291546849662</v>
      </c>
      <c r="Q1240">
        <v>2.6125724148833172</v>
      </c>
      <c r="R1240" t="s">
        <v>109</v>
      </c>
      <c r="S1240">
        <v>1435.186689304621</v>
      </c>
      <c r="T1240">
        <v>0.81</v>
      </c>
      <c r="U1240" t="s">
        <v>110</v>
      </c>
      <c r="V1240">
        <v>0.81</v>
      </c>
      <c r="W1240">
        <v>6</v>
      </c>
      <c r="X1240">
        <v>20</v>
      </c>
      <c r="Y1240">
        <v>14</v>
      </c>
      <c r="Z1240">
        <v>0.24</v>
      </c>
      <c r="AA1240">
        <v>31.536000000000001</v>
      </c>
    </row>
    <row r="1241" spans="1:27" x14ac:dyDescent="0.25">
      <c r="A1241" t="s">
        <v>98</v>
      </c>
      <c r="B1241" t="s">
        <v>519</v>
      </c>
      <c r="C1241" t="s">
        <v>1367</v>
      </c>
      <c r="D1241" t="s">
        <v>101</v>
      </c>
      <c r="E1241" t="s">
        <v>102</v>
      </c>
      <c r="G1241" t="s">
        <v>119</v>
      </c>
      <c r="H1241" t="s">
        <v>104</v>
      </c>
      <c r="I1241">
        <v>2022</v>
      </c>
      <c r="J1241" t="s">
        <v>123</v>
      </c>
      <c r="K1241" t="s">
        <v>106</v>
      </c>
      <c r="L1241" t="s">
        <v>1537</v>
      </c>
      <c r="M1241" t="s">
        <v>1543</v>
      </c>
      <c r="N1241">
        <v>1</v>
      </c>
      <c r="O1241">
        <v>2022</v>
      </c>
      <c r="P1241">
        <v>3749.5291546849662</v>
      </c>
      <c r="Q1241">
        <v>2.6125724148833172</v>
      </c>
      <c r="R1241" t="s">
        <v>109</v>
      </c>
      <c r="S1241">
        <v>1435.186689304621</v>
      </c>
      <c r="T1241">
        <v>0.81</v>
      </c>
      <c r="U1241" t="s">
        <v>110</v>
      </c>
      <c r="V1241">
        <v>0.81</v>
      </c>
      <c r="W1241">
        <v>6</v>
      </c>
      <c r="X1241">
        <v>20</v>
      </c>
      <c r="Y1241">
        <v>14</v>
      </c>
      <c r="Z1241">
        <v>0.24</v>
      </c>
      <c r="AA1241">
        <v>31.536000000000001</v>
      </c>
    </row>
    <row r="1242" spans="1:27" x14ac:dyDescent="0.25">
      <c r="A1242" t="s">
        <v>98</v>
      </c>
      <c r="B1242" t="s">
        <v>519</v>
      </c>
      <c r="C1242" t="s">
        <v>1367</v>
      </c>
      <c r="D1242" t="s">
        <v>101</v>
      </c>
      <c r="E1242" t="s">
        <v>102</v>
      </c>
      <c r="G1242" t="s">
        <v>103</v>
      </c>
      <c r="H1242" t="s">
        <v>125</v>
      </c>
      <c r="I1242">
        <v>2016</v>
      </c>
      <c r="J1242" t="s">
        <v>126</v>
      </c>
      <c r="K1242" t="s">
        <v>127</v>
      </c>
      <c r="L1242" t="s">
        <v>1537</v>
      </c>
      <c r="M1242" t="s">
        <v>1544</v>
      </c>
      <c r="N1242">
        <v>1</v>
      </c>
      <c r="O1242">
        <v>2020</v>
      </c>
      <c r="P1242">
        <v>945.00328288808089</v>
      </c>
      <c r="Q1242">
        <v>2.6125724148833172</v>
      </c>
      <c r="R1242" t="s">
        <v>109</v>
      </c>
      <c r="S1242">
        <v>361.71371844262808</v>
      </c>
      <c r="T1242">
        <v>0.91554999999999997</v>
      </c>
      <c r="U1242" t="s">
        <v>110</v>
      </c>
      <c r="V1242">
        <v>0.91554999999999997</v>
      </c>
      <c r="W1242">
        <v>6</v>
      </c>
      <c r="X1242">
        <v>20</v>
      </c>
      <c r="Y1242">
        <v>14</v>
      </c>
      <c r="Z1242">
        <v>0.24</v>
      </c>
      <c r="AA1242">
        <v>31.536000000000001</v>
      </c>
    </row>
    <row r="1243" spans="1:27" x14ac:dyDescent="0.25">
      <c r="A1243" t="s">
        <v>98</v>
      </c>
      <c r="B1243" t="s">
        <v>519</v>
      </c>
      <c r="C1243" t="s">
        <v>1367</v>
      </c>
      <c r="D1243" t="s">
        <v>101</v>
      </c>
      <c r="E1243" t="s">
        <v>102</v>
      </c>
      <c r="G1243" t="s">
        <v>111</v>
      </c>
      <c r="H1243" t="s">
        <v>125</v>
      </c>
      <c r="I1243">
        <v>2016</v>
      </c>
      <c r="J1243" t="s">
        <v>129</v>
      </c>
      <c r="K1243" t="s">
        <v>127</v>
      </c>
      <c r="L1243" t="s">
        <v>1537</v>
      </c>
      <c r="M1243" t="s">
        <v>1545</v>
      </c>
      <c r="N1243">
        <v>1</v>
      </c>
      <c r="O1243">
        <v>2020</v>
      </c>
      <c r="P1243">
        <v>1036.455213490153</v>
      </c>
      <c r="Q1243">
        <v>2.6125724148833172</v>
      </c>
      <c r="R1243" t="s">
        <v>109</v>
      </c>
      <c r="S1243">
        <v>396.71827184030178</v>
      </c>
      <c r="T1243">
        <v>0.93</v>
      </c>
      <c r="U1243" t="s">
        <v>110</v>
      </c>
      <c r="V1243">
        <v>0.93</v>
      </c>
      <c r="W1243">
        <v>6</v>
      </c>
      <c r="X1243">
        <v>20</v>
      </c>
      <c r="Y1243">
        <v>14</v>
      </c>
      <c r="Z1243">
        <v>0.24</v>
      </c>
      <c r="AA1243">
        <v>31.536000000000001</v>
      </c>
    </row>
    <row r="1244" spans="1:27" x14ac:dyDescent="0.25">
      <c r="A1244" t="s">
        <v>98</v>
      </c>
      <c r="B1244" t="s">
        <v>519</v>
      </c>
      <c r="C1244" t="s">
        <v>1367</v>
      </c>
      <c r="D1244" t="s">
        <v>101</v>
      </c>
      <c r="E1244" t="s">
        <v>102</v>
      </c>
      <c r="G1244" t="s">
        <v>119</v>
      </c>
      <c r="H1244" t="s">
        <v>125</v>
      </c>
      <c r="I1244">
        <v>2016</v>
      </c>
      <c r="J1244" t="s">
        <v>131</v>
      </c>
      <c r="K1244" t="s">
        <v>127</v>
      </c>
      <c r="L1244" t="s">
        <v>1537</v>
      </c>
      <c r="M1244" t="s">
        <v>1546</v>
      </c>
      <c r="N1244">
        <v>1</v>
      </c>
      <c r="O1244">
        <v>2020</v>
      </c>
      <c r="P1244">
        <v>1493.714866500515</v>
      </c>
      <c r="Q1244">
        <v>2.6125724148833172</v>
      </c>
      <c r="R1244" t="s">
        <v>109</v>
      </c>
      <c r="S1244">
        <v>571.74103882867018</v>
      </c>
      <c r="T1244">
        <v>0.95</v>
      </c>
      <c r="U1244" t="s">
        <v>110</v>
      </c>
      <c r="V1244">
        <v>0.95</v>
      </c>
      <c r="W1244">
        <v>6</v>
      </c>
      <c r="X1244">
        <v>20</v>
      </c>
      <c r="Y1244">
        <v>14</v>
      </c>
      <c r="Z1244">
        <v>0.24</v>
      </c>
      <c r="AA1244">
        <v>31.536000000000001</v>
      </c>
    </row>
    <row r="1245" spans="1:27" x14ac:dyDescent="0.25">
      <c r="A1245" t="s">
        <v>98</v>
      </c>
      <c r="B1245" t="s">
        <v>519</v>
      </c>
      <c r="C1245" t="s">
        <v>1367</v>
      </c>
      <c r="D1245" t="s">
        <v>101</v>
      </c>
      <c r="E1245" t="s">
        <v>102</v>
      </c>
      <c r="G1245" t="s">
        <v>133</v>
      </c>
      <c r="H1245" t="s">
        <v>125</v>
      </c>
      <c r="I1245">
        <v>2016</v>
      </c>
      <c r="J1245" t="s">
        <v>134</v>
      </c>
      <c r="K1245" t="s">
        <v>127</v>
      </c>
      <c r="L1245" t="s">
        <v>1537</v>
      </c>
      <c r="M1245" t="s">
        <v>1547</v>
      </c>
      <c r="N1245">
        <v>1</v>
      </c>
      <c r="O1245">
        <v>2020</v>
      </c>
      <c r="P1245">
        <v>2530.170079990668</v>
      </c>
      <c r="Q1245">
        <v>2.6125724148833172</v>
      </c>
      <c r="R1245" t="s">
        <v>109</v>
      </c>
      <c r="S1245">
        <v>968.45931066897185</v>
      </c>
      <c r="T1245">
        <v>3.28</v>
      </c>
      <c r="U1245" t="s">
        <v>110</v>
      </c>
      <c r="V1245">
        <v>3.28</v>
      </c>
      <c r="W1245">
        <v>6</v>
      </c>
      <c r="X1245">
        <v>20</v>
      </c>
      <c r="Y1245">
        <v>14</v>
      </c>
      <c r="Z1245">
        <v>0.24</v>
      </c>
      <c r="AA1245">
        <v>31.536000000000001</v>
      </c>
    </row>
    <row r="1246" spans="1:27" x14ac:dyDescent="0.25">
      <c r="A1246" t="s">
        <v>98</v>
      </c>
      <c r="B1246" t="s">
        <v>519</v>
      </c>
      <c r="C1246" t="s">
        <v>1367</v>
      </c>
      <c r="D1246" t="s">
        <v>101</v>
      </c>
      <c r="E1246" t="s">
        <v>102</v>
      </c>
      <c r="G1246" t="s">
        <v>133</v>
      </c>
      <c r="H1246" t="s">
        <v>125</v>
      </c>
      <c r="I1246">
        <v>2022</v>
      </c>
      <c r="J1246" t="s">
        <v>136</v>
      </c>
      <c r="K1246" t="s">
        <v>127</v>
      </c>
      <c r="L1246" t="s">
        <v>1537</v>
      </c>
      <c r="M1246" t="s">
        <v>1548</v>
      </c>
      <c r="N1246">
        <v>1</v>
      </c>
      <c r="O1246">
        <v>2022</v>
      </c>
      <c r="P1246">
        <v>2530.170079990668</v>
      </c>
      <c r="Q1246">
        <v>2.6125724148833172</v>
      </c>
      <c r="R1246" t="s">
        <v>109</v>
      </c>
      <c r="S1246">
        <v>968.45931066897185</v>
      </c>
      <c r="T1246">
        <v>3.28</v>
      </c>
      <c r="U1246" t="s">
        <v>110</v>
      </c>
      <c r="V1246">
        <v>3.28</v>
      </c>
      <c r="W1246">
        <v>6</v>
      </c>
      <c r="X1246">
        <v>20</v>
      </c>
      <c r="Y1246">
        <v>14</v>
      </c>
      <c r="Z1246">
        <v>0.24</v>
      </c>
      <c r="AA1246">
        <v>31.536000000000001</v>
      </c>
    </row>
    <row r="1247" spans="1:27" x14ac:dyDescent="0.25">
      <c r="A1247" t="s">
        <v>98</v>
      </c>
      <c r="B1247" t="s">
        <v>519</v>
      </c>
      <c r="C1247" t="s">
        <v>1367</v>
      </c>
      <c r="D1247" t="s">
        <v>101</v>
      </c>
      <c r="E1247" t="s">
        <v>102</v>
      </c>
      <c r="G1247" t="s">
        <v>138</v>
      </c>
      <c r="H1247" t="s">
        <v>125</v>
      </c>
      <c r="I1247">
        <v>2016</v>
      </c>
      <c r="J1247" t="s">
        <v>139</v>
      </c>
      <c r="K1247" t="s">
        <v>127</v>
      </c>
      <c r="L1247" t="s">
        <v>1537</v>
      </c>
      <c r="M1247" t="s">
        <v>1549</v>
      </c>
      <c r="N1247">
        <v>1</v>
      </c>
      <c r="O1247">
        <v>2020</v>
      </c>
      <c r="P1247">
        <v>2316.7822419191662</v>
      </c>
      <c r="Q1247">
        <v>2.6125724148833172</v>
      </c>
      <c r="R1247" t="s">
        <v>109</v>
      </c>
      <c r="S1247">
        <v>886.7820194077334</v>
      </c>
      <c r="T1247">
        <v>2</v>
      </c>
      <c r="U1247" t="s">
        <v>110</v>
      </c>
      <c r="V1247">
        <v>2</v>
      </c>
      <c r="W1247">
        <v>6</v>
      </c>
      <c r="X1247">
        <v>20</v>
      </c>
      <c r="Y1247">
        <v>14</v>
      </c>
      <c r="Z1247">
        <v>0.24</v>
      </c>
      <c r="AA1247">
        <v>31.536000000000001</v>
      </c>
    </row>
    <row r="1248" spans="1:27" x14ac:dyDescent="0.25">
      <c r="A1248" t="s">
        <v>98</v>
      </c>
      <c r="B1248" t="s">
        <v>519</v>
      </c>
      <c r="C1248" t="s">
        <v>1367</v>
      </c>
      <c r="D1248" t="s">
        <v>101</v>
      </c>
      <c r="E1248" t="s">
        <v>102</v>
      </c>
      <c r="G1248" t="s">
        <v>138</v>
      </c>
      <c r="H1248" t="s">
        <v>125</v>
      </c>
      <c r="I1248">
        <v>2022</v>
      </c>
      <c r="J1248" t="s">
        <v>141</v>
      </c>
      <c r="K1248" t="s">
        <v>127</v>
      </c>
      <c r="L1248" t="s">
        <v>1537</v>
      </c>
      <c r="M1248" t="s">
        <v>1550</v>
      </c>
      <c r="N1248">
        <v>1</v>
      </c>
      <c r="O1248">
        <v>2022</v>
      </c>
      <c r="P1248">
        <v>2805.3845753706141</v>
      </c>
      <c r="Q1248">
        <v>2.6125724148833172</v>
      </c>
      <c r="R1248" t="s">
        <v>109</v>
      </c>
      <c r="S1248">
        <v>1073.801652114553</v>
      </c>
      <c r="T1248">
        <v>3.3</v>
      </c>
      <c r="U1248" t="s">
        <v>110</v>
      </c>
      <c r="V1248">
        <v>3.3</v>
      </c>
      <c r="W1248">
        <v>6</v>
      </c>
      <c r="X1248">
        <v>20</v>
      </c>
      <c r="Y1248">
        <v>14</v>
      </c>
      <c r="Z1248">
        <v>0.24</v>
      </c>
      <c r="AA1248">
        <v>31.536000000000001</v>
      </c>
    </row>
    <row r="1249" spans="1:27" x14ac:dyDescent="0.25">
      <c r="A1249" t="s">
        <v>98</v>
      </c>
      <c r="B1249" t="s">
        <v>519</v>
      </c>
      <c r="C1249" t="s">
        <v>1367</v>
      </c>
      <c r="D1249" t="s">
        <v>101</v>
      </c>
      <c r="E1249" t="s">
        <v>102</v>
      </c>
      <c r="G1249" t="s">
        <v>143</v>
      </c>
      <c r="H1249" t="s">
        <v>125</v>
      </c>
      <c r="I1249">
        <v>2016</v>
      </c>
      <c r="J1249" t="s">
        <v>144</v>
      </c>
      <c r="K1249" t="s">
        <v>127</v>
      </c>
      <c r="L1249" t="s">
        <v>1537</v>
      </c>
      <c r="M1249" t="s">
        <v>1551</v>
      </c>
      <c r="N1249">
        <v>1</v>
      </c>
      <c r="O1249">
        <v>2020</v>
      </c>
      <c r="P1249">
        <v>3017.9137098683868</v>
      </c>
      <c r="Q1249">
        <v>2.6125724148833172</v>
      </c>
      <c r="R1249" t="s">
        <v>109</v>
      </c>
      <c r="S1249">
        <v>1155.1502621232321</v>
      </c>
      <c r="T1249">
        <v>3.55</v>
      </c>
      <c r="U1249" t="s">
        <v>110</v>
      </c>
      <c r="V1249">
        <v>3.55</v>
      </c>
      <c r="W1249">
        <v>6</v>
      </c>
      <c r="X1249">
        <v>20</v>
      </c>
      <c r="Y1249">
        <v>14</v>
      </c>
      <c r="Z1249">
        <v>0.24</v>
      </c>
      <c r="AA1249">
        <v>31.536000000000001</v>
      </c>
    </row>
    <row r="1250" spans="1:27" x14ac:dyDescent="0.25">
      <c r="A1250" t="s">
        <v>98</v>
      </c>
      <c r="B1250" t="s">
        <v>519</v>
      </c>
      <c r="C1250" t="s">
        <v>1367</v>
      </c>
      <c r="D1250" t="s">
        <v>101</v>
      </c>
      <c r="E1250" t="s">
        <v>102</v>
      </c>
      <c r="G1250" t="s">
        <v>143</v>
      </c>
      <c r="H1250" t="s">
        <v>125</v>
      </c>
      <c r="I1250">
        <v>2022</v>
      </c>
      <c r="J1250" t="s">
        <v>146</v>
      </c>
      <c r="K1250" t="s">
        <v>127</v>
      </c>
      <c r="L1250" t="s">
        <v>1537</v>
      </c>
      <c r="M1250" t="s">
        <v>1552</v>
      </c>
      <c r="N1250">
        <v>1</v>
      </c>
      <c r="O1250">
        <v>2022</v>
      </c>
      <c r="P1250">
        <v>3017.9137098683868</v>
      </c>
      <c r="Q1250">
        <v>2.6125724148833172</v>
      </c>
      <c r="R1250" t="s">
        <v>109</v>
      </c>
      <c r="S1250">
        <v>1155.1502621232321</v>
      </c>
      <c r="T1250">
        <v>3.55</v>
      </c>
      <c r="U1250" t="s">
        <v>110</v>
      </c>
      <c r="V1250">
        <v>3.55</v>
      </c>
      <c r="W1250">
        <v>6</v>
      </c>
      <c r="X1250">
        <v>20</v>
      </c>
      <c r="Y1250">
        <v>14</v>
      </c>
      <c r="Z1250">
        <v>0.24</v>
      </c>
      <c r="AA1250">
        <v>31.536000000000001</v>
      </c>
    </row>
    <row r="1251" spans="1:27" x14ac:dyDescent="0.25">
      <c r="A1251" t="s">
        <v>98</v>
      </c>
      <c r="B1251" t="s">
        <v>519</v>
      </c>
      <c r="C1251" t="s">
        <v>1367</v>
      </c>
      <c r="D1251" t="s">
        <v>101</v>
      </c>
      <c r="E1251" t="s">
        <v>102</v>
      </c>
      <c r="G1251" t="s">
        <v>103</v>
      </c>
      <c r="H1251" t="s">
        <v>148</v>
      </c>
      <c r="I1251">
        <v>2016</v>
      </c>
      <c r="J1251" t="s">
        <v>149</v>
      </c>
      <c r="K1251" t="s">
        <v>150</v>
      </c>
      <c r="L1251" t="s">
        <v>1537</v>
      </c>
      <c r="M1251" t="s">
        <v>1553</v>
      </c>
      <c r="N1251">
        <v>1</v>
      </c>
      <c r="O1251">
        <v>2020</v>
      </c>
      <c r="P1251">
        <v>2926.4617792663148</v>
      </c>
      <c r="Q1251">
        <v>2.6125724148833172</v>
      </c>
      <c r="R1251" t="s">
        <v>109</v>
      </c>
      <c r="S1251">
        <v>1120.1457087255581</v>
      </c>
      <c r="T1251">
        <v>0.63670000000000004</v>
      </c>
      <c r="U1251" t="s">
        <v>110</v>
      </c>
      <c r="V1251">
        <v>0.63670000000000004</v>
      </c>
      <c r="W1251">
        <v>6</v>
      </c>
      <c r="X1251">
        <v>20</v>
      </c>
      <c r="Y1251">
        <v>14</v>
      </c>
      <c r="Z1251">
        <v>0.24</v>
      </c>
      <c r="AA1251">
        <v>31.536000000000001</v>
      </c>
    </row>
    <row r="1252" spans="1:27" x14ac:dyDescent="0.25">
      <c r="A1252" t="s">
        <v>98</v>
      </c>
      <c r="B1252" t="s">
        <v>519</v>
      </c>
      <c r="C1252" t="s">
        <v>1367</v>
      </c>
      <c r="D1252" t="s">
        <v>101</v>
      </c>
      <c r="E1252" t="s">
        <v>102</v>
      </c>
      <c r="G1252" t="s">
        <v>111</v>
      </c>
      <c r="H1252" t="s">
        <v>148</v>
      </c>
      <c r="I1252">
        <v>2016</v>
      </c>
      <c r="J1252" t="s">
        <v>152</v>
      </c>
      <c r="K1252" t="s">
        <v>150</v>
      </c>
      <c r="L1252" t="s">
        <v>1537</v>
      </c>
      <c r="M1252" t="s">
        <v>1554</v>
      </c>
      <c r="N1252">
        <v>1</v>
      </c>
      <c r="O1252">
        <v>2020</v>
      </c>
      <c r="P1252">
        <v>3109.3656404704602</v>
      </c>
      <c r="Q1252">
        <v>2.6125724148833172</v>
      </c>
      <c r="R1252" t="s">
        <v>109</v>
      </c>
      <c r="S1252">
        <v>1190.154815520905</v>
      </c>
      <c r="T1252">
        <v>0.67</v>
      </c>
      <c r="U1252" t="s">
        <v>110</v>
      </c>
      <c r="V1252">
        <v>0.67</v>
      </c>
      <c r="W1252">
        <v>6</v>
      </c>
      <c r="X1252">
        <v>20</v>
      </c>
      <c r="Y1252">
        <v>14</v>
      </c>
      <c r="Z1252">
        <v>0.24</v>
      </c>
      <c r="AA1252">
        <v>31.536000000000001</v>
      </c>
    </row>
    <row r="1253" spans="1:27" x14ac:dyDescent="0.25">
      <c r="A1253" t="s">
        <v>98</v>
      </c>
      <c r="B1253" t="s">
        <v>519</v>
      </c>
      <c r="C1253" t="s">
        <v>1367</v>
      </c>
      <c r="D1253" t="s">
        <v>101</v>
      </c>
      <c r="E1253" t="s">
        <v>102</v>
      </c>
      <c r="G1253" t="s">
        <v>119</v>
      </c>
      <c r="H1253" t="s">
        <v>148</v>
      </c>
      <c r="I1253">
        <v>2016</v>
      </c>
      <c r="J1253" t="s">
        <v>154</v>
      </c>
      <c r="K1253" t="s">
        <v>150</v>
      </c>
      <c r="L1253" t="s">
        <v>1537</v>
      </c>
      <c r="M1253" t="s">
        <v>1555</v>
      </c>
      <c r="N1253">
        <v>1</v>
      </c>
      <c r="O1253">
        <v>2020</v>
      </c>
      <c r="P1253">
        <v>3078.881663603102</v>
      </c>
      <c r="Q1253">
        <v>2.6125724148833172</v>
      </c>
      <c r="R1253" t="s">
        <v>109</v>
      </c>
      <c r="S1253">
        <v>1178.486631055014</v>
      </c>
      <c r="T1253">
        <v>0.69</v>
      </c>
      <c r="U1253" t="s">
        <v>110</v>
      </c>
      <c r="V1253">
        <v>0.69</v>
      </c>
      <c r="W1253">
        <v>6</v>
      </c>
      <c r="X1253">
        <v>20</v>
      </c>
      <c r="Y1253">
        <v>14</v>
      </c>
      <c r="Z1253">
        <v>0.24</v>
      </c>
      <c r="AA1253">
        <v>31.536000000000001</v>
      </c>
    </row>
    <row r="1254" spans="1:27" x14ac:dyDescent="0.25">
      <c r="A1254" t="s">
        <v>98</v>
      </c>
      <c r="B1254" t="s">
        <v>519</v>
      </c>
      <c r="C1254" t="s">
        <v>1367</v>
      </c>
      <c r="D1254" t="s">
        <v>101</v>
      </c>
      <c r="E1254" t="s">
        <v>102</v>
      </c>
      <c r="G1254" t="s">
        <v>103</v>
      </c>
      <c r="H1254" t="s">
        <v>156</v>
      </c>
      <c r="I1254">
        <v>2016</v>
      </c>
      <c r="J1254" t="s">
        <v>157</v>
      </c>
      <c r="K1254" t="s">
        <v>158</v>
      </c>
      <c r="L1254" t="s">
        <v>1537</v>
      </c>
      <c r="M1254" t="s">
        <v>1556</v>
      </c>
      <c r="N1254">
        <v>1</v>
      </c>
      <c r="O1254">
        <v>2020</v>
      </c>
      <c r="P1254">
        <v>2225.3303113170941</v>
      </c>
      <c r="Q1254">
        <v>2.6125724148833172</v>
      </c>
      <c r="R1254" t="s">
        <v>109</v>
      </c>
      <c r="S1254">
        <v>851.77746601005958</v>
      </c>
      <c r="T1254">
        <v>0.61014999999999997</v>
      </c>
      <c r="U1254" t="s">
        <v>110</v>
      </c>
      <c r="V1254">
        <v>0.61014999999999997</v>
      </c>
      <c r="W1254">
        <v>6</v>
      </c>
      <c r="X1254">
        <v>20</v>
      </c>
      <c r="Y1254">
        <v>14</v>
      </c>
      <c r="Z1254">
        <v>0.24</v>
      </c>
      <c r="AA1254">
        <v>31.536000000000001</v>
      </c>
    </row>
    <row r="1255" spans="1:27" x14ac:dyDescent="0.25">
      <c r="A1255" t="s">
        <v>98</v>
      </c>
      <c r="B1255" t="s">
        <v>519</v>
      </c>
      <c r="C1255" t="s">
        <v>1367</v>
      </c>
      <c r="D1255" t="s">
        <v>101</v>
      </c>
      <c r="E1255" t="s">
        <v>102</v>
      </c>
      <c r="G1255" t="s">
        <v>111</v>
      </c>
      <c r="H1255" t="s">
        <v>156</v>
      </c>
      <c r="I1255">
        <v>2016</v>
      </c>
      <c r="J1255" t="s">
        <v>160</v>
      </c>
      <c r="K1255" t="s">
        <v>158</v>
      </c>
      <c r="L1255" t="s">
        <v>1537</v>
      </c>
      <c r="M1255" t="s">
        <v>1557</v>
      </c>
      <c r="N1255">
        <v>1</v>
      </c>
      <c r="O1255">
        <v>2020</v>
      </c>
      <c r="P1255">
        <v>2347.266218786523</v>
      </c>
      <c r="Q1255">
        <v>2.6125724148833172</v>
      </c>
      <c r="R1255" t="s">
        <v>109</v>
      </c>
      <c r="S1255">
        <v>898.45020387362456</v>
      </c>
      <c r="T1255">
        <v>0.63</v>
      </c>
      <c r="U1255" t="s">
        <v>110</v>
      </c>
      <c r="V1255">
        <v>0.63</v>
      </c>
      <c r="W1255">
        <v>6</v>
      </c>
      <c r="X1255">
        <v>20</v>
      </c>
      <c r="Y1255">
        <v>14</v>
      </c>
      <c r="Z1255">
        <v>0.24</v>
      </c>
      <c r="AA1255">
        <v>31.536000000000001</v>
      </c>
    </row>
    <row r="1256" spans="1:27" x14ac:dyDescent="0.25">
      <c r="A1256" t="s">
        <v>98</v>
      </c>
      <c r="B1256" t="s">
        <v>519</v>
      </c>
      <c r="C1256" t="s">
        <v>1367</v>
      </c>
      <c r="D1256" t="s">
        <v>101</v>
      </c>
      <c r="E1256" t="s">
        <v>102</v>
      </c>
      <c r="G1256" t="s">
        <v>114</v>
      </c>
      <c r="H1256" t="s">
        <v>156</v>
      </c>
      <c r="I1256">
        <v>2016</v>
      </c>
      <c r="J1256" t="s">
        <v>162</v>
      </c>
      <c r="K1256" t="s">
        <v>158</v>
      </c>
      <c r="L1256" t="s">
        <v>1537</v>
      </c>
      <c r="M1256" t="s">
        <v>1558</v>
      </c>
      <c r="N1256">
        <v>1</v>
      </c>
      <c r="O1256">
        <v>2020</v>
      </c>
      <c r="P1256">
        <v>2469.2021262559529</v>
      </c>
      <c r="Q1256">
        <v>2.6125724148833172</v>
      </c>
      <c r="R1256" t="s">
        <v>109</v>
      </c>
      <c r="S1256">
        <v>945.12294173718942</v>
      </c>
      <c r="T1256">
        <v>0.66</v>
      </c>
      <c r="U1256" t="s">
        <v>110</v>
      </c>
      <c r="V1256">
        <v>0.66</v>
      </c>
      <c r="W1256">
        <v>6</v>
      </c>
      <c r="X1256">
        <v>20</v>
      </c>
      <c r="Y1256">
        <v>14</v>
      </c>
      <c r="Z1256">
        <v>0.24</v>
      </c>
      <c r="AA1256">
        <v>31.536000000000001</v>
      </c>
    </row>
    <row r="1257" spans="1:27" x14ac:dyDescent="0.25">
      <c r="A1257" t="s">
        <v>98</v>
      </c>
      <c r="B1257" t="s">
        <v>519</v>
      </c>
      <c r="C1257" t="s">
        <v>1367</v>
      </c>
      <c r="D1257" t="s">
        <v>101</v>
      </c>
      <c r="E1257" t="s">
        <v>102</v>
      </c>
      <c r="G1257" t="s">
        <v>114</v>
      </c>
      <c r="H1257" t="s">
        <v>156</v>
      </c>
      <c r="I1257">
        <v>2023</v>
      </c>
      <c r="J1257" t="s">
        <v>164</v>
      </c>
      <c r="K1257" t="s">
        <v>158</v>
      </c>
      <c r="L1257" t="s">
        <v>1537</v>
      </c>
      <c r="M1257" t="s">
        <v>1559</v>
      </c>
      <c r="N1257">
        <v>1</v>
      </c>
      <c r="O1257">
        <v>2023</v>
      </c>
      <c r="P1257">
        <v>3865.2553631628971</v>
      </c>
      <c r="Q1257">
        <v>2.6125724148833172</v>
      </c>
      <c r="R1257" t="s">
        <v>109</v>
      </c>
      <c r="S1257">
        <v>1479.482574776986</v>
      </c>
      <c r="T1257">
        <v>0.83499999999999996</v>
      </c>
      <c r="U1257" t="s">
        <v>110</v>
      </c>
      <c r="V1257">
        <v>0.83499999999999996</v>
      </c>
      <c r="W1257">
        <v>6</v>
      </c>
      <c r="X1257">
        <v>20</v>
      </c>
      <c r="Y1257">
        <v>14</v>
      </c>
      <c r="Z1257">
        <v>0.24</v>
      </c>
      <c r="AA1257">
        <v>31.536000000000001</v>
      </c>
    </row>
    <row r="1258" spans="1:27" x14ac:dyDescent="0.25">
      <c r="A1258" t="s">
        <v>98</v>
      </c>
      <c r="B1258" t="s">
        <v>519</v>
      </c>
      <c r="C1258" t="s">
        <v>1367</v>
      </c>
      <c r="D1258" t="s">
        <v>101</v>
      </c>
      <c r="E1258" t="s">
        <v>102</v>
      </c>
      <c r="G1258" t="s">
        <v>119</v>
      </c>
      <c r="H1258" t="s">
        <v>156</v>
      </c>
      <c r="I1258">
        <v>2016</v>
      </c>
      <c r="J1258" t="s">
        <v>166</v>
      </c>
      <c r="K1258" t="s">
        <v>158</v>
      </c>
      <c r="L1258" t="s">
        <v>1537</v>
      </c>
      <c r="M1258" t="s">
        <v>1560</v>
      </c>
      <c r="N1258">
        <v>0</v>
      </c>
      <c r="O1258">
        <v>2020</v>
      </c>
      <c r="P1258">
        <v>3749.5291546849662</v>
      </c>
      <c r="Q1258">
        <v>2.6125724148833172</v>
      </c>
      <c r="R1258" t="s">
        <v>109</v>
      </c>
      <c r="S1258">
        <v>1435.186689304621</v>
      </c>
      <c r="T1258">
        <v>0.81</v>
      </c>
      <c r="U1258" t="s">
        <v>110</v>
      </c>
      <c r="V1258">
        <v>0.81</v>
      </c>
      <c r="W1258">
        <v>6</v>
      </c>
      <c r="X1258">
        <v>20</v>
      </c>
      <c r="Y1258">
        <v>14</v>
      </c>
      <c r="Z1258">
        <v>0.24</v>
      </c>
      <c r="AA1258">
        <v>31.536000000000001</v>
      </c>
    </row>
    <row r="1259" spans="1:27" x14ac:dyDescent="0.25">
      <c r="A1259" t="s">
        <v>98</v>
      </c>
      <c r="B1259" t="s">
        <v>519</v>
      </c>
      <c r="C1259" t="s">
        <v>1367</v>
      </c>
      <c r="D1259" t="s">
        <v>101</v>
      </c>
      <c r="E1259" t="s">
        <v>102</v>
      </c>
      <c r="G1259" t="s">
        <v>119</v>
      </c>
      <c r="H1259" t="s">
        <v>156</v>
      </c>
      <c r="I1259">
        <v>2018</v>
      </c>
      <c r="J1259" t="s">
        <v>168</v>
      </c>
      <c r="K1259" t="s">
        <v>158</v>
      </c>
      <c r="L1259" t="s">
        <v>1537</v>
      </c>
      <c r="M1259" t="s">
        <v>1560</v>
      </c>
      <c r="N1259">
        <v>1</v>
      </c>
      <c r="O1259">
        <v>2020</v>
      </c>
      <c r="P1259">
        <v>3749.5291546849662</v>
      </c>
      <c r="Q1259">
        <v>2.6125724148833172</v>
      </c>
      <c r="R1259" t="s">
        <v>109</v>
      </c>
      <c r="S1259">
        <v>1435.186689304621</v>
      </c>
      <c r="T1259">
        <v>0.81</v>
      </c>
      <c r="U1259" t="s">
        <v>110</v>
      </c>
      <c r="V1259">
        <v>0.81</v>
      </c>
      <c r="W1259">
        <v>6</v>
      </c>
      <c r="X1259">
        <v>20</v>
      </c>
      <c r="Y1259">
        <v>14</v>
      </c>
      <c r="Z1259">
        <v>0.24</v>
      </c>
      <c r="AA1259">
        <v>31.536000000000001</v>
      </c>
    </row>
    <row r="1260" spans="1:27" x14ac:dyDescent="0.25">
      <c r="A1260" t="s">
        <v>98</v>
      </c>
      <c r="B1260" t="s">
        <v>519</v>
      </c>
      <c r="C1260" t="s">
        <v>1367</v>
      </c>
      <c r="D1260" t="s">
        <v>101</v>
      </c>
      <c r="E1260" t="s">
        <v>102</v>
      </c>
      <c r="G1260" t="s">
        <v>111</v>
      </c>
      <c r="H1260" t="s">
        <v>169</v>
      </c>
      <c r="I1260">
        <v>2016</v>
      </c>
      <c r="J1260" t="s">
        <v>170</v>
      </c>
      <c r="K1260" t="s">
        <v>171</v>
      </c>
      <c r="L1260" t="s">
        <v>1537</v>
      </c>
      <c r="M1260" t="s">
        <v>1561</v>
      </c>
      <c r="N1260">
        <v>0</v>
      </c>
      <c r="O1260">
        <v>2020</v>
      </c>
      <c r="P1260">
        <v>13412.949821637279</v>
      </c>
      <c r="Q1260">
        <v>2.6125724148833172</v>
      </c>
      <c r="R1260" t="s">
        <v>109</v>
      </c>
      <c r="S1260">
        <v>5134.0011649921407</v>
      </c>
      <c r="T1260">
        <v>1</v>
      </c>
      <c r="U1260" t="s">
        <v>173</v>
      </c>
      <c r="V1260">
        <v>1</v>
      </c>
      <c r="W1260">
        <v>15</v>
      </c>
      <c r="X1260">
        <v>30</v>
      </c>
      <c r="Y1260">
        <v>23</v>
      </c>
      <c r="Z1260">
        <v>0.24</v>
      </c>
      <c r="AA1260">
        <v>31.536000000000001</v>
      </c>
    </row>
    <row r="1261" spans="1:27" x14ac:dyDescent="0.25">
      <c r="A1261" t="s">
        <v>98</v>
      </c>
      <c r="B1261" t="s">
        <v>519</v>
      </c>
      <c r="C1261" t="s">
        <v>1367</v>
      </c>
      <c r="D1261" t="s">
        <v>101</v>
      </c>
      <c r="E1261" t="s">
        <v>102</v>
      </c>
      <c r="G1261" t="s">
        <v>111</v>
      </c>
      <c r="H1261" t="s">
        <v>169</v>
      </c>
      <c r="I1261">
        <v>2020</v>
      </c>
      <c r="J1261" t="s">
        <v>174</v>
      </c>
      <c r="K1261" t="s">
        <v>171</v>
      </c>
      <c r="L1261" t="s">
        <v>1537</v>
      </c>
      <c r="M1261" t="s">
        <v>1561</v>
      </c>
      <c r="N1261">
        <v>1</v>
      </c>
      <c r="O1261">
        <v>2020</v>
      </c>
      <c r="P1261">
        <v>13412.949821637279</v>
      </c>
      <c r="Q1261">
        <v>2.6125724148833172</v>
      </c>
      <c r="R1261" t="s">
        <v>109</v>
      </c>
      <c r="S1261">
        <v>5134.0011649921407</v>
      </c>
      <c r="T1261">
        <v>1</v>
      </c>
      <c r="U1261" t="s">
        <v>173</v>
      </c>
      <c r="V1261">
        <v>1</v>
      </c>
      <c r="W1261">
        <v>15</v>
      </c>
      <c r="X1261">
        <v>30</v>
      </c>
      <c r="Y1261">
        <v>23</v>
      </c>
      <c r="Z1261">
        <v>0.24</v>
      </c>
      <c r="AA1261">
        <v>31.536000000000001</v>
      </c>
    </row>
    <row r="1262" spans="1:27" x14ac:dyDescent="0.25">
      <c r="A1262" t="s">
        <v>98</v>
      </c>
      <c r="B1262" t="s">
        <v>519</v>
      </c>
      <c r="C1262" t="s">
        <v>1367</v>
      </c>
      <c r="D1262" t="s">
        <v>101</v>
      </c>
      <c r="E1262" t="s">
        <v>102</v>
      </c>
      <c r="G1262" t="s">
        <v>111</v>
      </c>
      <c r="H1262" t="s">
        <v>169</v>
      </c>
      <c r="I1262">
        <v>2023</v>
      </c>
      <c r="J1262" t="s">
        <v>175</v>
      </c>
      <c r="K1262" t="s">
        <v>171</v>
      </c>
      <c r="L1262" t="s">
        <v>1537</v>
      </c>
      <c r="M1262" t="s">
        <v>1562</v>
      </c>
      <c r="N1262">
        <v>1</v>
      </c>
      <c r="O1262">
        <v>2023</v>
      </c>
      <c r="P1262">
        <v>13412.949821637279</v>
      </c>
      <c r="Q1262">
        <v>2.6125724148833172</v>
      </c>
      <c r="R1262" t="s">
        <v>109</v>
      </c>
      <c r="S1262">
        <v>5134.0011649921407</v>
      </c>
      <c r="T1262">
        <v>1</v>
      </c>
      <c r="U1262" t="s">
        <v>173</v>
      </c>
      <c r="V1262">
        <v>1</v>
      </c>
      <c r="W1262">
        <v>15</v>
      </c>
      <c r="X1262">
        <v>30</v>
      </c>
      <c r="Y1262">
        <v>23</v>
      </c>
      <c r="Z1262">
        <v>0.24</v>
      </c>
      <c r="AA1262">
        <v>31.536000000000001</v>
      </c>
    </row>
    <row r="1263" spans="1:27" x14ac:dyDescent="0.25">
      <c r="A1263" t="s">
        <v>98</v>
      </c>
      <c r="B1263" t="s">
        <v>519</v>
      </c>
      <c r="C1263" t="s">
        <v>1367</v>
      </c>
      <c r="D1263" t="s">
        <v>101</v>
      </c>
      <c r="E1263" t="s">
        <v>102</v>
      </c>
      <c r="G1263" t="s">
        <v>111</v>
      </c>
      <c r="H1263" t="s">
        <v>169</v>
      </c>
      <c r="I1263">
        <v>2024</v>
      </c>
      <c r="J1263" t="s">
        <v>177</v>
      </c>
      <c r="K1263" t="s">
        <v>171</v>
      </c>
      <c r="L1263" t="s">
        <v>1537</v>
      </c>
      <c r="M1263" t="s">
        <v>1563</v>
      </c>
      <c r="N1263">
        <v>1</v>
      </c>
      <c r="O1263">
        <v>2024</v>
      </c>
      <c r="P1263">
        <v>13412.949821637279</v>
      </c>
      <c r="Q1263">
        <v>2.6125724148833172</v>
      </c>
      <c r="R1263" t="s">
        <v>109</v>
      </c>
      <c r="S1263">
        <v>5134.0011649921407</v>
      </c>
      <c r="T1263">
        <v>1</v>
      </c>
      <c r="U1263" t="s">
        <v>173</v>
      </c>
      <c r="V1263">
        <v>1</v>
      </c>
      <c r="W1263">
        <v>15</v>
      </c>
      <c r="X1263">
        <v>30</v>
      </c>
      <c r="Y1263">
        <v>23</v>
      </c>
      <c r="Z1263">
        <v>0.24</v>
      </c>
      <c r="AA1263">
        <v>31.536000000000001</v>
      </c>
    </row>
    <row r="1264" spans="1:27" x14ac:dyDescent="0.25">
      <c r="A1264" t="s">
        <v>98</v>
      </c>
      <c r="B1264" t="s">
        <v>519</v>
      </c>
      <c r="C1264" t="s">
        <v>1367</v>
      </c>
      <c r="D1264" t="s">
        <v>101</v>
      </c>
      <c r="E1264" t="s">
        <v>179</v>
      </c>
      <c r="F1264" t="s">
        <v>180</v>
      </c>
      <c r="G1264" t="s">
        <v>103</v>
      </c>
      <c r="H1264" t="s">
        <v>125</v>
      </c>
      <c r="I1264">
        <v>2016</v>
      </c>
      <c r="J1264" t="s">
        <v>181</v>
      </c>
      <c r="K1264" t="s">
        <v>127</v>
      </c>
      <c r="L1264" t="s">
        <v>1564</v>
      </c>
      <c r="M1264" t="s">
        <v>1565</v>
      </c>
      <c r="N1264">
        <v>1</v>
      </c>
      <c r="O1264">
        <v>2020</v>
      </c>
      <c r="P1264">
        <v>2956.9457561336731</v>
      </c>
      <c r="Q1264">
        <v>22.041493010063569</v>
      </c>
      <c r="R1264" t="s">
        <v>109</v>
      </c>
      <c r="S1264">
        <v>134.15360541972399</v>
      </c>
      <c r="T1264">
        <v>2.4032825322391562</v>
      </c>
      <c r="U1264" t="s">
        <v>184</v>
      </c>
      <c r="V1264">
        <v>2.4032825322391562</v>
      </c>
      <c r="W1264">
        <v>9</v>
      </c>
      <c r="X1264">
        <v>22</v>
      </c>
      <c r="Y1264">
        <v>16</v>
      </c>
      <c r="Z1264">
        <v>7.9105094690167521E-2</v>
      </c>
      <c r="AA1264">
        <v>31.536000000000001</v>
      </c>
    </row>
    <row r="1265" spans="1:27" x14ac:dyDescent="0.25">
      <c r="A1265" t="s">
        <v>98</v>
      </c>
      <c r="B1265" t="s">
        <v>519</v>
      </c>
      <c r="C1265" t="s">
        <v>1367</v>
      </c>
      <c r="D1265" t="s">
        <v>101</v>
      </c>
      <c r="E1265" t="s">
        <v>179</v>
      </c>
      <c r="F1265" t="s">
        <v>180</v>
      </c>
      <c r="G1265" t="s">
        <v>103</v>
      </c>
      <c r="H1265" t="s">
        <v>125</v>
      </c>
      <c r="I1265">
        <v>2023</v>
      </c>
      <c r="J1265" t="s">
        <v>185</v>
      </c>
      <c r="K1265" t="s">
        <v>127</v>
      </c>
      <c r="L1265" t="s">
        <v>1564</v>
      </c>
      <c r="M1265" t="s">
        <v>1566</v>
      </c>
      <c r="N1265">
        <v>1</v>
      </c>
      <c r="O1265">
        <v>2023</v>
      </c>
      <c r="P1265">
        <v>2956.9457561336731</v>
      </c>
      <c r="Q1265">
        <v>22.041493010063569</v>
      </c>
      <c r="R1265" t="s">
        <v>109</v>
      </c>
      <c r="S1265">
        <v>134.15360541972399</v>
      </c>
      <c r="T1265">
        <v>2.4032825322391562</v>
      </c>
      <c r="U1265" t="s">
        <v>184</v>
      </c>
      <c r="V1265">
        <v>2.4032825322391562</v>
      </c>
      <c r="W1265">
        <v>9</v>
      </c>
      <c r="X1265">
        <v>22</v>
      </c>
      <c r="Y1265">
        <v>16</v>
      </c>
      <c r="Z1265">
        <v>7.9105094690167521E-2</v>
      </c>
      <c r="AA1265">
        <v>31.536000000000001</v>
      </c>
    </row>
    <row r="1266" spans="1:27" x14ac:dyDescent="0.25">
      <c r="A1266" t="s">
        <v>98</v>
      </c>
      <c r="B1266" t="s">
        <v>519</v>
      </c>
      <c r="C1266" t="s">
        <v>1367</v>
      </c>
      <c r="D1266" t="s">
        <v>101</v>
      </c>
      <c r="E1266" t="s">
        <v>179</v>
      </c>
      <c r="F1266" t="s">
        <v>180</v>
      </c>
      <c r="G1266" t="s">
        <v>111</v>
      </c>
      <c r="H1266" t="s">
        <v>125</v>
      </c>
      <c r="I1266">
        <v>2016</v>
      </c>
      <c r="J1266" t="s">
        <v>187</v>
      </c>
      <c r="K1266" t="s">
        <v>127</v>
      </c>
      <c r="L1266" t="s">
        <v>1564</v>
      </c>
      <c r="M1266" t="s">
        <v>1567</v>
      </c>
      <c r="N1266">
        <v>1</v>
      </c>
      <c r="O1266">
        <v>2020</v>
      </c>
      <c r="P1266">
        <v>3109.3656404704602</v>
      </c>
      <c r="Q1266">
        <v>22.041493010063569</v>
      </c>
      <c r="R1266" t="s">
        <v>109</v>
      </c>
      <c r="S1266">
        <v>141.06873971970981</v>
      </c>
      <c r="T1266">
        <v>2.5205158264947238</v>
      </c>
      <c r="U1266" t="s">
        <v>184</v>
      </c>
      <c r="V1266">
        <v>2.5205158264947238</v>
      </c>
      <c r="W1266">
        <v>9</v>
      </c>
      <c r="X1266">
        <v>22</v>
      </c>
      <c r="Y1266">
        <v>16</v>
      </c>
      <c r="Z1266">
        <v>7.9105094690167521E-2</v>
      </c>
      <c r="AA1266">
        <v>31.536000000000001</v>
      </c>
    </row>
    <row r="1267" spans="1:27" x14ac:dyDescent="0.25">
      <c r="A1267" t="s">
        <v>98</v>
      </c>
      <c r="B1267" t="s">
        <v>519</v>
      </c>
      <c r="C1267" t="s">
        <v>1367</v>
      </c>
      <c r="D1267" t="s">
        <v>101</v>
      </c>
      <c r="E1267" t="s">
        <v>179</v>
      </c>
      <c r="F1267" t="s">
        <v>180</v>
      </c>
      <c r="G1267" t="s">
        <v>111</v>
      </c>
      <c r="H1267" t="s">
        <v>125</v>
      </c>
      <c r="I1267">
        <v>2023</v>
      </c>
      <c r="J1267" t="s">
        <v>189</v>
      </c>
      <c r="K1267" t="s">
        <v>127</v>
      </c>
      <c r="L1267" t="s">
        <v>1564</v>
      </c>
      <c r="M1267" t="s">
        <v>1568</v>
      </c>
      <c r="N1267">
        <v>1</v>
      </c>
      <c r="O1267">
        <v>2023</v>
      </c>
      <c r="P1267">
        <v>3139.8496173378171</v>
      </c>
      <c r="Q1267">
        <v>22.041493010063569</v>
      </c>
      <c r="R1267" t="s">
        <v>109</v>
      </c>
      <c r="S1267">
        <v>142.45176657970691</v>
      </c>
      <c r="T1267">
        <v>2.5791324736225092</v>
      </c>
      <c r="U1267" t="s">
        <v>184</v>
      </c>
      <c r="V1267">
        <v>2.5791324736225092</v>
      </c>
      <c r="W1267">
        <v>9</v>
      </c>
      <c r="X1267">
        <v>22</v>
      </c>
      <c r="Y1267">
        <v>16</v>
      </c>
      <c r="Z1267">
        <v>7.9105094690167521E-2</v>
      </c>
      <c r="AA1267">
        <v>31.536000000000001</v>
      </c>
    </row>
    <row r="1268" spans="1:27" x14ac:dyDescent="0.25">
      <c r="A1268" t="s">
        <v>98</v>
      </c>
      <c r="B1268" t="s">
        <v>519</v>
      </c>
      <c r="C1268" t="s">
        <v>1367</v>
      </c>
      <c r="D1268" t="s">
        <v>101</v>
      </c>
      <c r="E1268" t="s">
        <v>179</v>
      </c>
      <c r="F1268" t="s">
        <v>180</v>
      </c>
      <c r="G1268" t="s">
        <v>114</v>
      </c>
      <c r="H1268" t="s">
        <v>125</v>
      </c>
      <c r="I1268">
        <v>2016</v>
      </c>
      <c r="J1268" t="s">
        <v>191</v>
      </c>
      <c r="K1268" t="s">
        <v>127</v>
      </c>
      <c r="L1268" t="s">
        <v>1564</v>
      </c>
      <c r="M1268" t="s">
        <v>1569</v>
      </c>
      <c r="N1268">
        <v>1</v>
      </c>
      <c r="O1268">
        <v>2020</v>
      </c>
      <c r="P1268">
        <v>3017.9137098683868</v>
      </c>
      <c r="Q1268">
        <v>22.041493010063569</v>
      </c>
      <c r="R1268" t="s">
        <v>109</v>
      </c>
      <c r="S1268">
        <v>136.91965913971831</v>
      </c>
      <c r="T1268">
        <v>2.4912075029308318</v>
      </c>
      <c r="U1268" t="s">
        <v>184</v>
      </c>
      <c r="V1268">
        <v>2.4912075029308318</v>
      </c>
      <c r="W1268">
        <v>9</v>
      </c>
      <c r="X1268">
        <v>22</v>
      </c>
      <c r="Y1268">
        <v>16</v>
      </c>
      <c r="Z1268">
        <v>7.9105094690167521E-2</v>
      </c>
      <c r="AA1268">
        <v>31.536000000000001</v>
      </c>
    </row>
    <row r="1269" spans="1:27" x14ac:dyDescent="0.25">
      <c r="A1269" t="s">
        <v>98</v>
      </c>
      <c r="B1269" t="s">
        <v>519</v>
      </c>
      <c r="C1269" t="s">
        <v>1367</v>
      </c>
      <c r="D1269" t="s">
        <v>101</v>
      </c>
      <c r="E1269" t="s">
        <v>179</v>
      </c>
      <c r="F1269" t="s">
        <v>180</v>
      </c>
      <c r="G1269" t="s">
        <v>114</v>
      </c>
      <c r="H1269" t="s">
        <v>125</v>
      </c>
      <c r="I1269">
        <v>2022</v>
      </c>
      <c r="J1269" t="s">
        <v>193</v>
      </c>
      <c r="K1269" t="s">
        <v>127</v>
      </c>
      <c r="L1269" t="s">
        <v>1564</v>
      </c>
      <c r="M1269" t="s">
        <v>1570</v>
      </c>
      <c r="N1269">
        <v>1</v>
      </c>
      <c r="O1269">
        <v>2022</v>
      </c>
      <c r="P1269">
        <v>3017.9137098683868</v>
      </c>
      <c r="Q1269">
        <v>22.041493010063569</v>
      </c>
      <c r="R1269" t="s">
        <v>109</v>
      </c>
      <c r="S1269">
        <v>136.91965913971831</v>
      </c>
      <c r="T1269">
        <v>2.4912075029308318</v>
      </c>
      <c r="U1269" t="s">
        <v>184</v>
      </c>
      <c r="V1269">
        <v>2.4912075029308318</v>
      </c>
      <c r="W1269">
        <v>9</v>
      </c>
      <c r="X1269">
        <v>22</v>
      </c>
      <c r="Y1269">
        <v>16</v>
      </c>
      <c r="Z1269">
        <v>7.9105094690167521E-2</v>
      </c>
      <c r="AA1269">
        <v>31.536000000000001</v>
      </c>
    </row>
    <row r="1270" spans="1:27" x14ac:dyDescent="0.25">
      <c r="A1270" t="s">
        <v>98</v>
      </c>
      <c r="B1270" t="s">
        <v>519</v>
      </c>
      <c r="C1270" t="s">
        <v>1367</v>
      </c>
      <c r="D1270" t="s">
        <v>101</v>
      </c>
      <c r="E1270" t="s">
        <v>179</v>
      </c>
      <c r="F1270" t="s">
        <v>180</v>
      </c>
      <c r="G1270" t="s">
        <v>114</v>
      </c>
      <c r="H1270" t="s">
        <v>125</v>
      </c>
      <c r="I1270">
        <v>2023</v>
      </c>
      <c r="J1270" t="s">
        <v>195</v>
      </c>
      <c r="K1270" t="s">
        <v>127</v>
      </c>
      <c r="L1270" t="s">
        <v>1564</v>
      </c>
      <c r="M1270" t="s">
        <v>1571</v>
      </c>
      <c r="N1270">
        <v>1</v>
      </c>
      <c r="O1270">
        <v>2023</v>
      </c>
      <c r="P1270">
        <v>3266.447780092843</v>
      </c>
      <c r="Q1270">
        <v>22.041493010063569</v>
      </c>
      <c r="R1270" t="s">
        <v>109</v>
      </c>
      <c r="S1270">
        <v>148.19539577475391</v>
      </c>
      <c r="T1270">
        <v>2.6963657678780768</v>
      </c>
      <c r="U1270" t="s">
        <v>184</v>
      </c>
      <c r="V1270">
        <v>2.6963657678780768</v>
      </c>
      <c r="W1270">
        <v>9</v>
      </c>
      <c r="X1270">
        <v>22</v>
      </c>
      <c r="Y1270">
        <v>16</v>
      </c>
      <c r="Z1270">
        <v>7.9105094690167521E-2</v>
      </c>
      <c r="AA1270">
        <v>31.536000000000001</v>
      </c>
    </row>
    <row r="1271" spans="1:27" x14ac:dyDescent="0.25">
      <c r="A1271" t="s">
        <v>98</v>
      </c>
      <c r="B1271" t="s">
        <v>519</v>
      </c>
      <c r="C1271" t="s">
        <v>1367</v>
      </c>
      <c r="D1271" t="s">
        <v>101</v>
      </c>
      <c r="E1271" t="s">
        <v>179</v>
      </c>
      <c r="F1271" t="s">
        <v>180</v>
      </c>
      <c r="G1271" t="s">
        <v>119</v>
      </c>
      <c r="H1271" t="s">
        <v>125</v>
      </c>
      <c r="I1271">
        <v>2016</v>
      </c>
      <c r="J1271" t="s">
        <v>197</v>
      </c>
      <c r="K1271" t="s">
        <v>127</v>
      </c>
      <c r="L1271" t="s">
        <v>1564</v>
      </c>
      <c r="M1271" t="s">
        <v>1572</v>
      </c>
      <c r="N1271">
        <v>1</v>
      </c>
      <c r="O1271">
        <v>2020</v>
      </c>
      <c r="P1271">
        <v>3719.0451778176089</v>
      </c>
      <c r="Q1271">
        <v>22.041493010063569</v>
      </c>
      <c r="R1271" t="s">
        <v>109</v>
      </c>
      <c r="S1271">
        <v>168.7292769196529</v>
      </c>
      <c r="T1271">
        <v>2.6377491207502932</v>
      </c>
      <c r="U1271" t="s">
        <v>184</v>
      </c>
      <c r="V1271">
        <v>2.6377491207502932</v>
      </c>
      <c r="W1271">
        <v>9</v>
      </c>
      <c r="X1271">
        <v>22</v>
      </c>
      <c r="Y1271">
        <v>16</v>
      </c>
      <c r="Z1271">
        <v>7.9105094690167521E-2</v>
      </c>
      <c r="AA1271">
        <v>31.536000000000001</v>
      </c>
    </row>
    <row r="1272" spans="1:27" x14ac:dyDescent="0.25">
      <c r="A1272" t="s">
        <v>98</v>
      </c>
      <c r="B1272" t="s">
        <v>519</v>
      </c>
      <c r="C1272" t="s">
        <v>1367</v>
      </c>
      <c r="D1272" t="s">
        <v>101</v>
      </c>
      <c r="E1272" t="s">
        <v>179</v>
      </c>
      <c r="F1272" t="s">
        <v>180</v>
      </c>
      <c r="G1272" t="s">
        <v>119</v>
      </c>
      <c r="H1272" t="s">
        <v>125</v>
      </c>
      <c r="I1272">
        <v>2022</v>
      </c>
      <c r="J1272" t="s">
        <v>199</v>
      </c>
      <c r="K1272" t="s">
        <v>127</v>
      </c>
      <c r="L1272" t="s">
        <v>1564</v>
      </c>
      <c r="M1272" t="s">
        <v>1573</v>
      </c>
      <c r="N1272">
        <v>1</v>
      </c>
      <c r="O1272">
        <v>2022</v>
      </c>
      <c r="P1272">
        <v>3914.784397702746</v>
      </c>
      <c r="Q1272">
        <v>22.041493010063569</v>
      </c>
      <c r="R1272" t="s">
        <v>109</v>
      </c>
      <c r="S1272">
        <v>177.60976517858199</v>
      </c>
      <c r="T1272">
        <v>2.9308323563892151</v>
      </c>
      <c r="U1272" t="s">
        <v>184</v>
      </c>
      <c r="V1272">
        <v>2.9308323563892151</v>
      </c>
      <c r="W1272">
        <v>9</v>
      </c>
      <c r="X1272">
        <v>22</v>
      </c>
      <c r="Y1272">
        <v>16</v>
      </c>
      <c r="Z1272">
        <v>7.9105094690167521E-2</v>
      </c>
      <c r="AA1272">
        <v>31.536000000000001</v>
      </c>
    </row>
    <row r="1273" spans="1:27" x14ac:dyDescent="0.25">
      <c r="A1273" t="s">
        <v>98</v>
      </c>
      <c r="B1273" t="s">
        <v>519</v>
      </c>
      <c r="C1273" t="s">
        <v>1367</v>
      </c>
      <c r="D1273" t="s">
        <v>101</v>
      </c>
      <c r="E1273" t="s">
        <v>179</v>
      </c>
      <c r="F1273" t="s">
        <v>201</v>
      </c>
      <c r="G1273" t="s">
        <v>103</v>
      </c>
      <c r="H1273" t="s">
        <v>125</v>
      </c>
      <c r="I1273">
        <v>2016</v>
      </c>
      <c r="J1273" t="s">
        <v>202</v>
      </c>
      <c r="K1273" t="s">
        <v>127</v>
      </c>
      <c r="L1273" t="s">
        <v>1564</v>
      </c>
      <c r="M1273" t="s">
        <v>1574</v>
      </c>
      <c r="N1273">
        <v>1</v>
      </c>
      <c r="O1273">
        <v>2020</v>
      </c>
      <c r="P1273">
        <v>9511.0007826155233</v>
      </c>
      <c r="Q1273">
        <v>22.041493010063569</v>
      </c>
      <c r="R1273" t="s">
        <v>109</v>
      </c>
      <c r="S1273">
        <v>431.50438031911222</v>
      </c>
      <c r="T1273">
        <v>3.2</v>
      </c>
      <c r="U1273" t="s">
        <v>184</v>
      </c>
      <c r="V1273">
        <v>3.2</v>
      </c>
      <c r="W1273">
        <v>8</v>
      </c>
      <c r="X1273">
        <v>20.8</v>
      </c>
      <c r="Y1273">
        <v>15</v>
      </c>
      <c r="Z1273">
        <v>7.9105094690167521E-2</v>
      </c>
      <c r="AA1273">
        <v>31.536000000000001</v>
      </c>
    </row>
    <row r="1274" spans="1:27" x14ac:dyDescent="0.25">
      <c r="A1274" t="s">
        <v>98</v>
      </c>
      <c r="B1274" t="s">
        <v>519</v>
      </c>
      <c r="C1274" t="s">
        <v>1367</v>
      </c>
      <c r="D1274" t="s">
        <v>101</v>
      </c>
      <c r="E1274" t="s">
        <v>179</v>
      </c>
      <c r="F1274" t="s">
        <v>201</v>
      </c>
      <c r="G1274" t="s">
        <v>111</v>
      </c>
      <c r="H1274" t="s">
        <v>125</v>
      </c>
      <c r="I1274">
        <v>2016</v>
      </c>
      <c r="J1274" t="s">
        <v>204</v>
      </c>
      <c r="K1274" t="s">
        <v>127</v>
      </c>
      <c r="L1274" t="s">
        <v>1564</v>
      </c>
      <c r="M1274" t="s">
        <v>1575</v>
      </c>
      <c r="N1274">
        <v>1</v>
      </c>
      <c r="O1274">
        <v>2020</v>
      </c>
      <c r="P1274">
        <v>9846.3245281564559</v>
      </c>
      <c r="Q1274">
        <v>22.041493010063569</v>
      </c>
      <c r="R1274" t="s">
        <v>109</v>
      </c>
      <c r="S1274">
        <v>446.71767577908088</v>
      </c>
      <c r="T1274">
        <v>3.7</v>
      </c>
      <c r="U1274" t="s">
        <v>184</v>
      </c>
      <c r="V1274">
        <v>3.7</v>
      </c>
      <c r="W1274">
        <v>8</v>
      </c>
      <c r="X1274">
        <v>20.8</v>
      </c>
      <c r="Y1274">
        <v>15</v>
      </c>
      <c r="Z1274">
        <v>7.9105094690167521E-2</v>
      </c>
      <c r="AA1274">
        <v>31.536000000000001</v>
      </c>
    </row>
    <row r="1275" spans="1:27" x14ac:dyDescent="0.25">
      <c r="A1275" t="s">
        <v>98</v>
      </c>
      <c r="B1275" t="s">
        <v>519</v>
      </c>
      <c r="C1275" t="s">
        <v>1367</v>
      </c>
      <c r="D1275" t="s">
        <v>101</v>
      </c>
      <c r="E1275" t="s">
        <v>179</v>
      </c>
      <c r="F1275" t="s">
        <v>201</v>
      </c>
      <c r="G1275" t="s">
        <v>114</v>
      </c>
      <c r="H1275" t="s">
        <v>125</v>
      </c>
      <c r="I1275">
        <v>2016</v>
      </c>
      <c r="J1275" t="s">
        <v>206</v>
      </c>
      <c r="K1275" t="s">
        <v>127</v>
      </c>
      <c r="L1275" t="s">
        <v>1564</v>
      </c>
      <c r="M1275" t="s">
        <v>1576</v>
      </c>
      <c r="N1275">
        <v>0</v>
      </c>
      <c r="O1275">
        <v>2020</v>
      </c>
      <c r="P1275">
        <v>9846.3245281564559</v>
      </c>
      <c r="Q1275">
        <v>22.041493010063569</v>
      </c>
      <c r="R1275" t="s">
        <v>109</v>
      </c>
      <c r="S1275">
        <v>446.71767577908088</v>
      </c>
      <c r="T1275">
        <v>3.6</v>
      </c>
      <c r="U1275" t="s">
        <v>184</v>
      </c>
      <c r="V1275">
        <v>3.6</v>
      </c>
      <c r="W1275">
        <v>8</v>
      </c>
      <c r="X1275">
        <v>20.8</v>
      </c>
      <c r="Y1275">
        <v>15</v>
      </c>
      <c r="Z1275">
        <v>7.9105094690167521E-2</v>
      </c>
      <c r="AA1275">
        <v>31.536000000000001</v>
      </c>
    </row>
    <row r="1276" spans="1:27" x14ac:dyDescent="0.25">
      <c r="A1276" t="s">
        <v>98</v>
      </c>
      <c r="B1276" t="s">
        <v>519</v>
      </c>
      <c r="C1276" t="s">
        <v>1367</v>
      </c>
      <c r="D1276" t="s">
        <v>101</v>
      </c>
      <c r="E1276" t="s">
        <v>179</v>
      </c>
      <c r="F1276" t="s">
        <v>201</v>
      </c>
      <c r="G1276" t="s">
        <v>114</v>
      </c>
      <c r="H1276" t="s">
        <v>125</v>
      </c>
      <c r="I1276">
        <v>2020</v>
      </c>
      <c r="J1276" t="s">
        <v>208</v>
      </c>
      <c r="K1276" t="s">
        <v>127</v>
      </c>
      <c r="L1276" t="s">
        <v>1564</v>
      </c>
      <c r="M1276" t="s">
        <v>1576</v>
      </c>
      <c r="N1276">
        <v>1</v>
      </c>
      <c r="O1276">
        <v>2020</v>
      </c>
      <c r="P1276">
        <v>9846.3245281564559</v>
      </c>
      <c r="Q1276">
        <v>22.041493010063569</v>
      </c>
      <c r="R1276" t="s">
        <v>109</v>
      </c>
      <c r="S1276">
        <v>446.71767577908088</v>
      </c>
      <c r="T1276">
        <v>3.6</v>
      </c>
      <c r="U1276" t="s">
        <v>184</v>
      </c>
      <c r="V1276">
        <v>3.6</v>
      </c>
      <c r="W1276">
        <v>8</v>
      </c>
      <c r="X1276">
        <v>20.8</v>
      </c>
      <c r="Y1276">
        <v>15</v>
      </c>
      <c r="Z1276">
        <v>7.9105094690167521E-2</v>
      </c>
      <c r="AA1276">
        <v>31.536000000000001</v>
      </c>
    </row>
    <row r="1277" spans="1:27" x14ac:dyDescent="0.25">
      <c r="A1277" t="s">
        <v>98</v>
      </c>
      <c r="B1277" t="s">
        <v>519</v>
      </c>
      <c r="C1277" t="s">
        <v>1367</v>
      </c>
      <c r="D1277" t="s">
        <v>101</v>
      </c>
      <c r="E1277" t="s">
        <v>179</v>
      </c>
      <c r="F1277" t="s">
        <v>201</v>
      </c>
      <c r="G1277" t="s">
        <v>114</v>
      </c>
      <c r="H1277" t="s">
        <v>125</v>
      </c>
      <c r="I1277">
        <v>2022</v>
      </c>
      <c r="J1277" t="s">
        <v>209</v>
      </c>
      <c r="K1277" t="s">
        <v>127</v>
      </c>
      <c r="L1277" t="s">
        <v>1564</v>
      </c>
      <c r="M1277" t="s">
        <v>1577</v>
      </c>
      <c r="N1277">
        <v>1</v>
      </c>
      <c r="O1277">
        <v>2022</v>
      </c>
      <c r="P1277">
        <v>9846.3245281564559</v>
      </c>
      <c r="Q1277">
        <v>22.041493010063569</v>
      </c>
      <c r="R1277" t="s">
        <v>109</v>
      </c>
      <c r="S1277">
        <v>446.71767577908088</v>
      </c>
      <c r="T1277">
        <v>3.6</v>
      </c>
      <c r="U1277" t="s">
        <v>184</v>
      </c>
      <c r="V1277">
        <v>3.6</v>
      </c>
      <c r="W1277">
        <v>8</v>
      </c>
      <c r="X1277">
        <v>20.8</v>
      </c>
      <c r="Y1277">
        <v>15</v>
      </c>
      <c r="Z1277">
        <v>7.9105094690167521E-2</v>
      </c>
      <c r="AA1277">
        <v>31.536000000000001</v>
      </c>
    </row>
    <row r="1278" spans="1:27" x14ac:dyDescent="0.25">
      <c r="A1278" t="s">
        <v>98</v>
      </c>
      <c r="B1278" t="s">
        <v>519</v>
      </c>
      <c r="C1278" t="s">
        <v>1367</v>
      </c>
      <c r="D1278" t="s">
        <v>101</v>
      </c>
      <c r="E1278" t="s">
        <v>179</v>
      </c>
      <c r="F1278" t="s">
        <v>201</v>
      </c>
      <c r="G1278" t="s">
        <v>114</v>
      </c>
      <c r="H1278" t="s">
        <v>125</v>
      </c>
      <c r="I1278">
        <v>2023</v>
      </c>
      <c r="J1278" t="s">
        <v>211</v>
      </c>
      <c r="K1278" t="s">
        <v>127</v>
      </c>
      <c r="L1278" t="s">
        <v>1564</v>
      </c>
      <c r="M1278" t="s">
        <v>1578</v>
      </c>
      <c r="N1278">
        <v>1</v>
      </c>
      <c r="O1278">
        <v>2023</v>
      </c>
      <c r="P1278">
        <v>9846.3245281564559</v>
      </c>
      <c r="Q1278">
        <v>22.041493010063569</v>
      </c>
      <c r="R1278" t="s">
        <v>109</v>
      </c>
      <c r="S1278">
        <v>446.71767577908088</v>
      </c>
      <c r="T1278">
        <v>3.6</v>
      </c>
      <c r="U1278" t="s">
        <v>184</v>
      </c>
      <c r="V1278">
        <v>3.6</v>
      </c>
      <c r="W1278">
        <v>8</v>
      </c>
      <c r="X1278">
        <v>20.8</v>
      </c>
      <c r="Y1278">
        <v>15</v>
      </c>
      <c r="Z1278">
        <v>7.9105094690167521E-2</v>
      </c>
      <c r="AA1278">
        <v>31.536000000000001</v>
      </c>
    </row>
    <row r="1279" spans="1:27" x14ac:dyDescent="0.25">
      <c r="A1279" t="s">
        <v>98</v>
      </c>
      <c r="B1279" t="s">
        <v>519</v>
      </c>
      <c r="C1279" t="s">
        <v>1367</v>
      </c>
      <c r="D1279" t="s">
        <v>101</v>
      </c>
      <c r="E1279" t="s">
        <v>179</v>
      </c>
      <c r="F1279" t="s">
        <v>201</v>
      </c>
      <c r="G1279" t="s">
        <v>114</v>
      </c>
      <c r="H1279" t="s">
        <v>125</v>
      </c>
      <c r="I1279">
        <v>2024</v>
      </c>
      <c r="J1279" t="s">
        <v>213</v>
      </c>
      <c r="K1279" t="s">
        <v>127</v>
      </c>
      <c r="L1279" t="s">
        <v>1564</v>
      </c>
      <c r="M1279" t="s">
        <v>1579</v>
      </c>
      <c r="N1279">
        <v>1</v>
      </c>
      <c r="O1279">
        <v>2024</v>
      </c>
      <c r="P1279">
        <v>9846.3245281564559</v>
      </c>
      <c r="Q1279">
        <v>22.041493010063569</v>
      </c>
      <c r="R1279" t="s">
        <v>109</v>
      </c>
      <c r="S1279">
        <v>446.71767577908088</v>
      </c>
      <c r="T1279">
        <v>3.6</v>
      </c>
      <c r="U1279" t="s">
        <v>184</v>
      </c>
      <c r="V1279">
        <v>3.6</v>
      </c>
      <c r="W1279">
        <v>8</v>
      </c>
      <c r="X1279">
        <v>20.8</v>
      </c>
      <c r="Y1279">
        <v>15</v>
      </c>
      <c r="Z1279">
        <v>7.9105094690167521E-2</v>
      </c>
      <c r="AA1279">
        <v>31.536000000000001</v>
      </c>
    </row>
    <row r="1280" spans="1:27" x14ac:dyDescent="0.25">
      <c r="A1280" t="s">
        <v>98</v>
      </c>
      <c r="B1280" t="s">
        <v>519</v>
      </c>
      <c r="C1280" t="s">
        <v>1367</v>
      </c>
      <c r="D1280" t="s">
        <v>101</v>
      </c>
      <c r="E1280" t="s">
        <v>179</v>
      </c>
      <c r="F1280" t="s">
        <v>201</v>
      </c>
      <c r="G1280" t="s">
        <v>119</v>
      </c>
      <c r="H1280" t="s">
        <v>125</v>
      </c>
      <c r="I1280">
        <v>2016</v>
      </c>
      <c r="J1280" t="s">
        <v>215</v>
      </c>
      <c r="K1280" t="s">
        <v>127</v>
      </c>
      <c r="L1280" t="s">
        <v>1564</v>
      </c>
      <c r="M1280" t="s">
        <v>1580</v>
      </c>
      <c r="N1280">
        <v>0</v>
      </c>
      <c r="O1280">
        <v>2020</v>
      </c>
      <c r="P1280">
        <v>10395.03611176889</v>
      </c>
      <c r="Q1280">
        <v>22.041493010063569</v>
      </c>
      <c r="R1280" t="s">
        <v>109</v>
      </c>
      <c r="S1280">
        <v>471.61215925902968</v>
      </c>
      <c r="T1280">
        <v>4.5</v>
      </c>
      <c r="U1280" t="s">
        <v>184</v>
      </c>
      <c r="V1280">
        <v>4.5</v>
      </c>
      <c r="W1280">
        <v>8</v>
      </c>
      <c r="X1280">
        <v>20.8</v>
      </c>
      <c r="Y1280">
        <v>15</v>
      </c>
      <c r="Z1280">
        <v>7.9105094690167521E-2</v>
      </c>
      <c r="AA1280">
        <v>31.536000000000001</v>
      </c>
    </row>
    <row r="1281" spans="1:27" x14ac:dyDescent="0.25">
      <c r="A1281" t="s">
        <v>98</v>
      </c>
      <c r="B1281" t="s">
        <v>519</v>
      </c>
      <c r="C1281" t="s">
        <v>1367</v>
      </c>
      <c r="D1281" t="s">
        <v>101</v>
      </c>
      <c r="E1281" t="s">
        <v>179</v>
      </c>
      <c r="F1281" t="s">
        <v>201</v>
      </c>
      <c r="G1281" t="s">
        <v>119</v>
      </c>
      <c r="H1281" t="s">
        <v>125</v>
      </c>
      <c r="I1281">
        <v>2020</v>
      </c>
      <c r="J1281" t="s">
        <v>217</v>
      </c>
      <c r="K1281" t="s">
        <v>127</v>
      </c>
      <c r="L1281" t="s">
        <v>1564</v>
      </c>
      <c r="M1281" t="s">
        <v>1580</v>
      </c>
      <c r="N1281">
        <v>1</v>
      </c>
      <c r="O1281">
        <v>2020</v>
      </c>
      <c r="P1281">
        <v>10395.03611176889</v>
      </c>
      <c r="Q1281">
        <v>22.041493010063569</v>
      </c>
      <c r="R1281" t="s">
        <v>109</v>
      </c>
      <c r="S1281">
        <v>471.61215925902968</v>
      </c>
      <c r="T1281">
        <v>4.5</v>
      </c>
      <c r="U1281" t="s">
        <v>184</v>
      </c>
      <c r="V1281">
        <v>4.5</v>
      </c>
      <c r="W1281">
        <v>8</v>
      </c>
      <c r="X1281">
        <v>20.8</v>
      </c>
      <c r="Y1281">
        <v>15</v>
      </c>
      <c r="Z1281">
        <v>7.9105094690167521E-2</v>
      </c>
      <c r="AA1281">
        <v>31.536000000000001</v>
      </c>
    </row>
    <row r="1282" spans="1:27" x14ac:dyDescent="0.25">
      <c r="A1282" t="s">
        <v>98</v>
      </c>
      <c r="B1282" t="s">
        <v>519</v>
      </c>
      <c r="C1282" t="s">
        <v>1367</v>
      </c>
      <c r="D1282" t="s">
        <v>101</v>
      </c>
      <c r="E1282" t="s">
        <v>179</v>
      </c>
      <c r="F1282" t="s">
        <v>201</v>
      </c>
      <c r="G1282" t="s">
        <v>119</v>
      </c>
      <c r="H1282" t="s">
        <v>125</v>
      </c>
      <c r="I1282">
        <v>2022</v>
      </c>
      <c r="J1282" t="s">
        <v>218</v>
      </c>
      <c r="K1282" t="s">
        <v>127</v>
      </c>
      <c r="L1282" t="s">
        <v>1564</v>
      </c>
      <c r="M1282" t="s">
        <v>1581</v>
      </c>
      <c r="N1282">
        <v>1</v>
      </c>
      <c r="O1282">
        <v>2022</v>
      </c>
      <c r="P1282">
        <v>10395.03611176889</v>
      </c>
      <c r="Q1282">
        <v>22.041493010063569</v>
      </c>
      <c r="R1282" t="s">
        <v>109</v>
      </c>
      <c r="S1282">
        <v>471.61215925902968</v>
      </c>
      <c r="T1282">
        <v>4.5</v>
      </c>
      <c r="U1282" t="s">
        <v>184</v>
      </c>
      <c r="V1282">
        <v>4.5</v>
      </c>
      <c r="W1282">
        <v>8</v>
      </c>
      <c r="X1282">
        <v>20.8</v>
      </c>
      <c r="Y1282">
        <v>15</v>
      </c>
      <c r="Z1282">
        <v>7.9105094690167521E-2</v>
      </c>
      <c r="AA1282">
        <v>31.536000000000001</v>
      </c>
    </row>
    <row r="1283" spans="1:27" x14ac:dyDescent="0.25">
      <c r="A1283" t="s">
        <v>98</v>
      </c>
      <c r="B1283" t="s">
        <v>519</v>
      </c>
      <c r="C1283" t="s">
        <v>1367</v>
      </c>
      <c r="D1283" t="s">
        <v>101</v>
      </c>
      <c r="E1283" t="s">
        <v>179</v>
      </c>
      <c r="F1283" t="s">
        <v>201</v>
      </c>
      <c r="G1283" t="s">
        <v>119</v>
      </c>
      <c r="H1283" t="s">
        <v>125</v>
      </c>
      <c r="I1283">
        <v>2023</v>
      </c>
      <c r="J1283" t="s">
        <v>220</v>
      </c>
      <c r="K1283" t="s">
        <v>127</v>
      </c>
      <c r="L1283" t="s">
        <v>1564</v>
      </c>
      <c r="M1283" t="s">
        <v>1582</v>
      </c>
      <c r="N1283">
        <v>1</v>
      </c>
      <c r="O1283">
        <v>2023</v>
      </c>
      <c r="P1283">
        <v>10395.03611176889</v>
      </c>
      <c r="Q1283">
        <v>22.041493010063569</v>
      </c>
      <c r="R1283" t="s">
        <v>109</v>
      </c>
      <c r="S1283">
        <v>471.61215925902968</v>
      </c>
      <c r="T1283">
        <v>4.5</v>
      </c>
      <c r="U1283" t="s">
        <v>184</v>
      </c>
      <c r="V1283">
        <v>4.5</v>
      </c>
      <c r="W1283">
        <v>8</v>
      </c>
      <c r="X1283">
        <v>20.8</v>
      </c>
      <c r="Y1283">
        <v>15</v>
      </c>
      <c r="Z1283">
        <v>7.9105094690167521E-2</v>
      </c>
      <c r="AA1283">
        <v>31.536000000000001</v>
      </c>
    </row>
    <row r="1284" spans="1:27" x14ac:dyDescent="0.25">
      <c r="A1284" t="s">
        <v>98</v>
      </c>
      <c r="B1284" t="s">
        <v>519</v>
      </c>
      <c r="C1284" t="s">
        <v>1367</v>
      </c>
      <c r="D1284" t="s">
        <v>101</v>
      </c>
      <c r="E1284" t="s">
        <v>179</v>
      </c>
      <c r="F1284" t="s">
        <v>201</v>
      </c>
      <c r="G1284" t="s">
        <v>119</v>
      </c>
      <c r="H1284" t="s">
        <v>125</v>
      </c>
      <c r="I1284">
        <v>2024</v>
      </c>
      <c r="J1284" t="s">
        <v>222</v>
      </c>
      <c r="K1284" t="s">
        <v>127</v>
      </c>
      <c r="L1284" t="s">
        <v>1564</v>
      </c>
      <c r="M1284" t="s">
        <v>1583</v>
      </c>
      <c r="N1284">
        <v>1</v>
      </c>
      <c r="O1284">
        <v>2024</v>
      </c>
      <c r="P1284">
        <v>10395.03611176889</v>
      </c>
      <c r="Q1284">
        <v>22.041493010063569</v>
      </c>
      <c r="R1284" t="s">
        <v>109</v>
      </c>
      <c r="S1284">
        <v>471.61215925902968</v>
      </c>
      <c r="T1284">
        <v>4.5</v>
      </c>
      <c r="U1284" t="s">
        <v>184</v>
      </c>
      <c r="V1284">
        <v>4.5</v>
      </c>
      <c r="W1284">
        <v>8</v>
      </c>
      <c r="X1284">
        <v>20.8</v>
      </c>
      <c r="Y1284">
        <v>15</v>
      </c>
      <c r="Z1284">
        <v>7.9105094690167521E-2</v>
      </c>
      <c r="AA1284">
        <v>31.536000000000001</v>
      </c>
    </row>
    <row r="1285" spans="1:27" x14ac:dyDescent="0.25">
      <c r="A1285" t="s">
        <v>98</v>
      </c>
      <c r="B1285" t="s">
        <v>519</v>
      </c>
      <c r="C1285" t="s">
        <v>1367</v>
      </c>
      <c r="D1285" t="s">
        <v>101</v>
      </c>
      <c r="E1285" t="s">
        <v>179</v>
      </c>
      <c r="F1285" t="s">
        <v>224</v>
      </c>
      <c r="G1285" t="s">
        <v>111</v>
      </c>
      <c r="H1285" t="s">
        <v>125</v>
      </c>
      <c r="I1285">
        <v>2016</v>
      </c>
      <c r="J1285" t="s">
        <v>225</v>
      </c>
      <c r="K1285" t="s">
        <v>127</v>
      </c>
      <c r="L1285" t="s">
        <v>1564</v>
      </c>
      <c r="M1285" t="s">
        <v>1584</v>
      </c>
      <c r="N1285">
        <v>1</v>
      </c>
      <c r="O1285">
        <v>2020</v>
      </c>
      <c r="P1285">
        <v>1341.294982163728</v>
      </c>
      <c r="Q1285">
        <v>22.041493010063569</v>
      </c>
      <c r="R1285" t="s">
        <v>109</v>
      </c>
      <c r="S1285">
        <v>60.853181839874807</v>
      </c>
      <c r="T1285">
        <v>0.98</v>
      </c>
      <c r="U1285" t="s">
        <v>227</v>
      </c>
      <c r="V1285">
        <v>0.98</v>
      </c>
      <c r="W1285">
        <v>15</v>
      </c>
      <c r="X1285">
        <v>30</v>
      </c>
      <c r="Y1285">
        <v>23</v>
      </c>
      <c r="Z1285">
        <v>7.9105094690167521E-2</v>
      </c>
      <c r="AA1285">
        <v>31.536000000000001</v>
      </c>
    </row>
    <row r="1286" spans="1:27" x14ac:dyDescent="0.25">
      <c r="A1286" t="s">
        <v>98</v>
      </c>
      <c r="B1286" t="s">
        <v>519</v>
      </c>
      <c r="C1286" t="s">
        <v>1367</v>
      </c>
      <c r="D1286" t="s">
        <v>101</v>
      </c>
      <c r="E1286" t="s">
        <v>179</v>
      </c>
      <c r="F1286" t="s">
        <v>228</v>
      </c>
      <c r="G1286" t="s">
        <v>103</v>
      </c>
      <c r="H1286" t="s">
        <v>104</v>
      </c>
      <c r="I1286">
        <v>2016</v>
      </c>
      <c r="J1286" t="s">
        <v>229</v>
      </c>
      <c r="K1286" t="s">
        <v>106</v>
      </c>
      <c r="L1286" t="s">
        <v>1564</v>
      </c>
      <c r="M1286" t="s">
        <v>1585</v>
      </c>
      <c r="N1286">
        <v>1</v>
      </c>
      <c r="O1286">
        <v>2020</v>
      </c>
      <c r="P1286">
        <v>2499.6861031233111</v>
      </c>
      <c r="Q1286">
        <v>22.041493010063569</v>
      </c>
      <c r="R1286" t="s">
        <v>109</v>
      </c>
      <c r="S1286">
        <v>113.4082025197667</v>
      </c>
      <c r="T1286">
        <v>0.8</v>
      </c>
      <c r="U1286" t="s">
        <v>227</v>
      </c>
      <c r="V1286">
        <v>0.8</v>
      </c>
      <c r="W1286">
        <v>16</v>
      </c>
      <c r="X1286">
        <v>27</v>
      </c>
      <c r="Y1286">
        <v>22</v>
      </c>
      <c r="Z1286">
        <v>7.9105094690167521E-2</v>
      </c>
      <c r="AA1286">
        <v>31.536000000000001</v>
      </c>
    </row>
    <row r="1287" spans="1:27" x14ac:dyDescent="0.25">
      <c r="A1287" t="s">
        <v>98</v>
      </c>
      <c r="B1287" t="s">
        <v>519</v>
      </c>
      <c r="C1287" t="s">
        <v>1367</v>
      </c>
      <c r="D1287" t="s">
        <v>101</v>
      </c>
      <c r="E1287" t="s">
        <v>179</v>
      </c>
      <c r="F1287" t="s">
        <v>228</v>
      </c>
      <c r="G1287" t="s">
        <v>111</v>
      </c>
      <c r="H1287" t="s">
        <v>104</v>
      </c>
      <c r="I1287">
        <v>2016</v>
      </c>
      <c r="J1287" t="s">
        <v>231</v>
      </c>
      <c r="K1287" t="s">
        <v>106</v>
      </c>
      <c r="L1287" t="s">
        <v>1564</v>
      </c>
      <c r="M1287" t="s">
        <v>1586</v>
      </c>
      <c r="N1287">
        <v>0</v>
      </c>
      <c r="O1287">
        <v>2020</v>
      </c>
      <c r="P1287">
        <v>3182.5271849521182</v>
      </c>
      <c r="Q1287">
        <v>22.041493010063569</v>
      </c>
      <c r="R1287" t="s">
        <v>109</v>
      </c>
      <c r="S1287">
        <v>144.38800418370289</v>
      </c>
      <c r="T1287">
        <v>0.92</v>
      </c>
      <c r="U1287" t="s">
        <v>227</v>
      </c>
      <c r="V1287">
        <v>0.92</v>
      </c>
      <c r="W1287">
        <v>16</v>
      </c>
      <c r="X1287">
        <v>27</v>
      </c>
      <c r="Y1287">
        <v>22</v>
      </c>
      <c r="Z1287">
        <v>7.9105094690167521E-2</v>
      </c>
      <c r="AA1287">
        <v>31.536000000000001</v>
      </c>
    </row>
    <row r="1288" spans="1:27" x14ac:dyDescent="0.25">
      <c r="A1288" t="s">
        <v>98</v>
      </c>
      <c r="B1288" t="s">
        <v>519</v>
      </c>
      <c r="C1288" t="s">
        <v>1367</v>
      </c>
      <c r="D1288" t="s">
        <v>101</v>
      </c>
      <c r="E1288" t="s">
        <v>179</v>
      </c>
      <c r="F1288" t="s">
        <v>228</v>
      </c>
      <c r="G1288" t="s">
        <v>111</v>
      </c>
      <c r="H1288" t="s">
        <v>104</v>
      </c>
      <c r="I1288">
        <v>2020</v>
      </c>
      <c r="J1288" t="s">
        <v>233</v>
      </c>
      <c r="K1288" t="s">
        <v>106</v>
      </c>
      <c r="L1288" t="s">
        <v>1564</v>
      </c>
      <c r="M1288" t="s">
        <v>1586</v>
      </c>
      <c r="N1288">
        <v>1</v>
      </c>
      <c r="O1288">
        <v>2020</v>
      </c>
      <c r="P1288">
        <v>3365.4310461562618</v>
      </c>
      <c r="Q1288">
        <v>22.041493010063569</v>
      </c>
      <c r="R1288" t="s">
        <v>109</v>
      </c>
      <c r="S1288">
        <v>152.6861653436859</v>
      </c>
      <c r="T1288">
        <v>0.92</v>
      </c>
      <c r="U1288" t="s">
        <v>227</v>
      </c>
      <c r="V1288">
        <v>0.92</v>
      </c>
      <c r="W1288">
        <v>16</v>
      </c>
      <c r="X1288">
        <v>27</v>
      </c>
      <c r="Y1288">
        <v>22</v>
      </c>
      <c r="Z1288">
        <v>7.9105094690167521E-2</v>
      </c>
      <c r="AA1288">
        <v>31.536000000000001</v>
      </c>
    </row>
    <row r="1289" spans="1:27" x14ac:dyDescent="0.25">
      <c r="A1289" t="s">
        <v>98</v>
      </c>
      <c r="B1289" t="s">
        <v>519</v>
      </c>
      <c r="C1289" t="s">
        <v>1367</v>
      </c>
      <c r="D1289" t="s">
        <v>101</v>
      </c>
      <c r="E1289" t="s">
        <v>179</v>
      </c>
      <c r="F1289" t="s">
        <v>228</v>
      </c>
      <c r="G1289" t="s">
        <v>114</v>
      </c>
      <c r="H1289" t="s">
        <v>104</v>
      </c>
      <c r="I1289">
        <v>2016</v>
      </c>
      <c r="J1289" t="s">
        <v>234</v>
      </c>
      <c r="K1289" t="s">
        <v>106</v>
      </c>
      <c r="L1289" t="s">
        <v>1564</v>
      </c>
      <c r="M1289" t="s">
        <v>1587</v>
      </c>
      <c r="N1289">
        <v>1</v>
      </c>
      <c r="O1289">
        <v>2020</v>
      </c>
      <c r="P1289">
        <v>3341.043864662377</v>
      </c>
      <c r="Q1289">
        <v>22.041493010063569</v>
      </c>
      <c r="R1289" t="s">
        <v>109</v>
      </c>
      <c r="S1289">
        <v>151.57974385568821</v>
      </c>
      <c r="T1289">
        <v>0.95</v>
      </c>
      <c r="U1289" t="s">
        <v>227</v>
      </c>
      <c r="V1289">
        <v>0.95</v>
      </c>
      <c r="W1289">
        <v>16</v>
      </c>
      <c r="X1289">
        <v>27</v>
      </c>
      <c r="Y1289">
        <v>22</v>
      </c>
      <c r="Z1289">
        <v>7.9105094690167521E-2</v>
      </c>
      <c r="AA1289">
        <v>31.536000000000001</v>
      </c>
    </row>
    <row r="1290" spans="1:27" x14ac:dyDescent="0.25">
      <c r="A1290" t="s">
        <v>98</v>
      </c>
      <c r="B1290" t="s">
        <v>519</v>
      </c>
      <c r="C1290" t="s">
        <v>1367</v>
      </c>
      <c r="D1290" t="s">
        <v>101</v>
      </c>
      <c r="E1290" t="s">
        <v>179</v>
      </c>
      <c r="F1290" t="s">
        <v>228</v>
      </c>
      <c r="G1290" t="s">
        <v>114</v>
      </c>
      <c r="H1290" t="s">
        <v>104</v>
      </c>
      <c r="I1290">
        <v>2022</v>
      </c>
      <c r="J1290" t="s">
        <v>236</v>
      </c>
      <c r="K1290" t="s">
        <v>106</v>
      </c>
      <c r="L1290" t="s">
        <v>1564</v>
      </c>
      <c r="M1290" t="s">
        <v>1588</v>
      </c>
      <c r="N1290">
        <v>1</v>
      </c>
      <c r="O1290">
        <v>2022</v>
      </c>
      <c r="P1290">
        <v>3341.043864662377</v>
      </c>
      <c r="Q1290">
        <v>22.041493010063569</v>
      </c>
      <c r="R1290" t="s">
        <v>109</v>
      </c>
      <c r="S1290">
        <v>151.57974385568821</v>
      </c>
      <c r="T1290">
        <v>0.95</v>
      </c>
      <c r="U1290" t="s">
        <v>227</v>
      </c>
      <c r="V1290">
        <v>0.95</v>
      </c>
      <c r="W1290">
        <v>16</v>
      </c>
      <c r="X1290">
        <v>27</v>
      </c>
      <c r="Y1290">
        <v>22</v>
      </c>
      <c r="Z1290">
        <v>7.9105094690167521E-2</v>
      </c>
      <c r="AA1290">
        <v>31.536000000000001</v>
      </c>
    </row>
    <row r="1291" spans="1:27" x14ac:dyDescent="0.25">
      <c r="A1291" t="s">
        <v>98</v>
      </c>
      <c r="B1291" t="s">
        <v>519</v>
      </c>
      <c r="C1291" t="s">
        <v>1367</v>
      </c>
      <c r="D1291" t="s">
        <v>101</v>
      </c>
      <c r="E1291" t="s">
        <v>179</v>
      </c>
      <c r="F1291" t="s">
        <v>228</v>
      </c>
      <c r="G1291" t="s">
        <v>119</v>
      </c>
      <c r="H1291" t="s">
        <v>104</v>
      </c>
      <c r="I1291">
        <v>2016</v>
      </c>
      <c r="J1291" t="s">
        <v>238</v>
      </c>
      <c r="K1291" t="s">
        <v>106</v>
      </c>
      <c r="L1291" t="s">
        <v>1564</v>
      </c>
      <c r="M1291" t="s">
        <v>1589</v>
      </c>
      <c r="N1291">
        <v>1</v>
      </c>
      <c r="O1291">
        <v>2020</v>
      </c>
      <c r="P1291">
        <v>3706.851587070666</v>
      </c>
      <c r="Q1291">
        <v>22.041493010063569</v>
      </c>
      <c r="R1291" t="s">
        <v>109</v>
      </c>
      <c r="S1291">
        <v>168.176066175654</v>
      </c>
      <c r="T1291">
        <v>0.99</v>
      </c>
      <c r="U1291" t="s">
        <v>227</v>
      </c>
      <c r="V1291">
        <v>0.99</v>
      </c>
      <c r="W1291">
        <v>16</v>
      </c>
      <c r="X1291">
        <v>27</v>
      </c>
      <c r="Y1291">
        <v>22</v>
      </c>
      <c r="Z1291">
        <v>7.9105094690167521E-2</v>
      </c>
      <c r="AA1291">
        <v>31.536000000000001</v>
      </c>
    </row>
    <row r="1292" spans="1:27" x14ac:dyDescent="0.25">
      <c r="A1292" t="s">
        <v>98</v>
      </c>
      <c r="B1292" t="s">
        <v>519</v>
      </c>
      <c r="C1292" t="s">
        <v>1367</v>
      </c>
      <c r="D1292" t="s">
        <v>101</v>
      </c>
      <c r="E1292" t="s">
        <v>179</v>
      </c>
      <c r="F1292" t="s">
        <v>228</v>
      </c>
      <c r="G1292" t="s">
        <v>119</v>
      </c>
      <c r="H1292" t="s">
        <v>104</v>
      </c>
      <c r="I1292">
        <v>2022</v>
      </c>
      <c r="J1292" t="s">
        <v>240</v>
      </c>
      <c r="K1292" t="s">
        <v>106</v>
      </c>
      <c r="L1292" t="s">
        <v>1564</v>
      </c>
      <c r="M1292" t="s">
        <v>1590</v>
      </c>
      <c r="N1292">
        <v>1</v>
      </c>
      <c r="O1292">
        <v>2022</v>
      </c>
      <c r="P1292">
        <v>3706.851587070666</v>
      </c>
      <c r="Q1292">
        <v>22.041493010063569</v>
      </c>
      <c r="R1292" t="s">
        <v>109</v>
      </c>
      <c r="S1292">
        <v>168.176066175654</v>
      </c>
      <c r="T1292">
        <v>0.99</v>
      </c>
      <c r="U1292" t="s">
        <v>227</v>
      </c>
      <c r="V1292">
        <v>0.99</v>
      </c>
      <c r="W1292">
        <v>16</v>
      </c>
      <c r="X1292">
        <v>27</v>
      </c>
      <c r="Y1292">
        <v>22</v>
      </c>
      <c r="Z1292">
        <v>7.9105094690167521E-2</v>
      </c>
      <c r="AA1292">
        <v>31.536000000000001</v>
      </c>
    </row>
    <row r="1293" spans="1:27" x14ac:dyDescent="0.25">
      <c r="A1293" t="s">
        <v>98</v>
      </c>
      <c r="B1293" t="s">
        <v>519</v>
      </c>
      <c r="C1293" t="s">
        <v>1367</v>
      </c>
      <c r="D1293" t="s">
        <v>101</v>
      </c>
      <c r="E1293" t="s">
        <v>179</v>
      </c>
      <c r="F1293" t="s">
        <v>224</v>
      </c>
      <c r="G1293" t="s">
        <v>103</v>
      </c>
      <c r="H1293" t="s">
        <v>104</v>
      </c>
      <c r="I1293">
        <v>2016</v>
      </c>
      <c r="J1293" t="s">
        <v>242</v>
      </c>
      <c r="K1293" t="s">
        <v>106</v>
      </c>
      <c r="L1293" t="s">
        <v>1564</v>
      </c>
      <c r="M1293" t="s">
        <v>1591</v>
      </c>
      <c r="N1293">
        <v>1</v>
      </c>
      <c r="O1293">
        <v>2020</v>
      </c>
      <c r="P1293">
        <v>8748.901360931588</v>
      </c>
      <c r="Q1293">
        <v>22.041493010063569</v>
      </c>
      <c r="R1293" t="s">
        <v>109</v>
      </c>
      <c r="S1293">
        <v>396.92870881918338</v>
      </c>
      <c r="T1293">
        <v>0.82</v>
      </c>
      <c r="U1293" t="s">
        <v>227</v>
      </c>
      <c r="V1293">
        <v>0.82</v>
      </c>
      <c r="W1293">
        <v>20</v>
      </c>
      <c r="X1293">
        <v>30</v>
      </c>
      <c r="Y1293">
        <v>26</v>
      </c>
      <c r="Z1293">
        <v>7.9105094690167521E-2</v>
      </c>
      <c r="AA1293">
        <v>31.536000000000001</v>
      </c>
    </row>
    <row r="1294" spans="1:27" x14ac:dyDescent="0.25">
      <c r="A1294" t="s">
        <v>98</v>
      </c>
      <c r="B1294" t="s">
        <v>519</v>
      </c>
      <c r="C1294" t="s">
        <v>1367</v>
      </c>
      <c r="D1294" t="s">
        <v>101</v>
      </c>
      <c r="E1294" t="s">
        <v>179</v>
      </c>
      <c r="F1294" t="s">
        <v>224</v>
      </c>
      <c r="G1294" t="s">
        <v>103</v>
      </c>
      <c r="H1294" t="s">
        <v>104</v>
      </c>
      <c r="I1294">
        <v>2021</v>
      </c>
      <c r="J1294" t="s">
        <v>244</v>
      </c>
      <c r="K1294" t="s">
        <v>106</v>
      </c>
      <c r="L1294" t="s">
        <v>1564</v>
      </c>
      <c r="M1294" t="s">
        <v>1592</v>
      </c>
      <c r="N1294">
        <v>1</v>
      </c>
      <c r="O1294">
        <v>2021</v>
      </c>
      <c r="P1294">
        <v>8962.2891990030894</v>
      </c>
      <c r="Q1294">
        <v>22.041493010063569</v>
      </c>
      <c r="R1294" t="s">
        <v>109</v>
      </c>
      <c r="S1294">
        <v>406.60989683916341</v>
      </c>
      <c r="T1294">
        <v>0.84</v>
      </c>
      <c r="U1294" t="s">
        <v>227</v>
      </c>
      <c r="V1294">
        <v>0.84</v>
      </c>
      <c r="W1294">
        <v>20</v>
      </c>
      <c r="X1294">
        <v>30</v>
      </c>
      <c r="Y1294">
        <v>26</v>
      </c>
      <c r="Z1294">
        <v>7.9105094690167521E-2</v>
      </c>
      <c r="AA1294">
        <v>31.536000000000001</v>
      </c>
    </row>
    <row r="1295" spans="1:27" x14ac:dyDescent="0.25">
      <c r="A1295" t="s">
        <v>98</v>
      </c>
      <c r="B1295" t="s">
        <v>519</v>
      </c>
      <c r="C1295" t="s">
        <v>1367</v>
      </c>
      <c r="D1295" t="s">
        <v>101</v>
      </c>
      <c r="E1295" t="s">
        <v>179</v>
      </c>
      <c r="F1295" t="s">
        <v>224</v>
      </c>
      <c r="G1295" t="s">
        <v>111</v>
      </c>
      <c r="H1295" t="s">
        <v>104</v>
      </c>
      <c r="I1295">
        <v>2016</v>
      </c>
      <c r="J1295" t="s">
        <v>246</v>
      </c>
      <c r="K1295" t="s">
        <v>106</v>
      </c>
      <c r="L1295" t="s">
        <v>1564</v>
      </c>
      <c r="M1295" t="s">
        <v>1593</v>
      </c>
      <c r="N1295">
        <v>0</v>
      </c>
      <c r="O1295">
        <v>2020</v>
      </c>
      <c r="P1295">
        <v>8748.901360931588</v>
      </c>
      <c r="Q1295">
        <v>22.041493010063569</v>
      </c>
      <c r="R1295" t="s">
        <v>109</v>
      </c>
      <c r="S1295">
        <v>396.92870881918338</v>
      </c>
      <c r="T1295">
        <v>0.82</v>
      </c>
      <c r="U1295" t="s">
        <v>227</v>
      </c>
      <c r="V1295">
        <v>0.82</v>
      </c>
      <c r="W1295">
        <v>20</v>
      </c>
      <c r="X1295">
        <v>30</v>
      </c>
      <c r="Y1295">
        <v>26</v>
      </c>
      <c r="Z1295">
        <v>7.9105094690167521E-2</v>
      </c>
      <c r="AA1295">
        <v>31.536000000000001</v>
      </c>
    </row>
    <row r="1296" spans="1:27" x14ac:dyDescent="0.25">
      <c r="A1296" t="s">
        <v>98</v>
      </c>
      <c r="B1296" t="s">
        <v>519</v>
      </c>
      <c r="C1296" t="s">
        <v>1367</v>
      </c>
      <c r="D1296" t="s">
        <v>101</v>
      </c>
      <c r="E1296" t="s">
        <v>179</v>
      </c>
      <c r="F1296" t="s">
        <v>224</v>
      </c>
      <c r="G1296" t="s">
        <v>111</v>
      </c>
      <c r="H1296" t="s">
        <v>104</v>
      </c>
      <c r="I1296">
        <v>2020</v>
      </c>
      <c r="J1296" t="s">
        <v>248</v>
      </c>
      <c r="K1296" t="s">
        <v>106</v>
      </c>
      <c r="L1296" t="s">
        <v>1564</v>
      </c>
      <c r="M1296" t="s">
        <v>1593</v>
      </c>
      <c r="N1296">
        <v>1</v>
      </c>
      <c r="O1296">
        <v>2020</v>
      </c>
      <c r="P1296">
        <v>9602.4527132175954</v>
      </c>
      <c r="Q1296">
        <v>22.041493010063569</v>
      </c>
      <c r="R1296" t="s">
        <v>109</v>
      </c>
      <c r="S1296">
        <v>435.65346089910372</v>
      </c>
      <c r="T1296">
        <v>0.9</v>
      </c>
      <c r="U1296" t="s">
        <v>227</v>
      </c>
      <c r="V1296">
        <v>0.9</v>
      </c>
      <c r="W1296">
        <v>20</v>
      </c>
      <c r="X1296">
        <v>30</v>
      </c>
      <c r="Y1296">
        <v>26</v>
      </c>
      <c r="Z1296">
        <v>7.9105094690167521E-2</v>
      </c>
      <c r="AA1296">
        <v>31.536000000000001</v>
      </c>
    </row>
    <row r="1297" spans="1:27" x14ac:dyDescent="0.25">
      <c r="A1297" t="s">
        <v>98</v>
      </c>
      <c r="B1297" t="s">
        <v>519</v>
      </c>
      <c r="C1297" t="s">
        <v>1367</v>
      </c>
      <c r="D1297" t="s">
        <v>101</v>
      </c>
      <c r="E1297" t="s">
        <v>179</v>
      </c>
      <c r="F1297" t="s">
        <v>224</v>
      </c>
      <c r="G1297" t="s">
        <v>114</v>
      </c>
      <c r="H1297" t="s">
        <v>104</v>
      </c>
      <c r="I1297">
        <v>2016</v>
      </c>
      <c r="J1297" t="s">
        <v>249</v>
      </c>
      <c r="K1297" t="s">
        <v>106</v>
      </c>
      <c r="L1297" t="s">
        <v>1564</v>
      </c>
      <c r="M1297" t="s">
        <v>1594</v>
      </c>
      <c r="N1297">
        <v>1</v>
      </c>
      <c r="O1297">
        <v>2020</v>
      </c>
      <c r="P1297">
        <v>9602.4527132175954</v>
      </c>
      <c r="Q1297">
        <v>22.041493010063569</v>
      </c>
      <c r="R1297" t="s">
        <v>109</v>
      </c>
      <c r="S1297">
        <v>435.65346089910372</v>
      </c>
      <c r="T1297">
        <v>0.9</v>
      </c>
      <c r="U1297" t="s">
        <v>227</v>
      </c>
      <c r="V1297">
        <v>0.9</v>
      </c>
      <c r="W1297">
        <v>20</v>
      </c>
      <c r="X1297">
        <v>30</v>
      </c>
      <c r="Y1297">
        <v>26</v>
      </c>
      <c r="Z1297">
        <v>7.9105094690167521E-2</v>
      </c>
      <c r="AA1297">
        <v>31.536000000000001</v>
      </c>
    </row>
    <row r="1298" spans="1:27" x14ac:dyDescent="0.25">
      <c r="A1298" t="s">
        <v>98</v>
      </c>
      <c r="B1298" t="s">
        <v>519</v>
      </c>
      <c r="C1298" t="s">
        <v>1367</v>
      </c>
      <c r="D1298" t="s">
        <v>101</v>
      </c>
      <c r="E1298" t="s">
        <v>179</v>
      </c>
      <c r="F1298" t="s">
        <v>224</v>
      </c>
      <c r="G1298" t="s">
        <v>119</v>
      </c>
      <c r="H1298" t="s">
        <v>104</v>
      </c>
      <c r="I1298">
        <v>2016</v>
      </c>
      <c r="J1298" t="s">
        <v>251</v>
      </c>
      <c r="K1298" t="s">
        <v>106</v>
      </c>
      <c r="L1298" t="s">
        <v>1564</v>
      </c>
      <c r="M1298" t="s">
        <v>1595</v>
      </c>
      <c r="N1298">
        <v>1</v>
      </c>
      <c r="O1298">
        <v>2020</v>
      </c>
      <c r="P1298">
        <v>10882.779741646609</v>
      </c>
      <c r="Q1298">
        <v>22.041493010063569</v>
      </c>
      <c r="R1298" t="s">
        <v>109</v>
      </c>
      <c r="S1298">
        <v>493.74058901898422</v>
      </c>
      <c r="T1298">
        <v>0.97</v>
      </c>
      <c r="U1298" t="s">
        <v>227</v>
      </c>
      <c r="V1298">
        <v>0.97</v>
      </c>
      <c r="W1298">
        <v>20</v>
      </c>
      <c r="X1298">
        <v>30</v>
      </c>
      <c r="Y1298">
        <v>26</v>
      </c>
      <c r="Z1298">
        <v>7.9105094690167521E-2</v>
      </c>
      <c r="AA1298">
        <v>31.536000000000001</v>
      </c>
    </row>
    <row r="1299" spans="1:27" x14ac:dyDescent="0.25">
      <c r="A1299" t="s">
        <v>98</v>
      </c>
      <c r="B1299" t="s">
        <v>519</v>
      </c>
      <c r="C1299" t="s">
        <v>1367</v>
      </c>
      <c r="D1299" t="s">
        <v>101</v>
      </c>
      <c r="E1299" t="s">
        <v>179</v>
      </c>
      <c r="F1299" t="s">
        <v>224</v>
      </c>
      <c r="G1299" t="s">
        <v>119</v>
      </c>
      <c r="H1299" t="s">
        <v>104</v>
      </c>
      <c r="I1299">
        <v>2022</v>
      </c>
      <c r="J1299" t="s">
        <v>253</v>
      </c>
      <c r="K1299" t="s">
        <v>106</v>
      </c>
      <c r="L1299" t="s">
        <v>1564</v>
      </c>
      <c r="M1299" t="s">
        <v>1596</v>
      </c>
      <c r="N1299">
        <v>1</v>
      </c>
      <c r="O1299">
        <v>2022</v>
      </c>
      <c r="P1299">
        <v>10882.779741646609</v>
      </c>
      <c r="Q1299">
        <v>22.041493010063569</v>
      </c>
      <c r="R1299" t="s">
        <v>109</v>
      </c>
      <c r="S1299">
        <v>493.74058901898422</v>
      </c>
      <c r="T1299">
        <v>0.97</v>
      </c>
      <c r="U1299" t="s">
        <v>227</v>
      </c>
      <c r="V1299">
        <v>0.97</v>
      </c>
      <c r="W1299">
        <v>20</v>
      </c>
      <c r="X1299">
        <v>30</v>
      </c>
      <c r="Y1299">
        <v>26</v>
      </c>
      <c r="Z1299">
        <v>7.9105094690167521E-2</v>
      </c>
      <c r="AA1299">
        <v>31.536000000000001</v>
      </c>
    </row>
    <row r="1300" spans="1:27" x14ac:dyDescent="0.25">
      <c r="A1300" t="s">
        <v>98</v>
      </c>
      <c r="B1300" t="s">
        <v>519</v>
      </c>
      <c r="C1300" t="s">
        <v>1367</v>
      </c>
      <c r="D1300" t="s">
        <v>101</v>
      </c>
      <c r="E1300" t="s">
        <v>179</v>
      </c>
      <c r="F1300" t="s">
        <v>228</v>
      </c>
      <c r="G1300" t="s">
        <v>103</v>
      </c>
      <c r="H1300" t="s">
        <v>255</v>
      </c>
      <c r="I1300">
        <v>2016</v>
      </c>
      <c r="J1300" t="s">
        <v>256</v>
      </c>
      <c r="K1300" t="s">
        <v>257</v>
      </c>
      <c r="L1300" t="s">
        <v>1564</v>
      </c>
      <c r="M1300" t="s">
        <v>1597</v>
      </c>
      <c r="N1300">
        <v>1</v>
      </c>
      <c r="O1300">
        <v>2020</v>
      </c>
      <c r="P1300">
        <v>5029.8561831139787</v>
      </c>
      <c r="Q1300">
        <v>22.041493010063569</v>
      </c>
      <c r="R1300" t="s">
        <v>109</v>
      </c>
      <c r="S1300">
        <v>228.19943189953051</v>
      </c>
      <c r="T1300">
        <v>0.83</v>
      </c>
      <c r="U1300" t="s">
        <v>227</v>
      </c>
      <c r="V1300">
        <v>0.83</v>
      </c>
      <c r="W1300">
        <v>19.7</v>
      </c>
      <c r="X1300">
        <v>33.1</v>
      </c>
      <c r="Y1300">
        <v>27</v>
      </c>
      <c r="Z1300">
        <v>7.9105094690167521E-2</v>
      </c>
      <c r="AA1300">
        <v>31.536000000000001</v>
      </c>
    </row>
    <row r="1301" spans="1:27" x14ac:dyDescent="0.25">
      <c r="A1301" t="s">
        <v>98</v>
      </c>
      <c r="B1301" t="s">
        <v>519</v>
      </c>
      <c r="C1301" t="s">
        <v>1367</v>
      </c>
      <c r="D1301" t="s">
        <v>101</v>
      </c>
      <c r="E1301" t="s">
        <v>179</v>
      </c>
      <c r="F1301" t="s">
        <v>228</v>
      </c>
      <c r="G1301" t="s">
        <v>111</v>
      </c>
      <c r="H1301" t="s">
        <v>255</v>
      </c>
      <c r="I1301">
        <v>2016</v>
      </c>
      <c r="J1301" t="s">
        <v>259</v>
      </c>
      <c r="K1301" t="s">
        <v>257</v>
      </c>
      <c r="L1301" t="s">
        <v>1564</v>
      </c>
      <c r="M1301" t="s">
        <v>1598</v>
      </c>
      <c r="N1301">
        <v>0</v>
      </c>
      <c r="O1301">
        <v>2020</v>
      </c>
      <c r="P1301">
        <v>5029.8561831139787</v>
      </c>
      <c r="Q1301">
        <v>22.041493010063569</v>
      </c>
      <c r="R1301" t="s">
        <v>109</v>
      </c>
      <c r="S1301">
        <v>228.19943189953051</v>
      </c>
      <c r="T1301">
        <v>0.83</v>
      </c>
      <c r="U1301" t="s">
        <v>227</v>
      </c>
      <c r="V1301">
        <v>0.83</v>
      </c>
      <c r="W1301">
        <v>19.7</v>
      </c>
      <c r="X1301">
        <v>33.1</v>
      </c>
      <c r="Y1301">
        <v>27</v>
      </c>
      <c r="Z1301">
        <v>7.9105094690167521E-2</v>
      </c>
      <c r="AA1301">
        <v>31.536000000000001</v>
      </c>
    </row>
    <row r="1302" spans="1:27" x14ac:dyDescent="0.25">
      <c r="A1302" t="s">
        <v>98</v>
      </c>
      <c r="B1302" t="s">
        <v>519</v>
      </c>
      <c r="C1302" t="s">
        <v>1367</v>
      </c>
      <c r="D1302" t="s">
        <v>101</v>
      </c>
      <c r="E1302" t="s">
        <v>179</v>
      </c>
      <c r="F1302" t="s">
        <v>228</v>
      </c>
      <c r="G1302" t="s">
        <v>111</v>
      </c>
      <c r="H1302" t="s">
        <v>255</v>
      </c>
      <c r="I1302">
        <v>2020</v>
      </c>
      <c r="J1302" t="s">
        <v>261</v>
      </c>
      <c r="K1302" t="s">
        <v>257</v>
      </c>
      <c r="L1302" t="s">
        <v>1564</v>
      </c>
      <c r="M1302" t="s">
        <v>1598</v>
      </c>
      <c r="N1302">
        <v>1</v>
      </c>
      <c r="O1302">
        <v>2020</v>
      </c>
      <c r="P1302">
        <v>5151.7920905834089</v>
      </c>
      <c r="Q1302">
        <v>22.041493010063569</v>
      </c>
      <c r="R1302" t="s">
        <v>109</v>
      </c>
      <c r="S1302">
        <v>233.73153933951909</v>
      </c>
      <c r="T1302">
        <v>0.84</v>
      </c>
      <c r="U1302" t="s">
        <v>227</v>
      </c>
      <c r="V1302">
        <v>0.84</v>
      </c>
      <c r="W1302">
        <v>19.7</v>
      </c>
      <c r="X1302">
        <v>33.1</v>
      </c>
      <c r="Y1302">
        <v>27</v>
      </c>
      <c r="Z1302">
        <v>7.9105094690167521E-2</v>
      </c>
      <c r="AA1302">
        <v>31.536000000000001</v>
      </c>
    </row>
    <row r="1303" spans="1:27" x14ac:dyDescent="0.25">
      <c r="A1303" t="s">
        <v>98</v>
      </c>
      <c r="B1303" t="s">
        <v>519</v>
      </c>
      <c r="C1303" t="s">
        <v>1367</v>
      </c>
      <c r="D1303" t="s">
        <v>101</v>
      </c>
      <c r="E1303" t="s">
        <v>179</v>
      </c>
      <c r="F1303" t="s">
        <v>228</v>
      </c>
      <c r="G1303" t="s">
        <v>114</v>
      </c>
      <c r="H1303" t="s">
        <v>255</v>
      </c>
      <c r="I1303">
        <v>2016</v>
      </c>
      <c r="J1303" t="s">
        <v>262</v>
      </c>
      <c r="K1303" t="s">
        <v>257</v>
      </c>
      <c r="L1303" t="s">
        <v>1564</v>
      </c>
      <c r="M1303" t="s">
        <v>1599</v>
      </c>
      <c r="N1303">
        <v>1</v>
      </c>
      <c r="O1303">
        <v>2020</v>
      </c>
      <c r="P1303">
        <v>5304.2119749201956</v>
      </c>
      <c r="Q1303">
        <v>22.041493010063569</v>
      </c>
      <c r="R1303" t="s">
        <v>109</v>
      </c>
      <c r="S1303">
        <v>240.64667363950491</v>
      </c>
      <c r="T1303">
        <v>0.85</v>
      </c>
      <c r="U1303" t="s">
        <v>227</v>
      </c>
      <c r="V1303">
        <v>0.85</v>
      </c>
      <c r="W1303">
        <v>19.7</v>
      </c>
      <c r="X1303">
        <v>33.1</v>
      </c>
      <c r="Y1303">
        <v>27</v>
      </c>
      <c r="Z1303">
        <v>7.9105094690167521E-2</v>
      </c>
      <c r="AA1303">
        <v>31.536000000000001</v>
      </c>
    </row>
    <row r="1304" spans="1:27" x14ac:dyDescent="0.25">
      <c r="A1304" t="s">
        <v>98</v>
      </c>
      <c r="B1304" t="s">
        <v>519</v>
      </c>
      <c r="C1304" t="s">
        <v>1367</v>
      </c>
      <c r="D1304" t="s">
        <v>101</v>
      </c>
      <c r="E1304" t="s">
        <v>179</v>
      </c>
      <c r="F1304" t="s">
        <v>228</v>
      </c>
      <c r="G1304" t="s">
        <v>119</v>
      </c>
      <c r="H1304" t="s">
        <v>255</v>
      </c>
      <c r="I1304">
        <v>2016</v>
      </c>
      <c r="J1304" t="s">
        <v>264</v>
      </c>
      <c r="K1304" t="s">
        <v>257</v>
      </c>
      <c r="L1304" t="s">
        <v>1564</v>
      </c>
      <c r="M1304" t="s">
        <v>1600</v>
      </c>
      <c r="N1304">
        <v>0</v>
      </c>
      <c r="O1304">
        <v>2020</v>
      </c>
      <c r="P1304">
        <v>7864.8660317782214</v>
      </c>
      <c r="Q1304">
        <v>22.041493010063569</v>
      </c>
      <c r="R1304" t="s">
        <v>109</v>
      </c>
      <c r="S1304">
        <v>356.82092987926592</v>
      </c>
      <c r="T1304">
        <v>0.97</v>
      </c>
      <c r="U1304" t="s">
        <v>227</v>
      </c>
      <c r="V1304">
        <v>0.97</v>
      </c>
      <c r="W1304">
        <v>19.7</v>
      </c>
      <c r="X1304">
        <v>33.1</v>
      </c>
      <c r="Y1304">
        <v>27</v>
      </c>
      <c r="Z1304">
        <v>7.9105094690167521E-2</v>
      </c>
      <c r="AA1304">
        <v>31.536000000000001</v>
      </c>
    </row>
    <row r="1305" spans="1:27" x14ac:dyDescent="0.25">
      <c r="A1305" t="s">
        <v>98</v>
      </c>
      <c r="B1305" t="s">
        <v>519</v>
      </c>
      <c r="C1305" t="s">
        <v>1367</v>
      </c>
      <c r="D1305" t="s">
        <v>101</v>
      </c>
      <c r="E1305" t="s">
        <v>179</v>
      </c>
      <c r="F1305" t="s">
        <v>228</v>
      </c>
      <c r="G1305" t="s">
        <v>119</v>
      </c>
      <c r="H1305" t="s">
        <v>255</v>
      </c>
      <c r="I1305">
        <v>2020</v>
      </c>
      <c r="J1305" t="s">
        <v>266</v>
      </c>
      <c r="K1305" t="s">
        <v>257</v>
      </c>
      <c r="L1305" t="s">
        <v>1564</v>
      </c>
      <c r="M1305" t="s">
        <v>1600</v>
      </c>
      <c r="N1305">
        <v>1</v>
      </c>
      <c r="O1305">
        <v>2020</v>
      </c>
      <c r="P1305">
        <v>7864.8660317782214</v>
      </c>
      <c r="Q1305">
        <v>22.041493010063569</v>
      </c>
      <c r="R1305" t="s">
        <v>109</v>
      </c>
      <c r="S1305">
        <v>356.82092987926592</v>
      </c>
      <c r="T1305">
        <v>0.97</v>
      </c>
      <c r="U1305" t="s">
        <v>227</v>
      </c>
      <c r="V1305">
        <v>0.97</v>
      </c>
      <c r="W1305">
        <v>19.7</v>
      </c>
      <c r="X1305">
        <v>33.1</v>
      </c>
      <c r="Y1305">
        <v>27</v>
      </c>
      <c r="Z1305">
        <v>7.9105094690167521E-2</v>
      </c>
      <c r="AA1305">
        <v>31.536000000000001</v>
      </c>
    </row>
    <row r="1306" spans="1:27" x14ac:dyDescent="0.25">
      <c r="A1306" t="s">
        <v>98</v>
      </c>
      <c r="B1306" t="s">
        <v>519</v>
      </c>
      <c r="C1306" t="s">
        <v>1367</v>
      </c>
      <c r="D1306" t="s">
        <v>101</v>
      </c>
      <c r="E1306" t="s">
        <v>179</v>
      </c>
      <c r="F1306" t="s">
        <v>228</v>
      </c>
      <c r="G1306" t="s">
        <v>103</v>
      </c>
      <c r="H1306" t="s">
        <v>156</v>
      </c>
      <c r="I1306">
        <v>2016</v>
      </c>
      <c r="J1306" t="s">
        <v>267</v>
      </c>
      <c r="K1306" t="s">
        <v>158</v>
      </c>
      <c r="L1306" t="s">
        <v>1564</v>
      </c>
      <c r="M1306" t="s">
        <v>1601</v>
      </c>
      <c r="N1306">
        <v>1</v>
      </c>
      <c r="O1306">
        <v>2020</v>
      </c>
      <c r="P1306">
        <v>2499.6861031233111</v>
      </c>
      <c r="Q1306">
        <v>22.041493010063569</v>
      </c>
      <c r="R1306" t="s">
        <v>109</v>
      </c>
      <c r="S1306">
        <v>113.4082025197667</v>
      </c>
      <c r="T1306">
        <v>0.8</v>
      </c>
      <c r="U1306" t="s">
        <v>227</v>
      </c>
      <c r="V1306">
        <v>0.8</v>
      </c>
      <c r="W1306">
        <v>16</v>
      </c>
      <c r="X1306">
        <v>27</v>
      </c>
      <c r="Y1306">
        <v>22</v>
      </c>
      <c r="Z1306">
        <v>7.9105094690167521E-2</v>
      </c>
      <c r="AA1306">
        <v>31.536000000000001</v>
      </c>
    </row>
    <row r="1307" spans="1:27" x14ac:dyDescent="0.25">
      <c r="A1307" t="s">
        <v>98</v>
      </c>
      <c r="B1307" t="s">
        <v>519</v>
      </c>
      <c r="C1307" t="s">
        <v>1367</v>
      </c>
      <c r="D1307" t="s">
        <v>101</v>
      </c>
      <c r="E1307" t="s">
        <v>179</v>
      </c>
      <c r="F1307" t="s">
        <v>228</v>
      </c>
      <c r="G1307" t="s">
        <v>111</v>
      </c>
      <c r="H1307" t="s">
        <v>156</v>
      </c>
      <c r="I1307">
        <v>2016</v>
      </c>
      <c r="J1307" t="s">
        <v>269</v>
      </c>
      <c r="K1307" t="s">
        <v>158</v>
      </c>
      <c r="L1307" t="s">
        <v>1564</v>
      </c>
      <c r="M1307" t="s">
        <v>1602</v>
      </c>
      <c r="N1307">
        <v>0</v>
      </c>
      <c r="O1307">
        <v>2020</v>
      </c>
      <c r="P1307">
        <v>3182.5271849521182</v>
      </c>
      <c r="Q1307">
        <v>22.041493010063569</v>
      </c>
      <c r="R1307" t="s">
        <v>109</v>
      </c>
      <c r="S1307">
        <v>144.38800418370289</v>
      </c>
      <c r="T1307">
        <v>0.92</v>
      </c>
      <c r="U1307" t="s">
        <v>227</v>
      </c>
      <c r="V1307">
        <v>0.92</v>
      </c>
      <c r="W1307">
        <v>16</v>
      </c>
      <c r="X1307">
        <v>27</v>
      </c>
      <c r="Y1307">
        <v>22</v>
      </c>
      <c r="Z1307">
        <v>7.9105094690167521E-2</v>
      </c>
      <c r="AA1307">
        <v>31.536000000000001</v>
      </c>
    </row>
    <row r="1308" spans="1:27" x14ac:dyDescent="0.25">
      <c r="A1308" t="s">
        <v>98</v>
      </c>
      <c r="B1308" t="s">
        <v>519</v>
      </c>
      <c r="C1308" t="s">
        <v>1367</v>
      </c>
      <c r="D1308" t="s">
        <v>101</v>
      </c>
      <c r="E1308" t="s">
        <v>179</v>
      </c>
      <c r="F1308" t="s">
        <v>228</v>
      </c>
      <c r="G1308" t="s">
        <v>111</v>
      </c>
      <c r="H1308" t="s">
        <v>156</v>
      </c>
      <c r="I1308">
        <v>2020</v>
      </c>
      <c r="J1308" t="s">
        <v>271</v>
      </c>
      <c r="K1308" t="s">
        <v>158</v>
      </c>
      <c r="L1308" t="s">
        <v>1564</v>
      </c>
      <c r="M1308" t="s">
        <v>1602</v>
      </c>
      <c r="N1308">
        <v>1</v>
      </c>
      <c r="O1308">
        <v>2020</v>
      </c>
      <c r="P1308">
        <v>3365.4310461562618</v>
      </c>
      <c r="Q1308">
        <v>22.041493010063569</v>
      </c>
      <c r="R1308" t="s">
        <v>109</v>
      </c>
      <c r="S1308">
        <v>152.6861653436859</v>
      </c>
      <c r="T1308">
        <v>0.92</v>
      </c>
      <c r="U1308" t="s">
        <v>227</v>
      </c>
      <c r="V1308">
        <v>0.92</v>
      </c>
      <c r="W1308">
        <v>16</v>
      </c>
      <c r="X1308">
        <v>27</v>
      </c>
      <c r="Y1308">
        <v>22</v>
      </c>
      <c r="Z1308">
        <v>7.9105094690167521E-2</v>
      </c>
      <c r="AA1308">
        <v>31.536000000000001</v>
      </c>
    </row>
    <row r="1309" spans="1:27" x14ac:dyDescent="0.25">
      <c r="A1309" t="s">
        <v>98</v>
      </c>
      <c r="B1309" t="s">
        <v>519</v>
      </c>
      <c r="C1309" t="s">
        <v>1367</v>
      </c>
      <c r="D1309" t="s">
        <v>101</v>
      </c>
      <c r="E1309" t="s">
        <v>179</v>
      </c>
      <c r="F1309" t="s">
        <v>228</v>
      </c>
      <c r="G1309" t="s">
        <v>114</v>
      </c>
      <c r="H1309" t="s">
        <v>156</v>
      </c>
      <c r="I1309">
        <v>2016</v>
      </c>
      <c r="J1309" t="s">
        <v>272</v>
      </c>
      <c r="K1309" t="s">
        <v>158</v>
      </c>
      <c r="L1309" t="s">
        <v>1564</v>
      </c>
      <c r="M1309" t="s">
        <v>1603</v>
      </c>
      <c r="N1309">
        <v>1</v>
      </c>
      <c r="O1309">
        <v>2020</v>
      </c>
      <c r="P1309">
        <v>3341.043864662377</v>
      </c>
      <c r="Q1309">
        <v>22.041493010063569</v>
      </c>
      <c r="R1309" t="s">
        <v>109</v>
      </c>
      <c r="S1309">
        <v>151.57974385568821</v>
      </c>
      <c r="T1309">
        <v>0.95</v>
      </c>
      <c r="U1309" t="s">
        <v>227</v>
      </c>
      <c r="V1309">
        <v>0.95</v>
      </c>
      <c r="W1309">
        <v>16</v>
      </c>
      <c r="X1309">
        <v>27</v>
      </c>
      <c r="Y1309">
        <v>22</v>
      </c>
      <c r="Z1309">
        <v>7.9105094690167521E-2</v>
      </c>
      <c r="AA1309">
        <v>31.536000000000001</v>
      </c>
    </row>
    <row r="1310" spans="1:27" x14ac:dyDescent="0.25">
      <c r="A1310" t="s">
        <v>98</v>
      </c>
      <c r="B1310" t="s">
        <v>519</v>
      </c>
      <c r="C1310" t="s">
        <v>1367</v>
      </c>
      <c r="D1310" t="s">
        <v>101</v>
      </c>
      <c r="E1310" t="s">
        <v>179</v>
      </c>
      <c r="F1310" t="s">
        <v>228</v>
      </c>
      <c r="G1310" t="s">
        <v>114</v>
      </c>
      <c r="H1310" t="s">
        <v>156</v>
      </c>
      <c r="I1310">
        <v>2022</v>
      </c>
      <c r="J1310" t="s">
        <v>274</v>
      </c>
      <c r="K1310" t="s">
        <v>158</v>
      </c>
      <c r="L1310" t="s">
        <v>1564</v>
      </c>
      <c r="M1310" t="s">
        <v>1604</v>
      </c>
      <c r="N1310">
        <v>1</v>
      </c>
      <c r="O1310">
        <v>2022</v>
      </c>
      <c r="P1310">
        <v>3341.043864662377</v>
      </c>
      <c r="Q1310">
        <v>22.041493010063569</v>
      </c>
      <c r="R1310" t="s">
        <v>109</v>
      </c>
      <c r="S1310">
        <v>151.57974385568821</v>
      </c>
      <c r="T1310">
        <v>0.95</v>
      </c>
      <c r="U1310" t="s">
        <v>227</v>
      </c>
      <c r="V1310">
        <v>0.95</v>
      </c>
      <c r="W1310">
        <v>16</v>
      </c>
      <c r="X1310">
        <v>27</v>
      </c>
      <c r="Y1310">
        <v>22</v>
      </c>
      <c r="Z1310">
        <v>7.9105094690167521E-2</v>
      </c>
      <c r="AA1310">
        <v>31.536000000000001</v>
      </c>
    </row>
    <row r="1311" spans="1:27" x14ac:dyDescent="0.25">
      <c r="A1311" t="s">
        <v>98</v>
      </c>
      <c r="B1311" t="s">
        <v>519</v>
      </c>
      <c r="C1311" t="s">
        <v>1367</v>
      </c>
      <c r="D1311" t="s">
        <v>101</v>
      </c>
      <c r="E1311" t="s">
        <v>179</v>
      </c>
      <c r="F1311" t="s">
        <v>228</v>
      </c>
      <c r="G1311" t="s">
        <v>119</v>
      </c>
      <c r="H1311" t="s">
        <v>156</v>
      </c>
      <c r="I1311">
        <v>2016</v>
      </c>
      <c r="J1311" t="s">
        <v>276</v>
      </c>
      <c r="K1311" t="s">
        <v>158</v>
      </c>
      <c r="L1311" t="s">
        <v>1564</v>
      </c>
      <c r="M1311" t="s">
        <v>1605</v>
      </c>
      <c r="N1311">
        <v>1</v>
      </c>
      <c r="O1311">
        <v>2020</v>
      </c>
      <c r="P1311">
        <v>3706.851587070666</v>
      </c>
      <c r="Q1311">
        <v>22.041493010063569</v>
      </c>
      <c r="R1311" t="s">
        <v>109</v>
      </c>
      <c r="S1311">
        <v>168.176066175654</v>
      </c>
      <c r="T1311">
        <v>0.99</v>
      </c>
      <c r="U1311" t="s">
        <v>227</v>
      </c>
      <c r="V1311">
        <v>0.99</v>
      </c>
      <c r="W1311">
        <v>16</v>
      </c>
      <c r="X1311">
        <v>27</v>
      </c>
      <c r="Y1311">
        <v>22</v>
      </c>
      <c r="Z1311">
        <v>7.9105094690167521E-2</v>
      </c>
      <c r="AA1311">
        <v>31.536000000000001</v>
      </c>
    </row>
    <row r="1312" spans="1:27" x14ac:dyDescent="0.25">
      <c r="A1312" t="s">
        <v>98</v>
      </c>
      <c r="B1312" t="s">
        <v>519</v>
      </c>
      <c r="C1312" t="s">
        <v>1367</v>
      </c>
      <c r="D1312" t="s">
        <v>101</v>
      </c>
      <c r="E1312" t="s">
        <v>179</v>
      </c>
      <c r="F1312" t="s">
        <v>228</v>
      </c>
      <c r="G1312" t="s">
        <v>119</v>
      </c>
      <c r="H1312" t="s">
        <v>156</v>
      </c>
      <c r="I1312">
        <v>2022</v>
      </c>
      <c r="J1312" t="s">
        <v>278</v>
      </c>
      <c r="K1312" t="s">
        <v>158</v>
      </c>
      <c r="L1312" t="s">
        <v>1564</v>
      </c>
      <c r="M1312" t="s">
        <v>1606</v>
      </c>
      <c r="N1312">
        <v>1</v>
      </c>
      <c r="O1312">
        <v>2022</v>
      </c>
      <c r="P1312">
        <v>3706.851587070666</v>
      </c>
      <c r="Q1312">
        <v>22.041493010063569</v>
      </c>
      <c r="R1312" t="s">
        <v>109</v>
      </c>
      <c r="S1312">
        <v>168.176066175654</v>
      </c>
      <c r="T1312">
        <v>0.99</v>
      </c>
      <c r="U1312" t="s">
        <v>227</v>
      </c>
      <c r="V1312">
        <v>0.99</v>
      </c>
      <c r="W1312">
        <v>16</v>
      </c>
      <c r="X1312">
        <v>27</v>
      </c>
      <c r="Y1312">
        <v>22</v>
      </c>
      <c r="Z1312">
        <v>7.9105094690167521E-2</v>
      </c>
      <c r="AA1312">
        <v>31.536000000000001</v>
      </c>
    </row>
    <row r="1313" spans="1:27" x14ac:dyDescent="0.25">
      <c r="A1313" t="s">
        <v>98</v>
      </c>
      <c r="B1313" t="s">
        <v>519</v>
      </c>
      <c r="C1313" t="s">
        <v>1367</v>
      </c>
      <c r="D1313" t="s">
        <v>101</v>
      </c>
      <c r="E1313" t="s">
        <v>179</v>
      </c>
      <c r="F1313" t="s">
        <v>228</v>
      </c>
      <c r="G1313" t="s">
        <v>103</v>
      </c>
      <c r="H1313" t="s">
        <v>148</v>
      </c>
      <c r="I1313">
        <v>2016</v>
      </c>
      <c r="J1313" t="s">
        <v>280</v>
      </c>
      <c r="K1313" t="s">
        <v>150</v>
      </c>
      <c r="L1313" t="s">
        <v>1564</v>
      </c>
      <c r="M1313" t="s">
        <v>1607</v>
      </c>
      <c r="N1313">
        <v>1</v>
      </c>
      <c r="O1313">
        <v>2020</v>
      </c>
      <c r="P1313">
        <v>5029.8561831139787</v>
      </c>
      <c r="Q1313">
        <v>22.041493010063569</v>
      </c>
      <c r="R1313" t="s">
        <v>109</v>
      </c>
      <c r="S1313">
        <v>228.19943189953051</v>
      </c>
      <c r="T1313">
        <v>0.83</v>
      </c>
      <c r="U1313" t="s">
        <v>227</v>
      </c>
      <c r="V1313">
        <v>0.83</v>
      </c>
      <c r="W1313">
        <v>19.7</v>
      </c>
      <c r="X1313">
        <v>33.1</v>
      </c>
      <c r="Y1313">
        <v>27</v>
      </c>
      <c r="Z1313">
        <v>7.9105094690167521E-2</v>
      </c>
      <c r="AA1313">
        <v>31.536000000000001</v>
      </c>
    </row>
    <row r="1314" spans="1:27" x14ac:dyDescent="0.25">
      <c r="A1314" t="s">
        <v>98</v>
      </c>
      <c r="B1314" t="s">
        <v>519</v>
      </c>
      <c r="C1314" t="s">
        <v>1367</v>
      </c>
      <c r="D1314" t="s">
        <v>101</v>
      </c>
      <c r="E1314" t="s">
        <v>179</v>
      </c>
      <c r="F1314" t="s">
        <v>228</v>
      </c>
      <c r="G1314" t="s">
        <v>111</v>
      </c>
      <c r="H1314" t="s">
        <v>148</v>
      </c>
      <c r="I1314">
        <v>2016</v>
      </c>
      <c r="J1314" t="s">
        <v>282</v>
      </c>
      <c r="K1314" t="s">
        <v>150</v>
      </c>
      <c r="L1314" t="s">
        <v>1564</v>
      </c>
      <c r="M1314" t="s">
        <v>1608</v>
      </c>
      <c r="N1314">
        <v>1</v>
      </c>
      <c r="O1314">
        <v>2020</v>
      </c>
      <c r="P1314">
        <v>5029.8561831139787</v>
      </c>
      <c r="Q1314">
        <v>22.041493010063569</v>
      </c>
      <c r="R1314" t="s">
        <v>109</v>
      </c>
      <c r="S1314">
        <v>228.19943189953051</v>
      </c>
      <c r="T1314">
        <v>0.83</v>
      </c>
      <c r="U1314" t="s">
        <v>227</v>
      </c>
      <c r="V1314">
        <v>0.83</v>
      </c>
      <c r="W1314">
        <v>19.7</v>
      </c>
      <c r="X1314">
        <v>33.1</v>
      </c>
      <c r="Y1314">
        <v>27</v>
      </c>
      <c r="Z1314">
        <v>7.9105094690167521E-2</v>
      </c>
      <c r="AA1314">
        <v>31.536000000000001</v>
      </c>
    </row>
    <row r="1315" spans="1:27" x14ac:dyDescent="0.25">
      <c r="A1315" t="s">
        <v>98</v>
      </c>
      <c r="B1315" t="s">
        <v>519</v>
      </c>
      <c r="C1315" t="s">
        <v>1367</v>
      </c>
      <c r="D1315" t="s">
        <v>101</v>
      </c>
      <c r="E1315" t="s">
        <v>179</v>
      </c>
      <c r="F1315" t="s">
        <v>228</v>
      </c>
      <c r="G1315" t="s">
        <v>111</v>
      </c>
      <c r="H1315" t="s">
        <v>148</v>
      </c>
      <c r="I1315">
        <v>2022</v>
      </c>
      <c r="J1315" t="s">
        <v>284</v>
      </c>
      <c r="K1315" t="s">
        <v>150</v>
      </c>
      <c r="L1315" t="s">
        <v>1564</v>
      </c>
      <c r="M1315" t="s">
        <v>1609</v>
      </c>
      <c r="N1315">
        <v>1</v>
      </c>
      <c r="O1315">
        <v>2022</v>
      </c>
      <c r="P1315">
        <v>5151.7920905834089</v>
      </c>
      <c r="Q1315">
        <v>22.041493010063569</v>
      </c>
      <c r="R1315" t="s">
        <v>109</v>
      </c>
      <c r="S1315">
        <v>233.73153933951909</v>
      </c>
      <c r="T1315">
        <v>0.84</v>
      </c>
      <c r="U1315" t="s">
        <v>227</v>
      </c>
      <c r="V1315">
        <v>0.84</v>
      </c>
      <c r="W1315">
        <v>19.7</v>
      </c>
      <c r="X1315">
        <v>33.1</v>
      </c>
      <c r="Y1315">
        <v>27</v>
      </c>
      <c r="Z1315">
        <v>7.9105094690167521E-2</v>
      </c>
      <c r="AA1315">
        <v>31.536000000000001</v>
      </c>
    </row>
    <row r="1316" spans="1:27" x14ac:dyDescent="0.25">
      <c r="A1316" t="s">
        <v>98</v>
      </c>
      <c r="B1316" t="s">
        <v>519</v>
      </c>
      <c r="C1316" t="s">
        <v>1367</v>
      </c>
      <c r="D1316" t="s">
        <v>101</v>
      </c>
      <c r="E1316" t="s">
        <v>179</v>
      </c>
      <c r="F1316" t="s">
        <v>228</v>
      </c>
      <c r="G1316" t="s">
        <v>114</v>
      </c>
      <c r="H1316" t="s">
        <v>148</v>
      </c>
      <c r="I1316">
        <v>2016</v>
      </c>
      <c r="J1316" t="s">
        <v>286</v>
      </c>
      <c r="K1316" t="s">
        <v>150</v>
      </c>
      <c r="L1316" t="s">
        <v>1564</v>
      </c>
      <c r="M1316" t="s">
        <v>1610</v>
      </c>
      <c r="N1316">
        <v>1</v>
      </c>
      <c r="O1316">
        <v>2020</v>
      </c>
      <c r="P1316">
        <v>5304.2119749201956</v>
      </c>
      <c r="Q1316">
        <v>22.041493010063569</v>
      </c>
      <c r="R1316" t="s">
        <v>109</v>
      </c>
      <c r="S1316">
        <v>240.64667363950491</v>
      </c>
      <c r="T1316">
        <v>0.85</v>
      </c>
      <c r="U1316" t="s">
        <v>227</v>
      </c>
      <c r="V1316">
        <v>0.85</v>
      </c>
      <c r="W1316">
        <v>19.7</v>
      </c>
      <c r="X1316">
        <v>33.1</v>
      </c>
      <c r="Y1316">
        <v>27</v>
      </c>
      <c r="Z1316">
        <v>7.9105094690167521E-2</v>
      </c>
      <c r="AA1316">
        <v>31.536000000000001</v>
      </c>
    </row>
    <row r="1317" spans="1:27" x14ac:dyDescent="0.25">
      <c r="A1317" t="s">
        <v>98</v>
      </c>
      <c r="B1317" t="s">
        <v>519</v>
      </c>
      <c r="C1317" t="s">
        <v>1367</v>
      </c>
      <c r="D1317" t="s">
        <v>101</v>
      </c>
      <c r="E1317" t="s">
        <v>179</v>
      </c>
      <c r="F1317" t="s">
        <v>228</v>
      </c>
      <c r="G1317" t="s">
        <v>119</v>
      </c>
      <c r="H1317" t="s">
        <v>148</v>
      </c>
      <c r="I1317">
        <v>2016</v>
      </c>
      <c r="J1317" t="s">
        <v>288</v>
      </c>
      <c r="K1317" t="s">
        <v>150</v>
      </c>
      <c r="L1317" t="s">
        <v>1564</v>
      </c>
      <c r="M1317" t="s">
        <v>1611</v>
      </c>
      <c r="N1317">
        <v>1</v>
      </c>
      <c r="O1317">
        <v>2020</v>
      </c>
      <c r="P1317">
        <v>7864.8660317782214</v>
      </c>
      <c r="Q1317">
        <v>22.041493010063569</v>
      </c>
      <c r="R1317" t="s">
        <v>109</v>
      </c>
      <c r="S1317">
        <v>356.82092987926592</v>
      </c>
      <c r="T1317">
        <v>0.97</v>
      </c>
      <c r="U1317" t="s">
        <v>227</v>
      </c>
      <c r="V1317">
        <v>0.97</v>
      </c>
      <c r="W1317">
        <v>19.7</v>
      </c>
      <c r="X1317">
        <v>33.1</v>
      </c>
      <c r="Y1317">
        <v>27</v>
      </c>
      <c r="Z1317">
        <v>7.9105094690167521E-2</v>
      </c>
      <c r="AA1317">
        <v>31.536000000000001</v>
      </c>
    </row>
    <row r="1318" spans="1:27" x14ac:dyDescent="0.25">
      <c r="A1318" t="s">
        <v>98</v>
      </c>
      <c r="B1318" t="s">
        <v>519</v>
      </c>
      <c r="C1318" t="s">
        <v>1367</v>
      </c>
      <c r="D1318" t="s">
        <v>101</v>
      </c>
      <c r="E1318" t="s">
        <v>179</v>
      </c>
      <c r="F1318" t="s">
        <v>228</v>
      </c>
      <c r="G1318" t="s">
        <v>119</v>
      </c>
      <c r="H1318" t="s">
        <v>148</v>
      </c>
      <c r="I1318">
        <v>2022</v>
      </c>
      <c r="J1318" t="s">
        <v>290</v>
      </c>
      <c r="K1318" t="s">
        <v>150</v>
      </c>
      <c r="L1318" t="s">
        <v>1564</v>
      </c>
      <c r="M1318" t="s">
        <v>1612</v>
      </c>
      <c r="N1318">
        <v>1</v>
      </c>
      <c r="O1318">
        <v>2022</v>
      </c>
      <c r="P1318">
        <v>7864.8660317782214</v>
      </c>
      <c r="Q1318">
        <v>22.041493010063569</v>
      </c>
      <c r="R1318" t="s">
        <v>109</v>
      </c>
      <c r="S1318">
        <v>356.82092987926592</v>
      </c>
      <c r="T1318">
        <v>0.97</v>
      </c>
      <c r="U1318" t="s">
        <v>227</v>
      </c>
      <c r="V1318">
        <v>0.97</v>
      </c>
      <c r="W1318">
        <v>19.7</v>
      </c>
      <c r="X1318">
        <v>33.1</v>
      </c>
      <c r="Y1318">
        <v>27</v>
      </c>
      <c r="Z1318">
        <v>7.9105094690167521E-2</v>
      </c>
      <c r="AA1318">
        <v>31.536000000000001</v>
      </c>
    </row>
    <row r="1319" spans="1:27" x14ac:dyDescent="0.25">
      <c r="A1319" t="s">
        <v>98</v>
      </c>
      <c r="B1319" t="s">
        <v>519</v>
      </c>
      <c r="C1319" t="s">
        <v>1367</v>
      </c>
      <c r="D1319" t="s">
        <v>101</v>
      </c>
      <c r="E1319" t="s">
        <v>179</v>
      </c>
      <c r="F1319" t="s">
        <v>224</v>
      </c>
      <c r="G1319" t="s">
        <v>103</v>
      </c>
      <c r="H1319" t="s">
        <v>148</v>
      </c>
      <c r="I1319">
        <v>2016</v>
      </c>
      <c r="J1319" t="s">
        <v>292</v>
      </c>
      <c r="K1319" t="s">
        <v>150</v>
      </c>
      <c r="L1319" t="s">
        <v>1564</v>
      </c>
      <c r="M1319" t="s">
        <v>1613</v>
      </c>
      <c r="N1319">
        <v>1</v>
      </c>
      <c r="O1319">
        <v>2020</v>
      </c>
      <c r="P1319">
        <v>11126.65155658547</v>
      </c>
      <c r="Q1319">
        <v>22.041493010063569</v>
      </c>
      <c r="R1319" t="s">
        <v>109</v>
      </c>
      <c r="S1319">
        <v>504.80480389896138</v>
      </c>
      <c r="T1319">
        <v>0.84</v>
      </c>
      <c r="U1319" t="s">
        <v>227</v>
      </c>
      <c r="V1319">
        <v>0.84</v>
      </c>
      <c r="W1319">
        <v>18</v>
      </c>
      <c r="X1319">
        <v>28</v>
      </c>
      <c r="Y1319">
        <v>24</v>
      </c>
      <c r="Z1319">
        <v>7.9105094690167521E-2</v>
      </c>
      <c r="AA1319">
        <v>31.536000000000001</v>
      </c>
    </row>
    <row r="1320" spans="1:27" x14ac:dyDescent="0.25">
      <c r="A1320" t="s">
        <v>98</v>
      </c>
      <c r="B1320" t="s">
        <v>519</v>
      </c>
      <c r="C1320" t="s">
        <v>1367</v>
      </c>
      <c r="D1320" t="s">
        <v>101</v>
      </c>
      <c r="E1320" t="s">
        <v>179</v>
      </c>
      <c r="F1320" t="s">
        <v>224</v>
      </c>
      <c r="G1320" t="s">
        <v>103</v>
      </c>
      <c r="H1320" t="s">
        <v>148</v>
      </c>
      <c r="I1320">
        <v>2022</v>
      </c>
      <c r="J1320" t="s">
        <v>294</v>
      </c>
      <c r="K1320" t="s">
        <v>150</v>
      </c>
      <c r="L1320" t="s">
        <v>1564</v>
      </c>
      <c r="M1320" t="s">
        <v>1614</v>
      </c>
      <c r="N1320">
        <v>1</v>
      </c>
      <c r="O1320">
        <v>2022</v>
      </c>
      <c r="P1320">
        <v>11492.45927899376</v>
      </c>
      <c r="Q1320">
        <v>22.041493010063569</v>
      </c>
      <c r="R1320" t="s">
        <v>109</v>
      </c>
      <c r="S1320">
        <v>521.40112621892729</v>
      </c>
      <c r="T1320">
        <v>0.86</v>
      </c>
      <c r="U1320" t="s">
        <v>227</v>
      </c>
      <c r="V1320">
        <v>0.86</v>
      </c>
      <c r="W1320">
        <v>18</v>
      </c>
      <c r="X1320">
        <v>28</v>
      </c>
      <c r="Y1320">
        <v>24</v>
      </c>
      <c r="Z1320">
        <v>7.9105094690167521E-2</v>
      </c>
      <c r="AA1320">
        <v>31.536000000000001</v>
      </c>
    </row>
    <row r="1321" spans="1:27" x14ac:dyDescent="0.25">
      <c r="A1321" t="s">
        <v>98</v>
      </c>
      <c r="B1321" t="s">
        <v>519</v>
      </c>
      <c r="C1321" t="s">
        <v>1367</v>
      </c>
      <c r="D1321" t="s">
        <v>101</v>
      </c>
      <c r="E1321" t="s">
        <v>179</v>
      </c>
      <c r="F1321" t="s">
        <v>224</v>
      </c>
      <c r="G1321" t="s">
        <v>111</v>
      </c>
      <c r="H1321" t="s">
        <v>148</v>
      </c>
      <c r="I1321">
        <v>2016</v>
      </c>
      <c r="J1321" t="s">
        <v>296</v>
      </c>
      <c r="K1321" t="s">
        <v>150</v>
      </c>
      <c r="L1321" t="s">
        <v>1564</v>
      </c>
      <c r="M1321" t="s">
        <v>1615</v>
      </c>
      <c r="N1321">
        <v>1</v>
      </c>
      <c r="O1321">
        <v>2020</v>
      </c>
      <c r="P1321">
        <v>11126.65155658547</v>
      </c>
      <c r="Q1321">
        <v>22.041493010063569</v>
      </c>
      <c r="R1321" t="s">
        <v>109</v>
      </c>
      <c r="S1321">
        <v>504.80480389896138</v>
      </c>
      <c r="T1321">
        <v>0.84</v>
      </c>
      <c r="U1321" t="s">
        <v>227</v>
      </c>
      <c r="V1321">
        <v>0.84</v>
      </c>
      <c r="W1321">
        <v>18</v>
      </c>
      <c r="X1321">
        <v>28</v>
      </c>
      <c r="Y1321">
        <v>24</v>
      </c>
      <c r="Z1321">
        <v>7.9105094690167521E-2</v>
      </c>
      <c r="AA1321">
        <v>31.536000000000001</v>
      </c>
    </row>
    <row r="1322" spans="1:27" x14ac:dyDescent="0.25">
      <c r="A1322" t="s">
        <v>98</v>
      </c>
      <c r="B1322" t="s">
        <v>519</v>
      </c>
      <c r="C1322" t="s">
        <v>1367</v>
      </c>
      <c r="D1322" t="s">
        <v>101</v>
      </c>
      <c r="E1322" t="s">
        <v>179</v>
      </c>
      <c r="F1322" t="s">
        <v>224</v>
      </c>
      <c r="G1322" t="s">
        <v>111</v>
      </c>
      <c r="H1322" t="s">
        <v>148</v>
      </c>
      <c r="I1322">
        <v>2022</v>
      </c>
      <c r="J1322" t="s">
        <v>298</v>
      </c>
      <c r="K1322" t="s">
        <v>150</v>
      </c>
      <c r="L1322" t="s">
        <v>1564</v>
      </c>
      <c r="M1322" t="s">
        <v>1616</v>
      </c>
      <c r="N1322">
        <v>1</v>
      </c>
      <c r="O1322">
        <v>2022</v>
      </c>
      <c r="P1322">
        <v>11492.45927899376</v>
      </c>
      <c r="Q1322">
        <v>22.041493010063569</v>
      </c>
      <c r="R1322" t="s">
        <v>109</v>
      </c>
      <c r="S1322">
        <v>521.40112621892729</v>
      </c>
      <c r="T1322">
        <v>0.86</v>
      </c>
      <c r="U1322" t="s">
        <v>227</v>
      </c>
      <c r="V1322">
        <v>0.86</v>
      </c>
      <c r="W1322">
        <v>18</v>
      </c>
      <c r="X1322">
        <v>28</v>
      </c>
      <c r="Y1322">
        <v>24</v>
      </c>
      <c r="Z1322">
        <v>7.9105094690167521E-2</v>
      </c>
      <c r="AA1322">
        <v>31.536000000000001</v>
      </c>
    </row>
    <row r="1323" spans="1:27" x14ac:dyDescent="0.25">
      <c r="A1323" t="s">
        <v>98</v>
      </c>
      <c r="B1323" t="s">
        <v>519</v>
      </c>
      <c r="C1323" t="s">
        <v>1367</v>
      </c>
      <c r="D1323" t="s">
        <v>101</v>
      </c>
      <c r="E1323" t="s">
        <v>179</v>
      </c>
      <c r="F1323" t="s">
        <v>224</v>
      </c>
      <c r="G1323" t="s">
        <v>114</v>
      </c>
      <c r="H1323" t="s">
        <v>148</v>
      </c>
      <c r="I1323">
        <v>2016</v>
      </c>
      <c r="J1323" t="s">
        <v>300</v>
      </c>
      <c r="K1323" t="s">
        <v>150</v>
      </c>
      <c r="L1323" t="s">
        <v>1564</v>
      </c>
      <c r="M1323" t="s">
        <v>1617</v>
      </c>
      <c r="N1323">
        <v>1</v>
      </c>
      <c r="O1323">
        <v>2020</v>
      </c>
      <c r="P1323">
        <v>11492.45927899376</v>
      </c>
      <c r="Q1323">
        <v>22.041493010063569</v>
      </c>
      <c r="R1323" t="s">
        <v>109</v>
      </c>
      <c r="S1323">
        <v>521.40112621892729</v>
      </c>
      <c r="T1323">
        <v>0.87</v>
      </c>
      <c r="U1323" t="s">
        <v>227</v>
      </c>
      <c r="V1323">
        <v>0.87</v>
      </c>
      <c r="W1323">
        <v>18</v>
      </c>
      <c r="X1323">
        <v>28</v>
      </c>
      <c r="Y1323">
        <v>24</v>
      </c>
      <c r="Z1323">
        <v>7.9105094690167521E-2</v>
      </c>
      <c r="AA1323">
        <v>31.536000000000001</v>
      </c>
    </row>
    <row r="1324" spans="1:27" x14ac:dyDescent="0.25">
      <c r="A1324" t="s">
        <v>98</v>
      </c>
      <c r="B1324" t="s">
        <v>519</v>
      </c>
      <c r="C1324" t="s">
        <v>1367</v>
      </c>
      <c r="D1324" t="s">
        <v>101</v>
      </c>
      <c r="E1324" t="s">
        <v>179</v>
      </c>
      <c r="F1324" t="s">
        <v>224</v>
      </c>
      <c r="G1324" t="s">
        <v>119</v>
      </c>
      <c r="H1324" t="s">
        <v>148</v>
      </c>
      <c r="I1324">
        <v>2016</v>
      </c>
      <c r="J1324" t="s">
        <v>302</v>
      </c>
      <c r="K1324" t="s">
        <v>150</v>
      </c>
      <c r="L1324" t="s">
        <v>1564</v>
      </c>
      <c r="M1324" t="s">
        <v>1618</v>
      </c>
      <c r="N1324">
        <v>1</v>
      </c>
      <c r="O1324">
        <v>2020</v>
      </c>
      <c r="P1324">
        <v>13961.66140524971</v>
      </c>
      <c r="Q1324">
        <v>22.041493010063569</v>
      </c>
      <c r="R1324" t="s">
        <v>109</v>
      </c>
      <c r="S1324">
        <v>633.42630187869679</v>
      </c>
      <c r="T1324">
        <v>0.9</v>
      </c>
      <c r="U1324" t="s">
        <v>227</v>
      </c>
      <c r="V1324">
        <v>0.9</v>
      </c>
      <c r="W1324">
        <v>18</v>
      </c>
      <c r="X1324">
        <v>28</v>
      </c>
      <c r="Y1324">
        <v>24</v>
      </c>
      <c r="Z1324">
        <v>7.9105094690167521E-2</v>
      </c>
      <c r="AA1324">
        <v>31.536000000000001</v>
      </c>
    </row>
    <row r="1325" spans="1:27" x14ac:dyDescent="0.25">
      <c r="A1325" t="s">
        <v>98</v>
      </c>
      <c r="B1325" t="s">
        <v>519</v>
      </c>
      <c r="C1325" t="s">
        <v>1367</v>
      </c>
      <c r="D1325" t="s">
        <v>101</v>
      </c>
      <c r="E1325" t="s">
        <v>304</v>
      </c>
      <c r="F1325" t="s">
        <v>180</v>
      </c>
      <c r="G1325" t="s">
        <v>111</v>
      </c>
      <c r="H1325" t="s">
        <v>104</v>
      </c>
      <c r="I1325">
        <v>2016</v>
      </c>
      <c r="J1325" t="s">
        <v>305</v>
      </c>
      <c r="K1325" t="s">
        <v>106</v>
      </c>
      <c r="L1325" t="s">
        <v>1619</v>
      </c>
      <c r="M1325" t="s">
        <v>1620</v>
      </c>
      <c r="N1325">
        <v>0</v>
      </c>
      <c r="O1325">
        <v>2020</v>
      </c>
      <c r="P1325">
        <v>8291.641707921226</v>
      </c>
      <c r="Q1325">
        <v>7.4806159733468123</v>
      </c>
      <c r="R1325" t="s">
        <v>109</v>
      </c>
      <c r="S1325">
        <v>1108.4169722739509</v>
      </c>
      <c r="T1325">
        <v>0.6</v>
      </c>
      <c r="U1325" t="s">
        <v>184</v>
      </c>
      <c r="V1325">
        <v>0.6</v>
      </c>
      <c r="W1325">
        <v>12</v>
      </c>
      <c r="X1325">
        <v>18</v>
      </c>
      <c r="Y1325">
        <v>16</v>
      </c>
      <c r="Z1325">
        <v>7.2863694504238907E-2</v>
      </c>
      <c r="AA1325">
        <v>31.536000000000001</v>
      </c>
    </row>
    <row r="1326" spans="1:27" x14ac:dyDescent="0.25">
      <c r="A1326" t="s">
        <v>98</v>
      </c>
      <c r="B1326" t="s">
        <v>519</v>
      </c>
      <c r="C1326" t="s">
        <v>1367</v>
      </c>
      <c r="D1326" t="s">
        <v>101</v>
      </c>
      <c r="E1326" t="s">
        <v>304</v>
      </c>
      <c r="F1326" t="s">
        <v>180</v>
      </c>
      <c r="G1326" t="s">
        <v>111</v>
      </c>
      <c r="H1326" t="s">
        <v>104</v>
      </c>
      <c r="I1326">
        <v>2020</v>
      </c>
      <c r="J1326" t="s">
        <v>308</v>
      </c>
      <c r="K1326" t="s">
        <v>106</v>
      </c>
      <c r="L1326" t="s">
        <v>1619</v>
      </c>
      <c r="M1326" t="s">
        <v>1620</v>
      </c>
      <c r="N1326">
        <v>1</v>
      </c>
      <c r="O1326">
        <v>2020</v>
      </c>
      <c r="P1326">
        <v>8291.641707921226</v>
      </c>
      <c r="Q1326">
        <v>7.4806159733468123</v>
      </c>
      <c r="R1326" t="s">
        <v>109</v>
      </c>
      <c r="S1326">
        <v>1108.4169722739509</v>
      </c>
      <c r="T1326">
        <v>0.7</v>
      </c>
      <c r="U1326" t="s">
        <v>184</v>
      </c>
      <c r="V1326">
        <v>0.7</v>
      </c>
      <c r="W1326">
        <v>12</v>
      </c>
      <c r="X1326">
        <v>18</v>
      </c>
      <c r="Y1326">
        <v>16</v>
      </c>
      <c r="Z1326">
        <v>7.2863694504238907E-2</v>
      </c>
      <c r="AA1326">
        <v>31.536000000000001</v>
      </c>
    </row>
    <row r="1327" spans="1:27" x14ac:dyDescent="0.25">
      <c r="A1327" t="s">
        <v>98</v>
      </c>
      <c r="B1327" t="s">
        <v>519</v>
      </c>
      <c r="C1327" t="s">
        <v>1367</v>
      </c>
      <c r="D1327" t="s">
        <v>101</v>
      </c>
      <c r="E1327" t="s">
        <v>304</v>
      </c>
      <c r="F1327" t="s">
        <v>180</v>
      </c>
      <c r="G1327" t="s">
        <v>103</v>
      </c>
      <c r="H1327" t="s">
        <v>125</v>
      </c>
      <c r="I1327">
        <v>2016</v>
      </c>
      <c r="J1327" t="s">
        <v>309</v>
      </c>
      <c r="K1327" t="s">
        <v>127</v>
      </c>
      <c r="L1327" t="s">
        <v>1619</v>
      </c>
      <c r="M1327" t="s">
        <v>1621</v>
      </c>
      <c r="N1327">
        <v>1</v>
      </c>
      <c r="O1327">
        <v>2020</v>
      </c>
      <c r="P1327">
        <v>2956.9457561336731</v>
      </c>
      <c r="Q1327">
        <v>7.4806159733468123</v>
      </c>
      <c r="R1327" t="s">
        <v>109</v>
      </c>
      <c r="S1327">
        <v>395.28105261240148</v>
      </c>
      <c r="T1327">
        <v>4.1031652989449006</v>
      </c>
      <c r="U1327" t="s">
        <v>184</v>
      </c>
      <c r="V1327">
        <v>4.1031652989449006</v>
      </c>
      <c r="W1327">
        <v>9</v>
      </c>
      <c r="X1327">
        <v>22</v>
      </c>
      <c r="Y1327">
        <v>16</v>
      </c>
      <c r="Z1327">
        <v>7.2863694504238907E-2</v>
      </c>
      <c r="AA1327">
        <v>31.536000000000001</v>
      </c>
    </row>
    <row r="1328" spans="1:27" x14ac:dyDescent="0.25">
      <c r="A1328" t="s">
        <v>98</v>
      </c>
      <c r="B1328" t="s">
        <v>519</v>
      </c>
      <c r="C1328" t="s">
        <v>1367</v>
      </c>
      <c r="D1328" t="s">
        <v>101</v>
      </c>
      <c r="E1328" t="s">
        <v>304</v>
      </c>
      <c r="F1328" t="s">
        <v>180</v>
      </c>
      <c r="G1328" t="s">
        <v>103</v>
      </c>
      <c r="H1328" t="s">
        <v>125</v>
      </c>
      <c r="I1328">
        <v>2023</v>
      </c>
      <c r="J1328" t="s">
        <v>311</v>
      </c>
      <c r="K1328" t="s">
        <v>127</v>
      </c>
      <c r="L1328" t="s">
        <v>1619</v>
      </c>
      <c r="M1328" t="s">
        <v>1622</v>
      </c>
      <c r="N1328">
        <v>1</v>
      </c>
      <c r="O1328">
        <v>2023</v>
      </c>
      <c r="P1328">
        <v>2956.9457561336731</v>
      </c>
      <c r="Q1328">
        <v>7.4806159733468123</v>
      </c>
      <c r="R1328" t="s">
        <v>109</v>
      </c>
      <c r="S1328">
        <v>395.28105261240148</v>
      </c>
      <c r="T1328">
        <v>4.1031652989449006</v>
      </c>
      <c r="U1328" t="s">
        <v>184</v>
      </c>
      <c r="V1328">
        <v>4.1031652989449006</v>
      </c>
      <c r="W1328">
        <v>9</v>
      </c>
      <c r="X1328">
        <v>22</v>
      </c>
      <c r="Y1328">
        <v>16</v>
      </c>
      <c r="Z1328">
        <v>7.2863694504238907E-2</v>
      </c>
      <c r="AA1328">
        <v>31.536000000000001</v>
      </c>
    </row>
    <row r="1329" spans="1:27" x14ac:dyDescent="0.25">
      <c r="A1329" t="s">
        <v>98</v>
      </c>
      <c r="B1329" t="s">
        <v>519</v>
      </c>
      <c r="C1329" t="s">
        <v>1367</v>
      </c>
      <c r="D1329" t="s">
        <v>101</v>
      </c>
      <c r="E1329" t="s">
        <v>304</v>
      </c>
      <c r="F1329" t="s">
        <v>180</v>
      </c>
      <c r="G1329" t="s">
        <v>111</v>
      </c>
      <c r="H1329" t="s">
        <v>125</v>
      </c>
      <c r="I1329">
        <v>2016</v>
      </c>
      <c r="J1329" t="s">
        <v>313</v>
      </c>
      <c r="K1329" t="s">
        <v>127</v>
      </c>
      <c r="L1329" t="s">
        <v>1619</v>
      </c>
      <c r="M1329" t="s">
        <v>1623</v>
      </c>
      <c r="N1329">
        <v>1</v>
      </c>
      <c r="O1329">
        <v>2020</v>
      </c>
      <c r="P1329">
        <v>3109.3656404704602</v>
      </c>
      <c r="Q1329">
        <v>7.4806159733468123</v>
      </c>
      <c r="R1329" t="s">
        <v>109</v>
      </c>
      <c r="S1329">
        <v>415.65636460273151</v>
      </c>
      <c r="T1329">
        <v>4.484173505275499</v>
      </c>
      <c r="U1329" t="s">
        <v>184</v>
      </c>
      <c r="V1329">
        <v>4.484173505275499</v>
      </c>
      <c r="W1329">
        <v>9</v>
      </c>
      <c r="X1329">
        <v>22</v>
      </c>
      <c r="Y1329">
        <v>16</v>
      </c>
      <c r="Z1329">
        <v>7.2863694504238907E-2</v>
      </c>
      <c r="AA1329">
        <v>31.536000000000001</v>
      </c>
    </row>
    <row r="1330" spans="1:27" x14ac:dyDescent="0.25">
      <c r="A1330" t="s">
        <v>98</v>
      </c>
      <c r="B1330" t="s">
        <v>519</v>
      </c>
      <c r="C1330" t="s">
        <v>1367</v>
      </c>
      <c r="D1330" t="s">
        <v>101</v>
      </c>
      <c r="E1330" t="s">
        <v>304</v>
      </c>
      <c r="F1330" t="s">
        <v>180</v>
      </c>
      <c r="G1330" t="s">
        <v>111</v>
      </c>
      <c r="H1330" t="s">
        <v>125</v>
      </c>
      <c r="I1330">
        <v>2023</v>
      </c>
      <c r="J1330" t="s">
        <v>315</v>
      </c>
      <c r="K1330" t="s">
        <v>127</v>
      </c>
      <c r="L1330" t="s">
        <v>1619</v>
      </c>
      <c r="M1330" t="s">
        <v>1624</v>
      </c>
      <c r="N1330">
        <v>1</v>
      </c>
      <c r="O1330">
        <v>2023</v>
      </c>
      <c r="P1330">
        <v>3139.8496173378171</v>
      </c>
      <c r="Q1330">
        <v>7.4806159733468123</v>
      </c>
      <c r="R1330" t="s">
        <v>109</v>
      </c>
      <c r="S1330">
        <v>419.73142700079751</v>
      </c>
      <c r="T1330">
        <v>4.6307151230949586</v>
      </c>
      <c r="U1330" t="s">
        <v>184</v>
      </c>
      <c r="V1330">
        <v>4.6307151230949586</v>
      </c>
      <c r="W1330">
        <v>9</v>
      </c>
      <c r="X1330">
        <v>22</v>
      </c>
      <c r="Y1330">
        <v>16</v>
      </c>
      <c r="Z1330">
        <v>7.2863694504238907E-2</v>
      </c>
      <c r="AA1330">
        <v>31.536000000000001</v>
      </c>
    </row>
    <row r="1331" spans="1:27" x14ac:dyDescent="0.25">
      <c r="A1331" t="s">
        <v>98</v>
      </c>
      <c r="B1331" t="s">
        <v>519</v>
      </c>
      <c r="C1331" t="s">
        <v>1367</v>
      </c>
      <c r="D1331" t="s">
        <v>101</v>
      </c>
      <c r="E1331" t="s">
        <v>304</v>
      </c>
      <c r="F1331" t="s">
        <v>180</v>
      </c>
      <c r="G1331" t="s">
        <v>114</v>
      </c>
      <c r="H1331" t="s">
        <v>125</v>
      </c>
      <c r="I1331">
        <v>2016</v>
      </c>
      <c r="J1331" t="s">
        <v>317</v>
      </c>
      <c r="K1331" t="s">
        <v>127</v>
      </c>
      <c r="L1331" t="s">
        <v>1619</v>
      </c>
      <c r="M1331" t="s">
        <v>1625</v>
      </c>
      <c r="N1331">
        <v>1</v>
      </c>
      <c r="O1331">
        <v>2020</v>
      </c>
      <c r="P1331">
        <v>3017.9137098683868</v>
      </c>
      <c r="Q1331">
        <v>7.4806159733468123</v>
      </c>
      <c r="R1331" t="s">
        <v>109</v>
      </c>
      <c r="S1331">
        <v>403.43117740853347</v>
      </c>
      <c r="T1331">
        <v>4.3962485345838216</v>
      </c>
      <c r="U1331" t="s">
        <v>184</v>
      </c>
      <c r="V1331">
        <v>4.3962485345838216</v>
      </c>
      <c r="W1331">
        <v>9</v>
      </c>
      <c r="X1331">
        <v>22</v>
      </c>
      <c r="Y1331">
        <v>16</v>
      </c>
      <c r="Z1331">
        <v>7.2863694504238907E-2</v>
      </c>
      <c r="AA1331">
        <v>31.536000000000001</v>
      </c>
    </row>
    <row r="1332" spans="1:27" x14ac:dyDescent="0.25">
      <c r="A1332" t="s">
        <v>98</v>
      </c>
      <c r="B1332" t="s">
        <v>519</v>
      </c>
      <c r="C1332" t="s">
        <v>1367</v>
      </c>
      <c r="D1332" t="s">
        <v>101</v>
      </c>
      <c r="E1332" t="s">
        <v>304</v>
      </c>
      <c r="F1332" t="s">
        <v>180</v>
      </c>
      <c r="G1332" t="s">
        <v>114</v>
      </c>
      <c r="H1332" t="s">
        <v>125</v>
      </c>
      <c r="I1332">
        <v>2022</v>
      </c>
      <c r="J1332" t="s">
        <v>319</v>
      </c>
      <c r="K1332" t="s">
        <v>127</v>
      </c>
      <c r="L1332" t="s">
        <v>1619</v>
      </c>
      <c r="M1332" t="s">
        <v>1626</v>
      </c>
      <c r="N1332">
        <v>1</v>
      </c>
      <c r="O1332">
        <v>2022</v>
      </c>
      <c r="P1332">
        <v>3017.9137098683868</v>
      </c>
      <c r="Q1332">
        <v>7.4806159733468123</v>
      </c>
      <c r="R1332" t="s">
        <v>109</v>
      </c>
      <c r="S1332">
        <v>403.43117740853347</v>
      </c>
      <c r="T1332">
        <v>4.3962485345838216</v>
      </c>
      <c r="U1332" t="s">
        <v>184</v>
      </c>
      <c r="V1332">
        <v>4.3962485345838216</v>
      </c>
      <c r="W1332">
        <v>9</v>
      </c>
      <c r="X1332">
        <v>22</v>
      </c>
      <c r="Y1332">
        <v>16</v>
      </c>
      <c r="Z1332">
        <v>7.2863694504238907E-2</v>
      </c>
      <c r="AA1332">
        <v>31.536000000000001</v>
      </c>
    </row>
    <row r="1333" spans="1:27" x14ac:dyDescent="0.25">
      <c r="A1333" t="s">
        <v>98</v>
      </c>
      <c r="B1333" t="s">
        <v>519</v>
      </c>
      <c r="C1333" t="s">
        <v>1367</v>
      </c>
      <c r="D1333" t="s">
        <v>101</v>
      </c>
      <c r="E1333" t="s">
        <v>304</v>
      </c>
      <c r="F1333" t="s">
        <v>180</v>
      </c>
      <c r="G1333" t="s">
        <v>114</v>
      </c>
      <c r="H1333" t="s">
        <v>125</v>
      </c>
      <c r="I1333">
        <v>2023</v>
      </c>
      <c r="J1333" t="s">
        <v>321</v>
      </c>
      <c r="K1333" t="s">
        <v>127</v>
      </c>
      <c r="L1333" t="s">
        <v>1619</v>
      </c>
      <c r="M1333" t="s">
        <v>1627</v>
      </c>
      <c r="N1333">
        <v>1</v>
      </c>
      <c r="O1333">
        <v>2023</v>
      </c>
      <c r="P1333">
        <v>3266.447780092843</v>
      </c>
      <c r="Q1333">
        <v>7.4806159733468123</v>
      </c>
      <c r="R1333" t="s">
        <v>109</v>
      </c>
      <c r="S1333">
        <v>436.65492143041268</v>
      </c>
      <c r="T1333">
        <v>4.6893317702227444</v>
      </c>
      <c r="U1333" t="s">
        <v>184</v>
      </c>
      <c r="V1333">
        <v>4.6893317702227444</v>
      </c>
      <c r="W1333">
        <v>9</v>
      </c>
      <c r="X1333">
        <v>22</v>
      </c>
      <c r="Y1333">
        <v>16</v>
      </c>
      <c r="Z1333">
        <v>7.2863694504238907E-2</v>
      </c>
      <c r="AA1333">
        <v>31.536000000000001</v>
      </c>
    </row>
    <row r="1334" spans="1:27" x14ac:dyDescent="0.25">
      <c r="A1334" t="s">
        <v>98</v>
      </c>
      <c r="B1334" t="s">
        <v>519</v>
      </c>
      <c r="C1334" t="s">
        <v>1367</v>
      </c>
      <c r="D1334" t="s">
        <v>101</v>
      </c>
      <c r="E1334" t="s">
        <v>304</v>
      </c>
      <c r="F1334" t="s">
        <v>180</v>
      </c>
      <c r="G1334" t="s">
        <v>119</v>
      </c>
      <c r="H1334" t="s">
        <v>125</v>
      </c>
      <c r="I1334">
        <v>2016</v>
      </c>
      <c r="J1334" t="s">
        <v>323</v>
      </c>
      <c r="K1334" t="s">
        <v>127</v>
      </c>
      <c r="L1334" t="s">
        <v>1619</v>
      </c>
      <c r="M1334" t="s">
        <v>1628</v>
      </c>
      <c r="N1334">
        <v>1</v>
      </c>
      <c r="O1334">
        <v>2020</v>
      </c>
      <c r="P1334">
        <v>3719.0451778176089</v>
      </c>
      <c r="Q1334">
        <v>7.4806159733468123</v>
      </c>
      <c r="R1334" t="s">
        <v>109</v>
      </c>
      <c r="S1334">
        <v>497.15761256405142</v>
      </c>
      <c r="T1334">
        <v>5.5685814771395066</v>
      </c>
      <c r="U1334" t="s">
        <v>184</v>
      </c>
      <c r="V1334">
        <v>5.5685814771395066</v>
      </c>
      <c r="W1334">
        <v>9</v>
      </c>
      <c r="X1334">
        <v>22</v>
      </c>
      <c r="Y1334">
        <v>16</v>
      </c>
      <c r="Z1334">
        <v>7.2863694504238907E-2</v>
      </c>
      <c r="AA1334">
        <v>31.536000000000001</v>
      </c>
    </row>
    <row r="1335" spans="1:27" x14ac:dyDescent="0.25">
      <c r="A1335" t="s">
        <v>98</v>
      </c>
      <c r="B1335" t="s">
        <v>519</v>
      </c>
      <c r="C1335" t="s">
        <v>1367</v>
      </c>
      <c r="D1335" t="s">
        <v>101</v>
      </c>
      <c r="E1335" t="s">
        <v>304</v>
      </c>
      <c r="F1335" t="s">
        <v>180</v>
      </c>
      <c r="G1335" t="s">
        <v>119</v>
      </c>
      <c r="H1335" t="s">
        <v>125</v>
      </c>
      <c r="I1335">
        <v>2022</v>
      </c>
      <c r="J1335" t="s">
        <v>325</v>
      </c>
      <c r="K1335" t="s">
        <v>127</v>
      </c>
      <c r="L1335" t="s">
        <v>1619</v>
      </c>
      <c r="M1335" t="s">
        <v>1629</v>
      </c>
      <c r="N1335">
        <v>1</v>
      </c>
      <c r="O1335">
        <v>2022</v>
      </c>
      <c r="P1335">
        <v>3914.784397702746</v>
      </c>
      <c r="Q1335">
        <v>7.4806159733468123</v>
      </c>
      <c r="R1335" t="s">
        <v>109</v>
      </c>
      <c r="S1335">
        <v>523.32380269900148</v>
      </c>
      <c r="T1335">
        <v>5.8616647127784294</v>
      </c>
      <c r="U1335" t="s">
        <v>184</v>
      </c>
      <c r="V1335">
        <v>5.8616647127784294</v>
      </c>
      <c r="W1335">
        <v>9</v>
      </c>
      <c r="X1335">
        <v>22</v>
      </c>
      <c r="Y1335">
        <v>16</v>
      </c>
      <c r="Z1335">
        <v>7.2863694504238907E-2</v>
      </c>
      <c r="AA1335">
        <v>31.536000000000001</v>
      </c>
    </row>
    <row r="1336" spans="1:27" x14ac:dyDescent="0.25">
      <c r="A1336" t="s">
        <v>98</v>
      </c>
      <c r="B1336" t="s">
        <v>519</v>
      </c>
      <c r="C1336" t="s">
        <v>1367</v>
      </c>
      <c r="D1336" t="s">
        <v>101</v>
      </c>
      <c r="E1336" t="s">
        <v>304</v>
      </c>
      <c r="F1336" t="s">
        <v>201</v>
      </c>
      <c r="G1336" t="s">
        <v>103</v>
      </c>
      <c r="H1336" t="s">
        <v>125</v>
      </c>
      <c r="I1336">
        <v>2016</v>
      </c>
      <c r="J1336" t="s">
        <v>327</v>
      </c>
      <c r="K1336" t="s">
        <v>127</v>
      </c>
      <c r="L1336" t="s">
        <v>1619</v>
      </c>
      <c r="M1336" t="s">
        <v>1630</v>
      </c>
      <c r="N1336">
        <v>1</v>
      </c>
      <c r="O1336">
        <v>2020</v>
      </c>
      <c r="P1336">
        <v>9511.0007826155233</v>
      </c>
      <c r="Q1336">
        <v>7.4806159733468123</v>
      </c>
      <c r="R1336" t="s">
        <v>109</v>
      </c>
      <c r="S1336">
        <v>1271.4194681965901</v>
      </c>
      <c r="T1336">
        <v>14.1</v>
      </c>
      <c r="U1336" t="s">
        <v>329</v>
      </c>
      <c r="V1336">
        <v>4.1348973607038122</v>
      </c>
      <c r="W1336">
        <v>8</v>
      </c>
      <c r="X1336">
        <v>20.8</v>
      </c>
      <c r="Y1336">
        <v>15</v>
      </c>
      <c r="Z1336">
        <v>7.2863694504238907E-2</v>
      </c>
      <c r="AA1336">
        <v>31.536000000000001</v>
      </c>
    </row>
    <row r="1337" spans="1:27" x14ac:dyDescent="0.25">
      <c r="A1337" t="s">
        <v>98</v>
      </c>
      <c r="B1337" t="s">
        <v>519</v>
      </c>
      <c r="C1337" t="s">
        <v>1367</v>
      </c>
      <c r="D1337" t="s">
        <v>101</v>
      </c>
      <c r="E1337" t="s">
        <v>304</v>
      </c>
      <c r="F1337" t="s">
        <v>201</v>
      </c>
      <c r="G1337" t="s">
        <v>111</v>
      </c>
      <c r="H1337" t="s">
        <v>125</v>
      </c>
      <c r="I1337">
        <v>2016</v>
      </c>
      <c r="J1337" t="s">
        <v>330</v>
      </c>
      <c r="K1337" t="s">
        <v>127</v>
      </c>
      <c r="L1337" t="s">
        <v>1619</v>
      </c>
      <c r="M1337" t="s">
        <v>1631</v>
      </c>
      <c r="N1337">
        <v>1</v>
      </c>
      <c r="O1337">
        <v>2020</v>
      </c>
      <c r="P1337">
        <v>9846.3245281564559</v>
      </c>
      <c r="Q1337">
        <v>7.4806159733468123</v>
      </c>
      <c r="R1337" t="s">
        <v>109</v>
      </c>
      <c r="S1337">
        <v>1316.245154575317</v>
      </c>
      <c r="T1337">
        <v>17.3</v>
      </c>
      <c r="U1337" t="s">
        <v>329</v>
      </c>
      <c r="V1337">
        <v>5.0733137829912023</v>
      </c>
      <c r="W1337">
        <v>8</v>
      </c>
      <c r="X1337">
        <v>20.8</v>
      </c>
      <c r="Y1337">
        <v>15</v>
      </c>
      <c r="Z1337">
        <v>7.2863694504238907E-2</v>
      </c>
      <c r="AA1337">
        <v>31.536000000000001</v>
      </c>
    </row>
    <row r="1338" spans="1:27" x14ac:dyDescent="0.25">
      <c r="A1338" t="s">
        <v>98</v>
      </c>
      <c r="B1338" t="s">
        <v>519</v>
      </c>
      <c r="C1338" t="s">
        <v>1367</v>
      </c>
      <c r="D1338" t="s">
        <v>101</v>
      </c>
      <c r="E1338" t="s">
        <v>304</v>
      </c>
      <c r="F1338" t="s">
        <v>201</v>
      </c>
      <c r="G1338" t="s">
        <v>114</v>
      </c>
      <c r="H1338" t="s">
        <v>125</v>
      </c>
      <c r="I1338">
        <v>2016</v>
      </c>
      <c r="J1338" t="s">
        <v>332</v>
      </c>
      <c r="K1338" t="s">
        <v>127</v>
      </c>
      <c r="L1338" t="s">
        <v>1619</v>
      </c>
      <c r="M1338" t="s">
        <v>1632</v>
      </c>
      <c r="N1338">
        <v>0</v>
      </c>
      <c r="O1338">
        <v>2020</v>
      </c>
      <c r="P1338">
        <v>9846.3245281564559</v>
      </c>
      <c r="Q1338">
        <v>7.4806159733468123</v>
      </c>
      <c r="R1338" t="s">
        <v>109</v>
      </c>
      <c r="S1338">
        <v>1316.245154575317</v>
      </c>
      <c r="T1338">
        <v>17.100000000000001</v>
      </c>
      <c r="U1338" t="s">
        <v>329</v>
      </c>
      <c r="V1338">
        <v>5.0146627565982396</v>
      </c>
      <c r="W1338">
        <v>8</v>
      </c>
      <c r="X1338">
        <v>20.8</v>
      </c>
      <c r="Y1338">
        <v>15</v>
      </c>
      <c r="Z1338">
        <v>7.2863694504238907E-2</v>
      </c>
      <c r="AA1338">
        <v>31.536000000000001</v>
      </c>
    </row>
    <row r="1339" spans="1:27" x14ac:dyDescent="0.25">
      <c r="A1339" t="s">
        <v>98</v>
      </c>
      <c r="B1339" t="s">
        <v>519</v>
      </c>
      <c r="C1339" t="s">
        <v>1367</v>
      </c>
      <c r="D1339" t="s">
        <v>101</v>
      </c>
      <c r="E1339" t="s">
        <v>304</v>
      </c>
      <c r="F1339" t="s">
        <v>201</v>
      </c>
      <c r="G1339" t="s">
        <v>114</v>
      </c>
      <c r="H1339" t="s">
        <v>125</v>
      </c>
      <c r="I1339">
        <v>2020</v>
      </c>
      <c r="J1339" t="s">
        <v>334</v>
      </c>
      <c r="K1339" t="s">
        <v>127</v>
      </c>
      <c r="L1339" t="s">
        <v>1619</v>
      </c>
      <c r="M1339" t="s">
        <v>1632</v>
      </c>
      <c r="N1339">
        <v>1</v>
      </c>
      <c r="O1339">
        <v>2020</v>
      </c>
      <c r="P1339">
        <v>9846.3245281564559</v>
      </c>
      <c r="Q1339">
        <v>7.4806159733468123</v>
      </c>
      <c r="R1339" t="s">
        <v>109</v>
      </c>
      <c r="S1339">
        <v>1316.245154575317</v>
      </c>
      <c r="T1339">
        <v>17.100000000000001</v>
      </c>
      <c r="U1339" t="s">
        <v>329</v>
      </c>
      <c r="V1339">
        <v>5.0146627565982396</v>
      </c>
      <c r="W1339">
        <v>8</v>
      </c>
      <c r="X1339">
        <v>20.8</v>
      </c>
      <c r="Y1339">
        <v>15</v>
      </c>
      <c r="Z1339">
        <v>7.2863694504238907E-2</v>
      </c>
      <c r="AA1339">
        <v>31.536000000000001</v>
      </c>
    </row>
    <row r="1340" spans="1:27" x14ac:dyDescent="0.25">
      <c r="A1340" t="s">
        <v>98</v>
      </c>
      <c r="B1340" t="s">
        <v>519</v>
      </c>
      <c r="C1340" t="s">
        <v>1367</v>
      </c>
      <c r="D1340" t="s">
        <v>101</v>
      </c>
      <c r="E1340" t="s">
        <v>304</v>
      </c>
      <c r="F1340" t="s">
        <v>201</v>
      </c>
      <c r="G1340" t="s">
        <v>114</v>
      </c>
      <c r="H1340" t="s">
        <v>125</v>
      </c>
      <c r="I1340">
        <v>2022</v>
      </c>
      <c r="J1340" t="s">
        <v>335</v>
      </c>
      <c r="K1340" t="s">
        <v>127</v>
      </c>
      <c r="L1340" t="s">
        <v>1619</v>
      </c>
      <c r="M1340" t="s">
        <v>1633</v>
      </c>
      <c r="N1340">
        <v>1</v>
      </c>
      <c r="O1340">
        <v>2022</v>
      </c>
      <c r="P1340">
        <v>9846.3245281564559</v>
      </c>
      <c r="Q1340">
        <v>7.4806159733468123</v>
      </c>
      <c r="R1340" t="s">
        <v>109</v>
      </c>
      <c r="S1340">
        <v>1316.245154575317</v>
      </c>
      <c r="T1340">
        <v>17.100000000000001</v>
      </c>
      <c r="U1340" t="s">
        <v>329</v>
      </c>
      <c r="V1340">
        <v>5.0146627565982396</v>
      </c>
      <c r="W1340">
        <v>8</v>
      </c>
      <c r="X1340">
        <v>20.8</v>
      </c>
      <c r="Y1340">
        <v>15</v>
      </c>
      <c r="Z1340">
        <v>7.2863694504238907E-2</v>
      </c>
      <c r="AA1340">
        <v>31.536000000000001</v>
      </c>
    </row>
    <row r="1341" spans="1:27" x14ac:dyDescent="0.25">
      <c r="A1341" t="s">
        <v>98</v>
      </c>
      <c r="B1341" t="s">
        <v>519</v>
      </c>
      <c r="C1341" t="s">
        <v>1367</v>
      </c>
      <c r="D1341" t="s">
        <v>101</v>
      </c>
      <c r="E1341" t="s">
        <v>304</v>
      </c>
      <c r="F1341" t="s">
        <v>201</v>
      </c>
      <c r="G1341" t="s">
        <v>114</v>
      </c>
      <c r="H1341" t="s">
        <v>125</v>
      </c>
      <c r="I1341">
        <v>2023</v>
      </c>
      <c r="J1341" t="s">
        <v>337</v>
      </c>
      <c r="K1341" t="s">
        <v>127</v>
      </c>
      <c r="L1341" t="s">
        <v>1619</v>
      </c>
      <c r="M1341" t="s">
        <v>1634</v>
      </c>
      <c r="N1341">
        <v>1</v>
      </c>
      <c r="O1341">
        <v>2023</v>
      </c>
      <c r="P1341">
        <v>9846.3245281564559</v>
      </c>
      <c r="Q1341">
        <v>7.4806159733468123</v>
      </c>
      <c r="R1341" t="s">
        <v>109</v>
      </c>
      <c r="S1341">
        <v>1316.245154575317</v>
      </c>
      <c r="T1341">
        <v>17.100000000000001</v>
      </c>
      <c r="U1341" t="s">
        <v>329</v>
      </c>
      <c r="V1341">
        <v>5.0146627565982396</v>
      </c>
      <c r="W1341">
        <v>8</v>
      </c>
      <c r="X1341">
        <v>20.8</v>
      </c>
      <c r="Y1341">
        <v>15</v>
      </c>
      <c r="Z1341">
        <v>7.2863694504238907E-2</v>
      </c>
      <c r="AA1341">
        <v>31.536000000000001</v>
      </c>
    </row>
    <row r="1342" spans="1:27" x14ac:dyDescent="0.25">
      <c r="A1342" t="s">
        <v>98</v>
      </c>
      <c r="B1342" t="s">
        <v>519</v>
      </c>
      <c r="C1342" t="s">
        <v>1367</v>
      </c>
      <c r="D1342" t="s">
        <v>101</v>
      </c>
      <c r="E1342" t="s">
        <v>304</v>
      </c>
      <c r="F1342" t="s">
        <v>201</v>
      </c>
      <c r="G1342" t="s">
        <v>114</v>
      </c>
      <c r="H1342" t="s">
        <v>125</v>
      </c>
      <c r="I1342">
        <v>2024</v>
      </c>
      <c r="J1342" t="s">
        <v>339</v>
      </c>
      <c r="K1342" t="s">
        <v>127</v>
      </c>
      <c r="L1342" t="s">
        <v>1619</v>
      </c>
      <c r="M1342" t="s">
        <v>1635</v>
      </c>
      <c r="N1342">
        <v>1</v>
      </c>
      <c r="O1342">
        <v>2024</v>
      </c>
      <c r="P1342">
        <v>9846.3245281564559</v>
      </c>
      <c r="Q1342">
        <v>7.4806159733468123</v>
      </c>
      <c r="R1342" t="s">
        <v>109</v>
      </c>
      <c r="S1342">
        <v>1316.245154575317</v>
      </c>
      <c r="T1342">
        <v>17.100000000000001</v>
      </c>
      <c r="U1342" t="s">
        <v>329</v>
      </c>
      <c r="V1342">
        <v>5.0146627565982396</v>
      </c>
      <c r="W1342">
        <v>8</v>
      </c>
      <c r="X1342">
        <v>20.8</v>
      </c>
      <c r="Y1342">
        <v>15</v>
      </c>
      <c r="Z1342">
        <v>7.2863694504238907E-2</v>
      </c>
      <c r="AA1342">
        <v>31.536000000000001</v>
      </c>
    </row>
    <row r="1343" spans="1:27" x14ac:dyDescent="0.25">
      <c r="A1343" t="s">
        <v>98</v>
      </c>
      <c r="B1343" t="s">
        <v>519</v>
      </c>
      <c r="C1343" t="s">
        <v>1367</v>
      </c>
      <c r="D1343" t="s">
        <v>101</v>
      </c>
      <c r="E1343" t="s">
        <v>304</v>
      </c>
      <c r="F1343" t="s">
        <v>201</v>
      </c>
      <c r="G1343" t="s">
        <v>119</v>
      </c>
      <c r="H1343" t="s">
        <v>125</v>
      </c>
      <c r="I1343">
        <v>2016</v>
      </c>
      <c r="J1343" t="s">
        <v>341</v>
      </c>
      <c r="K1343" t="s">
        <v>127</v>
      </c>
      <c r="L1343" t="s">
        <v>1619</v>
      </c>
      <c r="M1343" t="s">
        <v>1636</v>
      </c>
      <c r="N1343">
        <v>0</v>
      </c>
      <c r="O1343">
        <v>2020</v>
      </c>
      <c r="P1343">
        <v>10395.03611176889</v>
      </c>
      <c r="Q1343">
        <v>7.4806159733468123</v>
      </c>
      <c r="R1343" t="s">
        <v>109</v>
      </c>
      <c r="S1343">
        <v>1389.5962777405041</v>
      </c>
      <c r="T1343">
        <v>22.4</v>
      </c>
      <c r="U1343" t="s">
        <v>329</v>
      </c>
      <c r="V1343">
        <v>6.5689149560117297</v>
      </c>
      <c r="W1343">
        <v>8</v>
      </c>
      <c r="X1343">
        <v>20.8</v>
      </c>
      <c r="Y1343">
        <v>15</v>
      </c>
      <c r="Z1343">
        <v>7.2863694504238907E-2</v>
      </c>
      <c r="AA1343">
        <v>31.536000000000001</v>
      </c>
    </row>
    <row r="1344" spans="1:27" x14ac:dyDescent="0.25">
      <c r="A1344" t="s">
        <v>98</v>
      </c>
      <c r="B1344" t="s">
        <v>519</v>
      </c>
      <c r="C1344" t="s">
        <v>1367</v>
      </c>
      <c r="D1344" t="s">
        <v>101</v>
      </c>
      <c r="E1344" t="s">
        <v>304</v>
      </c>
      <c r="F1344" t="s">
        <v>201</v>
      </c>
      <c r="G1344" t="s">
        <v>119</v>
      </c>
      <c r="H1344" t="s">
        <v>125</v>
      </c>
      <c r="I1344">
        <v>2020</v>
      </c>
      <c r="J1344" t="s">
        <v>343</v>
      </c>
      <c r="K1344" t="s">
        <v>127</v>
      </c>
      <c r="L1344" t="s">
        <v>1619</v>
      </c>
      <c r="M1344" t="s">
        <v>1636</v>
      </c>
      <c r="N1344">
        <v>1</v>
      </c>
      <c r="O1344">
        <v>2020</v>
      </c>
      <c r="P1344">
        <v>10395.03611176889</v>
      </c>
      <c r="Q1344">
        <v>7.4806159733468123</v>
      </c>
      <c r="R1344" t="s">
        <v>109</v>
      </c>
      <c r="S1344">
        <v>1389.5962777405041</v>
      </c>
      <c r="T1344">
        <v>22.4</v>
      </c>
      <c r="U1344" t="s">
        <v>329</v>
      </c>
      <c r="V1344">
        <v>6.5689149560117297</v>
      </c>
      <c r="W1344">
        <v>8</v>
      </c>
      <c r="X1344">
        <v>20.8</v>
      </c>
      <c r="Y1344">
        <v>15</v>
      </c>
      <c r="Z1344">
        <v>7.2863694504238907E-2</v>
      </c>
      <c r="AA1344">
        <v>31.536000000000001</v>
      </c>
    </row>
    <row r="1345" spans="1:27" x14ac:dyDescent="0.25">
      <c r="A1345" t="s">
        <v>98</v>
      </c>
      <c r="B1345" t="s">
        <v>519</v>
      </c>
      <c r="C1345" t="s">
        <v>1367</v>
      </c>
      <c r="D1345" t="s">
        <v>101</v>
      </c>
      <c r="E1345" t="s">
        <v>304</v>
      </c>
      <c r="F1345" t="s">
        <v>201</v>
      </c>
      <c r="G1345" t="s">
        <v>119</v>
      </c>
      <c r="H1345" t="s">
        <v>125</v>
      </c>
      <c r="I1345">
        <v>2022</v>
      </c>
      <c r="J1345" t="s">
        <v>344</v>
      </c>
      <c r="K1345" t="s">
        <v>127</v>
      </c>
      <c r="L1345" t="s">
        <v>1619</v>
      </c>
      <c r="M1345" t="s">
        <v>1637</v>
      </c>
      <c r="N1345">
        <v>1</v>
      </c>
      <c r="O1345">
        <v>2022</v>
      </c>
      <c r="P1345">
        <v>10395.03611176889</v>
      </c>
      <c r="Q1345">
        <v>7.4806159733468123</v>
      </c>
      <c r="R1345" t="s">
        <v>109</v>
      </c>
      <c r="S1345">
        <v>1389.5962777405041</v>
      </c>
      <c r="T1345">
        <v>22.4</v>
      </c>
      <c r="U1345" t="s">
        <v>329</v>
      </c>
      <c r="V1345">
        <v>6.5689149560117297</v>
      </c>
      <c r="W1345">
        <v>8</v>
      </c>
      <c r="X1345">
        <v>20.8</v>
      </c>
      <c r="Y1345">
        <v>15</v>
      </c>
      <c r="Z1345">
        <v>7.2863694504238907E-2</v>
      </c>
      <c r="AA1345">
        <v>31.536000000000001</v>
      </c>
    </row>
    <row r="1346" spans="1:27" x14ac:dyDescent="0.25">
      <c r="A1346" t="s">
        <v>98</v>
      </c>
      <c r="B1346" t="s">
        <v>519</v>
      </c>
      <c r="C1346" t="s">
        <v>1367</v>
      </c>
      <c r="D1346" t="s">
        <v>101</v>
      </c>
      <c r="E1346" t="s">
        <v>304</v>
      </c>
      <c r="F1346" t="s">
        <v>201</v>
      </c>
      <c r="G1346" t="s">
        <v>119</v>
      </c>
      <c r="H1346" t="s">
        <v>125</v>
      </c>
      <c r="I1346">
        <v>2023</v>
      </c>
      <c r="J1346" t="s">
        <v>346</v>
      </c>
      <c r="K1346" t="s">
        <v>127</v>
      </c>
      <c r="L1346" t="s">
        <v>1619</v>
      </c>
      <c r="M1346" t="s">
        <v>1638</v>
      </c>
      <c r="N1346">
        <v>1</v>
      </c>
      <c r="O1346">
        <v>2023</v>
      </c>
      <c r="P1346">
        <v>10395.03611176889</v>
      </c>
      <c r="Q1346">
        <v>7.4806159733468123</v>
      </c>
      <c r="R1346" t="s">
        <v>109</v>
      </c>
      <c r="S1346">
        <v>1389.5962777405041</v>
      </c>
      <c r="T1346">
        <v>22.4</v>
      </c>
      <c r="U1346" t="s">
        <v>329</v>
      </c>
      <c r="V1346">
        <v>6.5689149560117297</v>
      </c>
      <c r="W1346">
        <v>8</v>
      </c>
      <c r="X1346">
        <v>20.8</v>
      </c>
      <c r="Y1346">
        <v>15</v>
      </c>
      <c r="Z1346">
        <v>7.2863694504238907E-2</v>
      </c>
      <c r="AA1346">
        <v>31.536000000000001</v>
      </c>
    </row>
    <row r="1347" spans="1:27" x14ac:dyDescent="0.25">
      <c r="A1347" t="s">
        <v>98</v>
      </c>
      <c r="B1347" t="s">
        <v>519</v>
      </c>
      <c r="C1347" t="s">
        <v>1367</v>
      </c>
      <c r="D1347" t="s">
        <v>101</v>
      </c>
      <c r="E1347" t="s">
        <v>304</v>
      </c>
      <c r="F1347" t="s">
        <v>201</v>
      </c>
      <c r="G1347" t="s">
        <v>119</v>
      </c>
      <c r="H1347" t="s">
        <v>125</v>
      </c>
      <c r="I1347">
        <v>2024</v>
      </c>
      <c r="J1347" t="s">
        <v>348</v>
      </c>
      <c r="K1347" t="s">
        <v>127</v>
      </c>
      <c r="L1347" t="s">
        <v>1619</v>
      </c>
      <c r="M1347" t="s">
        <v>1639</v>
      </c>
      <c r="N1347">
        <v>1</v>
      </c>
      <c r="O1347">
        <v>2024</v>
      </c>
      <c r="P1347">
        <v>10395.03611176889</v>
      </c>
      <c r="Q1347">
        <v>7.4806159733468123</v>
      </c>
      <c r="R1347" t="s">
        <v>109</v>
      </c>
      <c r="S1347">
        <v>1389.5962777405041</v>
      </c>
      <c r="T1347">
        <v>22.4</v>
      </c>
      <c r="U1347" t="s">
        <v>329</v>
      </c>
      <c r="V1347">
        <v>6.5689149560117297</v>
      </c>
      <c r="W1347">
        <v>8</v>
      </c>
      <c r="X1347">
        <v>20.8</v>
      </c>
      <c r="Y1347">
        <v>15</v>
      </c>
      <c r="Z1347">
        <v>7.2863694504238907E-2</v>
      </c>
      <c r="AA1347">
        <v>31.536000000000001</v>
      </c>
    </row>
    <row r="1348" spans="1:27" x14ac:dyDescent="0.25">
      <c r="A1348" t="s">
        <v>98</v>
      </c>
      <c r="B1348" t="s">
        <v>519</v>
      </c>
      <c r="C1348" t="s">
        <v>1367</v>
      </c>
      <c r="D1348" t="s">
        <v>101</v>
      </c>
      <c r="E1348" t="s">
        <v>304</v>
      </c>
      <c r="F1348" t="s">
        <v>350</v>
      </c>
      <c r="G1348" t="s">
        <v>103</v>
      </c>
      <c r="H1348" t="s">
        <v>125</v>
      </c>
      <c r="I1348">
        <v>2016</v>
      </c>
      <c r="J1348" t="s">
        <v>351</v>
      </c>
      <c r="K1348" t="s">
        <v>127</v>
      </c>
      <c r="L1348" t="s">
        <v>1619</v>
      </c>
      <c r="M1348" t="s">
        <v>1640</v>
      </c>
      <c r="N1348">
        <v>1</v>
      </c>
      <c r="O1348">
        <v>2020</v>
      </c>
      <c r="P1348">
        <v>756.00262631046473</v>
      </c>
      <c r="Q1348">
        <v>7.4806159733468123</v>
      </c>
      <c r="R1348" t="s">
        <v>109</v>
      </c>
      <c r="S1348">
        <v>101.06154747203669</v>
      </c>
      <c r="T1348">
        <v>3.1946072684642441</v>
      </c>
      <c r="U1348" t="s">
        <v>184</v>
      </c>
      <c r="V1348">
        <v>3.1946072684642441</v>
      </c>
      <c r="W1348">
        <v>6</v>
      </c>
      <c r="X1348">
        <v>13</v>
      </c>
      <c r="Y1348">
        <v>10</v>
      </c>
      <c r="Z1348">
        <v>7.2863694504238907E-2</v>
      </c>
      <c r="AA1348">
        <v>31.536000000000001</v>
      </c>
    </row>
    <row r="1349" spans="1:27" x14ac:dyDescent="0.25">
      <c r="A1349" t="s">
        <v>98</v>
      </c>
      <c r="B1349" t="s">
        <v>519</v>
      </c>
      <c r="C1349" t="s">
        <v>1367</v>
      </c>
      <c r="D1349" t="s">
        <v>101</v>
      </c>
      <c r="E1349" t="s">
        <v>304</v>
      </c>
      <c r="F1349" t="s">
        <v>350</v>
      </c>
      <c r="G1349" t="s">
        <v>111</v>
      </c>
      <c r="H1349" t="s">
        <v>125</v>
      </c>
      <c r="I1349">
        <v>2016</v>
      </c>
      <c r="J1349" t="s">
        <v>353</v>
      </c>
      <c r="K1349" t="s">
        <v>127</v>
      </c>
      <c r="L1349" t="s">
        <v>1619</v>
      </c>
      <c r="M1349" t="s">
        <v>1641</v>
      </c>
      <c r="N1349">
        <v>1</v>
      </c>
      <c r="O1349">
        <v>2020</v>
      </c>
      <c r="P1349">
        <v>780.38980780435065</v>
      </c>
      <c r="Q1349">
        <v>7.4806159733468123</v>
      </c>
      <c r="R1349" t="s">
        <v>109</v>
      </c>
      <c r="S1349">
        <v>104.3215973904895</v>
      </c>
      <c r="T1349">
        <v>3.5169988276670581</v>
      </c>
      <c r="U1349" t="s">
        <v>184</v>
      </c>
      <c r="V1349">
        <v>3.5169988276670581</v>
      </c>
      <c r="W1349">
        <v>6</v>
      </c>
      <c r="X1349">
        <v>13</v>
      </c>
      <c r="Y1349">
        <v>10</v>
      </c>
      <c r="Z1349">
        <v>7.2863694504238907E-2</v>
      </c>
      <c r="AA1349">
        <v>31.536000000000001</v>
      </c>
    </row>
    <row r="1350" spans="1:27" x14ac:dyDescent="0.25">
      <c r="A1350" t="s">
        <v>98</v>
      </c>
      <c r="B1350" t="s">
        <v>519</v>
      </c>
      <c r="C1350" t="s">
        <v>1367</v>
      </c>
      <c r="D1350" t="s">
        <v>101</v>
      </c>
      <c r="E1350" t="s">
        <v>304</v>
      </c>
      <c r="F1350" t="s">
        <v>350</v>
      </c>
      <c r="G1350" t="s">
        <v>111</v>
      </c>
      <c r="H1350" t="s">
        <v>125</v>
      </c>
      <c r="I1350">
        <v>2030</v>
      </c>
      <c r="J1350" t="s">
        <v>355</v>
      </c>
      <c r="K1350" t="s">
        <v>127</v>
      </c>
      <c r="L1350" t="s">
        <v>1619</v>
      </c>
      <c r="M1350" t="s">
        <v>1642</v>
      </c>
      <c r="N1350">
        <v>1</v>
      </c>
      <c r="O1350">
        <v>2030</v>
      </c>
      <c r="P1350">
        <v>780.38980780435065</v>
      </c>
      <c r="Q1350">
        <v>7.4806159733468123</v>
      </c>
      <c r="R1350" t="s">
        <v>109</v>
      </c>
      <c r="S1350">
        <v>104.3215973904895</v>
      </c>
      <c r="T1350">
        <v>3.5902696365767879</v>
      </c>
      <c r="U1350" t="s">
        <v>184</v>
      </c>
      <c r="V1350">
        <v>3.5902696365767879</v>
      </c>
      <c r="W1350">
        <v>6</v>
      </c>
      <c r="X1350">
        <v>13</v>
      </c>
      <c r="Y1350">
        <v>10</v>
      </c>
      <c r="Z1350">
        <v>7.2863694504238907E-2</v>
      </c>
      <c r="AA1350">
        <v>31.536000000000001</v>
      </c>
    </row>
    <row r="1351" spans="1:27" x14ac:dyDescent="0.25">
      <c r="A1351" t="s">
        <v>98</v>
      </c>
      <c r="B1351" t="s">
        <v>519</v>
      </c>
      <c r="C1351" t="s">
        <v>1367</v>
      </c>
      <c r="D1351" t="s">
        <v>101</v>
      </c>
      <c r="E1351" t="s">
        <v>304</v>
      </c>
      <c r="F1351" t="s">
        <v>350</v>
      </c>
      <c r="G1351" t="s">
        <v>111</v>
      </c>
      <c r="H1351" t="s">
        <v>125</v>
      </c>
      <c r="I1351">
        <v>2040</v>
      </c>
      <c r="J1351" t="s">
        <v>357</v>
      </c>
      <c r="K1351" t="s">
        <v>127</v>
      </c>
      <c r="L1351" t="s">
        <v>1619</v>
      </c>
      <c r="M1351" t="s">
        <v>1643</v>
      </c>
      <c r="N1351">
        <v>1</v>
      </c>
      <c r="O1351">
        <v>2040</v>
      </c>
      <c r="P1351">
        <v>780.38980780435065</v>
      </c>
      <c r="Q1351">
        <v>7.4806159733468123</v>
      </c>
      <c r="R1351" t="s">
        <v>109</v>
      </c>
      <c r="S1351">
        <v>104.3215973904895</v>
      </c>
      <c r="T1351">
        <v>3.6635404454865181</v>
      </c>
      <c r="U1351" t="s">
        <v>184</v>
      </c>
      <c r="V1351">
        <v>3.6635404454865181</v>
      </c>
      <c r="W1351">
        <v>6</v>
      </c>
      <c r="X1351">
        <v>13</v>
      </c>
      <c r="Y1351">
        <v>10</v>
      </c>
      <c r="Z1351">
        <v>7.2863694504238907E-2</v>
      </c>
      <c r="AA1351">
        <v>31.536000000000001</v>
      </c>
    </row>
    <row r="1352" spans="1:27" x14ac:dyDescent="0.25">
      <c r="A1352" t="s">
        <v>98</v>
      </c>
      <c r="B1352" t="s">
        <v>519</v>
      </c>
      <c r="C1352" t="s">
        <v>1367</v>
      </c>
      <c r="D1352" t="s">
        <v>101</v>
      </c>
      <c r="E1352" t="s">
        <v>304</v>
      </c>
      <c r="F1352" t="s">
        <v>350</v>
      </c>
      <c r="G1352" t="s">
        <v>114</v>
      </c>
      <c r="H1352" t="s">
        <v>125</v>
      </c>
      <c r="I1352">
        <v>2016</v>
      </c>
      <c r="J1352" t="s">
        <v>359</v>
      </c>
      <c r="K1352" t="s">
        <v>127</v>
      </c>
      <c r="L1352" t="s">
        <v>1619</v>
      </c>
      <c r="M1352" t="s">
        <v>1644</v>
      </c>
      <c r="N1352">
        <v>1</v>
      </c>
      <c r="O1352">
        <v>2020</v>
      </c>
      <c r="P1352">
        <v>780.38980780435065</v>
      </c>
      <c r="Q1352">
        <v>7.4806159733468123</v>
      </c>
      <c r="R1352" t="s">
        <v>109</v>
      </c>
      <c r="S1352">
        <v>104.3215973904895</v>
      </c>
      <c r="T1352">
        <v>3.5169988276670581</v>
      </c>
      <c r="U1352" t="s">
        <v>184</v>
      </c>
      <c r="V1352">
        <v>3.5169988276670581</v>
      </c>
      <c r="W1352">
        <v>6</v>
      </c>
      <c r="X1352">
        <v>13</v>
      </c>
      <c r="Y1352">
        <v>10</v>
      </c>
      <c r="Z1352">
        <v>7.2863694504238907E-2</v>
      </c>
      <c r="AA1352">
        <v>31.536000000000001</v>
      </c>
    </row>
    <row r="1353" spans="1:27" x14ac:dyDescent="0.25">
      <c r="A1353" t="s">
        <v>98</v>
      </c>
      <c r="B1353" t="s">
        <v>519</v>
      </c>
      <c r="C1353" t="s">
        <v>1367</v>
      </c>
      <c r="D1353" t="s">
        <v>101</v>
      </c>
      <c r="E1353" t="s">
        <v>304</v>
      </c>
      <c r="F1353" t="s">
        <v>350</v>
      </c>
      <c r="G1353" t="s">
        <v>119</v>
      </c>
      <c r="H1353" t="s">
        <v>125</v>
      </c>
      <c r="I1353">
        <v>2016</v>
      </c>
      <c r="J1353" t="s">
        <v>361</v>
      </c>
      <c r="K1353" t="s">
        <v>127</v>
      </c>
      <c r="L1353" t="s">
        <v>1619</v>
      </c>
      <c r="M1353" t="s">
        <v>1645</v>
      </c>
      <c r="N1353">
        <v>1</v>
      </c>
      <c r="O1353">
        <v>2020</v>
      </c>
      <c r="P1353">
        <v>859.64814765948006</v>
      </c>
      <c r="Q1353">
        <v>7.4806159733468123</v>
      </c>
      <c r="R1353" t="s">
        <v>109</v>
      </c>
      <c r="S1353">
        <v>114.9167596254611</v>
      </c>
      <c r="T1353">
        <v>3.6049237983587341</v>
      </c>
      <c r="U1353" t="s">
        <v>184</v>
      </c>
      <c r="V1353">
        <v>3.6049237983587341</v>
      </c>
      <c r="W1353">
        <v>6</v>
      </c>
      <c r="X1353">
        <v>13</v>
      </c>
      <c r="Y1353">
        <v>10</v>
      </c>
      <c r="Z1353">
        <v>7.2863694504238907E-2</v>
      </c>
      <c r="AA1353">
        <v>31.536000000000001</v>
      </c>
    </row>
    <row r="1354" spans="1:27" x14ac:dyDescent="0.25">
      <c r="A1354" t="s">
        <v>98</v>
      </c>
      <c r="B1354" t="s">
        <v>519</v>
      </c>
      <c r="C1354" t="s">
        <v>1367</v>
      </c>
      <c r="D1354" t="s">
        <v>101</v>
      </c>
      <c r="E1354" t="s">
        <v>304</v>
      </c>
      <c r="F1354" t="s">
        <v>350</v>
      </c>
      <c r="G1354" t="s">
        <v>119</v>
      </c>
      <c r="H1354" t="s">
        <v>125</v>
      </c>
      <c r="I1354">
        <v>2022</v>
      </c>
      <c r="J1354" t="s">
        <v>363</v>
      </c>
      <c r="K1354" t="s">
        <v>127</v>
      </c>
      <c r="L1354" t="s">
        <v>1619</v>
      </c>
      <c r="M1354" t="s">
        <v>1646</v>
      </c>
      <c r="N1354">
        <v>1</v>
      </c>
      <c r="O1354">
        <v>2022</v>
      </c>
      <c r="P1354">
        <v>859.64814765948006</v>
      </c>
      <c r="Q1354">
        <v>7.4806159733468123</v>
      </c>
      <c r="R1354" t="s">
        <v>109</v>
      </c>
      <c r="S1354">
        <v>114.9167596254611</v>
      </c>
      <c r="T1354">
        <v>3.6635404454865181</v>
      </c>
      <c r="U1354" t="s">
        <v>184</v>
      </c>
      <c r="V1354">
        <v>3.6635404454865181</v>
      </c>
      <c r="W1354">
        <v>6</v>
      </c>
      <c r="X1354">
        <v>13</v>
      </c>
      <c r="Y1354">
        <v>10</v>
      </c>
      <c r="Z1354">
        <v>7.2863694504238907E-2</v>
      </c>
      <c r="AA1354">
        <v>31.536000000000001</v>
      </c>
    </row>
    <row r="1355" spans="1:27" x14ac:dyDescent="0.25">
      <c r="A1355" t="s">
        <v>98</v>
      </c>
      <c r="B1355" t="s">
        <v>519</v>
      </c>
      <c r="C1355" t="s">
        <v>1367</v>
      </c>
      <c r="D1355" t="s">
        <v>101</v>
      </c>
      <c r="E1355" t="s">
        <v>304</v>
      </c>
      <c r="F1355" t="s">
        <v>350</v>
      </c>
      <c r="G1355" t="s">
        <v>119</v>
      </c>
      <c r="H1355" t="s">
        <v>125</v>
      </c>
      <c r="I1355">
        <v>2030</v>
      </c>
      <c r="J1355" t="s">
        <v>365</v>
      </c>
      <c r="K1355" t="s">
        <v>127</v>
      </c>
      <c r="L1355" t="s">
        <v>1619</v>
      </c>
      <c r="M1355" t="s">
        <v>1647</v>
      </c>
      <c r="N1355">
        <v>1</v>
      </c>
      <c r="O1355">
        <v>2030</v>
      </c>
      <c r="P1355">
        <v>859.64814765948006</v>
      </c>
      <c r="Q1355">
        <v>7.4806159733468123</v>
      </c>
      <c r="R1355" t="s">
        <v>109</v>
      </c>
      <c r="S1355">
        <v>114.9167596254611</v>
      </c>
      <c r="T1355">
        <v>3.8100820633059791</v>
      </c>
      <c r="U1355" t="s">
        <v>184</v>
      </c>
      <c r="V1355">
        <v>3.8100820633059791</v>
      </c>
      <c r="W1355">
        <v>6</v>
      </c>
      <c r="X1355">
        <v>13</v>
      </c>
      <c r="Y1355">
        <v>10</v>
      </c>
      <c r="Z1355">
        <v>7.2863694504238907E-2</v>
      </c>
      <c r="AA1355">
        <v>31.536000000000001</v>
      </c>
    </row>
    <row r="1356" spans="1:27" x14ac:dyDescent="0.25">
      <c r="A1356" t="s">
        <v>98</v>
      </c>
      <c r="B1356" t="s">
        <v>519</v>
      </c>
      <c r="C1356" t="s">
        <v>1367</v>
      </c>
      <c r="D1356" t="s">
        <v>101</v>
      </c>
      <c r="E1356" t="s">
        <v>304</v>
      </c>
      <c r="F1356" t="s">
        <v>350</v>
      </c>
      <c r="G1356" t="s">
        <v>119</v>
      </c>
      <c r="H1356" t="s">
        <v>125</v>
      </c>
      <c r="I1356">
        <v>2040</v>
      </c>
      <c r="J1356" t="s">
        <v>367</v>
      </c>
      <c r="K1356" t="s">
        <v>127</v>
      </c>
      <c r="L1356" t="s">
        <v>1619</v>
      </c>
      <c r="M1356" t="s">
        <v>1648</v>
      </c>
      <c r="N1356">
        <v>1</v>
      </c>
      <c r="O1356">
        <v>2040</v>
      </c>
      <c r="P1356">
        <v>859.64814765948006</v>
      </c>
      <c r="Q1356">
        <v>7.4806159733468123</v>
      </c>
      <c r="R1356" t="s">
        <v>109</v>
      </c>
      <c r="S1356">
        <v>114.9167596254611</v>
      </c>
      <c r="T1356">
        <v>3.9566236811254401</v>
      </c>
      <c r="U1356" t="s">
        <v>184</v>
      </c>
      <c r="V1356">
        <v>3.9566236811254401</v>
      </c>
      <c r="W1356">
        <v>6</v>
      </c>
      <c r="X1356">
        <v>13</v>
      </c>
      <c r="Y1356">
        <v>10</v>
      </c>
      <c r="Z1356">
        <v>7.2863694504238907E-2</v>
      </c>
      <c r="AA1356">
        <v>31.536000000000001</v>
      </c>
    </row>
    <row r="1357" spans="1:27" x14ac:dyDescent="0.25">
      <c r="A1357" t="s">
        <v>98</v>
      </c>
      <c r="B1357" t="s">
        <v>519</v>
      </c>
      <c r="C1357" t="s">
        <v>1367</v>
      </c>
      <c r="D1357" t="s">
        <v>101</v>
      </c>
      <c r="E1357" t="s">
        <v>304</v>
      </c>
      <c r="F1357" t="s">
        <v>369</v>
      </c>
      <c r="G1357" t="s">
        <v>103</v>
      </c>
      <c r="H1357" t="s">
        <v>125</v>
      </c>
      <c r="I1357">
        <v>2016</v>
      </c>
      <c r="J1357" t="s">
        <v>370</v>
      </c>
      <c r="K1357" t="s">
        <v>127</v>
      </c>
      <c r="L1357" t="s">
        <v>1619</v>
      </c>
      <c r="M1357" t="s">
        <v>1649</v>
      </c>
      <c r="N1357">
        <v>1</v>
      </c>
      <c r="O1357">
        <v>2020</v>
      </c>
      <c r="P1357">
        <v>4328.724715164758</v>
      </c>
      <c r="Q1357">
        <v>7.4806159733468123</v>
      </c>
      <c r="R1357" t="s">
        <v>109</v>
      </c>
      <c r="S1357">
        <v>578.65886052537132</v>
      </c>
      <c r="T1357">
        <v>3.8100820633059791</v>
      </c>
      <c r="U1357" t="s">
        <v>184</v>
      </c>
      <c r="V1357">
        <v>3.8100820633059791</v>
      </c>
      <c r="W1357">
        <v>11</v>
      </c>
      <c r="X1357">
        <v>25</v>
      </c>
      <c r="Y1357">
        <v>19</v>
      </c>
      <c r="Z1357">
        <v>7.2863694504238907E-2</v>
      </c>
      <c r="AA1357">
        <v>31.536000000000001</v>
      </c>
    </row>
    <row r="1358" spans="1:27" x14ac:dyDescent="0.25">
      <c r="A1358" t="s">
        <v>98</v>
      </c>
      <c r="B1358" t="s">
        <v>519</v>
      </c>
      <c r="C1358" t="s">
        <v>1367</v>
      </c>
      <c r="D1358" t="s">
        <v>101</v>
      </c>
      <c r="E1358" t="s">
        <v>304</v>
      </c>
      <c r="F1358" t="s">
        <v>369</v>
      </c>
      <c r="G1358" t="s">
        <v>103</v>
      </c>
      <c r="H1358" t="s">
        <v>125</v>
      </c>
      <c r="I1358">
        <v>2023</v>
      </c>
      <c r="J1358" t="s">
        <v>372</v>
      </c>
      <c r="K1358" t="s">
        <v>127</v>
      </c>
      <c r="L1358" t="s">
        <v>1619</v>
      </c>
      <c r="M1358" t="s">
        <v>1650</v>
      </c>
      <c r="N1358">
        <v>1</v>
      </c>
      <c r="O1358">
        <v>2023</v>
      </c>
      <c r="P1358">
        <v>4328.724715164758</v>
      </c>
      <c r="Q1358">
        <v>7.4806159733468123</v>
      </c>
      <c r="R1358" t="s">
        <v>109</v>
      </c>
      <c r="S1358">
        <v>578.65886052537132</v>
      </c>
      <c r="T1358">
        <v>3.8100820633059791</v>
      </c>
      <c r="U1358" t="s">
        <v>184</v>
      </c>
      <c r="V1358">
        <v>3.8100820633059791</v>
      </c>
      <c r="W1358">
        <v>11</v>
      </c>
      <c r="X1358">
        <v>25</v>
      </c>
      <c r="Y1358">
        <v>19</v>
      </c>
      <c r="Z1358">
        <v>7.2863694504238907E-2</v>
      </c>
      <c r="AA1358">
        <v>31.536000000000001</v>
      </c>
    </row>
    <row r="1359" spans="1:27" x14ac:dyDescent="0.25">
      <c r="A1359" t="s">
        <v>98</v>
      </c>
      <c r="B1359" t="s">
        <v>519</v>
      </c>
      <c r="C1359" t="s">
        <v>1367</v>
      </c>
      <c r="D1359" t="s">
        <v>101</v>
      </c>
      <c r="E1359" t="s">
        <v>304</v>
      </c>
      <c r="F1359" t="s">
        <v>369</v>
      </c>
      <c r="G1359" t="s">
        <v>111</v>
      </c>
      <c r="H1359" t="s">
        <v>125</v>
      </c>
      <c r="I1359">
        <v>2016</v>
      </c>
      <c r="J1359" t="s">
        <v>374</v>
      </c>
      <c r="K1359" t="s">
        <v>127</v>
      </c>
      <c r="L1359" t="s">
        <v>1619</v>
      </c>
      <c r="M1359" t="s">
        <v>1651</v>
      </c>
      <c r="N1359">
        <v>1</v>
      </c>
      <c r="O1359">
        <v>2020</v>
      </c>
      <c r="P1359">
        <v>4450.6606226341873</v>
      </c>
      <c r="Q1359">
        <v>7.4806159733468123</v>
      </c>
      <c r="R1359" t="s">
        <v>109</v>
      </c>
      <c r="S1359">
        <v>594.9591101176353</v>
      </c>
      <c r="T1359">
        <v>4.0738569753810081</v>
      </c>
      <c r="U1359" t="s">
        <v>184</v>
      </c>
      <c r="V1359">
        <v>4.0738569753810081</v>
      </c>
      <c r="W1359">
        <v>11</v>
      </c>
      <c r="X1359">
        <v>25</v>
      </c>
      <c r="Y1359">
        <v>19</v>
      </c>
      <c r="Z1359">
        <v>7.2863694504238907E-2</v>
      </c>
      <c r="AA1359">
        <v>31.536000000000001</v>
      </c>
    </row>
    <row r="1360" spans="1:27" x14ac:dyDescent="0.25">
      <c r="A1360" t="s">
        <v>98</v>
      </c>
      <c r="B1360" t="s">
        <v>519</v>
      </c>
      <c r="C1360" t="s">
        <v>1367</v>
      </c>
      <c r="D1360" t="s">
        <v>101</v>
      </c>
      <c r="E1360" t="s">
        <v>304</v>
      </c>
      <c r="F1360" t="s">
        <v>369</v>
      </c>
      <c r="G1360" t="s">
        <v>111</v>
      </c>
      <c r="H1360" t="s">
        <v>125</v>
      </c>
      <c r="I1360">
        <v>2023</v>
      </c>
      <c r="J1360" t="s">
        <v>376</v>
      </c>
      <c r="K1360" t="s">
        <v>127</v>
      </c>
      <c r="L1360" t="s">
        <v>1619</v>
      </c>
      <c r="M1360" t="s">
        <v>1652</v>
      </c>
      <c r="N1360">
        <v>1</v>
      </c>
      <c r="O1360">
        <v>2023</v>
      </c>
      <c r="P1360">
        <v>4511.628576368902</v>
      </c>
      <c r="Q1360">
        <v>7.4806159733468123</v>
      </c>
      <c r="R1360" t="s">
        <v>109</v>
      </c>
      <c r="S1360">
        <v>603.10923491376718</v>
      </c>
      <c r="T1360">
        <v>4.2203985932004704</v>
      </c>
      <c r="U1360" t="s">
        <v>184</v>
      </c>
      <c r="V1360">
        <v>4.2203985932004704</v>
      </c>
      <c r="W1360">
        <v>11</v>
      </c>
      <c r="X1360">
        <v>25</v>
      </c>
      <c r="Y1360">
        <v>19</v>
      </c>
      <c r="Z1360">
        <v>7.2863694504238907E-2</v>
      </c>
      <c r="AA1360">
        <v>31.536000000000001</v>
      </c>
    </row>
    <row r="1361" spans="1:27" x14ac:dyDescent="0.25">
      <c r="A1361" t="s">
        <v>98</v>
      </c>
      <c r="B1361" t="s">
        <v>519</v>
      </c>
      <c r="C1361" t="s">
        <v>1367</v>
      </c>
      <c r="D1361" t="s">
        <v>101</v>
      </c>
      <c r="E1361" t="s">
        <v>304</v>
      </c>
      <c r="F1361" t="s">
        <v>369</v>
      </c>
      <c r="G1361" t="s">
        <v>114</v>
      </c>
      <c r="H1361" t="s">
        <v>125</v>
      </c>
      <c r="I1361">
        <v>2016</v>
      </c>
      <c r="J1361" t="s">
        <v>378</v>
      </c>
      <c r="K1361" t="s">
        <v>127</v>
      </c>
      <c r="L1361" t="s">
        <v>1619</v>
      </c>
      <c r="M1361" t="s">
        <v>1653</v>
      </c>
      <c r="N1361">
        <v>1</v>
      </c>
      <c r="O1361">
        <v>2020</v>
      </c>
      <c r="P1361">
        <v>4877.436298777192</v>
      </c>
      <c r="Q1361">
        <v>7.4806159733468123</v>
      </c>
      <c r="R1361" t="s">
        <v>109</v>
      </c>
      <c r="S1361">
        <v>652.00998369055924</v>
      </c>
      <c r="T1361">
        <v>4.3962485345838216</v>
      </c>
      <c r="U1361" t="s">
        <v>184</v>
      </c>
      <c r="V1361">
        <v>4.3962485345838216</v>
      </c>
      <c r="W1361">
        <v>11</v>
      </c>
      <c r="X1361">
        <v>25</v>
      </c>
      <c r="Y1361">
        <v>19</v>
      </c>
      <c r="Z1361">
        <v>7.2863694504238907E-2</v>
      </c>
      <c r="AA1361">
        <v>31.536000000000001</v>
      </c>
    </row>
    <row r="1362" spans="1:27" x14ac:dyDescent="0.25">
      <c r="A1362" t="s">
        <v>98</v>
      </c>
      <c r="B1362" t="s">
        <v>519</v>
      </c>
      <c r="C1362" t="s">
        <v>1367</v>
      </c>
      <c r="D1362" t="s">
        <v>101</v>
      </c>
      <c r="E1362" t="s">
        <v>304</v>
      </c>
      <c r="F1362" t="s">
        <v>369</v>
      </c>
      <c r="G1362" t="s">
        <v>114</v>
      </c>
      <c r="H1362" t="s">
        <v>125</v>
      </c>
      <c r="I1362">
        <v>2023</v>
      </c>
      <c r="J1362" t="s">
        <v>380</v>
      </c>
      <c r="K1362" t="s">
        <v>127</v>
      </c>
      <c r="L1362" t="s">
        <v>1619</v>
      </c>
      <c r="M1362" t="s">
        <v>1654</v>
      </c>
      <c r="N1362">
        <v>1</v>
      </c>
      <c r="O1362">
        <v>2023</v>
      </c>
      <c r="P1362">
        <v>5202.5987186956727</v>
      </c>
      <c r="Q1362">
        <v>7.4806159733468123</v>
      </c>
      <c r="R1362" t="s">
        <v>109</v>
      </c>
      <c r="S1362">
        <v>695.47731593659671</v>
      </c>
      <c r="T1362">
        <v>4.6893317702227444</v>
      </c>
      <c r="U1362" t="s">
        <v>184</v>
      </c>
      <c r="V1362">
        <v>4.6893317702227444</v>
      </c>
      <c r="W1362">
        <v>11</v>
      </c>
      <c r="X1362">
        <v>25</v>
      </c>
      <c r="Y1362">
        <v>19</v>
      </c>
      <c r="Z1362">
        <v>7.2863694504238907E-2</v>
      </c>
      <c r="AA1362">
        <v>31.536000000000001</v>
      </c>
    </row>
    <row r="1363" spans="1:27" x14ac:dyDescent="0.25">
      <c r="A1363" t="s">
        <v>98</v>
      </c>
      <c r="B1363" t="s">
        <v>519</v>
      </c>
      <c r="C1363" t="s">
        <v>1367</v>
      </c>
      <c r="D1363" t="s">
        <v>101</v>
      </c>
      <c r="E1363" t="s">
        <v>304</v>
      </c>
      <c r="F1363" t="s">
        <v>369</v>
      </c>
      <c r="G1363" t="s">
        <v>119</v>
      </c>
      <c r="H1363" t="s">
        <v>125</v>
      </c>
      <c r="I1363">
        <v>2016</v>
      </c>
      <c r="J1363" t="s">
        <v>382</v>
      </c>
      <c r="K1363" t="s">
        <v>127</v>
      </c>
      <c r="L1363" t="s">
        <v>1619</v>
      </c>
      <c r="M1363" t="s">
        <v>1655</v>
      </c>
      <c r="N1363">
        <v>1</v>
      </c>
      <c r="O1363">
        <v>2020</v>
      </c>
      <c r="P1363">
        <v>5670.0196973284856</v>
      </c>
      <c r="Q1363">
        <v>7.4806159733468123</v>
      </c>
      <c r="R1363" t="s">
        <v>109</v>
      </c>
      <c r="S1363">
        <v>757.96160604027511</v>
      </c>
      <c r="T1363">
        <v>4.835873388042204</v>
      </c>
      <c r="U1363" t="s">
        <v>184</v>
      </c>
      <c r="V1363">
        <v>4.835873388042204</v>
      </c>
      <c r="W1363">
        <v>11</v>
      </c>
      <c r="X1363">
        <v>25</v>
      </c>
      <c r="Y1363">
        <v>19</v>
      </c>
      <c r="Z1363">
        <v>7.2863694504238907E-2</v>
      </c>
      <c r="AA1363">
        <v>31.536000000000001</v>
      </c>
    </row>
    <row r="1364" spans="1:27" x14ac:dyDescent="0.25">
      <c r="A1364" t="s">
        <v>98</v>
      </c>
      <c r="B1364" t="s">
        <v>519</v>
      </c>
      <c r="C1364" t="s">
        <v>1367</v>
      </c>
      <c r="D1364" t="s">
        <v>101</v>
      </c>
      <c r="E1364" t="s">
        <v>304</v>
      </c>
      <c r="F1364" t="s">
        <v>369</v>
      </c>
      <c r="G1364" t="s">
        <v>119</v>
      </c>
      <c r="H1364" t="s">
        <v>125</v>
      </c>
      <c r="I1364">
        <v>2022</v>
      </c>
      <c r="J1364" t="s">
        <v>384</v>
      </c>
      <c r="K1364" t="s">
        <v>127</v>
      </c>
      <c r="L1364" t="s">
        <v>1619</v>
      </c>
      <c r="M1364" t="s">
        <v>1656</v>
      </c>
      <c r="N1364">
        <v>1</v>
      </c>
      <c r="O1364">
        <v>2022</v>
      </c>
      <c r="P1364">
        <v>5670.0196973284856</v>
      </c>
      <c r="Q1364">
        <v>7.4806159733468123</v>
      </c>
      <c r="R1364" t="s">
        <v>109</v>
      </c>
      <c r="S1364">
        <v>757.96160604027511</v>
      </c>
      <c r="T1364">
        <v>4.835873388042204</v>
      </c>
      <c r="U1364" t="s">
        <v>184</v>
      </c>
      <c r="V1364">
        <v>4.835873388042204</v>
      </c>
      <c r="W1364">
        <v>11</v>
      </c>
      <c r="X1364">
        <v>25</v>
      </c>
      <c r="Y1364">
        <v>19</v>
      </c>
      <c r="Z1364">
        <v>7.2863694504238907E-2</v>
      </c>
      <c r="AA1364">
        <v>31.536000000000001</v>
      </c>
    </row>
    <row r="1365" spans="1:27" x14ac:dyDescent="0.25">
      <c r="A1365" t="s">
        <v>98</v>
      </c>
      <c r="B1365" t="s">
        <v>519</v>
      </c>
      <c r="C1365" t="s">
        <v>1367</v>
      </c>
      <c r="D1365" t="s">
        <v>101</v>
      </c>
      <c r="E1365" t="s">
        <v>386</v>
      </c>
      <c r="G1365" t="s">
        <v>387</v>
      </c>
      <c r="H1365" t="s">
        <v>125</v>
      </c>
      <c r="I1365">
        <v>2016</v>
      </c>
      <c r="J1365" t="s">
        <v>388</v>
      </c>
      <c r="K1365" t="s">
        <v>127</v>
      </c>
      <c r="L1365" t="s">
        <v>1657</v>
      </c>
      <c r="M1365" t="s">
        <v>1658</v>
      </c>
      <c r="N1365">
        <v>1</v>
      </c>
      <c r="O1365">
        <v>2020</v>
      </c>
      <c r="P1365">
        <v>853.55135228600852</v>
      </c>
      <c r="Q1365">
        <v>5.1893066468841136</v>
      </c>
      <c r="R1365" t="s">
        <v>391</v>
      </c>
      <c r="S1365">
        <v>164.4827354341293</v>
      </c>
      <c r="T1365">
        <v>404.78399999999999</v>
      </c>
      <c r="U1365" t="s">
        <v>392</v>
      </c>
      <c r="V1365">
        <v>1.1306815642458099</v>
      </c>
      <c r="W1365">
        <v>11.625999787885601</v>
      </c>
      <c r="X1365">
        <v>21.895260974855479</v>
      </c>
      <c r="Y1365">
        <v>17</v>
      </c>
      <c r="Z1365">
        <v>0.65</v>
      </c>
      <c r="AA1365">
        <v>1</v>
      </c>
    </row>
    <row r="1366" spans="1:27" x14ac:dyDescent="0.25">
      <c r="A1366" t="s">
        <v>98</v>
      </c>
      <c r="B1366" t="s">
        <v>519</v>
      </c>
      <c r="C1366" t="s">
        <v>1367</v>
      </c>
      <c r="D1366" t="s">
        <v>101</v>
      </c>
      <c r="E1366" t="s">
        <v>386</v>
      </c>
      <c r="G1366" t="s">
        <v>393</v>
      </c>
      <c r="H1366" t="s">
        <v>125</v>
      </c>
      <c r="I1366">
        <v>2016</v>
      </c>
      <c r="J1366" t="s">
        <v>394</v>
      </c>
      <c r="K1366" t="s">
        <v>127</v>
      </c>
      <c r="L1366" t="s">
        <v>1657</v>
      </c>
      <c r="M1366" t="s">
        <v>1659</v>
      </c>
      <c r="N1366">
        <v>1</v>
      </c>
      <c r="O1366">
        <v>2020</v>
      </c>
      <c r="P1366">
        <v>914.51930602072343</v>
      </c>
      <c r="Q1366">
        <v>5.1893066468841136</v>
      </c>
      <c r="R1366" t="s">
        <v>391</v>
      </c>
      <c r="S1366">
        <v>176.23150225085291</v>
      </c>
      <c r="T1366">
        <v>389</v>
      </c>
      <c r="U1366" t="s">
        <v>392</v>
      </c>
      <c r="V1366">
        <v>1.08659217877095</v>
      </c>
      <c r="W1366">
        <v>11.625999787885601</v>
      </c>
      <c r="X1366">
        <v>21.895260974855479</v>
      </c>
      <c r="Y1366">
        <v>17</v>
      </c>
      <c r="Z1366">
        <v>0.65</v>
      </c>
      <c r="AA1366">
        <v>1</v>
      </c>
    </row>
    <row r="1367" spans="1:27" x14ac:dyDescent="0.25">
      <c r="A1367" t="s">
        <v>98</v>
      </c>
      <c r="B1367" t="s">
        <v>519</v>
      </c>
      <c r="C1367" t="s">
        <v>1367</v>
      </c>
      <c r="D1367" t="s">
        <v>101</v>
      </c>
      <c r="E1367" t="s">
        <v>386</v>
      </c>
      <c r="G1367" t="s">
        <v>396</v>
      </c>
      <c r="H1367" t="s">
        <v>125</v>
      </c>
      <c r="I1367">
        <v>2016</v>
      </c>
      <c r="J1367" t="s">
        <v>397</v>
      </c>
      <c r="K1367" t="s">
        <v>127</v>
      </c>
      <c r="L1367" t="s">
        <v>1657</v>
      </c>
      <c r="M1367" t="s">
        <v>1660</v>
      </c>
      <c r="N1367">
        <v>1</v>
      </c>
      <c r="O1367">
        <v>2020</v>
      </c>
      <c r="P1367">
        <v>1036.455213490153</v>
      </c>
      <c r="Q1367">
        <v>5.1893066468841136</v>
      </c>
      <c r="R1367" t="s">
        <v>391</v>
      </c>
      <c r="S1367">
        <v>199.72903588429989</v>
      </c>
      <c r="T1367">
        <v>364.30560000000003</v>
      </c>
      <c r="U1367" t="s">
        <v>392</v>
      </c>
      <c r="V1367">
        <v>1.0176134078212291</v>
      </c>
      <c r="W1367">
        <v>11.625999787885601</v>
      </c>
      <c r="X1367">
        <v>21.895260974855479</v>
      </c>
      <c r="Y1367">
        <v>17</v>
      </c>
      <c r="Z1367">
        <v>0.65</v>
      </c>
      <c r="AA1367">
        <v>1</v>
      </c>
    </row>
    <row r="1368" spans="1:27" x14ac:dyDescent="0.25">
      <c r="A1368" t="s">
        <v>98</v>
      </c>
      <c r="B1368" t="s">
        <v>519</v>
      </c>
      <c r="C1368" t="s">
        <v>1367</v>
      </c>
      <c r="D1368" t="s">
        <v>101</v>
      </c>
      <c r="E1368" t="s">
        <v>386</v>
      </c>
      <c r="G1368" t="s">
        <v>399</v>
      </c>
      <c r="H1368" t="s">
        <v>125</v>
      </c>
      <c r="I1368">
        <v>2016</v>
      </c>
      <c r="J1368" t="s">
        <v>400</v>
      </c>
      <c r="K1368" t="s">
        <v>127</v>
      </c>
      <c r="L1368" t="s">
        <v>1657</v>
      </c>
      <c r="M1368" t="s">
        <v>1661</v>
      </c>
      <c r="N1368">
        <v>1</v>
      </c>
      <c r="O1368">
        <v>2020</v>
      </c>
      <c r="P1368">
        <v>1073.035985730982</v>
      </c>
      <c r="Q1368">
        <v>5.1893066468841136</v>
      </c>
      <c r="R1368" t="s">
        <v>391</v>
      </c>
      <c r="S1368">
        <v>206.77829597433399</v>
      </c>
      <c r="T1368">
        <v>358</v>
      </c>
      <c r="U1368" t="s">
        <v>392</v>
      </c>
      <c r="V1368">
        <v>1</v>
      </c>
      <c r="W1368">
        <v>11.625999787885601</v>
      </c>
      <c r="X1368">
        <v>21.895260974855479</v>
      </c>
      <c r="Y1368">
        <v>17</v>
      </c>
      <c r="Z1368">
        <v>0.65</v>
      </c>
      <c r="AA1368">
        <v>1</v>
      </c>
    </row>
    <row r="1369" spans="1:27" x14ac:dyDescent="0.25">
      <c r="A1369" t="s">
        <v>98</v>
      </c>
      <c r="B1369" t="s">
        <v>519</v>
      </c>
      <c r="C1369" t="s">
        <v>1367</v>
      </c>
      <c r="D1369" t="s">
        <v>101</v>
      </c>
      <c r="E1369" t="s">
        <v>386</v>
      </c>
      <c r="G1369" t="s">
        <v>402</v>
      </c>
      <c r="H1369" t="s">
        <v>125</v>
      </c>
      <c r="I1369">
        <v>2016</v>
      </c>
      <c r="J1369" t="s">
        <v>403</v>
      </c>
      <c r="K1369" t="s">
        <v>127</v>
      </c>
      <c r="L1369" t="s">
        <v>1657</v>
      </c>
      <c r="M1369" t="s">
        <v>1662</v>
      </c>
      <c r="N1369">
        <v>1</v>
      </c>
      <c r="O1369">
        <v>2020</v>
      </c>
      <c r="P1369">
        <v>1597.3603878495301</v>
      </c>
      <c r="Q1369">
        <v>5.1893066468841136</v>
      </c>
      <c r="R1369" t="s">
        <v>391</v>
      </c>
      <c r="S1369">
        <v>307.81769059815628</v>
      </c>
      <c r="T1369">
        <v>705.226</v>
      </c>
      <c r="U1369" t="s">
        <v>392</v>
      </c>
      <c r="V1369">
        <v>1.9699050279329611</v>
      </c>
      <c r="W1369">
        <v>11.625999787885601</v>
      </c>
      <c r="X1369">
        <v>21.895260974855479</v>
      </c>
      <c r="Y1369">
        <v>17</v>
      </c>
      <c r="Z1369">
        <v>0.65</v>
      </c>
      <c r="AA1369">
        <v>1</v>
      </c>
    </row>
    <row r="1370" spans="1:27" x14ac:dyDescent="0.25">
      <c r="A1370" t="s">
        <v>98</v>
      </c>
      <c r="B1370" t="s">
        <v>519</v>
      </c>
      <c r="C1370" t="s">
        <v>1367</v>
      </c>
      <c r="D1370" t="s">
        <v>101</v>
      </c>
      <c r="E1370" t="s">
        <v>386</v>
      </c>
      <c r="G1370" t="s">
        <v>405</v>
      </c>
      <c r="H1370" t="s">
        <v>125</v>
      </c>
      <c r="I1370">
        <v>2016</v>
      </c>
      <c r="J1370" t="s">
        <v>406</v>
      </c>
      <c r="K1370" t="s">
        <v>127</v>
      </c>
      <c r="L1370" t="s">
        <v>1657</v>
      </c>
      <c r="M1370" t="s">
        <v>1663</v>
      </c>
      <c r="N1370">
        <v>1</v>
      </c>
      <c r="O1370">
        <v>2020</v>
      </c>
      <c r="P1370">
        <v>1731.489886065903</v>
      </c>
      <c r="Q1370">
        <v>5.1893066468841136</v>
      </c>
      <c r="R1370" t="s">
        <v>391</v>
      </c>
      <c r="S1370">
        <v>333.66497759494803</v>
      </c>
      <c r="T1370">
        <v>671</v>
      </c>
      <c r="U1370" t="s">
        <v>392</v>
      </c>
      <c r="V1370">
        <v>1.8743016759776541</v>
      </c>
      <c r="W1370">
        <v>11.625999787885601</v>
      </c>
      <c r="X1370">
        <v>21.895260974855479</v>
      </c>
      <c r="Y1370">
        <v>17</v>
      </c>
      <c r="Z1370">
        <v>0.65</v>
      </c>
      <c r="AA1370">
        <v>1</v>
      </c>
    </row>
    <row r="1371" spans="1:27" x14ac:dyDescent="0.25">
      <c r="A1371" t="s">
        <v>98</v>
      </c>
      <c r="B1371" t="s">
        <v>519</v>
      </c>
      <c r="C1371" t="s">
        <v>1367</v>
      </c>
      <c r="D1371" t="s">
        <v>101</v>
      </c>
      <c r="E1371" t="s">
        <v>386</v>
      </c>
      <c r="G1371" t="s">
        <v>408</v>
      </c>
      <c r="H1371" t="s">
        <v>125</v>
      </c>
      <c r="I1371">
        <v>2016</v>
      </c>
      <c r="J1371" t="s">
        <v>409</v>
      </c>
      <c r="K1371" t="s">
        <v>127</v>
      </c>
      <c r="L1371" t="s">
        <v>1657</v>
      </c>
      <c r="M1371" t="s">
        <v>1664</v>
      </c>
      <c r="N1371">
        <v>1</v>
      </c>
      <c r="O1371">
        <v>2020</v>
      </c>
      <c r="P1371">
        <v>1890.006565776162</v>
      </c>
      <c r="Q1371">
        <v>5.1893066468841136</v>
      </c>
      <c r="R1371" t="s">
        <v>391</v>
      </c>
      <c r="S1371">
        <v>364.21177131842921</v>
      </c>
      <c r="T1371">
        <v>634.70339999999999</v>
      </c>
      <c r="U1371" t="s">
        <v>392</v>
      </c>
      <c r="V1371">
        <v>1.772914525139665</v>
      </c>
      <c r="W1371">
        <v>11.625999787885601</v>
      </c>
      <c r="X1371">
        <v>21.895260974855479</v>
      </c>
      <c r="Y1371">
        <v>17</v>
      </c>
      <c r="Z1371">
        <v>0.65</v>
      </c>
      <c r="AA1371">
        <v>1</v>
      </c>
    </row>
    <row r="1372" spans="1:27" x14ac:dyDescent="0.25">
      <c r="A1372" t="s">
        <v>98</v>
      </c>
      <c r="B1372" t="s">
        <v>519</v>
      </c>
      <c r="C1372" t="s">
        <v>1367</v>
      </c>
      <c r="D1372" t="s">
        <v>101</v>
      </c>
      <c r="E1372" t="s">
        <v>386</v>
      </c>
      <c r="G1372" t="s">
        <v>411</v>
      </c>
      <c r="H1372" t="s">
        <v>125</v>
      </c>
      <c r="I1372">
        <v>2016</v>
      </c>
      <c r="J1372" t="s">
        <v>412</v>
      </c>
      <c r="K1372" t="s">
        <v>127</v>
      </c>
      <c r="L1372" t="s">
        <v>1657</v>
      </c>
      <c r="M1372" t="s">
        <v>1665</v>
      </c>
      <c r="N1372">
        <v>1</v>
      </c>
      <c r="O1372">
        <v>2020</v>
      </c>
      <c r="P1372">
        <v>2414.3309678947098</v>
      </c>
      <c r="Q1372">
        <v>5.1893066468841136</v>
      </c>
      <c r="R1372" t="s">
        <v>391</v>
      </c>
      <c r="S1372">
        <v>465.25116594225148</v>
      </c>
      <c r="T1372">
        <v>509</v>
      </c>
      <c r="U1372" t="s">
        <v>392</v>
      </c>
      <c r="V1372">
        <v>1.4217877094972069</v>
      </c>
      <c r="W1372">
        <v>11.625999787885601</v>
      </c>
      <c r="X1372">
        <v>21.895260974855479</v>
      </c>
      <c r="Y1372">
        <v>17</v>
      </c>
      <c r="Z1372">
        <v>0.65</v>
      </c>
      <c r="AA1372">
        <v>1</v>
      </c>
    </row>
    <row r="1373" spans="1:27" x14ac:dyDescent="0.25">
      <c r="A1373" t="s">
        <v>98</v>
      </c>
      <c r="B1373" t="s">
        <v>519</v>
      </c>
      <c r="C1373" t="s">
        <v>1367</v>
      </c>
      <c r="D1373" t="s">
        <v>101</v>
      </c>
      <c r="E1373" t="s">
        <v>386</v>
      </c>
      <c r="G1373" t="s">
        <v>414</v>
      </c>
      <c r="H1373" t="s">
        <v>125</v>
      </c>
      <c r="I1373">
        <v>2016</v>
      </c>
      <c r="J1373" t="s">
        <v>415</v>
      </c>
      <c r="K1373" t="s">
        <v>127</v>
      </c>
      <c r="L1373" t="s">
        <v>1657</v>
      </c>
      <c r="M1373" t="s">
        <v>1666</v>
      </c>
      <c r="N1373">
        <v>1</v>
      </c>
      <c r="O1373">
        <v>2020</v>
      </c>
      <c r="P1373">
        <v>1255.939846935127</v>
      </c>
      <c r="Q1373">
        <v>5.1893066468841136</v>
      </c>
      <c r="R1373" t="s">
        <v>391</v>
      </c>
      <c r="S1373">
        <v>242.02459642450461</v>
      </c>
      <c r="T1373">
        <v>520.54999999999995</v>
      </c>
      <c r="U1373" t="s">
        <v>392</v>
      </c>
      <c r="V1373">
        <v>1.4540502793296091</v>
      </c>
      <c r="W1373">
        <v>11.625999787885601</v>
      </c>
      <c r="X1373">
        <v>21.895260974855479</v>
      </c>
      <c r="Y1373">
        <v>17</v>
      </c>
      <c r="Z1373">
        <v>0.65</v>
      </c>
      <c r="AA1373">
        <v>1</v>
      </c>
    </row>
    <row r="1374" spans="1:27" x14ac:dyDescent="0.25">
      <c r="A1374" t="s">
        <v>98</v>
      </c>
      <c r="B1374" t="s">
        <v>519</v>
      </c>
      <c r="C1374" t="s">
        <v>1367</v>
      </c>
      <c r="D1374" t="s">
        <v>101</v>
      </c>
      <c r="E1374" t="s">
        <v>386</v>
      </c>
      <c r="G1374" t="s">
        <v>417</v>
      </c>
      <c r="H1374" t="s">
        <v>125</v>
      </c>
      <c r="I1374">
        <v>2016</v>
      </c>
      <c r="J1374" t="s">
        <v>418</v>
      </c>
      <c r="K1374" t="s">
        <v>127</v>
      </c>
      <c r="L1374" t="s">
        <v>1657</v>
      </c>
      <c r="M1374" t="s">
        <v>1667</v>
      </c>
      <c r="N1374">
        <v>1</v>
      </c>
      <c r="O1374">
        <v>2020</v>
      </c>
      <c r="P1374">
        <v>1365.682163657614</v>
      </c>
      <c r="Q1374">
        <v>5.1893066468841136</v>
      </c>
      <c r="R1374" t="s">
        <v>391</v>
      </c>
      <c r="S1374">
        <v>263.1723766946069</v>
      </c>
      <c r="T1374">
        <v>480</v>
      </c>
      <c r="U1374" t="s">
        <v>392</v>
      </c>
      <c r="V1374">
        <v>1.3407821229050281</v>
      </c>
      <c r="W1374">
        <v>11.625999787885601</v>
      </c>
      <c r="X1374">
        <v>21.895260974855479</v>
      </c>
      <c r="Y1374">
        <v>17</v>
      </c>
      <c r="Z1374">
        <v>0.65</v>
      </c>
      <c r="AA1374">
        <v>1</v>
      </c>
    </row>
    <row r="1375" spans="1:27" x14ac:dyDescent="0.25">
      <c r="A1375" t="s">
        <v>98</v>
      </c>
      <c r="B1375" t="s">
        <v>519</v>
      </c>
      <c r="C1375" t="s">
        <v>1367</v>
      </c>
      <c r="D1375" t="s">
        <v>101</v>
      </c>
      <c r="E1375" t="s">
        <v>386</v>
      </c>
      <c r="G1375" t="s">
        <v>420</v>
      </c>
      <c r="H1375" t="s">
        <v>125</v>
      </c>
      <c r="I1375">
        <v>2016</v>
      </c>
      <c r="J1375" t="s">
        <v>421</v>
      </c>
      <c r="K1375" t="s">
        <v>127</v>
      </c>
      <c r="L1375" t="s">
        <v>1657</v>
      </c>
      <c r="M1375" t="s">
        <v>1668</v>
      </c>
      <c r="N1375">
        <v>1</v>
      </c>
      <c r="O1375">
        <v>2020</v>
      </c>
      <c r="P1375">
        <v>1414.456526645386</v>
      </c>
      <c r="Q1375">
        <v>5.1893066468841136</v>
      </c>
      <c r="R1375" t="s">
        <v>391</v>
      </c>
      <c r="S1375">
        <v>272.57139014798571</v>
      </c>
      <c r="T1375">
        <v>469</v>
      </c>
      <c r="U1375" t="s">
        <v>392</v>
      </c>
      <c r="V1375">
        <v>1.310055865921788</v>
      </c>
      <c r="W1375">
        <v>11.625999787885601</v>
      </c>
      <c r="X1375">
        <v>21.895260974855479</v>
      </c>
      <c r="Y1375">
        <v>17</v>
      </c>
      <c r="Z1375">
        <v>0.65</v>
      </c>
      <c r="AA1375">
        <v>1</v>
      </c>
    </row>
    <row r="1376" spans="1:27" x14ac:dyDescent="0.25">
      <c r="A1376" t="s">
        <v>98</v>
      </c>
      <c r="B1376" t="s">
        <v>519</v>
      </c>
      <c r="C1376" t="s">
        <v>1367</v>
      </c>
      <c r="D1376" t="s">
        <v>101</v>
      </c>
      <c r="E1376" t="s">
        <v>386</v>
      </c>
      <c r="G1376" t="s">
        <v>423</v>
      </c>
      <c r="H1376" t="s">
        <v>125</v>
      </c>
      <c r="I1376">
        <v>2016</v>
      </c>
      <c r="J1376" t="s">
        <v>424</v>
      </c>
      <c r="K1376" t="s">
        <v>127</v>
      </c>
      <c r="L1376" t="s">
        <v>1657</v>
      </c>
      <c r="M1376" t="s">
        <v>1669</v>
      </c>
      <c r="N1376">
        <v>1</v>
      </c>
      <c r="O1376">
        <v>2020</v>
      </c>
      <c r="P1376">
        <v>1414.456526645386</v>
      </c>
      <c r="Q1376">
        <v>5.1893066468841136</v>
      </c>
      <c r="R1376" t="s">
        <v>391</v>
      </c>
      <c r="S1376">
        <v>272.57139014798571</v>
      </c>
      <c r="T1376">
        <v>469</v>
      </c>
      <c r="U1376" t="s">
        <v>392</v>
      </c>
      <c r="V1376">
        <v>1.310055865921788</v>
      </c>
      <c r="W1376">
        <v>11.625999787885601</v>
      </c>
      <c r="X1376">
        <v>21.895260974855479</v>
      </c>
      <c r="Y1376">
        <v>17</v>
      </c>
      <c r="Z1376">
        <v>0.65</v>
      </c>
      <c r="AA1376">
        <v>1</v>
      </c>
    </row>
    <row r="1377" spans="1:27" x14ac:dyDescent="0.25">
      <c r="A1377" t="s">
        <v>98</v>
      </c>
      <c r="B1377" t="s">
        <v>519</v>
      </c>
      <c r="C1377" t="s">
        <v>1367</v>
      </c>
      <c r="D1377" t="s">
        <v>101</v>
      </c>
      <c r="E1377" t="s">
        <v>426</v>
      </c>
      <c r="G1377" t="s">
        <v>427</v>
      </c>
      <c r="H1377" t="s">
        <v>125</v>
      </c>
      <c r="I1377">
        <v>2016</v>
      </c>
      <c r="J1377" t="s">
        <v>428</v>
      </c>
      <c r="K1377" t="s">
        <v>127</v>
      </c>
      <c r="L1377" t="s">
        <v>1670</v>
      </c>
      <c r="M1377" t="s">
        <v>1671</v>
      </c>
      <c r="N1377">
        <v>1</v>
      </c>
      <c r="O1377">
        <v>2020</v>
      </c>
      <c r="P1377">
        <v>609.67953734714899</v>
      </c>
      <c r="Q1377">
        <v>0.7595291822898359</v>
      </c>
      <c r="R1377" t="s">
        <v>391</v>
      </c>
      <c r="S1377">
        <v>802.70719224912625</v>
      </c>
      <c r="T1377">
        <v>300.25599999999997</v>
      </c>
      <c r="U1377" t="s">
        <v>392</v>
      </c>
      <c r="V1377">
        <v>1.0918399999999999</v>
      </c>
      <c r="W1377">
        <v>16.5973520403479</v>
      </c>
      <c r="X1377">
        <v>27.331519839424129</v>
      </c>
      <c r="Y1377">
        <v>22</v>
      </c>
      <c r="Z1377">
        <v>0.65</v>
      </c>
      <c r="AA1377">
        <v>1</v>
      </c>
    </row>
    <row r="1378" spans="1:27" x14ac:dyDescent="0.25">
      <c r="A1378" t="s">
        <v>98</v>
      </c>
      <c r="B1378" t="s">
        <v>519</v>
      </c>
      <c r="C1378" t="s">
        <v>1367</v>
      </c>
      <c r="D1378" t="s">
        <v>101</v>
      </c>
      <c r="E1378" t="s">
        <v>426</v>
      </c>
      <c r="G1378" t="s">
        <v>431</v>
      </c>
      <c r="H1378" t="s">
        <v>125</v>
      </c>
      <c r="I1378">
        <v>2016</v>
      </c>
      <c r="J1378" t="s">
        <v>432</v>
      </c>
      <c r="K1378" t="s">
        <v>127</v>
      </c>
      <c r="L1378" t="s">
        <v>1670</v>
      </c>
      <c r="M1378" t="s">
        <v>1672</v>
      </c>
      <c r="N1378">
        <v>1</v>
      </c>
      <c r="O1378">
        <v>2020</v>
      </c>
      <c r="P1378">
        <v>609.67953734714899</v>
      </c>
      <c r="Q1378">
        <v>0.7595291822898359</v>
      </c>
      <c r="R1378" t="s">
        <v>391</v>
      </c>
      <c r="S1378">
        <v>802.70719224912625</v>
      </c>
      <c r="T1378">
        <v>297</v>
      </c>
      <c r="U1378" t="s">
        <v>392</v>
      </c>
      <c r="V1378">
        <v>1.08</v>
      </c>
      <c r="W1378">
        <v>16.5973520403479</v>
      </c>
      <c r="X1378">
        <v>27.331519839424129</v>
      </c>
      <c r="Y1378">
        <v>22</v>
      </c>
      <c r="Z1378">
        <v>0.65</v>
      </c>
      <c r="AA1378">
        <v>1</v>
      </c>
    </row>
    <row r="1379" spans="1:27" x14ac:dyDescent="0.25">
      <c r="A1379" t="s">
        <v>98</v>
      </c>
      <c r="B1379" t="s">
        <v>519</v>
      </c>
      <c r="C1379" t="s">
        <v>1367</v>
      </c>
      <c r="D1379" t="s">
        <v>101</v>
      </c>
      <c r="E1379" t="s">
        <v>426</v>
      </c>
      <c r="G1379" t="s">
        <v>434</v>
      </c>
      <c r="H1379" t="s">
        <v>125</v>
      </c>
      <c r="I1379">
        <v>2016</v>
      </c>
      <c r="J1379" t="s">
        <v>435</v>
      </c>
      <c r="K1379" t="s">
        <v>127</v>
      </c>
      <c r="L1379" t="s">
        <v>1670</v>
      </c>
      <c r="M1379" t="s">
        <v>1673</v>
      </c>
      <c r="N1379">
        <v>1</v>
      </c>
      <c r="O1379">
        <v>2020</v>
      </c>
      <c r="P1379">
        <v>670.6474910818639</v>
      </c>
      <c r="Q1379">
        <v>0.7595291822898359</v>
      </c>
      <c r="R1379" t="s">
        <v>391</v>
      </c>
      <c r="S1379">
        <v>882.97791147403893</v>
      </c>
      <c r="T1379">
        <v>277</v>
      </c>
      <c r="U1379" t="s">
        <v>392</v>
      </c>
      <c r="V1379">
        <v>1.0072727272727271</v>
      </c>
      <c r="W1379">
        <v>16.5973520403479</v>
      </c>
      <c r="X1379">
        <v>27.331519839424129</v>
      </c>
      <c r="Y1379">
        <v>22</v>
      </c>
      <c r="Z1379">
        <v>0.65</v>
      </c>
      <c r="AA1379">
        <v>1</v>
      </c>
    </row>
    <row r="1380" spans="1:27" x14ac:dyDescent="0.25">
      <c r="A1380" t="s">
        <v>98</v>
      </c>
      <c r="B1380" t="s">
        <v>519</v>
      </c>
      <c r="C1380" t="s">
        <v>1367</v>
      </c>
      <c r="D1380" t="s">
        <v>101</v>
      </c>
      <c r="E1380" t="s">
        <v>426</v>
      </c>
      <c r="G1380" t="s">
        <v>437</v>
      </c>
      <c r="H1380" t="s">
        <v>125</v>
      </c>
      <c r="I1380">
        <v>2016</v>
      </c>
      <c r="J1380" t="s">
        <v>438</v>
      </c>
      <c r="K1380" t="s">
        <v>127</v>
      </c>
      <c r="L1380" t="s">
        <v>1670</v>
      </c>
      <c r="M1380" t="s">
        <v>1674</v>
      </c>
      <c r="N1380">
        <v>1</v>
      </c>
      <c r="O1380">
        <v>2020</v>
      </c>
      <c r="P1380">
        <v>658.45390033492083</v>
      </c>
      <c r="Q1380">
        <v>0.7595291822898359</v>
      </c>
      <c r="R1380" t="s">
        <v>391</v>
      </c>
      <c r="S1380">
        <v>866.92376762905633</v>
      </c>
      <c r="T1380">
        <v>275</v>
      </c>
      <c r="U1380" t="s">
        <v>392</v>
      </c>
      <c r="V1380">
        <v>1</v>
      </c>
      <c r="W1380">
        <v>16.5973520403479</v>
      </c>
      <c r="X1380">
        <v>27.331519839424129</v>
      </c>
      <c r="Y1380">
        <v>22</v>
      </c>
      <c r="Z1380">
        <v>0.65</v>
      </c>
      <c r="AA1380">
        <v>1</v>
      </c>
    </row>
    <row r="1381" spans="1:27" x14ac:dyDescent="0.25">
      <c r="A1381" t="s">
        <v>98</v>
      </c>
      <c r="B1381" t="s">
        <v>519</v>
      </c>
      <c r="C1381" t="s">
        <v>1367</v>
      </c>
      <c r="D1381" t="s">
        <v>101</v>
      </c>
      <c r="E1381" t="s">
        <v>426</v>
      </c>
      <c r="G1381" t="s">
        <v>440</v>
      </c>
      <c r="H1381" t="s">
        <v>125</v>
      </c>
      <c r="I1381">
        <v>2016</v>
      </c>
      <c r="J1381" t="s">
        <v>441</v>
      </c>
      <c r="K1381" t="s">
        <v>127</v>
      </c>
      <c r="L1381" t="s">
        <v>1670</v>
      </c>
      <c r="M1381" t="s">
        <v>1675</v>
      </c>
      <c r="N1381">
        <v>1</v>
      </c>
      <c r="O1381">
        <v>2020</v>
      </c>
      <c r="P1381">
        <v>841.35776153906556</v>
      </c>
      <c r="Q1381">
        <v>0.7595291822898359</v>
      </c>
      <c r="R1381" t="s">
        <v>391</v>
      </c>
      <c r="S1381">
        <v>1107.7359253037939</v>
      </c>
      <c r="T1381">
        <v>477.41800000000001</v>
      </c>
      <c r="U1381" t="s">
        <v>392</v>
      </c>
      <c r="V1381">
        <v>1.736065454545455</v>
      </c>
      <c r="W1381">
        <v>16.5973520403479</v>
      </c>
      <c r="X1381">
        <v>27.331519839424129</v>
      </c>
      <c r="Y1381">
        <v>22</v>
      </c>
      <c r="Z1381">
        <v>0.65</v>
      </c>
      <c r="AA1381">
        <v>1</v>
      </c>
    </row>
    <row r="1382" spans="1:27" x14ac:dyDescent="0.25">
      <c r="A1382" t="s">
        <v>98</v>
      </c>
      <c r="B1382" t="s">
        <v>519</v>
      </c>
      <c r="C1382" t="s">
        <v>1367</v>
      </c>
      <c r="D1382" t="s">
        <v>101</v>
      </c>
      <c r="E1382" t="s">
        <v>426</v>
      </c>
      <c r="G1382" t="s">
        <v>443</v>
      </c>
      <c r="H1382" t="s">
        <v>125</v>
      </c>
      <c r="I1382">
        <v>2016</v>
      </c>
      <c r="J1382" t="s">
        <v>444</v>
      </c>
      <c r="K1382" t="s">
        <v>127</v>
      </c>
      <c r="L1382" t="s">
        <v>1670</v>
      </c>
      <c r="M1382" t="s">
        <v>1676</v>
      </c>
      <c r="N1382">
        <v>1</v>
      </c>
      <c r="O1382">
        <v>2020</v>
      </c>
      <c r="P1382">
        <v>914.51930602072343</v>
      </c>
      <c r="Q1382">
        <v>0.7595291822898359</v>
      </c>
      <c r="R1382" t="s">
        <v>391</v>
      </c>
      <c r="S1382">
        <v>1204.0607883736891</v>
      </c>
      <c r="T1382">
        <v>446</v>
      </c>
      <c r="U1382" t="s">
        <v>392</v>
      </c>
      <c r="V1382">
        <v>1.621818181818182</v>
      </c>
      <c r="W1382">
        <v>16.5973520403479</v>
      </c>
      <c r="X1382">
        <v>27.331519839424129</v>
      </c>
      <c r="Y1382">
        <v>22</v>
      </c>
      <c r="Z1382">
        <v>0.65</v>
      </c>
      <c r="AA1382">
        <v>1</v>
      </c>
    </row>
    <row r="1383" spans="1:27" x14ac:dyDescent="0.25">
      <c r="A1383" t="s">
        <v>98</v>
      </c>
      <c r="B1383" t="s">
        <v>519</v>
      </c>
      <c r="C1383" t="s">
        <v>1367</v>
      </c>
      <c r="D1383" t="s">
        <v>101</v>
      </c>
      <c r="E1383" t="s">
        <v>426</v>
      </c>
      <c r="G1383" t="s">
        <v>446</v>
      </c>
      <c r="H1383" t="s">
        <v>125</v>
      </c>
      <c r="I1383">
        <v>2016</v>
      </c>
      <c r="J1383" t="s">
        <v>447</v>
      </c>
      <c r="K1383" t="s">
        <v>127</v>
      </c>
      <c r="L1383" t="s">
        <v>1670</v>
      </c>
      <c r="M1383" t="s">
        <v>1677</v>
      </c>
      <c r="N1383">
        <v>1</v>
      </c>
      <c r="O1383">
        <v>2020</v>
      </c>
      <c r="P1383">
        <v>963.29366900849539</v>
      </c>
      <c r="Q1383">
        <v>0.7595291822898359</v>
      </c>
      <c r="R1383" t="s">
        <v>391</v>
      </c>
      <c r="S1383">
        <v>1268.27736375362</v>
      </c>
      <c r="T1383">
        <v>429.67619999999999</v>
      </c>
      <c r="U1383" t="s">
        <v>392</v>
      </c>
      <c r="V1383">
        <v>1.5624589090909089</v>
      </c>
      <c r="W1383">
        <v>16.5973520403479</v>
      </c>
      <c r="X1383">
        <v>27.331519839424129</v>
      </c>
      <c r="Y1383">
        <v>22</v>
      </c>
      <c r="Z1383">
        <v>0.65</v>
      </c>
      <c r="AA1383">
        <v>1</v>
      </c>
    </row>
    <row r="1384" spans="1:27" x14ac:dyDescent="0.25">
      <c r="A1384" t="s">
        <v>98</v>
      </c>
      <c r="B1384" t="s">
        <v>519</v>
      </c>
      <c r="C1384" t="s">
        <v>1367</v>
      </c>
      <c r="D1384" t="s">
        <v>101</v>
      </c>
      <c r="E1384" t="s">
        <v>426</v>
      </c>
      <c r="G1384" t="s">
        <v>449</v>
      </c>
      <c r="H1384" t="s">
        <v>125</v>
      </c>
      <c r="I1384">
        <v>2016</v>
      </c>
      <c r="J1384" t="s">
        <v>450</v>
      </c>
      <c r="K1384" t="s">
        <v>127</v>
      </c>
      <c r="L1384" t="s">
        <v>1670</v>
      </c>
      <c r="M1384" t="s">
        <v>1678</v>
      </c>
      <c r="N1384">
        <v>1</v>
      </c>
      <c r="O1384">
        <v>2020</v>
      </c>
      <c r="P1384">
        <v>987.6808505023813</v>
      </c>
      <c r="Q1384">
        <v>0.7595291822898359</v>
      </c>
      <c r="R1384" t="s">
        <v>391</v>
      </c>
      <c r="S1384">
        <v>1300.385651443584</v>
      </c>
      <c r="T1384">
        <v>419</v>
      </c>
      <c r="U1384" t="s">
        <v>392</v>
      </c>
      <c r="V1384">
        <v>1.5236363636363639</v>
      </c>
      <c r="W1384">
        <v>16.5973520403479</v>
      </c>
      <c r="X1384">
        <v>27.331519839424129</v>
      </c>
      <c r="Y1384">
        <v>22</v>
      </c>
      <c r="Z1384">
        <v>0.65</v>
      </c>
      <c r="AA1384">
        <v>1</v>
      </c>
    </row>
    <row r="1385" spans="1:27" x14ac:dyDescent="0.25">
      <c r="A1385" t="s">
        <v>98</v>
      </c>
      <c r="B1385" t="s">
        <v>519</v>
      </c>
      <c r="C1385" t="s">
        <v>1367</v>
      </c>
      <c r="D1385" t="s">
        <v>101</v>
      </c>
      <c r="E1385" t="s">
        <v>452</v>
      </c>
      <c r="G1385" t="s">
        <v>111</v>
      </c>
      <c r="H1385" t="s">
        <v>104</v>
      </c>
      <c r="I1385">
        <v>2016</v>
      </c>
      <c r="J1385" t="s">
        <v>453</v>
      </c>
      <c r="K1385" t="s">
        <v>106</v>
      </c>
      <c r="L1385" t="s">
        <v>1679</v>
      </c>
      <c r="M1385" t="s">
        <v>1680</v>
      </c>
      <c r="N1385">
        <v>1</v>
      </c>
      <c r="O1385">
        <v>2020</v>
      </c>
      <c r="P1385">
        <v>451.16285763689018</v>
      </c>
      <c r="Q1385">
        <v>26.4248842618948</v>
      </c>
      <c r="R1385" t="s">
        <v>391</v>
      </c>
      <c r="S1385">
        <v>17.073409032389819</v>
      </c>
      <c r="T1385">
        <v>0.45</v>
      </c>
      <c r="U1385" t="s">
        <v>456</v>
      </c>
      <c r="V1385">
        <v>0.45</v>
      </c>
      <c r="W1385">
        <v>9</v>
      </c>
      <c r="X1385">
        <v>15</v>
      </c>
      <c r="Y1385">
        <v>13</v>
      </c>
      <c r="Z1385">
        <v>9.0000000000000011E-2</v>
      </c>
      <c r="AA1385">
        <v>1</v>
      </c>
    </row>
    <row r="1386" spans="1:27" x14ac:dyDescent="0.25">
      <c r="A1386" t="s">
        <v>98</v>
      </c>
      <c r="B1386" t="s">
        <v>519</v>
      </c>
      <c r="C1386" t="s">
        <v>1367</v>
      </c>
      <c r="D1386" t="s">
        <v>101</v>
      </c>
      <c r="E1386" t="s">
        <v>452</v>
      </c>
      <c r="G1386" t="s">
        <v>119</v>
      </c>
      <c r="H1386" t="s">
        <v>104</v>
      </c>
      <c r="I1386">
        <v>2016</v>
      </c>
      <c r="J1386" t="s">
        <v>457</v>
      </c>
      <c r="K1386" t="s">
        <v>106</v>
      </c>
      <c r="L1386" t="s">
        <v>1679</v>
      </c>
      <c r="M1386" t="s">
        <v>1681</v>
      </c>
      <c r="N1386">
        <v>1</v>
      </c>
      <c r="O1386">
        <v>2020</v>
      </c>
      <c r="P1386">
        <v>521.3437466026287</v>
      </c>
      <c r="Q1386">
        <v>26.4248842618948</v>
      </c>
      <c r="R1386" t="s">
        <v>391</v>
      </c>
      <c r="S1386">
        <v>19.729272659650459</v>
      </c>
      <c r="T1386">
        <v>0.52</v>
      </c>
      <c r="U1386" t="s">
        <v>456</v>
      </c>
      <c r="V1386">
        <v>0.52</v>
      </c>
      <c r="W1386">
        <v>9</v>
      </c>
      <c r="X1386">
        <v>15</v>
      </c>
      <c r="Y1386">
        <v>13</v>
      </c>
      <c r="Z1386">
        <v>9.0000000000000011E-2</v>
      </c>
      <c r="AA1386">
        <v>1</v>
      </c>
    </row>
    <row r="1387" spans="1:27" x14ac:dyDescent="0.25">
      <c r="A1387" t="s">
        <v>98</v>
      </c>
      <c r="B1387" t="s">
        <v>519</v>
      </c>
      <c r="C1387" t="s">
        <v>1367</v>
      </c>
      <c r="D1387" t="s">
        <v>101</v>
      </c>
      <c r="E1387" t="s">
        <v>452</v>
      </c>
      <c r="G1387" t="s">
        <v>111</v>
      </c>
      <c r="H1387" t="s">
        <v>156</v>
      </c>
      <c r="I1387">
        <v>2016</v>
      </c>
      <c r="J1387" t="s">
        <v>459</v>
      </c>
      <c r="K1387" t="s">
        <v>158</v>
      </c>
      <c r="L1387" t="s">
        <v>1679</v>
      </c>
      <c r="M1387" t="s">
        <v>1682</v>
      </c>
      <c r="N1387">
        <v>1</v>
      </c>
      <c r="O1387">
        <v>2020</v>
      </c>
      <c r="P1387">
        <v>451.16285763689018</v>
      </c>
      <c r="Q1387">
        <v>26.4248842618948</v>
      </c>
      <c r="R1387" t="s">
        <v>391</v>
      </c>
      <c r="S1387">
        <v>17.073409032389819</v>
      </c>
      <c r="T1387">
        <v>0.45</v>
      </c>
      <c r="U1387" t="s">
        <v>456</v>
      </c>
      <c r="V1387">
        <v>0.45</v>
      </c>
      <c r="W1387">
        <v>9</v>
      </c>
      <c r="X1387">
        <v>15</v>
      </c>
      <c r="Y1387">
        <v>13</v>
      </c>
      <c r="Z1387">
        <v>9.0000000000000011E-2</v>
      </c>
      <c r="AA1387">
        <v>1</v>
      </c>
    </row>
    <row r="1388" spans="1:27" x14ac:dyDescent="0.25">
      <c r="A1388" t="s">
        <v>98</v>
      </c>
      <c r="B1388" t="s">
        <v>519</v>
      </c>
      <c r="C1388" t="s">
        <v>1367</v>
      </c>
      <c r="D1388" t="s">
        <v>101</v>
      </c>
      <c r="E1388" t="s">
        <v>452</v>
      </c>
      <c r="G1388" t="s">
        <v>119</v>
      </c>
      <c r="H1388" t="s">
        <v>156</v>
      </c>
      <c r="I1388">
        <v>2016</v>
      </c>
      <c r="J1388" t="s">
        <v>461</v>
      </c>
      <c r="K1388" t="s">
        <v>158</v>
      </c>
      <c r="L1388" t="s">
        <v>1679</v>
      </c>
      <c r="M1388" t="s">
        <v>1683</v>
      </c>
      <c r="N1388">
        <v>1</v>
      </c>
      <c r="O1388">
        <v>2020</v>
      </c>
      <c r="P1388">
        <v>521.3437466026287</v>
      </c>
      <c r="Q1388">
        <v>26.4248842618948</v>
      </c>
      <c r="R1388" t="s">
        <v>391</v>
      </c>
      <c r="S1388">
        <v>19.729272659650459</v>
      </c>
      <c r="T1388">
        <v>0.52</v>
      </c>
      <c r="U1388" t="s">
        <v>456</v>
      </c>
      <c r="V1388">
        <v>0.52</v>
      </c>
      <c r="W1388">
        <v>9</v>
      </c>
      <c r="X1388">
        <v>15</v>
      </c>
      <c r="Y1388">
        <v>13</v>
      </c>
      <c r="Z1388">
        <v>9.0000000000000011E-2</v>
      </c>
      <c r="AA1388">
        <v>1</v>
      </c>
    </row>
    <row r="1389" spans="1:27" x14ac:dyDescent="0.25">
      <c r="A1389" t="s">
        <v>98</v>
      </c>
      <c r="B1389" t="s">
        <v>519</v>
      </c>
      <c r="C1389" t="s">
        <v>1367</v>
      </c>
      <c r="D1389" t="s">
        <v>101</v>
      </c>
      <c r="E1389" t="s">
        <v>452</v>
      </c>
      <c r="G1389" t="s">
        <v>111</v>
      </c>
      <c r="H1389" t="s">
        <v>125</v>
      </c>
      <c r="I1389">
        <v>2016</v>
      </c>
      <c r="J1389" t="s">
        <v>463</v>
      </c>
      <c r="K1389" t="s">
        <v>127</v>
      </c>
      <c r="L1389" t="s">
        <v>1679</v>
      </c>
      <c r="M1389" t="s">
        <v>1684</v>
      </c>
      <c r="N1389">
        <v>1</v>
      </c>
      <c r="O1389">
        <v>2020</v>
      </c>
      <c r="P1389">
        <v>938.90648751460947</v>
      </c>
      <c r="Q1389">
        <v>26.4248842618948</v>
      </c>
      <c r="R1389" t="s">
        <v>391</v>
      </c>
      <c r="S1389">
        <v>35.531148526865302</v>
      </c>
      <c r="T1389">
        <v>228.0913607809874</v>
      </c>
      <c r="U1389" t="s">
        <v>392</v>
      </c>
      <c r="V1389">
        <v>0.9</v>
      </c>
      <c r="W1389">
        <v>10</v>
      </c>
      <c r="X1389">
        <v>20</v>
      </c>
      <c r="Y1389">
        <v>16</v>
      </c>
      <c r="Z1389">
        <v>9.0000000000000011E-2</v>
      </c>
      <c r="AA1389">
        <v>1</v>
      </c>
    </row>
    <row r="1390" spans="1:27" x14ac:dyDescent="0.25">
      <c r="A1390" t="s">
        <v>98</v>
      </c>
      <c r="B1390" t="s">
        <v>519</v>
      </c>
      <c r="C1390" t="s">
        <v>1367</v>
      </c>
      <c r="D1390" t="s">
        <v>101</v>
      </c>
      <c r="E1390" t="s">
        <v>465</v>
      </c>
      <c r="G1390" t="s">
        <v>466</v>
      </c>
      <c r="H1390" t="s">
        <v>125</v>
      </c>
      <c r="I1390">
        <v>2030</v>
      </c>
      <c r="J1390" t="s">
        <v>467</v>
      </c>
      <c r="K1390" t="s">
        <v>127</v>
      </c>
      <c r="L1390" t="s">
        <v>1685</v>
      </c>
      <c r="M1390" t="s">
        <v>1686</v>
      </c>
      <c r="N1390">
        <v>1</v>
      </c>
      <c r="O1390">
        <v>2030</v>
      </c>
      <c r="P1390">
        <v>1646.1347508373019</v>
      </c>
      <c r="Q1390">
        <v>11.87275774201475</v>
      </c>
      <c r="R1390" t="s">
        <v>391</v>
      </c>
      <c r="S1390">
        <v>138.6480535193638</v>
      </c>
      <c r="T1390">
        <v>0.28000000000000003</v>
      </c>
      <c r="U1390" t="s">
        <v>470</v>
      </c>
      <c r="V1390">
        <v>2.333333333333333</v>
      </c>
      <c r="W1390">
        <v>6</v>
      </c>
      <c r="X1390">
        <v>17</v>
      </c>
      <c r="Y1390">
        <v>12</v>
      </c>
      <c r="Z1390">
        <v>0.02</v>
      </c>
      <c r="AA1390">
        <v>1</v>
      </c>
    </row>
    <row r="1391" spans="1:27" x14ac:dyDescent="0.25">
      <c r="A1391" t="s">
        <v>98</v>
      </c>
      <c r="B1391" t="s">
        <v>519</v>
      </c>
      <c r="C1391" t="s">
        <v>1367</v>
      </c>
      <c r="D1391" t="s">
        <v>101</v>
      </c>
      <c r="E1391" t="s">
        <v>465</v>
      </c>
      <c r="G1391" t="s">
        <v>471</v>
      </c>
      <c r="H1391" t="s">
        <v>125</v>
      </c>
      <c r="I1391">
        <v>2016</v>
      </c>
      <c r="J1391" t="s">
        <v>472</v>
      </c>
      <c r="K1391" t="s">
        <v>127</v>
      </c>
      <c r="L1391" t="s">
        <v>1685</v>
      </c>
      <c r="M1391" t="s">
        <v>1687</v>
      </c>
      <c r="N1391">
        <v>1</v>
      </c>
      <c r="O1391">
        <v>2020</v>
      </c>
      <c r="P1391">
        <v>792.58339855129361</v>
      </c>
      <c r="Q1391">
        <v>11.87275774201475</v>
      </c>
      <c r="R1391" t="s">
        <v>391</v>
      </c>
      <c r="S1391">
        <v>66.756470213027001</v>
      </c>
      <c r="T1391">
        <v>0.26</v>
      </c>
      <c r="U1391" t="s">
        <v>470</v>
      </c>
      <c r="V1391">
        <v>2.166666666666667</v>
      </c>
      <c r="W1391">
        <v>6</v>
      </c>
      <c r="X1391">
        <v>17</v>
      </c>
      <c r="Y1391">
        <v>12</v>
      </c>
      <c r="Z1391">
        <v>0.02</v>
      </c>
      <c r="AA1391">
        <v>1</v>
      </c>
    </row>
    <row r="1392" spans="1:27" x14ac:dyDescent="0.25">
      <c r="A1392" t="s">
        <v>98</v>
      </c>
      <c r="B1392" t="s">
        <v>519</v>
      </c>
      <c r="C1392" t="s">
        <v>1367</v>
      </c>
      <c r="D1392" t="s">
        <v>101</v>
      </c>
      <c r="E1392" t="s">
        <v>465</v>
      </c>
      <c r="G1392" t="s">
        <v>474</v>
      </c>
      <c r="H1392" t="s">
        <v>125</v>
      </c>
      <c r="I1392">
        <v>2016</v>
      </c>
      <c r="J1392" t="s">
        <v>475</v>
      </c>
      <c r="K1392" t="s">
        <v>127</v>
      </c>
      <c r="L1392" t="s">
        <v>1685</v>
      </c>
      <c r="M1392" t="s">
        <v>1688</v>
      </c>
      <c r="N1392">
        <v>0</v>
      </c>
      <c r="O1392">
        <v>2020</v>
      </c>
      <c r="P1392">
        <v>792.58339855129361</v>
      </c>
      <c r="Q1392">
        <v>11.87275774201475</v>
      </c>
      <c r="R1392" t="s">
        <v>391</v>
      </c>
      <c r="S1392">
        <v>66.756470213027001</v>
      </c>
      <c r="T1392">
        <v>0.26</v>
      </c>
      <c r="U1392" t="s">
        <v>470</v>
      </c>
      <c r="V1392">
        <v>2.166666666666667</v>
      </c>
      <c r="W1392">
        <v>6</v>
      </c>
      <c r="X1392">
        <v>17</v>
      </c>
      <c r="Y1392">
        <v>12</v>
      </c>
      <c r="Z1392">
        <v>0.02</v>
      </c>
      <c r="AA1392">
        <v>1</v>
      </c>
    </row>
    <row r="1393" spans="1:27" x14ac:dyDescent="0.25">
      <c r="A1393" t="s">
        <v>98</v>
      </c>
      <c r="B1393" t="s">
        <v>519</v>
      </c>
      <c r="C1393" t="s">
        <v>1367</v>
      </c>
      <c r="D1393" t="s">
        <v>101</v>
      </c>
      <c r="E1393" t="s">
        <v>465</v>
      </c>
      <c r="G1393" t="s">
        <v>474</v>
      </c>
      <c r="H1393" t="s">
        <v>125</v>
      </c>
      <c r="I1393">
        <v>2020</v>
      </c>
      <c r="J1393" t="s">
        <v>477</v>
      </c>
      <c r="K1393" t="s">
        <v>127</v>
      </c>
      <c r="L1393" t="s">
        <v>1685</v>
      </c>
      <c r="M1393" t="s">
        <v>1688</v>
      </c>
      <c r="N1393">
        <v>1</v>
      </c>
      <c r="O1393">
        <v>2020</v>
      </c>
      <c r="P1393">
        <v>914.51930602072343</v>
      </c>
      <c r="Q1393">
        <v>11.87275774201475</v>
      </c>
      <c r="R1393" t="s">
        <v>391</v>
      </c>
      <c r="S1393">
        <v>77.026696399646539</v>
      </c>
      <c r="T1393">
        <v>0.24</v>
      </c>
      <c r="U1393" t="s">
        <v>470</v>
      </c>
      <c r="V1393">
        <v>2</v>
      </c>
      <c r="W1393">
        <v>6</v>
      </c>
      <c r="X1393">
        <v>17</v>
      </c>
      <c r="Y1393">
        <v>12</v>
      </c>
      <c r="Z1393">
        <v>0.02</v>
      </c>
      <c r="AA1393">
        <v>1</v>
      </c>
    </row>
    <row r="1394" spans="1:27" x14ac:dyDescent="0.25">
      <c r="A1394" t="s">
        <v>98</v>
      </c>
      <c r="B1394" t="s">
        <v>519</v>
      </c>
      <c r="C1394" t="s">
        <v>1367</v>
      </c>
      <c r="D1394" t="s">
        <v>101</v>
      </c>
      <c r="E1394" t="s">
        <v>465</v>
      </c>
      <c r="G1394" t="s">
        <v>478</v>
      </c>
      <c r="H1394" t="s">
        <v>125</v>
      </c>
      <c r="I1394">
        <v>2016</v>
      </c>
      <c r="J1394" t="s">
        <v>479</v>
      </c>
      <c r="K1394" t="s">
        <v>127</v>
      </c>
      <c r="L1394" t="s">
        <v>1685</v>
      </c>
      <c r="M1394" t="s">
        <v>1689</v>
      </c>
      <c r="N1394">
        <v>1</v>
      </c>
      <c r="O1394">
        <v>2020</v>
      </c>
      <c r="P1394">
        <v>1158.3911209595831</v>
      </c>
      <c r="Q1394">
        <v>11.87275774201475</v>
      </c>
      <c r="R1394" t="s">
        <v>391</v>
      </c>
      <c r="S1394">
        <v>97.567148772885631</v>
      </c>
      <c r="T1394">
        <v>0.15</v>
      </c>
      <c r="U1394" t="s">
        <v>470</v>
      </c>
      <c r="V1394">
        <v>1.25</v>
      </c>
      <c r="W1394">
        <v>6</v>
      </c>
      <c r="X1394">
        <v>17</v>
      </c>
      <c r="Y1394">
        <v>12</v>
      </c>
      <c r="Z1394">
        <v>0.02</v>
      </c>
      <c r="AA1394">
        <v>1</v>
      </c>
    </row>
    <row r="1395" spans="1:27" x14ac:dyDescent="0.25">
      <c r="A1395" t="s">
        <v>98</v>
      </c>
      <c r="B1395" t="s">
        <v>519</v>
      </c>
      <c r="C1395" t="s">
        <v>1367</v>
      </c>
      <c r="D1395" t="s">
        <v>101</v>
      </c>
      <c r="E1395" t="s">
        <v>465</v>
      </c>
      <c r="G1395" t="s">
        <v>481</v>
      </c>
      <c r="H1395" t="s">
        <v>125</v>
      </c>
      <c r="I1395">
        <v>2016</v>
      </c>
      <c r="J1395" t="s">
        <v>482</v>
      </c>
      <c r="K1395" t="s">
        <v>127</v>
      </c>
      <c r="L1395" t="s">
        <v>1685</v>
      </c>
      <c r="M1395" t="s">
        <v>1690</v>
      </c>
      <c r="N1395">
        <v>1</v>
      </c>
      <c r="O1395">
        <v>2020</v>
      </c>
      <c r="P1395">
        <v>1371.7789590310849</v>
      </c>
      <c r="Q1395">
        <v>11.87275774201475</v>
      </c>
      <c r="R1395" t="s">
        <v>391</v>
      </c>
      <c r="S1395">
        <v>115.54004459946979</v>
      </c>
      <c r="T1395">
        <v>0.12</v>
      </c>
      <c r="U1395" t="s">
        <v>470</v>
      </c>
      <c r="V1395">
        <v>1</v>
      </c>
      <c r="W1395">
        <v>6</v>
      </c>
      <c r="X1395">
        <v>17</v>
      </c>
      <c r="Y1395">
        <v>12</v>
      </c>
      <c r="Z1395">
        <v>0.02</v>
      </c>
      <c r="AA1395">
        <v>1</v>
      </c>
    </row>
    <row r="1396" spans="1:27" x14ac:dyDescent="0.25">
      <c r="A1396" t="s">
        <v>98</v>
      </c>
      <c r="B1396" t="s">
        <v>519</v>
      </c>
      <c r="C1396" t="s">
        <v>1367</v>
      </c>
      <c r="D1396" t="s">
        <v>101</v>
      </c>
      <c r="E1396" t="s">
        <v>465</v>
      </c>
      <c r="G1396" t="s">
        <v>484</v>
      </c>
      <c r="H1396" t="s">
        <v>125</v>
      </c>
      <c r="I1396">
        <v>2016</v>
      </c>
      <c r="J1396" t="s">
        <v>485</v>
      </c>
      <c r="K1396" t="s">
        <v>127</v>
      </c>
      <c r="L1396" t="s">
        <v>1685</v>
      </c>
      <c r="M1396" t="s">
        <v>1691</v>
      </c>
      <c r="N1396">
        <v>1</v>
      </c>
      <c r="O1396">
        <v>2020</v>
      </c>
      <c r="P1396">
        <v>1158.3911209595831</v>
      </c>
      <c r="Q1396">
        <v>11.87275774201475</v>
      </c>
      <c r="R1396" t="s">
        <v>391</v>
      </c>
      <c r="S1396">
        <v>97.567148772885631</v>
      </c>
      <c r="T1396">
        <v>0.15</v>
      </c>
      <c r="U1396" t="s">
        <v>470</v>
      </c>
      <c r="V1396">
        <v>1.25</v>
      </c>
      <c r="W1396">
        <v>6</v>
      </c>
      <c r="X1396">
        <v>17</v>
      </c>
      <c r="Y1396">
        <v>12</v>
      </c>
      <c r="Z1396">
        <v>0.02</v>
      </c>
      <c r="AA1396">
        <v>1</v>
      </c>
    </row>
    <row r="1397" spans="1:27" x14ac:dyDescent="0.25">
      <c r="A1397" t="s">
        <v>98</v>
      </c>
      <c r="B1397" t="s">
        <v>519</v>
      </c>
      <c r="C1397" t="s">
        <v>1367</v>
      </c>
      <c r="D1397" t="s">
        <v>101</v>
      </c>
      <c r="E1397" t="s">
        <v>465</v>
      </c>
      <c r="G1397" t="s">
        <v>487</v>
      </c>
      <c r="H1397" t="s">
        <v>125</v>
      </c>
      <c r="I1397">
        <v>2016</v>
      </c>
      <c r="J1397" t="s">
        <v>488</v>
      </c>
      <c r="K1397" t="s">
        <v>127</v>
      </c>
      <c r="L1397" t="s">
        <v>1685</v>
      </c>
      <c r="M1397" t="s">
        <v>1692</v>
      </c>
      <c r="N1397">
        <v>1</v>
      </c>
      <c r="O1397">
        <v>2020</v>
      </c>
      <c r="P1397">
        <v>1219.359074694298</v>
      </c>
      <c r="Q1397">
        <v>11.87275774201475</v>
      </c>
      <c r="R1397" t="s">
        <v>391</v>
      </c>
      <c r="S1397">
        <v>102.7022618661954</v>
      </c>
      <c r="T1397">
        <v>0.21</v>
      </c>
      <c r="U1397" t="s">
        <v>470</v>
      </c>
      <c r="V1397">
        <v>1.75</v>
      </c>
      <c r="W1397">
        <v>6</v>
      </c>
      <c r="X1397">
        <v>17</v>
      </c>
      <c r="Y1397">
        <v>12</v>
      </c>
      <c r="Z1397">
        <v>0.02</v>
      </c>
      <c r="AA1397">
        <v>1</v>
      </c>
    </row>
    <row r="1398" spans="1:27" x14ac:dyDescent="0.25">
      <c r="A1398" t="s">
        <v>98</v>
      </c>
      <c r="B1398" t="s">
        <v>519</v>
      </c>
      <c r="C1398" t="s">
        <v>1367</v>
      </c>
      <c r="D1398" t="s">
        <v>101</v>
      </c>
      <c r="E1398" t="s">
        <v>465</v>
      </c>
      <c r="G1398" t="s">
        <v>487</v>
      </c>
      <c r="H1398" t="s">
        <v>125</v>
      </c>
      <c r="I1398">
        <v>2030</v>
      </c>
      <c r="J1398" t="s">
        <v>490</v>
      </c>
      <c r="K1398" t="s">
        <v>127</v>
      </c>
      <c r="L1398" t="s">
        <v>1685</v>
      </c>
      <c r="M1398" t="s">
        <v>1693</v>
      </c>
      <c r="N1398">
        <v>1</v>
      </c>
      <c r="O1398">
        <v>2030</v>
      </c>
      <c r="P1398">
        <v>1280.3270284290129</v>
      </c>
      <c r="Q1398">
        <v>11.87275774201475</v>
      </c>
      <c r="R1398" t="s">
        <v>391</v>
      </c>
      <c r="S1398">
        <v>107.8373749595052</v>
      </c>
      <c r="T1398">
        <v>0.17</v>
      </c>
      <c r="U1398" t="s">
        <v>470</v>
      </c>
      <c r="V1398">
        <v>1.416666666666667</v>
      </c>
      <c r="W1398">
        <v>6</v>
      </c>
      <c r="X1398">
        <v>17</v>
      </c>
      <c r="Y1398">
        <v>12</v>
      </c>
      <c r="Z1398">
        <v>0.02</v>
      </c>
      <c r="AA1398">
        <v>1</v>
      </c>
    </row>
    <row r="1399" spans="1:27" x14ac:dyDescent="0.25">
      <c r="A1399" t="s">
        <v>98</v>
      </c>
      <c r="B1399" t="s">
        <v>519</v>
      </c>
      <c r="C1399" t="s">
        <v>1367</v>
      </c>
      <c r="D1399" t="s">
        <v>101</v>
      </c>
      <c r="E1399" t="s">
        <v>465</v>
      </c>
      <c r="G1399" t="s">
        <v>492</v>
      </c>
      <c r="H1399" t="s">
        <v>125</v>
      </c>
      <c r="I1399">
        <v>2016</v>
      </c>
      <c r="J1399" t="s">
        <v>493</v>
      </c>
      <c r="K1399" t="s">
        <v>127</v>
      </c>
      <c r="L1399" t="s">
        <v>1685</v>
      </c>
      <c r="M1399" t="s">
        <v>1694</v>
      </c>
      <c r="N1399">
        <v>1</v>
      </c>
      <c r="O1399">
        <v>2020</v>
      </c>
      <c r="P1399">
        <v>1158.3911209595831</v>
      </c>
      <c r="Q1399">
        <v>11.87275774201475</v>
      </c>
      <c r="R1399" t="s">
        <v>391</v>
      </c>
      <c r="S1399">
        <v>97.567148772885631</v>
      </c>
      <c r="T1399">
        <v>0.28999999999999998</v>
      </c>
      <c r="U1399" t="s">
        <v>470</v>
      </c>
      <c r="V1399">
        <v>2.416666666666667</v>
      </c>
      <c r="W1399">
        <v>6</v>
      </c>
      <c r="X1399">
        <v>17</v>
      </c>
      <c r="Y1399">
        <v>12</v>
      </c>
      <c r="Z1399">
        <v>0.02</v>
      </c>
      <c r="AA1399">
        <v>1</v>
      </c>
    </row>
    <row r="1400" spans="1:27" x14ac:dyDescent="0.25">
      <c r="A1400" t="s">
        <v>98</v>
      </c>
      <c r="B1400" t="s">
        <v>519</v>
      </c>
      <c r="C1400" t="s">
        <v>1367</v>
      </c>
      <c r="D1400" t="s">
        <v>101</v>
      </c>
      <c r="E1400" t="s">
        <v>465</v>
      </c>
      <c r="G1400" t="s">
        <v>466</v>
      </c>
      <c r="H1400" t="s">
        <v>125</v>
      </c>
      <c r="I1400">
        <v>2016</v>
      </c>
      <c r="J1400" t="s">
        <v>495</v>
      </c>
      <c r="K1400" t="s">
        <v>127</v>
      </c>
      <c r="L1400" t="s">
        <v>1685</v>
      </c>
      <c r="M1400" t="s">
        <v>1695</v>
      </c>
      <c r="N1400">
        <v>0</v>
      </c>
      <c r="O1400">
        <v>2020</v>
      </c>
      <c r="P1400">
        <v>1280.3270284290129</v>
      </c>
      <c r="Q1400">
        <v>11.87275774201475</v>
      </c>
      <c r="R1400" t="s">
        <v>391</v>
      </c>
      <c r="S1400">
        <v>107.8373749595052</v>
      </c>
      <c r="T1400">
        <v>0.17</v>
      </c>
      <c r="U1400" t="s">
        <v>470</v>
      </c>
      <c r="V1400">
        <v>1.416666666666667</v>
      </c>
      <c r="W1400">
        <v>6</v>
      </c>
      <c r="X1400">
        <v>17</v>
      </c>
      <c r="Y1400">
        <v>12</v>
      </c>
      <c r="Z1400">
        <v>0.02</v>
      </c>
      <c r="AA1400">
        <v>1</v>
      </c>
    </row>
    <row r="1401" spans="1:27" x14ac:dyDescent="0.25">
      <c r="A1401" t="s">
        <v>98</v>
      </c>
      <c r="B1401" t="s">
        <v>519</v>
      </c>
      <c r="C1401" t="s">
        <v>1367</v>
      </c>
      <c r="D1401" t="s">
        <v>101</v>
      </c>
      <c r="E1401" t="s">
        <v>465</v>
      </c>
      <c r="G1401" t="s">
        <v>466</v>
      </c>
      <c r="H1401" t="s">
        <v>125</v>
      </c>
      <c r="I1401">
        <v>2020</v>
      </c>
      <c r="J1401" t="s">
        <v>497</v>
      </c>
      <c r="K1401" t="s">
        <v>127</v>
      </c>
      <c r="L1401" t="s">
        <v>1685</v>
      </c>
      <c r="M1401" t="s">
        <v>1695</v>
      </c>
      <c r="N1401">
        <v>1</v>
      </c>
      <c r="O1401">
        <v>2020</v>
      </c>
      <c r="P1401">
        <v>1646.1347508373019</v>
      </c>
      <c r="Q1401">
        <v>11.87275774201475</v>
      </c>
      <c r="R1401" t="s">
        <v>391</v>
      </c>
      <c r="S1401">
        <v>138.6480535193638</v>
      </c>
      <c r="T1401">
        <v>0.28000000000000003</v>
      </c>
      <c r="U1401" t="s">
        <v>470</v>
      </c>
      <c r="V1401">
        <v>2.333333333333333</v>
      </c>
      <c r="W1401">
        <v>6</v>
      </c>
      <c r="X1401">
        <v>17</v>
      </c>
      <c r="Y1401">
        <v>12</v>
      </c>
      <c r="Z1401">
        <v>0.02</v>
      </c>
      <c r="AA1401">
        <v>1</v>
      </c>
    </row>
    <row r="1402" spans="1:27" x14ac:dyDescent="0.25">
      <c r="A1402" t="s">
        <v>98</v>
      </c>
      <c r="B1402" t="s">
        <v>519</v>
      </c>
      <c r="C1402" t="s">
        <v>1367</v>
      </c>
      <c r="D1402" t="s">
        <v>101</v>
      </c>
      <c r="E1402" t="s">
        <v>498</v>
      </c>
      <c r="G1402" t="s">
        <v>103</v>
      </c>
      <c r="H1402" t="s">
        <v>104</v>
      </c>
      <c r="I1402">
        <v>2016</v>
      </c>
      <c r="J1402" t="s">
        <v>499</v>
      </c>
      <c r="K1402" t="s">
        <v>106</v>
      </c>
      <c r="L1402" t="s">
        <v>1696</v>
      </c>
      <c r="M1402" t="s">
        <v>1697</v>
      </c>
      <c r="N1402">
        <v>1</v>
      </c>
      <c r="O1402">
        <v>2020</v>
      </c>
      <c r="P1402">
        <v>792.58339855129361</v>
      </c>
      <c r="Q1402">
        <v>150.92524263607899</v>
      </c>
      <c r="R1402" t="s">
        <v>391</v>
      </c>
      <c r="S1402">
        <v>5.2514965999585872</v>
      </c>
      <c r="T1402">
        <v>3.3</v>
      </c>
      <c r="U1402" t="s">
        <v>502</v>
      </c>
      <c r="V1402">
        <v>1</v>
      </c>
      <c r="W1402">
        <v>8</v>
      </c>
      <c r="X1402">
        <v>18</v>
      </c>
      <c r="Y1402">
        <v>14</v>
      </c>
      <c r="Z1402">
        <v>0.02</v>
      </c>
      <c r="AA1402">
        <v>1</v>
      </c>
    </row>
    <row r="1403" spans="1:27" x14ac:dyDescent="0.25">
      <c r="A1403" t="s">
        <v>98</v>
      </c>
      <c r="B1403" t="s">
        <v>519</v>
      </c>
      <c r="C1403" t="s">
        <v>1367</v>
      </c>
      <c r="D1403" t="s">
        <v>101</v>
      </c>
      <c r="E1403" t="s">
        <v>498</v>
      </c>
      <c r="G1403" t="s">
        <v>111</v>
      </c>
      <c r="H1403" t="s">
        <v>104</v>
      </c>
      <c r="I1403">
        <v>2016</v>
      </c>
      <c r="J1403" t="s">
        <v>503</v>
      </c>
      <c r="K1403" t="s">
        <v>106</v>
      </c>
      <c r="L1403" t="s">
        <v>1696</v>
      </c>
      <c r="M1403" t="s">
        <v>1698</v>
      </c>
      <c r="N1403">
        <v>1</v>
      </c>
      <c r="O1403">
        <v>2020</v>
      </c>
      <c r="P1403">
        <v>804.77698929823669</v>
      </c>
      <c r="Q1403">
        <v>150.92524263607899</v>
      </c>
      <c r="R1403" t="s">
        <v>391</v>
      </c>
      <c r="S1403">
        <v>5.3322888553425658</v>
      </c>
      <c r="T1403">
        <v>3.32</v>
      </c>
      <c r="U1403" t="s">
        <v>502</v>
      </c>
      <c r="V1403">
        <v>1.0060606060606061</v>
      </c>
      <c r="W1403">
        <v>8</v>
      </c>
      <c r="X1403">
        <v>18</v>
      </c>
      <c r="Y1403">
        <v>14</v>
      </c>
      <c r="Z1403">
        <v>0.02</v>
      </c>
      <c r="AA1403">
        <v>1</v>
      </c>
    </row>
    <row r="1404" spans="1:27" x14ac:dyDescent="0.25">
      <c r="A1404" t="s">
        <v>98</v>
      </c>
      <c r="B1404" t="s">
        <v>519</v>
      </c>
      <c r="C1404" t="s">
        <v>1367</v>
      </c>
      <c r="D1404" t="s">
        <v>101</v>
      </c>
      <c r="E1404" t="s">
        <v>498</v>
      </c>
      <c r="G1404" t="s">
        <v>114</v>
      </c>
      <c r="H1404" t="s">
        <v>104</v>
      </c>
      <c r="I1404">
        <v>2016</v>
      </c>
      <c r="J1404" t="s">
        <v>505</v>
      </c>
      <c r="K1404" t="s">
        <v>106</v>
      </c>
      <c r="L1404" t="s">
        <v>1696</v>
      </c>
      <c r="M1404" t="s">
        <v>1699</v>
      </c>
      <c r="N1404">
        <v>1</v>
      </c>
      <c r="O1404">
        <v>2020</v>
      </c>
      <c r="P1404">
        <v>843.56142251742892</v>
      </c>
      <c r="Q1404">
        <v>150.92524263607899</v>
      </c>
      <c r="R1404" t="s">
        <v>391</v>
      </c>
      <c r="S1404">
        <v>5.5892666315036541</v>
      </c>
      <c r="T1404">
        <v>3.48</v>
      </c>
      <c r="U1404" t="s">
        <v>502</v>
      </c>
      <c r="V1404">
        <v>1.0545454545454549</v>
      </c>
      <c r="W1404">
        <v>8</v>
      </c>
      <c r="X1404">
        <v>18</v>
      </c>
      <c r="Y1404">
        <v>14</v>
      </c>
      <c r="Z1404">
        <v>0.02</v>
      </c>
      <c r="AA1404">
        <v>1</v>
      </c>
    </row>
    <row r="1405" spans="1:27" x14ac:dyDescent="0.25">
      <c r="A1405" t="s">
        <v>98</v>
      </c>
      <c r="B1405" t="s">
        <v>519</v>
      </c>
      <c r="C1405" t="s">
        <v>1367</v>
      </c>
      <c r="D1405" t="s">
        <v>101</v>
      </c>
      <c r="E1405" t="s">
        <v>498</v>
      </c>
      <c r="G1405" t="s">
        <v>119</v>
      </c>
      <c r="H1405" t="s">
        <v>104</v>
      </c>
      <c r="I1405">
        <v>2016</v>
      </c>
      <c r="J1405" t="s">
        <v>507</v>
      </c>
      <c r="K1405" t="s">
        <v>106</v>
      </c>
      <c r="L1405" t="s">
        <v>1696</v>
      </c>
      <c r="M1405" t="s">
        <v>1700</v>
      </c>
      <c r="N1405">
        <v>1</v>
      </c>
      <c r="O1405">
        <v>2020</v>
      </c>
      <c r="P1405">
        <v>938.90648751460947</v>
      </c>
      <c r="Q1405">
        <v>150.92524263607899</v>
      </c>
      <c r="R1405" t="s">
        <v>391</v>
      </c>
      <c r="S1405">
        <v>6.2210036645663269</v>
      </c>
      <c r="T1405">
        <v>3.49</v>
      </c>
      <c r="U1405" t="s">
        <v>502</v>
      </c>
      <c r="V1405">
        <v>1.0575757575757581</v>
      </c>
      <c r="W1405">
        <v>8</v>
      </c>
      <c r="X1405">
        <v>18</v>
      </c>
      <c r="Y1405">
        <v>14</v>
      </c>
      <c r="Z1405">
        <v>0.02</v>
      </c>
      <c r="AA1405">
        <v>1</v>
      </c>
    </row>
    <row r="1406" spans="1:27" x14ac:dyDescent="0.25">
      <c r="A1406" t="s">
        <v>98</v>
      </c>
      <c r="B1406" t="s">
        <v>519</v>
      </c>
      <c r="C1406" t="s">
        <v>1367</v>
      </c>
      <c r="D1406" t="s">
        <v>101</v>
      </c>
      <c r="E1406" t="s">
        <v>498</v>
      </c>
      <c r="G1406" t="s">
        <v>119</v>
      </c>
      <c r="H1406" t="s">
        <v>104</v>
      </c>
      <c r="I1406">
        <v>2030</v>
      </c>
      <c r="J1406" t="s">
        <v>509</v>
      </c>
      <c r="K1406" t="s">
        <v>106</v>
      </c>
      <c r="L1406" t="s">
        <v>1696</v>
      </c>
      <c r="M1406" t="s">
        <v>1701</v>
      </c>
      <c r="N1406">
        <v>1</v>
      </c>
      <c r="O1406">
        <v>2030</v>
      </c>
      <c r="P1406">
        <v>987.6808505023813</v>
      </c>
      <c r="Q1406">
        <v>150.92524263607899</v>
      </c>
      <c r="R1406" t="s">
        <v>391</v>
      </c>
      <c r="S1406">
        <v>6.5441726861022396</v>
      </c>
      <c r="T1406">
        <v>3.61</v>
      </c>
      <c r="U1406" t="s">
        <v>502</v>
      </c>
      <c r="V1406">
        <v>1.093939393939394</v>
      </c>
      <c r="W1406">
        <v>8</v>
      </c>
      <c r="X1406">
        <v>18</v>
      </c>
      <c r="Y1406">
        <v>14</v>
      </c>
      <c r="Z1406">
        <v>0.02</v>
      </c>
      <c r="AA1406">
        <v>1</v>
      </c>
    </row>
    <row r="1407" spans="1:27" x14ac:dyDescent="0.25">
      <c r="A1407" t="s">
        <v>98</v>
      </c>
      <c r="B1407" t="s">
        <v>519</v>
      </c>
      <c r="C1407" t="s">
        <v>1367</v>
      </c>
      <c r="D1407" t="s">
        <v>101</v>
      </c>
      <c r="E1407" t="s">
        <v>498</v>
      </c>
      <c r="G1407" t="s">
        <v>103</v>
      </c>
      <c r="H1407" t="s">
        <v>125</v>
      </c>
      <c r="I1407">
        <v>2016</v>
      </c>
      <c r="J1407" t="s">
        <v>511</v>
      </c>
      <c r="K1407" t="s">
        <v>127</v>
      </c>
      <c r="L1407" t="s">
        <v>1696</v>
      </c>
      <c r="M1407" t="s">
        <v>1702</v>
      </c>
      <c r="N1407">
        <v>1</v>
      </c>
      <c r="O1407">
        <v>2020</v>
      </c>
      <c r="P1407">
        <v>646.26030958797787</v>
      </c>
      <c r="Q1407">
        <v>150.92524263607899</v>
      </c>
      <c r="R1407" t="s">
        <v>391</v>
      </c>
      <c r="S1407">
        <v>4.2819895353508484</v>
      </c>
      <c r="T1407">
        <v>3.73</v>
      </c>
      <c r="U1407" t="s">
        <v>502</v>
      </c>
      <c r="V1407">
        <v>1.1303030303030299</v>
      </c>
      <c r="W1407">
        <v>8</v>
      </c>
      <c r="X1407">
        <v>18</v>
      </c>
      <c r="Y1407">
        <v>14</v>
      </c>
      <c r="Z1407">
        <v>0.02</v>
      </c>
      <c r="AA1407">
        <v>1</v>
      </c>
    </row>
    <row r="1408" spans="1:27" x14ac:dyDescent="0.25">
      <c r="A1408" t="s">
        <v>98</v>
      </c>
      <c r="B1408" t="s">
        <v>519</v>
      </c>
      <c r="C1408" t="s">
        <v>1367</v>
      </c>
      <c r="D1408" t="s">
        <v>101</v>
      </c>
      <c r="E1408" t="s">
        <v>498</v>
      </c>
      <c r="G1408" t="s">
        <v>111</v>
      </c>
      <c r="H1408" t="s">
        <v>125</v>
      </c>
      <c r="I1408">
        <v>2016</v>
      </c>
      <c r="J1408" t="s">
        <v>513</v>
      </c>
      <c r="K1408" t="s">
        <v>127</v>
      </c>
      <c r="L1408" t="s">
        <v>1696</v>
      </c>
      <c r="M1408" t="s">
        <v>1703</v>
      </c>
      <c r="N1408">
        <v>1</v>
      </c>
      <c r="O1408">
        <v>2020</v>
      </c>
      <c r="P1408">
        <v>658.45390033492083</v>
      </c>
      <c r="Q1408">
        <v>150.92524263607899</v>
      </c>
      <c r="R1408" t="s">
        <v>391</v>
      </c>
      <c r="S1408">
        <v>4.3627817907348261</v>
      </c>
      <c r="T1408">
        <v>3.74</v>
      </c>
      <c r="U1408" t="s">
        <v>502</v>
      </c>
      <c r="V1408">
        <v>1.133333333333334</v>
      </c>
      <c r="W1408">
        <v>8</v>
      </c>
      <c r="X1408">
        <v>18</v>
      </c>
      <c r="Y1408">
        <v>14</v>
      </c>
      <c r="Z1408">
        <v>0.02</v>
      </c>
      <c r="AA1408">
        <v>1</v>
      </c>
    </row>
    <row r="1409" spans="1:27" x14ac:dyDescent="0.25">
      <c r="A1409" t="s">
        <v>98</v>
      </c>
      <c r="B1409" t="s">
        <v>519</v>
      </c>
      <c r="C1409" t="s">
        <v>1367</v>
      </c>
      <c r="D1409" t="s">
        <v>101</v>
      </c>
      <c r="E1409" t="s">
        <v>498</v>
      </c>
      <c r="G1409" t="s">
        <v>114</v>
      </c>
      <c r="H1409" t="s">
        <v>125</v>
      </c>
      <c r="I1409">
        <v>2016</v>
      </c>
      <c r="J1409" t="s">
        <v>515</v>
      </c>
      <c r="K1409" t="s">
        <v>127</v>
      </c>
      <c r="L1409" t="s">
        <v>1696</v>
      </c>
      <c r="M1409" t="s">
        <v>1704</v>
      </c>
      <c r="N1409">
        <v>1</v>
      </c>
      <c r="O1409">
        <v>2020</v>
      </c>
      <c r="P1409">
        <v>691.90476692947561</v>
      </c>
      <c r="Q1409">
        <v>150.92524263607899</v>
      </c>
      <c r="R1409" t="s">
        <v>391</v>
      </c>
      <c r="S1409">
        <v>4.5844204378577178</v>
      </c>
      <c r="T1409">
        <v>3.93</v>
      </c>
      <c r="U1409" t="s">
        <v>502</v>
      </c>
      <c r="V1409">
        <v>1.1909090909090909</v>
      </c>
      <c r="W1409">
        <v>8</v>
      </c>
      <c r="X1409">
        <v>18</v>
      </c>
      <c r="Y1409">
        <v>14</v>
      </c>
      <c r="Z1409">
        <v>0.02</v>
      </c>
      <c r="AA1409">
        <v>1</v>
      </c>
    </row>
    <row r="1410" spans="1:27" x14ac:dyDescent="0.25">
      <c r="A1410" t="s">
        <v>98</v>
      </c>
      <c r="B1410" t="s">
        <v>519</v>
      </c>
      <c r="C1410" t="s">
        <v>1367</v>
      </c>
      <c r="D1410" t="s">
        <v>101</v>
      </c>
      <c r="E1410" t="s">
        <v>498</v>
      </c>
      <c r="G1410" t="s">
        <v>119</v>
      </c>
      <c r="H1410" t="s">
        <v>125</v>
      </c>
      <c r="I1410">
        <v>2016</v>
      </c>
      <c r="J1410" t="s">
        <v>517</v>
      </c>
      <c r="K1410" t="s">
        <v>127</v>
      </c>
      <c r="L1410" t="s">
        <v>1696</v>
      </c>
      <c r="M1410" t="s">
        <v>1705</v>
      </c>
      <c r="N1410">
        <v>1</v>
      </c>
      <c r="O1410">
        <v>2020</v>
      </c>
      <c r="P1410">
        <v>938.90648751460947</v>
      </c>
      <c r="Q1410">
        <v>150.92524263607899</v>
      </c>
      <c r="R1410" t="s">
        <v>391</v>
      </c>
      <c r="S1410">
        <v>6.2210036645663269</v>
      </c>
      <c r="T1410">
        <v>4.5</v>
      </c>
      <c r="U1410" t="s">
        <v>502</v>
      </c>
      <c r="V1410">
        <v>1.363636363636364</v>
      </c>
      <c r="W1410">
        <v>8</v>
      </c>
      <c r="X1410">
        <v>18</v>
      </c>
      <c r="Y1410">
        <v>14</v>
      </c>
      <c r="Z1410">
        <v>0.02</v>
      </c>
      <c r="AA1410">
        <v>1</v>
      </c>
    </row>
    <row r="1411" spans="1:27" x14ac:dyDescent="0.25">
      <c r="A1411" t="s">
        <v>1706</v>
      </c>
      <c r="M1411" t="s">
        <v>1706</v>
      </c>
      <c r="N1411" t="s">
        <v>1706</v>
      </c>
    </row>
    <row r="1412" spans="1:27" x14ac:dyDescent="0.25">
      <c r="A1412" t="s">
        <v>98</v>
      </c>
      <c r="B1412" t="s">
        <v>99</v>
      </c>
      <c r="C1412" t="s">
        <v>100</v>
      </c>
      <c r="D1412" t="s">
        <v>1707</v>
      </c>
      <c r="E1412" t="s">
        <v>102</v>
      </c>
      <c r="G1412" t="s">
        <v>103</v>
      </c>
      <c r="H1412" t="s">
        <v>104</v>
      </c>
      <c r="I1412">
        <v>2016</v>
      </c>
      <c r="J1412" t="s">
        <v>105</v>
      </c>
      <c r="K1412" t="s">
        <v>106</v>
      </c>
      <c r="L1412" t="s">
        <v>1708</v>
      </c>
      <c r="M1412" t="s">
        <v>1709</v>
      </c>
      <c r="N1412">
        <v>1</v>
      </c>
      <c r="O1412">
        <v>2020</v>
      </c>
      <c r="P1412">
        <v>2225.3303113170941</v>
      </c>
      <c r="Q1412">
        <v>1.8010645099426681</v>
      </c>
      <c r="R1412" t="s">
        <v>109</v>
      </c>
      <c r="S1412">
        <v>1235.5639118045419</v>
      </c>
      <c r="T1412">
        <v>0.61014999999999997</v>
      </c>
      <c r="U1412" t="s">
        <v>110</v>
      </c>
      <c r="V1412">
        <v>0.61014999999999997</v>
      </c>
      <c r="W1412">
        <v>6</v>
      </c>
      <c r="X1412">
        <v>20</v>
      </c>
      <c r="Y1412">
        <v>14</v>
      </c>
      <c r="Z1412">
        <v>0.24</v>
      </c>
      <c r="AA1412">
        <v>31.536000000000001</v>
      </c>
    </row>
    <row r="1413" spans="1:27" x14ac:dyDescent="0.25">
      <c r="A1413" t="s">
        <v>98</v>
      </c>
      <c r="B1413" t="s">
        <v>99</v>
      </c>
      <c r="C1413" t="s">
        <v>100</v>
      </c>
      <c r="D1413" t="s">
        <v>1707</v>
      </c>
      <c r="E1413" t="s">
        <v>102</v>
      </c>
      <c r="G1413" t="s">
        <v>111</v>
      </c>
      <c r="H1413" t="s">
        <v>104</v>
      </c>
      <c r="I1413">
        <v>2016</v>
      </c>
      <c r="J1413" t="s">
        <v>112</v>
      </c>
      <c r="K1413" t="s">
        <v>106</v>
      </c>
      <c r="L1413" t="s">
        <v>1708</v>
      </c>
      <c r="M1413" t="s">
        <v>1710</v>
      </c>
      <c r="N1413">
        <v>1</v>
      </c>
      <c r="O1413">
        <v>2020</v>
      </c>
      <c r="P1413">
        <v>2347.266218786523</v>
      </c>
      <c r="Q1413">
        <v>1.8010645099426681</v>
      </c>
      <c r="R1413" t="s">
        <v>109</v>
      </c>
      <c r="S1413">
        <v>1303.266043958216</v>
      </c>
      <c r="T1413">
        <v>0.63</v>
      </c>
      <c r="U1413" t="s">
        <v>110</v>
      </c>
      <c r="V1413">
        <v>0.63</v>
      </c>
      <c r="W1413">
        <v>6</v>
      </c>
      <c r="X1413">
        <v>20</v>
      </c>
      <c r="Y1413">
        <v>14</v>
      </c>
      <c r="Z1413">
        <v>0.24</v>
      </c>
      <c r="AA1413">
        <v>31.536000000000001</v>
      </c>
    </row>
    <row r="1414" spans="1:27" x14ac:dyDescent="0.25">
      <c r="A1414" t="s">
        <v>98</v>
      </c>
      <c r="B1414" t="s">
        <v>99</v>
      </c>
      <c r="C1414" t="s">
        <v>100</v>
      </c>
      <c r="D1414" t="s">
        <v>1707</v>
      </c>
      <c r="E1414" t="s">
        <v>102</v>
      </c>
      <c r="G1414" t="s">
        <v>114</v>
      </c>
      <c r="H1414" t="s">
        <v>104</v>
      </c>
      <c r="I1414">
        <v>2016</v>
      </c>
      <c r="J1414" t="s">
        <v>115</v>
      </c>
      <c r="K1414" t="s">
        <v>106</v>
      </c>
      <c r="L1414" t="s">
        <v>1708</v>
      </c>
      <c r="M1414" t="s">
        <v>1711</v>
      </c>
      <c r="N1414">
        <v>1</v>
      </c>
      <c r="O1414">
        <v>2020</v>
      </c>
      <c r="P1414">
        <v>2469.2021262559529</v>
      </c>
      <c r="Q1414">
        <v>1.8010645099426681</v>
      </c>
      <c r="R1414" t="s">
        <v>109</v>
      </c>
      <c r="S1414">
        <v>1370.9681761118891</v>
      </c>
      <c r="T1414">
        <v>0.66</v>
      </c>
      <c r="U1414" t="s">
        <v>110</v>
      </c>
      <c r="V1414">
        <v>0.66</v>
      </c>
      <c r="W1414">
        <v>6</v>
      </c>
      <c r="X1414">
        <v>20</v>
      </c>
      <c r="Y1414">
        <v>14</v>
      </c>
      <c r="Z1414">
        <v>0.24</v>
      </c>
      <c r="AA1414">
        <v>31.536000000000001</v>
      </c>
    </row>
    <row r="1415" spans="1:27" x14ac:dyDescent="0.25">
      <c r="A1415" t="s">
        <v>98</v>
      </c>
      <c r="B1415" t="s">
        <v>99</v>
      </c>
      <c r="C1415" t="s">
        <v>100</v>
      </c>
      <c r="D1415" t="s">
        <v>1707</v>
      </c>
      <c r="E1415" t="s">
        <v>102</v>
      </c>
      <c r="G1415" t="s">
        <v>114</v>
      </c>
      <c r="H1415" t="s">
        <v>104</v>
      </c>
      <c r="I1415">
        <v>2023</v>
      </c>
      <c r="J1415" t="s">
        <v>117</v>
      </c>
      <c r="K1415" t="s">
        <v>106</v>
      </c>
      <c r="L1415" t="s">
        <v>1708</v>
      </c>
      <c r="M1415" t="s">
        <v>1712</v>
      </c>
      <c r="N1415">
        <v>1</v>
      </c>
      <c r="O1415">
        <v>2023</v>
      </c>
      <c r="P1415">
        <v>3865.2553631628971</v>
      </c>
      <c r="Q1415">
        <v>1.8010645099426681</v>
      </c>
      <c r="R1415" t="s">
        <v>109</v>
      </c>
      <c r="S1415">
        <v>2146.09490211205</v>
      </c>
      <c r="T1415">
        <v>0.83499999999999996</v>
      </c>
      <c r="U1415" t="s">
        <v>110</v>
      </c>
      <c r="V1415">
        <v>0.83499999999999996</v>
      </c>
      <c r="W1415">
        <v>6</v>
      </c>
      <c r="X1415">
        <v>20</v>
      </c>
      <c r="Y1415">
        <v>14</v>
      </c>
      <c r="Z1415">
        <v>0.24</v>
      </c>
      <c r="AA1415">
        <v>31.536000000000001</v>
      </c>
    </row>
    <row r="1416" spans="1:27" x14ac:dyDescent="0.25">
      <c r="A1416" t="s">
        <v>98</v>
      </c>
      <c r="B1416" t="s">
        <v>99</v>
      </c>
      <c r="C1416" t="s">
        <v>100</v>
      </c>
      <c r="D1416" t="s">
        <v>1707</v>
      </c>
      <c r="E1416" t="s">
        <v>102</v>
      </c>
      <c r="G1416" t="s">
        <v>119</v>
      </c>
      <c r="H1416" t="s">
        <v>104</v>
      </c>
      <c r="I1416">
        <v>2016</v>
      </c>
      <c r="J1416" t="s">
        <v>120</v>
      </c>
      <c r="K1416" t="s">
        <v>106</v>
      </c>
      <c r="L1416" t="s">
        <v>1708</v>
      </c>
      <c r="M1416" t="s">
        <v>1713</v>
      </c>
      <c r="N1416">
        <v>0</v>
      </c>
      <c r="O1416">
        <v>2020</v>
      </c>
      <c r="P1416">
        <v>3749.5291546849662</v>
      </c>
      <c r="Q1416">
        <v>1.8010645099426681</v>
      </c>
      <c r="R1416" t="s">
        <v>109</v>
      </c>
      <c r="S1416">
        <v>2081.8405637254609</v>
      </c>
      <c r="T1416">
        <v>0.81</v>
      </c>
      <c r="U1416" t="s">
        <v>110</v>
      </c>
      <c r="V1416">
        <v>0.81</v>
      </c>
      <c r="W1416">
        <v>6</v>
      </c>
      <c r="X1416">
        <v>20</v>
      </c>
      <c r="Y1416">
        <v>14</v>
      </c>
      <c r="Z1416">
        <v>0.24</v>
      </c>
      <c r="AA1416">
        <v>31.536000000000001</v>
      </c>
    </row>
    <row r="1417" spans="1:27" x14ac:dyDescent="0.25">
      <c r="A1417" t="s">
        <v>98</v>
      </c>
      <c r="B1417" t="s">
        <v>99</v>
      </c>
      <c r="C1417" t="s">
        <v>100</v>
      </c>
      <c r="D1417" t="s">
        <v>1707</v>
      </c>
      <c r="E1417" t="s">
        <v>102</v>
      </c>
      <c r="G1417" t="s">
        <v>119</v>
      </c>
      <c r="H1417" t="s">
        <v>104</v>
      </c>
      <c r="I1417">
        <v>2018</v>
      </c>
      <c r="J1417" t="s">
        <v>122</v>
      </c>
      <c r="K1417" t="s">
        <v>106</v>
      </c>
      <c r="L1417" t="s">
        <v>1708</v>
      </c>
      <c r="M1417" t="s">
        <v>1713</v>
      </c>
      <c r="N1417">
        <v>1</v>
      </c>
      <c r="O1417">
        <v>2020</v>
      </c>
      <c r="P1417">
        <v>3749.5291546849662</v>
      </c>
      <c r="Q1417">
        <v>1.8010645099426681</v>
      </c>
      <c r="R1417" t="s">
        <v>109</v>
      </c>
      <c r="S1417">
        <v>2081.8405637254609</v>
      </c>
      <c r="T1417">
        <v>0.81</v>
      </c>
      <c r="U1417" t="s">
        <v>110</v>
      </c>
      <c r="V1417">
        <v>0.81</v>
      </c>
      <c r="W1417">
        <v>6</v>
      </c>
      <c r="X1417">
        <v>20</v>
      </c>
      <c r="Y1417">
        <v>14</v>
      </c>
      <c r="Z1417">
        <v>0.24</v>
      </c>
      <c r="AA1417">
        <v>31.536000000000001</v>
      </c>
    </row>
    <row r="1418" spans="1:27" x14ac:dyDescent="0.25">
      <c r="A1418" t="s">
        <v>98</v>
      </c>
      <c r="B1418" t="s">
        <v>99</v>
      </c>
      <c r="C1418" t="s">
        <v>100</v>
      </c>
      <c r="D1418" t="s">
        <v>1707</v>
      </c>
      <c r="E1418" t="s">
        <v>102</v>
      </c>
      <c r="G1418" t="s">
        <v>119</v>
      </c>
      <c r="H1418" t="s">
        <v>104</v>
      </c>
      <c r="I1418">
        <v>2022</v>
      </c>
      <c r="J1418" t="s">
        <v>123</v>
      </c>
      <c r="K1418" t="s">
        <v>106</v>
      </c>
      <c r="L1418" t="s">
        <v>1708</v>
      </c>
      <c r="M1418" t="s">
        <v>1714</v>
      </c>
      <c r="N1418">
        <v>1</v>
      </c>
      <c r="O1418">
        <v>2022</v>
      </c>
      <c r="P1418">
        <v>3749.5291546849662</v>
      </c>
      <c r="Q1418">
        <v>1.8010645099426681</v>
      </c>
      <c r="R1418" t="s">
        <v>109</v>
      </c>
      <c r="S1418">
        <v>2081.8405637254609</v>
      </c>
      <c r="T1418">
        <v>0.81</v>
      </c>
      <c r="U1418" t="s">
        <v>110</v>
      </c>
      <c r="V1418">
        <v>0.81</v>
      </c>
      <c r="W1418">
        <v>6</v>
      </c>
      <c r="X1418">
        <v>20</v>
      </c>
      <c r="Y1418">
        <v>14</v>
      </c>
      <c r="Z1418">
        <v>0.24</v>
      </c>
      <c r="AA1418">
        <v>31.536000000000001</v>
      </c>
    </row>
    <row r="1419" spans="1:27" x14ac:dyDescent="0.25">
      <c r="A1419" t="s">
        <v>98</v>
      </c>
      <c r="B1419" t="s">
        <v>99</v>
      </c>
      <c r="C1419" t="s">
        <v>100</v>
      </c>
      <c r="D1419" t="s">
        <v>1707</v>
      </c>
      <c r="E1419" t="s">
        <v>102</v>
      </c>
      <c r="G1419" t="s">
        <v>103</v>
      </c>
      <c r="H1419" t="s">
        <v>125</v>
      </c>
      <c r="I1419">
        <v>2016</v>
      </c>
      <c r="J1419" t="s">
        <v>126</v>
      </c>
      <c r="K1419" t="s">
        <v>127</v>
      </c>
      <c r="L1419" t="s">
        <v>1708</v>
      </c>
      <c r="M1419" t="s">
        <v>1715</v>
      </c>
      <c r="N1419">
        <v>1</v>
      </c>
      <c r="O1419">
        <v>2020</v>
      </c>
      <c r="P1419">
        <v>945.00328288808089</v>
      </c>
      <c r="Q1419">
        <v>1.8010645099426681</v>
      </c>
      <c r="R1419" t="s">
        <v>109</v>
      </c>
      <c r="S1419">
        <v>524.69152419096986</v>
      </c>
      <c r="T1419">
        <v>0.91554999999999997</v>
      </c>
      <c r="U1419" t="s">
        <v>110</v>
      </c>
      <c r="V1419">
        <v>0.91554999999999997</v>
      </c>
      <c r="W1419">
        <v>6</v>
      </c>
      <c r="X1419">
        <v>20</v>
      </c>
      <c r="Y1419">
        <v>14</v>
      </c>
      <c r="Z1419">
        <v>0.24</v>
      </c>
      <c r="AA1419">
        <v>31.536000000000001</v>
      </c>
    </row>
    <row r="1420" spans="1:27" x14ac:dyDescent="0.25">
      <c r="A1420" t="s">
        <v>98</v>
      </c>
      <c r="B1420" t="s">
        <v>99</v>
      </c>
      <c r="C1420" t="s">
        <v>100</v>
      </c>
      <c r="D1420" t="s">
        <v>1707</v>
      </c>
      <c r="E1420" t="s">
        <v>102</v>
      </c>
      <c r="G1420" t="s">
        <v>111</v>
      </c>
      <c r="H1420" t="s">
        <v>125</v>
      </c>
      <c r="I1420">
        <v>2016</v>
      </c>
      <c r="J1420" t="s">
        <v>129</v>
      </c>
      <c r="K1420" t="s">
        <v>127</v>
      </c>
      <c r="L1420" t="s">
        <v>1708</v>
      </c>
      <c r="M1420" t="s">
        <v>1716</v>
      </c>
      <c r="N1420">
        <v>1</v>
      </c>
      <c r="O1420">
        <v>2020</v>
      </c>
      <c r="P1420">
        <v>1036.455213490153</v>
      </c>
      <c r="Q1420">
        <v>1.8010645099426681</v>
      </c>
      <c r="R1420" t="s">
        <v>109</v>
      </c>
      <c r="S1420">
        <v>575.46812330622504</v>
      </c>
      <c r="T1420">
        <v>0.93</v>
      </c>
      <c r="U1420" t="s">
        <v>110</v>
      </c>
      <c r="V1420">
        <v>0.93</v>
      </c>
      <c r="W1420">
        <v>6</v>
      </c>
      <c r="X1420">
        <v>20</v>
      </c>
      <c r="Y1420">
        <v>14</v>
      </c>
      <c r="Z1420">
        <v>0.24</v>
      </c>
      <c r="AA1420">
        <v>31.536000000000001</v>
      </c>
    </row>
    <row r="1421" spans="1:27" x14ac:dyDescent="0.25">
      <c r="A1421" t="s">
        <v>98</v>
      </c>
      <c r="B1421" t="s">
        <v>99</v>
      </c>
      <c r="C1421" t="s">
        <v>100</v>
      </c>
      <c r="D1421" t="s">
        <v>1707</v>
      </c>
      <c r="E1421" t="s">
        <v>102</v>
      </c>
      <c r="G1421" t="s">
        <v>119</v>
      </c>
      <c r="H1421" t="s">
        <v>125</v>
      </c>
      <c r="I1421">
        <v>2016</v>
      </c>
      <c r="J1421" t="s">
        <v>131</v>
      </c>
      <c r="K1421" t="s">
        <v>127</v>
      </c>
      <c r="L1421" t="s">
        <v>1708</v>
      </c>
      <c r="M1421" t="s">
        <v>1717</v>
      </c>
      <c r="N1421">
        <v>1</v>
      </c>
      <c r="O1421">
        <v>2020</v>
      </c>
      <c r="P1421">
        <v>1493.714866500515</v>
      </c>
      <c r="Q1421">
        <v>1.8010645099426681</v>
      </c>
      <c r="R1421" t="s">
        <v>109</v>
      </c>
      <c r="S1421">
        <v>829.35111888250083</v>
      </c>
      <c r="T1421">
        <v>0.95</v>
      </c>
      <c r="U1421" t="s">
        <v>110</v>
      </c>
      <c r="V1421">
        <v>0.95</v>
      </c>
      <c r="W1421">
        <v>6</v>
      </c>
      <c r="X1421">
        <v>20</v>
      </c>
      <c r="Y1421">
        <v>14</v>
      </c>
      <c r="Z1421">
        <v>0.24</v>
      </c>
      <c r="AA1421">
        <v>31.536000000000001</v>
      </c>
    </row>
    <row r="1422" spans="1:27" x14ac:dyDescent="0.25">
      <c r="A1422" t="s">
        <v>98</v>
      </c>
      <c r="B1422" t="s">
        <v>99</v>
      </c>
      <c r="C1422" t="s">
        <v>100</v>
      </c>
      <c r="D1422" t="s">
        <v>1707</v>
      </c>
      <c r="E1422" t="s">
        <v>102</v>
      </c>
      <c r="G1422" t="s">
        <v>133</v>
      </c>
      <c r="H1422" t="s">
        <v>125</v>
      </c>
      <c r="I1422">
        <v>2016</v>
      </c>
      <c r="J1422" t="s">
        <v>134</v>
      </c>
      <c r="K1422" t="s">
        <v>127</v>
      </c>
      <c r="L1422" t="s">
        <v>1708</v>
      </c>
      <c r="M1422" t="s">
        <v>1718</v>
      </c>
      <c r="N1422">
        <v>1</v>
      </c>
      <c r="O1422">
        <v>2020</v>
      </c>
      <c r="P1422">
        <v>2530.170079990668</v>
      </c>
      <c r="Q1422">
        <v>1.8010645099426681</v>
      </c>
      <c r="R1422" t="s">
        <v>109</v>
      </c>
      <c r="S1422">
        <v>1404.8192421887261</v>
      </c>
      <c r="T1422">
        <v>3.28</v>
      </c>
      <c r="U1422" t="s">
        <v>110</v>
      </c>
      <c r="V1422">
        <v>3.28</v>
      </c>
      <c r="W1422">
        <v>6</v>
      </c>
      <c r="X1422">
        <v>20</v>
      </c>
      <c r="Y1422">
        <v>14</v>
      </c>
      <c r="Z1422">
        <v>0.24</v>
      </c>
      <c r="AA1422">
        <v>31.536000000000001</v>
      </c>
    </row>
    <row r="1423" spans="1:27" x14ac:dyDescent="0.25">
      <c r="A1423" t="s">
        <v>98</v>
      </c>
      <c r="B1423" t="s">
        <v>99</v>
      </c>
      <c r="C1423" t="s">
        <v>100</v>
      </c>
      <c r="D1423" t="s">
        <v>1707</v>
      </c>
      <c r="E1423" t="s">
        <v>102</v>
      </c>
      <c r="G1423" t="s">
        <v>133</v>
      </c>
      <c r="H1423" t="s">
        <v>125</v>
      </c>
      <c r="I1423">
        <v>2022</v>
      </c>
      <c r="J1423" t="s">
        <v>136</v>
      </c>
      <c r="K1423" t="s">
        <v>127</v>
      </c>
      <c r="L1423" t="s">
        <v>1708</v>
      </c>
      <c r="M1423" t="s">
        <v>1719</v>
      </c>
      <c r="N1423">
        <v>1</v>
      </c>
      <c r="O1423">
        <v>2022</v>
      </c>
      <c r="P1423">
        <v>2530.170079990668</v>
      </c>
      <c r="Q1423">
        <v>1.8010645099426681</v>
      </c>
      <c r="R1423" t="s">
        <v>109</v>
      </c>
      <c r="S1423">
        <v>1404.8192421887261</v>
      </c>
      <c r="T1423">
        <v>3.28</v>
      </c>
      <c r="U1423" t="s">
        <v>110</v>
      </c>
      <c r="V1423">
        <v>3.28</v>
      </c>
      <c r="W1423">
        <v>6</v>
      </c>
      <c r="X1423">
        <v>20</v>
      </c>
      <c r="Y1423">
        <v>14</v>
      </c>
      <c r="Z1423">
        <v>0.24</v>
      </c>
      <c r="AA1423">
        <v>31.536000000000001</v>
      </c>
    </row>
    <row r="1424" spans="1:27" x14ac:dyDescent="0.25">
      <c r="A1424" t="s">
        <v>98</v>
      </c>
      <c r="B1424" t="s">
        <v>99</v>
      </c>
      <c r="C1424" t="s">
        <v>100</v>
      </c>
      <c r="D1424" t="s">
        <v>1707</v>
      </c>
      <c r="E1424" t="s">
        <v>102</v>
      </c>
      <c r="G1424" t="s">
        <v>138</v>
      </c>
      <c r="H1424" t="s">
        <v>125</v>
      </c>
      <c r="I1424">
        <v>2016</v>
      </c>
      <c r="J1424" t="s">
        <v>139</v>
      </c>
      <c r="K1424" t="s">
        <v>127</v>
      </c>
      <c r="L1424" t="s">
        <v>1708</v>
      </c>
      <c r="M1424" t="s">
        <v>1720</v>
      </c>
      <c r="N1424">
        <v>1</v>
      </c>
      <c r="O1424">
        <v>2020</v>
      </c>
      <c r="P1424">
        <v>2316.7822419191662</v>
      </c>
      <c r="Q1424">
        <v>1.8010645099426681</v>
      </c>
      <c r="R1424" t="s">
        <v>109</v>
      </c>
      <c r="S1424">
        <v>1286.340510919797</v>
      </c>
      <c r="T1424">
        <v>2</v>
      </c>
      <c r="U1424" t="s">
        <v>110</v>
      </c>
      <c r="V1424">
        <v>2</v>
      </c>
      <c r="W1424">
        <v>6</v>
      </c>
      <c r="X1424">
        <v>20</v>
      </c>
      <c r="Y1424">
        <v>14</v>
      </c>
      <c r="Z1424">
        <v>0.24</v>
      </c>
      <c r="AA1424">
        <v>31.536000000000001</v>
      </c>
    </row>
    <row r="1425" spans="1:27" x14ac:dyDescent="0.25">
      <c r="A1425" t="s">
        <v>98</v>
      </c>
      <c r="B1425" t="s">
        <v>99</v>
      </c>
      <c r="C1425" t="s">
        <v>100</v>
      </c>
      <c r="D1425" t="s">
        <v>1707</v>
      </c>
      <c r="E1425" t="s">
        <v>102</v>
      </c>
      <c r="G1425" t="s">
        <v>138</v>
      </c>
      <c r="H1425" t="s">
        <v>125</v>
      </c>
      <c r="I1425">
        <v>2022</v>
      </c>
      <c r="J1425" t="s">
        <v>141</v>
      </c>
      <c r="K1425" t="s">
        <v>127</v>
      </c>
      <c r="L1425" t="s">
        <v>1708</v>
      </c>
      <c r="M1425" t="s">
        <v>1721</v>
      </c>
      <c r="N1425">
        <v>1</v>
      </c>
      <c r="O1425">
        <v>2022</v>
      </c>
      <c r="P1425">
        <v>2805.3845753706141</v>
      </c>
      <c r="Q1425">
        <v>1.8010645099426681</v>
      </c>
      <c r="R1425" t="s">
        <v>109</v>
      </c>
      <c r="S1425">
        <v>1557.625815113038</v>
      </c>
      <c r="T1425">
        <v>3.3</v>
      </c>
      <c r="U1425" t="s">
        <v>110</v>
      </c>
      <c r="V1425">
        <v>3.3</v>
      </c>
      <c r="W1425">
        <v>6</v>
      </c>
      <c r="X1425">
        <v>20</v>
      </c>
      <c r="Y1425">
        <v>14</v>
      </c>
      <c r="Z1425">
        <v>0.24</v>
      </c>
      <c r="AA1425">
        <v>31.536000000000001</v>
      </c>
    </row>
    <row r="1426" spans="1:27" x14ac:dyDescent="0.25">
      <c r="A1426" t="s">
        <v>98</v>
      </c>
      <c r="B1426" t="s">
        <v>99</v>
      </c>
      <c r="C1426" t="s">
        <v>100</v>
      </c>
      <c r="D1426" t="s">
        <v>1707</v>
      </c>
      <c r="E1426" t="s">
        <v>102</v>
      </c>
      <c r="G1426" t="s">
        <v>143</v>
      </c>
      <c r="H1426" t="s">
        <v>125</v>
      </c>
      <c r="I1426">
        <v>2016</v>
      </c>
      <c r="J1426" t="s">
        <v>144</v>
      </c>
      <c r="K1426" t="s">
        <v>127</v>
      </c>
      <c r="L1426" t="s">
        <v>1708</v>
      </c>
      <c r="M1426" t="s">
        <v>1722</v>
      </c>
      <c r="N1426">
        <v>1</v>
      </c>
      <c r="O1426">
        <v>2020</v>
      </c>
      <c r="P1426">
        <v>3017.9137098683868</v>
      </c>
      <c r="Q1426">
        <v>1.8010645099426681</v>
      </c>
      <c r="R1426" t="s">
        <v>109</v>
      </c>
      <c r="S1426">
        <v>1675.6277708034199</v>
      </c>
      <c r="T1426">
        <v>3.55</v>
      </c>
      <c r="U1426" t="s">
        <v>110</v>
      </c>
      <c r="V1426">
        <v>3.55</v>
      </c>
      <c r="W1426">
        <v>6</v>
      </c>
      <c r="X1426">
        <v>20</v>
      </c>
      <c r="Y1426">
        <v>14</v>
      </c>
      <c r="Z1426">
        <v>0.24</v>
      </c>
      <c r="AA1426">
        <v>31.536000000000001</v>
      </c>
    </row>
    <row r="1427" spans="1:27" x14ac:dyDescent="0.25">
      <c r="A1427" t="s">
        <v>98</v>
      </c>
      <c r="B1427" t="s">
        <v>99</v>
      </c>
      <c r="C1427" t="s">
        <v>100</v>
      </c>
      <c r="D1427" t="s">
        <v>1707</v>
      </c>
      <c r="E1427" t="s">
        <v>102</v>
      </c>
      <c r="G1427" t="s">
        <v>143</v>
      </c>
      <c r="H1427" t="s">
        <v>125</v>
      </c>
      <c r="I1427">
        <v>2022</v>
      </c>
      <c r="J1427" t="s">
        <v>146</v>
      </c>
      <c r="K1427" t="s">
        <v>127</v>
      </c>
      <c r="L1427" t="s">
        <v>1708</v>
      </c>
      <c r="M1427" t="s">
        <v>1723</v>
      </c>
      <c r="N1427">
        <v>1</v>
      </c>
      <c r="O1427">
        <v>2022</v>
      </c>
      <c r="P1427">
        <v>3017.9137098683868</v>
      </c>
      <c r="Q1427">
        <v>1.8010645099426681</v>
      </c>
      <c r="R1427" t="s">
        <v>109</v>
      </c>
      <c r="S1427">
        <v>1675.6277708034199</v>
      </c>
      <c r="T1427">
        <v>3.55</v>
      </c>
      <c r="U1427" t="s">
        <v>110</v>
      </c>
      <c r="V1427">
        <v>3.55</v>
      </c>
      <c r="W1427">
        <v>6</v>
      </c>
      <c r="X1427">
        <v>20</v>
      </c>
      <c r="Y1427">
        <v>14</v>
      </c>
      <c r="Z1427">
        <v>0.24</v>
      </c>
      <c r="AA1427">
        <v>31.536000000000001</v>
      </c>
    </row>
    <row r="1428" spans="1:27" x14ac:dyDescent="0.25">
      <c r="A1428" t="s">
        <v>98</v>
      </c>
      <c r="B1428" t="s">
        <v>99</v>
      </c>
      <c r="C1428" t="s">
        <v>100</v>
      </c>
      <c r="D1428" t="s">
        <v>1707</v>
      </c>
      <c r="E1428" t="s">
        <v>102</v>
      </c>
      <c r="G1428" t="s">
        <v>103</v>
      </c>
      <c r="H1428" t="s">
        <v>148</v>
      </c>
      <c r="I1428">
        <v>2016</v>
      </c>
      <c r="J1428" t="s">
        <v>149</v>
      </c>
      <c r="K1428" t="s">
        <v>150</v>
      </c>
      <c r="L1428" t="s">
        <v>1708</v>
      </c>
      <c r="M1428" t="s">
        <v>1724</v>
      </c>
      <c r="N1428">
        <v>1</v>
      </c>
      <c r="O1428">
        <v>2020</v>
      </c>
      <c r="P1428">
        <v>2926.4617792663148</v>
      </c>
      <c r="Q1428">
        <v>1.8010645099426681</v>
      </c>
      <c r="R1428" t="s">
        <v>109</v>
      </c>
      <c r="S1428">
        <v>1624.8511716881651</v>
      </c>
      <c r="T1428">
        <v>0.63670000000000004</v>
      </c>
      <c r="U1428" t="s">
        <v>110</v>
      </c>
      <c r="V1428">
        <v>0.63670000000000004</v>
      </c>
      <c r="W1428">
        <v>6</v>
      </c>
      <c r="X1428">
        <v>20</v>
      </c>
      <c r="Y1428">
        <v>14</v>
      </c>
      <c r="Z1428">
        <v>0.24</v>
      </c>
      <c r="AA1428">
        <v>31.536000000000001</v>
      </c>
    </row>
    <row r="1429" spans="1:27" x14ac:dyDescent="0.25">
      <c r="A1429" t="s">
        <v>98</v>
      </c>
      <c r="B1429" t="s">
        <v>99</v>
      </c>
      <c r="C1429" t="s">
        <v>100</v>
      </c>
      <c r="D1429" t="s">
        <v>1707</v>
      </c>
      <c r="E1429" t="s">
        <v>102</v>
      </c>
      <c r="G1429" t="s">
        <v>111</v>
      </c>
      <c r="H1429" t="s">
        <v>148</v>
      </c>
      <c r="I1429">
        <v>2016</v>
      </c>
      <c r="J1429" t="s">
        <v>152</v>
      </c>
      <c r="K1429" t="s">
        <v>150</v>
      </c>
      <c r="L1429" t="s">
        <v>1708</v>
      </c>
      <c r="M1429" t="s">
        <v>1725</v>
      </c>
      <c r="N1429">
        <v>1</v>
      </c>
      <c r="O1429">
        <v>2020</v>
      </c>
      <c r="P1429">
        <v>3109.3656404704602</v>
      </c>
      <c r="Q1429">
        <v>1.8010645099426681</v>
      </c>
      <c r="R1429" t="s">
        <v>109</v>
      </c>
      <c r="S1429">
        <v>1726.404369918675</v>
      </c>
      <c r="T1429">
        <v>0.67</v>
      </c>
      <c r="U1429" t="s">
        <v>110</v>
      </c>
      <c r="V1429">
        <v>0.67</v>
      </c>
      <c r="W1429">
        <v>6</v>
      </c>
      <c r="X1429">
        <v>20</v>
      </c>
      <c r="Y1429">
        <v>14</v>
      </c>
      <c r="Z1429">
        <v>0.24</v>
      </c>
      <c r="AA1429">
        <v>31.536000000000001</v>
      </c>
    </row>
    <row r="1430" spans="1:27" x14ac:dyDescent="0.25">
      <c r="A1430" t="s">
        <v>98</v>
      </c>
      <c r="B1430" t="s">
        <v>99</v>
      </c>
      <c r="C1430" t="s">
        <v>100</v>
      </c>
      <c r="D1430" t="s">
        <v>1707</v>
      </c>
      <c r="E1430" t="s">
        <v>102</v>
      </c>
      <c r="G1430" t="s">
        <v>119</v>
      </c>
      <c r="H1430" t="s">
        <v>148</v>
      </c>
      <c r="I1430">
        <v>2016</v>
      </c>
      <c r="J1430" t="s">
        <v>154</v>
      </c>
      <c r="K1430" t="s">
        <v>150</v>
      </c>
      <c r="L1430" t="s">
        <v>1708</v>
      </c>
      <c r="M1430" t="s">
        <v>1726</v>
      </c>
      <c r="N1430">
        <v>1</v>
      </c>
      <c r="O1430">
        <v>2020</v>
      </c>
      <c r="P1430">
        <v>3078.881663603102</v>
      </c>
      <c r="Q1430">
        <v>1.8010645099426681</v>
      </c>
      <c r="R1430" t="s">
        <v>109</v>
      </c>
      <c r="S1430">
        <v>1709.4788368802569</v>
      </c>
      <c r="T1430">
        <v>0.69</v>
      </c>
      <c r="U1430" t="s">
        <v>110</v>
      </c>
      <c r="V1430">
        <v>0.69</v>
      </c>
      <c r="W1430">
        <v>6</v>
      </c>
      <c r="X1430">
        <v>20</v>
      </c>
      <c r="Y1430">
        <v>14</v>
      </c>
      <c r="Z1430">
        <v>0.24</v>
      </c>
      <c r="AA1430">
        <v>31.536000000000001</v>
      </c>
    </row>
    <row r="1431" spans="1:27" x14ac:dyDescent="0.25">
      <c r="A1431" t="s">
        <v>98</v>
      </c>
      <c r="B1431" t="s">
        <v>99</v>
      </c>
      <c r="C1431" t="s">
        <v>100</v>
      </c>
      <c r="D1431" t="s">
        <v>1707</v>
      </c>
      <c r="E1431" t="s">
        <v>102</v>
      </c>
      <c r="G1431" t="s">
        <v>103</v>
      </c>
      <c r="H1431" t="s">
        <v>156</v>
      </c>
      <c r="I1431">
        <v>2016</v>
      </c>
      <c r="J1431" t="s">
        <v>157</v>
      </c>
      <c r="K1431" t="s">
        <v>158</v>
      </c>
      <c r="L1431" t="s">
        <v>1708</v>
      </c>
      <c r="M1431" t="s">
        <v>1727</v>
      </c>
      <c r="N1431">
        <v>1</v>
      </c>
      <c r="O1431">
        <v>2020</v>
      </c>
      <c r="P1431">
        <v>2225.3303113170941</v>
      </c>
      <c r="Q1431">
        <v>1.8010645099426681</v>
      </c>
      <c r="R1431" t="s">
        <v>109</v>
      </c>
      <c r="S1431">
        <v>1235.5639118045419</v>
      </c>
      <c r="T1431">
        <v>0.61014999999999997</v>
      </c>
      <c r="U1431" t="s">
        <v>110</v>
      </c>
      <c r="V1431">
        <v>0.61014999999999997</v>
      </c>
      <c r="W1431">
        <v>6</v>
      </c>
      <c r="X1431">
        <v>20</v>
      </c>
      <c r="Y1431">
        <v>14</v>
      </c>
      <c r="Z1431">
        <v>0.24</v>
      </c>
      <c r="AA1431">
        <v>31.536000000000001</v>
      </c>
    </row>
    <row r="1432" spans="1:27" x14ac:dyDescent="0.25">
      <c r="A1432" t="s">
        <v>98</v>
      </c>
      <c r="B1432" t="s">
        <v>99</v>
      </c>
      <c r="C1432" t="s">
        <v>100</v>
      </c>
      <c r="D1432" t="s">
        <v>1707</v>
      </c>
      <c r="E1432" t="s">
        <v>102</v>
      </c>
      <c r="G1432" t="s">
        <v>111</v>
      </c>
      <c r="H1432" t="s">
        <v>156</v>
      </c>
      <c r="I1432">
        <v>2016</v>
      </c>
      <c r="J1432" t="s">
        <v>160</v>
      </c>
      <c r="K1432" t="s">
        <v>158</v>
      </c>
      <c r="L1432" t="s">
        <v>1708</v>
      </c>
      <c r="M1432" t="s">
        <v>1728</v>
      </c>
      <c r="N1432">
        <v>1</v>
      </c>
      <c r="O1432">
        <v>2020</v>
      </c>
      <c r="P1432">
        <v>2347.266218786523</v>
      </c>
      <c r="Q1432">
        <v>1.8010645099426681</v>
      </c>
      <c r="R1432" t="s">
        <v>109</v>
      </c>
      <c r="S1432">
        <v>1303.266043958216</v>
      </c>
      <c r="T1432">
        <v>0.63</v>
      </c>
      <c r="U1432" t="s">
        <v>110</v>
      </c>
      <c r="V1432">
        <v>0.63</v>
      </c>
      <c r="W1432">
        <v>6</v>
      </c>
      <c r="X1432">
        <v>20</v>
      </c>
      <c r="Y1432">
        <v>14</v>
      </c>
      <c r="Z1432">
        <v>0.24</v>
      </c>
      <c r="AA1432">
        <v>31.536000000000001</v>
      </c>
    </row>
    <row r="1433" spans="1:27" x14ac:dyDescent="0.25">
      <c r="A1433" t="s">
        <v>98</v>
      </c>
      <c r="B1433" t="s">
        <v>99</v>
      </c>
      <c r="C1433" t="s">
        <v>100</v>
      </c>
      <c r="D1433" t="s">
        <v>1707</v>
      </c>
      <c r="E1433" t="s">
        <v>102</v>
      </c>
      <c r="G1433" t="s">
        <v>114</v>
      </c>
      <c r="H1433" t="s">
        <v>156</v>
      </c>
      <c r="I1433">
        <v>2016</v>
      </c>
      <c r="J1433" t="s">
        <v>162</v>
      </c>
      <c r="K1433" t="s">
        <v>158</v>
      </c>
      <c r="L1433" t="s">
        <v>1708</v>
      </c>
      <c r="M1433" t="s">
        <v>1729</v>
      </c>
      <c r="N1433">
        <v>1</v>
      </c>
      <c r="O1433">
        <v>2020</v>
      </c>
      <c r="P1433">
        <v>2469.2021262559529</v>
      </c>
      <c r="Q1433">
        <v>1.8010645099426681</v>
      </c>
      <c r="R1433" t="s">
        <v>109</v>
      </c>
      <c r="S1433">
        <v>1370.9681761118891</v>
      </c>
      <c r="T1433">
        <v>0.66</v>
      </c>
      <c r="U1433" t="s">
        <v>110</v>
      </c>
      <c r="V1433">
        <v>0.66</v>
      </c>
      <c r="W1433">
        <v>6</v>
      </c>
      <c r="X1433">
        <v>20</v>
      </c>
      <c r="Y1433">
        <v>14</v>
      </c>
      <c r="Z1433">
        <v>0.24</v>
      </c>
      <c r="AA1433">
        <v>31.536000000000001</v>
      </c>
    </row>
    <row r="1434" spans="1:27" x14ac:dyDescent="0.25">
      <c r="A1434" t="s">
        <v>98</v>
      </c>
      <c r="B1434" t="s">
        <v>99</v>
      </c>
      <c r="C1434" t="s">
        <v>100</v>
      </c>
      <c r="D1434" t="s">
        <v>1707</v>
      </c>
      <c r="E1434" t="s">
        <v>102</v>
      </c>
      <c r="G1434" t="s">
        <v>114</v>
      </c>
      <c r="H1434" t="s">
        <v>156</v>
      </c>
      <c r="I1434">
        <v>2023</v>
      </c>
      <c r="J1434" t="s">
        <v>164</v>
      </c>
      <c r="K1434" t="s">
        <v>158</v>
      </c>
      <c r="L1434" t="s">
        <v>1708</v>
      </c>
      <c r="M1434" t="s">
        <v>1730</v>
      </c>
      <c r="N1434">
        <v>1</v>
      </c>
      <c r="O1434">
        <v>2023</v>
      </c>
      <c r="P1434">
        <v>3865.2553631628971</v>
      </c>
      <c r="Q1434">
        <v>1.8010645099426681</v>
      </c>
      <c r="R1434" t="s">
        <v>109</v>
      </c>
      <c r="S1434">
        <v>2146.09490211205</v>
      </c>
      <c r="T1434">
        <v>0.83499999999999996</v>
      </c>
      <c r="U1434" t="s">
        <v>110</v>
      </c>
      <c r="V1434">
        <v>0.83499999999999996</v>
      </c>
      <c r="W1434">
        <v>6</v>
      </c>
      <c r="X1434">
        <v>20</v>
      </c>
      <c r="Y1434">
        <v>14</v>
      </c>
      <c r="Z1434">
        <v>0.24</v>
      </c>
      <c r="AA1434">
        <v>31.536000000000001</v>
      </c>
    </row>
    <row r="1435" spans="1:27" x14ac:dyDescent="0.25">
      <c r="A1435" t="s">
        <v>98</v>
      </c>
      <c r="B1435" t="s">
        <v>99</v>
      </c>
      <c r="C1435" t="s">
        <v>100</v>
      </c>
      <c r="D1435" t="s">
        <v>1707</v>
      </c>
      <c r="E1435" t="s">
        <v>102</v>
      </c>
      <c r="G1435" t="s">
        <v>119</v>
      </c>
      <c r="H1435" t="s">
        <v>156</v>
      </c>
      <c r="I1435">
        <v>2016</v>
      </c>
      <c r="J1435" t="s">
        <v>166</v>
      </c>
      <c r="K1435" t="s">
        <v>158</v>
      </c>
      <c r="L1435" t="s">
        <v>1708</v>
      </c>
      <c r="M1435" t="s">
        <v>1731</v>
      </c>
      <c r="N1435">
        <v>0</v>
      </c>
      <c r="O1435">
        <v>2020</v>
      </c>
      <c r="P1435">
        <v>3749.5291546849662</v>
      </c>
      <c r="Q1435">
        <v>1.8010645099426681</v>
      </c>
      <c r="R1435" t="s">
        <v>109</v>
      </c>
      <c r="S1435">
        <v>2081.8405637254609</v>
      </c>
      <c r="T1435">
        <v>0.81</v>
      </c>
      <c r="U1435" t="s">
        <v>110</v>
      </c>
      <c r="V1435">
        <v>0.81</v>
      </c>
      <c r="W1435">
        <v>6</v>
      </c>
      <c r="X1435">
        <v>20</v>
      </c>
      <c r="Y1435">
        <v>14</v>
      </c>
      <c r="Z1435">
        <v>0.24</v>
      </c>
      <c r="AA1435">
        <v>31.536000000000001</v>
      </c>
    </row>
    <row r="1436" spans="1:27" x14ac:dyDescent="0.25">
      <c r="A1436" t="s">
        <v>98</v>
      </c>
      <c r="B1436" t="s">
        <v>99</v>
      </c>
      <c r="C1436" t="s">
        <v>100</v>
      </c>
      <c r="D1436" t="s">
        <v>1707</v>
      </c>
      <c r="E1436" t="s">
        <v>102</v>
      </c>
      <c r="G1436" t="s">
        <v>119</v>
      </c>
      <c r="H1436" t="s">
        <v>156</v>
      </c>
      <c r="I1436">
        <v>2018</v>
      </c>
      <c r="J1436" t="s">
        <v>168</v>
      </c>
      <c r="K1436" t="s">
        <v>158</v>
      </c>
      <c r="L1436" t="s">
        <v>1708</v>
      </c>
      <c r="M1436" t="s">
        <v>1731</v>
      </c>
      <c r="N1436">
        <v>1</v>
      </c>
      <c r="O1436">
        <v>2020</v>
      </c>
      <c r="P1436">
        <v>3749.5291546849662</v>
      </c>
      <c r="Q1436">
        <v>1.8010645099426681</v>
      </c>
      <c r="R1436" t="s">
        <v>109</v>
      </c>
      <c r="S1436">
        <v>2081.8405637254609</v>
      </c>
      <c r="T1436">
        <v>0.81</v>
      </c>
      <c r="U1436" t="s">
        <v>110</v>
      </c>
      <c r="V1436">
        <v>0.81</v>
      </c>
      <c r="W1436">
        <v>6</v>
      </c>
      <c r="X1436">
        <v>20</v>
      </c>
      <c r="Y1436">
        <v>14</v>
      </c>
      <c r="Z1436">
        <v>0.24</v>
      </c>
      <c r="AA1436">
        <v>31.536000000000001</v>
      </c>
    </row>
    <row r="1437" spans="1:27" x14ac:dyDescent="0.25">
      <c r="A1437" t="s">
        <v>98</v>
      </c>
      <c r="B1437" t="s">
        <v>99</v>
      </c>
      <c r="C1437" t="s">
        <v>100</v>
      </c>
      <c r="D1437" t="s">
        <v>1707</v>
      </c>
      <c r="E1437" t="s">
        <v>102</v>
      </c>
      <c r="G1437" t="s">
        <v>111</v>
      </c>
      <c r="H1437" t="s">
        <v>169</v>
      </c>
      <c r="I1437">
        <v>2016</v>
      </c>
      <c r="J1437" t="s">
        <v>170</v>
      </c>
      <c r="K1437" t="s">
        <v>171</v>
      </c>
      <c r="L1437" t="s">
        <v>1708</v>
      </c>
      <c r="M1437" t="s">
        <v>1732</v>
      </c>
      <c r="N1437">
        <v>0</v>
      </c>
      <c r="O1437">
        <v>2020</v>
      </c>
      <c r="P1437">
        <v>13412.949821637279</v>
      </c>
      <c r="Q1437">
        <v>1.8010645099426681</v>
      </c>
      <c r="R1437" t="s">
        <v>109</v>
      </c>
      <c r="S1437">
        <v>7447.2345369040904</v>
      </c>
      <c r="T1437">
        <v>1</v>
      </c>
      <c r="U1437" t="s">
        <v>173</v>
      </c>
      <c r="V1437">
        <v>1</v>
      </c>
      <c r="W1437">
        <v>15</v>
      </c>
      <c r="X1437">
        <v>30</v>
      </c>
      <c r="Y1437">
        <v>23</v>
      </c>
      <c r="Z1437">
        <v>0.24</v>
      </c>
      <c r="AA1437">
        <v>31.536000000000001</v>
      </c>
    </row>
    <row r="1438" spans="1:27" x14ac:dyDescent="0.25">
      <c r="A1438" t="s">
        <v>98</v>
      </c>
      <c r="B1438" t="s">
        <v>99</v>
      </c>
      <c r="C1438" t="s">
        <v>100</v>
      </c>
      <c r="D1438" t="s">
        <v>1707</v>
      </c>
      <c r="E1438" t="s">
        <v>102</v>
      </c>
      <c r="G1438" t="s">
        <v>111</v>
      </c>
      <c r="H1438" t="s">
        <v>169</v>
      </c>
      <c r="I1438">
        <v>2020</v>
      </c>
      <c r="J1438" t="s">
        <v>174</v>
      </c>
      <c r="K1438" t="s">
        <v>171</v>
      </c>
      <c r="L1438" t="s">
        <v>1708</v>
      </c>
      <c r="M1438" t="s">
        <v>1732</v>
      </c>
      <c r="N1438">
        <v>1</v>
      </c>
      <c r="O1438">
        <v>2020</v>
      </c>
      <c r="P1438">
        <v>13412.949821637279</v>
      </c>
      <c r="Q1438">
        <v>1.8010645099426681</v>
      </c>
      <c r="R1438" t="s">
        <v>109</v>
      </c>
      <c r="S1438">
        <v>7447.2345369040904</v>
      </c>
      <c r="T1438">
        <v>1</v>
      </c>
      <c r="U1438" t="s">
        <v>173</v>
      </c>
      <c r="V1438">
        <v>1</v>
      </c>
      <c r="W1438">
        <v>15</v>
      </c>
      <c r="X1438">
        <v>30</v>
      </c>
      <c r="Y1438">
        <v>23</v>
      </c>
      <c r="Z1438">
        <v>0.24</v>
      </c>
      <c r="AA1438">
        <v>31.536000000000001</v>
      </c>
    </row>
    <row r="1439" spans="1:27" x14ac:dyDescent="0.25">
      <c r="A1439" t="s">
        <v>98</v>
      </c>
      <c r="B1439" t="s">
        <v>99</v>
      </c>
      <c r="C1439" t="s">
        <v>100</v>
      </c>
      <c r="D1439" t="s">
        <v>1707</v>
      </c>
      <c r="E1439" t="s">
        <v>102</v>
      </c>
      <c r="G1439" t="s">
        <v>111</v>
      </c>
      <c r="H1439" t="s">
        <v>169</v>
      </c>
      <c r="I1439">
        <v>2023</v>
      </c>
      <c r="J1439" t="s">
        <v>175</v>
      </c>
      <c r="K1439" t="s">
        <v>171</v>
      </c>
      <c r="L1439" t="s">
        <v>1708</v>
      </c>
      <c r="M1439" t="s">
        <v>1733</v>
      </c>
      <c r="N1439">
        <v>1</v>
      </c>
      <c r="O1439">
        <v>2023</v>
      </c>
      <c r="P1439">
        <v>13412.949821637279</v>
      </c>
      <c r="Q1439">
        <v>1.8010645099426681</v>
      </c>
      <c r="R1439" t="s">
        <v>109</v>
      </c>
      <c r="S1439">
        <v>7447.2345369040904</v>
      </c>
      <c r="T1439">
        <v>1</v>
      </c>
      <c r="U1439" t="s">
        <v>173</v>
      </c>
      <c r="V1439">
        <v>1</v>
      </c>
      <c r="W1439">
        <v>15</v>
      </c>
      <c r="X1439">
        <v>30</v>
      </c>
      <c r="Y1439">
        <v>23</v>
      </c>
      <c r="Z1439">
        <v>0.24</v>
      </c>
      <c r="AA1439">
        <v>31.536000000000001</v>
      </c>
    </row>
    <row r="1440" spans="1:27" x14ac:dyDescent="0.25">
      <c r="A1440" t="s">
        <v>98</v>
      </c>
      <c r="B1440" t="s">
        <v>99</v>
      </c>
      <c r="C1440" t="s">
        <v>100</v>
      </c>
      <c r="D1440" t="s">
        <v>1707</v>
      </c>
      <c r="E1440" t="s">
        <v>102</v>
      </c>
      <c r="G1440" t="s">
        <v>111</v>
      </c>
      <c r="H1440" t="s">
        <v>169</v>
      </c>
      <c r="I1440">
        <v>2024</v>
      </c>
      <c r="J1440" t="s">
        <v>177</v>
      </c>
      <c r="K1440" t="s">
        <v>171</v>
      </c>
      <c r="L1440" t="s">
        <v>1708</v>
      </c>
      <c r="M1440" t="s">
        <v>1734</v>
      </c>
      <c r="N1440">
        <v>1</v>
      </c>
      <c r="O1440">
        <v>2024</v>
      </c>
      <c r="P1440">
        <v>13412.949821637279</v>
      </c>
      <c r="Q1440">
        <v>1.8010645099426681</v>
      </c>
      <c r="R1440" t="s">
        <v>109</v>
      </c>
      <c r="S1440">
        <v>7447.2345369040904</v>
      </c>
      <c r="T1440">
        <v>1</v>
      </c>
      <c r="U1440" t="s">
        <v>173</v>
      </c>
      <c r="V1440">
        <v>1</v>
      </c>
      <c r="W1440">
        <v>15</v>
      </c>
      <c r="X1440">
        <v>30</v>
      </c>
      <c r="Y1440">
        <v>23</v>
      </c>
      <c r="Z1440">
        <v>0.24</v>
      </c>
      <c r="AA1440">
        <v>31.536000000000001</v>
      </c>
    </row>
    <row r="1441" spans="1:27" x14ac:dyDescent="0.25">
      <c r="A1441" t="s">
        <v>98</v>
      </c>
      <c r="B1441" t="s">
        <v>99</v>
      </c>
      <c r="C1441" t="s">
        <v>100</v>
      </c>
      <c r="D1441" t="s">
        <v>1707</v>
      </c>
      <c r="E1441" t="s">
        <v>179</v>
      </c>
      <c r="F1441" t="s">
        <v>180</v>
      </c>
      <c r="G1441" t="s">
        <v>103</v>
      </c>
      <c r="H1441" t="s">
        <v>125</v>
      </c>
      <c r="I1441">
        <v>2016</v>
      </c>
      <c r="J1441" t="s">
        <v>181</v>
      </c>
      <c r="K1441" t="s">
        <v>127</v>
      </c>
      <c r="L1441" t="s">
        <v>1735</v>
      </c>
      <c r="M1441" t="s">
        <v>1736</v>
      </c>
      <c r="N1441">
        <v>1</v>
      </c>
      <c r="O1441">
        <v>2020</v>
      </c>
      <c r="P1441">
        <v>2956.9457561336731</v>
      </c>
      <c r="Q1441">
        <v>3.9515087003088269</v>
      </c>
      <c r="R1441" t="s">
        <v>109</v>
      </c>
      <c r="S1441">
        <v>748.30804646908018</v>
      </c>
      <c r="T1441">
        <v>2.4032825322391562</v>
      </c>
      <c r="U1441" t="s">
        <v>184</v>
      </c>
      <c r="V1441">
        <v>2.4032825322391562</v>
      </c>
      <c r="W1441">
        <v>9</v>
      </c>
      <c r="X1441">
        <v>22</v>
      </c>
      <c r="Y1441">
        <v>16</v>
      </c>
      <c r="Z1441">
        <v>9.8628146588536497E-2</v>
      </c>
      <c r="AA1441">
        <v>31.536000000000001</v>
      </c>
    </row>
    <row r="1442" spans="1:27" x14ac:dyDescent="0.25">
      <c r="A1442" t="s">
        <v>98</v>
      </c>
      <c r="B1442" t="s">
        <v>99</v>
      </c>
      <c r="C1442" t="s">
        <v>100</v>
      </c>
      <c r="D1442" t="s">
        <v>1707</v>
      </c>
      <c r="E1442" t="s">
        <v>179</v>
      </c>
      <c r="F1442" t="s">
        <v>180</v>
      </c>
      <c r="G1442" t="s">
        <v>103</v>
      </c>
      <c r="H1442" t="s">
        <v>125</v>
      </c>
      <c r="I1442">
        <v>2023</v>
      </c>
      <c r="J1442" t="s">
        <v>185</v>
      </c>
      <c r="K1442" t="s">
        <v>127</v>
      </c>
      <c r="L1442" t="s">
        <v>1735</v>
      </c>
      <c r="M1442" t="s">
        <v>1737</v>
      </c>
      <c r="N1442">
        <v>1</v>
      </c>
      <c r="O1442">
        <v>2023</v>
      </c>
      <c r="P1442">
        <v>2956.9457561336731</v>
      </c>
      <c r="Q1442">
        <v>3.9515087003088269</v>
      </c>
      <c r="R1442" t="s">
        <v>109</v>
      </c>
      <c r="S1442">
        <v>748.30804646908018</v>
      </c>
      <c r="T1442">
        <v>2.4032825322391562</v>
      </c>
      <c r="U1442" t="s">
        <v>184</v>
      </c>
      <c r="V1442">
        <v>2.4032825322391562</v>
      </c>
      <c r="W1442">
        <v>9</v>
      </c>
      <c r="X1442">
        <v>22</v>
      </c>
      <c r="Y1442">
        <v>16</v>
      </c>
      <c r="Z1442">
        <v>9.8628146588536497E-2</v>
      </c>
      <c r="AA1442">
        <v>31.536000000000001</v>
      </c>
    </row>
    <row r="1443" spans="1:27" x14ac:dyDescent="0.25">
      <c r="A1443" t="s">
        <v>98</v>
      </c>
      <c r="B1443" t="s">
        <v>99</v>
      </c>
      <c r="C1443" t="s">
        <v>100</v>
      </c>
      <c r="D1443" t="s">
        <v>1707</v>
      </c>
      <c r="E1443" t="s">
        <v>179</v>
      </c>
      <c r="F1443" t="s">
        <v>180</v>
      </c>
      <c r="G1443" t="s">
        <v>111</v>
      </c>
      <c r="H1443" t="s">
        <v>125</v>
      </c>
      <c r="I1443">
        <v>2016</v>
      </c>
      <c r="J1443" t="s">
        <v>187</v>
      </c>
      <c r="K1443" t="s">
        <v>127</v>
      </c>
      <c r="L1443" t="s">
        <v>1735</v>
      </c>
      <c r="M1443" t="s">
        <v>1738</v>
      </c>
      <c r="N1443">
        <v>1</v>
      </c>
      <c r="O1443">
        <v>2020</v>
      </c>
      <c r="P1443">
        <v>3109.3656404704602</v>
      </c>
      <c r="Q1443">
        <v>3.9515087003088269</v>
      </c>
      <c r="R1443" t="s">
        <v>109</v>
      </c>
      <c r="S1443">
        <v>786.88062618398124</v>
      </c>
      <c r="T1443">
        <v>2.5205158264947238</v>
      </c>
      <c r="U1443" t="s">
        <v>184</v>
      </c>
      <c r="V1443">
        <v>2.5205158264947238</v>
      </c>
      <c r="W1443">
        <v>9</v>
      </c>
      <c r="X1443">
        <v>22</v>
      </c>
      <c r="Y1443">
        <v>16</v>
      </c>
      <c r="Z1443">
        <v>9.8628146588536497E-2</v>
      </c>
      <c r="AA1443">
        <v>31.536000000000001</v>
      </c>
    </row>
    <row r="1444" spans="1:27" x14ac:dyDescent="0.25">
      <c r="A1444" t="s">
        <v>98</v>
      </c>
      <c r="B1444" t="s">
        <v>99</v>
      </c>
      <c r="C1444" t="s">
        <v>100</v>
      </c>
      <c r="D1444" t="s">
        <v>1707</v>
      </c>
      <c r="E1444" t="s">
        <v>179</v>
      </c>
      <c r="F1444" t="s">
        <v>180</v>
      </c>
      <c r="G1444" t="s">
        <v>111</v>
      </c>
      <c r="H1444" t="s">
        <v>125</v>
      </c>
      <c r="I1444">
        <v>2023</v>
      </c>
      <c r="J1444" t="s">
        <v>189</v>
      </c>
      <c r="K1444" t="s">
        <v>127</v>
      </c>
      <c r="L1444" t="s">
        <v>1735</v>
      </c>
      <c r="M1444" t="s">
        <v>1739</v>
      </c>
      <c r="N1444">
        <v>1</v>
      </c>
      <c r="O1444">
        <v>2023</v>
      </c>
      <c r="P1444">
        <v>3139.8496173378171</v>
      </c>
      <c r="Q1444">
        <v>3.9515087003088269</v>
      </c>
      <c r="R1444" t="s">
        <v>109</v>
      </c>
      <c r="S1444">
        <v>794.59514212696138</v>
      </c>
      <c r="T1444">
        <v>2.5791324736225092</v>
      </c>
      <c r="U1444" t="s">
        <v>184</v>
      </c>
      <c r="V1444">
        <v>2.5791324736225092</v>
      </c>
      <c r="W1444">
        <v>9</v>
      </c>
      <c r="X1444">
        <v>22</v>
      </c>
      <c r="Y1444">
        <v>16</v>
      </c>
      <c r="Z1444">
        <v>9.8628146588536497E-2</v>
      </c>
      <c r="AA1444">
        <v>31.536000000000001</v>
      </c>
    </row>
    <row r="1445" spans="1:27" x14ac:dyDescent="0.25">
      <c r="A1445" t="s">
        <v>98</v>
      </c>
      <c r="B1445" t="s">
        <v>99</v>
      </c>
      <c r="C1445" t="s">
        <v>100</v>
      </c>
      <c r="D1445" t="s">
        <v>1707</v>
      </c>
      <c r="E1445" t="s">
        <v>179</v>
      </c>
      <c r="F1445" t="s">
        <v>180</v>
      </c>
      <c r="G1445" t="s">
        <v>114</v>
      </c>
      <c r="H1445" t="s">
        <v>125</v>
      </c>
      <c r="I1445">
        <v>2016</v>
      </c>
      <c r="J1445" t="s">
        <v>191</v>
      </c>
      <c r="K1445" t="s">
        <v>127</v>
      </c>
      <c r="L1445" t="s">
        <v>1735</v>
      </c>
      <c r="M1445" t="s">
        <v>1740</v>
      </c>
      <c r="N1445">
        <v>1</v>
      </c>
      <c r="O1445">
        <v>2020</v>
      </c>
      <c r="P1445">
        <v>3017.9137098683868</v>
      </c>
      <c r="Q1445">
        <v>3.9515087003088269</v>
      </c>
      <c r="R1445" t="s">
        <v>109</v>
      </c>
      <c r="S1445">
        <v>763.73707835504058</v>
      </c>
      <c r="T1445">
        <v>2.4912075029308318</v>
      </c>
      <c r="U1445" t="s">
        <v>184</v>
      </c>
      <c r="V1445">
        <v>2.4912075029308318</v>
      </c>
      <c r="W1445">
        <v>9</v>
      </c>
      <c r="X1445">
        <v>22</v>
      </c>
      <c r="Y1445">
        <v>16</v>
      </c>
      <c r="Z1445">
        <v>9.8628146588536497E-2</v>
      </c>
      <c r="AA1445">
        <v>31.536000000000001</v>
      </c>
    </row>
    <row r="1446" spans="1:27" x14ac:dyDescent="0.25">
      <c r="A1446" t="s">
        <v>98</v>
      </c>
      <c r="B1446" t="s">
        <v>99</v>
      </c>
      <c r="C1446" t="s">
        <v>100</v>
      </c>
      <c r="D1446" t="s">
        <v>1707</v>
      </c>
      <c r="E1446" t="s">
        <v>179</v>
      </c>
      <c r="F1446" t="s">
        <v>180</v>
      </c>
      <c r="G1446" t="s">
        <v>114</v>
      </c>
      <c r="H1446" t="s">
        <v>125</v>
      </c>
      <c r="I1446">
        <v>2022</v>
      </c>
      <c r="J1446" t="s">
        <v>193</v>
      </c>
      <c r="K1446" t="s">
        <v>127</v>
      </c>
      <c r="L1446" t="s">
        <v>1735</v>
      </c>
      <c r="M1446" t="s">
        <v>1741</v>
      </c>
      <c r="N1446">
        <v>1</v>
      </c>
      <c r="O1446">
        <v>2022</v>
      </c>
      <c r="P1446">
        <v>3017.9137098683868</v>
      </c>
      <c r="Q1446">
        <v>3.9515087003088269</v>
      </c>
      <c r="R1446" t="s">
        <v>109</v>
      </c>
      <c r="S1446">
        <v>763.73707835504058</v>
      </c>
      <c r="T1446">
        <v>2.4912075029308318</v>
      </c>
      <c r="U1446" t="s">
        <v>184</v>
      </c>
      <c r="V1446">
        <v>2.4912075029308318</v>
      </c>
      <c r="W1446">
        <v>9</v>
      </c>
      <c r="X1446">
        <v>22</v>
      </c>
      <c r="Y1446">
        <v>16</v>
      </c>
      <c r="Z1446">
        <v>9.8628146588536497E-2</v>
      </c>
      <c r="AA1446">
        <v>31.536000000000001</v>
      </c>
    </row>
    <row r="1447" spans="1:27" x14ac:dyDescent="0.25">
      <c r="A1447" t="s">
        <v>98</v>
      </c>
      <c r="B1447" t="s">
        <v>99</v>
      </c>
      <c r="C1447" t="s">
        <v>100</v>
      </c>
      <c r="D1447" t="s">
        <v>1707</v>
      </c>
      <c r="E1447" t="s">
        <v>179</v>
      </c>
      <c r="F1447" t="s">
        <v>180</v>
      </c>
      <c r="G1447" t="s">
        <v>114</v>
      </c>
      <c r="H1447" t="s">
        <v>125</v>
      </c>
      <c r="I1447">
        <v>2023</v>
      </c>
      <c r="J1447" t="s">
        <v>195</v>
      </c>
      <c r="K1447" t="s">
        <v>127</v>
      </c>
      <c r="L1447" t="s">
        <v>1735</v>
      </c>
      <c r="M1447" t="s">
        <v>1742</v>
      </c>
      <c r="N1447">
        <v>1</v>
      </c>
      <c r="O1447">
        <v>2023</v>
      </c>
      <c r="P1447">
        <v>3266.447780092843</v>
      </c>
      <c r="Q1447">
        <v>3.9515087003088269</v>
      </c>
      <c r="R1447" t="s">
        <v>109</v>
      </c>
      <c r="S1447">
        <v>826.63307304310263</v>
      </c>
      <c r="T1447">
        <v>2.6963657678780768</v>
      </c>
      <c r="U1447" t="s">
        <v>184</v>
      </c>
      <c r="V1447">
        <v>2.6963657678780768</v>
      </c>
      <c r="W1447">
        <v>9</v>
      </c>
      <c r="X1447">
        <v>22</v>
      </c>
      <c r="Y1447">
        <v>16</v>
      </c>
      <c r="Z1447">
        <v>9.8628146588536497E-2</v>
      </c>
      <c r="AA1447">
        <v>31.536000000000001</v>
      </c>
    </row>
    <row r="1448" spans="1:27" x14ac:dyDescent="0.25">
      <c r="A1448" t="s">
        <v>98</v>
      </c>
      <c r="B1448" t="s">
        <v>99</v>
      </c>
      <c r="C1448" t="s">
        <v>100</v>
      </c>
      <c r="D1448" t="s">
        <v>1707</v>
      </c>
      <c r="E1448" t="s">
        <v>179</v>
      </c>
      <c r="F1448" t="s">
        <v>180</v>
      </c>
      <c r="G1448" t="s">
        <v>119</v>
      </c>
      <c r="H1448" t="s">
        <v>125</v>
      </c>
      <c r="I1448">
        <v>2016</v>
      </c>
      <c r="J1448" t="s">
        <v>197</v>
      </c>
      <c r="K1448" t="s">
        <v>127</v>
      </c>
      <c r="L1448" t="s">
        <v>1735</v>
      </c>
      <c r="M1448" t="s">
        <v>1743</v>
      </c>
      <c r="N1448">
        <v>1</v>
      </c>
      <c r="O1448">
        <v>2020</v>
      </c>
      <c r="P1448">
        <v>3719.0451778176089</v>
      </c>
      <c r="Q1448">
        <v>3.9515087003088269</v>
      </c>
      <c r="R1448" t="s">
        <v>109</v>
      </c>
      <c r="S1448">
        <v>941.17094504358533</v>
      </c>
      <c r="T1448">
        <v>2.6377491207502932</v>
      </c>
      <c r="U1448" t="s">
        <v>184</v>
      </c>
      <c r="V1448">
        <v>2.6377491207502932</v>
      </c>
      <c r="W1448">
        <v>9</v>
      </c>
      <c r="X1448">
        <v>22</v>
      </c>
      <c r="Y1448">
        <v>16</v>
      </c>
      <c r="Z1448">
        <v>9.8628146588536497E-2</v>
      </c>
      <c r="AA1448">
        <v>31.536000000000001</v>
      </c>
    </row>
    <row r="1449" spans="1:27" x14ac:dyDescent="0.25">
      <c r="A1449" t="s">
        <v>98</v>
      </c>
      <c r="B1449" t="s">
        <v>99</v>
      </c>
      <c r="C1449" t="s">
        <v>100</v>
      </c>
      <c r="D1449" t="s">
        <v>1707</v>
      </c>
      <c r="E1449" t="s">
        <v>179</v>
      </c>
      <c r="F1449" t="s">
        <v>180</v>
      </c>
      <c r="G1449" t="s">
        <v>119</v>
      </c>
      <c r="H1449" t="s">
        <v>125</v>
      </c>
      <c r="I1449">
        <v>2022</v>
      </c>
      <c r="J1449" t="s">
        <v>199</v>
      </c>
      <c r="K1449" t="s">
        <v>127</v>
      </c>
      <c r="L1449" t="s">
        <v>1735</v>
      </c>
      <c r="M1449" t="s">
        <v>1744</v>
      </c>
      <c r="N1449">
        <v>1</v>
      </c>
      <c r="O1449">
        <v>2022</v>
      </c>
      <c r="P1449">
        <v>3914.784397702746</v>
      </c>
      <c r="Q1449">
        <v>3.9515087003088269</v>
      </c>
      <c r="R1449" t="s">
        <v>109</v>
      </c>
      <c r="S1449">
        <v>990.70625794061618</v>
      </c>
      <c r="T1449">
        <v>2.9308323563892151</v>
      </c>
      <c r="U1449" t="s">
        <v>184</v>
      </c>
      <c r="V1449">
        <v>2.9308323563892151</v>
      </c>
      <c r="W1449">
        <v>9</v>
      </c>
      <c r="X1449">
        <v>22</v>
      </c>
      <c r="Y1449">
        <v>16</v>
      </c>
      <c r="Z1449">
        <v>9.8628146588536497E-2</v>
      </c>
      <c r="AA1449">
        <v>31.536000000000001</v>
      </c>
    </row>
    <row r="1450" spans="1:27" x14ac:dyDescent="0.25">
      <c r="A1450" t="s">
        <v>98</v>
      </c>
      <c r="B1450" t="s">
        <v>99</v>
      </c>
      <c r="C1450" t="s">
        <v>100</v>
      </c>
      <c r="D1450" t="s">
        <v>1707</v>
      </c>
      <c r="E1450" t="s">
        <v>179</v>
      </c>
      <c r="F1450" t="s">
        <v>201</v>
      </c>
      <c r="G1450" t="s">
        <v>103</v>
      </c>
      <c r="H1450" t="s">
        <v>125</v>
      </c>
      <c r="I1450">
        <v>2016</v>
      </c>
      <c r="J1450" t="s">
        <v>202</v>
      </c>
      <c r="K1450" t="s">
        <v>127</v>
      </c>
      <c r="L1450" t="s">
        <v>1735</v>
      </c>
      <c r="M1450" t="s">
        <v>1745</v>
      </c>
      <c r="N1450">
        <v>1</v>
      </c>
      <c r="O1450">
        <v>2020</v>
      </c>
      <c r="P1450">
        <v>9511.0007826155233</v>
      </c>
      <c r="Q1450">
        <v>3.9515087003088269</v>
      </c>
      <c r="R1450" t="s">
        <v>109</v>
      </c>
      <c r="S1450">
        <v>2406.928974209824</v>
      </c>
      <c r="T1450">
        <v>3.2</v>
      </c>
      <c r="U1450" t="s">
        <v>184</v>
      </c>
      <c r="V1450">
        <v>3.2</v>
      </c>
      <c r="W1450">
        <v>8</v>
      </c>
      <c r="X1450">
        <v>20.8</v>
      </c>
      <c r="Y1450">
        <v>15</v>
      </c>
      <c r="Z1450">
        <v>9.8628146588536497E-2</v>
      </c>
      <c r="AA1450">
        <v>31.536000000000001</v>
      </c>
    </row>
    <row r="1451" spans="1:27" x14ac:dyDescent="0.25">
      <c r="A1451" t="s">
        <v>98</v>
      </c>
      <c r="B1451" t="s">
        <v>99</v>
      </c>
      <c r="C1451" t="s">
        <v>100</v>
      </c>
      <c r="D1451" t="s">
        <v>1707</v>
      </c>
      <c r="E1451" t="s">
        <v>179</v>
      </c>
      <c r="F1451" t="s">
        <v>201</v>
      </c>
      <c r="G1451" t="s">
        <v>111</v>
      </c>
      <c r="H1451" t="s">
        <v>125</v>
      </c>
      <c r="I1451">
        <v>2016</v>
      </c>
      <c r="J1451" t="s">
        <v>204</v>
      </c>
      <c r="K1451" t="s">
        <v>127</v>
      </c>
      <c r="L1451" t="s">
        <v>1735</v>
      </c>
      <c r="M1451" t="s">
        <v>1746</v>
      </c>
      <c r="N1451">
        <v>1</v>
      </c>
      <c r="O1451">
        <v>2020</v>
      </c>
      <c r="P1451">
        <v>9846.3245281564559</v>
      </c>
      <c r="Q1451">
        <v>3.9515087003088269</v>
      </c>
      <c r="R1451" t="s">
        <v>109</v>
      </c>
      <c r="S1451">
        <v>2491.7886495826069</v>
      </c>
      <c r="T1451">
        <v>3.7</v>
      </c>
      <c r="U1451" t="s">
        <v>184</v>
      </c>
      <c r="V1451">
        <v>3.7</v>
      </c>
      <c r="W1451">
        <v>8</v>
      </c>
      <c r="X1451">
        <v>20.8</v>
      </c>
      <c r="Y1451">
        <v>15</v>
      </c>
      <c r="Z1451">
        <v>9.8628146588536497E-2</v>
      </c>
      <c r="AA1451">
        <v>31.536000000000001</v>
      </c>
    </row>
    <row r="1452" spans="1:27" x14ac:dyDescent="0.25">
      <c r="A1452" t="s">
        <v>98</v>
      </c>
      <c r="B1452" t="s">
        <v>99</v>
      </c>
      <c r="C1452" t="s">
        <v>100</v>
      </c>
      <c r="D1452" t="s">
        <v>1707</v>
      </c>
      <c r="E1452" t="s">
        <v>179</v>
      </c>
      <c r="F1452" t="s">
        <v>201</v>
      </c>
      <c r="G1452" t="s">
        <v>114</v>
      </c>
      <c r="H1452" t="s">
        <v>125</v>
      </c>
      <c r="I1452">
        <v>2016</v>
      </c>
      <c r="J1452" t="s">
        <v>206</v>
      </c>
      <c r="K1452" t="s">
        <v>127</v>
      </c>
      <c r="L1452" t="s">
        <v>1735</v>
      </c>
      <c r="M1452" t="s">
        <v>1747</v>
      </c>
      <c r="N1452">
        <v>0</v>
      </c>
      <c r="O1452">
        <v>2020</v>
      </c>
      <c r="P1452">
        <v>9846.3245281564559</v>
      </c>
      <c r="Q1452">
        <v>3.9515087003088269</v>
      </c>
      <c r="R1452" t="s">
        <v>109</v>
      </c>
      <c r="S1452">
        <v>2491.7886495826069</v>
      </c>
      <c r="T1452">
        <v>3.6</v>
      </c>
      <c r="U1452" t="s">
        <v>184</v>
      </c>
      <c r="V1452">
        <v>3.6</v>
      </c>
      <c r="W1452">
        <v>8</v>
      </c>
      <c r="X1452">
        <v>20.8</v>
      </c>
      <c r="Y1452">
        <v>15</v>
      </c>
      <c r="Z1452">
        <v>9.8628146588536497E-2</v>
      </c>
      <c r="AA1452">
        <v>31.536000000000001</v>
      </c>
    </row>
    <row r="1453" spans="1:27" x14ac:dyDescent="0.25">
      <c r="A1453" t="s">
        <v>98</v>
      </c>
      <c r="B1453" t="s">
        <v>99</v>
      </c>
      <c r="C1453" t="s">
        <v>100</v>
      </c>
      <c r="D1453" t="s">
        <v>1707</v>
      </c>
      <c r="E1453" t="s">
        <v>179</v>
      </c>
      <c r="F1453" t="s">
        <v>201</v>
      </c>
      <c r="G1453" t="s">
        <v>114</v>
      </c>
      <c r="H1453" t="s">
        <v>125</v>
      </c>
      <c r="I1453">
        <v>2020</v>
      </c>
      <c r="J1453" t="s">
        <v>208</v>
      </c>
      <c r="K1453" t="s">
        <v>127</v>
      </c>
      <c r="L1453" t="s">
        <v>1735</v>
      </c>
      <c r="M1453" t="s">
        <v>1747</v>
      </c>
      <c r="N1453">
        <v>1</v>
      </c>
      <c r="O1453">
        <v>2020</v>
      </c>
      <c r="P1453">
        <v>9846.3245281564559</v>
      </c>
      <c r="Q1453">
        <v>3.9515087003088269</v>
      </c>
      <c r="R1453" t="s">
        <v>109</v>
      </c>
      <c r="S1453">
        <v>2491.7886495826069</v>
      </c>
      <c r="T1453">
        <v>3.6</v>
      </c>
      <c r="U1453" t="s">
        <v>184</v>
      </c>
      <c r="V1453">
        <v>3.6</v>
      </c>
      <c r="W1453">
        <v>8</v>
      </c>
      <c r="X1453">
        <v>20.8</v>
      </c>
      <c r="Y1453">
        <v>15</v>
      </c>
      <c r="Z1453">
        <v>9.8628146588536497E-2</v>
      </c>
      <c r="AA1453">
        <v>31.536000000000001</v>
      </c>
    </row>
    <row r="1454" spans="1:27" x14ac:dyDescent="0.25">
      <c r="A1454" t="s">
        <v>98</v>
      </c>
      <c r="B1454" t="s">
        <v>99</v>
      </c>
      <c r="C1454" t="s">
        <v>100</v>
      </c>
      <c r="D1454" t="s">
        <v>1707</v>
      </c>
      <c r="E1454" t="s">
        <v>179</v>
      </c>
      <c r="F1454" t="s">
        <v>201</v>
      </c>
      <c r="G1454" t="s">
        <v>114</v>
      </c>
      <c r="H1454" t="s">
        <v>125</v>
      </c>
      <c r="I1454">
        <v>2022</v>
      </c>
      <c r="J1454" t="s">
        <v>209</v>
      </c>
      <c r="K1454" t="s">
        <v>127</v>
      </c>
      <c r="L1454" t="s">
        <v>1735</v>
      </c>
      <c r="M1454" t="s">
        <v>1748</v>
      </c>
      <c r="N1454">
        <v>1</v>
      </c>
      <c r="O1454">
        <v>2022</v>
      </c>
      <c r="P1454">
        <v>9846.3245281564559</v>
      </c>
      <c r="Q1454">
        <v>3.9515087003088269</v>
      </c>
      <c r="R1454" t="s">
        <v>109</v>
      </c>
      <c r="S1454">
        <v>2491.7886495826069</v>
      </c>
      <c r="T1454">
        <v>3.6</v>
      </c>
      <c r="U1454" t="s">
        <v>184</v>
      </c>
      <c r="V1454">
        <v>3.6</v>
      </c>
      <c r="W1454">
        <v>8</v>
      </c>
      <c r="X1454">
        <v>20.8</v>
      </c>
      <c r="Y1454">
        <v>15</v>
      </c>
      <c r="Z1454">
        <v>9.8628146588536497E-2</v>
      </c>
      <c r="AA1454">
        <v>31.536000000000001</v>
      </c>
    </row>
    <row r="1455" spans="1:27" x14ac:dyDescent="0.25">
      <c r="A1455" t="s">
        <v>98</v>
      </c>
      <c r="B1455" t="s">
        <v>99</v>
      </c>
      <c r="C1455" t="s">
        <v>100</v>
      </c>
      <c r="D1455" t="s">
        <v>1707</v>
      </c>
      <c r="E1455" t="s">
        <v>179</v>
      </c>
      <c r="F1455" t="s">
        <v>201</v>
      </c>
      <c r="G1455" t="s">
        <v>114</v>
      </c>
      <c r="H1455" t="s">
        <v>125</v>
      </c>
      <c r="I1455">
        <v>2023</v>
      </c>
      <c r="J1455" t="s">
        <v>211</v>
      </c>
      <c r="K1455" t="s">
        <v>127</v>
      </c>
      <c r="L1455" t="s">
        <v>1735</v>
      </c>
      <c r="M1455" t="s">
        <v>1749</v>
      </c>
      <c r="N1455">
        <v>1</v>
      </c>
      <c r="O1455">
        <v>2023</v>
      </c>
      <c r="P1455">
        <v>9846.3245281564559</v>
      </c>
      <c r="Q1455">
        <v>3.9515087003088269</v>
      </c>
      <c r="R1455" t="s">
        <v>109</v>
      </c>
      <c r="S1455">
        <v>2491.7886495826069</v>
      </c>
      <c r="T1455">
        <v>3.6</v>
      </c>
      <c r="U1455" t="s">
        <v>184</v>
      </c>
      <c r="V1455">
        <v>3.6</v>
      </c>
      <c r="W1455">
        <v>8</v>
      </c>
      <c r="X1455">
        <v>20.8</v>
      </c>
      <c r="Y1455">
        <v>15</v>
      </c>
      <c r="Z1455">
        <v>9.8628146588536497E-2</v>
      </c>
      <c r="AA1455">
        <v>31.536000000000001</v>
      </c>
    </row>
    <row r="1456" spans="1:27" x14ac:dyDescent="0.25">
      <c r="A1456" t="s">
        <v>98</v>
      </c>
      <c r="B1456" t="s">
        <v>99</v>
      </c>
      <c r="C1456" t="s">
        <v>100</v>
      </c>
      <c r="D1456" t="s">
        <v>1707</v>
      </c>
      <c r="E1456" t="s">
        <v>179</v>
      </c>
      <c r="F1456" t="s">
        <v>201</v>
      </c>
      <c r="G1456" t="s">
        <v>114</v>
      </c>
      <c r="H1456" t="s">
        <v>125</v>
      </c>
      <c r="I1456">
        <v>2024</v>
      </c>
      <c r="J1456" t="s">
        <v>213</v>
      </c>
      <c r="K1456" t="s">
        <v>127</v>
      </c>
      <c r="L1456" t="s">
        <v>1735</v>
      </c>
      <c r="M1456" t="s">
        <v>1750</v>
      </c>
      <c r="N1456">
        <v>1</v>
      </c>
      <c r="O1456">
        <v>2024</v>
      </c>
      <c r="P1456">
        <v>9846.3245281564559</v>
      </c>
      <c r="Q1456">
        <v>3.9515087003088269</v>
      </c>
      <c r="R1456" t="s">
        <v>109</v>
      </c>
      <c r="S1456">
        <v>2491.7886495826069</v>
      </c>
      <c r="T1456">
        <v>3.6</v>
      </c>
      <c r="U1456" t="s">
        <v>184</v>
      </c>
      <c r="V1456">
        <v>3.6</v>
      </c>
      <c r="W1456">
        <v>8</v>
      </c>
      <c r="X1456">
        <v>20.8</v>
      </c>
      <c r="Y1456">
        <v>15</v>
      </c>
      <c r="Z1456">
        <v>9.8628146588536497E-2</v>
      </c>
      <c r="AA1456">
        <v>31.536000000000001</v>
      </c>
    </row>
    <row r="1457" spans="1:27" x14ac:dyDescent="0.25">
      <c r="A1457" t="s">
        <v>98</v>
      </c>
      <c r="B1457" t="s">
        <v>99</v>
      </c>
      <c r="C1457" t="s">
        <v>100</v>
      </c>
      <c r="D1457" t="s">
        <v>1707</v>
      </c>
      <c r="E1457" t="s">
        <v>179</v>
      </c>
      <c r="F1457" t="s">
        <v>201</v>
      </c>
      <c r="G1457" t="s">
        <v>119</v>
      </c>
      <c r="H1457" t="s">
        <v>125</v>
      </c>
      <c r="I1457">
        <v>2016</v>
      </c>
      <c r="J1457" t="s">
        <v>215</v>
      </c>
      <c r="K1457" t="s">
        <v>127</v>
      </c>
      <c r="L1457" t="s">
        <v>1735</v>
      </c>
      <c r="M1457" t="s">
        <v>1751</v>
      </c>
      <c r="N1457">
        <v>0</v>
      </c>
      <c r="O1457">
        <v>2020</v>
      </c>
      <c r="P1457">
        <v>10395.03611176889</v>
      </c>
      <c r="Q1457">
        <v>3.9515087003088269</v>
      </c>
      <c r="R1457" t="s">
        <v>109</v>
      </c>
      <c r="S1457">
        <v>2630.6499365562509</v>
      </c>
      <c r="T1457">
        <v>4.5</v>
      </c>
      <c r="U1457" t="s">
        <v>184</v>
      </c>
      <c r="V1457">
        <v>4.5</v>
      </c>
      <c r="W1457">
        <v>8</v>
      </c>
      <c r="X1457">
        <v>20.8</v>
      </c>
      <c r="Y1457">
        <v>15</v>
      </c>
      <c r="Z1457">
        <v>9.8628146588536497E-2</v>
      </c>
      <c r="AA1457">
        <v>31.536000000000001</v>
      </c>
    </row>
    <row r="1458" spans="1:27" x14ac:dyDescent="0.25">
      <c r="A1458" t="s">
        <v>98</v>
      </c>
      <c r="B1458" t="s">
        <v>99</v>
      </c>
      <c r="C1458" t="s">
        <v>100</v>
      </c>
      <c r="D1458" t="s">
        <v>1707</v>
      </c>
      <c r="E1458" t="s">
        <v>179</v>
      </c>
      <c r="F1458" t="s">
        <v>201</v>
      </c>
      <c r="G1458" t="s">
        <v>119</v>
      </c>
      <c r="H1458" t="s">
        <v>125</v>
      </c>
      <c r="I1458">
        <v>2020</v>
      </c>
      <c r="J1458" t="s">
        <v>217</v>
      </c>
      <c r="K1458" t="s">
        <v>127</v>
      </c>
      <c r="L1458" t="s">
        <v>1735</v>
      </c>
      <c r="M1458" t="s">
        <v>1751</v>
      </c>
      <c r="N1458">
        <v>1</v>
      </c>
      <c r="O1458">
        <v>2020</v>
      </c>
      <c r="P1458">
        <v>10395.03611176889</v>
      </c>
      <c r="Q1458">
        <v>3.9515087003088269</v>
      </c>
      <c r="R1458" t="s">
        <v>109</v>
      </c>
      <c r="S1458">
        <v>2630.6499365562509</v>
      </c>
      <c r="T1458">
        <v>4.5</v>
      </c>
      <c r="U1458" t="s">
        <v>184</v>
      </c>
      <c r="V1458">
        <v>4.5</v>
      </c>
      <c r="W1458">
        <v>8</v>
      </c>
      <c r="X1458">
        <v>20.8</v>
      </c>
      <c r="Y1458">
        <v>15</v>
      </c>
      <c r="Z1458">
        <v>9.8628146588536497E-2</v>
      </c>
      <c r="AA1458">
        <v>31.536000000000001</v>
      </c>
    </row>
    <row r="1459" spans="1:27" x14ac:dyDescent="0.25">
      <c r="A1459" t="s">
        <v>98</v>
      </c>
      <c r="B1459" t="s">
        <v>99</v>
      </c>
      <c r="C1459" t="s">
        <v>100</v>
      </c>
      <c r="D1459" t="s">
        <v>1707</v>
      </c>
      <c r="E1459" t="s">
        <v>179</v>
      </c>
      <c r="F1459" t="s">
        <v>201</v>
      </c>
      <c r="G1459" t="s">
        <v>119</v>
      </c>
      <c r="H1459" t="s">
        <v>125</v>
      </c>
      <c r="I1459">
        <v>2022</v>
      </c>
      <c r="J1459" t="s">
        <v>218</v>
      </c>
      <c r="K1459" t="s">
        <v>127</v>
      </c>
      <c r="L1459" t="s">
        <v>1735</v>
      </c>
      <c r="M1459" t="s">
        <v>1752</v>
      </c>
      <c r="N1459">
        <v>1</v>
      </c>
      <c r="O1459">
        <v>2022</v>
      </c>
      <c r="P1459">
        <v>10395.03611176889</v>
      </c>
      <c r="Q1459">
        <v>3.9515087003088269</v>
      </c>
      <c r="R1459" t="s">
        <v>109</v>
      </c>
      <c r="S1459">
        <v>2630.6499365562509</v>
      </c>
      <c r="T1459">
        <v>4.5</v>
      </c>
      <c r="U1459" t="s">
        <v>184</v>
      </c>
      <c r="V1459">
        <v>4.5</v>
      </c>
      <c r="W1459">
        <v>8</v>
      </c>
      <c r="X1459">
        <v>20.8</v>
      </c>
      <c r="Y1459">
        <v>15</v>
      </c>
      <c r="Z1459">
        <v>9.8628146588536497E-2</v>
      </c>
      <c r="AA1459">
        <v>31.536000000000001</v>
      </c>
    </row>
    <row r="1460" spans="1:27" x14ac:dyDescent="0.25">
      <c r="A1460" t="s">
        <v>98</v>
      </c>
      <c r="B1460" t="s">
        <v>99</v>
      </c>
      <c r="C1460" t="s">
        <v>100</v>
      </c>
      <c r="D1460" t="s">
        <v>1707</v>
      </c>
      <c r="E1460" t="s">
        <v>179</v>
      </c>
      <c r="F1460" t="s">
        <v>201</v>
      </c>
      <c r="G1460" t="s">
        <v>119</v>
      </c>
      <c r="H1460" t="s">
        <v>125</v>
      </c>
      <c r="I1460">
        <v>2023</v>
      </c>
      <c r="J1460" t="s">
        <v>220</v>
      </c>
      <c r="K1460" t="s">
        <v>127</v>
      </c>
      <c r="L1460" t="s">
        <v>1735</v>
      </c>
      <c r="M1460" t="s">
        <v>1753</v>
      </c>
      <c r="N1460">
        <v>1</v>
      </c>
      <c r="O1460">
        <v>2023</v>
      </c>
      <c r="P1460">
        <v>10395.03611176889</v>
      </c>
      <c r="Q1460">
        <v>3.9515087003088269</v>
      </c>
      <c r="R1460" t="s">
        <v>109</v>
      </c>
      <c r="S1460">
        <v>2630.6499365562509</v>
      </c>
      <c r="T1460">
        <v>4.5</v>
      </c>
      <c r="U1460" t="s">
        <v>184</v>
      </c>
      <c r="V1460">
        <v>4.5</v>
      </c>
      <c r="W1460">
        <v>8</v>
      </c>
      <c r="X1460">
        <v>20.8</v>
      </c>
      <c r="Y1460">
        <v>15</v>
      </c>
      <c r="Z1460">
        <v>9.8628146588536497E-2</v>
      </c>
      <c r="AA1460">
        <v>31.536000000000001</v>
      </c>
    </row>
    <row r="1461" spans="1:27" x14ac:dyDescent="0.25">
      <c r="A1461" t="s">
        <v>98</v>
      </c>
      <c r="B1461" t="s">
        <v>99</v>
      </c>
      <c r="C1461" t="s">
        <v>100</v>
      </c>
      <c r="D1461" t="s">
        <v>1707</v>
      </c>
      <c r="E1461" t="s">
        <v>179</v>
      </c>
      <c r="F1461" t="s">
        <v>201</v>
      </c>
      <c r="G1461" t="s">
        <v>119</v>
      </c>
      <c r="H1461" t="s">
        <v>125</v>
      </c>
      <c r="I1461">
        <v>2024</v>
      </c>
      <c r="J1461" t="s">
        <v>222</v>
      </c>
      <c r="K1461" t="s">
        <v>127</v>
      </c>
      <c r="L1461" t="s">
        <v>1735</v>
      </c>
      <c r="M1461" t="s">
        <v>1754</v>
      </c>
      <c r="N1461">
        <v>1</v>
      </c>
      <c r="O1461">
        <v>2024</v>
      </c>
      <c r="P1461">
        <v>10395.03611176889</v>
      </c>
      <c r="Q1461">
        <v>3.9515087003088269</v>
      </c>
      <c r="R1461" t="s">
        <v>109</v>
      </c>
      <c r="S1461">
        <v>2630.6499365562509</v>
      </c>
      <c r="T1461">
        <v>4.5</v>
      </c>
      <c r="U1461" t="s">
        <v>184</v>
      </c>
      <c r="V1461">
        <v>4.5</v>
      </c>
      <c r="W1461">
        <v>8</v>
      </c>
      <c r="X1461">
        <v>20.8</v>
      </c>
      <c r="Y1461">
        <v>15</v>
      </c>
      <c r="Z1461">
        <v>9.8628146588536497E-2</v>
      </c>
      <c r="AA1461">
        <v>31.536000000000001</v>
      </c>
    </row>
    <row r="1462" spans="1:27" x14ac:dyDescent="0.25">
      <c r="A1462" t="s">
        <v>98</v>
      </c>
      <c r="B1462" t="s">
        <v>99</v>
      </c>
      <c r="C1462" t="s">
        <v>100</v>
      </c>
      <c r="D1462" t="s">
        <v>1707</v>
      </c>
      <c r="E1462" t="s">
        <v>179</v>
      </c>
      <c r="F1462" t="s">
        <v>224</v>
      </c>
      <c r="G1462" t="s">
        <v>111</v>
      </c>
      <c r="H1462" t="s">
        <v>125</v>
      </c>
      <c r="I1462">
        <v>2016</v>
      </c>
      <c r="J1462" t="s">
        <v>225</v>
      </c>
      <c r="K1462" t="s">
        <v>127</v>
      </c>
      <c r="L1462" t="s">
        <v>1735</v>
      </c>
      <c r="M1462" t="s">
        <v>1755</v>
      </c>
      <c r="N1462">
        <v>1</v>
      </c>
      <c r="O1462">
        <v>2020</v>
      </c>
      <c r="P1462">
        <v>1341.294982163728</v>
      </c>
      <c r="Q1462">
        <v>3.9515087003088269</v>
      </c>
      <c r="R1462" t="s">
        <v>109</v>
      </c>
      <c r="S1462">
        <v>339.43870149112922</v>
      </c>
      <c r="T1462">
        <v>0.98</v>
      </c>
      <c r="U1462" t="s">
        <v>227</v>
      </c>
      <c r="V1462">
        <v>0.98</v>
      </c>
      <c r="W1462">
        <v>15</v>
      </c>
      <c r="X1462">
        <v>30</v>
      </c>
      <c r="Y1462">
        <v>23</v>
      </c>
      <c r="Z1462">
        <v>9.8628146588536497E-2</v>
      </c>
      <c r="AA1462">
        <v>31.536000000000001</v>
      </c>
    </row>
    <row r="1463" spans="1:27" x14ac:dyDescent="0.25">
      <c r="A1463" t="s">
        <v>98</v>
      </c>
      <c r="B1463" t="s">
        <v>99</v>
      </c>
      <c r="C1463" t="s">
        <v>100</v>
      </c>
      <c r="D1463" t="s">
        <v>1707</v>
      </c>
      <c r="E1463" t="s">
        <v>179</v>
      </c>
      <c r="F1463" t="s">
        <v>228</v>
      </c>
      <c r="G1463" t="s">
        <v>103</v>
      </c>
      <c r="H1463" t="s">
        <v>104</v>
      </c>
      <c r="I1463">
        <v>2016</v>
      </c>
      <c r="J1463" t="s">
        <v>229</v>
      </c>
      <c r="K1463" t="s">
        <v>106</v>
      </c>
      <c r="L1463" t="s">
        <v>1735</v>
      </c>
      <c r="M1463" t="s">
        <v>1756</v>
      </c>
      <c r="N1463">
        <v>1</v>
      </c>
      <c r="O1463">
        <v>2020</v>
      </c>
      <c r="P1463">
        <v>2499.6861031233111</v>
      </c>
      <c r="Q1463">
        <v>3.9515087003088269</v>
      </c>
      <c r="R1463" t="s">
        <v>109</v>
      </c>
      <c r="S1463">
        <v>632.59030732437702</v>
      </c>
      <c r="T1463">
        <v>0.8</v>
      </c>
      <c r="U1463" t="s">
        <v>227</v>
      </c>
      <c r="V1463">
        <v>0.8</v>
      </c>
      <c r="W1463">
        <v>16</v>
      </c>
      <c r="X1463">
        <v>27</v>
      </c>
      <c r="Y1463">
        <v>22</v>
      </c>
      <c r="Z1463">
        <v>9.8628146588536497E-2</v>
      </c>
      <c r="AA1463">
        <v>31.536000000000001</v>
      </c>
    </row>
    <row r="1464" spans="1:27" x14ac:dyDescent="0.25">
      <c r="A1464" t="s">
        <v>98</v>
      </c>
      <c r="B1464" t="s">
        <v>99</v>
      </c>
      <c r="C1464" t="s">
        <v>100</v>
      </c>
      <c r="D1464" t="s">
        <v>1707</v>
      </c>
      <c r="E1464" t="s">
        <v>179</v>
      </c>
      <c r="F1464" t="s">
        <v>228</v>
      </c>
      <c r="G1464" t="s">
        <v>111</v>
      </c>
      <c r="H1464" t="s">
        <v>104</v>
      </c>
      <c r="I1464">
        <v>2016</v>
      </c>
      <c r="J1464" t="s">
        <v>231</v>
      </c>
      <c r="K1464" t="s">
        <v>106</v>
      </c>
      <c r="L1464" t="s">
        <v>1735</v>
      </c>
      <c r="M1464" t="s">
        <v>1757</v>
      </c>
      <c r="N1464">
        <v>0</v>
      </c>
      <c r="O1464">
        <v>2020</v>
      </c>
      <c r="P1464">
        <v>3182.5271849521182</v>
      </c>
      <c r="Q1464">
        <v>3.9515087003088269</v>
      </c>
      <c r="R1464" t="s">
        <v>109</v>
      </c>
      <c r="S1464">
        <v>805.39546444713369</v>
      </c>
      <c r="T1464">
        <v>0.92</v>
      </c>
      <c r="U1464" t="s">
        <v>227</v>
      </c>
      <c r="V1464">
        <v>0.92</v>
      </c>
      <c r="W1464">
        <v>16</v>
      </c>
      <c r="X1464">
        <v>27</v>
      </c>
      <c r="Y1464">
        <v>22</v>
      </c>
      <c r="Z1464">
        <v>9.8628146588536497E-2</v>
      </c>
      <c r="AA1464">
        <v>31.536000000000001</v>
      </c>
    </row>
    <row r="1465" spans="1:27" x14ac:dyDescent="0.25">
      <c r="A1465" t="s">
        <v>98</v>
      </c>
      <c r="B1465" t="s">
        <v>99</v>
      </c>
      <c r="C1465" t="s">
        <v>100</v>
      </c>
      <c r="D1465" t="s">
        <v>1707</v>
      </c>
      <c r="E1465" t="s">
        <v>179</v>
      </c>
      <c r="F1465" t="s">
        <v>228</v>
      </c>
      <c r="G1465" t="s">
        <v>111</v>
      </c>
      <c r="H1465" t="s">
        <v>104</v>
      </c>
      <c r="I1465">
        <v>2020</v>
      </c>
      <c r="J1465" t="s">
        <v>233</v>
      </c>
      <c r="K1465" t="s">
        <v>106</v>
      </c>
      <c r="L1465" t="s">
        <v>1735</v>
      </c>
      <c r="M1465" t="s">
        <v>1757</v>
      </c>
      <c r="N1465">
        <v>1</v>
      </c>
      <c r="O1465">
        <v>2020</v>
      </c>
      <c r="P1465">
        <v>3365.4310461562618</v>
      </c>
      <c r="Q1465">
        <v>3.9515087003088269</v>
      </c>
      <c r="R1465" t="s">
        <v>109</v>
      </c>
      <c r="S1465">
        <v>851.68256010501489</v>
      </c>
      <c r="T1465">
        <v>0.92</v>
      </c>
      <c r="U1465" t="s">
        <v>227</v>
      </c>
      <c r="V1465">
        <v>0.92</v>
      </c>
      <c r="W1465">
        <v>16</v>
      </c>
      <c r="X1465">
        <v>27</v>
      </c>
      <c r="Y1465">
        <v>22</v>
      </c>
      <c r="Z1465">
        <v>9.8628146588536497E-2</v>
      </c>
      <c r="AA1465">
        <v>31.536000000000001</v>
      </c>
    </row>
    <row r="1466" spans="1:27" x14ac:dyDescent="0.25">
      <c r="A1466" t="s">
        <v>98</v>
      </c>
      <c r="B1466" t="s">
        <v>99</v>
      </c>
      <c r="C1466" t="s">
        <v>100</v>
      </c>
      <c r="D1466" t="s">
        <v>1707</v>
      </c>
      <c r="E1466" t="s">
        <v>179</v>
      </c>
      <c r="F1466" t="s">
        <v>228</v>
      </c>
      <c r="G1466" t="s">
        <v>114</v>
      </c>
      <c r="H1466" t="s">
        <v>104</v>
      </c>
      <c r="I1466">
        <v>2016</v>
      </c>
      <c r="J1466" t="s">
        <v>234</v>
      </c>
      <c r="K1466" t="s">
        <v>106</v>
      </c>
      <c r="L1466" t="s">
        <v>1735</v>
      </c>
      <c r="M1466" t="s">
        <v>1758</v>
      </c>
      <c r="N1466">
        <v>1</v>
      </c>
      <c r="O1466">
        <v>2020</v>
      </c>
      <c r="P1466">
        <v>3341.043864662377</v>
      </c>
      <c r="Q1466">
        <v>3.9515087003088269</v>
      </c>
      <c r="R1466" t="s">
        <v>109</v>
      </c>
      <c r="S1466">
        <v>845.51094735063077</v>
      </c>
      <c r="T1466">
        <v>0.95</v>
      </c>
      <c r="U1466" t="s">
        <v>227</v>
      </c>
      <c r="V1466">
        <v>0.95</v>
      </c>
      <c r="W1466">
        <v>16</v>
      </c>
      <c r="X1466">
        <v>27</v>
      </c>
      <c r="Y1466">
        <v>22</v>
      </c>
      <c r="Z1466">
        <v>9.8628146588536497E-2</v>
      </c>
      <c r="AA1466">
        <v>31.536000000000001</v>
      </c>
    </row>
    <row r="1467" spans="1:27" x14ac:dyDescent="0.25">
      <c r="A1467" t="s">
        <v>98</v>
      </c>
      <c r="B1467" t="s">
        <v>99</v>
      </c>
      <c r="C1467" t="s">
        <v>100</v>
      </c>
      <c r="D1467" t="s">
        <v>1707</v>
      </c>
      <c r="E1467" t="s">
        <v>179</v>
      </c>
      <c r="F1467" t="s">
        <v>228</v>
      </c>
      <c r="G1467" t="s">
        <v>114</v>
      </c>
      <c r="H1467" t="s">
        <v>104</v>
      </c>
      <c r="I1467">
        <v>2022</v>
      </c>
      <c r="J1467" t="s">
        <v>236</v>
      </c>
      <c r="K1467" t="s">
        <v>106</v>
      </c>
      <c r="L1467" t="s">
        <v>1735</v>
      </c>
      <c r="M1467" t="s">
        <v>1759</v>
      </c>
      <c r="N1467">
        <v>1</v>
      </c>
      <c r="O1467">
        <v>2022</v>
      </c>
      <c r="P1467">
        <v>3341.043864662377</v>
      </c>
      <c r="Q1467">
        <v>3.9515087003088269</v>
      </c>
      <c r="R1467" t="s">
        <v>109</v>
      </c>
      <c r="S1467">
        <v>845.51094735063077</v>
      </c>
      <c r="T1467">
        <v>0.95</v>
      </c>
      <c r="U1467" t="s">
        <v>227</v>
      </c>
      <c r="V1467">
        <v>0.95</v>
      </c>
      <c r="W1467">
        <v>16</v>
      </c>
      <c r="X1467">
        <v>27</v>
      </c>
      <c r="Y1467">
        <v>22</v>
      </c>
      <c r="Z1467">
        <v>9.8628146588536497E-2</v>
      </c>
      <c r="AA1467">
        <v>31.536000000000001</v>
      </c>
    </row>
    <row r="1468" spans="1:27" x14ac:dyDescent="0.25">
      <c r="A1468" t="s">
        <v>98</v>
      </c>
      <c r="B1468" t="s">
        <v>99</v>
      </c>
      <c r="C1468" t="s">
        <v>100</v>
      </c>
      <c r="D1468" t="s">
        <v>1707</v>
      </c>
      <c r="E1468" t="s">
        <v>179</v>
      </c>
      <c r="F1468" t="s">
        <v>228</v>
      </c>
      <c r="G1468" t="s">
        <v>119</v>
      </c>
      <c r="H1468" t="s">
        <v>104</v>
      </c>
      <c r="I1468">
        <v>2016</v>
      </c>
      <c r="J1468" t="s">
        <v>238</v>
      </c>
      <c r="K1468" t="s">
        <v>106</v>
      </c>
      <c r="L1468" t="s">
        <v>1735</v>
      </c>
      <c r="M1468" t="s">
        <v>1760</v>
      </c>
      <c r="N1468">
        <v>1</v>
      </c>
      <c r="O1468">
        <v>2020</v>
      </c>
      <c r="P1468">
        <v>3706.851587070666</v>
      </c>
      <c r="Q1468">
        <v>3.9515087003088269</v>
      </c>
      <c r="R1468" t="s">
        <v>109</v>
      </c>
      <c r="S1468">
        <v>938.08513866639316</v>
      </c>
      <c r="T1468">
        <v>0.99</v>
      </c>
      <c r="U1468" t="s">
        <v>227</v>
      </c>
      <c r="V1468">
        <v>0.99</v>
      </c>
      <c r="W1468">
        <v>16</v>
      </c>
      <c r="X1468">
        <v>27</v>
      </c>
      <c r="Y1468">
        <v>22</v>
      </c>
      <c r="Z1468">
        <v>9.8628146588536497E-2</v>
      </c>
      <c r="AA1468">
        <v>31.536000000000001</v>
      </c>
    </row>
    <row r="1469" spans="1:27" x14ac:dyDescent="0.25">
      <c r="A1469" t="s">
        <v>98</v>
      </c>
      <c r="B1469" t="s">
        <v>99</v>
      </c>
      <c r="C1469" t="s">
        <v>100</v>
      </c>
      <c r="D1469" t="s">
        <v>1707</v>
      </c>
      <c r="E1469" t="s">
        <v>179</v>
      </c>
      <c r="F1469" t="s">
        <v>228</v>
      </c>
      <c r="G1469" t="s">
        <v>119</v>
      </c>
      <c r="H1469" t="s">
        <v>104</v>
      </c>
      <c r="I1469">
        <v>2022</v>
      </c>
      <c r="J1469" t="s">
        <v>240</v>
      </c>
      <c r="K1469" t="s">
        <v>106</v>
      </c>
      <c r="L1469" t="s">
        <v>1735</v>
      </c>
      <c r="M1469" t="s">
        <v>1761</v>
      </c>
      <c r="N1469">
        <v>1</v>
      </c>
      <c r="O1469">
        <v>2022</v>
      </c>
      <c r="P1469">
        <v>3706.851587070666</v>
      </c>
      <c r="Q1469">
        <v>3.9515087003088269</v>
      </c>
      <c r="R1469" t="s">
        <v>109</v>
      </c>
      <c r="S1469">
        <v>938.08513866639316</v>
      </c>
      <c r="T1469">
        <v>0.99</v>
      </c>
      <c r="U1469" t="s">
        <v>227</v>
      </c>
      <c r="V1469">
        <v>0.99</v>
      </c>
      <c r="W1469">
        <v>16</v>
      </c>
      <c r="X1469">
        <v>27</v>
      </c>
      <c r="Y1469">
        <v>22</v>
      </c>
      <c r="Z1469">
        <v>9.8628146588536497E-2</v>
      </c>
      <c r="AA1469">
        <v>31.536000000000001</v>
      </c>
    </row>
    <row r="1470" spans="1:27" x14ac:dyDescent="0.25">
      <c r="A1470" t="s">
        <v>98</v>
      </c>
      <c r="B1470" t="s">
        <v>99</v>
      </c>
      <c r="C1470" t="s">
        <v>100</v>
      </c>
      <c r="D1470" t="s">
        <v>1707</v>
      </c>
      <c r="E1470" t="s">
        <v>179</v>
      </c>
      <c r="F1470" t="s">
        <v>224</v>
      </c>
      <c r="G1470" t="s">
        <v>103</v>
      </c>
      <c r="H1470" t="s">
        <v>104</v>
      </c>
      <c r="I1470">
        <v>2016</v>
      </c>
      <c r="J1470" t="s">
        <v>242</v>
      </c>
      <c r="K1470" t="s">
        <v>106</v>
      </c>
      <c r="L1470" t="s">
        <v>1735</v>
      </c>
      <c r="M1470" t="s">
        <v>1762</v>
      </c>
      <c r="N1470">
        <v>1</v>
      </c>
      <c r="O1470">
        <v>2020</v>
      </c>
      <c r="P1470">
        <v>8748.901360931588</v>
      </c>
      <c r="Q1470">
        <v>3.9515087003088269</v>
      </c>
      <c r="R1470" t="s">
        <v>109</v>
      </c>
      <c r="S1470">
        <v>2214.06607563532</v>
      </c>
      <c r="T1470">
        <v>0.82</v>
      </c>
      <c r="U1470" t="s">
        <v>227</v>
      </c>
      <c r="V1470">
        <v>0.82</v>
      </c>
      <c r="W1470">
        <v>20</v>
      </c>
      <c r="X1470">
        <v>30</v>
      </c>
      <c r="Y1470">
        <v>26</v>
      </c>
      <c r="Z1470">
        <v>9.8628146588536497E-2</v>
      </c>
      <c r="AA1470">
        <v>31.536000000000001</v>
      </c>
    </row>
    <row r="1471" spans="1:27" x14ac:dyDescent="0.25">
      <c r="A1471" t="s">
        <v>98</v>
      </c>
      <c r="B1471" t="s">
        <v>99</v>
      </c>
      <c r="C1471" t="s">
        <v>100</v>
      </c>
      <c r="D1471" t="s">
        <v>1707</v>
      </c>
      <c r="E1471" t="s">
        <v>179</v>
      </c>
      <c r="F1471" t="s">
        <v>224</v>
      </c>
      <c r="G1471" t="s">
        <v>103</v>
      </c>
      <c r="H1471" t="s">
        <v>104</v>
      </c>
      <c r="I1471">
        <v>2021</v>
      </c>
      <c r="J1471" t="s">
        <v>244</v>
      </c>
      <c r="K1471" t="s">
        <v>106</v>
      </c>
      <c r="L1471" t="s">
        <v>1735</v>
      </c>
      <c r="M1471" t="s">
        <v>1763</v>
      </c>
      <c r="N1471">
        <v>1</v>
      </c>
      <c r="O1471">
        <v>2021</v>
      </c>
      <c r="P1471">
        <v>8962.2891990030894</v>
      </c>
      <c r="Q1471">
        <v>3.9515087003088269</v>
      </c>
      <c r="R1471" t="s">
        <v>109</v>
      </c>
      <c r="S1471">
        <v>2268.067687236181</v>
      </c>
      <c r="T1471">
        <v>0.84</v>
      </c>
      <c r="U1471" t="s">
        <v>227</v>
      </c>
      <c r="V1471">
        <v>0.84</v>
      </c>
      <c r="W1471">
        <v>20</v>
      </c>
      <c r="X1471">
        <v>30</v>
      </c>
      <c r="Y1471">
        <v>26</v>
      </c>
      <c r="Z1471">
        <v>9.8628146588536497E-2</v>
      </c>
      <c r="AA1471">
        <v>31.536000000000001</v>
      </c>
    </row>
    <row r="1472" spans="1:27" x14ac:dyDescent="0.25">
      <c r="A1472" t="s">
        <v>98</v>
      </c>
      <c r="B1472" t="s">
        <v>99</v>
      </c>
      <c r="C1472" t="s">
        <v>100</v>
      </c>
      <c r="D1472" t="s">
        <v>1707</v>
      </c>
      <c r="E1472" t="s">
        <v>179</v>
      </c>
      <c r="F1472" t="s">
        <v>224</v>
      </c>
      <c r="G1472" t="s">
        <v>111</v>
      </c>
      <c r="H1472" t="s">
        <v>104</v>
      </c>
      <c r="I1472">
        <v>2016</v>
      </c>
      <c r="J1472" t="s">
        <v>246</v>
      </c>
      <c r="K1472" t="s">
        <v>106</v>
      </c>
      <c r="L1472" t="s">
        <v>1735</v>
      </c>
      <c r="M1472" t="s">
        <v>1764</v>
      </c>
      <c r="N1472">
        <v>0</v>
      </c>
      <c r="O1472">
        <v>2020</v>
      </c>
      <c r="P1472">
        <v>8748.901360931588</v>
      </c>
      <c r="Q1472">
        <v>3.9515087003088269</v>
      </c>
      <c r="R1472" t="s">
        <v>109</v>
      </c>
      <c r="S1472">
        <v>2214.06607563532</v>
      </c>
      <c r="T1472">
        <v>0.82</v>
      </c>
      <c r="U1472" t="s">
        <v>227</v>
      </c>
      <c r="V1472">
        <v>0.82</v>
      </c>
      <c r="W1472">
        <v>20</v>
      </c>
      <c r="X1472">
        <v>30</v>
      </c>
      <c r="Y1472">
        <v>26</v>
      </c>
      <c r="Z1472">
        <v>9.8628146588536497E-2</v>
      </c>
      <c r="AA1472">
        <v>31.536000000000001</v>
      </c>
    </row>
    <row r="1473" spans="1:27" x14ac:dyDescent="0.25">
      <c r="A1473" t="s">
        <v>98</v>
      </c>
      <c r="B1473" t="s">
        <v>99</v>
      </c>
      <c r="C1473" t="s">
        <v>100</v>
      </c>
      <c r="D1473" t="s">
        <v>1707</v>
      </c>
      <c r="E1473" t="s">
        <v>179</v>
      </c>
      <c r="F1473" t="s">
        <v>224</v>
      </c>
      <c r="G1473" t="s">
        <v>111</v>
      </c>
      <c r="H1473" t="s">
        <v>104</v>
      </c>
      <c r="I1473">
        <v>2020</v>
      </c>
      <c r="J1473" t="s">
        <v>248</v>
      </c>
      <c r="K1473" t="s">
        <v>106</v>
      </c>
      <c r="L1473" t="s">
        <v>1735</v>
      </c>
      <c r="M1473" t="s">
        <v>1764</v>
      </c>
      <c r="N1473">
        <v>1</v>
      </c>
      <c r="O1473">
        <v>2020</v>
      </c>
      <c r="P1473">
        <v>9602.4527132175954</v>
      </c>
      <c r="Q1473">
        <v>3.9515087003088269</v>
      </c>
      <c r="R1473" t="s">
        <v>109</v>
      </c>
      <c r="S1473">
        <v>2430.0725220387649</v>
      </c>
      <c r="T1473">
        <v>0.9</v>
      </c>
      <c r="U1473" t="s">
        <v>227</v>
      </c>
      <c r="V1473">
        <v>0.9</v>
      </c>
      <c r="W1473">
        <v>20</v>
      </c>
      <c r="X1473">
        <v>30</v>
      </c>
      <c r="Y1473">
        <v>26</v>
      </c>
      <c r="Z1473">
        <v>9.8628146588536497E-2</v>
      </c>
      <c r="AA1473">
        <v>31.536000000000001</v>
      </c>
    </row>
    <row r="1474" spans="1:27" x14ac:dyDescent="0.25">
      <c r="A1474" t="s">
        <v>98</v>
      </c>
      <c r="B1474" t="s">
        <v>99</v>
      </c>
      <c r="C1474" t="s">
        <v>100</v>
      </c>
      <c r="D1474" t="s">
        <v>1707</v>
      </c>
      <c r="E1474" t="s">
        <v>179</v>
      </c>
      <c r="F1474" t="s">
        <v>224</v>
      </c>
      <c r="G1474" t="s">
        <v>114</v>
      </c>
      <c r="H1474" t="s">
        <v>104</v>
      </c>
      <c r="I1474">
        <v>2016</v>
      </c>
      <c r="J1474" t="s">
        <v>249</v>
      </c>
      <c r="K1474" t="s">
        <v>106</v>
      </c>
      <c r="L1474" t="s">
        <v>1735</v>
      </c>
      <c r="M1474" t="s">
        <v>1765</v>
      </c>
      <c r="N1474">
        <v>1</v>
      </c>
      <c r="O1474">
        <v>2020</v>
      </c>
      <c r="P1474">
        <v>9602.4527132175954</v>
      </c>
      <c r="Q1474">
        <v>3.9515087003088269</v>
      </c>
      <c r="R1474" t="s">
        <v>109</v>
      </c>
      <c r="S1474">
        <v>2430.0725220387649</v>
      </c>
      <c r="T1474">
        <v>0.9</v>
      </c>
      <c r="U1474" t="s">
        <v>227</v>
      </c>
      <c r="V1474">
        <v>0.9</v>
      </c>
      <c r="W1474">
        <v>20</v>
      </c>
      <c r="X1474">
        <v>30</v>
      </c>
      <c r="Y1474">
        <v>26</v>
      </c>
      <c r="Z1474">
        <v>9.8628146588536497E-2</v>
      </c>
      <c r="AA1474">
        <v>31.536000000000001</v>
      </c>
    </row>
    <row r="1475" spans="1:27" x14ac:dyDescent="0.25">
      <c r="A1475" t="s">
        <v>98</v>
      </c>
      <c r="B1475" t="s">
        <v>99</v>
      </c>
      <c r="C1475" t="s">
        <v>100</v>
      </c>
      <c r="D1475" t="s">
        <v>1707</v>
      </c>
      <c r="E1475" t="s">
        <v>179</v>
      </c>
      <c r="F1475" t="s">
        <v>224</v>
      </c>
      <c r="G1475" t="s">
        <v>119</v>
      </c>
      <c r="H1475" t="s">
        <v>104</v>
      </c>
      <c r="I1475">
        <v>2016</v>
      </c>
      <c r="J1475" t="s">
        <v>251</v>
      </c>
      <c r="K1475" t="s">
        <v>106</v>
      </c>
      <c r="L1475" t="s">
        <v>1735</v>
      </c>
      <c r="M1475" t="s">
        <v>1766</v>
      </c>
      <c r="N1475">
        <v>1</v>
      </c>
      <c r="O1475">
        <v>2020</v>
      </c>
      <c r="P1475">
        <v>10882.779741646609</v>
      </c>
      <c r="Q1475">
        <v>3.9515087003088269</v>
      </c>
      <c r="R1475" t="s">
        <v>109</v>
      </c>
      <c r="S1475">
        <v>2754.082191643934</v>
      </c>
      <c r="T1475">
        <v>0.97</v>
      </c>
      <c r="U1475" t="s">
        <v>227</v>
      </c>
      <c r="V1475">
        <v>0.97</v>
      </c>
      <c r="W1475">
        <v>20</v>
      </c>
      <c r="X1475">
        <v>30</v>
      </c>
      <c r="Y1475">
        <v>26</v>
      </c>
      <c r="Z1475">
        <v>9.8628146588536497E-2</v>
      </c>
      <c r="AA1475">
        <v>31.536000000000001</v>
      </c>
    </row>
    <row r="1476" spans="1:27" x14ac:dyDescent="0.25">
      <c r="A1476" t="s">
        <v>98</v>
      </c>
      <c r="B1476" t="s">
        <v>99</v>
      </c>
      <c r="C1476" t="s">
        <v>100</v>
      </c>
      <c r="D1476" t="s">
        <v>1707</v>
      </c>
      <c r="E1476" t="s">
        <v>179</v>
      </c>
      <c r="F1476" t="s">
        <v>224</v>
      </c>
      <c r="G1476" t="s">
        <v>119</v>
      </c>
      <c r="H1476" t="s">
        <v>104</v>
      </c>
      <c r="I1476">
        <v>2022</v>
      </c>
      <c r="J1476" t="s">
        <v>253</v>
      </c>
      <c r="K1476" t="s">
        <v>106</v>
      </c>
      <c r="L1476" t="s">
        <v>1735</v>
      </c>
      <c r="M1476" t="s">
        <v>1767</v>
      </c>
      <c r="N1476">
        <v>1</v>
      </c>
      <c r="O1476">
        <v>2022</v>
      </c>
      <c r="P1476">
        <v>10882.779741646609</v>
      </c>
      <c r="Q1476">
        <v>3.9515087003088269</v>
      </c>
      <c r="R1476" t="s">
        <v>109</v>
      </c>
      <c r="S1476">
        <v>2754.082191643934</v>
      </c>
      <c r="T1476">
        <v>0.97</v>
      </c>
      <c r="U1476" t="s">
        <v>227</v>
      </c>
      <c r="V1476">
        <v>0.97</v>
      </c>
      <c r="W1476">
        <v>20</v>
      </c>
      <c r="X1476">
        <v>30</v>
      </c>
      <c r="Y1476">
        <v>26</v>
      </c>
      <c r="Z1476">
        <v>9.8628146588536497E-2</v>
      </c>
      <c r="AA1476">
        <v>31.536000000000001</v>
      </c>
    </row>
    <row r="1477" spans="1:27" x14ac:dyDescent="0.25">
      <c r="A1477" t="s">
        <v>98</v>
      </c>
      <c r="B1477" t="s">
        <v>99</v>
      </c>
      <c r="C1477" t="s">
        <v>100</v>
      </c>
      <c r="D1477" t="s">
        <v>1707</v>
      </c>
      <c r="E1477" t="s">
        <v>179</v>
      </c>
      <c r="F1477" t="s">
        <v>228</v>
      </c>
      <c r="G1477" t="s">
        <v>103</v>
      </c>
      <c r="H1477" t="s">
        <v>255</v>
      </c>
      <c r="I1477">
        <v>2016</v>
      </c>
      <c r="J1477" t="s">
        <v>256</v>
      </c>
      <c r="K1477" t="s">
        <v>257</v>
      </c>
      <c r="L1477" t="s">
        <v>1735</v>
      </c>
      <c r="M1477" t="s">
        <v>1768</v>
      </c>
      <c r="N1477">
        <v>1</v>
      </c>
      <c r="O1477">
        <v>2020</v>
      </c>
      <c r="P1477">
        <v>5029.8561831139787</v>
      </c>
      <c r="Q1477">
        <v>3.9515087003088269</v>
      </c>
      <c r="R1477" t="s">
        <v>109</v>
      </c>
      <c r="S1477">
        <v>1272.895130591734</v>
      </c>
      <c r="T1477">
        <v>0.83</v>
      </c>
      <c r="U1477" t="s">
        <v>227</v>
      </c>
      <c r="V1477">
        <v>0.83</v>
      </c>
      <c r="W1477">
        <v>19.7</v>
      </c>
      <c r="X1477">
        <v>33.1</v>
      </c>
      <c r="Y1477">
        <v>27</v>
      </c>
      <c r="Z1477">
        <v>9.8628146588536497E-2</v>
      </c>
      <c r="AA1477">
        <v>31.536000000000001</v>
      </c>
    </row>
    <row r="1478" spans="1:27" x14ac:dyDescent="0.25">
      <c r="A1478" t="s">
        <v>98</v>
      </c>
      <c r="B1478" t="s">
        <v>99</v>
      </c>
      <c r="C1478" t="s">
        <v>100</v>
      </c>
      <c r="D1478" t="s">
        <v>1707</v>
      </c>
      <c r="E1478" t="s">
        <v>179</v>
      </c>
      <c r="F1478" t="s">
        <v>228</v>
      </c>
      <c r="G1478" t="s">
        <v>111</v>
      </c>
      <c r="H1478" t="s">
        <v>255</v>
      </c>
      <c r="I1478">
        <v>2016</v>
      </c>
      <c r="J1478" t="s">
        <v>259</v>
      </c>
      <c r="K1478" t="s">
        <v>257</v>
      </c>
      <c r="L1478" t="s">
        <v>1735</v>
      </c>
      <c r="M1478" t="s">
        <v>1769</v>
      </c>
      <c r="N1478">
        <v>0</v>
      </c>
      <c r="O1478">
        <v>2020</v>
      </c>
      <c r="P1478">
        <v>5029.8561831139787</v>
      </c>
      <c r="Q1478">
        <v>3.9515087003088269</v>
      </c>
      <c r="R1478" t="s">
        <v>109</v>
      </c>
      <c r="S1478">
        <v>1272.895130591734</v>
      </c>
      <c r="T1478">
        <v>0.83</v>
      </c>
      <c r="U1478" t="s">
        <v>227</v>
      </c>
      <c r="V1478">
        <v>0.83</v>
      </c>
      <c r="W1478">
        <v>19.7</v>
      </c>
      <c r="X1478">
        <v>33.1</v>
      </c>
      <c r="Y1478">
        <v>27</v>
      </c>
      <c r="Z1478">
        <v>9.8628146588536497E-2</v>
      </c>
      <c r="AA1478">
        <v>31.536000000000001</v>
      </c>
    </row>
    <row r="1479" spans="1:27" x14ac:dyDescent="0.25">
      <c r="A1479" t="s">
        <v>98</v>
      </c>
      <c r="B1479" t="s">
        <v>99</v>
      </c>
      <c r="C1479" t="s">
        <v>100</v>
      </c>
      <c r="D1479" t="s">
        <v>1707</v>
      </c>
      <c r="E1479" t="s">
        <v>179</v>
      </c>
      <c r="F1479" t="s">
        <v>228</v>
      </c>
      <c r="G1479" t="s">
        <v>111</v>
      </c>
      <c r="H1479" t="s">
        <v>255</v>
      </c>
      <c r="I1479">
        <v>2020</v>
      </c>
      <c r="J1479" t="s">
        <v>261</v>
      </c>
      <c r="K1479" t="s">
        <v>257</v>
      </c>
      <c r="L1479" t="s">
        <v>1735</v>
      </c>
      <c r="M1479" t="s">
        <v>1769</v>
      </c>
      <c r="N1479">
        <v>1</v>
      </c>
      <c r="O1479">
        <v>2020</v>
      </c>
      <c r="P1479">
        <v>5151.7920905834089</v>
      </c>
      <c r="Q1479">
        <v>3.9515087003088269</v>
      </c>
      <c r="R1479" t="s">
        <v>109</v>
      </c>
      <c r="S1479">
        <v>1303.753194363655</v>
      </c>
      <c r="T1479">
        <v>0.84</v>
      </c>
      <c r="U1479" t="s">
        <v>227</v>
      </c>
      <c r="V1479">
        <v>0.84</v>
      </c>
      <c r="W1479">
        <v>19.7</v>
      </c>
      <c r="X1479">
        <v>33.1</v>
      </c>
      <c r="Y1479">
        <v>27</v>
      </c>
      <c r="Z1479">
        <v>9.8628146588536497E-2</v>
      </c>
      <c r="AA1479">
        <v>31.536000000000001</v>
      </c>
    </row>
    <row r="1480" spans="1:27" x14ac:dyDescent="0.25">
      <c r="A1480" t="s">
        <v>98</v>
      </c>
      <c r="B1480" t="s">
        <v>99</v>
      </c>
      <c r="C1480" t="s">
        <v>100</v>
      </c>
      <c r="D1480" t="s">
        <v>1707</v>
      </c>
      <c r="E1480" t="s">
        <v>179</v>
      </c>
      <c r="F1480" t="s">
        <v>228</v>
      </c>
      <c r="G1480" t="s">
        <v>114</v>
      </c>
      <c r="H1480" t="s">
        <v>255</v>
      </c>
      <c r="I1480">
        <v>2016</v>
      </c>
      <c r="J1480" t="s">
        <v>262</v>
      </c>
      <c r="K1480" t="s">
        <v>257</v>
      </c>
      <c r="L1480" t="s">
        <v>1735</v>
      </c>
      <c r="M1480" t="s">
        <v>1770</v>
      </c>
      <c r="N1480">
        <v>1</v>
      </c>
      <c r="O1480">
        <v>2020</v>
      </c>
      <c r="P1480">
        <v>5304.2119749201956</v>
      </c>
      <c r="Q1480">
        <v>3.9515087003088269</v>
      </c>
      <c r="R1480" t="s">
        <v>109</v>
      </c>
      <c r="S1480">
        <v>1342.3257740785559</v>
      </c>
      <c r="T1480">
        <v>0.85</v>
      </c>
      <c r="U1480" t="s">
        <v>227</v>
      </c>
      <c r="V1480">
        <v>0.85</v>
      </c>
      <c r="W1480">
        <v>19.7</v>
      </c>
      <c r="X1480">
        <v>33.1</v>
      </c>
      <c r="Y1480">
        <v>27</v>
      </c>
      <c r="Z1480">
        <v>9.8628146588536497E-2</v>
      </c>
      <c r="AA1480">
        <v>31.536000000000001</v>
      </c>
    </row>
    <row r="1481" spans="1:27" x14ac:dyDescent="0.25">
      <c r="A1481" t="s">
        <v>98</v>
      </c>
      <c r="B1481" t="s">
        <v>99</v>
      </c>
      <c r="C1481" t="s">
        <v>100</v>
      </c>
      <c r="D1481" t="s">
        <v>1707</v>
      </c>
      <c r="E1481" t="s">
        <v>179</v>
      </c>
      <c r="F1481" t="s">
        <v>228</v>
      </c>
      <c r="G1481" t="s">
        <v>119</v>
      </c>
      <c r="H1481" t="s">
        <v>255</v>
      </c>
      <c r="I1481">
        <v>2016</v>
      </c>
      <c r="J1481" t="s">
        <v>264</v>
      </c>
      <c r="K1481" t="s">
        <v>257</v>
      </c>
      <c r="L1481" t="s">
        <v>1735</v>
      </c>
      <c r="M1481" t="s">
        <v>1771</v>
      </c>
      <c r="N1481">
        <v>0</v>
      </c>
      <c r="O1481">
        <v>2020</v>
      </c>
      <c r="P1481">
        <v>7864.8660317782214</v>
      </c>
      <c r="Q1481">
        <v>3.9515087003088269</v>
      </c>
      <c r="R1481" t="s">
        <v>109</v>
      </c>
      <c r="S1481">
        <v>1990.345113288894</v>
      </c>
      <c r="T1481">
        <v>0.97</v>
      </c>
      <c r="U1481" t="s">
        <v>227</v>
      </c>
      <c r="V1481">
        <v>0.97</v>
      </c>
      <c r="W1481">
        <v>19.7</v>
      </c>
      <c r="X1481">
        <v>33.1</v>
      </c>
      <c r="Y1481">
        <v>27</v>
      </c>
      <c r="Z1481">
        <v>9.8628146588536497E-2</v>
      </c>
      <c r="AA1481">
        <v>31.536000000000001</v>
      </c>
    </row>
    <row r="1482" spans="1:27" x14ac:dyDescent="0.25">
      <c r="A1482" t="s">
        <v>98</v>
      </c>
      <c r="B1482" t="s">
        <v>99</v>
      </c>
      <c r="C1482" t="s">
        <v>100</v>
      </c>
      <c r="D1482" t="s">
        <v>1707</v>
      </c>
      <c r="E1482" t="s">
        <v>179</v>
      </c>
      <c r="F1482" t="s">
        <v>228</v>
      </c>
      <c r="G1482" t="s">
        <v>119</v>
      </c>
      <c r="H1482" t="s">
        <v>255</v>
      </c>
      <c r="I1482">
        <v>2020</v>
      </c>
      <c r="J1482" t="s">
        <v>266</v>
      </c>
      <c r="K1482" t="s">
        <v>257</v>
      </c>
      <c r="L1482" t="s">
        <v>1735</v>
      </c>
      <c r="M1482" t="s">
        <v>1771</v>
      </c>
      <c r="N1482">
        <v>1</v>
      </c>
      <c r="O1482">
        <v>2020</v>
      </c>
      <c r="P1482">
        <v>7864.8660317782214</v>
      </c>
      <c r="Q1482">
        <v>3.9515087003088269</v>
      </c>
      <c r="R1482" t="s">
        <v>109</v>
      </c>
      <c r="S1482">
        <v>1990.345113288894</v>
      </c>
      <c r="T1482">
        <v>0.97</v>
      </c>
      <c r="U1482" t="s">
        <v>227</v>
      </c>
      <c r="V1482">
        <v>0.97</v>
      </c>
      <c r="W1482">
        <v>19.7</v>
      </c>
      <c r="X1482">
        <v>33.1</v>
      </c>
      <c r="Y1482">
        <v>27</v>
      </c>
      <c r="Z1482">
        <v>9.8628146588536497E-2</v>
      </c>
      <c r="AA1482">
        <v>31.536000000000001</v>
      </c>
    </row>
    <row r="1483" spans="1:27" x14ac:dyDescent="0.25">
      <c r="A1483" t="s">
        <v>98</v>
      </c>
      <c r="B1483" t="s">
        <v>99</v>
      </c>
      <c r="C1483" t="s">
        <v>100</v>
      </c>
      <c r="D1483" t="s">
        <v>1707</v>
      </c>
      <c r="E1483" t="s">
        <v>179</v>
      </c>
      <c r="F1483" t="s">
        <v>228</v>
      </c>
      <c r="G1483" t="s">
        <v>103</v>
      </c>
      <c r="H1483" t="s">
        <v>156</v>
      </c>
      <c r="I1483">
        <v>2016</v>
      </c>
      <c r="J1483" t="s">
        <v>267</v>
      </c>
      <c r="K1483" t="s">
        <v>158</v>
      </c>
      <c r="L1483" t="s">
        <v>1735</v>
      </c>
      <c r="M1483" t="s">
        <v>1772</v>
      </c>
      <c r="N1483">
        <v>1</v>
      </c>
      <c r="O1483">
        <v>2020</v>
      </c>
      <c r="P1483">
        <v>2499.6861031233111</v>
      </c>
      <c r="Q1483">
        <v>3.9515087003088269</v>
      </c>
      <c r="R1483" t="s">
        <v>109</v>
      </c>
      <c r="S1483">
        <v>632.59030732437702</v>
      </c>
      <c r="T1483">
        <v>0.8</v>
      </c>
      <c r="U1483" t="s">
        <v>227</v>
      </c>
      <c r="V1483">
        <v>0.8</v>
      </c>
      <c r="W1483">
        <v>16</v>
      </c>
      <c r="X1483">
        <v>27</v>
      </c>
      <c r="Y1483">
        <v>22</v>
      </c>
      <c r="Z1483">
        <v>9.8628146588536497E-2</v>
      </c>
      <c r="AA1483">
        <v>31.536000000000001</v>
      </c>
    </row>
    <row r="1484" spans="1:27" x14ac:dyDescent="0.25">
      <c r="A1484" t="s">
        <v>98</v>
      </c>
      <c r="B1484" t="s">
        <v>99</v>
      </c>
      <c r="C1484" t="s">
        <v>100</v>
      </c>
      <c r="D1484" t="s">
        <v>1707</v>
      </c>
      <c r="E1484" t="s">
        <v>179</v>
      </c>
      <c r="F1484" t="s">
        <v>228</v>
      </c>
      <c r="G1484" t="s">
        <v>111</v>
      </c>
      <c r="H1484" t="s">
        <v>156</v>
      </c>
      <c r="I1484">
        <v>2016</v>
      </c>
      <c r="J1484" t="s">
        <v>269</v>
      </c>
      <c r="K1484" t="s">
        <v>158</v>
      </c>
      <c r="L1484" t="s">
        <v>1735</v>
      </c>
      <c r="M1484" t="s">
        <v>1773</v>
      </c>
      <c r="N1484">
        <v>0</v>
      </c>
      <c r="O1484">
        <v>2020</v>
      </c>
      <c r="P1484">
        <v>3182.5271849521182</v>
      </c>
      <c r="Q1484">
        <v>3.9515087003088269</v>
      </c>
      <c r="R1484" t="s">
        <v>109</v>
      </c>
      <c r="S1484">
        <v>805.39546444713369</v>
      </c>
      <c r="T1484">
        <v>0.92</v>
      </c>
      <c r="U1484" t="s">
        <v>227</v>
      </c>
      <c r="V1484">
        <v>0.92</v>
      </c>
      <c r="W1484">
        <v>16</v>
      </c>
      <c r="X1484">
        <v>27</v>
      </c>
      <c r="Y1484">
        <v>22</v>
      </c>
      <c r="Z1484">
        <v>9.8628146588536497E-2</v>
      </c>
      <c r="AA1484">
        <v>31.536000000000001</v>
      </c>
    </row>
    <row r="1485" spans="1:27" x14ac:dyDescent="0.25">
      <c r="A1485" t="s">
        <v>98</v>
      </c>
      <c r="B1485" t="s">
        <v>99</v>
      </c>
      <c r="C1485" t="s">
        <v>100</v>
      </c>
      <c r="D1485" t="s">
        <v>1707</v>
      </c>
      <c r="E1485" t="s">
        <v>179</v>
      </c>
      <c r="F1485" t="s">
        <v>228</v>
      </c>
      <c r="G1485" t="s">
        <v>111</v>
      </c>
      <c r="H1485" t="s">
        <v>156</v>
      </c>
      <c r="I1485">
        <v>2020</v>
      </c>
      <c r="J1485" t="s">
        <v>271</v>
      </c>
      <c r="K1485" t="s">
        <v>158</v>
      </c>
      <c r="L1485" t="s">
        <v>1735</v>
      </c>
      <c r="M1485" t="s">
        <v>1773</v>
      </c>
      <c r="N1485">
        <v>1</v>
      </c>
      <c r="O1485">
        <v>2020</v>
      </c>
      <c r="P1485">
        <v>3365.4310461562618</v>
      </c>
      <c r="Q1485">
        <v>3.9515087003088269</v>
      </c>
      <c r="R1485" t="s">
        <v>109</v>
      </c>
      <c r="S1485">
        <v>851.68256010501489</v>
      </c>
      <c r="T1485">
        <v>0.92</v>
      </c>
      <c r="U1485" t="s">
        <v>227</v>
      </c>
      <c r="V1485">
        <v>0.92</v>
      </c>
      <c r="W1485">
        <v>16</v>
      </c>
      <c r="X1485">
        <v>27</v>
      </c>
      <c r="Y1485">
        <v>22</v>
      </c>
      <c r="Z1485">
        <v>9.8628146588536497E-2</v>
      </c>
      <c r="AA1485">
        <v>31.536000000000001</v>
      </c>
    </row>
    <row r="1486" spans="1:27" x14ac:dyDescent="0.25">
      <c r="A1486" t="s">
        <v>98</v>
      </c>
      <c r="B1486" t="s">
        <v>99</v>
      </c>
      <c r="C1486" t="s">
        <v>100</v>
      </c>
      <c r="D1486" t="s">
        <v>1707</v>
      </c>
      <c r="E1486" t="s">
        <v>179</v>
      </c>
      <c r="F1486" t="s">
        <v>228</v>
      </c>
      <c r="G1486" t="s">
        <v>114</v>
      </c>
      <c r="H1486" t="s">
        <v>156</v>
      </c>
      <c r="I1486">
        <v>2016</v>
      </c>
      <c r="J1486" t="s">
        <v>272</v>
      </c>
      <c r="K1486" t="s">
        <v>158</v>
      </c>
      <c r="L1486" t="s">
        <v>1735</v>
      </c>
      <c r="M1486" t="s">
        <v>1774</v>
      </c>
      <c r="N1486">
        <v>1</v>
      </c>
      <c r="O1486">
        <v>2020</v>
      </c>
      <c r="P1486">
        <v>3341.043864662377</v>
      </c>
      <c r="Q1486">
        <v>3.9515087003088269</v>
      </c>
      <c r="R1486" t="s">
        <v>109</v>
      </c>
      <c r="S1486">
        <v>845.51094735063077</v>
      </c>
      <c r="T1486">
        <v>0.95</v>
      </c>
      <c r="U1486" t="s">
        <v>227</v>
      </c>
      <c r="V1486">
        <v>0.95</v>
      </c>
      <c r="W1486">
        <v>16</v>
      </c>
      <c r="X1486">
        <v>27</v>
      </c>
      <c r="Y1486">
        <v>22</v>
      </c>
      <c r="Z1486">
        <v>9.8628146588536497E-2</v>
      </c>
      <c r="AA1486">
        <v>31.536000000000001</v>
      </c>
    </row>
    <row r="1487" spans="1:27" x14ac:dyDescent="0.25">
      <c r="A1487" t="s">
        <v>98</v>
      </c>
      <c r="B1487" t="s">
        <v>99</v>
      </c>
      <c r="C1487" t="s">
        <v>100</v>
      </c>
      <c r="D1487" t="s">
        <v>1707</v>
      </c>
      <c r="E1487" t="s">
        <v>179</v>
      </c>
      <c r="F1487" t="s">
        <v>228</v>
      </c>
      <c r="G1487" t="s">
        <v>114</v>
      </c>
      <c r="H1487" t="s">
        <v>156</v>
      </c>
      <c r="I1487">
        <v>2022</v>
      </c>
      <c r="J1487" t="s">
        <v>274</v>
      </c>
      <c r="K1487" t="s">
        <v>158</v>
      </c>
      <c r="L1487" t="s">
        <v>1735</v>
      </c>
      <c r="M1487" t="s">
        <v>1775</v>
      </c>
      <c r="N1487">
        <v>1</v>
      </c>
      <c r="O1487">
        <v>2022</v>
      </c>
      <c r="P1487">
        <v>3341.043864662377</v>
      </c>
      <c r="Q1487">
        <v>3.9515087003088269</v>
      </c>
      <c r="R1487" t="s">
        <v>109</v>
      </c>
      <c r="S1487">
        <v>845.51094735063077</v>
      </c>
      <c r="T1487">
        <v>0.95</v>
      </c>
      <c r="U1487" t="s">
        <v>227</v>
      </c>
      <c r="V1487">
        <v>0.95</v>
      </c>
      <c r="W1487">
        <v>16</v>
      </c>
      <c r="X1487">
        <v>27</v>
      </c>
      <c r="Y1487">
        <v>22</v>
      </c>
      <c r="Z1487">
        <v>9.8628146588536497E-2</v>
      </c>
      <c r="AA1487">
        <v>31.536000000000001</v>
      </c>
    </row>
    <row r="1488" spans="1:27" x14ac:dyDescent="0.25">
      <c r="A1488" t="s">
        <v>98</v>
      </c>
      <c r="B1488" t="s">
        <v>99</v>
      </c>
      <c r="C1488" t="s">
        <v>100</v>
      </c>
      <c r="D1488" t="s">
        <v>1707</v>
      </c>
      <c r="E1488" t="s">
        <v>179</v>
      </c>
      <c r="F1488" t="s">
        <v>228</v>
      </c>
      <c r="G1488" t="s">
        <v>119</v>
      </c>
      <c r="H1488" t="s">
        <v>156</v>
      </c>
      <c r="I1488">
        <v>2016</v>
      </c>
      <c r="J1488" t="s">
        <v>276</v>
      </c>
      <c r="K1488" t="s">
        <v>158</v>
      </c>
      <c r="L1488" t="s">
        <v>1735</v>
      </c>
      <c r="M1488" t="s">
        <v>1776</v>
      </c>
      <c r="N1488">
        <v>1</v>
      </c>
      <c r="O1488">
        <v>2020</v>
      </c>
      <c r="P1488">
        <v>3706.851587070666</v>
      </c>
      <c r="Q1488">
        <v>3.9515087003088269</v>
      </c>
      <c r="R1488" t="s">
        <v>109</v>
      </c>
      <c r="S1488">
        <v>938.08513866639316</v>
      </c>
      <c r="T1488">
        <v>0.99</v>
      </c>
      <c r="U1488" t="s">
        <v>227</v>
      </c>
      <c r="V1488">
        <v>0.99</v>
      </c>
      <c r="W1488">
        <v>16</v>
      </c>
      <c r="X1488">
        <v>27</v>
      </c>
      <c r="Y1488">
        <v>22</v>
      </c>
      <c r="Z1488">
        <v>9.8628146588536497E-2</v>
      </c>
      <c r="AA1488">
        <v>31.536000000000001</v>
      </c>
    </row>
    <row r="1489" spans="1:27" x14ac:dyDescent="0.25">
      <c r="A1489" t="s">
        <v>98</v>
      </c>
      <c r="B1489" t="s">
        <v>99</v>
      </c>
      <c r="C1489" t="s">
        <v>100</v>
      </c>
      <c r="D1489" t="s">
        <v>1707</v>
      </c>
      <c r="E1489" t="s">
        <v>179</v>
      </c>
      <c r="F1489" t="s">
        <v>228</v>
      </c>
      <c r="G1489" t="s">
        <v>119</v>
      </c>
      <c r="H1489" t="s">
        <v>156</v>
      </c>
      <c r="I1489">
        <v>2022</v>
      </c>
      <c r="J1489" t="s">
        <v>278</v>
      </c>
      <c r="K1489" t="s">
        <v>158</v>
      </c>
      <c r="L1489" t="s">
        <v>1735</v>
      </c>
      <c r="M1489" t="s">
        <v>1777</v>
      </c>
      <c r="N1489">
        <v>1</v>
      </c>
      <c r="O1489">
        <v>2022</v>
      </c>
      <c r="P1489">
        <v>3706.851587070666</v>
      </c>
      <c r="Q1489">
        <v>3.9515087003088269</v>
      </c>
      <c r="R1489" t="s">
        <v>109</v>
      </c>
      <c r="S1489">
        <v>938.08513866639316</v>
      </c>
      <c r="T1489">
        <v>0.99</v>
      </c>
      <c r="U1489" t="s">
        <v>227</v>
      </c>
      <c r="V1489">
        <v>0.99</v>
      </c>
      <c r="W1489">
        <v>16</v>
      </c>
      <c r="X1489">
        <v>27</v>
      </c>
      <c r="Y1489">
        <v>22</v>
      </c>
      <c r="Z1489">
        <v>9.8628146588536497E-2</v>
      </c>
      <c r="AA1489">
        <v>31.536000000000001</v>
      </c>
    </row>
    <row r="1490" spans="1:27" x14ac:dyDescent="0.25">
      <c r="A1490" t="s">
        <v>98</v>
      </c>
      <c r="B1490" t="s">
        <v>99</v>
      </c>
      <c r="C1490" t="s">
        <v>100</v>
      </c>
      <c r="D1490" t="s">
        <v>1707</v>
      </c>
      <c r="E1490" t="s">
        <v>179</v>
      </c>
      <c r="F1490" t="s">
        <v>228</v>
      </c>
      <c r="G1490" t="s">
        <v>103</v>
      </c>
      <c r="H1490" t="s">
        <v>148</v>
      </c>
      <c r="I1490">
        <v>2016</v>
      </c>
      <c r="J1490" t="s">
        <v>280</v>
      </c>
      <c r="K1490" t="s">
        <v>150</v>
      </c>
      <c r="L1490" t="s">
        <v>1735</v>
      </c>
      <c r="M1490" t="s">
        <v>1778</v>
      </c>
      <c r="N1490">
        <v>1</v>
      </c>
      <c r="O1490">
        <v>2020</v>
      </c>
      <c r="P1490">
        <v>5029.8561831139787</v>
      </c>
      <c r="Q1490">
        <v>3.9515087003088269</v>
      </c>
      <c r="R1490" t="s">
        <v>109</v>
      </c>
      <c r="S1490">
        <v>1272.895130591734</v>
      </c>
      <c r="T1490">
        <v>0.83</v>
      </c>
      <c r="U1490" t="s">
        <v>227</v>
      </c>
      <c r="V1490">
        <v>0.83</v>
      </c>
      <c r="W1490">
        <v>19.7</v>
      </c>
      <c r="X1490">
        <v>33.1</v>
      </c>
      <c r="Y1490">
        <v>27</v>
      </c>
      <c r="Z1490">
        <v>9.8628146588536497E-2</v>
      </c>
      <c r="AA1490">
        <v>31.536000000000001</v>
      </c>
    </row>
    <row r="1491" spans="1:27" x14ac:dyDescent="0.25">
      <c r="A1491" t="s">
        <v>98</v>
      </c>
      <c r="B1491" t="s">
        <v>99</v>
      </c>
      <c r="C1491" t="s">
        <v>100</v>
      </c>
      <c r="D1491" t="s">
        <v>1707</v>
      </c>
      <c r="E1491" t="s">
        <v>179</v>
      </c>
      <c r="F1491" t="s">
        <v>228</v>
      </c>
      <c r="G1491" t="s">
        <v>111</v>
      </c>
      <c r="H1491" t="s">
        <v>148</v>
      </c>
      <c r="I1491">
        <v>2016</v>
      </c>
      <c r="J1491" t="s">
        <v>282</v>
      </c>
      <c r="K1491" t="s">
        <v>150</v>
      </c>
      <c r="L1491" t="s">
        <v>1735</v>
      </c>
      <c r="M1491" t="s">
        <v>1779</v>
      </c>
      <c r="N1491">
        <v>1</v>
      </c>
      <c r="O1491">
        <v>2020</v>
      </c>
      <c r="P1491">
        <v>5029.8561831139787</v>
      </c>
      <c r="Q1491">
        <v>3.9515087003088269</v>
      </c>
      <c r="R1491" t="s">
        <v>109</v>
      </c>
      <c r="S1491">
        <v>1272.895130591734</v>
      </c>
      <c r="T1491">
        <v>0.83</v>
      </c>
      <c r="U1491" t="s">
        <v>227</v>
      </c>
      <c r="V1491">
        <v>0.83</v>
      </c>
      <c r="W1491">
        <v>19.7</v>
      </c>
      <c r="X1491">
        <v>33.1</v>
      </c>
      <c r="Y1491">
        <v>27</v>
      </c>
      <c r="Z1491">
        <v>9.8628146588536497E-2</v>
      </c>
      <c r="AA1491">
        <v>31.536000000000001</v>
      </c>
    </row>
    <row r="1492" spans="1:27" x14ac:dyDescent="0.25">
      <c r="A1492" t="s">
        <v>98</v>
      </c>
      <c r="B1492" t="s">
        <v>99</v>
      </c>
      <c r="C1492" t="s">
        <v>100</v>
      </c>
      <c r="D1492" t="s">
        <v>1707</v>
      </c>
      <c r="E1492" t="s">
        <v>179</v>
      </c>
      <c r="F1492" t="s">
        <v>228</v>
      </c>
      <c r="G1492" t="s">
        <v>111</v>
      </c>
      <c r="H1492" t="s">
        <v>148</v>
      </c>
      <c r="I1492">
        <v>2022</v>
      </c>
      <c r="J1492" t="s">
        <v>284</v>
      </c>
      <c r="K1492" t="s">
        <v>150</v>
      </c>
      <c r="L1492" t="s">
        <v>1735</v>
      </c>
      <c r="M1492" t="s">
        <v>1780</v>
      </c>
      <c r="N1492">
        <v>1</v>
      </c>
      <c r="O1492">
        <v>2022</v>
      </c>
      <c r="P1492">
        <v>5151.7920905834089</v>
      </c>
      <c r="Q1492">
        <v>3.9515087003088269</v>
      </c>
      <c r="R1492" t="s">
        <v>109</v>
      </c>
      <c r="S1492">
        <v>1303.753194363655</v>
      </c>
      <c r="T1492">
        <v>0.84</v>
      </c>
      <c r="U1492" t="s">
        <v>227</v>
      </c>
      <c r="V1492">
        <v>0.84</v>
      </c>
      <c r="W1492">
        <v>19.7</v>
      </c>
      <c r="X1492">
        <v>33.1</v>
      </c>
      <c r="Y1492">
        <v>27</v>
      </c>
      <c r="Z1492">
        <v>9.8628146588536497E-2</v>
      </c>
      <c r="AA1492">
        <v>31.536000000000001</v>
      </c>
    </row>
    <row r="1493" spans="1:27" x14ac:dyDescent="0.25">
      <c r="A1493" t="s">
        <v>98</v>
      </c>
      <c r="B1493" t="s">
        <v>99</v>
      </c>
      <c r="C1493" t="s">
        <v>100</v>
      </c>
      <c r="D1493" t="s">
        <v>1707</v>
      </c>
      <c r="E1493" t="s">
        <v>179</v>
      </c>
      <c r="F1493" t="s">
        <v>228</v>
      </c>
      <c r="G1493" t="s">
        <v>114</v>
      </c>
      <c r="H1493" t="s">
        <v>148</v>
      </c>
      <c r="I1493">
        <v>2016</v>
      </c>
      <c r="J1493" t="s">
        <v>286</v>
      </c>
      <c r="K1493" t="s">
        <v>150</v>
      </c>
      <c r="L1493" t="s">
        <v>1735</v>
      </c>
      <c r="M1493" t="s">
        <v>1781</v>
      </c>
      <c r="N1493">
        <v>1</v>
      </c>
      <c r="O1493">
        <v>2020</v>
      </c>
      <c r="P1493">
        <v>5304.2119749201956</v>
      </c>
      <c r="Q1493">
        <v>3.9515087003088269</v>
      </c>
      <c r="R1493" t="s">
        <v>109</v>
      </c>
      <c r="S1493">
        <v>1342.3257740785559</v>
      </c>
      <c r="T1493">
        <v>0.85</v>
      </c>
      <c r="U1493" t="s">
        <v>227</v>
      </c>
      <c r="V1493">
        <v>0.85</v>
      </c>
      <c r="W1493">
        <v>19.7</v>
      </c>
      <c r="X1493">
        <v>33.1</v>
      </c>
      <c r="Y1493">
        <v>27</v>
      </c>
      <c r="Z1493">
        <v>9.8628146588536497E-2</v>
      </c>
      <c r="AA1493">
        <v>31.536000000000001</v>
      </c>
    </row>
    <row r="1494" spans="1:27" x14ac:dyDescent="0.25">
      <c r="A1494" t="s">
        <v>98</v>
      </c>
      <c r="B1494" t="s">
        <v>99</v>
      </c>
      <c r="C1494" t="s">
        <v>100</v>
      </c>
      <c r="D1494" t="s">
        <v>1707</v>
      </c>
      <c r="E1494" t="s">
        <v>179</v>
      </c>
      <c r="F1494" t="s">
        <v>228</v>
      </c>
      <c r="G1494" t="s">
        <v>119</v>
      </c>
      <c r="H1494" t="s">
        <v>148</v>
      </c>
      <c r="I1494">
        <v>2016</v>
      </c>
      <c r="J1494" t="s">
        <v>288</v>
      </c>
      <c r="K1494" t="s">
        <v>150</v>
      </c>
      <c r="L1494" t="s">
        <v>1735</v>
      </c>
      <c r="M1494" t="s">
        <v>1782</v>
      </c>
      <c r="N1494">
        <v>1</v>
      </c>
      <c r="O1494">
        <v>2020</v>
      </c>
      <c r="P1494">
        <v>7864.8660317782214</v>
      </c>
      <c r="Q1494">
        <v>3.9515087003088269</v>
      </c>
      <c r="R1494" t="s">
        <v>109</v>
      </c>
      <c r="S1494">
        <v>1990.345113288894</v>
      </c>
      <c r="T1494">
        <v>0.97</v>
      </c>
      <c r="U1494" t="s">
        <v>227</v>
      </c>
      <c r="V1494">
        <v>0.97</v>
      </c>
      <c r="W1494">
        <v>19.7</v>
      </c>
      <c r="X1494">
        <v>33.1</v>
      </c>
      <c r="Y1494">
        <v>27</v>
      </c>
      <c r="Z1494">
        <v>9.8628146588536497E-2</v>
      </c>
      <c r="AA1494">
        <v>31.536000000000001</v>
      </c>
    </row>
    <row r="1495" spans="1:27" x14ac:dyDescent="0.25">
      <c r="A1495" t="s">
        <v>98</v>
      </c>
      <c r="B1495" t="s">
        <v>99</v>
      </c>
      <c r="C1495" t="s">
        <v>100</v>
      </c>
      <c r="D1495" t="s">
        <v>1707</v>
      </c>
      <c r="E1495" t="s">
        <v>179</v>
      </c>
      <c r="F1495" t="s">
        <v>228</v>
      </c>
      <c r="G1495" t="s">
        <v>119</v>
      </c>
      <c r="H1495" t="s">
        <v>148</v>
      </c>
      <c r="I1495">
        <v>2022</v>
      </c>
      <c r="J1495" t="s">
        <v>290</v>
      </c>
      <c r="K1495" t="s">
        <v>150</v>
      </c>
      <c r="L1495" t="s">
        <v>1735</v>
      </c>
      <c r="M1495" t="s">
        <v>1783</v>
      </c>
      <c r="N1495">
        <v>1</v>
      </c>
      <c r="O1495">
        <v>2022</v>
      </c>
      <c r="P1495">
        <v>7864.8660317782214</v>
      </c>
      <c r="Q1495">
        <v>3.9515087003088269</v>
      </c>
      <c r="R1495" t="s">
        <v>109</v>
      </c>
      <c r="S1495">
        <v>1990.345113288894</v>
      </c>
      <c r="T1495">
        <v>0.97</v>
      </c>
      <c r="U1495" t="s">
        <v>227</v>
      </c>
      <c r="V1495">
        <v>0.97</v>
      </c>
      <c r="W1495">
        <v>19.7</v>
      </c>
      <c r="X1495">
        <v>33.1</v>
      </c>
      <c r="Y1495">
        <v>27</v>
      </c>
      <c r="Z1495">
        <v>9.8628146588536497E-2</v>
      </c>
      <c r="AA1495">
        <v>31.536000000000001</v>
      </c>
    </row>
    <row r="1496" spans="1:27" x14ac:dyDescent="0.25">
      <c r="A1496" t="s">
        <v>98</v>
      </c>
      <c r="B1496" t="s">
        <v>99</v>
      </c>
      <c r="C1496" t="s">
        <v>100</v>
      </c>
      <c r="D1496" t="s">
        <v>1707</v>
      </c>
      <c r="E1496" t="s">
        <v>179</v>
      </c>
      <c r="F1496" t="s">
        <v>224</v>
      </c>
      <c r="G1496" t="s">
        <v>103</v>
      </c>
      <c r="H1496" t="s">
        <v>148</v>
      </c>
      <c r="I1496">
        <v>2016</v>
      </c>
      <c r="J1496" t="s">
        <v>292</v>
      </c>
      <c r="K1496" t="s">
        <v>150</v>
      </c>
      <c r="L1496" t="s">
        <v>1735</v>
      </c>
      <c r="M1496" t="s">
        <v>1784</v>
      </c>
      <c r="N1496">
        <v>1</v>
      </c>
      <c r="O1496">
        <v>2020</v>
      </c>
      <c r="P1496">
        <v>11126.65155658547</v>
      </c>
      <c r="Q1496">
        <v>3.9515087003088269</v>
      </c>
      <c r="R1496" t="s">
        <v>109</v>
      </c>
      <c r="S1496">
        <v>2815.7983191877761</v>
      </c>
      <c r="T1496">
        <v>0.84</v>
      </c>
      <c r="U1496" t="s">
        <v>227</v>
      </c>
      <c r="V1496">
        <v>0.84</v>
      </c>
      <c r="W1496">
        <v>18</v>
      </c>
      <c r="X1496">
        <v>28</v>
      </c>
      <c r="Y1496">
        <v>24</v>
      </c>
      <c r="Z1496">
        <v>9.8628146588536497E-2</v>
      </c>
      <c r="AA1496">
        <v>31.536000000000001</v>
      </c>
    </row>
    <row r="1497" spans="1:27" x14ac:dyDescent="0.25">
      <c r="A1497" t="s">
        <v>98</v>
      </c>
      <c r="B1497" t="s">
        <v>99</v>
      </c>
      <c r="C1497" t="s">
        <v>100</v>
      </c>
      <c r="D1497" t="s">
        <v>1707</v>
      </c>
      <c r="E1497" t="s">
        <v>179</v>
      </c>
      <c r="F1497" t="s">
        <v>224</v>
      </c>
      <c r="G1497" t="s">
        <v>103</v>
      </c>
      <c r="H1497" t="s">
        <v>148</v>
      </c>
      <c r="I1497">
        <v>2022</v>
      </c>
      <c r="J1497" t="s">
        <v>294</v>
      </c>
      <c r="K1497" t="s">
        <v>150</v>
      </c>
      <c r="L1497" t="s">
        <v>1735</v>
      </c>
      <c r="M1497" t="s">
        <v>1785</v>
      </c>
      <c r="N1497">
        <v>1</v>
      </c>
      <c r="O1497">
        <v>2022</v>
      </c>
      <c r="P1497">
        <v>11492.45927899376</v>
      </c>
      <c r="Q1497">
        <v>3.9515087003088269</v>
      </c>
      <c r="R1497" t="s">
        <v>109</v>
      </c>
      <c r="S1497">
        <v>2908.3725105035378</v>
      </c>
      <c r="T1497">
        <v>0.86</v>
      </c>
      <c r="U1497" t="s">
        <v>227</v>
      </c>
      <c r="V1497">
        <v>0.86</v>
      </c>
      <c r="W1497">
        <v>18</v>
      </c>
      <c r="X1497">
        <v>28</v>
      </c>
      <c r="Y1497">
        <v>24</v>
      </c>
      <c r="Z1497">
        <v>9.8628146588536497E-2</v>
      </c>
      <c r="AA1497">
        <v>31.536000000000001</v>
      </c>
    </row>
    <row r="1498" spans="1:27" x14ac:dyDescent="0.25">
      <c r="A1498" t="s">
        <v>98</v>
      </c>
      <c r="B1498" t="s">
        <v>99</v>
      </c>
      <c r="C1498" t="s">
        <v>100</v>
      </c>
      <c r="D1498" t="s">
        <v>1707</v>
      </c>
      <c r="E1498" t="s">
        <v>179</v>
      </c>
      <c r="F1498" t="s">
        <v>224</v>
      </c>
      <c r="G1498" t="s">
        <v>111</v>
      </c>
      <c r="H1498" t="s">
        <v>148</v>
      </c>
      <c r="I1498">
        <v>2016</v>
      </c>
      <c r="J1498" t="s">
        <v>296</v>
      </c>
      <c r="K1498" t="s">
        <v>150</v>
      </c>
      <c r="L1498" t="s">
        <v>1735</v>
      </c>
      <c r="M1498" t="s">
        <v>1786</v>
      </c>
      <c r="N1498">
        <v>1</v>
      </c>
      <c r="O1498">
        <v>2020</v>
      </c>
      <c r="P1498">
        <v>11126.65155658547</v>
      </c>
      <c r="Q1498">
        <v>3.9515087003088269</v>
      </c>
      <c r="R1498" t="s">
        <v>109</v>
      </c>
      <c r="S1498">
        <v>2815.7983191877761</v>
      </c>
      <c r="T1498">
        <v>0.84</v>
      </c>
      <c r="U1498" t="s">
        <v>227</v>
      </c>
      <c r="V1498">
        <v>0.84</v>
      </c>
      <c r="W1498">
        <v>18</v>
      </c>
      <c r="X1498">
        <v>28</v>
      </c>
      <c r="Y1498">
        <v>24</v>
      </c>
      <c r="Z1498">
        <v>9.8628146588536497E-2</v>
      </c>
      <c r="AA1498">
        <v>31.536000000000001</v>
      </c>
    </row>
    <row r="1499" spans="1:27" x14ac:dyDescent="0.25">
      <c r="A1499" t="s">
        <v>98</v>
      </c>
      <c r="B1499" t="s">
        <v>99</v>
      </c>
      <c r="C1499" t="s">
        <v>100</v>
      </c>
      <c r="D1499" t="s">
        <v>1707</v>
      </c>
      <c r="E1499" t="s">
        <v>179</v>
      </c>
      <c r="F1499" t="s">
        <v>224</v>
      </c>
      <c r="G1499" t="s">
        <v>111</v>
      </c>
      <c r="H1499" t="s">
        <v>148</v>
      </c>
      <c r="I1499">
        <v>2022</v>
      </c>
      <c r="J1499" t="s">
        <v>298</v>
      </c>
      <c r="K1499" t="s">
        <v>150</v>
      </c>
      <c r="L1499" t="s">
        <v>1735</v>
      </c>
      <c r="M1499" t="s">
        <v>1787</v>
      </c>
      <c r="N1499">
        <v>1</v>
      </c>
      <c r="O1499">
        <v>2022</v>
      </c>
      <c r="P1499">
        <v>11492.45927899376</v>
      </c>
      <c r="Q1499">
        <v>3.9515087003088269</v>
      </c>
      <c r="R1499" t="s">
        <v>109</v>
      </c>
      <c r="S1499">
        <v>2908.3725105035378</v>
      </c>
      <c r="T1499">
        <v>0.86</v>
      </c>
      <c r="U1499" t="s">
        <v>227</v>
      </c>
      <c r="V1499">
        <v>0.86</v>
      </c>
      <c r="W1499">
        <v>18</v>
      </c>
      <c r="X1499">
        <v>28</v>
      </c>
      <c r="Y1499">
        <v>24</v>
      </c>
      <c r="Z1499">
        <v>9.8628146588536497E-2</v>
      </c>
      <c r="AA1499">
        <v>31.536000000000001</v>
      </c>
    </row>
    <row r="1500" spans="1:27" x14ac:dyDescent="0.25">
      <c r="A1500" t="s">
        <v>98</v>
      </c>
      <c r="B1500" t="s">
        <v>99</v>
      </c>
      <c r="C1500" t="s">
        <v>100</v>
      </c>
      <c r="D1500" t="s">
        <v>1707</v>
      </c>
      <c r="E1500" t="s">
        <v>179</v>
      </c>
      <c r="F1500" t="s">
        <v>224</v>
      </c>
      <c r="G1500" t="s">
        <v>114</v>
      </c>
      <c r="H1500" t="s">
        <v>148</v>
      </c>
      <c r="I1500">
        <v>2016</v>
      </c>
      <c r="J1500" t="s">
        <v>300</v>
      </c>
      <c r="K1500" t="s">
        <v>150</v>
      </c>
      <c r="L1500" t="s">
        <v>1735</v>
      </c>
      <c r="M1500" t="s">
        <v>1788</v>
      </c>
      <c r="N1500">
        <v>1</v>
      </c>
      <c r="O1500">
        <v>2020</v>
      </c>
      <c r="P1500">
        <v>11492.45927899376</v>
      </c>
      <c r="Q1500">
        <v>3.9515087003088269</v>
      </c>
      <c r="R1500" t="s">
        <v>109</v>
      </c>
      <c r="S1500">
        <v>2908.3725105035378</v>
      </c>
      <c r="T1500">
        <v>0.87</v>
      </c>
      <c r="U1500" t="s">
        <v>227</v>
      </c>
      <c r="V1500">
        <v>0.87</v>
      </c>
      <c r="W1500">
        <v>18</v>
      </c>
      <c r="X1500">
        <v>28</v>
      </c>
      <c r="Y1500">
        <v>24</v>
      </c>
      <c r="Z1500">
        <v>9.8628146588536497E-2</v>
      </c>
      <c r="AA1500">
        <v>31.536000000000001</v>
      </c>
    </row>
    <row r="1501" spans="1:27" x14ac:dyDescent="0.25">
      <c r="A1501" t="s">
        <v>98</v>
      </c>
      <c r="B1501" t="s">
        <v>99</v>
      </c>
      <c r="C1501" t="s">
        <v>100</v>
      </c>
      <c r="D1501" t="s">
        <v>1707</v>
      </c>
      <c r="E1501" t="s">
        <v>179</v>
      </c>
      <c r="F1501" t="s">
        <v>224</v>
      </c>
      <c r="G1501" t="s">
        <v>119</v>
      </c>
      <c r="H1501" t="s">
        <v>148</v>
      </c>
      <c r="I1501">
        <v>2016</v>
      </c>
      <c r="J1501" t="s">
        <v>302</v>
      </c>
      <c r="K1501" t="s">
        <v>150</v>
      </c>
      <c r="L1501" t="s">
        <v>1735</v>
      </c>
      <c r="M1501" t="s">
        <v>1789</v>
      </c>
      <c r="N1501">
        <v>1</v>
      </c>
      <c r="O1501">
        <v>2020</v>
      </c>
      <c r="P1501">
        <v>13961.66140524971</v>
      </c>
      <c r="Q1501">
        <v>3.9515087003088269</v>
      </c>
      <c r="R1501" t="s">
        <v>109</v>
      </c>
      <c r="S1501">
        <v>3533.2483018849348</v>
      </c>
      <c r="T1501">
        <v>0.9</v>
      </c>
      <c r="U1501" t="s">
        <v>227</v>
      </c>
      <c r="V1501">
        <v>0.9</v>
      </c>
      <c r="W1501">
        <v>18</v>
      </c>
      <c r="X1501">
        <v>28</v>
      </c>
      <c r="Y1501">
        <v>24</v>
      </c>
      <c r="Z1501">
        <v>9.8628146588536497E-2</v>
      </c>
      <c r="AA1501">
        <v>31.536000000000001</v>
      </c>
    </row>
    <row r="1502" spans="1:27" x14ac:dyDescent="0.25">
      <c r="A1502" t="s">
        <v>98</v>
      </c>
      <c r="B1502" t="s">
        <v>99</v>
      </c>
      <c r="C1502" t="s">
        <v>100</v>
      </c>
      <c r="D1502" t="s">
        <v>1707</v>
      </c>
      <c r="E1502" t="s">
        <v>304</v>
      </c>
      <c r="F1502" t="s">
        <v>180</v>
      </c>
      <c r="G1502" t="s">
        <v>111</v>
      </c>
      <c r="H1502" t="s">
        <v>104</v>
      </c>
      <c r="I1502">
        <v>2016</v>
      </c>
      <c r="J1502" t="s">
        <v>305</v>
      </c>
      <c r="K1502" t="s">
        <v>106</v>
      </c>
      <c r="L1502" t="s">
        <v>1790</v>
      </c>
      <c r="M1502" t="s">
        <v>1791</v>
      </c>
      <c r="N1502">
        <v>0</v>
      </c>
      <c r="O1502">
        <v>2020</v>
      </c>
      <c r="P1502">
        <v>8291.641707921226</v>
      </c>
      <c r="Q1502">
        <v>1.7409370701601361</v>
      </c>
      <c r="R1502" t="s">
        <v>109</v>
      </c>
      <c r="S1502">
        <v>4762.74636805714</v>
      </c>
      <c r="T1502">
        <v>0.6</v>
      </c>
      <c r="U1502" t="s">
        <v>184</v>
      </c>
      <c r="V1502">
        <v>0.6</v>
      </c>
      <c r="W1502">
        <v>12</v>
      </c>
      <c r="X1502">
        <v>18</v>
      </c>
      <c r="Y1502">
        <v>16</v>
      </c>
      <c r="Z1502">
        <v>8.2748623405738631E-2</v>
      </c>
      <c r="AA1502">
        <v>31.536000000000001</v>
      </c>
    </row>
    <row r="1503" spans="1:27" x14ac:dyDescent="0.25">
      <c r="A1503" t="s">
        <v>98</v>
      </c>
      <c r="B1503" t="s">
        <v>99</v>
      </c>
      <c r="C1503" t="s">
        <v>100</v>
      </c>
      <c r="D1503" t="s">
        <v>1707</v>
      </c>
      <c r="E1503" t="s">
        <v>304</v>
      </c>
      <c r="F1503" t="s">
        <v>180</v>
      </c>
      <c r="G1503" t="s">
        <v>111</v>
      </c>
      <c r="H1503" t="s">
        <v>104</v>
      </c>
      <c r="I1503">
        <v>2020</v>
      </c>
      <c r="J1503" t="s">
        <v>308</v>
      </c>
      <c r="K1503" t="s">
        <v>106</v>
      </c>
      <c r="L1503" t="s">
        <v>1790</v>
      </c>
      <c r="M1503" t="s">
        <v>1791</v>
      </c>
      <c r="N1503">
        <v>1</v>
      </c>
      <c r="O1503">
        <v>2020</v>
      </c>
      <c r="P1503">
        <v>8291.641707921226</v>
      </c>
      <c r="Q1503">
        <v>1.7409370701601361</v>
      </c>
      <c r="R1503" t="s">
        <v>109</v>
      </c>
      <c r="S1503">
        <v>4762.74636805714</v>
      </c>
      <c r="T1503">
        <v>0.7</v>
      </c>
      <c r="U1503" t="s">
        <v>184</v>
      </c>
      <c r="V1503">
        <v>0.7</v>
      </c>
      <c r="W1503">
        <v>12</v>
      </c>
      <c r="X1503">
        <v>18</v>
      </c>
      <c r="Y1503">
        <v>16</v>
      </c>
      <c r="Z1503">
        <v>8.2748623405738631E-2</v>
      </c>
      <c r="AA1503">
        <v>31.536000000000001</v>
      </c>
    </row>
    <row r="1504" spans="1:27" x14ac:dyDescent="0.25">
      <c r="A1504" t="s">
        <v>98</v>
      </c>
      <c r="B1504" t="s">
        <v>99</v>
      </c>
      <c r="C1504" t="s">
        <v>100</v>
      </c>
      <c r="D1504" t="s">
        <v>1707</v>
      </c>
      <c r="E1504" t="s">
        <v>304</v>
      </c>
      <c r="F1504" t="s">
        <v>180</v>
      </c>
      <c r="G1504" t="s">
        <v>103</v>
      </c>
      <c r="H1504" t="s">
        <v>125</v>
      </c>
      <c r="I1504">
        <v>2016</v>
      </c>
      <c r="J1504" t="s">
        <v>309</v>
      </c>
      <c r="K1504" t="s">
        <v>127</v>
      </c>
      <c r="L1504" t="s">
        <v>1790</v>
      </c>
      <c r="M1504" t="s">
        <v>1792</v>
      </c>
      <c r="N1504">
        <v>1</v>
      </c>
      <c r="O1504">
        <v>2020</v>
      </c>
      <c r="P1504">
        <v>2956.9457561336731</v>
      </c>
      <c r="Q1504">
        <v>1.7409370701601361</v>
      </c>
      <c r="R1504" t="s">
        <v>109</v>
      </c>
      <c r="S1504">
        <v>1698.4794033144949</v>
      </c>
      <c r="T1504">
        <v>4.1031652989449006</v>
      </c>
      <c r="U1504" t="s">
        <v>184</v>
      </c>
      <c r="V1504">
        <v>4.1031652989449006</v>
      </c>
      <c r="W1504">
        <v>9</v>
      </c>
      <c r="X1504">
        <v>22</v>
      </c>
      <c r="Y1504">
        <v>16</v>
      </c>
      <c r="Z1504">
        <v>8.2748623405738631E-2</v>
      </c>
      <c r="AA1504">
        <v>31.536000000000001</v>
      </c>
    </row>
    <row r="1505" spans="1:27" x14ac:dyDescent="0.25">
      <c r="A1505" t="s">
        <v>98</v>
      </c>
      <c r="B1505" t="s">
        <v>99</v>
      </c>
      <c r="C1505" t="s">
        <v>100</v>
      </c>
      <c r="D1505" t="s">
        <v>1707</v>
      </c>
      <c r="E1505" t="s">
        <v>304</v>
      </c>
      <c r="F1505" t="s">
        <v>180</v>
      </c>
      <c r="G1505" t="s">
        <v>103</v>
      </c>
      <c r="H1505" t="s">
        <v>125</v>
      </c>
      <c r="I1505">
        <v>2023</v>
      </c>
      <c r="J1505" t="s">
        <v>311</v>
      </c>
      <c r="K1505" t="s">
        <v>127</v>
      </c>
      <c r="L1505" t="s">
        <v>1790</v>
      </c>
      <c r="M1505" t="s">
        <v>1793</v>
      </c>
      <c r="N1505">
        <v>1</v>
      </c>
      <c r="O1505">
        <v>2023</v>
      </c>
      <c r="P1505">
        <v>2956.9457561336731</v>
      </c>
      <c r="Q1505">
        <v>1.7409370701601361</v>
      </c>
      <c r="R1505" t="s">
        <v>109</v>
      </c>
      <c r="S1505">
        <v>1698.4794033144949</v>
      </c>
      <c r="T1505">
        <v>4.1031652989449006</v>
      </c>
      <c r="U1505" t="s">
        <v>184</v>
      </c>
      <c r="V1505">
        <v>4.1031652989449006</v>
      </c>
      <c r="W1505">
        <v>9</v>
      </c>
      <c r="X1505">
        <v>22</v>
      </c>
      <c r="Y1505">
        <v>16</v>
      </c>
      <c r="Z1505">
        <v>8.2748623405738631E-2</v>
      </c>
      <c r="AA1505">
        <v>31.536000000000001</v>
      </c>
    </row>
    <row r="1506" spans="1:27" x14ac:dyDescent="0.25">
      <c r="A1506" t="s">
        <v>98</v>
      </c>
      <c r="B1506" t="s">
        <v>99</v>
      </c>
      <c r="C1506" t="s">
        <v>100</v>
      </c>
      <c r="D1506" t="s">
        <v>1707</v>
      </c>
      <c r="E1506" t="s">
        <v>304</v>
      </c>
      <c r="F1506" t="s">
        <v>180</v>
      </c>
      <c r="G1506" t="s">
        <v>111</v>
      </c>
      <c r="H1506" t="s">
        <v>125</v>
      </c>
      <c r="I1506">
        <v>2016</v>
      </c>
      <c r="J1506" t="s">
        <v>313</v>
      </c>
      <c r="K1506" t="s">
        <v>127</v>
      </c>
      <c r="L1506" t="s">
        <v>1790</v>
      </c>
      <c r="M1506" t="s">
        <v>1794</v>
      </c>
      <c r="N1506">
        <v>1</v>
      </c>
      <c r="O1506">
        <v>2020</v>
      </c>
      <c r="P1506">
        <v>3109.3656404704602</v>
      </c>
      <c r="Q1506">
        <v>1.7409370701601361</v>
      </c>
      <c r="R1506" t="s">
        <v>109</v>
      </c>
      <c r="S1506">
        <v>1786.029888021427</v>
      </c>
      <c r="T1506">
        <v>4.484173505275499</v>
      </c>
      <c r="U1506" t="s">
        <v>184</v>
      </c>
      <c r="V1506">
        <v>4.484173505275499</v>
      </c>
      <c r="W1506">
        <v>9</v>
      </c>
      <c r="X1506">
        <v>22</v>
      </c>
      <c r="Y1506">
        <v>16</v>
      </c>
      <c r="Z1506">
        <v>8.2748623405738631E-2</v>
      </c>
      <c r="AA1506">
        <v>31.536000000000001</v>
      </c>
    </row>
    <row r="1507" spans="1:27" x14ac:dyDescent="0.25">
      <c r="A1507" t="s">
        <v>98</v>
      </c>
      <c r="B1507" t="s">
        <v>99</v>
      </c>
      <c r="C1507" t="s">
        <v>100</v>
      </c>
      <c r="D1507" t="s">
        <v>1707</v>
      </c>
      <c r="E1507" t="s">
        <v>304</v>
      </c>
      <c r="F1507" t="s">
        <v>180</v>
      </c>
      <c r="G1507" t="s">
        <v>111</v>
      </c>
      <c r="H1507" t="s">
        <v>125</v>
      </c>
      <c r="I1507">
        <v>2023</v>
      </c>
      <c r="J1507" t="s">
        <v>315</v>
      </c>
      <c r="K1507" t="s">
        <v>127</v>
      </c>
      <c r="L1507" t="s">
        <v>1790</v>
      </c>
      <c r="M1507" t="s">
        <v>1795</v>
      </c>
      <c r="N1507">
        <v>1</v>
      </c>
      <c r="O1507">
        <v>2023</v>
      </c>
      <c r="P1507">
        <v>3139.8496173378171</v>
      </c>
      <c r="Q1507">
        <v>1.7409370701601361</v>
      </c>
      <c r="R1507" t="s">
        <v>109</v>
      </c>
      <c r="S1507">
        <v>1803.5399849628141</v>
      </c>
      <c r="T1507">
        <v>4.6307151230949586</v>
      </c>
      <c r="U1507" t="s">
        <v>184</v>
      </c>
      <c r="V1507">
        <v>4.6307151230949586</v>
      </c>
      <c r="W1507">
        <v>9</v>
      </c>
      <c r="X1507">
        <v>22</v>
      </c>
      <c r="Y1507">
        <v>16</v>
      </c>
      <c r="Z1507">
        <v>8.2748623405738631E-2</v>
      </c>
      <c r="AA1507">
        <v>31.536000000000001</v>
      </c>
    </row>
    <row r="1508" spans="1:27" x14ac:dyDescent="0.25">
      <c r="A1508" t="s">
        <v>98</v>
      </c>
      <c r="B1508" t="s">
        <v>99</v>
      </c>
      <c r="C1508" t="s">
        <v>100</v>
      </c>
      <c r="D1508" t="s">
        <v>1707</v>
      </c>
      <c r="E1508" t="s">
        <v>304</v>
      </c>
      <c r="F1508" t="s">
        <v>180</v>
      </c>
      <c r="G1508" t="s">
        <v>114</v>
      </c>
      <c r="H1508" t="s">
        <v>125</v>
      </c>
      <c r="I1508">
        <v>2016</v>
      </c>
      <c r="J1508" t="s">
        <v>317</v>
      </c>
      <c r="K1508" t="s">
        <v>127</v>
      </c>
      <c r="L1508" t="s">
        <v>1790</v>
      </c>
      <c r="M1508" t="s">
        <v>1796</v>
      </c>
      <c r="N1508">
        <v>1</v>
      </c>
      <c r="O1508">
        <v>2020</v>
      </c>
      <c r="P1508">
        <v>3017.9137098683868</v>
      </c>
      <c r="Q1508">
        <v>1.7409370701601361</v>
      </c>
      <c r="R1508" t="s">
        <v>109</v>
      </c>
      <c r="S1508">
        <v>1733.499597197268</v>
      </c>
      <c r="T1508">
        <v>4.3962485345838216</v>
      </c>
      <c r="U1508" t="s">
        <v>184</v>
      </c>
      <c r="V1508">
        <v>4.3962485345838216</v>
      </c>
      <c r="W1508">
        <v>9</v>
      </c>
      <c r="X1508">
        <v>22</v>
      </c>
      <c r="Y1508">
        <v>16</v>
      </c>
      <c r="Z1508">
        <v>8.2748623405738631E-2</v>
      </c>
      <c r="AA1508">
        <v>31.536000000000001</v>
      </c>
    </row>
    <row r="1509" spans="1:27" x14ac:dyDescent="0.25">
      <c r="A1509" t="s">
        <v>98</v>
      </c>
      <c r="B1509" t="s">
        <v>99</v>
      </c>
      <c r="C1509" t="s">
        <v>100</v>
      </c>
      <c r="D1509" t="s">
        <v>1707</v>
      </c>
      <c r="E1509" t="s">
        <v>304</v>
      </c>
      <c r="F1509" t="s">
        <v>180</v>
      </c>
      <c r="G1509" t="s">
        <v>114</v>
      </c>
      <c r="H1509" t="s">
        <v>125</v>
      </c>
      <c r="I1509">
        <v>2022</v>
      </c>
      <c r="J1509" t="s">
        <v>319</v>
      </c>
      <c r="K1509" t="s">
        <v>127</v>
      </c>
      <c r="L1509" t="s">
        <v>1790</v>
      </c>
      <c r="M1509" t="s">
        <v>1797</v>
      </c>
      <c r="N1509">
        <v>1</v>
      </c>
      <c r="O1509">
        <v>2022</v>
      </c>
      <c r="P1509">
        <v>3017.9137098683868</v>
      </c>
      <c r="Q1509">
        <v>1.7409370701601361</v>
      </c>
      <c r="R1509" t="s">
        <v>109</v>
      </c>
      <c r="S1509">
        <v>1733.499597197268</v>
      </c>
      <c r="T1509">
        <v>4.3962485345838216</v>
      </c>
      <c r="U1509" t="s">
        <v>184</v>
      </c>
      <c r="V1509">
        <v>4.3962485345838216</v>
      </c>
      <c r="W1509">
        <v>9</v>
      </c>
      <c r="X1509">
        <v>22</v>
      </c>
      <c r="Y1509">
        <v>16</v>
      </c>
      <c r="Z1509">
        <v>8.2748623405738631E-2</v>
      </c>
      <c r="AA1509">
        <v>31.536000000000001</v>
      </c>
    </row>
    <row r="1510" spans="1:27" x14ac:dyDescent="0.25">
      <c r="A1510" t="s">
        <v>98</v>
      </c>
      <c r="B1510" t="s">
        <v>99</v>
      </c>
      <c r="C1510" t="s">
        <v>100</v>
      </c>
      <c r="D1510" t="s">
        <v>1707</v>
      </c>
      <c r="E1510" t="s">
        <v>304</v>
      </c>
      <c r="F1510" t="s">
        <v>180</v>
      </c>
      <c r="G1510" t="s">
        <v>114</v>
      </c>
      <c r="H1510" t="s">
        <v>125</v>
      </c>
      <c r="I1510">
        <v>2023</v>
      </c>
      <c r="J1510" t="s">
        <v>321</v>
      </c>
      <c r="K1510" t="s">
        <v>127</v>
      </c>
      <c r="L1510" t="s">
        <v>1790</v>
      </c>
      <c r="M1510" t="s">
        <v>1798</v>
      </c>
      <c r="N1510">
        <v>1</v>
      </c>
      <c r="O1510">
        <v>2023</v>
      </c>
      <c r="P1510">
        <v>3266.447780092843</v>
      </c>
      <c r="Q1510">
        <v>1.7409370701601361</v>
      </c>
      <c r="R1510" t="s">
        <v>109</v>
      </c>
      <c r="S1510">
        <v>1876.25838755469</v>
      </c>
      <c r="T1510">
        <v>4.6893317702227444</v>
      </c>
      <c r="U1510" t="s">
        <v>184</v>
      </c>
      <c r="V1510">
        <v>4.6893317702227444</v>
      </c>
      <c r="W1510">
        <v>9</v>
      </c>
      <c r="X1510">
        <v>22</v>
      </c>
      <c r="Y1510">
        <v>16</v>
      </c>
      <c r="Z1510">
        <v>8.2748623405738631E-2</v>
      </c>
      <c r="AA1510">
        <v>31.536000000000001</v>
      </c>
    </row>
    <row r="1511" spans="1:27" x14ac:dyDescent="0.25">
      <c r="A1511" t="s">
        <v>98</v>
      </c>
      <c r="B1511" t="s">
        <v>99</v>
      </c>
      <c r="C1511" t="s">
        <v>100</v>
      </c>
      <c r="D1511" t="s">
        <v>1707</v>
      </c>
      <c r="E1511" t="s">
        <v>304</v>
      </c>
      <c r="F1511" t="s">
        <v>180</v>
      </c>
      <c r="G1511" t="s">
        <v>119</v>
      </c>
      <c r="H1511" t="s">
        <v>125</v>
      </c>
      <c r="I1511">
        <v>2016</v>
      </c>
      <c r="J1511" t="s">
        <v>323</v>
      </c>
      <c r="K1511" t="s">
        <v>127</v>
      </c>
      <c r="L1511" t="s">
        <v>1790</v>
      </c>
      <c r="M1511" t="s">
        <v>1799</v>
      </c>
      <c r="N1511">
        <v>1</v>
      </c>
      <c r="O1511">
        <v>2020</v>
      </c>
      <c r="P1511">
        <v>3719.0451778176089</v>
      </c>
      <c r="Q1511">
        <v>1.7409370701601361</v>
      </c>
      <c r="R1511" t="s">
        <v>109</v>
      </c>
      <c r="S1511">
        <v>2136.231826849159</v>
      </c>
      <c r="T1511">
        <v>5.5685814771395066</v>
      </c>
      <c r="U1511" t="s">
        <v>184</v>
      </c>
      <c r="V1511">
        <v>5.5685814771395066</v>
      </c>
      <c r="W1511">
        <v>9</v>
      </c>
      <c r="X1511">
        <v>22</v>
      </c>
      <c r="Y1511">
        <v>16</v>
      </c>
      <c r="Z1511">
        <v>8.2748623405738631E-2</v>
      </c>
      <c r="AA1511">
        <v>31.536000000000001</v>
      </c>
    </row>
    <row r="1512" spans="1:27" x14ac:dyDescent="0.25">
      <c r="A1512" t="s">
        <v>98</v>
      </c>
      <c r="B1512" t="s">
        <v>99</v>
      </c>
      <c r="C1512" t="s">
        <v>100</v>
      </c>
      <c r="D1512" t="s">
        <v>1707</v>
      </c>
      <c r="E1512" t="s">
        <v>304</v>
      </c>
      <c r="F1512" t="s">
        <v>180</v>
      </c>
      <c r="G1512" t="s">
        <v>119</v>
      </c>
      <c r="H1512" t="s">
        <v>125</v>
      </c>
      <c r="I1512">
        <v>2022</v>
      </c>
      <c r="J1512" t="s">
        <v>325</v>
      </c>
      <c r="K1512" t="s">
        <v>127</v>
      </c>
      <c r="L1512" t="s">
        <v>1790</v>
      </c>
      <c r="M1512" t="s">
        <v>1800</v>
      </c>
      <c r="N1512">
        <v>1</v>
      </c>
      <c r="O1512">
        <v>2022</v>
      </c>
      <c r="P1512">
        <v>3914.784397702746</v>
      </c>
      <c r="Q1512">
        <v>1.7409370701601361</v>
      </c>
      <c r="R1512" t="s">
        <v>109</v>
      </c>
      <c r="S1512">
        <v>2248.6650808938512</v>
      </c>
      <c r="T1512">
        <v>5.8616647127784294</v>
      </c>
      <c r="U1512" t="s">
        <v>184</v>
      </c>
      <c r="V1512">
        <v>5.8616647127784294</v>
      </c>
      <c r="W1512">
        <v>9</v>
      </c>
      <c r="X1512">
        <v>22</v>
      </c>
      <c r="Y1512">
        <v>16</v>
      </c>
      <c r="Z1512">
        <v>8.2748623405738631E-2</v>
      </c>
      <c r="AA1512">
        <v>31.536000000000001</v>
      </c>
    </row>
    <row r="1513" spans="1:27" x14ac:dyDescent="0.25">
      <c r="A1513" t="s">
        <v>98</v>
      </c>
      <c r="B1513" t="s">
        <v>99</v>
      </c>
      <c r="C1513" t="s">
        <v>100</v>
      </c>
      <c r="D1513" t="s">
        <v>1707</v>
      </c>
      <c r="E1513" t="s">
        <v>304</v>
      </c>
      <c r="F1513" t="s">
        <v>201</v>
      </c>
      <c r="G1513" t="s">
        <v>103</v>
      </c>
      <c r="H1513" t="s">
        <v>125</v>
      </c>
      <c r="I1513">
        <v>2016</v>
      </c>
      <c r="J1513" t="s">
        <v>327</v>
      </c>
      <c r="K1513" t="s">
        <v>127</v>
      </c>
      <c r="L1513" t="s">
        <v>1790</v>
      </c>
      <c r="M1513" t="s">
        <v>1801</v>
      </c>
      <c r="N1513">
        <v>1</v>
      </c>
      <c r="O1513">
        <v>2020</v>
      </c>
      <c r="P1513">
        <v>9511.0007826155233</v>
      </c>
      <c r="Q1513">
        <v>1.7409370701601361</v>
      </c>
      <c r="R1513" t="s">
        <v>109</v>
      </c>
      <c r="S1513">
        <v>5463.1502457126007</v>
      </c>
      <c r="T1513">
        <v>14.1</v>
      </c>
      <c r="U1513" t="s">
        <v>329</v>
      </c>
      <c r="V1513">
        <v>4.1348973607038122</v>
      </c>
      <c r="W1513">
        <v>8</v>
      </c>
      <c r="X1513">
        <v>20.8</v>
      </c>
      <c r="Y1513">
        <v>15</v>
      </c>
      <c r="Z1513">
        <v>8.2748623405738631E-2</v>
      </c>
      <c r="AA1513">
        <v>31.536000000000001</v>
      </c>
    </row>
    <row r="1514" spans="1:27" x14ac:dyDescent="0.25">
      <c r="A1514" t="s">
        <v>98</v>
      </c>
      <c r="B1514" t="s">
        <v>99</v>
      </c>
      <c r="C1514" t="s">
        <v>100</v>
      </c>
      <c r="D1514" t="s">
        <v>1707</v>
      </c>
      <c r="E1514" t="s">
        <v>304</v>
      </c>
      <c r="F1514" t="s">
        <v>201</v>
      </c>
      <c r="G1514" t="s">
        <v>111</v>
      </c>
      <c r="H1514" t="s">
        <v>125</v>
      </c>
      <c r="I1514">
        <v>2016</v>
      </c>
      <c r="J1514" t="s">
        <v>330</v>
      </c>
      <c r="K1514" t="s">
        <v>127</v>
      </c>
      <c r="L1514" t="s">
        <v>1790</v>
      </c>
      <c r="M1514" t="s">
        <v>1802</v>
      </c>
      <c r="N1514">
        <v>1</v>
      </c>
      <c r="O1514">
        <v>2020</v>
      </c>
      <c r="P1514">
        <v>9846.3245281564559</v>
      </c>
      <c r="Q1514">
        <v>1.7409370701601361</v>
      </c>
      <c r="R1514" t="s">
        <v>109</v>
      </c>
      <c r="S1514">
        <v>5655.7613120678534</v>
      </c>
      <c r="T1514">
        <v>17.3</v>
      </c>
      <c r="U1514" t="s">
        <v>329</v>
      </c>
      <c r="V1514">
        <v>5.0733137829912023</v>
      </c>
      <c r="W1514">
        <v>8</v>
      </c>
      <c r="X1514">
        <v>20.8</v>
      </c>
      <c r="Y1514">
        <v>15</v>
      </c>
      <c r="Z1514">
        <v>8.2748623405738631E-2</v>
      </c>
      <c r="AA1514">
        <v>31.536000000000001</v>
      </c>
    </row>
    <row r="1515" spans="1:27" x14ac:dyDescent="0.25">
      <c r="A1515" t="s">
        <v>98</v>
      </c>
      <c r="B1515" t="s">
        <v>99</v>
      </c>
      <c r="C1515" t="s">
        <v>100</v>
      </c>
      <c r="D1515" t="s">
        <v>1707</v>
      </c>
      <c r="E1515" t="s">
        <v>304</v>
      </c>
      <c r="F1515" t="s">
        <v>201</v>
      </c>
      <c r="G1515" t="s">
        <v>114</v>
      </c>
      <c r="H1515" t="s">
        <v>125</v>
      </c>
      <c r="I1515">
        <v>2016</v>
      </c>
      <c r="J1515" t="s">
        <v>332</v>
      </c>
      <c r="K1515" t="s">
        <v>127</v>
      </c>
      <c r="L1515" t="s">
        <v>1790</v>
      </c>
      <c r="M1515" t="s">
        <v>1803</v>
      </c>
      <c r="N1515">
        <v>0</v>
      </c>
      <c r="O1515">
        <v>2020</v>
      </c>
      <c r="P1515">
        <v>9846.3245281564559</v>
      </c>
      <c r="Q1515">
        <v>1.7409370701601361</v>
      </c>
      <c r="R1515" t="s">
        <v>109</v>
      </c>
      <c r="S1515">
        <v>5655.7613120678534</v>
      </c>
      <c r="T1515">
        <v>17.100000000000001</v>
      </c>
      <c r="U1515" t="s">
        <v>329</v>
      </c>
      <c r="V1515">
        <v>5.0146627565982396</v>
      </c>
      <c r="W1515">
        <v>8</v>
      </c>
      <c r="X1515">
        <v>20.8</v>
      </c>
      <c r="Y1515">
        <v>15</v>
      </c>
      <c r="Z1515">
        <v>8.2748623405738631E-2</v>
      </c>
      <c r="AA1515">
        <v>31.536000000000001</v>
      </c>
    </row>
    <row r="1516" spans="1:27" x14ac:dyDescent="0.25">
      <c r="A1516" t="s">
        <v>98</v>
      </c>
      <c r="B1516" t="s">
        <v>99</v>
      </c>
      <c r="C1516" t="s">
        <v>100</v>
      </c>
      <c r="D1516" t="s">
        <v>1707</v>
      </c>
      <c r="E1516" t="s">
        <v>304</v>
      </c>
      <c r="F1516" t="s">
        <v>201</v>
      </c>
      <c r="G1516" t="s">
        <v>114</v>
      </c>
      <c r="H1516" t="s">
        <v>125</v>
      </c>
      <c r="I1516">
        <v>2020</v>
      </c>
      <c r="J1516" t="s">
        <v>334</v>
      </c>
      <c r="K1516" t="s">
        <v>127</v>
      </c>
      <c r="L1516" t="s">
        <v>1790</v>
      </c>
      <c r="M1516" t="s">
        <v>1803</v>
      </c>
      <c r="N1516">
        <v>1</v>
      </c>
      <c r="O1516">
        <v>2020</v>
      </c>
      <c r="P1516">
        <v>9846.3245281564559</v>
      </c>
      <c r="Q1516">
        <v>1.7409370701601361</v>
      </c>
      <c r="R1516" t="s">
        <v>109</v>
      </c>
      <c r="S1516">
        <v>5655.7613120678534</v>
      </c>
      <c r="T1516">
        <v>17.100000000000001</v>
      </c>
      <c r="U1516" t="s">
        <v>329</v>
      </c>
      <c r="V1516">
        <v>5.0146627565982396</v>
      </c>
      <c r="W1516">
        <v>8</v>
      </c>
      <c r="X1516">
        <v>20.8</v>
      </c>
      <c r="Y1516">
        <v>15</v>
      </c>
      <c r="Z1516">
        <v>8.2748623405738631E-2</v>
      </c>
      <c r="AA1516">
        <v>31.536000000000001</v>
      </c>
    </row>
    <row r="1517" spans="1:27" x14ac:dyDescent="0.25">
      <c r="A1517" t="s">
        <v>98</v>
      </c>
      <c r="B1517" t="s">
        <v>99</v>
      </c>
      <c r="C1517" t="s">
        <v>100</v>
      </c>
      <c r="D1517" t="s">
        <v>1707</v>
      </c>
      <c r="E1517" t="s">
        <v>304</v>
      </c>
      <c r="F1517" t="s">
        <v>201</v>
      </c>
      <c r="G1517" t="s">
        <v>114</v>
      </c>
      <c r="H1517" t="s">
        <v>125</v>
      </c>
      <c r="I1517">
        <v>2022</v>
      </c>
      <c r="J1517" t="s">
        <v>335</v>
      </c>
      <c r="K1517" t="s">
        <v>127</v>
      </c>
      <c r="L1517" t="s">
        <v>1790</v>
      </c>
      <c r="M1517" t="s">
        <v>1804</v>
      </c>
      <c r="N1517">
        <v>1</v>
      </c>
      <c r="O1517">
        <v>2022</v>
      </c>
      <c r="P1517">
        <v>9846.3245281564559</v>
      </c>
      <c r="Q1517">
        <v>1.7409370701601361</v>
      </c>
      <c r="R1517" t="s">
        <v>109</v>
      </c>
      <c r="S1517">
        <v>5655.7613120678534</v>
      </c>
      <c r="T1517">
        <v>17.100000000000001</v>
      </c>
      <c r="U1517" t="s">
        <v>329</v>
      </c>
      <c r="V1517">
        <v>5.0146627565982396</v>
      </c>
      <c r="W1517">
        <v>8</v>
      </c>
      <c r="X1517">
        <v>20.8</v>
      </c>
      <c r="Y1517">
        <v>15</v>
      </c>
      <c r="Z1517">
        <v>8.2748623405738631E-2</v>
      </c>
      <c r="AA1517">
        <v>31.536000000000001</v>
      </c>
    </row>
    <row r="1518" spans="1:27" x14ac:dyDescent="0.25">
      <c r="A1518" t="s">
        <v>98</v>
      </c>
      <c r="B1518" t="s">
        <v>99</v>
      </c>
      <c r="C1518" t="s">
        <v>100</v>
      </c>
      <c r="D1518" t="s">
        <v>1707</v>
      </c>
      <c r="E1518" t="s">
        <v>304</v>
      </c>
      <c r="F1518" t="s">
        <v>201</v>
      </c>
      <c r="G1518" t="s">
        <v>114</v>
      </c>
      <c r="H1518" t="s">
        <v>125</v>
      </c>
      <c r="I1518">
        <v>2023</v>
      </c>
      <c r="J1518" t="s">
        <v>337</v>
      </c>
      <c r="K1518" t="s">
        <v>127</v>
      </c>
      <c r="L1518" t="s">
        <v>1790</v>
      </c>
      <c r="M1518" t="s">
        <v>1805</v>
      </c>
      <c r="N1518">
        <v>1</v>
      </c>
      <c r="O1518">
        <v>2023</v>
      </c>
      <c r="P1518">
        <v>9846.3245281564559</v>
      </c>
      <c r="Q1518">
        <v>1.7409370701601361</v>
      </c>
      <c r="R1518" t="s">
        <v>109</v>
      </c>
      <c r="S1518">
        <v>5655.7613120678534</v>
      </c>
      <c r="T1518">
        <v>17.100000000000001</v>
      </c>
      <c r="U1518" t="s">
        <v>329</v>
      </c>
      <c r="V1518">
        <v>5.0146627565982396</v>
      </c>
      <c r="W1518">
        <v>8</v>
      </c>
      <c r="X1518">
        <v>20.8</v>
      </c>
      <c r="Y1518">
        <v>15</v>
      </c>
      <c r="Z1518">
        <v>8.2748623405738631E-2</v>
      </c>
      <c r="AA1518">
        <v>31.536000000000001</v>
      </c>
    </row>
    <row r="1519" spans="1:27" x14ac:dyDescent="0.25">
      <c r="A1519" t="s">
        <v>98</v>
      </c>
      <c r="B1519" t="s">
        <v>99</v>
      </c>
      <c r="C1519" t="s">
        <v>100</v>
      </c>
      <c r="D1519" t="s">
        <v>1707</v>
      </c>
      <c r="E1519" t="s">
        <v>304</v>
      </c>
      <c r="F1519" t="s">
        <v>201</v>
      </c>
      <c r="G1519" t="s">
        <v>114</v>
      </c>
      <c r="H1519" t="s">
        <v>125</v>
      </c>
      <c r="I1519">
        <v>2024</v>
      </c>
      <c r="J1519" t="s">
        <v>339</v>
      </c>
      <c r="K1519" t="s">
        <v>127</v>
      </c>
      <c r="L1519" t="s">
        <v>1790</v>
      </c>
      <c r="M1519" t="s">
        <v>1806</v>
      </c>
      <c r="N1519">
        <v>1</v>
      </c>
      <c r="O1519">
        <v>2024</v>
      </c>
      <c r="P1519">
        <v>9846.3245281564559</v>
      </c>
      <c r="Q1519">
        <v>1.7409370701601361</v>
      </c>
      <c r="R1519" t="s">
        <v>109</v>
      </c>
      <c r="S1519">
        <v>5655.7613120678534</v>
      </c>
      <c r="T1519">
        <v>17.100000000000001</v>
      </c>
      <c r="U1519" t="s">
        <v>329</v>
      </c>
      <c r="V1519">
        <v>5.0146627565982396</v>
      </c>
      <c r="W1519">
        <v>8</v>
      </c>
      <c r="X1519">
        <v>20.8</v>
      </c>
      <c r="Y1519">
        <v>15</v>
      </c>
      <c r="Z1519">
        <v>8.2748623405738631E-2</v>
      </c>
      <c r="AA1519">
        <v>31.536000000000001</v>
      </c>
    </row>
    <row r="1520" spans="1:27" x14ac:dyDescent="0.25">
      <c r="A1520" t="s">
        <v>98</v>
      </c>
      <c r="B1520" t="s">
        <v>99</v>
      </c>
      <c r="C1520" t="s">
        <v>100</v>
      </c>
      <c r="D1520" t="s">
        <v>1707</v>
      </c>
      <c r="E1520" t="s">
        <v>304</v>
      </c>
      <c r="F1520" t="s">
        <v>201</v>
      </c>
      <c r="G1520" t="s">
        <v>119</v>
      </c>
      <c r="H1520" t="s">
        <v>125</v>
      </c>
      <c r="I1520">
        <v>2016</v>
      </c>
      <c r="J1520" t="s">
        <v>341</v>
      </c>
      <c r="K1520" t="s">
        <v>127</v>
      </c>
      <c r="L1520" t="s">
        <v>1790</v>
      </c>
      <c r="M1520" t="s">
        <v>1807</v>
      </c>
      <c r="N1520">
        <v>0</v>
      </c>
      <c r="O1520">
        <v>2020</v>
      </c>
      <c r="P1520">
        <v>10395.03611176889</v>
      </c>
      <c r="Q1520">
        <v>1.7409370701601361</v>
      </c>
      <c r="R1520" t="s">
        <v>109</v>
      </c>
      <c r="S1520">
        <v>5970.9430570128116</v>
      </c>
      <c r="T1520">
        <v>22.4</v>
      </c>
      <c r="U1520" t="s">
        <v>329</v>
      </c>
      <c r="V1520">
        <v>6.5689149560117297</v>
      </c>
      <c r="W1520">
        <v>8</v>
      </c>
      <c r="X1520">
        <v>20.8</v>
      </c>
      <c r="Y1520">
        <v>15</v>
      </c>
      <c r="Z1520">
        <v>8.2748623405738631E-2</v>
      </c>
      <c r="AA1520">
        <v>31.536000000000001</v>
      </c>
    </row>
    <row r="1521" spans="1:27" x14ac:dyDescent="0.25">
      <c r="A1521" t="s">
        <v>98</v>
      </c>
      <c r="B1521" t="s">
        <v>99</v>
      </c>
      <c r="C1521" t="s">
        <v>100</v>
      </c>
      <c r="D1521" t="s">
        <v>1707</v>
      </c>
      <c r="E1521" t="s">
        <v>304</v>
      </c>
      <c r="F1521" t="s">
        <v>201</v>
      </c>
      <c r="G1521" t="s">
        <v>119</v>
      </c>
      <c r="H1521" t="s">
        <v>125</v>
      </c>
      <c r="I1521">
        <v>2020</v>
      </c>
      <c r="J1521" t="s">
        <v>343</v>
      </c>
      <c r="K1521" t="s">
        <v>127</v>
      </c>
      <c r="L1521" t="s">
        <v>1790</v>
      </c>
      <c r="M1521" t="s">
        <v>1807</v>
      </c>
      <c r="N1521">
        <v>1</v>
      </c>
      <c r="O1521">
        <v>2020</v>
      </c>
      <c r="P1521">
        <v>10395.03611176889</v>
      </c>
      <c r="Q1521">
        <v>1.7409370701601361</v>
      </c>
      <c r="R1521" t="s">
        <v>109</v>
      </c>
      <c r="S1521">
        <v>5970.9430570128116</v>
      </c>
      <c r="T1521">
        <v>22.4</v>
      </c>
      <c r="U1521" t="s">
        <v>329</v>
      </c>
      <c r="V1521">
        <v>6.5689149560117297</v>
      </c>
      <c r="W1521">
        <v>8</v>
      </c>
      <c r="X1521">
        <v>20.8</v>
      </c>
      <c r="Y1521">
        <v>15</v>
      </c>
      <c r="Z1521">
        <v>8.2748623405738631E-2</v>
      </c>
      <c r="AA1521">
        <v>31.536000000000001</v>
      </c>
    </row>
    <row r="1522" spans="1:27" x14ac:dyDescent="0.25">
      <c r="A1522" t="s">
        <v>98</v>
      </c>
      <c r="B1522" t="s">
        <v>99</v>
      </c>
      <c r="C1522" t="s">
        <v>100</v>
      </c>
      <c r="D1522" t="s">
        <v>1707</v>
      </c>
      <c r="E1522" t="s">
        <v>304</v>
      </c>
      <c r="F1522" t="s">
        <v>201</v>
      </c>
      <c r="G1522" t="s">
        <v>119</v>
      </c>
      <c r="H1522" t="s">
        <v>125</v>
      </c>
      <c r="I1522">
        <v>2022</v>
      </c>
      <c r="J1522" t="s">
        <v>344</v>
      </c>
      <c r="K1522" t="s">
        <v>127</v>
      </c>
      <c r="L1522" t="s">
        <v>1790</v>
      </c>
      <c r="M1522" t="s">
        <v>1808</v>
      </c>
      <c r="N1522">
        <v>1</v>
      </c>
      <c r="O1522">
        <v>2022</v>
      </c>
      <c r="P1522">
        <v>10395.03611176889</v>
      </c>
      <c r="Q1522">
        <v>1.7409370701601361</v>
      </c>
      <c r="R1522" t="s">
        <v>109</v>
      </c>
      <c r="S1522">
        <v>5970.9430570128116</v>
      </c>
      <c r="T1522">
        <v>22.4</v>
      </c>
      <c r="U1522" t="s">
        <v>329</v>
      </c>
      <c r="V1522">
        <v>6.5689149560117297</v>
      </c>
      <c r="W1522">
        <v>8</v>
      </c>
      <c r="X1522">
        <v>20.8</v>
      </c>
      <c r="Y1522">
        <v>15</v>
      </c>
      <c r="Z1522">
        <v>8.2748623405738631E-2</v>
      </c>
      <c r="AA1522">
        <v>31.536000000000001</v>
      </c>
    </row>
    <row r="1523" spans="1:27" x14ac:dyDescent="0.25">
      <c r="A1523" t="s">
        <v>98</v>
      </c>
      <c r="B1523" t="s">
        <v>99</v>
      </c>
      <c r="C1523" t="s">
        <v>100</v>
      </c>
      <c r="D1523" t="s">
        <v>1707</v>
      </c>
      <c r="E1523" t="s">
        <v>304</v>
      </c>
      <c r="F1523" t="s">
        <v>201</v>
      </c>
      <c r="G1523" t="s">
        <v>119</v>
      </c>
      <c r="H1523" t="s">
        <v>125</v>
      </c>
      <c r="I1523">
        <v>2023</v>
      </c>
      <c r="J1523" t="s">
        <v>346</v>
      </c>
      <c r="K1523" t="s">
        <v>127</v>
      </c>
      <c r="L1523" t="s">
        <v>1790</v>
      </c>
      <c r="M1523" t="s">
        <v>1809</v>
      </c>
      <c r="N1523">
        <v>1</v>
      </c>
      <c r="O1523">
        <v>2023</v>
      </c>
      <c r="P1523">
        <v>10395.03611176889</v>
      </c>
      <c r="Q1523">
        <v>1.7409370701601361</v>
      </c>
      <c r="R1523" t="s">
        <v>109</v>
      </c>
      <c r="S1523">
        <v>5970.9430570128116</v>
      </c>
      <c r="T1523">
        <v>22.4</v>
      </c>
      <c r="U1523" t="s">
        <v>329</v>
      </c>
      <c r="V1523">
        <v>6.5689149560117297</v>
      </c>
      <c r="W1523">
        <v>8</v>
      </c>
      <c r="X1523">
        <v>20.8</v>
      </c>
      <c r="Y1523">
        <v>15</v>
      </c>
      <c r="Z1523">
        <v>8.2748623405738631E-2</v>
      </c>
      <c r="AA1523">
        <v>31.536000000000001</v>
      </c>
    </row>
    <row r="1524" spans="1:27" x14ac:dyDescent="0.25">
      <c r="A1524" t="s">
        <v>98</v>
      </c>
      <c r="B1524" t="s">
        <v>99</v>
      </c>
      <c r="C1524" t="s">
        <v>100</v>
      </c>
      <c r="D1524" t="s">
        <v>1707</v>
      </c>
      <c r="E1524" t="s">
        <v>304</v>
      </c>
      <c r="F1524" t="s">
        <v>201</v>
      </c>
      <c r="G1524" t="s">
        <v>119</v>
      </c>
      <c r="H1524" t="s">
        <v>125</v>
      </c>
      <c r="I1524">
        <v>2024</v>
      </c>
      <c r="J1524" t="s">
        <v>348</v>
      </c>
      <c r="K1524" t="s">
        <v>127</v>
      </c>
      <c r="L1524" t="s">
        <v>1790</v>
      </c>
      <c r="M1524" t="s">
        <v>1810</v>
      </c>
      <c r="N1524">
        <v>1</v>
      </c>
      <c r="O1524">
        <v>2024</v>
      </c>
      <c r="P1524">
        <v>10395.03611176889</v>
      </c>
      <c r="Q1524">
        <v>1.7409370701601361</v>
      </c>
      <c r="R1524" t="s">
        <v>109</v>
      </c>
      <c r="S1524">
        <v>5970.9430570128116</v>
      </c>
      <c r="T1524">
        <v>22.4</v>
      </c>
      <c r="U1524" t="s">
        <v>329</v>
      </c>
      <c r="V1524">
        <v>6.5689149560117297</v>
      </c>
      <c r="W1524">
        <v>8</v>
      </c>
      <c r="X1524">
        <v>20.8</v>
      </c>
      <c r="Y1524">
        <v>15</v>
      </c>
      <c r="Z1524">
        <v>8.2748623405738631E-2</v>
      </c>
      <c r="AA1524">
        <v>31.536000000000001</v>
      </c>
    </row>
    <row r="1525" spans="1:27" x14ac:dyDescent="0.25">
      <c r="A1525" t="s">
        <v>98</v>
      </c>
      <c r="B1525" t="s">
        <v>99</v>
      </c>
      <c r="C1525" t="s">
        <v>100</v>
      </c>
      <c r="D1525" t="s">
        <v>1707</v>
      </c>
      <c r="E1525" t="s">
        <v>304</v>
      </c>
      <c r="F1525" t="s">
        <v>350</v>
      </c>
      <c r="G1525" t="s">
        <v>103</v>
      </c>
      <c r="H1525" t="s">
        <v>125</v>
      </c>
      <c r="I1525">
        <v>2016</v>
      </c>
      <c r="J1525" t="s">
        <v>351</v>
      </c>
      <c r="K1525" t="s">
        <v>127</v>
      </c>
      <c r="L1525" t="s">
        <v>1790</v>
      </c>
      <c r="M1525" t="s">
        <v>1811</v>
      </c>
      <c r="N1525">
        <v>1</v>
      </c>
      <c r="O1525">
        <v>2020</v>
      </c>
      <c r="P1525">
        <v>756.00262631046473</v>
      </c>
      <c r="Q1525">
        <v>1.7409370701601361</v>
      </c>
      <c r="R1525" t="s">
        <v>109</v>
      </c>
      <c r="S1525">
        <v>434.25040414638619</v>
      </c>
      <c r="T1525">
        <v>3.1946072684642441</v>
      </c>
      <c r="U1525" t="s">
        <v>184</v>
      </c>
      <c r="V1525">
        <v>3.1946072684642441</v>
      </c>
      <c r="W1525">
        <v>6</v>
      </c>
      <c r="X1525">
        <v>13</v>
      </c>
      <c r="Y1525">
        <v>10</v>
      </c>
      <c r="Z1525">
        <v>8.2748623405738631E-2</v>
      </c>
      <c r="AA1525">
        <v>31.536000000000001</v>
      </c>
    </row>
    <row r="1526" spans="1:27" x14ac:dyDescent="0.25">
      <c r="A1526" t="s">
        <v>98</v>
      </c>
      <c r="B1526" t="s">
        <v>99</v>
      </c>
      <c r="C1526" t="s">
        <v>100</v>
      </c>
      <c r="D1526" t="s">
        <v>1707</v>
      </c>
      <c r="E1526" t="s">
        <v>304</v>
      </c>
      <c r="F1526" t="s">
        <v>350</v>
      </c>
      <c r="G1526" t="s">
        <v>111</v>
      </c>
      <c r="H1526" t="s">
        <v>125</v>
      </c>
      <c r="I1526">
        <v>2016</v>
      </c>
      <c r="J1526" t="s">
        <v>353</v>
      </c>
      <c r="K1526" t="s">
        <v>127</v>
      </c>
      <c r="L1526" t="s">
        <v>1790</v>
      </c>
      <c r="M1526" t="s">
        <v>1812</v>
      </c>
      <c r="N1526">
        <v>1</v>
      </c>
      <c r="O1526">
        <v>2020</v>
      </c>
      <c r="P1526">
        <v>780.38980780435065</v>
      </c>
      <c r="Q1526">
        <v>1.7409370701601361</v>
      </c>
      <c r="R1526" t="s">
        <v>109</v>
      </c>
      <c r="S1526">
        <v>448.25848169949552</v>
      </c>
      <c r="T1526">
        <v>3.5169988276670581</v>
      </c>
      <c r="U1526" t="s">
        <v>184</v>
      </c>
      <c r="V1526">
        <v>3.5169988276670581</v>
      </c>
      <c r="W1526">
        <v>6</v>
      </c>
      <c r="X1526">
        <v>13</v>
      </c>
      <c r="Y1526">
        <v>10</v>
      </c>
      <c r="Z1526">
        <v>8.2748623405738631E-2</v>
      </c>
      <c r="AA1526">
        <v>31.536000000000001</v>
      </c>
    </row>
    <row r="1527" spans="1:27" x14ac:dyDescent="0.25">
      <c r="A1527" t="s">
        <v>98</v>
      </c>
      <c r="B1527" t="s">
        <v>99</v>
      </c>
      <c r="C1527" t="s">
        <v>100</v>
      </c>
      <c r="D1527" t="s">
        <v>1707</v>
      </c>
      <c r="E1527" t="s">
        <v>304</v>
      </c>
      <c r="F1527" t="s">
        <v>350</v>
      </c>
      <c r="G1527" t="s">
        <v>111</v>
      </c>
      <c r="H1527" t="s">
        <v>125</v>
      </c>
      <c r="I1527">
        <v>2030</v>
      </c>
      <c r="J1527" t="s">
        <v>355</v>
      </c>
      <c r="K1527" t="s">
        <v>127</v>
      </c>
      <c r="L1527" t="s">
        <v>1790</v>
      </c>
      <c r="M1527" t="s">
        <v>1813</v>
      </c>
      <c r="N1527">
        <v>1</v>
      </c>
      <c r="O1527">
        <v>2030</v>
      </c>
      <c r="P1527">
        <v>780.38980780435065</v>
      </c>
      <c r="Q1527">
        <v>1.7409370701601361</v>
      </c>
      <c r="R1527" t="s">
        <v>109</v>
      </c>
      <c r="S1527">
        <v>448.25848169949552</v>
      </c>
      <c r="T1527">
        <v>3.5902696365767879</v>
      </c>
      <c r="U1527" t="s">
        <v>184</v>
      </c>
      <c r="V1527">
        <v>3.5902696365767879</v>
      </c>
      <c r="W1527">
        <v>6</v>
      </c>
      <c r="X1527">
        <v>13</v>
      </c>
      <c r="Y1527">
        <v>10</v>
      </c>
      <c r="Z1527">
        <v>8.2748623405738631E-2</v>
      </c>
      <c r="AA1527">
        <v>31.536000000000001</v>
      </c>
    </row>
    <row r="1528" spans="1:27" x14ac:dyDescent="0.25">
      <c r="A1528" t="s">
        <v>98</v>
      </c>
      <c r="B1528" t="s">
        <v>99</v>
      </c>
      <c r="C1528" t="s">
        <v>100</v>
      </c>
      <c r="D1528" t="s">
        <v>1707</v>
      </c>
      <c r="E1528" t="s">
        <v>304</v>
      </c>
      <c r="F1528" t="s">
        <v>350</v>
      </c>
      <c r="G1528" t="s">
        <v>111</v>
      </c>
      <c r="H1528" t="s">
        <v>125</v>
      </c>
      <c r="I1528">
        <v>2040</v>
      </c>
      <c r="J1528" t="s">
        <v>357</v>
      </c>
      <c r="K1528" t="s">
        <v>127</v>
      </c>
      <c r="L1528" t="s">
        <v>1790</v>
      </c>
      <c r="M1528" t="s">
        <v>1814</v>
      </c>
      <c r="N1528">
        <v>1</v>
      </c>
      <c r="O1528">
        <v>2040</v>
      </c>
      <c r="P1528">
        <v>780.38980780435065</v>
      </c>
      <c r="Q1528">
        <v>1.7409370701601361</v>
      </c>
      <c r="R1528" t="s">
        <v>109</v>
      </c>
      <c r="S1528">
        <v>448.25848169949552</v>
      </c>
      <c r="T1528">
        <v>3.6635404454865181</v>
      </c>
      <c r="U1528" t="s">
        <v>184</v>
      </c>
      <c r="V1528">
        <v>3.6635404454865181</v>
      </c>
      <c r="W1528">
        <v>6</v>
      </c>
      <c r="X1528">
        <v>13</v>
      </c>
      <c r="Y1528">
        <v>10</v>
      </c>
      <c r="Z1528">
        <v>8.2748623405738631E-2</v>
      </c>
      <c r="AA1528">
        <v>31.536000000000001</v>
      </c>
    </row>
    <row r="1529" spans="1:27" x14ac:dyDescent="0.25">
      <c r="A1529" t="s">
        <v>98</v>
      </c>
      <c r="B1529" t="s">
        <v>99</v>
      </c>
      <c r="C1529" t="s">
        <v>100</v>
      </c>
      <c r="D1529" t="s">
        <v>1707</v>
      </c>
      <c r="E1529" t="s">
        <v>304</v>
      </c>
      <c r="F1529" t="s">
        <v>350</v>
      </c>
      <c r="G1529" t="s">
        <v>114</v>
      </c>
      <c r="H1529" t="s">
        <v>125</v>
      </c>
      <c r="I1529">
        <v>2016</v>
      </c>
      <c r="J1529" t="s">
        <v>359</v>
      </c>
      <c r="K1529" t="s">
        <v>127</v>
      </c>
      <c r="L1529" t="s">
        <v>1790</v>
      </c>
      <c r="M1529" t="s">
        <v>1815</v>
      </c>
      <c r="N1529">
        <v>1</v>
      </c>
      <c r="O1529">
        <v>2020</v>
      </c>
      <c r="P1529">
        <v>780.38980780435065</v>
      </c>
      <c r="Q1529">
        <v>1.7409370701601361</v>
      </c>
      <c r="R1529" t="s">
        <v>109</v>
      </c>
      <c r="S1529">
        <v>448.25848169949552</v>
      </c>
      <c r="T1529">
        <v>3.5169988276670581</v>
      </c>
      <c r="U1529" t="s">
        <v>184</v>
      </c>
      <c r="V1529">
        <v>3.5169988276670581</v>
      </c>
      <c r="W1529">
        <v>6</v>
      </c>
      <c r="X1529">
        <v>13</v>
      </c>
      <c r="Y1529">
        <v>10</v>
      </c>
      <c r="Z1529">
        <v>8.2748623405738631E-2</v>
      </c>
      <c r="AA1529">
        <v>31.536000000000001</v>
      </c>
    </row>
    <row r="1530" spans="1:27" x14ac:dyDescent="0.25">
      <c r="A1530" t="s">
        <v>98</v>
      </c>
      <c r="B1530" t="s">
        <v>99</v>
      </c>
      <c r="C1530" t="s">
        <v>100</v>
      </c>
      <c r="D1530" t="s">
        <v>1707</v>
      </c>
      <c r="E1530" t="s">
        <v>304</v>
      </c>
      <c r="F1530" t="s">
        <v>350</v>
      </c>
      <c r="G1530" t="s">
        <v>119</v>
      </c>
      <c r="H1530" t="s">
        <v>125</v>
      </c>
      <c r="I1530">
        <v>2016</v>
      </c>
      <c r="J1530" t="s">
        <v>361</v>
      </c>
      <c r="K1530" t="s">
        <v>127</v>
      </c>
      <c r="L1530" t="s">
        <v>1790</v>
      </c>
      <c r="M1530" t="s">
        <v>1816</v>
      </c>
      <c r="N1530">
        <v>1</v>
      </c>
      <c r="O1530">
        <v>2020</v>
      </c>
      <c r="P1530">
        <v>859.64814765948006</v>
      </c>
      <c r="Q1530">
        <v>1.7409370701601361</v>
      </c>
      <c r="R1530" t="s">
        <v>109</v>
      </c>
      <c r="S1530">
        <v>493.78473374710052</v>
      </c>
      <c r="T1530">
        <v>3.6049237983587341</v>
      </c>
      <c r="U1530" t="s">
        <v>184</v>
      </c>
      <c r="V1530">
        <v>3.6049237983587341</v>
      </c>
      <c r="W1530">
        <v>6</v>
      </c>
      <c r="X1530">
        <v>13</v>
      </c>
      <c r="Y1530">
        <v>10</v>
      </c>
      <c r="Z1530">
        <v>8.2748623405738631E-2</v>
      </c>
      <c r="AA1530">
        <v>31.536000000000001</v>
      </c>
    </row>
    <row r="1531" spans="1:27" x14ac:dyDescent="0.25">
      <c r="A1531" t="s">
        <v>98</v>
      </c>
      <c r="B1531" t="s">
        <v>99</v>
      </c>
      <c r="C1531" t="s">
        <v>100</v>
      </c>
      <c r="D1531" t="s">
        <v>1707</v>
      </c>
      <c r="E1531" t="s">
        <v>304</v>
      </c>
      <c r="F1531" t="s">
        <v>350</v>
      </c>
      <c r="G1531" t="s">
        <v>119</v>
      </c>
      <c r="H1531" t="s">
        <v>125</v>
      </c>
      <c r="I1531">
        <v>2022</v>
      </c>
      <c r="J1531" t="s">
        <v>363</v>
      </c>
      <c r="K1531" t="s">
        <v>127</v>
      </c>
      <c r="L1531" t="s">
        <v>1790</v>
      </c>
      <c r="M1531" t="s">
        <v>1817</v>
      </c>
      <c r="N1531">
        <v>1</v>
      </c>
      <c r="O1531">
        <v>2022</v>
      </c>
      <c r="P1531">
        <v>859.64814765948006</v>
      </c>
      <c r="Q1531">
        <v>1.7409370701601361</v>
      </c>
      <c r="R1531" t="s">
        <v>109</v>
      </c>
      <c r="S1531">
        <v>493.78473374710052</v>
      </c>
      <c r="T1531">
        <v>3.6635404454865181</v>
      </c>
      <c r="U1531" t="s">
        <v>184</v>
      </c>
      <c r="V1531">
        <v>3.6635404454865181</v>
      </c>
      <c r="W1531">
        <v>6</v>
      </c>
      <c r="X1531">
        <v>13</v>
      </c>
      <c r="Y1531">
        <v>10</v>
      </c>
      <c r="Z1531">
        <v>8.2748623405738631E-2</v>
      </c>
      <c r="AA1531">
        <v>31.536000000000001</v>
      </c>
    </row>
    <row r="1532" spans="1:27" x14ac:dyDescent="0.25">
      <c r="A1532" t="s">
        <v>98</v>
      </c>
      <c r="B1532" t="s">
        <v>99</v>
      </c>
      <c r="C1532" t="s">
        <v>100</v>
      </c>
      <c r="D1532" t="s">
        <v>1707</v>
      </c>
      <c r="E1532" t="s">
        <v>304</v>
      </c>
      <c r="F1532" t="s">
        <v>350</v>
      </c>
      <c r="G1532" t="s">
        <v>119</v>
      </c>
      <c r="H1532" t="s">
        <v>125</v>
      </c>
      <c r="I1532">
        <v>2030</v>
      </c>
      <c r="J1532" t="s">
        <v>365</v>
      </c>
      <c r="K1532" t="s">
        <v>127</v>
      </c>
      <c r="L1532" t="s">
        <v>1790</v>
      </c>
      <c r="M1532" t="s">
        <v>1818</v>
      </c>
      <c r="N1532">
        <v>1</v>
      </c>
      <c r="O1532">
        <v>2030</v>
      </c>
      <c r="P1532">
        <v>859.64814765948006</v>
      </c>
      <c r="Q1532">
        <v>1.7409370701601361</v>
      </c>
      <c r="R1532" t="s">
        <v>109</v>
      </c>
      <c r="S1532">
        <v>493.78473374710052</v>
      </c>
      <c r="T1532">
        <v>3.8100820633059791</v>
      </c>
      <c r="U1532" t="s">
        <v>184</v>
      </c>
      <c r="V1532">
        <v>3.8100820633059791</v>
      </c>
      <c r="W1532">
        <v>6</v>
      </c>
      <c r="X1532">
        <v>13</v>
      </c>
      <c r="Y1532">
        <v>10</v>
      </c>
      <c r="Z1532">
        <v>8.2748623405738631E-2</v>
      </c>
      <c r="AA1532">
        <v>31.536000000000001</v>
      </c>
    </row>
    <row r="1533" spans="1:27" x14ac:dyDescent="0.25">
      <c r="A1533" t="s">
        <v>98</v>
      </c>
      <c r="B1533" t="s">
        <v>99</v>
      </c>
      <c r="C1533" t="s">
        <v>100</v>
      </c>
      <c r="D1533" t="s">
        <v>1707</v>
      </c>
      <c r="E1533" t="s">
        <v>304</v>
      </c>
      <c r="F1533" t="s">
        <v>350</v>
      </c>
      <c r="G1533" t="s">
        <v>119</v>
      </c>
      <c r="H1533" t="s">
        <v>125</v>
      </c>
      <c r="I1533">
        <v>2040</v>
      </c>
      <c r="J1533" t="s">
        <v>367</v>
      </c>
      <c r="K1533" t="s">
        <v>127</v>
      </c>
      <c r="L1533" t="s">
        <v>1790</v>
      </c>
      <c r="M1533" t="s">
        <v>1819</v>
      </c>
      <c r="N1533">
        <v>1</v>
      </c>
      <c r="O1533">
        <v>2040</v>
      </c>
      <c r="P1533">
        <v>859.64814765948006</v>
      </c>
      <c r="Q1533">
        <v>1.7409370701601361</v>
      </c>
      <c r="R1533" t="s">
        <v>109</v>
      </c>
      <c r="S1533">
        <v>493.78473374710052</v>
      </c>
      <c r="T1533">
        <v>3.9566236811254401</v>
      </c>
      <c r="U1533" t="s">
        <v>184</v>
      </c>
      <c r="V1533">
        <v>3.9566236811254401</v>
      </c>
      <c r="W1533">
        <v>6</v>
      </c>
      <c r="X1533">
        <v>13</v>
      </c>
      <c r="Y1533">
        <v>10</v>
      </c>
      <c r="Z1533">
        <v>8.2748623405738631E-2</v>
      </c>
      <c r="AA1533">
        <v>31.536000000000001</v>
      </c>
    </row>
    <row r="1534" spans="1:27" x14ac:dyDescent="0.25">
      <c r="A1534" t="s">
        <v>98</v>
      </c>
      <c r="B1534" t="s">
        <v>99</v>
      </c>
      <c r="C1534" t="s">
        <v>100</v>
      </c>
      <c r="D1534" t="s">
        <v>1707</v>
      </c>
      <c r="E1534" t="s">
        <v>304</v>
      </c>
      <c r="F1534" t="s">
        <v>369</v>
      </c>
      <c r="G1534" t="s">
        <v>103</v>
      </c>
      <c r="H1534" t="s">
        <v>125</v>
      </c>
      <c r="I1534">
        <v>2016</v>
      </c>
      <c r="J1534" t="s">
        <v>370</v>
      </c>
      <c r="K1534" t="s">
        <v>127</v>
      </c>
      <c r="L1534" t="s">
        <v>1790</v>
      </c>
      <c r="M1534" t="s">
        <v>1820</v>
      </c>
      <c r="N1534">
        <v>1</v>
      </c>
      <c r="O1534">
        <v>2020</v>
      </c>
      <c r="P1534">
        <v>4328.724715164758</v>
      </c>
      <c r="Q1534">
        <v>1.7409370701601361</v>
      </c>
      <c r="R1534" t="s">
        <v>109</v>
      </c>
      <c r="S1534">
        <v>2486.4337656768889</v>
      </c>
      <c r="T1534">
        <v>3.8100820633059791</v>
      </c>
      <c r="U1534" t="s">
        <v>184</v>
      </c>
      <c r="V1534">
        <v>3.8100820633059791</v>
      </c>
      <c r="W1534">
        <v>11</v>
      </c>
      <c r="X1534">
        <v>25</v>
      </c>
      <c r="Y1534">
        <v>19</v>
      </c>
      <c r="Z1534">
        <v>8.2748623405738631E-2</v>
      </c>
      <c r="AA1534">
        <v>31.536000000000001</v>
      </c>
    </row>
    <row r="1535" spans="1:27" x14ac:dyDescent="0.25">
      <c r="A1535" t="s">
        <v>98</v>
      </c>
      <c r="B1535" t="s">
        <v>99</v>
      </c>
      <c r="C1535" t="s">
        <v>100</v>
      </c>
      <c r="D1535" t="s">
        <v>1707</v>
      </c>
      <c r="E1535" t="s">
        <v>304</v>
      </c>
      <c r="F1535" t="s">
        <v>369</v>
      </c>
      <c r="G1535" t="s">
        <v>103</v>
      </c>
      <c r="H1535" t="s">
        <v>125</v>
      </c>
      <c r="I1535">
        <v>2023</v>
      </c>
      <c r="J1535" t="s">
        <v>372</v>
      </c>
      <c r="K1535" t="s">
        <v>127</v>
      </c>
      <c r="L1535" t="s">
        <v>1790</v>
      </c>
      <c r="M1535" t="s">
        <v>1821</v>
      </c>
      <c r="N1535">
        <v>1</v>
      </c>
      <c r="O1535">
        <v>2023</v>
      </c>
      <c r="P1535">
        <v>4328.724715164758</v>
      </c>
      <c r="Q1535">
        <v>1.7409370701601361</v>
      </c>
      <c r="R1535" t="s">
        <v>109</v>
      </c>
      <c r="S1535">
        <v>2486.4337656768889</v>
      </c>
      <c r="T1535">
        <v>3.8100820633059791</v>
      </c>
      <c r="U1535" t="s">
        <v>184</v>
      </c>
      <c r="V1535">
        <v>3.8100820633059791</v>
      </c>
      <c r="W1535">
        <v>11</v>
      </c>
      <c r="X1535">
        <v>25</v>
      </c>
      <c r="Y1535">
        <v>19</v>
      </c>
      <c r="Z1535">
        <v>8.2748623405738631E-2</v>
      </c>
      <c r="AA1535">
        <v>31.536000000000001</v>
      </c>
    </row>
    <row r="1536" spans="1:27" x14ac:dyDescent="0.25">
      <c r="A1536" t="s">
        <v>98</v>
      </c>
      <c r="B1536" t="s">
        <v>99</v>
      </c>
      <c r="C1536" t="s">
        <v>100</v>
      </c>
      <c r="D1536" t="s">
        <v>1707</v>
      </c>
      <c r="E1536" t="s">
        <v>304</v>
      </c>
      <c r="F1536" t="s">
        <v>369</v>
      </c>
      <c r="G1536" t="s">
        <v>111</v>
      </c>
      <c r="H1536" t="s">
        <v>125</v>
      </c>
      <c r="I1536">
        <v>2016</v>
      </c>
      <c r="J1536" t="s">
        <v>374</v>
      </c>
      <c r="K1536" t="s">
        <v>127</v>
      </c>
      <c r="L1536" t="s">
        <v>1790</v>
      </c>
      <c r="M1536" t="s">
        <v>1822</v>
      </c>
      <c r="N1536">
        <v>1</v>
      </c>
      <c r="O1536">
        <v>2020</v>
      </c>
      <c r="P1536">
        <v>4450.6606226341873</v>
      </c>
      <c r="Q1536">
        <v>1.7409370701601361</v>
      </c>
      <c r="R1536" t="s">
        <v>109</v>
      </c>
      <c r="S1536">
        <v>2556.4741534424352</v>
      </c>
      <c r="T1536">
        <v>4.0738569753810081</v>
      </c>
      <c r="U1536" t="s">
        <v>184</v>
      </c>
      <c r="V1536">
        <v>4.0738569753810081</v>
      </c>
      <c r="W1536">
        <v>11</v>
      </c>
      <c r="X1536">
        <v>25</v>
      </c>
      <c r="Y1536">
        <v>19</v>
      </c>
      <c r="Z1536">
        <v>8.2748623405738631E-2</v>
      </c>
      <c r="AA1536">
        <v>31.536000000000001</v>
      </c>
    </row>
    <row r="1537" spans="1:27" x14ac:dyDescent="0.25">
      <c r="A1537" t="s">
        <v>98</v>
      </c>
      <c r="B1537" t="s">
        <v>99</v>
      </c>
      <c r="C1537" t="s">
        <v>100</v>
      </c>
      <c r="D1537" t="s">
        <v>1707</v>
      </c>
      <c r="E1537" t="s">
        <v>304</v>
      </c>
      <c r="F1537" t="s">
        <v>369</v>
      </c>
      <c r="G1537" t="s">
        <v>111</v>
      </c>
      <c r="H1537" t="s">
        <v>125</v>
      </c>
      <c r="I1537">
        <v>2023</v>
      </c>
      <c r="J1537" t="s">
        <v>376</v>
      </c>
      <c r="K1537" t="s">
        <v>127</v>
      </c>
      <c r="L1537" t="s">
        <v>1790</v>
      </c>
      <c r="M1537" t="s">
        <v>1823</v>
      </c>
      <c r="N1537">
        <v>1</v>
      </c>
      <c r="O1537">
        <v>2023</v>
      </c>
      <c r="P1537">
        <v>4511.628576368902</v>
      </c>
      <c r="Q1537">
        <v>1.7409370701601361</v>
      </c>
      <c r="R1537" t="s">
        <v>109</v>
      </c>
      <c r="S1537">
        <v>2591.4943473252079</v>
      </c>
      <c r="T1537">
        <v>4.2203985932004704</v>
      </c>
      <c r="U1537" t="s">
        <v>184</v>
      </c>
      <c r="V1537">
        <v>4.2203985932004704</v>
      </c>
      <c r="W1537">
        <v>11</v>
      </c>
      <c r="X1537">
        <v>25</v>
      </c>
      <c r="Y1537">
        <v>19</v>
      </c>
      <c r="Z1537">
        <v>8.2748623405738631E-2</v>
      </c>
      <c r="AA1537">
        <v>31.536000000000001</v>
      </c>
    </row>
    <row r="1538" spans="1:27" x14ac:dyDescent="0.25">
      <c r="A1538" t="s">
        <v>98</v>
      </c>
      <c r="B1538" t="s">
        <v>99</v>
      </c>
      <c r="C1538" t="s">
        <v>100</v>
      </c>
      <c r="D1538" t="s">
        <v>1707</v>
      </c>
      <c r="E1538" t="s">
        <v>304</v>
      </c>
      <c r="F1538" t="s">
        <v>369</v>
      </c>
      <c r="G1538" t="s">
        <v>114</v>
      </c>
      <c r="H1538" t="s">
        <v>125</v>
      </c>
      <c r="I1538">
        <v>2016</v>
      </c>
      <c r="J1538" t="s">
        <v>378</v>
      </c>
      <c r="K1538" t="s">
        <v>127</v>
      </c>
      <c r="L1538" t="s">
        <v>1790</v>
      </c>
      <c r="M1538" t="s">
        <v>1824</v>
      </c>
      <c r="N1538">
        <v>1</v>
      </c>
      <c r="O1538">
        <v>2020</v>
      </c>
      <c r="P1538">
        <v>4877.436298777192</v>
      </c>
      <c r="Q1538">
        <v>1.7409370701601361</v>
      </c>
      <c r="R1538" t="s">
        <v>109</v>
      </c>
      <c r="S1538">
        <v>2801.6155106218471</v>
      </c>
      <c r="T1538">
        <v>4.3962485345838216</v>
      </c>
      <c r="U1538" t="s">
        <v>184</v>
      </c>
      <c r="V1538">
        <v>4.3962485345838216</v>
      </c>
      <c r="W1538">
        <v>11</v>
      </c>
      <c r="X1538">
        <v>25</v>
      </c>
      <c r="Y1538">
        <v>19</v>
      </c>
      <c r="Z1538">
        <v>8.2748623405738631E-2</v>
      </c>
      <c r="AA1538">
        <v>31.536000000000001</v>
      </c>
    </row>
    <row r="1539" spans="1:27" x14ac:dyDescent="0.25">
      <c r="A1539" t="s">
        <v>98</v>
      </c>
      <c r="B1539" t="s">
        <v>99</v>
      </c>
      <c r="C1539" t="s">
        <v>100</v>
      </c>
      <c r="D1539" t="s">
        <v>1707</v>
      </c>
      <c r="E1539" t="s">
        <v>304</v>
      </c>
      <c r="F1539" t="s">
        <v>369</v>
      </c>
      <c r="G1539" t="s">
        <v>114</v>
      </c>
      <c r="H1539" t="s">
        <v>125</v>
      </c>
      <c r="I1539">
        <v>2023</v>
      </c>
      <c r="J1539" t="s">
        <v>380</v>
      </c>
      <c r="K1539" t="s">
        <v>127</v>
      </c>
      <c r="L1539" t="s">
        <v>1790</v>
      </c>
      <c r="M1539" t="s">
        <v>1825</v>
      </c>
      <c r="N1539">
        <v>1</v>
      </c>
      <c r="O1539">
        <v>2023</v>
      </c>
      <c r="P1539">
        <v>5202.5987186956727</v>
      </c>
      <c r="Q1539">
        <v>1.7409370701601361</v>
      </c>
      <c r="R1539" t="s">
        <v>109</v>
      </c>
      <c r="S1539">
        <v>2988.389877996638</v>
      </c>
      <c r="T1539">
        <v>4.6893317702227444</v>
      </c>
      <c r="U1539" t="s">
        <v>184</v>
      </c>
      <c r="V1539">
        <v>4.6893317702227444</v>
      </c>
      <c r="W1539">
        <v>11</v>
      </c>
      <c r="X1539">
        <v>25</v>
      </c>
      <c r="Y1539">
        <v>19</v>
      </c>
      <c r="Z1539">
        <v>8.2748623405738631E-2</v>
      </c>
      <c r="AA1539">
        <v>31.536000000000001</v>
      </c>
    </row>
    <row r="1540" spans="1:27" x14ac:dyDescent="0.25">
      <c r="A1540" t="s">
        <v>98</v>
      </c>
      <c r="B1540" t="s">
        <v>99</v>
      </c>
      <c r="C1540" t="s">
        <v>100</v>
      </c>
      <c r="D1540" t="s">
        <v>1707</v>
      </c>
      <c r="E1540" t="s">
        <v>304</v>
      </c>
      <c r="F1540" t="s">
        <v>369</v>
      </c>
      <c r="G1540" t="s">
        <v>119</v>
      </c>
      <c r="H1540" t="s">
        <v>125</v>
      </c>
      <c r="I1540">
        <v>2016</v>
      </c>
      <c r="J1540" t="s">
        <v>382</v>
      </c>
      <c r="K1540" t="s">
        <v>127</v>
      </c>
      <c r="L1540" t="s">
        <v>1790</v>
      </c>
      <c r="M1540" t="s">
        <v>1826</v>
      </c>
      <c r="N1540">
        <v>1</v>
      </c>
      <c r="O1540">
        <v>2020</v>
      </c>
      <c r="P1540">
        <v>5670.0196973284856</v>
      </c>
      <c r="Q1540">
        <v>1.7409370701601361</v>
      </c>
      <c r="R1540" t="s">
        <v>109</v>
      </c>
      <c r="S1540">
        <v>3256.8780310978968</v>
      </c>
      <c r="T1540">
        <v>4.835873388042204</v>
      </c>
      <c r="U1540" t="s">
        <v>184</v>
      </c>
      <c r="V1540">
        <v>4.835873388042204</v>
      </c>
      <c r="W1540">
        <v>11</v>
      </c>
      <c r="X1540">
        <v>25</v>
      </c>
      <c r="Y1540">
        <v>19</v>
      </c>
      <c r="Z1540">
        <v>8.2748623405738631E-2</v>
      </c>
      <c r="AA1540">
        <v>31.536000000000001</v>
      </c>
    </row>
    <row r="1541" spans="1:27" x14ac:dyDescent="0.25">
      <c r="A1541" t="s">
        <v>98</v>
      </c>
      <c r="B1541" t="s">
        <v>99</v>
      </c>
      <c r="C1541" t="s">
        <v>100</v>
      </c>
      <c r="D1541" t="s">
        <v>1707</v>
      </c>
      <c r="E1541" t="s">
        <v>304</v>
      </c>
      <c r="F1541" t="s">
        <v>369</v>
      </c>
      <c r="G1541" t="s">
        <v>119</v>
      </c>
      <c r="H1541" t="s">
        <v>125</v>
      </c>
      <c r="I1541">
        <v>2022</v>
      </c>
      <c r="J1541" t="s">
        <v>384</v>
      </c>
      <c r="K1541" t="s">
        <v>127</v>
      </c>
      <c r="L1541" t="s">
        <v>1790</v>
      </c>
      <c r="M1541" t="s">
        <v>1827</v>
      </c>
      <c r="N1541">
        <v>1</v>
      </c>
      <c r="O1541">
        <v>2022</v>
      </c>
      <c r="P1541">
        <v>5670.0196973284856</v>
      </c>
      <c r="Q1541">
        <v>1.7409370701601361</v>
      </c>
      <c r="R1541" t="s">
        <v>109</v>
      </c>
      <c r="S1541">
        <v>3256.8780310978968</v>
      </c>
      <c r="T1541">
        <v>4.835873388042204</v>
      </c>
      <c r="U1541" t="s">
        <v>184</v>
      </c>
      <c r="V1541">
        <v>4.835873388042204</v>
      </c>
      <c r="W1541">
        <v>11</v>
      </c>
      <c r="X1541">
        <v>25</v>
      </c>
      <c r="Y1541">
        <v>19</v>
      </c>
      <c r="Z1541">
        <v>8.2748623405738631E-2</v>
      </c>
      <c r="AA1541">
        <v>31.536000000000001</v>
      </c>
    </row>
    <row r="1542" spans="1:27" x14ac:dyDescent="0.25">
      <c r="A1542" t="s">
        <v>98</v>
      </c>
      <c r="B1542" t="s">
        <v>99</v>
      </c>
      <c r="C1542" t="s">
        <v>100</v>
      </c>
      <c r="D1542" t="s">
        <v>1707</v>
      </c>
      <c r="E1542" t="s">
        <v>386</v>
      </c>
      <c r="G1542" t="s">
        <v>387</v>
      </c>
      <c r="H1542" t="s">
        <v>125</v>
      </c>
      <c r="I1542">
        <v>2016</v>
      </c>
      <c r="J1542" t="s">
        <v>388</v>
      </c>
      <c r="K1542" t="s">
        <v>127</v>
      </c>
      <c r="L1542" t="s">
        <v>1828</v>
      </c>
      <c r="M1542" t="s">
        <v>1829</v>
      </c>
      <c r="N1542">
        <v>1</v>
      </c>
      <c r="O1542">
        <v>2020</v>
      </c>
      <c r="P1542">
        <v>853.55135228600852</v>
      </c>
      <c r="Q1542">
        <v>1.9035395180907011</v>
      </c>
      <c r="R1542" t="s">
        <v>391</v>
      </c>
      <c r="S1542">
        <v>448.40222342331111</v>
      </c>
      <c r="T1542">
        <v>404.78399999999999</v>
      </c>
      <c r="U1542" t="s">
        <v>392</v>
      </c>
      <c r="V1542">
        <v>1.1306815642458099</v>
      </c>
      <c r="W1542">
        <v>11.625999787885601</v>
      </c>
      <c r="X1542">
        <v>21.895260974855479</v>
      </c>
      <c r="Y1542">
        <v>17</v>
      </c>
      <c r="Z1542">
        <v>0.65</v>
      </c>
      <c r="AA1542">
        <v>1</v>
      </c>
    </row>
    <row r="1543" spans="1:27" x14ac:dyDescent="0.25">
      <c r="A1543" t="s">
        <v>98</v>
      </c>
      <c r="B1543" t="s">
        <v>99</v>
      </c>
      <c r="C1543" t="s">
        <v>100</v>
      </c>
      <c r="D1543" t="s">
        <v>1707</v>
      </c>
      <c r="E1543" t="s">
        <v>386</v>
      </c>
      <c r="G1543" t="s">
        <v>393</v>
      </c>
      <c r="H1543" t="s">
        <v>125</v>
      </c>
      <c r="I1543">
        <v>2016</v>
      </c>
      <c r="J1543" t="s">
        <v>394</v>
      </c>
      <c r="K1543" t="s">
        <v>127</v>
      </c>
      <c r="L1543" t="s">
        <v>1828</v>
      </c>
      <c r="M1543" t="s">
        <v>1830</v>
      </c>
      <c r="N1543">
        <v>1</v>
      </c>
      <c r="O1543">
        <v>2020</v>
      </c>
      <c r="P1543">
        <v>914.51930602072343</v>
      </c>
      <c r="Q1543">
        <v>1.9035395180907011</v>
      </c>
      <c r="R1543" t="s">
        <v>391</v>
      </c>
      <c r="S1543">
        <v>480.43095366783342</v>
      </c>
      <c r="T1543">
        <v>389</v>
      </c>
      <c r="U1543" t="s">
        <v>392</v>
      </c>
      <c r="V1543">
        <v>1.08659217877095</v>
      </c>
      <c r="W1543">
        <v>11.625999787885601</v>
      </c>
      <c r="X1543">
        <v>21.895260974855479</v>
      </c>
      <c r="Y1543">
        <v>17</v>
      </c>
      <c r="Z1543">
        <v>0.65</v>
      </c>
      <c r="AA1543">
        <v>1</v>
      </c>
    </row>
    <row r="1544" spans="1:27" x14ac:dyDescent="0.25">
      <c r="A1544" t="s">
        <v>98</v>
      </c>
      <c r="B1544" t="s">
        <v>99</v>
      </c>
      <c r="C1544" t="s">
        <v>100</v>
      </c>
      <c r="D1544" t="s">
        <v>1707</v>
      </c>
      <c r="E1544" t="s">
        <v>386</v>
      </c>
      <c r="G1544" t="s">
        <v>396</v>
      </c>
      <c r="H1544" t="s">
        <v>125</v>
      </c>
      <c r="I1544">
        <v>2016</v>
      </c>
      <c r="J1544" t="s">
        <v>397</v>
      </c>
      <c r="K1544" t="s">
        <v>127</v>
      </c>
      <c r="L1544" t="s">
        <v>1828</v>
      </c>
      <c r="M1544" t="s">
        <v>1831</v>
      </c>
      <c r="N1544">
        <v>1</v>
      </c>
      <c r="O1544">
        <v>2020</v>
      </c>
      <c r="P1544">
        <v>1036.455213490153</v>
      </c>
      <c r="Q1544">
        <v>1.9035395180907011</v>
      </c>
      <c r="R1544" t="s">
        <v>391</v>
      </c>
      <c r="S1544">
        <v>544.48841415687775</v>
      </c>
      <c r="T1544">
        <v>364.30560000000003</v>
      </c>
      <c r="U1544" t="s">
        <v>392</v>
      </c>
      <c r="V1544">
        <v>1.0176134078212291</v>
      </c>
      <c r="W1544">
        <v>11.625999787885601</v>
      </c>
      <c r="X1544">
        <v>21.895260974855479</v>
      </c>
      <c r="Y1544">
        <v>17</v>
      </c>
      <c r="Z1544">
        <v>0.65</v>
      </c>
      <c r="AA1544">
        <v>1</v>
      </c>
    </row>
    <row r="1545" spans="1:27" x14ac:dyDescent="0.25">
      <c r="A1545" t="s">
        <v>98</v>
      </c>
      <c r="B1545" t="s">
        <v>99</v>
      </c>
      <c r="C1545" t="s">
        <v>100</v>
      </c>
      <c r="D1545" t="s">
        <v>1707</v>
      </c>
      <c r="E1545" t="s">
        <v>386</v>
      </c>
      <c r="G1545" t="s">
        <v>399</v>
      </c>
      <c r="H1545" t="s">
        <v>125</v>
      </c>
      <c r="I1545">
        <v>2016</v>
      </c>
      <c r="J1545" t="s">
        <v>400</v>
      </c>
      <c r="K1545" t="s">
        <v>127</v>
      </c>
      <c r="L1545" t="s">
        <v>1828</v>
      </c>
      <c r="M1545" t="s">
        <v>1832</v>
      </c>
      <c r="N1545">
        <v>1</v>
      </c>
      <c r="O1545">
        <v>2020</v>
      </c>
      <c r="P1545">
        <v>1073.035985730982</v>
      </c>
      <c r="Q1545">
        <v>1.9035395180907011</v>
      </c>
      <c r="R1545" t="s">
        <v>391</v>
      </c>
      <c r="S1545">
        <v>563.70565230359114</v>
      </c>
      <c r="T1545">
        <v>358</v>
      </c>
      <c r="U1545" t="s">
        <v>392</v>
      </c>
      <c r="V1545">
        <v>1</v>
      </c>
      <c r="W1545">
        <v>11.625999787885601</v>
      </c>
      <c r="X1545">
        <v>21.895260974855479</v>
      </c>
      <c r="Y1545">
        <v>17</v>
      </c>
      <c r="Z1545">
        <v>0.65</v>
      </c>
      <c r="AA1545">
        <v>1</v>
      </c>
    </row>
    <row r="1546" spans="1:27" x14ac:dyDescent="0.25">
      <c r="A1546" t="s">
        <v>98</v>
      </c>
      <c r="B1546" t="s">
        <v>99</v>
      </c>
      <c r="C1546" t="s">
        <v>100</v>
      </c>
      <c r="D1546" t="s">
        <v>1707</v>
      </c>
      <c r="E1546" t="s">
        <v>386</v>
      </c>
      <c r="G1546" t="s">
        <v>402</v>
      </c>
      <c r="H1546" t="s">
        <v>125</v>
      </c>
      <c r="I1546">
        <v>2016</v>
      </c>
      <c r="J1546" t="s">
        <v>403</v>
      </c>
      <c r="K1546" t="s">
        <v>127</v>
      </c>
      <c r="L1546" t="s">
        <v>1828</v>
      </c>
      <c r="M1546" t="s">
        <v>1833</v>
      </c>
      <c r="N1546">
        <v>1</v>
      </c>
      <c r="O1546">
        <v>2020</v>
      </c>
      <c r="P1546">
        <v>1597.3603878495301</v>
      </c>
      <c r="Q1546">
        <v>1.9035395180907011</v>
      </c>
      <c r="R1546" t="s">
        <v>391</v>
      </c>
      <c r="S1546">
        <v>839.1527324064823</v>
      </c>
      <c r="T1546">
        <v>705.226</v>
      </c>
      <c r="U1546" t="s">
        <v>392</v>
      </c>
      <c r="V1546">
        <v>1.9699050279329611</v>
      </c>
      <c r="W1546">
        <v>11.625999787885601</v>
      </c>
      <c r="X1546">
        <v>21.895260974855479</v>
      </c>
      <c r="Y1546">
        <v>17</v>
      </c>
      <c r="Z1546">
        <v>0.65</v>
      </c>
      <c r="AA1546">
        <v>1</v>
      </c>
    </row>
    <row r="1547" spans="1:27" x14ac:dyDescent="0.25">
      <c r="A1547" t="s">
        <v>98</v>
      </c>
      <c r="B1547" t="s">
        <v>99</v>
      </c>
      <c r="C1547" t="s">
        <v>100</v>
      </c>
      <c r="D1547" t="s">
        <v>1707</v>
      </c>
      <c r="E1547" t="s">
        <v>386</v>
      </c>
      <c r="G1547" t="s">
        <v>405</v>
      </c>
      <c r="H1547" t="s">
        <v>125</v>
      </c>
      <c r="I1547">
        <v>2016</v>
      </c>
      <c r="J1547" t="s">
        <v>406</v>
      </c>
      <c r="K1547" t="s">
        <v>127</v>
      </c>
      <c r="L1547" t="s">
        <v>1828</v>
      </c>
      <c r="M1547" t="s">
        <v>1834</v>
      </c>
      <c r="N1547">
        <v>1</v>
      </c>
      <c r="O1547">
        <v>2020</v>
      </c>
      <c r="P1547">
        <v>1731.489886065903</v>
      </c>
      <c r="Q1547">
        <v>1.9035395180907011</v>
      </c>
      <c r="R1547" t="s">
        <v>391</v>
      </c>
      <c r="S1547">
        <v>909.61593894443115</v>
      </c>
      <c r="T1547">
        <v>671</v>
      </c>
      <c r="U1547" t="s">
        <v>392</v>
      </c>
      <c r="V1547">
        <v>1.8743016759776541</v>
      </c>
      <c r="W1547">
        <v>11.625999787885601</v>
      </c>
      <c r="X1547">
        <v>21.895260974855479</v>
      </c>
      <c r="Y1547">
        <v>17</v>
      </c>
      <c r="Z1547">
        <v>0.65</v>
      </c>
      <c r="AA1547">
        <v>1</v>
      </c>
    </row>
    <row r="1548" spans="1:27" x14ac:dyDescent="0.25">
      <c r="A1548" t="s">
        <v>98</v>
      </c>
      <c r="B1548" t="s">
        <v>99</v>
      </c>
      <c r="C1548" t="s">
        <v>100</v>
      </c>
      <c r="D1548" t="s">
        <v>1707</v>
      </c>
      <c r="E1548" t="s">
        <v>386</v>
      </c>
      <c r="G1548" t="s">
        <v>408</v>
      </c>
      <c r="H1548" t="s">
        <v>125</v>
      </c>
      <c r="I1548">
        <v>2016</v>
      </c>
      <c r="J1548" t="s">
        <v>409</v>
      </c>
      <c r="K1548" t="s">
        <v>127</v>
      </c>
      <c r="L1548" t="s">
        <v>1828</v>
      </c>
      <c r="M1548" t="s">
        <v>1835</v>
      </c>
      <c r="N1548">
        <v>1</v>
      </c>
      <c r="O1548">
        <v>2020</v>
      </c>
      <c r="P1548">
        <v>1890.006565776162</v>
      </c>
      <c r="Q1548">
        <v>1.9035395180907011</v>
      </c>
      <c r="R1548" t="s">
        <v>391</v>
      </c>
      <c r="S1548">
        <v>992.89063758018892</v>
      </c>
      <c r="T1548">
        <v>634.70339999999999</v>
      </c>
      <c r="U1548" t="s">
        <v>392</v>
      </c>
      <c r="V1548">
        <v>1.772914525139665</v>
      </c>
      <c r="W1548">
        <v>11.625999787885601</v>
      </c>
      <c r="X1548">
        <v>21.895260974855479</v>
      </c>
      <c r="Y1548">
        <v>17</v>
      </c>
      <c r="Z1548">
        <v>0.65</v>
      </c>
      <c r="AA1548">
        <v>1</v>
      </c>
    </row>
    <row r="1549" spans="1:27" x14ac:dyDescent="0.25">
      <c r="A1549" t="s">
        <v>98</v>
      </c>
      <c r="B1549" t="s">
        <v>99</v>
      </c>
      <c r="C1549" t="s">
        <v>100</v>
      </c>
      <c r="D1549" t="s">
        <v>1707</v>
      </c>
      <c r="E1549" t="s">
        <v>386</v>
      </c>
      <c r="G1549" t="s">
        <v>411</v>
      </c>
      <c r="H1549" t="s">
        <v>125</v>
      </c>
      <c r="I1549">
        <v>2016</v>
      </c>
      <c r="J1549" t="s">
        <v>412</v>
      </c>
      <c r="K1549" t="s">
        <v>127</v>
      </c>
      <c r="L1549" t="s">
        <v>1828</v>
      </c>
      <c r="M1549" t="s">
        <v>1836</v>
      </c>
      <c r="N1549">
        <v>1</v>
      </c>
      <c r="O1549">
        <v>2020</v>
      </c>
      <c r="P1549">
        <v>2414.3309678947098</v>
      </c>
      <c r="Q1549">
        <v>1.9035395180907011</v>
      </c>
      <c r="R1549" t="s">
        <v>391</v>
      </c>
      <c r="S1549">
        <v>1268.33771768308</v>
      </c>
      <c r="T1549">
        <v>509</v>
      </c>
      <c r="U1549" t="s">
        <v>392</v>
      </c>
      <c r="V1549">
        <v>1.4217877094972069</v>
      </c>
      <c r="W1549">
        <v>11.625999787885601</v>
      </c>
      <c r="X1549">
        <v>21.895260974855479</v>
      </c>
      <c r="Y1549">
        <v>17</v>
      </c>
      <c r="Z1549">
        <v>0.65</v>
      </c>
      <c r="AA1549">
        <v>1</v>
      </c>
    </row>
    <row r="1550" spans="1:27" x14ac:dyDescent="0.25">
      <c r="A1550" t="s">
        <v>98</v>
      </c>
      <c r="B1550" t="s">
        <v>99</v>
      </c>
      <c r="C1550" t="s">
        <v>100</v>
      </c>
      <c r="D1550" t="s">
        <v>1707</v>
      </c>
      <c r="E1550" t="s">
        <v>386</v>
      </c>
      <c r="G1550" t="s">
        <v>414</v>
      </c>
      <c r="H1550" t="s">
        <v>125</v>
      </c>
      <c r="I1550">
        <v>2016</v>
      </c>
      <c r="J1550" t="s">
        <v>415</v>
      </c>
      <c r="K1550" t="s">
        <v>127</v>
      </c>
      <c r="L1550" t="s">
        <v>1828</v>
      </c>
      <c r="M1550" t="s">
        <v>1837</v>
      </c>
      <c r="N1550">
        <v>1</v>
      </c>
      <c r="O1550">
        <v>2020</v>
      </c>
      <c r="P1550">
        <v>1255.939846935127</v>
      </c>
      <c r="Q1550">
        <v>1.9035395180907011</v>
      </c>
      <c r="R1550" t="s">
        <v>391</v>
      </c>
      <c r="S1550">
        <v>659.79184303715783</v>
      </c>
      <c r="T1550">
        <v>520.54999999999995</v>
      </c>
      <c r="U1550" t="s">
        <v>392</v>
      </c>
      <c r="V1550">
        <v>1.4540502793296091</v>
      </c>
      <c r="W1550">
        <v>11.625999787885601</v>
      </c>
      <c r="X1550">
        <v>21.895260974855479</v>
      </c>
      <c r="Y1550">
        <v>17</v>
      </c>
      <c r="Z1550">
        <v>0.65</v>
      </c>
      <c r="AA1550">
        <v>1</v>
      </c>
    </row>
    <row r="1551" spans="1:27" x14ac:dyDescent="0.25">
      <c r="A1551" t="s">
        <v>98</v>
      </c>
      <c r="B1551" t="s">
        <v>99</v>
      </c>
      <c r="C1551" t="s">
        <v>100</v>
      </c>
      <c r="D1551" t="s">
        <v>1707</v>
      </c>
      <c r="E1551" t="s">
        <v>386</v>
      </c>
      <c r="G1551" t="s">
        <v>417</v>
      </c>
      <c r="H1551" t="s">
        <v>125</v>
      </c>
      <c r="I1551">
        <v>2016</v>
      </c>
      <c r="J1551" t="s">
        <v>418</v>
      </c>
      <c r="K1551" t="s">
        <v>127</v>
      </c>
      <c r="L1551" t="s">
        <v>1828</v>
      </c>
      <c r="M1551" t="s">
        <v>1838</v>
      </c>
      <c r="N1551">
        <v>1</v>
      </c>
      <c r="O1551">
        <v>2020</v>
      </c>
      <c r="P1551">
        <v>1365.682163657614</v>
      </c>
      <c r="Q1551">
        <v>1.9035395180907011</v>
      </c>
      <c r="R1551" t="s">
        <v>391</v>
      </c>
      <c r="S1551">
        <v>717.44355747729787</v>
      </c>
      <c r="T1551">
        <v>480</v>
      </c>
      <c r="U1551" t="s">
        <v>392</v>
      </c>
      <c r="V1551">
        <v>1.3407821229050281</v>
      </c>
      <c r="W1551">
        <v>11.625999787885601</v>
      </c>
      <c r="X1551">
        <v>21.895260974855479</v>
      </c>
      <c r="Y1551">
        <v>17</v>
      </c>
      <c r="Z1551">
        <v>0.65</v>
      </c>
      <c r="AA1551">
        <v>1</v>
      </c>
    </row>
    <row r="1552" spans="1:27" x14ac:dyDescent="0.25">
      <c r="A1552" t="s">
        <v>98</v>
      </c>
      <c r="B1552" t="s">
        <v>99</v>
      </c>
      <c r="C1552" t="s">
        <v>100</v>
      </c>
      <c r="D1552" t="s">
        <v>1707</v>
      </c>
      <c r="E1552" t="s">
        <v>386</v>
      </c>
      <c r="G1552" t="s">
        <v>420</v>
      </c>
      <c r="H1552" t="s">
        <v>125</v>
      </c>
      <c r="I1552">
        <v>2016</v>
      </c>
      <c r="J1552" t="s">
        <v>421</v>
      </c>
      <c r="K1552" t="s">
        <v>127</v>
      </c>
      <c r="L1552" t="s">
        <v>1828</v>
      </c>
      <c r="M1552" t="s">
        <v>1839</v>
      </c>
      <c r="N1552">
        <v>1</v>
      </c>
      <c r="O1552">
        <v>2020</v>
      </c>
      <c r="P1552">
        <v>1414.456526645386</v>
      </c>
      <c r="Q1552">
        <v>1.9035395180907011</v>
      </c>
      <c r="R1552" t="s">
        <v>391</v>
      </c>
      <c r="S1552">
        <v>743.0665416729156</v>
      </c>
      <c r="T1552">
        <v>469</v>
      </c>
      <c r="U1552" t="s">
        <v>392</v>
      </c>
      <c r="V1552">
        <v>1.310055865921788</v>
      </c>
      <c r="W1552">
        <v>11.625999787885601</v>
      </c>
      <c r="X1552">
        <v>21.895260974855479</v>
      </c>
      <c r="Y1552">
        <v>17</v>
      </c>
      <c r="Z1552">
        <v>0.65</v>
      </c>
      <c r="AA1552">
        <v>1</v>
      </c>
    </row>
    <row r="1553" spans="1:27" x14ac:dyDescent="0.25">
      <c r="A1553" t="s">
        <v>98</v>
      </c>
      <c r="B1553" t="s">
        <v>99</v>
      </c>
      <c r="C1553" t="s">
        <v>100</v>
      </c>
      <c r="D1553" t="s">
        <v>1707</v>
      </c>
      <c r="E1553" t="s">
        <v>386</v>
      </c>
      <c r="G1553" t="s">
        <v>423</v>
      </c>
      <c r="H1553" t="s">
        <v>125</v>
      </c>
      <c r="I1553">
        <v>2016</v>
      </c>
      <c r="J1553" t="s">
        <v>424</v>
      </c>
      <c r="K1553" t="s">
        <v>127</v>
      </c>
      <c r="L1553" t="s">
        <v>1828</v>
      </c>
      <c r="M1553" t="s">
        <v>1840</v>
      </c>
      <c r="N1553">
        <v>1</v>
      </c>
      <c r="O1553">
        <v>2020</v>
      </c>
      <c r="P1553">
        <v>1414.456526645386</v>
      </c>
      <c r="Q1553">
        <v>1.9035395180907011</v>
      </c>
      <c r="R1553" t="s">
        <v>391</v>
      </c>
      <c r="S1553">
        <v>743.0665416729156</v>
      </c>
      <c r="T1553">
        <v>469</v>
      </c>
      <c r="U1553" t="s">
        <v>392</v>
      </c>
      <c r="V1553">
        <v>1.310055865921788</v>
      </c>
      <c r="W1553">
        <v>11.625999787885601</v>
      </c>
      <c r="X1553">
        <v>21.895260974855479</v>
      </c>
      <c r="Y1553">
        <v>17</v>
      </c>
      <c r="Z1553">
        <v>0.65</v>
      </c>
      <c r="AA1553">
        <v>1</v>
      </c>
    </row>
    <row r="1554" spans="1:27" x14ac:dyDescent="0.25">
      <c r="A1554" t="s">
        <v>98</v>
      </c>
      <c r="B1554" t="s">
        <v>99</v>
      </c>
      <c r="C1554" t="s">
        <v>100</v>
      </c>
      <c r="D1554" t="s">
        <v>1707</v>
      </c>
      <c r="E1554" t="s">
        <v>426</v>
      </c>
      <c r="G1554" t="s">
        <v>427</v>
      </c>
      <c r="H1554" t="s">
        <v>125</v>
      </c>
      <c r="I1554">
        <v>2016</v>
      </c>
      <c r="J1554" t="s">
        <v>428</v>
      </c>
      <c r="K1554" t="s">
        <v>127</v>
      </c>
      <c r="L1554" t="s">
        <v>1841</v>
      </c>
      <c r="M1554" t="s">
        <v>1842</v>
      </c>
      <c r="N1554">
        <v>1</v>
      </c>
      <c r="O1554">
        <v>2020</v>
      </c>
      <c r="P1554">
        <v>609.67953734714899</v>
      </c>
      <c r="Q1554">
        <v>0.20576820652852471</v>
      </c>
      <c r="R1554" t="s">
        <v>391</v>
      </c>
      <c r="S1554">
        <v>2962.9433411163641</v>
      </c>
      <c r="T1554">
        <v>300.25599999999997</v>
      </c>
      <c r="U1554" t="s">
        <v>392</v>
      </c>
      <c r="V1554">
        <v>1.0918399999999999</v>
      </c>
      <c r="W1554">
        <v>16.5973520403479</v>
      </c>
      <c r="X1554">
        <v>27.331519839424129</v>
      </c>
      <c r="Y1554">
        <v>22</v>
      </c>
      <c r="Z1554">
        <v>0.65</v>
      </c>
      <c r="AA1554">
        <v>1</v>
      </c>
    </row>
    <row r="1555" spans="1:27" x14ac:dyDescent="0.25">
      <c r="A1555" t="s">
        <v>98</v>
      </c>
      <c r="B1555" t="s">
        <v>99</v>
      </c>
      <c r="C1555" t="s">
        <v>100</v>
      </c>
      <c r="D1555" t="s">
        <v>1707</v>
      </c>
      <c r="E1555" t="s">
        <v>426</v>
      </c>
      <c r="G1555" t="s">
        <v>431</v>
      </c>
      <c r="H1555" t="s">
        <v>125</v>
      </c>
      <c r="I1555">
        <v>2016</v>
      </c>
      <c r="J1555" t="s">
        <v>432</v>
      </c>
      <c r="K1555" t="s">
        <v>127</v>
      </c>
      <c r="L1555" t="s">
        <v>1841</v>
      </c>
      <c r="M1555" t="s">
        <v>1843</v>
      </c>
      <c r="N1555">
        <v>1</v>
      </c>
      <c r="O1555">
        <v>2020</v>
      </c>
      <c r="P1555">
        <v>609.67953734714899</v>
      </c>
      <c r="Q1555">
        <v>0.20576820652852471</v>
      </c>
      <c r="R1555" t="s">
        <v>391</v>
      </c>
      <c r="S1555">
        <v>2962.9433411163641</v>
      </c>
      <c r="T1555">
        <v>297</v>
      </c>
      <c r="U1555" t="s">
        <v>392</v>
      </c>
      <c r="V1555">
        <v>1.08</v>
      </c>
      <c r="W1555">
        <v>16.5973520403479</v>
      </c>
      <c r="X1555">
        <v>27.331519839424129</v>
      </c>
      <c r="Y1555">
        <v>22</v>
      </c>
      <c r="Z1555">
        <v>0.65</v>
      </c>
      <c r="AA1555">
        <v>1</v>
      </c>
    </row>
    <row r="1556" spans="1:27" x14ac:dyDescent="0.25">
      <c r="A1556" t="s">
        <v>98</v>
      </c>
      <c r="B1556" t="s">
        <v>99</v>
      </c>
      <c r="C1556" t="s">
        <v>100</v>
      </c>
      <c r="D1556" t="s">
        <v>1707</v>
      </c>
      <c r="E1556" t="s">
        <v>426</v>
      </c>
      <c r="G1556" t="s">
        <v>434</v>
      </c>
      <c r="H1556" t="s">
        <v>125</v>
      </c>
      <c r="I1556">
        <v>2016</v>
      </c>
      <c r="J1556" t="s">
        <v>435</v>
      </c>
      <c r="K1556" t="s">
        <v>127</v>
      </c>
      <c r="L1556" t="s">
        <v>1841</v>
      </c>
      <c r="M1556" t="s">
        <v>1844</v>
      </c>
      <c r="N1556">
        <v>1</v>
      </c>
      <c r="O1556">
        <v>2020</v>
      </c>
      <c r="P1556">
        <v>670.6474910818639</v>
      </c>
      <c r="Q1556">
        <v>0.20576820652852471</v>
      </c>
      <c r="R1556" t="s">
        <v>391</v>
      </c>
      <c r="S1556">
        <v>3259.2376752280011</v>
      </c>
      <c r="T1556">
        <v>277</v>
      </c>
      <c r="U1556" t="s">
        <v>392</v>
      </c>
      <c r="V1556">
        <v>1.0072727272727271</v>
      </c>
      <c r="W1556">
        <v>16.5973520403479</v>
      </c>
      <c r="X1556">
        <v>27.331519839424129</v>
      </c>
      <c r="Y1556">
        <v>22</v>
      </c>
      <c r="Z1556">
        <v>0.65</v>
      </c>
      <c r="AA1556">
        <v>1</v>
      </c>
    </row>
    <row r="1557" spans="1:27" x14ac:dyDescent="0.25">
      <c r="A1557" t="s">
        <v>98</v>
      </c>
      <c r="B1557" t="s">
        <v>99</v>
      </c>
      <c r="C1557" t="s">
        <v>100</v>
      </c>
      <c r="D1557" t="s">
        <v>1707</v>
      </c>
      <c r="E1557" t="s">
        <v>426</v>
      </c>
      <c r="G1557" t="s">
        <v>437</v>
      </c>
      <c r="H1557" t="s">
        <v>125</v>
      </c>
      <c r="I1557">
        <v>2016</v>
      </c>
      <c r="J1557" t="s">
        <v>438</v>
      </c>
      <c r="K1557" t="s">
        <v>127</v>
      </c>
      <c r="L1557" t="s">
        <v>1841</v>
      </c>
      <c r="M1557" t="s">
        <v>1845</v>
      </c>
      <c r="N1557">
        <v>1</v>
      </c>
      <c r="O1557">
        <v>2020</v>
      </c>
      <c r="P1557">
        <v>658.45390033492083</v>
      </c>
      <c r="Q1557">
        <v>0.20576820652852471</v>
      </c>
      <c r="R1557" t="s">
        <v>391</v>
      </c>
      <c r="S1557">
        <v>3199.9788084056731</v>
      </c>
      <c r="T1557">
        <v>275</v>
      </c>
      <c r="U1557" t="s">
        <v>392</v>
      </c>
      <c r="V1557">
        <v>1</v>
      </c>
      <c r="W1557">
        <v>16.5973520403479</v>
      </c>
      <c r="X1557">
        <v>27.331519839424129</v>
      </c>
      <c r="Y1557">
        <v>22</v>
      </c>
      <c r="Z1557">
        <v>0.65</v>
      </c>
      <c r="AA1557">
        <v>1</v>
      </c>
    </row>
    <row r="1558" spans="1:27" x14ac:dyDescent="0.25">
      <c r="A1558" t="s">
        <v>98</v>
      </c>
      <c r="B1558" t="s">
        <v>99</v>
      </c>
      <c r="C1558" t="s">
        <v>100</v>
      </c>
      <c r="D1558" t="s">
        <v>1707</v>
      </c>
      <c r="E1558" t="s">
        <v>426</v>
      </c>
      <c r="G1558" t="s">
        <v>440</v>
      </c>
      <c r="H1558" t="s">
        <v>125</v>
      </c>
      <c r="I1558">
        <v>2016</v>
      </c>
      <c r="J1558" t="s">
        <v>441</v>
      </c>
      <c r="K1558" t="s">
        <v>127</v>
      </c>
      <c r="L1558" t="s">
        <v>1841</v>
      </c>
      <c r="M1558" t="s">
        <v>1846</v>
      </c>
      <c r="N1558">
        <v>1</v>
      </c>
      <c r="O1558">
        <v>2020</v>
      </c>
      <c r="P1558">
        <v>841.35776153906556</v>
      </c>
      <c r="Q1558">
        <v>0.20576820652852471</v>
      </c>
      <c r="R1558" t="s">
        <v>391</v>
      </c>
      <c r="S1558">
        <v>4088.8618107405819</v>
      </c>
      <c r="T1558">
        <v>477.41800000000001</v>
      </c>
      <c r="U1558" t="s">
        <v>392</v>
      </c>
      <c r="V1558">
        <v>1.736065454545455</v>
      </c>
      <c r="W1558">
        <v>16.5973520403479</v>
      </c>
      <c r="X1558">
        <v>27.331519839424129</v>
      </c>
      <c r="Y1558">
        <v>22</v>
      </c>
      <c r="Z1558">
        <v>0.65</v>
      </c>
      <c r="AA1558">
        <v>1</v>
      </c>
    </row>
    <row r="1559" spans="1:27" x14ac:dyDescent="0.25">
      <c r="A1559" t="s">
        <v>98</v>
      </c>
      <c r="B1559" t="s">
        <v>99</v>
      </c>
      <c r="C1559" t="s">
        <v>100</v>
      </c>
      <c r="D1559" t="s">
        <v>1707</v>
      </c>
      <c r="E1559" t="s">
        <v>426</v>
      </c>
      <c r="G1559" t="s">
        <v>443</v>
      </c>
      <c r="H1559" t="s">
        <v>125</v>
      </c>
      <c r="I1559">
        <v>2016</v>
      </c>
      <c r="J1559" t="s">
        <v>444</v>
      </c>
      <c r="K1559" t="s">
        <v>127</v>
      </c>
      <c r="L1559" t="s">
        <v>1841</v>
      </c>
      <c r="M1559" t="s">
        <v>1847</v>
      </c>
      <c r="N1559">
        <v>1</v>
      </c>
      <c r="O1559">
        <v>2020</v>
      </c>
      <c r="P1559">
        <v>914.51930602072343</v>
      </c>
      <c r="Q1559">
        <v>0.20576820652852471</v>
      </c>
      <c r="R1559" t="s">
        <v>391</v>
      </c>
      <c r="S1559">
        <v>4444.4150116745459</v>
      </c>
      <c r="T1559">
        <v>446</v>
      </c>
      <c r="U1559" t="s">
        <v>392</v>
      </c>
      <c r="V1559">
        <v>1.621818181818182</v>
      </c>
      <c r="W1559">
        <v>16.5973520403479</v>
      </c>
      <c r="X1559">
        <v>27.331519839424129</v>
      </c>
      <c r="Y1559">
        <v>22</v>
      </c>
      <c r="Z1559">
        <v>0.65</v>
      </c>
      <c r="AA1559">
        <v>1</v>
      </c>
    </row>
    <row r="1560" spans="1:27" x14ac:dyDescent="0.25">
      <c r="A1560" t="s">
        <v>98</v>
      </c>
      <c r="B1560" t="s">
        <v>99</v>
      </c>
      <c r="C1560" t="s">
        <v>100</v>
      </c>
      <c r="D1560" t="s">
        <v>1707</v>
      </c>
      <c r="E1560" t="s">
        <v>426</v>
      </c>
      <c r="G1560" t="s">
        <v>446</v>
      </c>
      <c r="H1560" t="s">
        <v>125</v>
      </c>
      <c r="I1560">
        <v>2016</v>
      </c>
      <c r="J1560" t="s">
        <v>447</v>
      </c>
      <c r="K1560" t="s">
        <v>127</v>
      </c>
      <c r="L1560" t="s">
        <v>1841</v>
      </c>
      <c r="M1560" t="s">
        <v>1848</v>
      </c>
      <c r="N1560">
        <v>1</v>
      </c>
      <c r="O1560">
        <v>2020</v>
      </c>
      <c r="P1560">
        <v>963.29366900849539</v>
      </c>
      <c r="Q1560">
        <v>0.20576820652852471</v>
      </c>
      <c r="R1560" t="s">
        <v>391</v>
      </c>
      <c r="S1560">
        <v>4681.4504789638559</v>
      </c>
      <c r="T1560">
        <v>429.67619999999999</v>
      </c>
      <c r="U1560" t="s">
        <v>392</v>
      </c>
      <c r="V1560">
        <v>1.5624589090909089</v>
      </c>
      <c r="W1560">
        <v>16.5973520403479</v>
      </c>
      <c r="X1560">
        <v>27.331519839424129</v>
      </c>
      <c r="Y1560">
        <v>22</v>
      </c>
      <c r="Z1560">
        <v>0.65</v>
      </c>
      <c r="AA1560">
        <v>1</v>
      </c>
    </row>
    <row r="1561" spans="1:27" x14ac:dyDescent="0.25">
      <c r="A1561" t="s">
        <v>98</v>
      </c>
      <c r="B1561" t="s">
        <v>99</v>
      </c>
      <c r="C1561" t="s">
        <v>100</v>
      </c>
      <c r="D1561" t="s">
        <v>1707</v>
      </c>
      <c r="E1561" t="s">
        <v>426</v>
      </c>
      <c r="G1561" t="s">
        <v>449</v>
      </c>
      <c r="H1561" t="s">
        <v>125</v>
      </c>
      <c r="I1561">
        <v>2016</v>
      </c>
      <c r="J1561" t="s">
        <v>450</v>
      </c>
      <c r="K1561" t="s">
        <v>127</v>
      </c>
      <c r="L1561" t="s">
        <v>1841</v>
      </c>
      <c r="M1561" t="s">
        <v>1849</v>
      </c>
      <c r="N1561">
        <v>1</v>
      </c>
      <c r="O1561">
        <v>2020</v>
      </c>
      <c r="P1561">
        <v>987.6808505023813</v>
      </c>
      <c r="Q1561">
        <v>0.20576820652852471</v>
      </c>
      <c r="R1561" t="s">
        <v>391</v>
      </c>
      <c r="S1561">
        <v>4799.9682126085099</v>
      </c>
      <c r="T1561">
        <v>419</v>
      </c>
      <c r="U1561" t="s">
        <v>392</v>
      </c>
      <c r="V1561">
        <v>1.5236363636363639</v>
      </c>
      <c r="W1561">
        <v>16.5973520403479</v>
      </c>
      <c r="X1561">
        <v>27.331519839424129</v>
      </c>
      <c r="Y1561">
        <v>22</v>
      </c>
      <c r="Z1561">
        <v>0.65</v>
      </c>
      <c r="AA1561">
        <v>1</v>
      </c>
    </row>
    <row r="1562" spans="1:27" x14ac:dyDescent="0.25">
      <c r="A1562" t="s">
        <v>98</v>
      </c>
      <c r="B1562" t="s">
        <v>99</v>
      </c>
      <c r="C1562" t="s">
        <v>100</v>
      </c>
      <c r="D1562" t="s">
        <v>1707</v>
      </c>
      <c r="E1562" t="s">
        <v>452</v>
      </c>
      <c r="G1562" t="s">
        <v>111</v>
      </c>
      <c r="H1562" t="s">
        <v>104</v>
      </c>
      <c r="I1562">
        <v>2016</v>
      </c>
      <c r="J1562" t="s">
        <v>453</v>
      </c>
      <c r="K1562" t="s">
        <v>106</v>
      </c>
      <c r="L1562" t="s">
        <v>1850</v>
      </c>
      <c r="M1562" t="s">
        <v>1851</v>
      </c>
      <c r="N1562">
        <v>1</v>
      </c>
      <c r="O1562">
        <v>2020</v>
      </c>
      <c r="P1562">
        <v>451.16285763689018</v>
      </c>
      <c r="Q1562">
        <v>14.300406602334011</v>
      </c>
      <c r="R1562" t="s">
        <v>391</v>
      </c>
      <c r="S1562">
        <v>31.548953129993841</v>
      </c>
      <c r="T1562">
        <v>0.45</v>
      </c>
      <c r="U1562" t="s">
        <v>456</v>
      </c>
      <c r="V1562">
        <v>0.45</v>
      </c>
      <c r="W1562">
        <v>9</v>
      </c>
      <c r="X1562">
        <v>15</v>
      </c>
      <c r="Y1562">
        <v>13</v>
      </c>
      <c r="Z1562">
        <v>9.0000000000000011E-2</v>
      </c>
      <c r="AA1562">
        <v>1</v>
      </c>
    </row>
    <row r="1563" spans="1:27" x14ac:dyDescent="0.25">
      <c r="A1563" t="s">
        <v>98</v>
      </c>
      <c r="B1563" t="s">
        <v>99</v>
      </c>
      <c r="C1563" t="s">
        <v>100</v>
      </c>
      <c r="D1563" t="s">
        <v>1707</v>
      </c>
      <c r="E1563" t="s">
        <v>452</v>
      </c>
      <c r="G1563" t="s">
        <v>119</v>
      </c>
      <c r="H1563" t="s">
        <v>104</v>
      </c>
      <c r="I1563">
        <v>2016</v>
      </c>
      <c r="J1563" t="s">
        <v>457</v>
      </c>
      <c r="K1563" t="s">
        <v>106</v>
      </c>
      <c r="L1563" t="s">
        <v>1850</v>
      </c>
      <c r="M1563" t="s">
        <v>1852</v>
      </c>
      <c r="N1563">
        <v>1</v>
      </c>
      <c r="O1563">
        <v>2020</v>
      </c>
      <c r="P1563">
        <v>521.3437466026287</v>
      </c>
      <c r="Q1563">
        <v>14.300406602334011</v>
      </c>
      <c r="R1563" t="s">
        <v>391</v>
      </c>
      <c r="S1563">
        <v>36.456568061326223</v>
      </c>
      <c r="T1563">
        <v>0.52</v>
      </c>
      <c r="U1563" t="s">
        <v>456</v>
      </c>
      <c r="V1563">
        <v>0.52</v>
      </c>
      <c r="W1563">
        <v>9</v>
      </c>
      <c r="X1563">
        <v>15</v>
      </c>
      <c r="Y1563">
        <v>13</v>
      </c>
      <c r="Z1563">
        <v>9.0000000000000011E-2</v>
      </c>
      <c r="AA1563">
        <v>1</v>
      </c>
    </row>
    <row r="1564" spans="1:27" x14ac:dyDescent="0.25">
      <c r="A1564" t="s">
        <v>98</v>
      </c>
      <c r="B1564" t="s">
        <v>99</v>
      </c>
      <c r="C1564" t="s">
        <v>100</v>
      </c>
      <c r="D1564" t="s">
        <v>1707</v>
      </c>
      <c r="E1564" t="s">
        <v>452</v>
      </c>
      <c r="G1564" t="s">
        <v>111</v>
      </c>
      <c r="H1564" t="s">
        <v>156</v>
      </c>
      <c r="I1564">
        <v>2016</v>
      </c>
      <c r="J1564" t="s">
        <v>459</v>
      </c>
      <c r="K1564" t="s">
        <v>158</v>
      </c>
      <c r="L1564" t="s">
        <v>1850</v>
      </c>
      <c r="M1564" t="s">
        <v>1853</v>
      </c>
      <c r="N1564">
        <v>1</v>
      </c>
      <c r="O1564">
        <v>2020</v>
      </c>
      <c r="P1564">
        <v>451.16285763689018</v>
      </c>
      <c r="Q1564">
        <v>14.300406602334011</v>
      </c>
      <c r="R1564" t="s">
        <v>391</v>
      </c>
      <c r="S1564">
        <v>31.548953129993841</v>
      </c>
      <c r="T1564">
        <v>0.45</v>
      </c>
      <c r="U1564" t="s">
        <v>456</v>
      </c>
      <c r="V1564">
        <v>0.45</v>
      </c>
      <c r="W1564">
        <v>9</v>
      </c>
      <c r="X1564">
        <v>15</v>
      </c>
      <c r="Y1564">
        <v>13</v>
      </c>
      <c r="Z1564">
        <v>9.0000000000000011E-2</v>
      </c>
      <c r="AA1564">
        <v>1</v>
      </c>
    </row>
    <row r="1565" spans="1:27" x14ac:dyDescent="0.25">
      <c r="A1565" t="s">
        <v>98</v>
      </c>
      <c r="B1565" t="s">
        <v>99</v>
      </c>
      <c r="C1565" t="s">
        <v>100</v>
      </c>
      <c r="D1565" t="s">
        <v>1707</v>
      </c>
      <c r="E1565" t="s">
        <v>452</v>
      </c>
      <c r="G1565" t="s">
        <v>119</v>
      </c>
      <c r="H1565" t="s">
        <v>156</v>
      </c>
      <c r="I1565">
        <v>2016</v>
      </c>
      <c r="J1565" t="s">
        <v>461</v>
      </c>
      <c r="K1565" t="s">
        <v>158</v>
      </c>
      <c r="L1565" t="s">
        <v>1850</v>
      </c>
      <c r="M1565" t="s">
        <v>1854</v>
      </c>
      <c r="N1565">
        <v>1</v>
      </c>
      <c r="O1565">
        <v>2020</v>
      </c>
      <c r="P1565">
        <v>521.3437466026287</v>
      </c>
      <c r="Q1565">
        <v>14.300406602334011</v>
      </c>
      <c r="R1565" t="s">
        <v>391</v>
      </c>
      <c r="S1565">
        <v>36.456568061326223</v>
      </c>
      <c r="T1565">
        <v>0.52</v>
      </c>
      <c r="U1565" t="s">
        <v>456</v>
      </c>
      <c r="V1565">
        <v>0.52</v>
      </c>
      <c r="W1565">
        <v>9</v>
      </c>
      <c r="X1565">
        <v>15</v>
      </c>
      <c r="Y1565">
        <v>13</v>
      </c>
      <c r="Z1565">
        <v>9.0000000000000011E-2</v>
      </c>
      <c r="AA1565">
        <v>1</v>
      </c>
    </row>
    <row r="1566" spans="1:27" x14ac:dyDescent="0.25">
      <c r="A1566" t="s">
        <v>98</v>
      </c>
      <c r="B1566" t="s">
        <v>99</v>
      </c>
      <c r="C1566" t="s">
        <v>100</v>
      </c>
      <c r="D1566" t="s">
        <v>1707</v>
      </c>
      <c r="E1566" t="s">
        <v>452</v>
      </c>
      <c r="G1566" t="s">
        <v>111</v>
      </c>
      <c r="H1566" t="s">
        <v>125</v>
      </c>
      <c r="I1566">
        <v>2016</v>
      </c>
      <c r="J1566" t="s">
        <v>463</v>
      </c>
      <c r="K1566" t="s">
        <v>127</v>
      </c>
      <c r="L1566" t="s">
        <v>1850</v>
      </c>
      <c r="M1566" t="s">
        <v>1855</v>
      </c>
      <c r="N1566">
        <v>1</v>
      </c>
      <c r="O1566">
        <v>2020</v>
      </c>
      <c r="P1566">
        <v>938.90648751460947</v>
      </c>
      <c r="Q1566">
        <v>14.300406602334011</v>
      </c>
      <c r="R1566" t="s">
        <v>391</v>
      </c>
      <c r="S1566">
        <v>65.655929486743943</v>
      </c>
      <c r="T1566">
        <v>228.0913607809874</v>
      </c>
      <c r="U1566" t="s">
        <v>392</v>
      </c>
      <c r="V1566">
        <v>0.9</v>
      </c>
      <c r="W1566">
        <v>10</v>
      </c>
      <c r="X1566">
        <v>20</v>
      </c>
      <c r="Y1566">
        <v>16</v>
      </c>
      <c r="Z1566">
        <v>9.0000000000000011E-2</v>
      </c>
      <c r="AA1566">
        <v>1</v>
      </c>
    </row>
    <row r="1567" spans="1:27" x14ac:dyDescent="0.25">
      <c r="A1567" t="s">
        <v>98</v>
      </c>
      <c r="B1567" t="s">
        <v>99</v>
      </c>
      <c r="C1567" t="s">
        <v>100</v>
      </c>
      <c r="D1567" t="s">
        <v>1707</v>
      </c>
      <c r="E1567" t="s">
        <v>465</v>
      </c>
      <c r="G1567" t="s">
        <v>466</v>
      </c>
      <c r="H1567" t="s">
        <v>125</v>
      </c>
      <c r="I1567">
        <v>2030</v>
      </c>
      <c r="J1567" t="s">
        <v>467</v>
      </c>
      <c r="K1567" t="s">
        <v>127</v>
      </c>
      <c r="L1567" t="s">
        <v>1856</v>
      </c>
      <c r="M1567" t="s">
        <v>1857</v>
      </c>
      <c r="N1567">
        <v>1</v>
      </c>
      <c r="O1567">
        <v>2030</v>
      </c>
      <c r="P1567">
        <v>1646.1347508373019</v>
      </c>
      <c r="Q1567">
        <v>1.7543545823700351</v>
      </c>
      <c r="R1567" t="s">
        <v>391</v>
      </c>
      <c r="S1567">
        <v>938.31359257685881</v>
      </c>
      <c r="T1567">
        <v>0.28000000000000003</v>
      </c>
      <c r="U1567" t="s">
        <v>470</v>
      </c>
      <c r="V1567">
        <v>2.333333333333333</v>
      </c>
      <c r="W1567">
        <v>6</v>
      </c>
      <c r="X1567">
        <v>17</v>
      </c>
      <c r="Y1567">
        <v>12</v>
      </c>
      <c r="Z1567">
        <v>0.02</v>
      </c>
      <c r="AA1567">
        <v>1</v>
      </c>
    </row>
    <row r="1568" spans="1:27" x14ac:dyDescent="0.25">
      <c r="A1568" t="s">
        <v>98</v>
      </c>
      <c r="B1568" t="s">
        <v>99</v>
      </c>
      <c r="C1568" t="s">
        <v>100</v>
      </c>
      <c r="D1568" t="s">
        <v>1707</v>
      </c>
      <c r="E1568" t="s">
        <v>465</v>
      </c>
      <c r="G1568" t="s">
        <v>471</v>
      </c>
      <c r="H1568" t="s">
        <v>125</v>
      </c>
      <c r="I1568">
        <v>2016</v>
      </c>
      <c r="J1568" t="s">
        <v>472</v>
      </c>
      <c r="K1568" t="s">
        <v>127</v>
      </c>
      <c r="L1568" t="s">
        <v>1856</v>
      </c>
      <c r="M1568" t="s">
        <v>1858</v>
      </c>
      <c r="N1568">
        <v>1</v>
      </c>
      <c r="O1568">
        <v>2020</v>
      </c>
      <c r="P1568">
        <v>792.58339855129361</v>
      </c>
      <c r="Q1568">
        <v>1.7543545823700351</v>
      </c>
      <c r="R1568" t="s">
        <v>391</v>
      </c>
      <c r="S1568">
        <v>451.78061864811718</v>
      </c>
      <c r="T1568">
        <v>0.26</v>
      </c>
      <c r="U1568" t="s">
        <v>470</v>
      </c>
      <c r="V1568">
        <v>2.166666666666667</v>
      </c>
      <c r="W1568">
        <v>6</v>
      </c>
      <c r="X1568">
        <v>17</v>
      </c>
      <c r="Y1568">
        <v>12</v>
      </c>
      <c r="Z1568">
        <v>0.02</v>
      </c>
      <c r="AA1568">
        <v>1</v>
      </c>
    </row>
    <row r="1569" spans="1:27" x14ac:dyDescent="0.25">
      <c r="A1569" t="s">
        <v>98</v>
      </c>
      <c r="B1569" t="s">
        <v>99</v>
      </c>
      <c r="C1569" t="s">
        <v>100</v>
      </c>
      <c r="D1569" t="s">
        <v>1707</v>
      </c>
      <c r="E1569" t="s">
        <v>465</v>
      </c>
      <c r="G1569" t="s">
        <v>474</v>
      </c>
      <c r="H1569" t="s">
        <v>125</v>
      </c>
      <c r="I1569">
        <v>2016</v>
      </c>
      <c r="J1569" t="s">
        <v>475</v>
      </c>
      <c r="K1569" t="s">
        <v>127</v>
      </c>
      <c r="L1569" t="s">
        <v>1856</v>
      </c>
      <c r="M1569" t="s">
        <v>1859</v>
      </c>
      <c r="N1569">
        <v>0</v>
      </c>
      <c r="O1569">
        <v>2020</v>
      </c>
      <c r="P1569">
        <v>792.58339855129361</v>
      </c>
      <c r="Q1569">
        <v>1.7543545823700351</v>
      </c>
      <c r="R1569" t="s">
        <v>391</v>
      </c>
      <c r="S1569">
        <v>451.78061864811718</v>
      </c>
      <c r="T1569">
        <v>0.26</v>
      </c>
      <c r="U1569" t="s">
        <v>470</v>
      </c>
      <c r="V1569">
        <v>2.166666666666667</v>
      </c>
      <c r="W1569">
        <v>6</v>
      </c>
      <c r="X1569">
        <v>17</v>
      </c>
      <c r="Y1569">
        <v>12</v>
      </c>
      <c r="Z1569">
        <v>0.02</v>
      </c>
      <c r="AA1569">
        <v>1</v>
      </c>
    </row>
    <row r="1570" spans="1:27" x14ac:dyDescent="0.25">
      <c r="A1570" t="s">
        <v>98</v>
      </c>
      <c r="B1570" t="s">
        <v>99</v>
      </c>
      <c r="C1570" t="s">
        <v>100</v>
      </c>
      <c r="D1570" t="s">
        <v>1707</v>
      </c>
      <c r="E1570" t="s">
        <v>465</v>
      </c>
      <c r="G1570" t="s">
        <v>474</v>
      </c>
      <c r="H1570" t="s">
        <v>125</v>
      </c>
      <c r="I1570">
        <v>2020</v>
      </c>
      <c r="J1570" t="s">
        <v>477</v>
      </c>
      <c r="K1570" t="s">
        <v>127</v>
      </c>
      <c r="L1570" t="s">
        <v>1856</v>
      </c>
      <c r="M1570" t="s">
        <v>1859</v>
      </c>
      <c r="N1570">
        <v>1</v>
      </c>
      <c r="O1570">
        <v>2020</v>
      </c>
      <c r="P1570">
        <v>914.51930602072343</v>
      </c>
      <c r="Q1570">
        <v>1.7543545823700351</v>
      </c>
      <c r="R1570" t="s">
        <v>391</v>
      </c>
      <c r="S1570">
        <v>521.28532920936607</v>
      </c>
      <c r="T1570">
        <v>0.24</v>
      </c>
      <c r="U1570" t="s">
        <v>470</v>
      </c>
      <c r="V1570">
        <v>2</v>
      </c>
      <c r="W1570">
        <v>6</v>
      </c>
      <c r="X1570">
        <v>17</v>
      </c>
      <c r="Y1570">
        <v>12</v>
      </c>
      <c r="Z1570">
        <v>0.02</v>
      </c>
      <c r="AA1570">
        <v>1</v>
      </c>
    </row>
    <row r="1571" spans="1:27" x14ac:dyDescent="0.25">
      <c r="A1571" t="s">
        <v>98</v>
      </c>
      <c r="B1571" t="s">
        <v>99</v>
      </c>
      <c r="C1571" t="s">
        <v>100</v>
      </c>
      <c r="D1571" t="s">
        <v>1707</v>
      </c>
      <c r="E1571" t="s">
        <v>465</v>
      </c>
      <c r="G1571" t="s">
        <v>478</v>
      </c>
      <c r="H1571" t="s">
        <v>125</v>
      </c>
      <c r="I1571">
        <v>2016</v>
      </c>
      <c r="J1571" t="s">
        <v>479</v>
      </c>
      <c r="K1571" t="s">
        <v>127</v>
      </c>
      <c r="L1571" t="s">
        <v>1856</v>
      </c>
      <c r="M1571" t="s">
        <v>1860</v>
      </c>
      <c r="N1571">
        <v>1</v>
      </c>
      <c r="O1571">
        <v>2020</v>
      </c>
      <c r="P1571">
        <v>1158.3911209595831</v>
      </c>
      <c r="Q1571">
        <v>1.7543545823700351</v>
      </c>
      <c r="R1571" t="s">
        <v>391</v>
      </c>
      <c r="S1571">
        <v>660.29475033186361</v>
      </c>
      <c r="T1571">
        <v>0.15</v>
      </c>
      <c r="U1571" t="s">
        <v>470</v>
      </c>
      <c r="V1571">
        <v>1.25</v>
      </c>
      <c r="W1571">
        <v>6</v>
      </c>
      <c r="X1571">
        <v>17</v>
      </c>
      <c r="Y1571">
        <v>12</v>
      </c>
      <c r="Z1571">
        <v>0.02</v>
      </c>
      <c r="AA1571">
        <v>1</v>
      </c>
    </row>
    <row r="1572" spans="1:27" x14ac:dyDescent="0.25">
      <c r="A1572" t="s">
        <v>98</v>
      </c>
      <c r="B1572" t="s">
        <v>99</v>
      </c>
      <c r="C1572" t="s">
        <v>100</v>
      </c>
      <c r="D1572" t="s">
        <v>1707</v>
      </c>
      <c r="E1572" t="s">
        <v>465</v>
      </c>
      <c r="G1572" t="s">
        <v>481</v>
      </c>
      <c r="H1572" t="s">
        <v>125</v>
      </c>
      <c r="I1572">
        <v>2016</v>
      </c>
      <c r="J1572" t="s">
        <v>482</v>
      </c>
      <c r="K1572" t="s">
        <v>127</v>
      </c>
      <c r="L1572" t="s">
        <v>1856</v>
      </c>
      <c r="M1572" t="s">
        <v>1861</v>
      </c>
      <c r="N1572">
        <v>1</v>
      </c>
      <c r="O1572">
        <v>2020</v>
      </c>
      <c r="P1572">
        <v>1371.7789590310849</v>
      </c>
      <c r="Q1572">
        <v>1.7543545823700351</v>
      </c>
      <c r="R1572" t="s">
        <v>391</v>
      </c>
      <c r="S1572">
        <v>781.92799381404905</v>
      </c>
      <c r="T1572">
        <v>0.12</v>
      </c>
      <c r="U1572" t="s">
        <v>470</v>
      </c>
      <c r="V1572">
        <v>1</v>
      </c>
      <c r="W1572">
        <v>6</v>
      </c>
      <c r="X1572">
        <v>17</v>
      </c>
      <c r="Y1572">
        <v>12</v>
      </c>
      <c r="Z1572">
        <v>0.02</v>
      </c>
      <c r="AA1572">
        <v>1</v>
      </c>
    </row>
    <row r="1573" spans="1:27" x14ac:dyDescent="0.25">
      <c r="A1573" t="s">
        <v>98</v>
      </c>
      <c r="B1573" t="s">
        <v>99</v>
      </c>
      <c r="C1573" t="s">
        <v>100</v>
      </c>
      <c r="D1573" t="s">
        <v>1707</v>
      </c>
      <c r="E1573" t="s">
        <v>465</v>
      </c>
      <c r="G1573" t="s">
        <v>484</v>
      </c>
      <c r="H1573" t="s">
        <v>125</v>
      </c>
      <c r="I1573">
        <v>2016</v>
      </c>
      <c r="J1573" t="s">
        <v>485</v>
      </c>
      <c r="K1573" t="s">
        <v>127</v>
      </c>
      <c r="L1573" t="s">
        <v>1856</v>
      </c>
      <c r="M1573" t="s">
        <v>1862</v>
      </c>
      <c r="N1573">
        <v>1</v>
      </c>
      <c r="O1573">
        <v>2020</v>
      </c>
      <c r="P1573">
        <v>1158.3911209595831</v>
      </c>
      <c r="Q1573">
        <v>1.7543545823700351</v>
      </c>
      <c r="R1573" t="s">
        <v>391</v>
      </c>
      <c r="S1573">
        <v>660.29475033186361</v>
      </c>
      <c r="T1573">
        <v>0.15</v>
      </c>
      <c r="U1573" t="s">
        <v>470</v>
      </c>
      <c r="V1573">
        <v>1.25</v>
      </c>
      <c r="W1573">
        <v>6</v>
      </c>
      <c r="X1573">
        <v>17</v>
      </c>
      <c r="Y1573">
        <v>12</v>
      </c>
      <c r="Z1573">
        <v>0.02</v>
      </c>
      <c r="AA1573">
        <v>1</v>
      </c>
    </row>
    <row r="1574" spans="1:27" x14ac:dyDescent="0.25">
      <c r="A1574" t="s">
        <v>98</v>
      </c>
      <c r="B1574" t="s">
        <v>99</v>
      </c>
      <c r="C1574" t="s">
        <v>100</v>
      </c>
      <c r="D1574" t="s">
        <v>1707</v>
      </c>
      <c r="E1574" t="s">
        <v>465</v>
      </c>
      <c r="G1574" t="s">
        <v>487</v>
      </c>
      <c r="H1574" t="s">
        <v>125</v>
      </c>
      <c r="I1574">
        <v>2016</v>
      </c>
      <c r="J1574" t="s">
        <v>488</v>
      </c>
      <c r="K1574" t="s">
        <v>127</v>
      </c>
      <c r="L1574" t="s">
        <v>1856</v>
      </c>
      <c r="M1574" t="s">
        <v>1863</v>
      </c>
      <c r="N1574">
        <v>1</v>
      </c>
      <c r="O1574">
        <v>2020</v>
      </c>
      <c r="P1574">
        <v>1219.359074694298</v>
      </c>
      <c r="Q1574">
        <v>1.7543545823700351</v>
      </c>
      <c r="R1574" t="s">
        <v>391</v>
      </c>
      <c r="S1574">
        <v>695.04710561248805</v>
      </c>
      <c r="T1574">
        <v>0.21</v>
      </c>
      <c r="U1574" t="s">
        <v>470</v>
      </c>
      <c r="V1574">
        <v>1.75</v>
      </c>
      <c r="W1574">
        <v>6</v>
      </c>
      <c r="X1574">
        <v>17</v>
      </c>
      <c r="Y1574">
        <v>12</v>
      </c>
      <c r="Z1574">
        <v>0.02</v>
      </c>
      <c r="AA1574">
        <v>1</v>
      </c>
    </row>
    <row r="1575" spans="1:27" x14ac:dyDescent="0.25">
      <c r="A1575" t="s">
        <v>98</v>
      </c>
      <c r="B1575" t="s">
        <v>99</v>
      </c>
      <c r="C1575" t="s">
        <v>100</v>
      </c>
      <c r="D1575" t="s">
        <v>1707</v>
      </c>
      <c r="E1575" t="s">
        <v>465</v>
      </c>
      <c r="G1575" t="s">
        <v>487</v>
      </c>
      <c r="H1575" t="s">
        <v>125</v>
      </c>
      <c r="I1575">
        <v>2030</v>
      </c>
      <c r="J1575" t="s">
        <v>490</v>
      </c>
      <c r="K1575" t="s">
        <v>127</v>
      </c>
      <c r="L1575" t="s">
        <v>1856</v>
      </c>
      <c r="M1575" t="s">
        <v>1864</v>
      </c>
      <c r="N1575">
        <v>1</v>
      </c>
      <c r="O1575">
        <v>2030</v>
      </c>
      <c r="P1575">
        <v>1280.3270284290129</v>
      </c>
      <c r="Q1575">
        <v>1.7543545823700351</v>
      </c>
      <c r="R1575" t="s">
        <v>391</v>
      </c>
      <c r="S1575">
        <v>729.7994608931125</v>
      </c>
      <c r="T1575">
        <v>0.17</v>
      </c>
      <c r="U1575" t="s">
        <v>470</v>
      </c>
      <c r="V1575">
        <v>1.416666666666667</v>
      </c>
      <c r="W1575">
        <v>6</v>
      </c>
      <c r="X1575">
        <v>17</v>
      </c>
      <c r="Y1575">
        <v>12</v>
      </c>
      <c r="Z1575">
        <v>0.02</v>
      </c>
      <c r="AA1575">
        <v>1</v>
      </c>
    </row>
    <row r="1576" spans="1:27" x14ac:dyDescent="0.25">
      <c r="A1576" t="s">
        <v>98</v>
      </c>
      <c r="B1576" t="s">
        <v>99</v>
      </c>
      <c r="C1576" t="s">
        <v>100</v>
      </c>
      <c r="D1576" t="s">
        <v>1707</v>
      </c>
      <c r="E1576" t="s">
        <v>465</v>
      </c>
      <c r="G1576" t="s">
        <v>492</v>
      </c>
      <c r="H1576" t="s">
        <v>125</v>
      </c>
      <c r="I1576">
        <v>2016</v>
      </c>
      <c r="J1576" t="s">
        <v>493</v>
      </c>
      <c r="K1576" t="s">
        <v>127</v>
      </c>
      <c r="L1576" t="s">
        <v>1856</v>
      </c>
      <c r="M1576" t="s">
        <v>1865</v>
      </c>
      <c r="N1576">
        <v>1</v>
      </c>
      <c r="O1576">
        <v>2020</v>
      </c>
      <c r="P1576">
        <v>1158.3911209595831</v>
      </c>
      <c r="Q1576">
        <v>1.7543545823700351</v>
      </c>
      <c r="R1576" t="s">
        <v>391</v>
      </c>
      <c r="S1576">
        <v>660.29475033186361</v>
      </c>
      <c r="T1576">
        <v>0.28999999999999998</v>
      </c>
      <c r="U1576" t="s">
        <v>470</v>
      </c>
      <c r="V1576">
        <v>2.416666666666667</v>
      </c>
      <c r="W1576">
        <v>6</v>
      </c>
      <c r="X1576">
        <v>17</v>
      </c>
      <c r="Y1576">
        <v>12</v>
      </c>
      <c r="Z1576">
        <v>0.02</v>
      </c>
      <c r="AA1576">
        <v>1</v>
      </c>
    </row>
    <row r="1577" spans="1:27" x14ac:dyDescent="0.25">
      <c r="A1577" t="s">
        <v>98</v>
      </c>
      <c r="B1577" t="s">
        <v>99</v>
      </c>
      <c r="C1577" t="s">
        <v>100</v>
      </c>
      <c r="D1577" t="s">
        <v>1707</v>
      </c>
      <c r="E1577" t="s">
        <v>465</v>
      </c>
      <c r="G1577" t="s">
        <v>466</v>
      </c>
      <c r="H1577" t="s">
        <v>125</v>
      </c>
      <c r="I1577">
        <v>2016</v>
      </c>
      <c r="J1577" t="s">
        <v>495</v>
      </c>
      <c r="K1577" t="s">
        <v>127</v>
      </c>
      <c r="L1577" t="s">
        <v>1856</v>
      </c>
      <c r="M1577" t="s">
        <v>1866</v>
      </c>
      <c r="N1577">
        <v>0</v>
      </c>
      <c r="O1577">
        <v>2020</v>
      </c>
      <c r="P1577">
        <v>1280.3270284290129</v>
      </c>
      <c r="Q1577">
        <v>1.7543545823700351</v>
      </c>
      <c r="R1577" t="s">
        <v>391</v>
      </c>
      <c r="S1577">
        <v>729.7994608931125</v>
      </c>
      <c r="T1577">
        <v>0.17</v>
      </c>
      <c r="U1577" t="s">
        <v>470</v>
      </c>
      <c r="V1577">
        <v>1.416666666666667</v>
      </c>
      <c r="W1577">
        <v>6</v>
      </c>
      <c r="X1577">
        <v>17</v>
      </c>
      <c r="Y1577">
        <v>12</v>
      </c>
      <c r="Z1577">
        <v>0.02</v>
      </c>
      <c r="AA1577">
        <v>1</v>
      </c>
    </row>
    <row r="1578" spans="1:27" x14ac:dyDescent="0.25">
      <c r="A1578" t="s">
        <v>98</v>
      </c>
      <c r="B1578" t="s">
        <v>99</v>
      </c>
      <c r="C1578" t="s">
        <v>100</v>
      </c>
      <c r="D1578" t="s">
        <v>1707</v>
      </c>
      <c r="E1578" t="s">
        <v>465</v>
      </c>
      <c r="G1578" t="s">
        <v>466</v>
      </c>
      <c r="H1578" t="s">
        <v>125</v>
      </c>
      <c r="I1578">
        <v>2020</v>
      </c>
      <c r="J1578" t="s">
        <v>497</v>
      </c>
      <c r="K1578" t="s">
        <v>127</v>
      </c>
      <c r="L1578" t="s">
        <v>1856</v>
      </c>
      <c r="M1578" t="s">
        <v>1866</v>
      </c>
      <c r="N1578">
        <v>1</v>
      </c>
      <c r="O1578">
        <v>2020</v>
      </c>
      <c r="P1578">
        <v>1646.1347508373019</v>
      </c>
      <c r="Q1578">
        <v>1.7543545823700351</v>
      </c>
      <c r="R1578" t="s">
        <v>391</v>
      </c>
      <c r="S1578">
        <v>938.31359257685881</v>
      </c>
      <c r="T1578">
        <v>0.28000000000000003</v>
      </c>
      <c r="U1578" t="s">
        <v>470</v>
      </c>
      <c r="V1578">
        <v>2.333333333333333</v>
      </c>
      <c r="W1578">
        <v>6</v>
      </c>
      <c r="X1578">
        <v>17</v>
      </c>
      <c r="Y1578">
        <v>12</v>
      </c>
      <c r="Z1578">
        <v>0.02</v>
      </c>
      <c r="AA1578">
        <v>1</v>
      </c>
    </row>
    <row r="1579" spans="1:27" x14ac:dyDescent="0.25">
      <c r="A1579" t="s">
        <v>98</v>
      </c>
      <c r="B1579" t="s">
        <v>99</v>
      </c>
      <c r="C1579" t="s">
        <v>100</v>
      </c>
      <c r="D1579" t="s">
        <v>1707</v>
      </c>
      <c r="E1579" t="s">
        <v>498</v>
      </c>
      <c r="G1579" t="s">
        <v>103</v>
      </c>
      <c r="H1579" t="s">
        <v>104</v>
      </c>
      <c r="I1579">
        <v>2016</v>
      </c>
      <c r="J1579" t="s">
        <v>499</v>
      </c>
      <c r="K1579" t="s">
        <v>106</v>
      </c>
      <c r="L1579" t="s">
        <v>1867</v>
      </c>
      <c r="M1579" t="s">
        <v>1868</v>
      </c>
      <c r="N1579">
        <v>1</v>
      </c>
      <c r="O1579">
        <v>2020</v>
      </c>
      <c r="P1579">
        <v>792.58339855129361</v>
      </c>
      <c r="Q1579">
        <v>14.45069547797033</v>
      </c>
      <c r="R1579" t="s">
        <v>391</v>
      </c>
      <c r="S1579">
        <v>54.847422379051856</v>
      </c>
      <c r="T1579">
        <v>3.3</v>
      </c>
      <c r="U1579" t="s">
        <v>502</v>
      </c>
      <c r="V1579">
        <v>1</v>
      </c>
      <c r="W1579">
        <v>8</v>
      </c>
      <c r="X1579">
        <v>18</v>
      </c>
      <c r="Y1579">
        <v>14</v>
      </c>
      <c r="Z1579">
        <v>0.02</v>
      </c>
      <c r="AA1579">
        <v>1</v>
      </c>
    </row>
    <row r="1580" spans="1:27" x14ac:dyDescent="0.25">
      <c r="A1580" t="s">
        <v>98</v>
      </c>
      <c r="B1580" t="s">
        <v>99</v>
      </c>
      <c r="C1580" t="s">
        <v>100</v>
      </c>
      <c r="D1580" t="s">
        <v>1707</v>
      </c>
      <c r="E1580" t="s">
        <v>498</v>
      </c>
      <c r="G1580" t="s">
        <v>111</v>
      </c>
      <c r="H1580" t="s">
        <v>104</v>
      </c>
      <c r="I1580">
        <v>2016</v>
      </c>
      <c r="J1580" t="s">
        <v>503</v>
      </c>
      <c r="K1580" t="s">
        <v>106</v>
      </c>
      <c r="L1580" t="s">
        <v>1867</v>
      </c>
      <c r="M1580" t="s">
        <v>1869</v>
      </c>
      <c r="N1580">
        <v>1</v>
      </c>
      <c r="O1580">
        <v>2020</v>
      </c>
      <c r="P1580">
        <v>804.77698929823669</v>
      </c>
      <c r="Q1580">
        <v>14.45069547797033</v>
      </c>
      <c r="R1580" t="s">
        <v>391</v>
      </c>
      <c r="S1580">
        <v>55.691228877191129</v>
      </c>
      <c r="T1580">
        <v>3.32</v>
      </c>
      <c r="U1580" t="s">
        <v>502</v>
      </c>
      <c r="V1580">
        <v>1.0060606060606061</v>
      </c>
      <c r="W1580">
        <v>8</v>
      </c>
      <c r="X1580">
        <v>18</v>
      </c>
      <c r="Y1580">
        <v>14</v>
      </c>
      <c r="Z1580">
        <v>0.02</v>
      </c>
      <c r="AA1580">
        <v>1</v>
      </c>
    </row>
    <row r="1581" spans="1:27" x14ac:dyDescent="0.25">
      <c r="A1581" t="s">
        <v>98</v>
      </c>
      <c r="B1581" t="s">
        <v>99</v>
      </c>
      <c r="C1581" t="s">
        <v>100</v>
      </c>
      <c r="D1581" t="s">
        <v>1707</v>
      </c>
      <c r="E1581" t="s">
        <v>498</v>
      </c>
      <c r="G1581" t="s">
        <v>114</v>
      </c>
      <c r="H1581" t="s">
        <v>104</v>
      </c>
      <c r="I1581">
        <v>2016</v>
      </c>
      <c r="J1581" t="s">
        <v>505</v>
      </c>
      <c r="K1581" t="s">
        <v>106</v>
      </c>
      <c r="L1581" t="s">
        <v>1867</v>
      </c>
      <c r="M1581" t="s">
        <v>1870</v>
      </c>
      <c r="N1581">
        <v>1</v>
      </c>
      <c r="O1581">
        <v>2020</v>
      </c>
      <c r="P1581">
        <v>843.56142251742892</v>
      </c>
      <c r="Q1581">
        <v>14.45069547797033</v>
      </c>
      <c r="R1581" t="s">
        <v>391</v>
      </c>
      <c r="S1581">
        <v>58.375143521875053</v>
      </c>
      <c r="T1581">
        <v>3.48</v>
      </c>
      <c r="U1581" t="s">
        <v>502</v>
      </c>
      <c r="V1581">
        <v>1.0545454545454549</v>
      </c>
      <c r="W1581">
        <v>8</v>
      </c>
      <c r="X1581">
        <v>18</v>
      </c>
      <c r="Y1581">
        <v>14</v>
      </c>
      <c r="Z1581">
        <v>0.02</v>
      </c>
      <c r="AA1581">
        <v>1</v>
      </c>
    </row>
    <row r="1582" spans="1:27" x14ac:dyDescent="0.25">
      <c r="A1582" t="s">
        <v>98</v>
      </c>
      <c r="B1582" t="s">
        <v>99</v>
      </c>
      <c r="C1582" t="s">
        <v>100</v>
      </c>
      <c r="D1582" t="s">
        <v>1707</v>
      </c>
      <c r="E1582" t="s">
        <v>498</v>
      </c>
      <c r="G1582" t="s">
        <v>119</v>
      </c>
      <c r="H1582" t="s">
        <v>104</v>
      </c>
      <c r="I1582">
        <v>2016</v>
      </c>
      <c r="J1582" t="s">
        <v>507</v>
      </c>
      <c r="K1582" t="s">
        <v>106</v>
      </c>
      <c r="L1582" t="s">
        <v>1867</v>
      </c>
      <c r="M1582" t="s">
        <v>1871</v>
      </c>
      <c r="N1582">
        <v>1</v>
      </c>
      <c r="O1582">
        <v>2020</v>
      </c>
      <c r="P1582">
        <v>938.90648751460947</v>
      </c>
      <c r="Q1582">
        <v>14.45069547797033</v>
      </c>
      <c r="R1582" t="s">
        <v>391</v>
      </c>
      <c r="S1582">
        <v>64.973100356722981</v>
      </c>
      <c r="T1582">
        <v>3.49</v>
      </c>
      <c r="U1582" t="s">
        <v>502</v>
      </c>
      <c r="V1582">
        <v>1.0575757575757581</v>
      </c>
      <c r="W1582">
        <v>8</v>
      </c>
      <c r="X1582">
        <v>18</v>
      </c>
      <c r="Y1582">
        <v>14</v>
      </c>
      <c r="Z1582">
        <v>0.02</v>
      </c>
      <c r="AA1582">
        <v>1</v>
      </c>
    </row>
    <row r="1583" spans="1:27" x14ac:dyDescent="0.25">
      <c r="A1583" t="s">
        <v>98</v>
      </c>
      <c r="B1583" t="s">
        <v>99</v>
      </c>
      <c r="C1583" t="s">
        <v>100</v>
      </c>
      <c r="D1583" t="s">
        <v>1707</v>
      </c>
      <c r="E1583" t="s">
        <v>498</v>
      </c>
      <c r="G1583" t="s">
        <v>119</v>
      </c>
      <c r="H1583" t="s">
        <v>104</v>
      </c>
      <c r="I1583">
        <v>2030</v>
      </c>
      <c r="J1583" t="s">
        <v>509</v>
      </c>
      <c r="K1583" t="s">
        <v>106</v>
      </c>
      <c r="L1583" t="s">
        <v>1867</v>
      </c>
      <c r="M1583" t="s">
        <v>1872</v>
      </c>
      <c r="N1583">
        <v>1</v>
      </c>
      <c r="O1583">
        <v>2030</v>
      </c>
      <c r="P1583">
        <v>987.6808505023813</v>
      </c>
      <c r="Q1583">
        <v>14.45069547797033</v>
      </c>
      <c r="R1583" t="s">
        <v>391</v>
      </c>
      <c r="S1583">
        <v>68.348326349280015</v>
      </c>
      <c r="T1583">
        <v>3.61</v>
      </c>
      <c r="U1583" t="s">
        <v>502</v>
      </c>
      <c r="V1583">
        <v>1.093939393939394</v>
      </c>
      <c r="W1583">
        <v>8</v>
      </c>
      <c r="X1583">
        <v>18</v>
      </c>
      <c r="Y1583">
        <v>14</v>
      </c>
      <c r="Z1583">
        <v>0.02</v>
      </c>
      <c r="AA1583">
        <v>1</v>
      </c>
    </row>
    <row r="1584" spans="1:27" x14ac:dyDescent="0.25">
      <c r="A1584" t="s">
        <v>98</v>
      </c>
      <c r="B1584" t="s">
        <v>99</v>
      </c>
      <c r="C1584" t="s">
        <v>100</v>
      </c>
      <c r="D1584" t="s">
        <v>1707</v>
      </c>
      <c r="E1584" t="s">
        <v>498</v>
      </c>
      <c r="G1584" t="s">
        <v>103</v>
      </c>
      <c r="H1584" t="s">
        <v>125</v>
      </c>
      <c r="I1584">
        <v>2016</v>
      </c>
      <c r="J1584" t="s">
        <v>511</v>
      </c>
      <c r="K1584" t="s">
        <v>127</v>
      </c>
      <c r="L1584" t="s">
        <v>1867</v>
      </c>
      <c r="M1584" t="s">
        <v>1873</v>
      </c>
      <c r="N1584">
        <v>1</v>
      </c>
      <c r="O1584">
        <v>2020</v>
      </c>
      <c r="P1584">
        <v>646.26030958797787</v>
      </c>
      <c r="Q1584">
        <v>14.45069547797033</v>
      </c>
      <c r="R1584" t="s">
        <v>391</v>
      </c>
      <c r="S1584">
        <v>44.721744401380747</v>
      </c>
      <c r="T1584">
        <v>3.73</v>
      </c>
      <c r="U1584" t="s">
        <v>502</v>
      </c>
      <c r="V1584">
        <v>1.1303030303030299</v>
      </c>
      <c r="W1584">
        <v>8</v>
      </c>
      <c r="X1584">
        <v>18</v>
      </c>
      <c r="Y1584">
        <v>14</v>
      </c>
      <c r="Z1584">
        <v>0.02</v>
      </c>
      <c r="AA1584">
        <v>1</v>
      </c>
    </row>
    <row r="1585" spans="1:27" x14ac:dyDescent="0.25">
      <c r="A1585" t="s">
        <v>98</v>
      </c>
      <c r="B1585" t="s">
        <v>99</v>
      </c>
      <c r="C1585" t="s">
        <v>100</v>
      </c>
      <c r="D1585" t="s">
        <v>1707</v>
      </c>
      <c r="E1585" t="s">
        <v>498</v>
      </c>
      <c r="G1585" t="s">
        <v>111</v>
      </c>
      <c r="H1585" t="s">
        <v>125</v>
      </c>
      <c r="I1585">
        <v>2016</v>
      </c>
      <c r="J1585" t="s">
        <v>513</v>
      </c>
      <c r="K1585" t="s">
        <v>127</v>
      </c>
      <c r="L1585" t="s">
        <v>1867</v>
      </c>
      <c r="M1585" t="s">
        <v>1874</v>
      </c>
      <c r="N1585">
        <v>1</v>
      </c>
      <c r="O1585">
        <v>2020</v>
      </c>
      <c r="P1585">
        <v>658.45390033492083</v>
      </c>
      <c r="Q1585">
        <v>14.45069547797033</v>
      </c>
      <c r="R1585" t="s">
        <v>391</v>
      </c>
      <c r="S1585">
        <v>45.565550899520012</v>
      </c>
      <c r="T1585">
        <v>3.74</v>
      </c>
      <c r="U1585" t="s">
        <v>502</v>
      </c>
      <c r="V1585">
        <v>1.133333333333334</v>
      </c>
      <c r="W1585">
        <v>8</v>
      </c>
      <c r="X1585">
        <v>18</v>
      </c>
      <c r="Y1585">
        <v>14</v>
      </c>
      <c r="Z1585">
        <v>0.02</v>
      </c>
      <c r="AA1585">
        <v>1</v>
      </c>
    </row>
    <row r="1586" spans="1:27" x14ac:dyDescent="0.25">
      <c r="A1586" t="s">
        <v>98</v>
      </c>
      <c r="B1586" t="s">
        <v>99</v>
      </c>
      <c r="C1586" t="s">
        <v>100</v>
      </c>
      <c r="D1586" t="s">
        <v>1707</v>
      </c>
      <c r="E1586" t="s">
        <v>498</v>
      </c>
      <c r="G1586" t="s">
        <v>114</v>
      </c>
      <c r="H1586" t="s">
        <v>125</v>
      </c>
      <c r="I1586">
        <v>2016</v>
      </c>
      <c r="J1586" t="s">
        <v>515</v>
      </c>
      <c r="K1586" t="s">
        <v>127</v>
      </c>
      <c r="L1586" t="s">
        <v>1867</v>
      </c>
      <c r="M1586" t="s">
        <v>1875</v>
      </c>
      <c r="N1586">
        <v>1</v>
      </c>
      <c r="O1586">
        <v>2020</v>
      </c>
      <c r="P1586">
        <v>691.90476692947561</v>
      </c>
      <c r="Q1586">
        <v>14.45069547797033</v>
      </c>
      <c r="R1586" t="s">
        <v>391</v>
      </c>
      <c r="S1586">
        <v>47.880378351634661</v>
      </c>
      <c r="T1586">
        <v>3.93</v>
      </c>
      <c r="U1586" t="s">
        <v>502</v>
      </c>
      <c r="V1586">
        <v>1.1909090909090909</v>
      </c>
      <c r="W1586">
        <v>8</v>
      </c>
      <c r="X1586">
        <v>18</v>
      </c>
      <c r="Y1586">
        <v>14</v>
      </c>
      <c r="Z1586">
        <v>0.02</v>
      </c>
      <c r="AA1586">
        <v>1</v>
      </c>
    </row>
    <row r="1587" spans="1:27" x14ac:dyDescent="0.25">
      <c r="A1587" t="s">
        <v>98</v>
      </c>
      <c r="B1587" t="s">
        <v>99</v>
      </c>
      <c r="C1587" t="s">
        <v>100</v>
      </c>
      <c r="D1587" t="s">
        <v>1707</v>
      </c>
      <c r="E1587" t="s">
        <v>498</v>
      </c>
      <c r="G1587" t="s">
        <v>119</v>
      </c>
      <c r="H1587" t="s">
        <v>125</v>
      </c>
      <c r="I1587">
        <v>2016</v>
      </c>
      <c r="J1587" t="s">
        <v>517</v>
      </c>
      <c r="K1587" t="s">
        <v>127</v>
      </c>
      <c r="L1587" t="s">
        <v>1867</v>
      </c>
      <c r="M1587" t="s">
        <v>1876</v>
      </c>
      <c r="N1587">
        <v>1</v>
      </c>
      <c r="O1587">
        <v>2020</v>
      </c>
      <c r="P1587">
        <v>938.90648751460947</v>
      </c>
      <c r="Q1587">
        <v>14.45069547797033</v>
      </c>
      <c r="R1587" t="s">
        <v>391</v>
      </c>
      <c r="S1587">
        <v>64.973100356722981</v>
      </c>
      <c r="T1587">
        <v>4.5</v>
      </c>
      <c r="U1587" t="s">
        <v>502</v>
      </c>
      <c r="V1587">
        <v>1.363636363636364</v>
      </c>
      <c r="W1587">
        <v>8</v>
      </c>
      <c r="X1587">
        <v>18</v>
      </c>
      <c r="Y1587">
        <v>14</v>
      </c>
      <c r="Z1587">
        <v>0.02</v>
      </c>
      <c r="AA1587">
        <v>1</v>
      </c>
    </row>
    <row r="1588" spans="1:27" x14ac:dyDescent="0.25">
      <c r="A1588" t="s">
        <v>98</v>
      </c>
      <c r="B1588" t="s">
        <v>519</v>
      </c>
      <c r="C1588" t="s">
        <v>100</v>
      </c>
      <c r="D1588" t="s">
        <v>1707</v>
      </c>
      <c r="E1588" t="s">
        <v>102</v>
      </c>
      <c r="G1588" t="s">
        <v>103</v>
      </c>
      <c r="H1588" t="s">
        <v>104</v>
      </c>
      <c r="I1588">
        <v>2016</v>
      </c>
      <c r="J1588" t="s">
        <v>105</v>
      </c>
      <c r="K1588" t="s">
        <v>106</v>
      </c>
      <c r="L1588" t="s">
        <v>1877</v>
      </c>
      <c r="M1588" t="s">
        <v>1878</v>
      </c>
      <c r="N1588">
        <v>1</v>
      </c>
      <c r="O1588">
        <v>2020</v>
      </c>
      <c r="P1588">
        <v>2225.3303113170941</v>
      </c>
      <c r="Q1588">
        <v>1.7376707260977911</v>
      </c>
      <c r="R1588" t="s">
        <v>109</v>
      </c>
      <c r="S1588">
        <v>1280.6398116140319</v>
      </c>
      <c r="T1588">
        <v>0.61014999999999997</v>
      </c>
      <c r="U1588" t="s">
        <v>110</v>
      </c>
      <c r="V1588">
        <v>0.61014999999999997</v>
      </c>
      <c r="W1588">
        <v>6</v>
      </c>
      <c r="X1588">
        <v>20</v>
      </c>
      <c r="Y1588">
        <v>14</v>
      </c>
      <c r="Z1588">
        <v>0.24</v>
      </c>
      <c r="AA1588">
        <v>31.536000000000001</v>
      </c>
    </row>
    <row r="1589" spans="1:27" x14ac:dyDescent="0.25">
      <c r="A1589" t="s">
        <v>98</v>
      </c>
      <c r="B1589" t="s">
        <v>519</v>
      </c>
      <c r="C1589" t="s">
        <v>100</v>
      </c>
      <c r="D1589" t="s">
        <v>1707</v>
      </c>
      <c r="E1589" t="s">
        <v>102</v>
      </c>
      <c r="G1589" t="s">
        <v>111</v>
      </c>
      <c r="H1589" t="s">
        <v>104</v>
      </c>
      <c r="I1589">
        <v>2016</v>
      </c>
      <c r="J1589" t="s">
        <v>112</v>
      </c>
      <c r="K1589" t="s">
        <v>106</v>
      </c>
      <c r="L1589" t="s">
        <v>1877</v>
      </c>
      <c r="M1589" t="s">
        <v>1879</v>
      </c>
      <c r="N1589">
        <v>1</v>
      </c>
      <c r="O1589">
        <v>2020</v>
      </c>
      <c r="P1589">
        <v>2347.266218786523</v>
      </c>
      <c r="Q1589">
        <v>1.7376707260977911</v>
      </c>
      <c r="R1589" t="s">
        <v>109</v>
      </c>
      <c r="S1589">
        <v>1350.8118560860339</v>
      </c>
      <c r="T1589">
        <v>0.63</v>
      </c>
      <c r="U1589" t="s">
        <v>110</v>
      </c>
      <c r="V1589">
        <v>0.63</v>
      </c>
      <c r="W1589">
        <v>6</v>
      </c>
      <c r="X1589">
        <v>20</v>
      </c>
      <c r="Y1589">
        <v>14</v>
      </c>
      <c r="Z1589">
        <v>0.24</v>
      </c>
      <c r="AA1589">
        <v>31.536000000000001</v>
      </c>
    </row>
    <row r="1590" spans="1:27" x14ac:dyDescent="0.25">
      <c r="A1590" t="s">
        <v>98</v>
      </c>
      <c r="B1590" t="s">
        <v>519</v>
      </c>
      <c r="C1590" t="s">
        <v>100</v>
      </c>
      <c r="D1590" t="s">
        <v>1707</v>
      </c>
      <c r="E1590" t="s">
        <v>102</v>
      </c>
      <c r="G1590" t="s">
        <v>114</v>
      </c>
      <c r="H1590" t="s">
        <v>104</v>
      </c>
      <c r="I1590">
        <v>2016</v>
      </c>
      <c r="J1590" t="s">
        <v>115</v>
      </c>
      <c r="K1590" t="s">
        <v>106</v>
      </c>
      <c r="L1590" t="s">
        <v>1877</v>
      </c>
      <c r="M1590" t="s">
        <v>1880</v>
      </c>
      <c r="N1590">
        <v>1</v>
      </c>
      <c r="O1590">
        <v>2020</v>
      </c>
      <c r="P1590">
        <v>2469.2021262559529</v>
      </c>
      <c r="Q1590">
        <v>1.7376707260977911</v>
      </c>
      <c r="R1590" t="s">
        <v>109</v>
      </c>
      <c r="S1590">
        <v>1420.9839005580361</v>
      </c>
      <c r="T1590">
        <v>0.66</v>
      </c>
      <c r="U1590" t="s">
        <v>110</v>
      </c>
      <c r="V1590">
        <v>0.66</v>
      </c>
      <c r="W1590">
        <v>6</v>
      </c>
      <c r="X1590">
        <v>20</v>
      </c>
      <c r="Y1590">
        <v>14</v>
      </c>
      <c r="Z1590">
        <v>0.24</v>
      </c>
      <c r="AA1590">
        <v>31.536000000000001</v>
      </c>
    </row>
    <row r="1591" spans="1:27" x14ac:dyDescent="0.25">
      <c r="A1591" t="s">
        <v>98</v>
      </c>
      <c r="B1591" t="s">
        <v>519</v>
      </c>
      <c r="C1591" t="s">
        <v>100</v>
      </c>
      <c r="D1591" t="s">
        <v>1707</v>
      </c>
      <c r="E1591" t="s">
        <v>102</v>
      </c>
      <c r="G1591" t="s">
        <v>114</v>
      </c>
      <c r="H1591" t="s">
        <v>104</v>
      </c>
      <c r="I1591">
        <v>2023</v>
      </c>
      <c r="J1591" t="s">
        <v>117</v>
      </c>
      <c r="K1591" t="s">
        <v>106</v>
      </c>
      <c r="L1591" t="s">
        <v>1877</v>
      </c>
      <c r="M1591" t="s">
        <v>1881</v>
      </c>
      <c r="N1591">
        <v>1</v>
      </c>
      <c r="O1591">
        <v>2023</v>
      </c>
      <c r="P1591">
        <v>3865.2553631628971</v>
      </c>
      <c r="Q1591">
        <v>1.7376707260977911</v>
      </c>
      <c r="R1591" t="s">
        <v>109</v>
      </c>
      <c r="S1591">
        <v>2224.3888356472039</v>
      </c>
      <c r="T1591">
        <v>0.83499999999999996</v>
      </c>
      <c r="U1591" t="s">
        <v>110</v>
      </c>
      <c r="V1591">
        <v>0.83499999999999996</v>
      </c>
      <c r="W1591">
        <v>6</v>
      </c>
      <c r="X1591">
        <v>20</v>
      </c>
      <c r="Y1591">
        <v>14</v>
      </c>
      <c r="Z1591">
        <v>0.24</v>
      </c>
      <c r="AA1591">
        <v>31.536000000000001</v>
      </c>
    </row>
    <row r="1592" spans="1:27" x14ac:dyDescent="0.25">
      <c r="A1592" t="s">
        <v>98</v>
      </c>
      <c r="B1592" t="s">
        <v>519</v>
      </c>
      <c r="C1592" t="s">
        <v>100</v>
      </c>
      <c r="D1592" t="s">
        <v>1707</v>
      </c>
      <c r="E1592" t="s">
        <v>102</v>
      </c>
      <c r="G1592" t="s">
        <v>119</v>
      </c>
      <c r="H1592" t="s">
        <v>104</v>
      </c>
      <c r="I1592">
        <v>2016</v>
      </c>
      <c r="J1592" t="s">
        <v>120</v>
      </c>
      <c r="K1592" t="s">
        <v>106</v>
      </c>
      <c r="L1592" t="s">
        <v>1877</v>
      </c>
      <c r="M1592" t="s">
        <v>1882</v>
      </c>
      <c r="N1592">
        <v>0</v>
      </c>
      <c r="O1592">
        <v>2020</v>
      </c>
      <c r="P1592">
        <v>3749.5291546849662</v>
      </c>
      <c r="Q1592">
        <v>1.7376707260977911</v>
      </c>
      <c r="R1592" t="s">
        <v>109</v>
      </c>
      <c r="S1592">
        <v>2157.7903675140542</v>
      </c>
      <c r="T1592">
        <v>0.81</v>
      </c>
      <c r="U1592" t="s">
        <v>110</v>
      </c>
      <c r="V1592">
        <v>0.81</v>
      </c>
      <c r="W1592">
        <v>6</v>
      </c>
      <c r="X1592">
        <v>20</v>
      </c>
      <c r="Y1592">
        <v>14</v>
      </c>
      <c r="Z1592">
        <v>0.24</v>
      </c>
      <c r="AA1592">
        <v>31.536000000000001</v>
      </c>
    </row>
    <row r="1593" spans="1:27" x14ac:dyDescent="0.25">
      <c r="A1593" t="s">
        <v>98</v>
      </c>
      <c r="B1593" t="s">
        <v>519</v>
      </c>
      <c r="C1593" t="s">
        <v>100</v>
      </c>
      <c r="D1593" t="s">
        <v>1707</v>
      </c>
      <c r="E1593" t="s">
        <v>102</v>
      </c>
      <c r="G1593" t="s">
        <v>119</v>
      </c>
      <c r="H1593" t="s">
        <v>104</v>
      </c>
      <c r="I1593">
        <v>2018</v>
      </c>
      <c r="J1593" t="s">
        <v>122</v>
      </c>
      <c r="K1593" t="s">
        <v>106</v>
      </c>
      <c r="L1593" t="s">
        <v>1877</v>
      </c>
      <c r="M1593" t="s">
        <v>1882</v>
      </c>
      <c r="N1593">
        <v>1</v>
      </c>
      <c r="O1593">
        <v>2020</v>
      </c>
      <c r="P1593">
        <v>3749.5291546849662</v>
      </c>
      <c r="Q1593">
        <v>1.7376707260977911</v>
      </c>
      <c r="R1593" t="s">
        <v>109</v>
      </c>
      <c r="S1593">
        <v>2157.7903675140542</v>
      </c>
      <c r="T1593">
        <v>0.81</v>
      </c>
      <c r="U1593" t="s">
        <v>110</v>
      </c>
      <c r="V1593">
        <v>0.81</v>
      </c>
      <c r="W1593">
        <v>6</v>
      </c>
      <c r="X1593">
        <v>20</v>
      </c>
      <c r="Y1593">
        <v>14</v>
      </c>
      <c r="Z1593">
        <v>0.24</v>
      </c>
      <c r="AA1593">
        <v>31.536000000000001</v>
      </c>
    </row>
    <row r="1594" spans="1:27" x14ac:dyDescent="0.25">
      <c r="A1594" t="s">
        <v>98</v>
      </c>
      <c r="B1594" t="s">
        <v>519</v>
      </c>
      <c r="C1594" t="s">
        <v>100</v>
      </c>
      <c r="D1594" t="s">
        <v>1707</v>
      </c>
      <c r="E1594" t="s">
        <v>102</v>
      </c>
      <c r="G1594" t="s">
        <v>119</v>
      </c>
      <c r="H1594" t="s">
        <v>104</v>
      </c>
      <c r="I1594">
        <v>2022</v>
      </c>
      <c r="J1594" t="s">
        <v>123</v>
      </c>
      <c r="K1594" t="s">
        <v>106</v>
      </c>
      <c r="L1594" t="s">
        <v>1877</v>
      </c>
      <c r="M1594" t="s">
        <v>1883</v>
      </c>
      <c r="N1594">
        <v>1</v>
      </c>
      <c r="O1594">
        <v>2022</v>
      </c>
      <c r="P1594">
        <v>3749.5291546849662</v>
      </c>
      <c r="Q1594">
        <v>1.7376707260977911</v>
      </c>
      <c r="R1594" t="s">
        <v>109</v>
      </c>
      <c r="S1594">
        <v>2157.7903675140542</v>
      </c>
      <c r="T1594">
        <v>0.81</v>
      </c>
      <c r="U1594" t="s">
        <v>110</v>
      </c>
      <c r="V1594">
        <v>0.81</v>
      </c>
      <c r="W1594">
        <v>6</v>
      </c>
      <c r="X1594">
        <v>20</v>
      </c>
      <c r="Y1594">
        <v>14</v>
      </c>
      <c r="Z1594">
        <v>0.24</v>
      </c>
      <c r="AA1594">
        <v>31.536000000000001</v>
      </c>
    </row>
    <row r="1595" spans="1:27" x14ac:dyDescent="0.25">
      <c r="A1595" t="s">
        <v>98</v>
      </c>
      <c r="B1595" t="s">
        <v>519</v>
      </c>
      <c r="C1595" t="s">
        <v>100</v>
      </c>
      <c r="D1595" t="s">
        <v>1707</v>
      </c>
      <c r="E1595" t="s">
        <v>102</v>
      </c>
      <c r="G1595" t="s">
        <v>103</v>
      </c>
      <c r="H1595" t="s">
        <v>125</v>
      </c>
      <c r="I1595">
        <v>2016</v>
      </c>
      <c r="J1595" t="s">
        <v>126</v>
      </c>
      <c r="K1595" t="s">
        <v>127</v>
      </c>
      <c r="L1595" t="s">
        <v>1877</v>
      </c>
      <c r="M1595" t="s">
        <v>1884</v>
      </c>
      <c r="N1595">
        <v>1</v>
      </c>
      <c r="O1595">
        <v>2020</v>
      </c>
      <c r="P1595">
        <v>945.00328288808089</v>
      </c>
      <c r="Q1595">
        <v>1.7376707260977911</v>
      </c>
      <c r="R1595" t="s">
        <v>109</v>
      </c>
      <c r="S1595">
        <v>543.83334465801363</v>
      </c>
      <c r="T1595">
        <v>0.91554999999999997</v>
      </c>
      <c r="U1595" t="s">
        <v>110</v>
      </c>
      <c r="V1595">
        <v>0.91554999999999997</v>
      </c>
      <c r="W1595">
        <v>6</v>
      </c>
      <c r="X1595">
        <v>20</v>
      </c>
      <c r="Y1595">
        <v>14</v>
      </c>
      <c r="Z1595">
        <v>0.24</v>
      </c>
      <c r="AA1595">
        <v>31.536000000000001</v>
      </c>
    </row>
    <row r="1596" spans="1:27" x14ac:dyDescent="0.25">
      <c r="A1596" t="s">
        <v>98</v>
      </c>
      <c r="B1596" t="s">
        <v>519</v>
      </c>
      <c r="C1596" t="s">
        <v>100</v>
      </c>
      <c r="D1596" t="s">
        <v>1707</v>
      </c>
      <c r="E1596" t="s">
        <v>102</v>
      </c>
      <c r="G1596" t="s">
        <v>111</v>
      </c>
      <c r="H1596" t="s">
        <v>125</v>
      </c>
      <c r="I1596">
        <v>2016</v>
      </c>
      <c r="J1596" t="s">
        <v>129</v>
      </c>
      <c r="K1596" t="s">
        <v>127</v>
      </c>
      <c r="L1596" t="s">
        <v>1877</v>
      </c>
      <c r="M1596" t="s">
        <v>1885</v>
      </c>
      <c r="N1596">
        <v>1</v>
      </c>
      <c r="O1596">
        <v>2020</v>
      </c>
      <c r="P1596">
        <v>1036.455213490153</v>
      </c>
      <c r="Q1596">
        <v>1.7376707260977911</v>
      </c>
      <c r="R1596" t="s">
        <v>109</v>
      </c>
      <c r="S1596">
        <v>596.46237801201505</v>
      </c>
      <c r="T1596">
        <v>0.93</v>
      </c>
      <c r="U1596" t="s">
        <v>110</v>
      </c>
      <c r="V1596">
        <v>0.93</v>
      </c>
      <c r="W1596">
        <v>6</v>
      </c>
      <c r="X1596">
        <v>20</v>
      </c>
      <c r="Y1596">
        <v>14</v>
      </c>
      <c r="Z1596">
        <v>0.24</v>
      </c>
      <c r="AA1596">
        <v>31.536000000000001</v>
      </c>
    </row>
    <row r="1597" spans="1:27" x14ac:dyDescent="0.25">
      <c r="A1597" t="s">
        <v>98</v>
      </c>
      <c r="B1597" t="s">
        <v>519</v>
      </c>
      <c r="C1597" t="s">
        <v>100</v>
      </c>
      <c r="D1597" t="s">
        <v>1707</v>
      </c>
      <c r="E1597" t="s">
        <v>102</v>
      </c>
      <c r="G1597" t="s">
        <v>119</v>
      </c>
      <c r="H1597" t="s">
        <v>125</v>
      </c>
      <c r="I1597">
        <v>2016</v>
      </c>
      <c r="J1597" t="s">
        <v>131</v>
      </c>
      <c r="K1597" t="s">
        <v>127</v>
      </c>
      <c r="L1597" t="s">
        <v>1877</v>
      </c>
      <c r="M1597" t="s">
        <v>1886</v>
      </c>
      <c r="N1597">
        <v>1</v>
      </c>
      <c r="O1597">
        <v>2020</v>
      </c>
      <c r="P1597">
        <v>1493.714866500515</v>
      </c>
      <c r="Q1597">
        <v>1.7376707260977911</v>
      </c>
      <c r="R1597" t="s">
        <v>109</v>
      </c>
      <c r="S1597">
        <v>859.60754478202159</v>
      </c>
      <c r="T1597">
        <v>0.95</v>
      </c>
      <c r="U1597" t="s">
        <v>110</v>
      </c>
      <c r="V1597">
        <v>0.95</v>
      </c>
      <c r="W1597">
        <v>6</v>
      </c>
      <c r="X1597">
        <v>20</v>
      </c>
      <c r="Y1597">
        <v>14</v>
      </c>
      <c r="Z1597">
        <v>0.24</v>
      </c>
      <c r="AA1597">
        <v>31.536000000000001</v>
      </c>
    </row>
    <row r="1598" spans="1:27" x14ac:dyDescent="0.25">
      <c r="A1598" t="s">
        <v>98</v>
      </c>
      <c r="B1598" t="s">
        <v>519</v>
      </c>
      <c r="C1598" t="s">
        <v>100</v>
      </c>
      <c r="D1598" t="s">
        <v>1707</v>
      </c>
      <c r="E1598" t="s">
        <v>102</v>
      </c>
      <c r="G1598" t="s">
        <v>133</v>
      </c>
      <c r="H1598" t="s">
        <v>125</v>
      </c>
      <c r="I1598">
        <v>2016</v>
      </c>
      <c r="J1598" t="s">
        <v>134</v>
      </c>
      <c r="K1598" t="s">
        <v>127</v>
      </c>
      <c r="L1598" t="s">
        <v>1877</v>
      </c>
      <c r="M1598" t="s">
        <v>1887</v>
      </c>
      <c r="N1598">
        <v>1</v>
      </c>
      <c r="O1598">
        <v>2020</v>
      </c>
      <c r="P1598">
        <v>2530.170079990668</v>
      </c>
      <c r="Q1598">
        <v>1.7376707260977911</v>
      </c>
      <c r="R1598" t="s">
        <v>109</v>
      </c>
      <c r="S1598">
        <v>1456.069922794037</v>
      </c>
      <c r="T1598">
        <v>3.28</v>
      </c>
      <c r="U1598" t="s">
        <v>110</v>
      </c>
      <c r="V1598">
        <v>3.28</v>
      </c>
      <c r="W1598">
        <v>6</v>
      </c>
      <c r="X1598">
        <v>20</v>
      </c>
      <c r="Y1598">
        <v>14</v>
      </c>
      <c r="Z1598">
        <v>0.24</v>
      </c>
      <c r="AA1598">
        <v>31.536000000000001</v>
      </c>
    </row>
    <row r="1599" spans="1:27" x14ac:dyDescent="0.25">
      <c r="A1599" t="s">
        <v>98</v>
      </c>
      <c r="B1599" t="s">
        <v>519</v>
      </c>
      <c r="C1599" t="s">
        <v>100</v>
      </c>
      <c r="D1599" t="s">
        <v>1707</v>
      </c>
      <c r="E1599" t="s">
        <v>102</v>
      </c>
      <c r="G1599" t="s">
        <v>133</v>
      </c>
      <c r="H1599" t="s">
        <v>125</v>
      </c>
      <c r="I1599">
        <v>2022</v>
      </c>
      <c r="J1599" t="s">
        <v>136</v>
      </c>
      <c r="K1599" t="s">
        <v>127</v>
      </c>
      <c r="L1599" t="s">
        <v>1877</v>
      </c>
      <c r="M1599" t="s">
        <v>1888</v>
      </c>
      <c r="N1599">
        <v>1</v>
      </c>
      <c r="O1599">
        <v>2022</v>
      </c>
      <c r="P1599">
        <v>2530.170079990668</v>
      </c>
      <c r="Q1599">
        <v>1.7376707260977911</v>
      </c>
      <c r="R1599" t="s">
        <v>109</v>
      </c>
      <c r="S1599">
        <v>1456.069922794037</v>
      </c>
      <c r="T1599">
        <v>3.28</v>
      </c>
      <c r="U1599" t="s">
        <v>110</v>
      </c>
      <c r="V1599">
        <v>3.28</v>
      </c>
      <c r="W1599">
        <v>6</v>
      </c>
      <c r="X1599">
        <v>20</v>
      </c>
      <c r="Y1599">
        <v>14</v>
      </c>
      <c r="Z1599">
        <v>0.24</v>
      </c>
      <c r="AA1599">
        <v>31.536000000000001</v>
      </c>
    </row>
    <row r="1600" spans="1:27" x14ac:dyDescent="0.25">
      <c r="A1600" t="s">
        <v>98</v>
      </c>
      <c r="B1600" t="s">
        <v>519</v>
      </c>
      <c r="C1600" t="s">
        <v>100</v>
      </c>
      <c r="D1600" t="s">
        <v>1707</v>
      </c>
      <c r="E1600" t="s">
        <v>102</v>
      </c>
      <c r="G1600" t="s">
        <v>138</v>
      </c>
      <c r="H1600" t="s">
        <v>125</v>
      </c>
      <c r="I1600">
        <v>2016</v>
      </c>
      <c r="J1600" t="s">
        <v>139</v>
      </c>
      <c r="K1600" t="s">
        <v>127</v>
      </c>
      <c r="L1600" t="s">
        <v>1877</v>
      </c>
      <c r="M1600" t="s">
        <v>1889</v>
      </c>
      <c r="N1600">
        <v>1</v>
      </c>
      <c r="O1600">
        <v>2020</v>
      </c>
      <c r="P1600">
        <v>2316.7822419191662</v>
      </c>
      <c r="Q1600">
        <v>1.7376707260977911</v>
      </c>
      <c r="R1600" t="s">
        <v>109</v>
      </c>
      <c r="S1600">
        <v>1333.268844968034</v>
      </c>
      <c r="T1600">
        <v>2</v>
      </c>
      <c r="U1600" t="s">
        <v>110</v>
      </c>
      <c r="V1600">
        <v>2</v>
      </c>
      <c r="W1600">
        <v>6</v>
      </c>
      <c r="X1600">
        <v>20</v>
      </c>
      <c r="Y1600">
        <v>14</v>
      </c>
      <c r="Z1600">
        <v>0.24</v>
      </c>
      <c r="AA1600">
        <v>31.536000000000001</v>
      </c>
    </row>
    <row r="1601" spans="1:27" x14ac:dyDescent="0.25">
      <c r="A1601" t="s">
        <v>98</v>
      </c>
      <c r="B1601" t="s">
        <v>519</v>
      </c>
      <c r="C1601" t="s">
        <v>100</v>
      </c>
      <c r="D1601" t="s">
        <v>1707</v>
      </c>
      <c r="E1601" t="s">
        <v>102</v>
      </c>
      <c r="G1601" t="s">
        <v>138</v>
      </c>
      <c r="H1601" t="s">
        <v>125</v>
      </c>
      <c r="I1601">
        <v>2022</v>
      </c>
      <c r="J1601" t="s">
        <v>141</v>
      </c>
      <c r="K1601" t="s">
        <v>127</v>
      </c>
      <c r="L1601" t="s">
        <v>1877</v>
      </c>
      <c r="M1601" t="s">
        <v>1890</v>
      </c>
      <c r="N1601">
        <v>1</v>
      </c>
      <c r="O1601">
        <v>2022</v>
      </c>
      <c r="P1601">
        <v>2805.3845753706141</v>
      </c>
      <c r="Q1601">
        <v>1.7376707260977911</v>
      </c>
      <c r="R1601" t="s">
        <v>109</v>
      </c>
      <c r="S1601">
        <v>1614.451192183308</v>
      </c>
      <c r="T1601">
        <v>3.3</v>
      </c>
      <c r="U1601" t="s">
        <v>110</v>
      </c>
      <c r="V1601">
        <v>3.3</v>
      </c>
      <c r="W1601">
        <v>6</v>
      </c>
      <c r="X1601">
        <v>20</v>
      </c>
      <c r="Y1601">
        <v>14</v>
      </c>
      <c r="Z1601">
        <v>0.24</v>
      </c>
      <c r="AA1601">
        <v>31.536000000000001</v>
      </c>
    </row>
    <row r="1602" spans="1:27" x14ac:dyDescent="0.25">
      <c r="A1602" t="s">
        <v>98</v>
      </c>
      <c r="B1602" t="s">
        <v>519</v>
      </c>
      <c r="C1602" t="s">
        <v>100</v>
      </c>
      <c r="D1602" t="s">
        <v>1707</v>
      </c>
      <c r="E1602" t="s">
        <v>102</v>
      </c>
      <c r="G1602" t="s">
        <v>143</v>
      </c>
      <c r="H1602" t="s">
        <v>125</v>
      </c>
      <c r="I1602">
        <v>2016</v>
      </c>
      <c r="J1602" t="s">
        <v>144</v>
      </c>
      <c r="K1602" t="s">
        <v>127</v>
      </c>
      <c r="L1602" t="s">
        <v>1877</v>
      </c>
      <c r="M1602" t="s">
        <v>1891</v>
      </c>
      <c r="N1602">
        <v>1</v>
      </c>
      <c r="O1602">
        <v>2020</v>
      </c>
      <c r="P1602">
        <v>3017.9137098683868</v>
      </c>
      <c r="Q1602">
        <v>1.7376707260977911</v>
      </c>
      <c r="R1602" t="s">
        <v>109</v>
      </c>
      <c r="S1602">
        <v>1736.758100682044</v>
      </c>
      <c r="T1602">
        <v>3.55</v>
      </c>
      <c r="U1602" t="s">
        <v>110</v>
      </c>
      <c r="V1602">
        <v>3.55</v>
      </c>
      <c r="W1602">
        <v>6</v>
      </c>
      <c r="X1602">
        <v>20</v>
      </c>
      <c r="Y1602">
        <v>14</v>
      </c>
      <c r="Z1602">
        <v>0.24</v>
      </c>
      <c r="AA1602">
        <v>31.536000000000001</v>
      </c>
    </row>
    <row r="1603" spans="1:27" x14ac:dyDescent="0.25">
      <c r="A1603" t="s">
        <v>98</v>
      </c>
      <c r="B1603" t="s">
        <v>519</v>
      </c>
      <c r="C1603" t="s">
        <v>100</v>
      </c>
      <c r="D1603" t="s">
        <v>1707</v>
      </c>
      <c r="E1603" t="s">
        <v>102</v>
      </c>
      <c r="G1603" t="s">
        <v>143</v>
      </c>
      <c r="H1603" t="s">
        <v>125</v>
      </c>
      <c r="I1603">
        <v>2022</v>
      </c>
      <c r="J1603" t="s">
        <v>146</v>
      </c>
      <c r="K1603" t="s">
        <v>127</v>
      </c>
      <c r="L1603" t="s">
        <v>1877</v>
      </c>
      <c r="M1603" t="s">
        <v>1892</v>
      </c>
      <c r="N1603">
        <v>1</v>
      </c>
      <c r="O1603">
        <v>2022</v>
      </c>
      <c r="P1603">
        <v>3017.9137098683868</v>
      </c>
      <c r="Q1603">
        <v>1.7376707260977911</v>
      </c>
      <c r="R1603" t="s">
        <v>109</v>
      </c>
      <c r="S1603">
        <v>1736.758100682044</v>
      </c>
      <c r="T1603">
        <v>3.55</v>
      </c>
      <c r="U1603" t="s">
        <v>110</v>
      </c>
      <c r="V1603">
        <v>3.55</v>
      </c>
      <c r="W1603">
        <v>6</v>
      </c>
      <c r="X1603">
        <v>20</v>
      </c>
      <c r="Y1603">
        <v>14</v>
      </c>
      <c r="Z1603">
        <v>0.24</v>
      </c>
      <c r="AA1603">
        <v>31.536000000000001</v>
      </c>
    </row>
    <row r="1604" spans="1:27" x14ac:dyDescent="0.25">
      <c r="A1604" t="s">
        <v>98</v>
      </c>
      <c r="B1604" t="s">
        <v>519</v>
      </c>
      <c r="C1604" t="s">
        <v>100</v>
      </c>
      <c r="D1604" t="s">
        <v>1707</v>
      </c>
      <c r="E1604" t="s">
        <v>102</v>
      </c>
      <c r="G1604" t="s">
        <v>103</v>
      </c>
      <c r="H1604" t="s">
        <v>148</v>
      </c>
      <c r="I1604">
        <v>2016</v>
      </c>
      <c r="J1604" t="s">
        <v>149</v>
      </c>
      <c r="K1604" t="s">
        <v>150</v>
      </c>
      <c r="L1604" t="s">
        <v>1877</v>
      </c>
      <c r="M1604" t="s">
        <v>1893</v>
      </c>
      <c r="N1604">
        <v>1</v>
      </c>
      <c r="O1604">
        <v>2020</v>
      </c>
      <c r="P1604">
        <v>2926.4617792663148</v>
      </c>
      <c r="Q1604">
        <v>1.7376707260977911</v>
      </c>
      <c r="R1604" t="s">
        <v>109</v>
      </c>
      <c r="S1604">
        <v>1684.129067328043</v>
      </c>
      <c r="T1604">
        <v>0.63670000000000004</v>
      </c>
      <c r="U1604" t="s">
        <v>110</v>
      </c>
      <c r="V1604">
        <v>0.63670000000000004</v>
      </c>
      <c r="W1604">
        <v>6</v>
      </c>
      <c r="X1604">
        <v>20</v>
      </c>
      <c r="Y1604">
        <v>14</v>
      </c>
      <c r="Z1604">
        <v>0.24</v>
      </c>
      <c r="AA1604">
        <v>31.536000000000001</v>
      </c>
    </row>
    <row r="1605" spans="1:27" x14ac:dyDescent="0.25">
      <c r="A1605" t="s">
        <v>98</v>
      </c>
      <c r="B1605" t="s">
        <v>519</v>
      </c>
      <c r="C1605" t="s">
        <v>100</v>
      </c>
      <c r="D1605" t="s">
        <v>1707</v>
      </c>
      <c r="E1605" t="s">
        <v>102</v>
      </c>
      <c r="G1605" t="s">
        <v>111</v>
      </c>
      <c r="H1605" t="s">
        <v>148</v>
      </c>
      <c r="I1605">
        <v>2016</v>
      </c>
      <c r="J1605" t="s">
        <v>152</v>
      </c>
      <c r="K1605" t="s">
        <v>150</v>
      </c>
      <c r="L1605" t="s">
        <v>1877</v>
      </c>
      <c r="M1605" t="s">
        <v>1894</v>
      </c>
      <c r="N1605">
        <v>1</v>
      </c>
      <c r="O1605">
        <v>2020</v>
      </c>
      <c r="P1605">
        <v>3109.3656404704602</v>
      </c>
      <c r="Q1605">
        <v>1.7376707260977911</v>
      </c>
      <c r="R1605" t="s">
        <v>109</v>
      </c>
      <c r="S1605">
        <v>1789.3871340360449</v>
      </c>
      <c r="T1605">
        <v>0.67</v>
      </c>
      <c r="U1605" t="s">
        <v>110</v>
      </c>
      <c r="V1605">
        <v>0.67</v>
      </c>
      <c r="W1605">
        <v>6</v>
      </c>
      <c r="X1605">
        <v>20</v>
      </c>
      <c r="Y1605">
        <v>14</v>
      </c>
      <c r="Z1605">
        <v>0.24</v>
      </c>
      <c r="AA1605">
        <v>31.536000000000001</v>
      </c>
    </row>
    <row r="1606" spans="1:27" x14ac:dyDescent="0.25">
      <c r="A1606" t="s">
        <v>98</v>
      </c>
      <c r="B1606" t="s">
        <v>519</v>
      </c>
      <c r="C1606" t="s">
        <v>100</v>
      </c>
      <c r="D1606" t="s">
        <v>1707</v>
      </c>
      <c r="E1606" t="s">
        <v>102</v>
      </c>
      <c r="G1606" t="s">
        <v>119</v>
      </c>
      <c r="H1606" t="s">
        <v>148</v>
      </c>
      <c r="I1606">
        <v>2016</v>
      </c>
      <c r="J1606" t="s">
        <v>154</v>
      </c>
      <c r="K1606" t="s">
        <v>150</v>
      </c>
      <c r="L1606" t="s">
        <v>1877</v>
      </c>
      <c r="M1606" t="s">
        <v>1895</v>
      </c>
      <c r="N1606">
        <v>1</v>
      </c>
      <c r="O1606">
        <v>2020</v>
      </c>
      <c r="P1606">
        <v>3078.881663603102</v>
      </c>
      <c r="Q1606">
        <v>1.7376707260977911</v>
      </c>
      <c r="R1606" t="s">
        <v>109</v>
      </c>
      <c r="S1606">
        <v>1771.8441229180451</v>
      </c>
      <c r="T1606">
        <v>0.69</v>
      </c>
      <c r="U1606" t="s">
        <v>110</v>
      </c>
      <c r="V1606">
        <v>0.69</v>
      </c>
      <c r="W1606">
        <v>6</v>
      </c>
      <c r="X1606">
        <v>20</v>
      </c>
      <c r="Y1606">
        <v>14</v>
      </c>
      <c r="Z1606">
        <v>0.24</v>
      </c>
      <c r="AA1606">
        <v>31.536000000000001</v>
      </c>
    </row>
    <row r="1607" spans="1:27" x14ac:dyDescent="0.25">
      <c r="A1607" t="s">
        <v>98</v>
      </c>
      <c r="B1607" t="s">
        <v>519</v>
      </c>
      <c r="C1607" t="s">
        <v>100</v>
      </c>
      <c r="D1607" t="s">
        <v>1707</v>
      </c>
      <c r="E1607" t="s">
        <v>102</v>
      </c>
      <c r="G1607" t="s">
        <v>103</v>
      </c>
      <c r="H1607" t="s">
        <v>156</v>
      </c>
      <c r="I1607">
        <v>2016</v>
      </c>
      <c r="J1607" t="s">
        <v>157</v>
      </c>
      <c r="K1607" t="s">
        <v>158</v>
      </c>
      <c r="L1607" t="s">
        <v>1877</v>
      </c>
      <c r="M1607" t="s">
        <v>1896</v>
      </c>
      <c r="N1607">
        <v>1</v>
      </c>
      <c r="O1607">
        <v>2020</v>
      </c>
      <c r="P1607">
        <v>2225.3303113170941</v>
      </c>
      <c r="Q1607">
        <v>1.7376707260977911</v>
      </c>
      <c r="R1607" t="s">
        <v>109</v>
      </c>
      <c r="S1607">
        <v>1280.6398116140319</v>
      </c>
      <c r="T1607">
        <v>0.61014999999999997</v>
      </c>
      <c r="U1607" t="s">
        <v>110</v>
      </c>
      <c r="V1607">
        <v>0.61014999999999997</v>
      </c>
      <c r="W1607">
        <v>6</v>
      </c>
      <c r="X1607">
        <v>20</v>
      </c>
      <c r="Y1607">
        <v>14</v>
      </c>
      <c r="Z1607">
        <v>0.24</v>
      </c>
      <c r="AA1607">
        <v>31.536000000000001</v>
      </c>
    </row>
    <row r="1608" spans="1:27" x14ac:dyDescent="0.25">
      <c r="A1608" t="s">
        <v>98</v>
      </c>
      <c r="B1608" t="s">
        <v>519</v>
      </c>
      <c r="C1608" t="s">
        <v>100</v>
      </c>
      <c r="D1608" t="s">
        <v>1707</v>
      </c>
      <c r="E1608" t="s">
        <v>102</v>
      </c>
      <c r="G1608" t="s">
        <v>111</v>
      </c>
      <c r="H1608" t="s">
        <v>156</v>
      </c>
      <c r="I1608">
        <v>2016</v>
      </c>
      <c r="J1608" t="s">
        <v>160</v>
      </c>
      <c r="K1608" t="s">
        <v>158</v>
      </c>
      <c r="L1608" t="s">
        <v>1877</v>
      </c>
      <c r="M1608" t="s">
        <v>1897</v>
      </c>
      <c r="N1608">
        <v>1</v>
      </c>
      <c r="O1608">
        <v>2020</v>
      </c>
      <c r="P1608">
        <v>2347.266218786523</v>
      </c>
      <c r="Q1608">
        <v>1.7376707260977911</v>
      </c>
      <c r="R1608" t="s">
        <v>109</v>
      </c>
      <c r="S1608">
        <v>1350.8118560860339</v>
      </c>
      <c r="T1608">
        <v>0.63</v>
      </c>
      <c r="U1608" t="s">
        <v>110</v>
      </c>
      <c r="V1608">
        <v>0.63</v>
      </c>
      <c r="W1608">
        <v>6</v>
      </c>
      <c r="X1608">
        <v>20</v>
      </c>
      <c r="Y1608">
        <v>14</v>
      </c>
      <c r="Z1608">
        <v>0.24</v>
      </c>
      <c r="AA1608">
        <v>31.536000000000001</v>
      </c>
    </row>
    <row r="1609" spans="1:27" x14ac:dyDescent="0.25">
      <c r="A1609" t="s">
        <v>98</v>
      </c>
      <c r="B1609" t="s">
        <v>519</v>
      </c>
      <c r="C1609" t="s">
        <v>100</v>
      </c>
      <c r="D1609" t="s">
        <v>1707</v>
      </c>
      <c r="E1609" t="s">
        <v>102</v>
      </c>
      <c r="G1609" t="s">
        <v>114</v>
      </c>
      <c r="H1609" t="s">
        <v>156</v>
      </c>
      <c r="I1609">
        <v>2016</v>
      </c>
      <c r="J1609" t="s">
        <v>162</v>
      </c>
      <c r="K1609" t="s">
        <v>158</v>
      </c>
      <c r="L1609" t="s">
        <v>1877</v>
      </c>
      <c r="M1609" t="s">
        <v>1898</v>
      </c>
      <c r="N1609">
        <v>1</v>
      </c>
      <c r="O1609">
        <v>2020</v>
      </c>
      <c r="P1609">
        <v>2469.2021262559529</v>
      </c>
      <c r="Q1609">
        <v>1.7376707260977911</v>
      </c>
      <c r="R1609" t="s">
        <v>109</v>
      </c>
      <c r="S1609">
        <v>1420.9839005580361</v>
      </c>
      <c r="T1609">
        <v>0.66</v>
      </c>
      <c r="U1609" t="s">
        <v>110</v>
      </c>
      <c r="V1609">
        <v>0.66</v>
      </c>
      <c r="W1609">
        <v>6</v>
      </c>
      <c r="X1609">
        <v>20</v>
      </c>
      <c r="Y1609">
        <v>14</v>
      </c>
      <c r="Z1609">
        <v>0.24</v>
      </c>
      <c r="AA1609">
        <v>31.536000000000001</v>
      </c>
    </row>
    <row r="1610" spans="1:27" x14ac:dyDescent="0.25">
      <c r="A1610" t="s">
        <v>98</v>
      </c>
      <c r="B1610" t="s">
        <v>519</v>
      </c>
      <c r="C1610" t="s">
        <v>100</v>
      </c>
      <c r="D1610" t="s">
        <v>1707</v>
      </c>
      <c r="E1610" t="s">
        <v>102</v>
      </c>
      <c r="G1610" t="s">
        <v>114</v>
      </c>
      <c r="H1610" t="s">
        <v>156</v>
      </c>
      <c r="I1610">
        <v>2023</v>
      </c>
      <c r="J1610" t="s">
        <v>164</v>
      </c>
      <c r="K1610" t="s">
        <v>158</v>
      </c>
      <c r="L1610" t="s">
        <v>1877</v>
      </c>
      <c r="M1610" t="s">
        <v>1899</v>
      </c>
      <c r="N1610">
        <v>1</v>
      </c>
      <c r="O1610">
        <v>2023</v>
      </c>
      <c r="P1610">
        <v>3865.2553631628971</v>
      </c>
      <c r="Q1610">
        <v>1.7376707260977911</v>
      </c>
      <c r="R1610" t="s">
        <v>109</v>
      </c>
      <c r="S1610">
        <v>2224.3888356472039</v>
      </c>
      <c r="T1610">
        <v>0.83499999999999996</v>
      </c>
      <c r="U1610" t="s">
        <v>110</v>
      </c>
      <c r="V1610">
        <v>0.83499999999999996</v>
      </c>
      <c r="W1610">
        <v>6</v>
      </c>
      <c r="X1610">
        <v>20</v>
      </c>
      <c r="Y1610">
        <v>14</v>
      </c>
      <c r="Z1610">
        <v>0.24</v>
      </c>
      <c r="AA1610">
        <v>31.536000000000001</v>
      </c>
    </row>
    <row r="1611" spans="1:27" x14ac:dyDescent="0.25">
      <c r="A1611" t="s">
        <v>98</v>
      </c>
      <c r="B1611" t="s">
        <v>519</v>
      </c>
      <c r="C1611" t="s">
        <v>100</v>
      </c>
      <c r="D1611" t="s">
        <v>1707</v>
      </c>
      <c r="E1611" t="s">
        <v>102</v>
      </c>
      <c r="G1611" t="s">
        <v>119</v>
      </c>
      <c r="H1611" t="s">
        <v>156</v>
      </c>
      <c r="I1611">
        <v>2016</v>
      </c>
      <c r="J1611" t="s">
        <v>166</v>
      </c>
      <c r="K1611" t="s">
        <v>158</v>
      </c>
      <c r="L1611" t="s">
        <v>1877</v>
      </c>
      <c r="M1611" t="s">
        <v>1900</v>
      </c>
      <c r="N1611">
        <v>0</v>
      </c>
      <c r="O1611">
        <v>2020</v>
      </c>
      <c r="P1611">
        <v>3749.5291546849662</v>
      </c>
      <c r="Q1611">
        <v>1.7376707260977911</v>
      </c>
      <c r="R1611" t="s">
        <v>109</v>
      </c>
      <c r="S1611">
        <v>2157.7903675140542</v>
      </c>
      <c r="T1611">
        <v>0.81</v>
      </c>
      <c r="U1611" t="s">
        <v>110</v>
      </c>
      <c r="V1611">
        <v>0.81</v>
      </c>
      <c r="W1611">
        <v>6</v>
      </c>
      <c r="X1611">
        <v>20</v>
      </c>
      <c r="Y1611">
        <v>14</v>
      </c>
      <c r="Z1611">
        <v>0.24</v>
      </c>
      <c r="AA1611">
        <v>31.536000000000001</v>
      </c>
    </row>
    <row r="1612" spans="1:27" x14ac:dyDescent="0.25">
      <c r="A1612" t="s">
        <v>98</v>
      </c>
      <c r="B1612" t="s">
        <v>519</v>
      </c>
      <c r="C1612" t="s">
        <v>100</v>
      </c>
      <c r="D1612" t="s">
        <v>1707</v>
      </c>
      <c r="E1612" t="s">
        <v>102</v>
      </c>
      <c r="G1612" t="s">
        <v>119</v>
      </c>
      <c r="H1612" t="s">
        <v>156</v>
      </c>
      <c r="I1612">
        <v>2018</v>
      </c>
      <c r="J1612" t="s">
        <v>168</v>
      </c>
      <c r="K1612" t="s">
        <v>158</v>
      </c>
      <c r="L1612" t="s">
        <v>1877</v>
      </c>
      <c r="M1612" t="s">
        <v>1900</v>
      </c>
      <c r="N1612">
        <v>1</v>
      </c>
      <c r="O1612">
        <v>2020</v>
      </c>
      <c r="P1612">
        <v>3749.5291546849662</v>
      </c>
      <c r="Q1612">
        <v>1.7376707260977911</v>
      </c>
      <c r="R1612" t="s">
        <v>109</v>
      </c>
      <c r="S1612">
        <v>2157.7903675140542</v>
      </c>
      <c r="T1612">
        <v>0.81</v>
      </c>
      <c r="U1612" t="s">
        <v>110</v>
      </c>
      <c r="V1612">
        <v>0.81</v>
      </c>
      <c r="W1612">
        <v>6</v>
      </c>
      <c r="X1612">
        <v>20</v>
      </c>
      <c r="Y1612">
        <v>14</v>
      </c>
      <c r="Z1612">
        <v>0.24</v>
      </c>
      <c r="AA1612">
        <v>31.536000000000001</v>
      </c>
    </row>
    <row r="1613" spans="1:27" x14ac:dyDescent="0.25">
      <c r="A1613" t="s">
        <v>98</v>
      </c>
      <c r="B1613" t="s">
        <v>519</v>
      </c>
      <c r="C1613" t="s">
        <v>100</v>
      </c>
      <c r="D1613" t="s">
        <v>1707</v>
      </c>
      <c r="E1613" t="s">
        <v>102</v>
      </c>
      <c r="G1613" t="s">
        <v>111</v>
      </c>
      <c r="H1613" t="s">
        <v>169</v>
      </c>
      <c r="I1613">
        <v>2016</v>
      </c>
      <c r="J1613" t="s">
        <v>170</v>
      </c>
      <c r="K1613" t="s">
        <v>171</v>
      </c>
      <c r="L1613" t="s">
        <v>1877</v>
      </c>
      <c r="M1613" t="s">
        <v>1901</v>
      </c>
      <c r="N1613">
        <v>0</v>
      </c>
      <c r="O1613">
        <v>2020</v>
      </c>
      <c r="P1613">
        <v>13412.949821637279</v>
      </c>
      <c r="Q1613">
        <v>1.7376707260977911</v>
      </c>
      <c r="R1613" t="s">
        <v>109</v>
      </c>
      <c r="S1613">
        <v>7718.9248919201946</v>
      </c>
      <c r="T1613">
        <v>1</v>
      </c>
      <c r="U1613" t="s">
        <v>173</v>
      </c>
      <c r="V1613">
        <v>1</v>
      </c>
      <c r="W1613">
        <v>15</v>
      </c>
      <c r="X1613">
        <v>30</v>
      </c>
      <c r="Y1613">
        <v>23</v>
      </c>
      <c r="Z1613">
        <v>0.24</v>
      </c>
      <c r="AA1613">
        <v>31.536000000000001</v>
      </c>
    </row>
    <row r="1614" spans="1:27" x14ac:dyDescent="0.25">
      <c r="A1614" t="s">
        <v>98</v>
      </c>
      <c r="B1614" t="s">
        <v>519</v>
      </c>
      <c r="C1614" t="s">
        <v>100</v>
      </c>
      <c r="D1614" t="s">
        <v>1707</v>
      </c>
      <c r="E1614" t="s">
        <v>102</v>
      </c>
      <c r="G1614" t="s">
        <v>111</v>
      </c>
      <c r="H1614" t="s">
        <v>169</v>
      </c>
      <c r="I1614">
        <v>2020</v>
      </c>
      <c r="J1614" t="s">
        <v>174</v>
      </c>
      <c r="K1614" t="s">
        <v>171</v>
      </c>
      <c r="L1614" t="s">
        <v>1877</v>
      </c>
      <c r="M1614" t="s">
        <v>1901</v>
      </c>
      <c r="N1614">
        <v>1</v>
      </c>
      <c r="O1614">
        <v>2020</v>
      </c>
      <c r="P1614">
        <v>13412.949821637279</v>
      </c>
      <c r="Q1614">
        <v>1.7376707260977911</v>
      </c>
      <c r="R1614" t="s">
        <v>109</v>
      </c>
      <c r="S1614">
        <v>7718.9248919201946</v>
      </c>
      <c r="T1614">
        <v>1</v>
      </c>
      <c r="U1614" t="s">
        <v>173</v>
      </c>
      <c r="V1614">
        <v>1</v>
      </c>
      <c r="W1614">
        <v>15</v>
      </c>
      <c r="X1614">
        <v>30</v>
      </c>
      <c r="Y1614">
        <v>23</v>
      </c>
      <c r="Z1614">
        <v>0.24</v>
      </c>
      <c r="AA1614">
        <v>31.536000000000001</v>
      </c>
    </row>
    <row r="1615" spans="1:27" x14ac:dyDescent="0.25">
      <c r="A1615" t="s">
        <v>98</v>
      </c>
      <c r="B1615" t="s">
        <v>519</v>
      </c>
      <c r="C1615" t="s">
        <v>100</v>
      </c>
      <c r="D1615" t="s">
        <v>1707</v>
      </c>
      <c r="E1615" t="s">
        <v>102</v>
      </c>
      <c r="G1615" t="s">
        <v>111</v>
      </c>
      <c r="H1615" t="s">
        <v>169</v>
      </c>
      <c r="I1615">
        <v>2023</v>
      </c>
      <c r="J1615" t="s">
        <v>175</v>
      </c>
      <c r="K1615" t="s">
        <v>171</v>
      </c>
      <c r="L1615" t="s">
        <v>1877</v>
      </c>
      <c r="M1615" t="s">
        <v>1902</v>
      </c>
      <c r="N1615">
        <v>1</v>
      </c>
      <c r="O1615">
        <v>2023</v>
      </c>
      <c r="P1615">
        <v>13412.949821637279</v>
      </c>
      <c r="Q1615">
        <v>1.7376707260977911</v>
      </c>
      <c r="R1615" t="s">
        <v>109</v>
      </c>
      <c r="S1615">
        <v>7718.9248919201946</v>
      </c>
      <c r="T1615">
        <v>1</v>
      </c>
      <c r="U1615" t="s">
        <v>173</v>
      </c>
      <c r="V1615">
        <v>1</v>
      </c>
      <c r="W1615">
        <v>15</v>
      </c>
      <c r="X1615">
        <v>30</v>
      </c>
      <c r="Y1615">
        <v>23</v>
      </c>
      <c r="Z1615">
        <v>0.24</v>
      </c>
      <c r="AA1615">
        <v>31.536000000000001</v>
      </c>
    </row>
    <row r="1616" spans="1:27" x14ac:dyDescent="0.25">
      <c r="A1616" t="s">
        <v>98</v>
      </c>
      <c r="B1616" t="s">
        <v>519</v>
      </c>
      <c r="C1616" t="s">
        <v>100</v>
      </c>
      <c r="D1616" t="s">
        <v>1707</v>
      </c>
      <c r="E1616" t="s">
        <v>102</v>
      </c>
      <c r="G1616" t="s">
        <v>111</v>
      </c>
      <c r="H1616" t="s">
        <v>169</v>
      </c>
      <c r="I1616">
        <v>2024</v>
      </c>
      <c r="J1616" t="s">
        <v>177</v>
      </c>
      <c r="K1616" t="s">
        <v>171</v>
      </c>
      <c r="L1616" t="s">
        <v>1877</v>
      </c>
      <c r="M1616" t="s">
        <v>1903</v>
      </c>
      <c r="N1616">
        <v>1</v>
      </c>
      <c r="O1616">
        <v>2024</v>
      </c>
      <c r="P1616">
        <v>13412.949821637279</v>
      </c>
      <c r="Q1616">
        <v>1.7376707260977911</v>
      </c>
      <c r="R1616" t="s">
        <v>109</v>
      </c>
      <c r="S1616">
        <v>7718.9248919201946</v>
      </c>
      <c r="T1616">
        <v>1</v>
      </c>
      <c r="U1616" t="s">
        <v>173</v>
      </c>
      <c r="V1616">
        <v>1</v>
      </c>
      <c r="W1616">
        <v>15</v>
      </c>
      <c r="X1616">
        <v>30</v>
      </c>
      <c r="Y1616">
        <v>23</v>
      </c>
      <c r="Z1616">
        <v>0.24</v>
      </c>
      <c r="AA1616">
        <v>31.536000000000001</v>
      </c>
    </row>
    <row r="1617" spans="1:27" x14ac:dyDescent="0.25">
      <c r="A1617" t="s">
        <v>98</v>
      </c>
      <c r="B1617" t="s">
        <v>519</v>
      </c>
      <c r="C1617" t="s">
        <v>100</v>
      </c>
      <c r="D1617" t="s">
        <v>1707</v>
      </c>
      <c r="E1617" t="s">
        <v>179</v>
      </c>
      <c r="F1617" t="s">
        <v>180</v>
      </c>
      <c r="G1617" t="s">
        <v>103</v>
      </c>
      <c r="H1617" t="s">
        <v>125</v>
      </c>
      <c r="I1617">
        <v>2016</v>
      </c>
      <c r="J1617" t="s">
        <v>181</v>
      </c>
      <c r="K1617" t="s">
        <v>127</v>
      </c>
      <c r="L1617" t="s">
        <v>1904</v>
      </c>
      <c r="M1617" t="s">
        <v>1905</v>
      </c>
      <c r="N1617">
        <v>1</v>
      </c>
      <c r="O1617">
        <v>2020</v>
      </c>
      <c r="P1617">
        <v>2956.9457561336731</v>
      </c>
      <c r="Q1617">
        <v>15.04742874486676</v>
      </c>
      <c r="R1617" t="s">
        <v>109</v>
      </c>
      <c r="S1617">
        <v>196.50837403981049</v>
      </c>
      <c r="T1617">
        <v>2.4032825322391562</v>
      </c>
      <c r="U1617" t="s">
        <v>184</v>
      </c>
      <c r="V1617">
        <v>2.4032825322391562</v>
      </c>
      <c r="W1617">
        <v>9</v>
      </c>
      <c r="X1617">
        <v>22</v>
      </c>
      <c r="Y1617">
        <v>16</v>
      </c>
      <c r="Z1617">
        <v>9.0305172134094655E-2</v>
      </c>
      <c r="AA1617">
        <v>31.536000000000001</v>
      </c>
    </row>
    <row r="1618" spans="1:27" x14ac:dyDescent="0.25">
      <c r="A1618" t="s">
        <v>98</v>
      </c>
      <c r="B1618" t="s">
        <v>519</v>
      </c>
      <c r="C1618" t="s">
        <v>100</v>
      </c>
      <c r="D1618" t="s">
        <v>1707</v>
      </c>
      <c r="E1618" t="s">
        <v>179</v>
      </c>
      <c r="F1618" t="s">
        <v>180</v>
      </c>
      <c r="G1618" t="s">
        <v>103</v>
      </c>
      <c r="H1618" t="s">
        <v>125</v>
      </c>
      <c r="I1618">
        <v>2023</v>
      </c>
      <c r="J1618" t="s">
        <v>185</v>
      </c>
      <c r="K1618" t="s">
        <v>127</v>
      </c>
      <c r="L1618" t="s">
        <v>1904</v>
      </c>
      <c r="M1618" t="s">
        <v>1906</v>
      </c>
      <c r="N1618">
        <v>1</v>
      </c>
      <c r="O1618">
        <v>2023</v>
      </c>
      <c r="P1618">
        <v>2956.9457561336731</v>
      </c>
      <c r="Q1618">
        <v>15.04742874486676</v>
      </c>
      <c r="R1618" t="s">
        <v>109</v>
      </c>
      <c r="S1618">
        <v>196.50837403981049</v>
      </c>
      <c r="T1618">
        <v>2.4032825322391562</v>
      </c>
      <c r="U1618" t="s">
        <v>184</v>
      </c>
      <c r="V1618">
        <v>2.4032825322391562</v>
      </c>
      <c r="W1618">
        <v>9</v>
      </c>
      <c r="X1618">
        <v>22</v>
      </c>
      <c r="Y1618">
        <v>16</v>
      </c>
      <c r="Z1618">
        <v>9.0305172134094655E-2</v>
      </c>
      <c r="AA1618">
        <v>31.536000000000001</v>
      </c>
    </row>
    <row r="1619" spans="1:27" x14ac:dyDescent="0.25">
      <c r="A1619" t="s">
        <v>98</v>
      </c>
      <c r="B1619" t="s">
        <v>519</v>
      </c>
      <c r="C1619" t="s">
        <v>100</v>
      </c>
      <c r="D1619" t="s">
        <v>1707</v>
      </c>
      <c r="E1619" t="s">
        <v>179</v>
      </c>
      <c r="F1619" t="s">
        <v>180</v>
      </c>
      <c r="G1619" t="s">
        <v>111</v>
      </c>
      <c r="H1619" t="s">
        <v>125</v>
      </c>
      <c r="I1619">
        <v>2016</v>
      </c>
      <c r="J1619" t="s">
        <v>187</v>
      </c>
      <c r="K1619" t="s">
        <v>127</v>
      </c>
      <c r="L1619" t="s">
        <v>1904</v>
      </c>
      <c r="M1619" t="s">
        <v>1907</v>
      </c>
      <c r="N1619">
        <v>1</v>
      </c>
      <c r="O1619">
        <v>2020</v>
      </c>
      <c r="P1619">
        <v>3109.3656404704602</v>
      </c>
      <c r="Q1619">
        <v>15.04742874486676</v>
      </c>
      <c r="R1619" t="s">
        <v>109</v>
      </c>
      <c r="S1619">
        <v>206.63767167072851</v>
      </c>
      <c r="T1619">
        <v>2.5205158264947238</v>
      </c>
      <c r="U1619" t="s">
        <v>184</v>
      </c>
      <c r="V1619">
        <v>2.5205158264947238</v>
      </c>
      <c r="W1619">
        <v>9</v>
      </c>
      <c r="X1619">
        <v>22</v>
      </c>
      <c r="Y1619">
        <v>16</v>
      </c>
      <c r="Z1619">
        <v>9.0305172134094655E-2</v>
      </c>
      <c r="AA1619">
        <v>31.536000000000001</v>
      </c>
    </row>
    <row r="1620" spans="1:27" x14ac:dyDescent="0.25">
      <c r="A1620" t="s">
        <v>98</v>
      </c>
      <c r="B1620" t="s">
        <v>519</v>
      </c>
      <c r="C1620" t="s">
        <v>100</v>
      </c>
      <c r="D1620" t="s">
        <v>1707</v>
      </c>
      <c r="E1620" t="s">
        <v>179</v>
      </c>
      <c r="F1620" t="s">
        <v>180</v>
      </c>
      <c r="G1620" t="s">
        <v>111</v>
      </c>
      <c r="H1620" t="s">
        <v>125</v>
      </c>
      <c r="I1620">
        <v>2023</v>
      </c>
      <c r="J1620" t="s">
        <v>189</v>
      </c>
      <c r="K1620" t="s">
        <v>127</v>
      </c>
      <c r="L1620" t="s">
        <v>1904</v>
      </c>
      <c r="M1620" t="s">
        <v>1908</v>
      </c>
      <c r="N1620">
        <v>1</v>
      </c>
      <c r="O1620">
        <v>2023</v>
      </c>
      <c r="P1620">
        <v>3139.8496173378171</v>
      </c>
      <c r="Q1620">
        <v>15.04742874486676</v>
      </c>
      <c r="R1620" t="s">
        <v>109</v>
      </c>
      <c r="S1620">
        <v>208.66353119691209</v>
      </c>
      <c r="T1620">
        <v>2.5791324736225092</v>
      </c>
      <c r="U1620" t="s">
        <v>184</v>
      </c>
      <c r="V1620">
        <v>2.5791324736225092</v>
      </c>
      <c r="W1620">
        <v>9</v>
      </c>
      <c r="X1620">
        <v>22</v>
      </c>
      <c r="Y1620">
        <v>16</v>
      </c>
      <c r="Z1620">
        <v>9.0305172134094655E-2</v>
      </c>
      <c r="AA1620">
        <v>31.536000000000001</v>
      </c>
    </row>
    <row r="1621" spans="1:27" x14ac:dyDescent="0.25">
      <c r="A1621" t="s">
        <v>98</v>
      </c>
      <c r="B1621" t="s">
        <v>519</v>
      </c>
      <c r="C1621" t="s">
        <v>100</v>
      </c>
      <c r="D1621" t="s">
        <v>1707</v>
      </c>
      <c r="E1621" t="s">
        <v>179</v>
      </c>
      <c r="F1621" t="s">
        <v>180</v>
      </c>
      <c r="G1621" t="s">
        <v>114</v>
      </c>
      <c r="H1621" t="s">
        <v>125</v>
      </c>
      <c r="I1621">
        <v>2016</v>
      </c>
      <c r="J1621" t="s">
        <v>191</v>
      </c>
      <c r="K1621" t="s">
        <v>127</v>
      </c>
      <c r="L1621" t="s">
        <v>1904</v>
      </c>
      <c r="M1621" t="s">
        <v>1909</v>
      </c>
      <c r="N1621">
        <v>1</v>
      </c>
      <c r="O1621">
        <v>2020</v>
      </c>
      <c r="P1621">
        <v>3017.9137098683868</v>
      </c>
      <c r="Q1621">
        <v>15.04742874486676</v>
      </c>
      <c r="R1621" t="s">
        <v>109</v>
      </c>
      <c r="S1621">
        <v>200.56009309217771</v>
      </c>
      <c r="T1621">
        <v>2.4912075029308318</v>
      </c>
      <c r="U1621" t="s">
        <v>184</v>
      </c>
      <c r="V1621">
        <v>2.4912075029308318</v>
      </c>
      <c r="W1621">
        <v>9</v>
      </c>
      <c r="X1621">
        <v>22</v>
      </c>
      <c r="Y1621">
        <v>16</v>
      </c>
      <c r="Z1621">
        <v>9.0305172134094655E-2</v>
      </c>
      <c r="AA1621">
        <v>31.536000000000001</v>
      </c>
    </row>
    <row r="1622" spans="1:27" x14ac:dyDescent="0.25">
      <c r="A1622" t="s">
        <v>98</v>
      </c>
      <c r="B1622" t="s">
        <v>519</v>
      </c>
      <c r="C1622" t="s">
        <v>100</v>
      </c>
      <c r="D1622" t="s">
        <v>1707</v>
      </c>
      <c r="E1622" t="s">
        <v>179</v>
      </c>
      <c r="F1622" t="s">
        <v>180</v>
      </c>
      <c r="G1622" t="s">
        <v>114</v>
      </c>
      <c r="H1622" t="s">
        <v>125</v>
      </c>
      <c r="I1622">
        <v>2022</v>
      </c>
      <c r="J1622" t="s">
        <v>193</v>
      </c>
      <c r="K1622" t="s">
        <v>127</v>
      </c>
      <c r="L1622" t="s">
        <v>1904</v>
      </c>
      <c r="M1622" t="s">
        <v>1910</v>
      </c>
      <c r="N1622">
        <v>1</v>
      </c>
      <c r="O1622">
        <v>2022</v>
      </c>
      <c r="P1622">
        <v>3017.9137098683868</v>
      </c>
      <c r="Q1622">
        <v>15.04742874486676</v>
      </c>
      <c r="R1622" t="s">
        <v>109</v>
      </c>
      <c r="S1622">
        <v>200.56009309217771</v>
      </c>
      <c r="T1622">
        <v>2.4912075029308318</v>
      </c>
      <c r="U1622" t="s">
        <v>184</v>
      </c>
      <c r="V1622">
        <v>2.4912075029308318</v>
      </c>
      <c r="W1622">
        <v>9</v>
      </c>
      <c r="X1622">
        <v>22</v>
      </c>
      <c r="Y1622">
        <v>16</v>
      </c>
      <c r="Z1622">
        <v>9.0305172134094655E-2</v>
      </c>
      <c r="AA1622">
        <v>31.536000000000001</v>
      </c>
    </row>
    <row r="1623" spans="1:27" x14ac:dyDescent="0.25">
      <c r="A1623" t="s">
        <v>98</v>
      </c>
      <c r="B1623" t="s">
        <v>519</v>
      </c>
      <c r="C1623" t="s">
        <v>100</v>
      </c>
      <c r="D1623" t="s">
        <v>1707</v>
      </c>
      <c r="E1623" t="s">
        <v>179</v>
      </c>
      <c r="F1623" t="s">
        <v>180</v>
      </c>
      <c r="G1623" t="s">
        <v>114</v>
      </c>
      <c r="H1623" t="s">
        <v>125</v>
      </c>
      <c r="I1623">
        <v>2023</v>
      </c>
      <c r="J1623" t="s">
        <v>195</v>
      </c>
      <c r="K1623" t="s">
        <v>127</v>
      </c>
      <c r="L1623" t="s">
        <v>1904</v>
      </c>
      <c r="M1623" t="s">
        <v>1911</v>
      </c>
      <c r="N1623">
        <v>1</v>
      </c>
      <c r="O1623">
        <v>2023</v>
      </c>
      <c r="P1623">
        <v>3266.447780092843</v>
      </c>
      <c r="Q1623">
        <v>15.04742874486676</v>
      </c>
      <c r="R1623" t="s">
        <v>109</v>
      </c>
      <c r="S1623">
        <v>217.07680664094531</v>
      </c>
      <c r="T1623">
        <v>2.6963657678780768</v>
      </c>
      <c r="U1623" t="s">
        <v>184</v>
      </c>
      <c r="V1623">
        <v>2.6963657678780768</v>
      </c>
      <c r="W1623">
        <v>9</v>
      </c>
      <c r="X1623">
        <v>22</v>
      </c>
      <c r="Y1623">
        <v>16</v>
      </c>
      <c r="Z1623">
        <v>9.0305172134094655E-2</v>
      </c>
      <c r="AA1623">
        <v>31.536000000000001</v>
      </c>
    </row>
    <row r="1624" spans="1:27" x14ac:dyDescent="0.25">
      <c r="A1624" t="s">
        <v>98</v>
      </c>
      <c r="B1624" t="s">
        <v>519</v>
      </c>
      <c r="C1624" t="s">
        <v>100</v>
      </c>
      <c r="D1624" t="s">
        <v>1707</v>
      </c>
      <c r="E1624" t="s">
        <v>179</v>
      </c>
      <c r="F1624" t="s">
        <v>180</v>
      </c>
      <c r="G1624" t="s">
        <v>119</v>
      </c>
      <c r="H1624" t="s">
        <v>125</v>
      </c>
      <c r="I1624">
        <v>2016</v>
      </c>
      <c r="J1624" t="s">
        <v>197</v>
      </c>
      <c r="K1624" t="s">
        <v>127</v>
      </c>
      <c r="L1624" t="s">
        <v>1904</v>
      </c>
      <c r="M1624" t="s">
        <v>1912</v>
      </c>
      <c r="N1624">
        <v>1</v>
      </c>
      <c r="O1624">
        <v>2020</v>
      </c>
      <c r="P1624">
        <v>3719.0451778176089</v>
      </c>
      <c r="Q1624">
        <v>15.04742874486676</v>
      </c>
      <c r="R1624" t="s">
        <v>109</v>
      </c>
      <c r="S1624">
        <v>247.15486219440081</v>
      </c>
      <c r="T1624">
        <v>2.6377491207502932</v>
      </c>
      <c r="U1624" t="s">
        <v>184</v>
      </c>
      <c r="V1624">
        <v>2.6377491207502932</v>
      </c>
      <c r="W1624">
        <v>9</v>
      </c>
      <c r="X1624">
        <v>22</v>
      </c>
      <c r="Y1624">
        <v>16</v>
      </c>
      <c r="Z1624">
        <v>9.0305172134094655E-2</v>
      </c>
      <c r="AA1624">
        <v>31.536000000000001</v>
      </c>
    </row>
    <row r="1625" spans="1:27" x14ac:dyDescent="0.25">
      <c r="A1625" t="s">
        <v>98</v>
      </c>
      <c r="B1625" t="s">
        <v>519</v>
      </c>
      <c r="C1625" t="s">
        <v>100</v>
      </c>
      <c r="D1625" t="s">
        <v>1707</v>
      </c>
      <c r="E1625" t="s">
        <v>179</v>
      </c>
      <c r="F1625" t="s">
        <v>180</v>
      </c>
      <c r="G1625" t="s">
        <v>119</v>
      </c>
      <c r="H1625" t="s">
        <v>125</v>
      </c>
      <c r="I1625">
        <v>2022</v>
      </c>
      <c r="J1625" t="s">
        <v>199</v>
      </c>
      <c r="K1625" t="s">
        <v>127</v>
      </c>
      <c r="L1625" t="s">
        <v>1904</v>
      </c>
      <c r="M1625" t="s">
        <v>1913</v>
      </c>
      <c r="N1625">
        <v>1</v>
      </c>
      <c r="O1625">
        <v>2022</v>
      </c>
      <c r="P1625">
        <v>3914.784397702746</v>
      </c>
      <c r="Q1625">
        <v>15.04742874486676</v>
      </c>
      <c r="R1625" t="s">
        <v>109</v>
      </c>
      <c r="S1625">
        <v>260.16301283621141</v>
      </c>
      <c r="T1625">
        <v>2.9308323563892151</v>
      </c>
      <c r="U1625" t="s">
        <v>184</v>
      </c>
      <c r="V1625">
        <v>2.9308323563892151</v>
      </c>
      <c r="W1625">
        <v>9</v>
      </c>
      <c r="X1625">
        <v>22</v>
      </c>
      <c r="Y1625">
        <v>16</v>
      </c>
      <c r="Z1625">
        <v>9.0305172134094655E-2</v>
      </c>
      <c r="AA1625">
        <v>31.536000000000001</v>
      </c>
    </row>
    <row r="1626" spans="1:27" x14ac:dyDescent="0.25">
      <c r="A1626" t="s">
        <v>98</v>
      </c>
      <c r="B1626" t="s">
        <v>519</v>
      </c>
      <c r="C1626" t="s">
        <v>100</v>
      </c>
      <c r="D1626" t="s">
        <v>1707</v>
      </c>
      <c r="E1626" t="s">
        <v>179</v>
      </c>
      <c r="F1626" t="s">
        <v>201</v>
      </c>
      <c r="G1626" t="s">
        <v>103</v>
      </c>
      <c r="H1626" t="s">
        <v>125</v>
      </c>
      <c r="I1626">
        <v>2016</v>
      </c>
      <c r="J1626" t="s">
        <v>202</v>
      </c>
      <c r="K1626" t="s">
        <v>127</v>
      </c>
      <c r="L1626" t="s">
        <v>1904</v>
      </c>
      <c r="M1626" t="s">
        <v>1914</v>
      </c>
      <c r="N1626">
        <v>1</v>
      </c>
      <c r="O1626">
        <v>2020</v>
      </c>
      <c r="P1626">
        <v>9511.0007826155233</v>
      </c>
      <c r="Q1626">
        <v>15.04742874486676</v>
      </c>
      <c r="R1626" t="s">
        <v>109</v>
      </c>
      <c r="S1626">
        <v>632.06817216928721</v>
      </c>
      <c r="T1626">
        <v>3.2</v>
      </c>
      <c r="U1626" t="s">
        <v>184</v>
      </c>
      <c r="V1626">
        <v>3.2</v>
      </c>
      <c r="W1626">
        <v>8</v>
      </c>
      <c r="X1626">
        <v>20.8</v>
      </c>
      <c r="Y1626">
        <v>15</v>
      </c>
      <c r="Z1626">
        <v>9.0305172134094655E-2</v>
      </c>
      <c r="AA1626">
        <v>31.536000000000001</v>
      </c>
    </row>
    <row r="1627" spans="1:27" x14ac:dyDescent="0.25">
      <c r="A1627" t="s">
        <v>98</v>
      </c>
      <c r="B1627" t="s">
        <v>519</v>
      </c>
      <c r="C1627" t="s">
        <v>100</v>
      </c>
      <c r="D1627" t="s">
        <v>1707</v>
      </c>
      <c r="E1627" t="s">
        <v>179</v>
      </c>
      <c r="F1627" t="s">
        <v>201</v>
      </c>
      <c r="G1627" t="s">
        <v>111</v>
      </c>
      <c r="H1627" t="s">
        <v>125</v>
      </c>
      <c r="I1627">
        <v>2016</v>
      </c>
      <c r="J1627" t="s">
        <v>204</v>
      </c>
      <c r="K1627" t="s">
        <v>127</v>
      </c>
      <c r="L1627" t="s">
        <v>1904</v>
      </c>
      <c r="M1627" t="s">
        <v>1915</v>
      </c>
      <c r="N1627">
        <v>1</v>
      </c>
      <c r="O1627">
        <v>2020</v>
      </c>
      <c r="P1627">
        <v>9846.3245281564559</v>
      </c>
      <c r="Q1627">
        <v>15.04742874486676</v>
      </c>
      <c r="R1627" t="s">
        <v>109</v>
      </c>
      <c r="S1627">
        <v>654.35262695730705</v>
      </c>
      <c r="T1627">
        <v>3.7</v>
      </c>
      <c r="U1627" t="s">
        <v>184</v>
      </c>
      <c r="V1627">
        <v>3.7</v>
      </c>
      <c r="W1627">
        <v>8</v>
      </c>
      <c r="X1627">
        <v>20.8</v>
      </c>
      <c r="Y1627">
        <v>15</v>
      </c>
      <c r="Z1627">
        <v>9.0305172134094655E-2</v>
      </c>
      <c r="AA1627">
        <v>31.536000000000001</v>
      </c>
    </row>
    <row r="1628" spans="1:27" x14ac:dyDescent="0.25">
      <c r="A1628" t="s">
        <v>98</v>
      </c>
      <c r="B1628" t="s">
        <v>519</v>
      </c>
      <c r="C1628" t="s">
        <v>100</v>
      </c>
      <c r="D1628" t="s">
        <v>1707</v>
      </c>
      <c r="E1628" t="s">
        <v>179</v>
      </c>
      <c r="F1628" t="s">
        <v>201</v>
      </c>
      <c r="G1628" t="s">
        <v>114</v>
      </c>
      <c r="H1628" t="s">
        <v>125</v>
      </c>
      <c r="I1628">
        <v>2016</v>
      </c>
      <c r="J1628" t="s">
        <v>206</v>
      </c>
      <c r="K1628" t="s">
        <v>127</v>
      </c>
      <c r="L1628" t="s">
        <v>1904</v>
      </c>
      <c r="M1628" t="s">
        <v>1916</v>
      </c>
      <c r="N1628">
        <v>0</v>
      </c>
      <c r="O1628">
        <v>2020</v>
      </c>
      <c r="P1628">
        <v>9846.3245281564559</v>
      </c>
      <c r="Q1628">
        <v>15.04742874486676</v>
      </c>
      <c r="R1628" t="s">
        <v>109</v>
      </c>
      <c r="S1628">
        <v>654.35262695730705</v>
      </c>
      <c r="T1628">
        <v>3.6</v>
      </c>
      <c r="U1628" t="s">
        <v>184</v>
      </c>
      <c r="V1628">
        <v>3.6</v>
      </c>
      <c r="W1628">
        <v>8</v>
      </c>
      <c r="X1628">
        <v>20.8</v>
      </c>
      <c r="Y1628">
        <v>15</v>
      </c>
      <c r="Z1628">
        <v>9.0305172134094655E-2</v>
      </c>
      <c r="AA1628">
        <v>31.536000000000001</v>
      </c>
    </row>
    <row r="1629" spans="1:27" x14ac:dyDescent="0.25">
      <c r="A1629" t="s">
        <v>98</v>
      </c>
      <c r="B1629" t="s">
        <v>519</v>
      </c>
      <c r="C1629" t="s">
        <v>100</v>
      </c>
      <c r="D1629" t="s">
        <v>1707</v>
      </c>
      <c r="E1629" t="s">
        <v>179</v>
      </c>
      <c r="F1629" t="s">
        <v>201</v>
      </c>
      <c r="G1629" t="s">
        <v>114</v>
      </c>
      <c r="H1629" t="s">
        <v>125</v>
      </c>
      <c r="I1629">
        <v>2020</v>
      </c>
      <c r="J1629" t="s">
        <v>208</v>
      </c>
      <c r="K1629" t="s">
        <v>127</v>
      </c>
      <c r="L1629" t="s">
        <v>1904</v>
      </c>
      <c r="M1629" t="s">
        <v>1916</v>
      </c>
      <c r="N1629">
        <v>1</v>
      </c>
      <c r="O1629">
        <v>2020</v>
      </c>
      <c r="P1629">
        <v>9846.3245281564559</v>
      </c>
      <c r="Q1629">
        <v>15.04742874486676</v>
      </c>
      <c r="R1629" t="s">
        <v>109</v>
      </c>
      <c r="S1629">
        <v>654.35262695730705</v>
      </c>
      <c r="T1629">
        <v>3.6</v>
      </c>
      <c r="U1629" t="s">
        <v>184</v>
      </c>
      <c r="V1629">
        <v>3.6</v>
      </c>
      <c r="W1629">
        <v>8</v>
      </c>
      <c r="X1629">
        <v>20.8</v>
      </c>
      <c r="Y1629">
        <v>15</v>
      </c>
      <c r="Z1629">
        <v>9.0305172134094655E-2</v>
      </c>
      <c r="AA1629">
        <v>31.536000000000001</v>
      </c>
    </row>
    <row r="1630" spans="1:27" x14ac:dyDescent="0.25">
      <c r="A1630" t="s">
        <v>98</v>
      </c>
      <c r="B1630" t="s">
        <v>519</v>
      </c>
      <c r="C1630" t="s">
        <v>100</v>
      </c>
      <c r="D1630" t="s">
        <v>1707</v>
      </c>
      <c r="E1630" t="s">
        <v>179</v>
      </c>
      <c r="F1630" t="s">
        <v>201</v>
      </c>
      <c r="G1630" t="s">
        <v>114</v>
      </c>
      <c r="H1630" t="s">
        <v>125</v>
      </c>
      <c r="I1630">
        <v>2022</v>
      </c>
      <c r="J1630" t="s">
        <v>209</v>
      </c>
      <c r="K1630" t="s">
        <v>127</v>
      </c>
      <c r="L1630" t="s">
        <v>1904</v>
      </c>
      <c r="M1630" t="s">
        <v>1917</v>
      </c>
      <c r="N1630">
        <v>1</v>
      </c>
      <c r="O1630">
        <v>2022</v>
      </c>
      <c r="P1630">
        <v>9846.3245281564559</v>
      </c>
      <c r="Q1630">
        <v>15.04742874486676</v>
      </c>
      <c r="R1630" t="s">
        <v>109</v>
      </c>
      <c r="S1630">
        <v>654.35262695730705</v>
      </c>
      <c r="T1630">
        <v>3.6</v>
      </c>
      <c r="U1630" t="s">
        <v>184</v>
      </c>
      <c r="V1630">
        <v>3.6</v>
      </c>
      <c r="W1630">
        <v>8</v>
      </c>
      <c r="X1630">
        <v>20.8</v>
      </c>
      <c r="Y1630">
        <v>15</v>
      </c>
      <c r="Z1630">
        <v>9.0305172134094655E-2</v>
      </c>
      <c r="AA1630">
        <v>31.536000000000001</v>
      </c>
    </row>
    <row r="1631" spans="1:27" x14ac:dyDescent="0.25">
      <c r="A1631" t="s">
        <v>98</v>
      </c>
      <c r="B1631" t="s">
        <v>519</v>
      </c>
      <c r="C1631" t="s">
        <v>100</v>
      </c>
      <c r="D1631" t="s">
        <v>1707</v>
      </c>
      <c r="E1631" t="s">
        <v>179</v>
      </c>
      <c r="F1631" t="s">
        <v>201</v>
      </c>
      <c r="G1631" t="s">
        <v>114</v>
      </c>
      <c r="H1631" t="s">
        <v>125</v>
      </c>
      <c r="I1631">
        <v>2023</v>
      </c>
      <c r="J1631" t="s">
        <v>211</v>
      </c>
      <c r="K1631" t="s">
        <v>127</v>
      </c>
      <c r="L1631" t="s">
        <v>1904</v>
      </c>
      <c r="M1631" t="s">
        <v>1918</v>
      </c>
      <c r="N1631">
        <v>1</v>
      </c>
      <c r="O1631">
        <v>2023</v>
      </c>
      <c r="P1631">
        <v>9846.3245281564559</v>
      </c>
      <c r="Q1631">
        <v>15.04742874486676</v>
      </c>
      <c r="R1631" t="s">
        <v>109</v>
      </c>
      <c r="S1631">
        <v>654.35262695730705</v>
      </c>
      <c r="T1631">
        <v>3.6</v>
      </c>
      <c r="U1631" t="s">
        <v>184</v>
      </c>
      <c r="V1631">
        <v>3.6</v>
      </c>
      <c r="W1631">
        <v>8</v>
      </c>
      <c r="X1631">
        <v>20.8</v>
      </c>
      <c r="Y1631">
        <v>15</v>
      </c>
      <c r="Z1631">
        <v>9.0305172134094655E-2</v>
      </c>
      <c r="AA1631">
        <v>31.536000000000001</v>
      </c>
    </row>
    <row r="1632" spans="1:27" x14ac:dyDescent="0.25">
      <c r="A1632" t="s">
        <v>98</v>
      </c>
      <c r="B1632" t="s">
        <v>519</v>
      </c>
      <c r="C1632" t="s">
        <v>100</v>
      </c>
      <c r="D1632" t="s">
        <v>1707</v>
      </c>
      <c r="E1632" t="s">
        <v>179</v>
      </c>
      <c r="F1632" t="s">
        <v>201</v>
      </c>
      <c r="G1632" t="s">
        <v>114</v>
      </c>
      <c r="H1632" t="s">
        <v>125</v>
      </c>
      <c r="I1632">
        <v>2024</v>
      </c>
      <c r="J1632" t="s">
        <v>213</v>
      </c>
      <c r="K1632" t="s">
        <v>127</v>
      </c>
      <c r="L1632" t="s">
        <v>1904</v>
      </c>
      <c r="M1632" t="s">
        <v>1919</v>
      </c>
      <c r="N1632">
        <v>1</v>
      </c>
      <c r="O1632">
        <v>2024</v>
      </c>
      <c r="P1632">
        <v>9846.3245281564559</v>
      </c>
      <c r="Q1632">
        <v>15.04742874486676</v>
      </c>
      <c r="R1632" t="s">
        <v>109</v>
      </c>
      <c r="S1632">
        <v>654.35262695730705</v>
      </c>
      <c r="T1632">
        <v>3.6</v>
      </c>
      <c r="U1632" t="s">
        <v>184</v>
      </c>
      <c r="V1632">
        <v>3.6</v>
      </c>
      <c r="W1632">
        <v>8</v>
      </c>
      <c r="X1632">
        <v>20.8</v>
      </c>
      <c r="Y1632">
        <v>15</v>
      </c>
      <c r="Z1632">
        <v>9.0305172134094655E-2</v>
      </c>
      <c r="AA1632">
        <v>31.536000000000001</v>
      </c>
    </row>
    <row r="1633" spans="1:27" x14ac:dyDescent="0.25">
      <c r="A1633" t="s">
        <v>98</v>
      </c>
      <c r="B1633" t="s">
        <v>519</v>
      </c>
      <c r="C1633" t="s">
        <v>100</v>
      </c>
      <c r="D1633" t="s">
        <v>1707</v>
      </c>
      <c r="E1633" t="s">
        <v>179</v>
      </c>
      <c r="F1633" t="s">
        <v>201</v>
      </c>
      <c r="G1633" t="s">
        <v>119</v>
      </c>
      <c r="H1633" t="s">
        <v>125</v>
      </c>
      <c r="I1633">
        <v>2016</v>
      </c>
      <c r="J1633" t="s">
        <v>215</v>
      </c>
      <c r="K1633" t="s">
        <v>127</v>
      </c>
      <c r="L1633" t="s">
        <v>1904</v>
      </c>
      <c r="M1633" t="s">
        <v>1920</v>
      </c>
      <c r="N1633">
        <v>0</v>
      </c>
      <c r="O1633">
        <v>2020</v>
      </c>
      <c r="P1633">
        <v>10395.03611176889</v>
      </c>
      <c r="Q1633">
        <v>15.04742874486676</v>
      </c>
      <c r="R1633" t="s">
        <v>109</v>
      </c>
      <c r="S1633">
        <v>690.81809842861207</v>
      </c>
      <c r="T1633">
        <v>4.5</v>
      </c>
      <c r="U1633" t="s">
        <v>184</v>
      </c>
      <c r="V1633">
        <v>4.5</v>
      </c>
      <c r="W1633">
        <v>8</v>
      </c>
      <c r="X1633">
        <v>20.8</v>
      </c>
      <c r="Y1633">
        <v>15</v>
      </c>
      <c r="Z1633">
        <v>9.0305172134094655E-2</v>
      </c>
      <c r="AA1633">
        <v>31.536000000000001</v>
      </c>
    </row>
    <row r="1634" spans="1:27" x14ac:dyDescent="0.25">
      <c r="A1634" t="s">
        <v>98</v>
      </c>
      <c r="B1634" t="s">
        <v>519</v>
      </c>
      <c r="C1634" t="s">
        <v>100</v>
      </c>
      <c r="D1634" t="s">
        <v>1707</v>
      </c>
      <c r="E1634" t="s">
        <v>179</v>
      </c>
      <c r="F1634" t="s">
        <v>201</v>
      </c>
      <c r="G1634" t="s">
        <v>119</v>
      </c>
      <c r="H1634" t="s">
        <v>125</v>
      </c>
      <c r="I1634">
        <v>2020</v>
      </c>
      <c r="J1634" t="s">
        <v>217</v>
      </c>
      <c r="K1634" t="s">
        <v>127</v>
      </c>
      <c r="L1634" t="s">
        <v>1904</v>
      </c>
      <c r="M1634" t="s">
        <v>1920</v>
      </c>
      <c r="N1634">
        <v>1</v>
      </c>
      <c r="O1634">
        <v>2020</v>
      </c>
      <c r="P1634">
        <v>10395.03611176889</v>
      </c>
      <c r="Q1634">
        <v>15.04742874486676</v>
      </c>
      <c r="R1634" t="s">
        <v>109</v>
      </c>
      <c r="S1634">
        <v>690.81809842861207</v>
      </c>
      <c r="T1634">
        <v>4.5</v>
      </c>
      <c r="U1634" t="s">
        <v>184</v>
      </c>
      <c r="V1634">
        <v>4.5</v>
      </c>
      <c r="W1634">
        <v>8</v>
      </c>
      <c r="X1634">
        <v>20.8</v>
      </c>
      <c r="Y1634">
        <v>15</v>
      </c>
      <c r="Z1634">
        <v>9.0305172134094655E-2</v>
      </c>
      <c r="AA1634">
        <v>31.536000000000001</v>
      </c>
    </row>
    <row r="1635" spans="1:27" x14ac:dyDescent="0.25">
      <c r="A1635" t="s">
        <v>98</v>
      </c>
      <c r="B1635" t="s">
        <v>519</v>
      </c>
      <c r="C1635" t="s">
        <v>100</v>
      </c>
      <c r="D1635" t="s">
        <v>1707</v>
      </c>
      <c r="E1635" t="s">
        <v>179</v>
      </c>
      <c r="F1635" t="s">
        <v>201</v>
      </c>
      <c r="G1635" t="s">
        <v>119</v>
      </c>
      <c r="H1635" t="s">
        <v>125</v>
      </c>
      <c r="I1635">
        <v>2022</v>
      </c>
      <c r="J1635" t="s">
        <v>218</v>
      </c>
      <c r="K1635" t="s">
        <v>127</v>
      </c>
      <c r="L1635" t="s">
        <v>1904</v>
      </c>
      <c r="M1635" t="s">
        <v>1921</v>
      </c>
      <c r="N1635">
        <v>1</v>
      </c>
      <c r="O1635">
        <v>2022</v>
      </c>
      <c r="P1635">
        <v>10395.03611176889</v>
      </c>
      <c r="Q1635">
        <v>15.04742874486676</v>
      </c>
      <c r="R1635" t="s">
        <v>109</v>
      </c>
      <c r="S1635">
        <v>690.81809842861207</v>
      </c>
      <c r="T1635">
        <v>4.5</v>
      </c>
      <c r="U1635" t="s">
        <v>184</v>
      </c>
      <c r="V1635">
        <v>4.5</v>
      </c>
      <c r="W1635">
        <v>8</v>
      </c>
      <c r="X1635">
        <v>20.8</v>
      </c>
      <c r="Y1635">
        <v>15</v>
      </c>
      <c r="Z1635">
        <v>9.0305172134094655E-2</v>
      </c>
      <c r="AA1635">
        <v>31.536000000000001</v>
      </c>
    </row>
    <row r="1636" spans="1:27" x14ac:dyDescent="0.25">
      <c r="A1636" t="s">
        <v>98</v>
      </c>
      <c r="B1636" t="s">
        <v>519</v>
      </c>
      <c r="C1636" t="s">
        <v>100</v>
      </c>
      <c r="D1636" t="s">
        <v>1707</v>
      </c>
      <c r="E1636" t="s">
        <v>179</v>
      </c>
      <c r="F1636" t="s">
        <v>201</v>
      </c>
      <c r="G1636" t="s">
        <v>119</v>
      </c>
      <c r="H1636" t="s">
        <v>125</v>
      </c>
      <c r="I1636">
        <v>2023</v>
      </c>
      <c r="J1636" t="s">
        <v>220</v>
      </c>
      <c r="K1636" t="s">
        <v>127</v>
      </c>
      <c r="L1636" t="s">
        <v>1904</v>
      </c>
      <c r="M1636" t="s">
        <v>1922</v>
      </c>
      <c r="N1636">
        <v>1</v>
      </c>
      <c r="O1636">
        <v>2023</v>
      </c>
      <c r="P1636">
        <v>10395.03611176889</v>
      </c>
      <c r="Q1636">
        <v>15.04742874486676</v>
      </c>
      <c r="R1636" t="s">
        <v>109</v>
      </c>
      <c r="S1636">
        <v>690.81809842861207</v>
      </c>
      <c r="T1636">
        <v>4.5</v>
      </c>
      <c r="U1636" t="s">
        <v>184</v>
      </c>
      <c r="V1636">
        <v>4.5</v>
      </c>
      <c r="W1636">
        <v>8</v>
      </c>
      <c r="X1636">
        <v>20.8</v>
      </c>
      <c r="Y1636">
        <v>15</v>
      </c>
      <c r="Z1636">
        <v>9.0305172134094655E-2</v>
      </c>
      <c r="AA1636">
        <v>31.536000000000001</v>
      </c>
    </row>
    <row r="1637" spans="1:27" x14ac:dyDescent="0.25">
      <c r="A1637" t="s">
        <v>98</v>
      </c>
      <c r="B1637" t="s">
        <v>519</v>
      </c>
      <c r="C1637" t="s">
        <v>100</v>
      </c>
      <c r="D1637" t="s">
        <v>1707</v>
      </c>
      <c r="E1637" t="s">
        <v>179</v>
      </c>
      <c r="F1637" t="s">
        <v>201</v>
      </c>
      <c r="G1637" t="s">
        <v>119</v>
      </c>
      <c r="H1637" t="s">
        <v>125</v>
      </c>
      <c r="I1637">
        <v>2024</v>
      </c>
      <c r="J1637" t="s">
        <v>222</v>
      </c>
      <c r="K1637" t="s">
        <v>127</v>
      </c>
      <c r="L1637" t="s">
        <v>1904</v>
      </c>
      <c r="M1637" t="s">
        <v>1923</v>
      </c>
      <c r="N1637">
        <v>1</v>
      </c>
      <c r="O1637">
        <v>2024</v>
      </c>
      <c r="P1637">
        <v>10395.03611176889</v>
      </c>
      <c r="Q1637">
        <v>15.04742874486676</v>
      </c>
      <c r="R1637" t="s">
        <v>109</v>
      </c>
      <c r="S1637">
        <v>690.81809842861207</v>
      </c>
      <c r="T1637">
        <v>4.5</v>
      </c>
      <c r="U1637" t="s">
        <v>184</v>
      </c>
      <c r="V1637">
        <v>4.5</v>
      </c>
      <c r="W1637">
        <v>8</v>
      </c>
      <c r="X1637">
        <v>20.8</v>
      </c>
      <c r="Y1637">
        <v>15</v>
      </c>
      <c r="Z1637">
        <v>9.0305172134094655E-2</v>
      </c>
      <c r="AA1637">
        <v>31.536000000000001</v>
      </c>
    </row>
    <row r="1638" spans="1:27" x14ac:dyDescent="0.25">
      <c r="A1638" t="s">
        <v>98</v>
      </c>
      <c r="B1638" t="s">
        <v>519</v>
      </c>
      <c r="C1638" t="s">
        <v>100</v>
      </c>
      <c r="D1638" t="s">
        <v>1707</v>
      </c>
      <c r="E1638" t="s">
        <v>179</v>
      </c>
      <c r="F1638" t="s">
        <v>224</v>
      </c>
      <c r="G1638" t="s">
        <v>111</v>
      </c>
      <c r="H1638" t="s">
        <v>125</v>
      </c>
      <c r="I1638">
        <v>2016</v>
      </c>
      <c r="J1638" t="s">
        <v>225</v>
      </c>
      <c r="K1638" t="s">
        <v>127</v>
      </c>
      <c r="L1638" t="s">
        <v>1904</v>
      </c>
      <c r="M1638" t="s">
        <v>1924</v>
      </c>
      <c r="N1638">
        <v>1</v>
      </c>
      <c r="O1638">
        <v>2020</v>
      </c>
      <c r="P1638">
        <v>1341.294982163728</v>
      </c>
      <c r="Q1638">
        <v>15.04742874486676</v>
      </c>
      <c r="R1638" t="s">
        <v>109</v>
      </c>
      <c r="S1638">
        <v>89.13781915207899</v>
      </c>
      <c r="T1638">
        <v>0.98</v>
      </c>
      <c r="U1638" t="s">
        <v>227</v>
      </c>
      <c r="V1638">
        <v>0.98</v>
      </c>
      <c r="W1638">
        <v>15</v>
      </c>
      <c r="X1638">
        <v>30</v>
      </c>
      <c r="Y1638">
        <v>23</v>
      </c>
      <c r="Z1638">
        <v>9.0305172134094655E-2</v>
      </c>
      <c r="AA1638">
        <v>31.536000000000001</v>
      </c>
    </row>
    <row r="1639" spans="1:27" x14ac:dyDescent="0.25">
      <c r="A1639" t="s">
        <v>98</v>
      </c>
      <c r="B1639" t="s">
        <v>519</v>
      </c>
      <c r="C1639" t="s">
        <v>100</v>
      </c>
      <c r="D1639" t="s">
        <v>1707</v>
      </c>
      <c r="E1639" t="s">
        <v>179</v>
      </c>
      <c r="F1639" t="s">
        <v>228</v>
      </c>
      <c r="G1639" t="s">
        <v>103</v>
      </c>
      <c r="H1639" t="s">
        <v>104</v>
      </c>
      <c r="I1639">
        <v>2016</v>
      </c>
      <c r="J1639" t="s">
        <v>229</v>
      </c>
      <c r="K1639" t="s">
        <v>106</v>
      </c>
      <c r="L1639" t="s">
        <v>1904</v>
      </c>
      <c r="M1639" t="s">
        <v>1925</v>
      </c>
      <c r="N1639">
        <v>1</v>
      </c>
      <c r="O1639">
        <v>2020</v>
      </c>
      <c r="P1639">
        <v>2499.6861031233111</v>
      </c>
      <c r="Q1639">
        <v>15.04742874486676</v>
      </c>
      <c r="R1639" t="s">
        <v>109</v>
      </c>
      <c r="S1639">
        <v>166.1204811470563</v>
      </c>
      <c r="T1639">
        <v>0.8</v>
      </c>
      <c r="U1639" t="s">
        <v>227</v>
      </c>
      <c r="V1639">
        <v>0.8</v>
      </c>
      <c r="W1639">
        <v>16</v>
      </c>
      <c r="X1639">
        <v>27</v>
      </c>
      <c r="Y1639">
        <v>22</v>
      </c>
      <c r="Z1639">
        <v>9.0305172134094655E-2</v>
      </c>
      <c r="AA1639">
        <v>31.536000000000001</v>
      </c>
    </row>
    <row r="1640" spans="1:27" x14ac:dyDescent="0.25">
      <c r="A1640" t="s">
        <v>98</v>
      </c>
      <c r="B1640" t="s">
        <v>519</v>
      </c>
      <c r="C1640" t="s">
        <v>100</v>
      </c>
      <c r="D1640" t="s">
        <v>1707</v>
      </c>
      <c r="E1640" t="s">
        <v>179</v>
      </c>
      <c r="F1640" t="s">
        <v>228</v>
      </c>
      <c r="G1640" t="s">
        <v>111</v>
      </c>
      <c r="H1640" t="s">
        <v>104</v>
      </c>
      <c r="I1640">
        <v>2016</v>
      </c>
      <c r="J1640" t="s">
        <v>231</v>
      </c>
      <c r="K1640" t="s">
        <v>106</v>
      </c>
      <c r="L1640" t="s">
        <v>1904</v>
      </c>
      <c r="M1640" t="s">
        <v>1926</v>
      </c>
      <c r="N1640">
        <v>0</v>
      </c>
      <c r="O1640">
        <v>2020</v>
      </c>
      <c r="P1640">
        <v>3182.5271849521182</v>
      </c>
      <c r="Q1640">
        <v>15.04742874486676</v>
      </c>
      <c r="R1640" t="s">
        <v>109</v>
      </c>
      <c r="S1640">
        <v>211.49973453356921</v>
      </c>
      <c r="T1640">
        <v>0.92</v>
      </c>
      <c r="U1640" t="s">
        <v>227</v>
      </c>
      <c r="V1640">
        <v>0.92</v>
      </c>
      <c r="W1640">
        <v>16</v>
      </c>
      <c r="X1640">
        <v>27</v>
      </c>
      <c r="Y1640">
        <v>22</v>
      </c>
      <c r="Z1640">
        <v>9.0305172134094655E-2</v>
      </c>
      <c r="AA1640">
        <v>31.536000000000001</v>
      </c>
    </row>
    <row r="1641" spans="1:27" x14ac:dyDescent="0.25">
      <c r="A1641" t="s">
        <v>98</v>
      </c>
      <c r="B1641" t="s">
        <v>519</v>
      </c>
      <c r="C1641" t="s">
        <v>100</v>
      </c>
      <c r="D1641" t="s">
        <v>1707</v>
      </c>
      <c r="E1641" t="s">
        <v>179</v>
      </c>
      <c r="F1641" t="s">
        <v>228</v>
      </c>
      <c r="G1641" t="s">
        <v>111</v>
      </c>
      <c r="H1641" t="s">
        <v>104</v>
      </c>
      <c r="I1641">
        <v>2020</v>
      </c>
      <c r="J1641" t="s">
        <v>233</v>
      </c>
      <c r="K1641" t="s">
        <v>106</v>
      </c>
      <c r="L1641" t="s">
        <v>1904</v>
      </c>
      <c r="M1641" t="s">
        <v>1926</v>
      </c>
      <c r="N1641">
        <v>1</v>
      </c>
      <c r="O1641">
        <v>2020</v>
      </c>
      <c r="P1641">
        <v>3365.4310461562618</v>
      </c>
      <c r="Q1641">
        <v>15.04742874486676</v>
      </c>
      <c r="R1641" t="s">
        <v>109</v>
      </c>
      <c r="S1641">
        <v>223.65489169067089</v>
      </c>
      <c r="T1641">
        <v>0.92</v>
      </c>
      <c r="U1641" t="s">
        <v>227</v>
      </c>
      <c r="V1641">
        <v>0.92</v>
      </c>
      <c r="W1641">
        <v>16</v>
      </c>
      <c r="X1641">
        <v>27</v>
      </c>
      <c r="Y1641">
        <v>22</v>
      </c>
      <c r="Z1641">
        <v>9.0305172134094655E-2</v>
      </c>
      <c r="AA1641">
        <v>31.536000000000001</v>
      </c>
    </row>
    <row r="1642" spans="1:27" x14ac:dyDescent="0.25">
      <c r="A1642" t="s">
        <v>98</v>
      </c>
      <c r="B1642" t="s">
        <v>519</v>
      </c>
      <c r="C1642" t="s">
        <v>100</v>
      </c>
      <c r="D1642" t="s">
        <v>1707</v>
      </c>
      <c r="E1642" t="s">
        <v>179</v>
      </c>
      <c r="F1642" t="s">
        <v>228</v>
      </c>
      <c r="G1642" t="s">
        <v>114</v>
      </c>
      <c r="H1642" t="s">
        <v>104</v>
      </c>
      <c r="I1642">
        <v>2016</v>
      </c>
      <c r="J1642" t="s">
        <v>234</v>
      </c>
      <c r="K1642" t="s">
        <v>106</v>
      </c>
      <c r="L1642" t="s">
        <v>1904</v>
      </c>
      <c r="M1642" t="s">
        <v>1927</v>
      </c>
      <c r="N1642">
        <v>1</v>
      </c>
      <c r="O1642">
        <v>2020</v>
      </c>
      <c r="P1642">
        <v>3341.043864662377</v>
      </c>
      <c r="Q1642">
        <v>15.04742874486676</v>
      </c>
      <c r="R1642" t="s">
        <v>109</v>
      </c>
      <c r="S1642">
        <v>222.03420406972401</v>
      </c>
      <c r="T1642">
        <v>0.95</v>
      </c>
      <c r="U1642" t="s">
        <v>227</v>
      </c>
      <c r="V1642">
        <v>0.95</v>
      </c>
      <c r="W1642">
        <v>16</v>
      </c>
      <c r="X1642">
        <v>27</v>
      </c>
      <c r="Y1642">
        <v>22</v>
      </c>
      <c r="Z1642">
        <v>9.0305172134094655E-2</v>
      </c>
      <c r="AA1642">
        <v>31.536000000000001</v>
      </c>
    </row>
    <row r="1643" spans="1:27" x14ac:dyDescent="0.25">
      <c r="A1643" t="s">
        <v>98</v>
      </c>
      <c r="B1643" t="s">
        <v>519</v>
      </c>
      <c r="C1643" t="s">
        <v>100</v>
      </c>
      <c r="D1643" t="s">
        <v>1707</v>
      </c>
      <c r="E1643" t="s">
        <v>179</v>
      </c>
      <c r="F1643" t="s">
        <v>228</v>
      </c>
      <c r="G1643" t="s">
        <v>114</v>
      </c>
      <c r="H1643" t="s">
        <v>104</v>
      </c>
      <c r="I1643">
        <v>2022</v>
      </c>
      <c r="J1643" t="s">
        <v>236</v>
      </c>
      <c r="K1643" t="s">
        <v>106</v>
      </c>
      <c r="L1643" t="s">
        <v>1904</v>
      </c>
      <c r="M1643" t="s">
        <v>1928</v>
      </c>
      <c r="N1643">
        <v>1</v>
      </c>
      <c r="O1643">
        <v>2022</v>
      </c>
      <c r="P1643">
        <v>3341.043864662377</v>
      </c>
      <c r="Q1643">
        <v>15.04742874486676</v>
      </c>
      <c r="R1643" t="s">
        <v>109</v>
      </c>
      <c r="S1643">
        <v>222.03420406972401</v>
      </c>
      <c r="T1643">
        <v>0.95</v>
      </c>
      <c r="U1643" t="s">
        <v>227</v>
      </c>
      <c r="V1643">
        <v>0.95</v>
      </c>
      <c r="W1643">
        <v>16</v>
      </c>
      <c r="X1643">
        <v>27</v>
      </c>
      <c r="Y1643">
        <v>22</v>
      </c>
      <c r="Z1643">
        <v>9.0305172134094655E-2</v>
      </c>
      <c r="AA1643">
        <v>31.536000000000001</v>
      </c>
    </row>
    <row r="1644" spans="1:27" x14ac:dyDescent="0.25">
      <c r="A1644" t="s">
        <v>98</v>
      </c>
      <c r="B1644" t="s">
        <v>519</v>
      </c>
      <c r="C1644" t="s">
        <v>100</v>
      </c>
      <c r="D1644" t="s">
        <v>1707</v>
      </c>
      <c r="E1644" t="s">
        <v>179</v>
      </c>
      <c r="F1644" t="s">
        <v>228</v>
      </c>
      <c r="G1644" t="s">
        <v>119</v>
      </c>
      <c r="H1644" t="s">
        <v>104</v>
      </c>
      <c r="I1644">
        <v>2016</v>
      </c>
      <c r="J1644" t="s">
        <v>238</v>
      </c>
      <c r="K1644" t="s">
        <v>106</v>
      </c>
      <c r="L1644" t="s">
        <v>1904</v>
      </c>
      <c r="M1644" t="s">
        <v>1929</v>
      </c>
      <c r="N1644">
        <v>1</v>
      </c>
      <c r="O1644">
        <v>2020</v>
      </c>
      <c r="P1644">
        <v>3706.851587070666</v>
      </c>
      <c r="Q1644">
        <v>15.04742874486676</v>
      </c>
      <c r="R1644" t="s">
        <v>109</v>
      </c>
      <c r="S1644">
        <v>246.34451838392741</v>
      </c>
      <c r="T1644">
        <v>0.99</v>
      </c>
      <c r="U1644" t="s">
        <v>227</v>
      </c>
      <c r="V1644">
        <v>0.99</v>
      </c>
      <c r="W1644">
        <v>16</v>
      </c>
      <c r="X1644">
        <v>27</v>
      </c>
      <c r="Y1644">
        <v>22</v>
      </c>
      <c r="Z1644">
        <v>9.0305172134094655E-2</v>
      </c>
      <c r="AA1644">
        <v>31.536000000000001</v>
      </c>
    </row>
    <row r="1645" spans="1:27" x14ac:dyDescent="0.25">
      <c r="A1645" t="s">
        <v>98</v>
      </c>
      <c r="B1645" t="s">
        <v>519</v>
      </c>
      <c r="C1645" t="s">
        <v>100</v>
      </c>
      <c r="D1645" t="s">
        <v>1707</v>
      </c>
      <c r="E1645" t="s">
        <v>179</v>
      </c>
      <c r="F1645" t="s">
        <v>228</v>
      </c>
      <c r="G1645" t="s">
        <v>119</v>
      </c>
      <c r="H1645" t="s">
        <v>104</v>
      </c>
      <c r="I1645">
        <v>2022</v>
      </c>
      <c r="J1645" t="s">
        <v>240</v>
      </c>
      <c r="K1645" t="s">
        <v>106</v>
      </c>
      <c r="L1645" t="s">
        <v>1904</v>
      </c>
      <c r="M1645" t="s">
        <v>1930</v>
      </c>
      <c r="N1645">
        <v>1</v>
      </c>
      <c r="O1645">
        <v>2022</v>
      </c>
      <c r="P1645">
        <v>3706.851587070666</v>
      </c>
      <c r="Q1645">
        <v>15.04742874486676</v>
      </c>
      <c r="R1645" t="s">
        <v>109</v>
      </c>
      <c r="S1645">
        <v>246.34451838392741</v>
      </c>
      <c r="T1645">
        <v>0.99</v>
      </c>
      <c r="U1645" t="s">
        <v>227</v>
      </c>
      <c r="V1645">
        <v>0.99</v>
      </c>
      <c r="W1645">
        <v>16</v>
      </c>
      <c r="X1645">
        <v>27</v>
      </c>
      <c r="Y1645">
        <v>22</v>
      </c>
      <c r="Z1645">
        <v>9.0305172134094655E-2</v>
      </c>
      <c r="AA1645">
        <v>31.536000000000001</v>
      </c>
    </row>
    <row r="1646" spans="1:27" x14ac:dyDescent="0.25">
      <c r="A1646" t="s">
        <v>98</v>
      </c>
      <c r="B1646" t="s">
        <v>519</v>
      </c>
      <c r="C1646" t="s">
        <v>100</v>
      </c>
      <c r="D1646" t="s">
        <v>1707</v>
      </c>
      <c r="E1646" t="s">
        <v>179</v>
      </c>
      <c r="F1646" t="s">
        <v>224</v>
      </c>
      <c r="G1646" t="s">
        <v>103</v>
      </c>
      <c r="H1646" t="s">
        <v>104</v>
      </c>
      <c r="I1646">
        <v>2016</v>
      </c>
      <c r="J1646" t="s">
        <v>242</v>
      </c>
      <c r="K1646" t="s">
        <v>106</v>
      </c>
      <c r="L1646" t="s">
        <v>1904</v>
      </c>
      <c r="M1646" t="s">
        <v>1931</v>
      </c>
      <c r="N1646">
        <v>1</v>
      </c>
      <c r="O1646">
        <v>2020</v>
      </c>
      <c r="P1646">
        <v>8748.901360931588</v>
      </c>
      <c r="Q1646">
        <v>15.04742874486676</v>
      </c>
      <c r="R1646" t="s">
        <v>109</v>
      </c>
      <c r="S1646">
        <v>581.42168401469701</v>
      </c>
      <c r="T1646">
        <v>0.82</v>
      </c>
      <c r="U1646" t="s">
        <v>227</v>
      </c>
      <c r="V1646">
        <v>0.82</v>
      </c>
      <c r="W1646">
        <v>20</v>
      </c>
      <c r="X1646">
        <v>30</v>
      </c>
      <c r="Y1646">
        <v>26</v>
      </c>
      <c r="Z1646">
        <v>9.0305172134094655E-2</v>
      </c>
      <c r="AA1646">
        <v>31.536000000000001</v>
      </c>
    </row>
    <row r="1647" spans="1:27" x14ac:dyDescent="0.25">
      <c r="A1647" t="s">
        <v>98</v>
      </c>
      <c r="B1647" t="s">
        <v>519</v>
      </c>
      <c r="C1647" t="s">
        <v>100</v>
      </c>
      <c r="D1647" t="s">
        <v>1707</v>
      </c>
      <c r="E1647" t="s">
        <v>179</v>
      </c>
      <c r="F1647" t="s">
        <v>224</v>
      </c>
      <c r="G1647" t="s">
        <v>103</v>
      </c>
      <c r="H1647" t="s">
        <v>104</v>
      </c>
      <c r="I1647">
        <v>2021</v>
      </c>
      <c r="J1647" t="s">
        <v>244</v>
      </c>
      <c r="K1647" t="s">
        <v>106</v>
      </c>
      <c r="L1647" t="s">
        <v>1904</v>
      </c>
      <c r="M1647" t="s">
        <v>1932</v>
      </c>
      <c r="N1647">
        <v>1</v>
      </c>
      <c r="O1647">
        <v>2021</v>
      </c>
      <c r="P1647">
        <v>8962.2891990030894</v>
      </c>
      <c r="Q1647">
        <v>15.04742874486676</v>
      </c>
      <c r="R1647" t="s">
        <v>109</v>
      </c>
      <c r="S1647">
        <v>595.60270069798219</v>
      </c>
      <c r="T1647">
        <v>0.84</v>
      </c>
      <c r="U1647" t="s">
        <v>227</v>
      </c>
      <c r="V1647">
        <v>0.84</v>
      </c>
      <c r="W1647">
        <v>20</v>
      </c>
      <c r="X1647">
        <v>30</v>
      </c>
      <c r="Y1647">
        <v>26</v>
      </c>
      <c r="Z1647">
        <v>9.0305172134094655E-2</v>
      </c>
      <c r="AA1647">
        <v>31.536000000000001</v>
      </c>
    </row>
    <row r="1648" spans="1:27" x14ac:dyDescent="0.25">
      <c r="A1648" t="s">
        <v>98</v>
      </c>
      <c r="B1648" t="s">
        <v>519</v>
      </c>
      <c r="C1648" t="s">
        <v>100</v>
      </c>
      <c r="D1648" t="s">
        <v>1707</v>
      </c>
      <c r="E1648" t="s">
        <v>179</v>
      </c>
      <c r="F1648" t="s">
        <v>224</v>
      </c>
      <c r="G1648" t="s">
        <v>111</v>
      </c>
      <c r="H1648" t="s">
        <v>104</v>
      </c>
      <c r="I1648">
        <v>2016</v>
      </c>
      <c r="J1648" t="s">
        <v>246</v>
      </c>
      <c r="K1648" t="s">
        <v>106</v>
      </c>
      <c r="L1648" t="s">
        <v>1904</v>
      </c>
      <c r="M1648" t="s">
        <v>1933</v>
      </c>
      <c r="N1648">
        <v>0</v>
      </c>
      <c r="O1648">
        <v>2020</v>
      </c>
      <c r="P1648">
        <v>8748.901360931588</v>
      </c>
      <c r="Q1648">
        <v>15.04742874486676</v>
      </c>
      <c r="R1648" t="s">
        <v>109</v>
      </c>
      <c r="S1648">
        <v>581.42168401469701</v>
      </c>
      <c r="T1648">
        <v>0.82</v>
      </c>
      <c r="U1648" t="s">
        <v>227</v>
      </c>
      <c r="V1648">
        <v>0.82</v>
      </c>
      <c r="W1648">
        <v>20</v>
      </c>
      <c r="X1648">
        <v>30</v>
      </c>
      <c r="Y1648">
        <v>26</v>
      </c>
      <c r="Z1648">
        <v>9.0305172134094655E-2</v>
      </c>
      <c r="AA1648">
        <v>31.536000000000001</v>
      </c>
    </row>
    <row r="1649" spans="1:27" x14ac:dyDescent="0.25">
      <c r="A1649" t="s">
        <v>98</v>
      </c>
      <c r="B1649" t="s">
        <v>519</v>
      </c>
      <c r="C1649" t="s">
        <v>100</v>
      </c>
      <c r="D1649" t="s">
        <v>1707</v>
      </c>
      <c r="E1649" t="s">
        <v>179</v>
      </c>
      <c r="F1649" t="s">
        <v>224</v>
      </c>
      <c r="G1649" t="s">
        <v>111</v>
      </c>
      <c r="H1649" t="s">
        <v>104</v>
      </c>
      <c r="I1649">
        <v>2020</v>
      </c>
      <c r="J1649" t="s">
        <v>248</v>
      </c>
      <c r="K1649" t="s">
        <v>106</v>
      </c>
      <c r="L1649" t="s">
        <v>1904</v>
      </c>
      <c r="M1649" t="s">
        <v>1933</v>
      </c>
      <c r="N1649">
        <v>1</v>
      </c>
      <c r="O1649">
        <v>2020</v>
      </c>
      <c r="P1649">
        <v>9602.4527132175954</v>
      </c>
      <c r="Q1649">
        <v>15.04742874486676</v>
      </c>
      <c r="R1649" t="s">
        <v>109</v>
      </c>
      <c r="S1649">
        <v>638.14575074783806</v>
      </c>
      <c r="T1649">
        <v>0.9</v>
      </c>
      <c r="U1649" t="s">
        <v>227</v>
      </c>
      <c r="V1649">
        <v>0.9</v>
      </c>
      <c r="W1649">
        <v>20</v>
      </c>
      <c r="X1649">
        <v>30</v>
      </c>
      <c r="Y1649">
        <v>26</v>
      </c>
      <c r="Z1649">
        <v>9.0305172134094655E-2</v>
      </c>
      <c r="AA1649">
        <v>31.536000000000001</v>
      </c>
    </row>
    <row r="1650" spans="1:27" x14ac:dyDescent="0.25">
      <c r="A1650" t="s">
        <v>98</v>
      </c>
      <c r="B1650" t="s">
        <v>519</v>
      </c>
      <c r="C1650" t="s">
        <v>100</v>
      </c>
      <c r="D1650" t="s">
        <v>1707</v>
      </c>
      <c r="E1650" t="s">
        <v>179</v>
      </c>
      <c r="F1650" t="s">
        <v>224</v>
      </c>
      <c r="G1650" t="s">
        <v>114</v>
      </c>
      <c r="H1650" t="s">
        <v>104</v>
      </c>
      <c r="I1650">
        <v>2016</v>
      </c>
      <c r="J1650" t="s">
        <v>249</v>
      </c>
      <c r="K1650" t="s">
        <v>106</v>
      </c>
      <c r="L1650" t="s">
        <v>1904</v>
      </c>
      <c r="M1650" t="s">
        <v>1934</v>
      </c>
      <c r="N1650">
        <v>1</v>
      </c>
      <c r="O1650">
        <v>2020</v>
      </c>
      <c r="P1650">
        <v>9602.4527132175954</v>
      </c>
      <c r="Q1650">
        <v>15.04742874486676</v>
      </c>
      <c r="R1650" t="s">
        <v>109</v>
      </c>
      <c r="S1650">
        <v>638.14575074783806</v>
      </c>
      <c r="T1650">
        <v>0.9</v>
      </c>
      <c r="U1650" t="s">
        <v>227</v>
      </c>
      <c r="V1650">
        <v>0.9</v>
      </c>
      <c r="W1650">
        <v>20</v>
      </c>
      <c r="X1650">
        <v>30</v>
      </c>
      <c r="Y1650">
        <v>26</v>
      </c>
      <c r="Z1650">
        <v>9.0305172134094655E-2</v>
      </c>
      <c r="AA1650">
        <v>31.536000000000001</v>
      </c>
    </row>
    <row r="1651" spans="1:27" x14ac:dyDescent="0.25">
      <c r="A1651" t="s">
        <v>98</v>
      </c>
      <c r="B1651" t="s">
        <v>519</v>
      </c>
      <c r="C1651" t="s">
        <v>100</v>
      </c>
      <c r="D1651" t="s">
        <v>1707</v>
      </c>
      <c r="E1651" t="s">
        <v>179</v>
      </c>
      <c r="F1651" t="s">
        <v>224</v>
      </c>
      <c r="G1651" t="s">
        <v>119</v>
      </c>
      <c r="H1651" t="s">
        <v>104</v>
      </c>
      <c r="I1651">
        <v>2016</v>
      </c>
      <c r="J1651" t="s">
        <v>251</v>
      </c>
      <c r="K1651" t="s">
        <v>106</v>
      </c>
      <c r="L1651" t="s">
        <v>1904</v>
      </c>
      <c r="M1651" t="s">
        <v>1935</v>
      </c>
      <c r="N1651">
        <v>1</v>
      </c>
      <c r="O1651">
        <v>2020</v>
      </c>
      <c r="P1651">
        <v>10882.779741646609</v>
      </c>
      <c r="Q1651">
        <v>15.04742874486676</v>
      </c>
      <c r="R1651" t="s">
        <v>109</v>
      </c>
      <c r="S1651">
        <v>723.23185084754994</v>
      </c>
      <c r="T1651">
        <v>0.97</v>
      </c>
      <c r="U1651" t="s">
        <v>227</v>
      </c>
      <c r="V1651">
        <v>0.97</v>
      </c>
      <c r="W1651">
        <v>20</v>
      </c>
      <c r="X1651">
        <v>30</v>
      </c>
      <c r="Y1651">
        <v>26</v>
      </c>
      <c r="Z1651">
        <v>9.0305172134094655E-2</v>
      </c>
      <c r="AA1651">
        <v>31.536000000000001</v>
      </c>
    </row>
    <row r="1652" spans="1:27" x14ac:dyDescent="0.25">
      <c r="A1652" t="s">
        <v>98</v>
      </c>
      <c r="B1652" t="s">
        <v>519</v>
      </c>
      <c r="C1652" t="s">
        <v>100</v>
      </c>
      <c r="D1652" t="s">
        <v>1707</v>
      </c>
      <c r="E1652" t="s">
        <v>179</v>
      </c>
      <c r="F1652" t="s">
        <v>224</v>
      </c>
      <c r="G1652" t="s">
        <v>119</v>
      </c>
      <c r="H1652" t="s">
        <v>104</v>
      </c>
      <c r="I1652">
        <v>2022</v>
      </c>
      <c r="J1652" t="s">
        <v>253</v>
      </c>
      <c r="K1652" t="s">
        <v>106</v>
      </c>
      <c r="L1652" t="s">
        <v>1904</v>
      </c>
      <c r="M1652" t="s">
        <v>1936</v>
      </c>
      <c r="N1652">
        <v>1</v>
      </c>
      <c r="O1652">
        <v>2022</v>
      </c>
      <c r="P1652">
        <v>10882.779741646609</v>
      </c>
      <c r="Q1652">
        <v>15.04742874486676</v>
      </c>
      <c r="R1652" t="s">
        <v>109</v>
      </c>
      <c r="S1652">
        <v>723.23185084754994</v>
      </c>
      <c r="T1652">
        <v>0.97</v>
      </c>
      <c r="U1652" t="s">
        <v>227</v>
      </c>
      <c r="V1652">
        <v>0.97</v>
      </c>
      <c r="W1652">
        <v>20</v>
      </c>
      <c r="X1652">
        <v>30</v>
      </c>
      <c r="Y1652">
        <v>26</v>
      </c>
      <c r="Z1652">
        <v>9.0305172134094655E-2</v>
      </c>
      <c r="AA1652">
        <v>31.536000000000001</v>
      </c>
    </row>
    <row r="1653" spans="1:27" x14ac:dyDescent="0.25">
      <c r="A1653" t="s">
        <v>98</v>
      </c>
      <c r="B1653" t="s">
        <v>519</v>
      </c>
      <c r="C1653" t="s">
        <v>100</v>
      </c>
      <c r="D1653" t="s">
        <v>1707</v>
      </c>
      <c r="E1653" t="s">
        <v>179</v>
      </c>
      <c r="F1653" t="s">
        <v>228</v>
      </c>
      <c r="G1653" t="s">
        <v>103</v>
      </c>
      <c r="H1653" t="s">
        <v>255</v>
      </c>
      <c r="I1653">
        <v>2016</v>
      </c>
      <c r="J1653" t="s">
        <v>256</v>
      </c>
      <c r="K1653" t="s">
        <v>257</v>
      </c>
      <c r="L1653" t="s">
        <v>1904</v>
      </c>
      <c r="M1653" t="s">
        <v>1937</v>
      </c>
      <c r="N1653">
        <v>1</v>
      </c>
      <c r="O1653">
        <v>2020</v>
      </c>
      <c r="P1653">
        <v>5029.8561831139787</v>
      </c>
      <c r="Q1653">
        <v>15.04742874486676</v>
      </c>
      <c r="R1653" t="s">
        <v>109</v>
      </c>
      <c r="S1653">
        <v>334.26682182029617</v>
      </c>
      <c r="T1653">
        <v>0.83</v>
      </c>
      <c r="U1653" t="s">
        <v>227</v>
      </c>
      <c r="V1653">
        <v>0.83</v>
      </c>
      <c r="W1653">
        <v>19.7</v>
      </c>
      <c r="X1653">
        <v>33.1</v>
      </c>
      <c r="Y1653">
        <v>27</v>
      </c>
      <c r="Z1653">
        <v>9.0305172134094655E-2</v>
      </c>
      <c r="AA1653">
        <v>31.536000000000001</v>
      </c>
    </row>
    <row r="1654" spans="1:27" x14ac:dyDescent="0.25">
      <c r="A1654" t="s">
        <v>98</v>
      </c>
      <c r="B1654" t="s">
        <v>519</v>
      </c>
      <c r="C1654" t="s">
        <v>100</v>
      </c>
      <c r="D1654" t="s">
        <v>1707</v>
      </c>
      <c r="E1654" t="s">
        <v>179</v>
      </c>
      <c r="F1654" t="s">
        <v>228</v>
      </c>
      <c r="G1654" t="s">
        <v>111</v>
      </c>
      <c r="H1654" t="s">
        <v>255</v>
      </c>
      <c r="I1654">
        <v>2016</v>
      </c>
      <c r="J1654" t="s">
        <v>259</v>
      </c>
      <c r="K1654" t="s">
        <v>257</v>
      </c>
      <c r="L1654" t="s">
        <v>1904</v>
      </c>
      <c r="M1654" t="s">
        <v>1938</v>
      </c>
      <c r="N1654">
        <v>0</v>
      </c>
      <c r="O1654">
        <v>2020</v>
      </c>
      <c r="P1654">
        <v>5029.8561831139787</v>
      </c>
      <c r="Q1654">
        <v>15.04742874486676</v>
      </c>
      <c r="R1654" t="s">
        <v>109</v>
      </c>
      <c r="S1654">
        <v>334.26682182029617</v>
      </c>
      <c r="T1654">
        <v>0.83</v>
      </c>
      <c r="U1654" t="s">
        <v>227</v>
      </c>
      <c r="V1654">
        <v>0.83</v>
      </c>
      <c r="W1654">
        <v>19.7</v>
      </c>
      <c r="X1654">
        <v>33.1</v>
      </c>
      <c r="Y1654">
        <v>27</v>
      </c>
      <c r="Z1654">
        <v>9.0305172134094655E-2</v>
      </c>
      <c r="AA1654">
        <v>31.536000000000001</v>
      </c>
    </row>
    <row r="1655" spans="1:27" x14ac:dyDescent="0.25">
      <c r="A1655" t="s">
        <v>98</v>
      </c>
      <c r="B1655" t="s">
        <v>519</v>
      </c>
      <c r="C1655" t="s">
        <v>100</v>
      </c>
      <c r="D1655" t="s">
        <v>1707</v>
      </c>
      <c r="E1655" t="s">
        <v>179</v>
      </c>
      <c r="F1655" t="s">
        <v>228</v>
      </c>
      <c r="G1655" t="s">
        <v>111</v>
      </c>
      <c r="H1655" t="s">
        <v>255</v>
      </c>
      <c r="I1655">
        <v>2020</v>
      </c>
      <c r="J1655" t="s">
        <v>261</v>
      </c>
      <c r="K1655" t="s">
        <v>257</v>
      </c>
      <c r="L1655" t="s">
        <v>1904</v>
      </c>
      <c r="M1655" t="s">
        <v>1938</v>
      </c>
      <c r="N1655">
        <v>1</v>
      </c>
      <c r="O1655">
        <v>2020</v>
      </c>
      <c r="P1655">
        <v>5151.7920905834089</v>
      </c>
      <c r="Q1655">
        <v>15.04742874486676</v>
      </c>
      <c r="R1655" t="s">
        <v>109</v>
      </c>
      <c r="S1655">
        <v>342.37025992503061</v>
      </c>
      <c r="T1655">
        <v>0.84</v>
      </c>
      <c r="U1655" t="s">
        <v>227</v>
      </c>
      <c r="V1655">
        <v>0.84</v>
      </c>
      <c r="W1655">
        <v>19.7</v>
      </c>
      <c r="X1655">
        <v>33.1</v>
      </c>
      <c r="Y1655">
        <v>27</v>
      </c>
      <c r="Z1655">
        <v>9.0305172134094655E-2</v>
      </c>
      <c r="AA1655">
        <v>31.536000000000001</v>
      </c>
    </row>
    <row r="1656" spans="1:27" x14ac:dyDescent="0.25">
      <c r="A1656" t="s">
        <v>98</v>
      </c>
      <c r="B1656" t="s">
        <v>519</v>
      </c>
      <c r="C1656" t="s">
        <v>100</v>
      </c>
      <c r="D1656" t="s">
        <v>1707</v>
      </c>
      <c r="E1656" t="s">
        <v>179</v>
      </c>
      <c r="F1656" t="s">
        <v>228</v>
      </c>
      <c r="G1656" t="s">
        <v>114</v>
      </c>
      <c r="H1656" t="s">
        <v>255</v>
      </c>
      <c r="I1656">
        <v>2016</v>
      </c>
      <c r="J1656" t="s">
        <v>262</v>
      </c>
      <c r="K1656" t="s">
        <v>257</v>
      </c>
      <c r="L1656" t="s">
        <v>1904</v>
      </c>
      <c r="M1656" t="s">
        <v>1939</v>
      </c>
      <c r="N1656">
        <v>1</v>
      </c>
      <c r="O1656">
        <v>2020</v>
      </c>
      <c r="P1656">
        <v>5304.2119749201956</v>
      </c>
      <c r="Q1656">
        <v>15.04742874486676</v>
      </c>
      <c r="R1656" t="s">
        <v>109</v>
      </c>
      <c r="S1656">
        <v>352.49955755594868</v>
      </c>
      <c r="T1656">
        <v>0.85</v>
      </c>
      <c r="U1656" t="s">
        <v>227</v>
      </c>
      <c r="V1656">
        <v>0.85</v>
      </c>
      <c r="W1656">
        <v>19.7</v>
      </c>
      <c r="X1656">
        <v>33.1</v>
      </c>
      <c r="Y1656">
        <v>27</v>
      </c>
      <c r="Z1656">
        <v>9.0305172134094655E-2</v>
      </c>
      <c r="AA1656">
        <v>31.536000000000001</v>
      </c>
    </row>
    <row r="1657" spans="1:27" x14ac:dyDescent="0.25">
      <c r="A1657" t="s">
        <v>98</v>
      </c>
      <c r="B1657" t="s">
        <v>519</v>
      </c>
      <c r="C1657" t="s">
        <v>100</v>
      </c>
      <c r="D1657" t="s">
        <v>1707</v>
      </c>
      <c r="E1657" t="s">
        <v>179</v>
      </c>
      <c r="F1657" t="s">
        <v>228</v>
      </c>
      <c r="G1657" t="s">
        <v>119</v>
      </c>
      <c r="H1657" t="s">
        <v>255</v>
      </c>
      <c r="I1657">
        <v>2016</v>
      </c>
      <c r="J1657" t="s">
        <v>264</v>
      </c>
      <c r="K1657" t="s">
        <v>257</v>
      </c>
      <c r="L1657" t="s">
        <v>1904</v>
      </c>
      <c r="M1657" t="s">
        <v>1940</v>
      </c>
      <c r="N1657">
        <v>0</v>
      </c>
      <c r="O1657">
        <v>2020</v>
      </c>
      <c r="P1657">
        <v>7864.8660317782214</v>
      </c>
      <c r="Q1657">
        <v>15.04742874486676</v>
      </c>
      <c r="R1657" t="s">
        <v>109</v>
      </c>
      <c r="S1657">
        <v>522.67175775537214</v>
      </c>
      <c r="T1657">
        <v>0.97</v>
      </c>
      <c r="U1657" t="s">
        <v>227</v>
      </c>
      <c r="V1657">
        <v>0.97</v>
      </c>
      <c r="W1657">
        <v>19.7</v>
      </c>
      <c r="X1657">
        <v>33.1</v>
      </c>
      <c r="Y1657">
        <v>27</v>
      </c>
      <c r="Z1657">
        <v>9.0305172134094655E-2</v>
      </c>
      <c r="AA1657">
        <v>31.536000000000001</v>
      </c>
    </row>
    <row r="1658" spans="1:27" x14ac:dyDescent="0.25">
      <c r="A1658" t="s">
        <v>98</v>
      </c>
      <c r="B1658" t="s">
        <v>519</v>
      </c>
      <c r="C1658" t="s">
        <v>100</v>
      </c>
      <c r="D1658" t="s">
        <v>1707</v>
      </c>
      <c r="E1658" t="s">
        <v>179</v>
      </c>
      <c r="F1658" t="s">
        <v>228</v>
      </c>
      <c r="G1658" t="s">
        <v>119</v>
      </c>
      <c r="H1658" t="s">
        <v>255</v>
      </c>
      <c r="I1658">
        <v>2020</v>
      </c>
      <c r="J1658" t="s">
        <v>266</v>
      </c>
      <c r="K1658" t="s">
        <v>257</v>
      </c>
      <c r="L1658" t="s">
        <v>1904</v>
      </c>
      <c r="M1658" t="s">
        <v>1940</v>
      </c>
      <c r="N1658">
        <v>1</v>
      </c>
      <c r="O1658">
        <v>2020</v>
      </c>
      <c r="P1658">
        <v>7864.8660317782214</v>
      </c>
      <c r="Q1658">
        <v>15.04742874486676</v>
      </c>
      <c r="R1658" t="s">
        <v>109</v>
      </c>
      <c r="S1658">
        <v>522.67175775537214</v>
      </c>
      <c r="T1658">
        <v>0.97</v>
      </c>
      <c r="U1658" t="s">
        <v>227</v>
      </c>
      <c r="V1658">
        <v>0.97</v>
      </c>
      <c r="W1658">
        <v>19.7</v>
      </c>
      <c r="X1658">
        <v>33.1</v>
      </c>
      <c r="Y1658">
        <v>27</v>
      </c>
      <c r="Z1658">
        <v>9.0305172134094655E-2</v>
      </c>
      <c r="AA1658">
        <v>31.536000000000001</v>
      </c>
    </row>
    <row r="1659" spans="1:27" x14ac:dyDescent="0.25">
      <c r="A1659" t="s">
        <v>98</v>
      </c>
      <c r="B1659" t="s">
        <v>519</v>
      </c>
      <c r="C1659" t="s">
        <v>100</v>
      </c>
      <c r="D1659" t="s">
        <v>1707</v>
      </c>
      <c r="E1659" t="s">
        <v>179</v>
      </c>
      <c r="F1659" t="s">
        <v>228</v>
      </c>
      <c r="G1659" t="s">
        <v>103</v>
      </c>
      <c r="H1659" t="s">
        <v>156</v>
      </c>
      <c r="I1659">
        <v>2016</v>
      </c>
      <c r="J1659" t="s">
        <v>267</v>
      </c>
      <c r="K1659" t="s">
        <v>158</v>
      </c>
      <c r="L1659" t="s">
        <v>1904</v>
      </c>
      <c r="M1659" t="s">
        <v>1941</v>
      </c>
      <c r="N1659">
        <v>1</v>
      </c>
      <c r="O1659">
        <v>2020</v>
      </c>
      <c r="P1659">
        <v>2499.6861031233111</v>
      </c>
      <c r="Q1659">
        <v>15.04742874486676</v>
      </c>
      <c r="R1659" t="s">
        <v>109</v>
      </c>
      <c r="S1659">
        <v>166.1204811470563</v>
      </c>
      <c r="T1659">
        <v>0.8</v>
      </c>
      <c r="U1659" t="s">
        <v>227</v>
      </c>
      <c r="V1659">
        <v>0.8</v>
      </c>
      <c r="W1659">
        <v>16</v>
      </c>
      <c r="X1659">
        <v>27</v>
      </c>
      <c r="Y1659">
        <v>22</v>
      </c>
      <c r="Z1659">
        <v>9.0305172134094655E-2</v>
      </c>
      <c r="AA1659">
        <v>31.536000000000001</v>
      </c>
    </row>
    <row r="1660" spans="1:27" x14ac:dyDescent="0.25">
      <c r="A1660" t="s">
        <v>98</v>
      </c>
      <c r="B1660" t="s">
        <v>519</v>
      </c>
      <c r="C1660" t="s">
        <v>100</v>
      </c>
      <c r="D1660" t="s">
        <v>1707</v>
      </c>
      <c r="E1660" t="s">
        <v>179</v>
      </c>
      <c r="F1660" t="s">
        <v>228</v>
      </c>
      <c r="G1660" t="s">
        <v>111</v>
      </c>
      <c r="H1660" t="s">
        <v>156</v>
      </c>
      <c r="I1660">
        <v>2016</v>
      </c>
      <c r="J1660" t="s">
        <v>269</v>
      </c>
      <c r="K1660" t="s">
        <v>158</v>
      </c>
      <c r="L1660" t="s">
        <v>1904</v>
      </c>
      <c r="M1660" t="s">
        <v>1942</v>
      </c>
      <c r="N1660">
        <v>0</v>
      </c>
      <c r="O1660">
        <v>2020</v>
      </c>
      <c r="P1660">
        <v>3182.5271849521182</v>
      </c>
      <c r="Q1660">
        <v>15.04742874486676</v>
      </c>
      <c r="R1660" t="s">
        <v>109</v>
      </c>
      <c r="S1660">
        <v>211.49973453356921</v>
      </c>
      <c r="T1660">
        <v>0.92</v>
      </c>
      <c r="U1660" t="s">
        <v>227</v>
      </c>
      <c r="V1660">
        <v>0.92</v>
      </c>
      <c r="W1660">
        <v>16</v>
      </c>
      <c r="X1660">
        <v>27</v>
      </c>
      <c r="Y1660">
        <v>22</v>
      </c>
      <c r="Z1660">
        <v>9.0305172134094655E-2</v>
      </c>
      <c r="AA1660">
        <v>31.536000000000001</v>
      </c>
    </row>
    <row r="1661" spans="1:27" x14ac:dyDescent="0.25">
      <c r="A1661" t="s">
        <v>98</v>
      </c>
      <c r="B1661" t="s">
        <v>519</v>
      </c>
      <c r="C1661" t="s">
        <v>100</v>
      </c>
      <c r="D1661" t="s">
        <v>1707</v>
      </c>
      <c r="E1661" t="s">
        <v>179</v>
      </c>
      <c r="F1661" t="s">
        <v>228</v>
      </c>
      <c r="G1661" t="s">
        <v>111</v>
      </c>
      <c r="H1661" t="s">
        <v>156</v>
      </c>
      <c r="I1661">
        <v>2020</v>
      </c>
      <c r="J1661" t="s">
        <v>271</v>
      </c>
      <c r="K1661" t="s">
        <v>158</v>
      </c>
      <c r="L1661" t="s">
        <v>1904</v>
      </c>
      <c r="M1661" t="s">
        <v>1942</v>
      </c>
      <c r="N1661">
        <v>1</v>
      </c>
      <c r="O1661">
        <v>2020</v>
      </c>
      <c r="P1661">
        <v>3365.4310461562618</v>
      </c>
      <c r="Q1661">
        <v>15.04742874486676</v>
      </c>
      <c r="R1661" t="s">
        <v>109</v>
      </c>
      <c r="S1661">
        <v>223.65489169067089</v>
      </c>
      <c r="T1661">
        <v>0.92</v>
      </c>
      <c r="U1661" t="s">
        <v>227</v>
      </c>
      <c r="V1661">
        <v>0.92</v>
      </c>
      <c r="W1661">
        <v>16</v>
      </c>
      <c r="X1661">
        <v>27</v>
      </c>
      <c r="Y1661">
        <v>22</v>
      </c>
      <c r="Z1661">
        <v>9.0305172134094655E-2</v>
      </c>
      <c r="AA1661">
        <v>31.536000000000001</v>
      </c>
    </row>
    <row r="1662" spans="1:27" x14ac:dyDescent="0.25">
      <c r="A1662" t="s">
        <v>98</v>
      </c>
      <c r="B1662" t="s">
        <v>519</v>
      </c>
      <c r="C1662" t="s">
        <v>100</v>
      </c>
      <c r="D1662" t="s">
        <v>1707</v>
      </c>
      <c r="E1662" t="s">
        <v>179</v>
      </c>
      <c r="F1662" t="s">
        <v>228</v>
      </c>
      <c r="G1662" t="s">
        <v>114</v>
      </c>
      <c r="H1662" t="s">
        <v>156</v>
      </c>
      <c r="I1662">
        <v>2016</v>
      </c>
      <c r="J1662" t="s">
        <v>272</v>
      </c>
      <c r="K1662" t="s">
        <v>158</v>
      </c>
      <c r="L1662" t="s">
        <v>1904</v>
      </c>
      <c r="M1662" t="s">
        <v>1943</v>
      </c>
      <c r="N1662">
        <v>1</v>
      </c>
      <c r="O1662">
        <v>2020</v>
      </c>
      <c r="P1662">
        <v>3341.043864662377</v>
      </c>
      <c r="Q1662">
        <v>15.04742874486676</v>
      </c>
      <c r="R1662" t="s">
        <v>109</v>
      </c>
      <c r="S1662">
        <v>222.03420406972401</v>
      </c>
      <c r="T1662">
        <v>0.95</v>
      </c>
      <c r="U1662" t="s">
        <v>227</v>
      </c>
      <c r="V1662">
        <v>0.95</v>
      </c>
      <c r="W1662">
        <v>16</v>
      </c>
      <c r="X1662">
        <v>27</v>
      </c>
      <c r="Y1662">
        <v>22</v>
      </c>
      <c r="Z1662">
        <v>9.0305172134094655E-2</v>
      </c>
      <c r="AA1662">
        <v>31.536000000000001</v>
      </c>
    </row>
    <row r="1663" spans="1:27" x14ac:dyDescent="0.25">
      <c r="A1663" t="s">
        <v>98</v>
      </c>
      <c r="B1663" t="s">
        <v>519</v>
      </c>
      <c r="C1663" t="s">
        <v>100</v>
      </c>
      <c r="D1663" t="s">
        <v>1707</v>
      </c>
      <c r="E1663" t="s">
        <v>179</v>
      </c>
      <c r="F1663" t="s">
        <v>228</v>
      </c>
      <c r="G1663" t="s">
        <v>114</v>
      </c>
      <c r="H1663" t="s">
        <v>156</v>
      </c>
      <c r="I1663">
        <v>2022</v>
      </c>
      <c r="J1663" t="s">
        <v>274</v>
      </c>
      <c r="K1663" t="s">
        <v>158</v>
      </c>
      <c r="L1663" t="s">
        <v>1904</v>
      </c>
      <c r="M1663" t="s">
        <v>1944</v>
      </c>
      <c r="N1663">
        <v>1</v>
      </c>
      <c r="O1663">
        <v>2022</v>
      </c>
      <c r="P1663">
        <v>3341.043864662377</v>
      </c>
      <c r="Q1663">
        <v>15.04742874486676</v>
      </c>
      <c r="R1663" t="s">
        <v>109</v>
      </c>
      <c r="S1663">
        <v>222.03420406972401</v>
      </c>
      <c r="T1663">
        <v>0.95</v>
      </c>
      <c r="U1663" t="s">
        <v>227</v>
      </c>
      <c r="V1663">
        <v>0.95</v>
      </c>
      <c r="W1663">
        <v>16</v>
      </c>
      <c r="X1663">
        <v>27</v>
      </c>
      <c r="Y1663">
        <v>22</v>
      </c>
      <c r="Z1663">
        <v>9.0305172134094655E-2</v>
      </c>
      <c r="AA1663">
        <v>31.536000000000001</v>
      </c>
    </row>
    <row r="1664" spans="1:27" x14ac:dyDescent="0.25">
      <c r="A1664" t="s">
        <v>98</v>
      </c>
      <c r="B1664" t="s">
        <v>519</v>
      </c>
      <c r="C1664" t="s">
        <v>100</v>
      </c>
      <c r="D1664" t="s">
        <v>1707</v>
      </c>
      <c r="E1664" t="s">
        <v>179</v>
      </c>
      <c r="F1664" t="s">
        <v>228</v>
      </c>
      <c r="G1664" t="s">
        <v>119</v>
      </c>
      <c r="H1664" t="s">
        <v>156</v>
      </c>
      <c r="I1664">
        <v>2016</v>
      </c>
      <c r="J1664" t="s">
        <v>276</v>
      </c>
      <c r="K1664" t="s">
        <v>158</v>
      </c>
      <c r="L1664" t="s">
        <v>1904</v>
      </c>
      <c r="M1664" t="s">
        <v>1945</v>
      </c>
      <c r="N1664">
        <v>1</v>
      </c>
      <c r="O1664">
        <v>2020</v>
      </c>
      <c r="P1664">
        <v>3706.851587070666</v>
      </c>
      <c r="Q1664">
        <v>15.04742874486676</v>
      </c>
      <c r="R1664" t="s">
        <v>109</v>
      </c>
      <c r="S1664">
        <v>246.34451838392741</v>
      </c>
      <c r="T1664">
        <v>0.99</v>
      </c>
      <c r="U1664" t="s">
        <v>227</v>
      </c>
      <c r="V1664">
        <v>0.99</v>
      </c>
      <c r="W1664">
        <v>16</v>
      </c>
      <c r="X1664">
        <v>27</v>
      </c>
      <c r="Y1664">
        <v>22</v>
      </c>
      <c r="Z1664">
        <v>9.0305172134094655E-2</v>
      </c>
      <c r="AA1664">
        <v>31.536000000000001</v>
      </c>
    </row>
    <row r="1665" spans="1:27" x14ac:dyDescent="0.25">
      <c r="A1665" t="s">
        <v>98</v>
      </c>
      <c r="B1665" t="s">
        <v>519</v>
      </c>
      <c r="C1665" t="s">
        <v>100</v>
      </c>
      <c r="D1665" t="s">
        <v>1707</v>
      </c>
      <c r="E1665" t="s">
        <v>179</v>
      </c>
      <c r="F1665" t="s">
        <v>228</v>
      </c>
      <c r="G1665" t="s">
        <v>119</v>
      </c>
      <c r="H1665" t="s">
        <v>156</v>
      </c>
      <c r="I1665">
        <v>2022</v>
      </c>
      <c r="J1665" t="s">
        <v>278</v>
      </c>
      <c r="K1665" t="s">
        <v>158</v>
      </c>
      <c r="L1665" t="s">
        <v>1904</v>
      </c>
      <c r="M1665" t="s">
        <v>1946</v>
      </c>
      <c r="N1665">
        <v>1</v>
      </c>
      <c r="O1665">
        <v>2022</v>
      </c>
      <c r="P1665">
        <v>3706.851587070666</v>
      </c>
      <c r="Q1665">
        <v>15.04742874486676</v>
      </c>
      <c r="R1665" t="s">
        <v>109</v>
      </c>
      <c r="S1665">
        <v>246.34451838392741</v>
      </c>
      <c r="T1665">
        <v>0.99</v>
      </c>
      <c r="U1665" t="s">
        <v>227</v>
      </c>
      <c r="V1665">
        <v>0.99</v>
      </c>
      <c r="W1665">
        <v>16</v>
      </c>
      <c r="X1665">
        <v>27</v>
      </c>
      <c r="Y1665">
        <v>22</v>
      </c>
      <c r="Z1665">
        <v>9.0305172134094655E-2</v>
      </c>
      <c r="AA1665">
        <v>31.536000000000001</v>
      </c>
    </row>
    <row r="1666" spans="1:27" x14ac:dyDescent="0.25">
      <c r="A1666" t="s">
        <v>98</v>
      </c>
      <c r="B1666" t="s">
        <v>519</v>
      </c>
      <c r="C1666" t="s">
        <v>100</v>
      </c>
      <c r="D1666" t="s">
        <v>1707</v>
      </c>
      <c r="E1666" t="s">
        <v>179</v>
      </c>
      <c r="F1666" t="s">
        <v>228</v>
      </c>
      <c r="G1666" t="s">
        <v>103</v>
      </c>
      <c r="H1666" t="s">
        <v>148</v>
      </c>
      <c r="I1666">
        <v>2016</v>
      </c>
      <c r="J1666" t="s">
        <v>280</v>
      </c>
      <c r="K1666" t="s">
        <v>150</v>
      </c>
      <c r="L1666" t="s">
        <v>1904</v>
      </c>
      <c r="M1666" t="s">
        <v>1947</v>
      </c>
      <c r="N1666">
        <v>1</v>
      </c>
      <c r="O1666">
        <v>2020</v>
      </c>
      <c r="P1666">
        <v>5029.8561831139787</v>
      </c>
      <c r="Q1666">
        <v>15.04742874486676</v>
      </c>
      <c r="R1666" t="s">
        <v>109</v>
      </c>
      <c r="S1666">
        <v>334.26682182029617</v>
      </c>
      <c r="T1666">
        <v>0.83</v>
      </c>
      <c r="U1666" t="s">
        <v>227</v>
      </c>
      <c r="V1666">
        <v>0.83</v>
      </c>
      <c r="W1666">
        <v>19.7</v>
      </c>
      <c r="X1666">
        <v>33.1</v>
      </c>
      <c r="Y1666">
        <v>27</v>
      </c>
      <c r="Z1666">
        <v>9.0305172134094655E-2</v>
      </c>
      <c r="AA1666">
        <v>31.536000000000001</v>
      </c>
    </row>
    <row r="1667" spans="1:27" x14ac:dyDescent="0.25">
      <c r="A1667" t="s">
        <v>98</v>
      </c>
      <c r="B1667" t="s">
        <v>519</v>
      </c>
      <c r="C1667" t="s">
        <v>100</v>
      </c>
      <c r="D1667" t="s">
        <v>1707</v>
      </c>
      <c r="E1667" t="s">
        <v>179</v>
      </c>
      <c r="F1667" t="s">
        <v>228</v>
      </c>
      <c r="G1667" t="s">
        <v>111</v>
      </c>
      <c r="H1667" t="s">
        <v>148</v>
      </c>
      <c r="I1667">
        <v>2016</v>
      </c>
      <c r="J1667" t="s">
        <v>282</v>
      </c>
      <c r="K1667" t="s">
        <v>150</v>
      </c>
      <c r="L1667" t="s">
        <v>1904</v>
      </c>
      <c r="M1667" t="s">
        <v>1948</v>
      </c>
      <c r="N1667">
        <v>1</v>
      </c>
      <c r="O1667">
        <v>2020</v>
      </c>
      <c r="P1667">
        <v>5029.8561831139787</v>
      </c>
      <c r="Q1667">
        <v>15.04742874486676</v>
      </c>
      <c r="R1667" t="s">
        <v>109</v>
      </c>
      <c r="S1667">
        <v>334.26682182029617</v>
      </c>
      <c r="T1667">
        <v>0.83</v>
      </c>
      <c r="U1667" t="s">
        <v>227</v>
      </c>
      <c r="V1667">
        <v>0.83</v>
      </c>
      <c r="W1667">
        <v>19.7</v>
      </c>
      <c r="X1667">
        <v>33.1</v>
      </c>
      <c r="Y1667">
        <v>27</v>
      </c>
      <c r="Z1667">
        <v>9.0305172134094655E-2</v>
      </c>
      <c r="AA1667">
        <v>31.536000000000001</v>
      </c>
    </row>
    <row r="1668" spans="1:27" x14ac:dyDescent="0.25">
      <c r="A1668" t="s">
        <v>98</v>
      </c>
      <c r="B1668" t="s">
        <v>519</v>
      </c>
      <c r="C1668" t="s">
        <v>100</v>
      </c>
      <c r="D1668" t="s">
        <v>1707</v>
      </c>
      <c r="E1668" t="s">
        <v>179</v>
      </c>
      <c r="F1668" t="s">
        <v>228</v>
      </c>
      <c r="G1668" t="s">
        <v>111</v>
      </c>
      <c r="H1668" t="s">
        <v>148</v>
      </c>
      <c r="I1668">
        <v>2022</v>
      </c>
      <c r="J1668" t="s">
        <v>284</v>
      </c>
      <c r="K1668" t="s">
        <v>150</v>
      </c>
      <c r="L1668" t="s">
        <v>1904</v>
      </c>
      <c r="M1668" t="s">
        <v>1949</v>
      </c>
      <c r="N1668">
        <v>1</v>
      </c>
      <c r="O1668">
        <v>2022</v>
      </c>
      <c r="P1668">
        <v>5151.7920905834089</v>
      </c>
      <c r="Q1668">
        <v>15.04742874486676</v>
      </c>
      <c r="R1668" t="s">
        <v>109</v>
      </c>
      <c r="S1668">
        <v>342.37025992503061</v>
      </c>
      <c r="T1668">
        <v>0.84</v>
      </c>
      <c r="U1668" t="s">
        <v>227</v>
      </c>
      <c r="V1668">
        <v>0.84</v>
      </c>
      <c r="W1668">
        <v>19.7</v>
      </c>
      <c r="X1668">
        <v>33.1</v>
      </c>
      <c r="Y1668">
        <v>27</v>
      </c>
      <c r="Z1668">
        <v>9.0305172134094655E-2</v>
      </c>
      <c r="AA1668">
        <v>31.536000000000001</v>
      </c>
    </row>
    <row r="1669" spans="1:27" x14ac:dyDescent="0.25">
      <c r="A1669" t="s">
        <v>98</v>
      </c>
      <c r="B1669" t="s">
        <v>519</v>
      </c>
      <c r="C1669" t="s">
        <v>100</v>
      </c>
      <c r="D1669" t="s">
        <v>1707</v>
      </c>
      <c r="E1669" t="s">
        <v>179</v>
      </c>
      <c r="F1669" t="s">
        <v>228</v>
      </c>
      <c r="G1669" t="s">
        <v>114</v>
      </c>
      <c r="H1669" t="s">
        <v>148</v>
      </c>
      <c r="I1669">
        <v>2016</v>
      </c>
      <c r="J1669" t="s">
        <v>286</v>
      </c>
      <c r="K1669" t="s">
        <v>150</v>
      </c>
      <c r="L1669" t="s">
        <v>1904</v>
      </c>
      <c r="M1669" t="s">
        <v>1950</v>
      </c>
      <c r="N1669">
        <v>1</v>
      </c>
      <c r="O1669">
        <v>2020</v>
      </c>
      <c r="P1669">
        <v>5304.2119749201956</v>
      </c>
      <c r="Q1669">
        <v>15.04742874486676</v>
      </c>
      <c r="R1669" t="s">
        <v>109</v>
      </c>
      <c r="S1669">
        <v>352.49955755594868</v>
      </c>
      <c r="T1669">
        <v>0.85</v>
      </c>
      <c r="U1669" t="s">
        <v>227</v>
      </c>
      <c r="V1669">
        <v>0.85</v>
      </c>
      <c r="W1669">
        <v>19.7</v>
      </c>
      <c r="X1669">
        <v>33.1</v>
      </c>
      <c r="Y1669">
        <v>27</v>
      </c>
      <c r="Z1669">
        <v>9.0305172134094655E-2</v>
      </c>
      <c r="AA1669">
        <v>31.536000000000001</v>
      </c>
    </row>
    <row r="1670" spans="1:27" x14ac:dyDescent="0.25">
      <c r="A1670" t="s">
        <v>98</v>
      </c>
      <c r="B1670" t="s">
        <v>519</v>
      </c>
      <c r="C1670" t="s">
        <v>100</v>
      </c>
      <c r="D1670" t="s">
        <v>1707</v>
      </c>
      <c r="E1670" t="s">
        <v>179</v>
      </c>
      <c r="F1670" t="s">
        <v>228</v>
      </c>
      <c r="G1670" t="s">
        <v>119</v>
      </c>
      <c r="H1670" t="s">
        <v>148</v>
      </c>
      <c r="I1670">
        <v>2016</v>
      </c>
      <c r="J1670" t="s">
        <v>288</v>
      </c>
      <c r="K1670" t="s">
        <v>150</v>
      </c>
      <c r="L1670" t="s">
        <v>1904</v>
      </c>
      <c r="M1670" t="s">
        <v>1951</v>
      </c>
      <c r="N1670">
        <v>1</v>
      </c>
      <c r="O1670">
        <v>2020</v>
      </c>
      <c r="P1670">
        <v>7864.8660317782214</v>
      </c>
      <c r="Q1670">
        <v>15.04742874486676</v>
      </c>
      <c r="R1670" t="s">
        <v>109</v>
      </c>
      <c r="S1670">
        <v>522.67175775537214</v>
      </c>
      <c r="T1670">
        <v>0.97</v>
      </c>
      <c r="U1670" t="s">
        <v>227</v>
      </c>
      <c r="V1670">
        <v>0.97</v>
      </c>
      <c r="W1670">
        <v>19.7</v>
      </c>
      <c r="X1670">
        <v>33.1</v>
      </c>
      <c r="Y1670">
        <v>27</v>
      </c>
      <c r="Z1670">
        <v>9.0305172134094655E-2</v>
      </c>
      <c r="AA1670">
        <v>31.536000000000001</v>
      </c>
    </row>
    <row r="1671" spans="1:27" x14ac:dyDescent="0.25">
      <c r="A1671" t="s">
        <v>98</v>
      </c>
      <c r="B1671" t="s">
        <v>519</v>
      </c>
      <c r="C1671" t="s">
        <v>100</v>
      </c>
      <c r="D1671" t="s">
        <v>1707</v>
      </c>
      <c r="E1671" t="s">
        <v>179</v>
      </c>
      <c r="F1671" t="s">
        <v>228</v>
      </c>
      <c r="G1671" t="s">
        <v>119</v>
      </c>
      <c r="H1671" t="s">
        <v>148</v>
      </c>
      <c r="I1671">
        <v>2022</v>
      </c>
      <c r="J1671" t="s">
        <v>290</v>
      </c>
      <c r="K1671" t="s">
        <v>150</v>
      </c>
      <c r="L1671" t="s">
        <v>1904</v>
      </c>
      <c r="M1671" t="s">
        <v>1952</v>
      </c>
      <c r="N1671">
        <v>1</v>
      </c>
      <c r="O1671">
        <v>2022</v>
      </c>
      <c r="P1671">
        <v>7864.8660317782214</v>
      </c>
      <c r="Q1671">
        <v>15.04742874486676</v>
      </c>
      <c r="R1671" t="s">
        <v>109</v>
      </c>
      <c r="S1671">
        <v>522.67175775537214</v>
      </c>
      <c r="T1671">
        <v>0.97</v>
      </c>
      <c r="U1671" t="s">
        <v>227</v>
      </c>
      <c r="V1671">
        <v>0.97</v>
      </c>
      <c r="W1671">
        <v>19.7</v>
      </c>
      <c r="X1671">
        <v>33.1</v>
      </c>
      <c r="Y1671">
        <v>27</v>
      </c>
      <c r="Z1671">
        <v>9.0305172134094655E-2</v>
      </c>
      <c r="AA1671">
        <v>31.536000000000001</v>
      </c>
    </row>
    <row r="1672" spans="1:27" x14ac:dyDescent="0.25">
      <c r="A1672" t="s">
        <v>98</v>
      </c>
      <c r="B1672" t="s">
        <v>519</v>
      </c>
      <c r="C1672" t="s">
        <v>100</v>
      </c>
      <c r="D1672" t="s">
        <v>1707</v>
      </c>
      <c r="E1672" t="s">
        <v>179</v>
      </c>
      <c r="F1672" t="s">
        <v>224</v>
      </c>
      <c r="G1672" t="s">
        <v>103</v>
      </c>
      <c r="H1672" t="s">
        <v>148</v>
      </c>
      <c r="I1672">
        <v>2016</v>
      </c>
      <c r="J1672" t="s">
        <v>292</v>
      </c>
      <c r="K1672" t="s">
        <v>150</v>
      </c>
      <c r="L1672" t="s">
        <v>1904</v>
      </c>
      <c r="M1672" t="s">
        <v>1953</v>
      </c>
      <c r="N1672">
        <v>1</v>
      </c>
      <c r="O1672">
        <v>2020</v>
      </c>
      <c r="P1672">
        <v>11126.65155658547</v>
      </c>
      <c r="Q1672">
        <v>15.04742874486676</v>
      </c>
      <c r="R1672" t="s">
        <v>109</v>
      </c>
      <c r="S1672">
        <v>739.4387270570187</v>
      </c>
      <c r="T1672">
        <v>0.84</v>
      </c>
      <c r="U1672" t="s">
        <v>227</v>
      </c>
      <c r="V1672">
        <v>0.84</v>
      </c>
      <c r="W1672">
        <v>18</v>
      </c>
      <c r="X1672">
        <v>28</v>
      </c>
      <c r="Y1672">
        <v>24</v>
      </c>
      <c r="Z1672">
        <v>9.0305172134094655E-2</v>
      </c>
      <c r="AA1672">
        <v>31.536000000000001</v>
      </c>
    </row>
    <row r="1673" spans="1:27" x14ac:dyDescent="0.25">
      <c r="A1673" t="s">
        <v>98</v>
      </c>
      <c r="B1673" t="s">
        <v>519</v>
      </c>
      <c r="C1673" t="s">
        <v>100</v>
      </c>
      <c r="D1673" t="s">
        <v>1707</v>
      </c>
      <c r="E1673" t="s">
        <v>179</v>
      </c>
      <c r="F1673" t="s">
        <v>224</v>
      </c>
      <c r="G1673" t="s">
        <v>103</v>
      </c>
      <c r="H1673" t="s">
        <v>148</v>
      </c>
      <c r="I1673">
        <v>2022</v>
      </c>
      <c r="J1673" t="s">
        <v>294</v>
      </c>
      <c r="K1673" t="s">
        <v>150</v>
      </c>
      <c r="L1673" t="s">
        <v>1904</v>
      </c>
      <c r="M1673" t="s">
        <v>1954</v>
      </c>
      <c r="N1673">
        <v>1</v>
      </c>
      <c r="O1673">
        <v>2022</v>
      </c>
      <c r="P1673">
        <v>11492.45927899376</v>
      </c>
      <c r="Q1673">
        <v>15.04742874486676</v>
      </c>
      <c r="R1673" t="s">
        <v>109</v>
      </c>
      <c r="S1673">
        <v>763.74904137122212</v>
      </c>
      <c r="T1673">
        <v>0.86</v>
      </c>
      <c r="U1673" t="s">
        <v>227</v>
      </c>
      <c r="V1673">
        <v>0.86</v>
      </c>
      <c r="W1673">
        <v>18</v>
      </c>
      <c r="X1673">
        <v>28</v>
      </c>
      <c r="Y1673">
        <v>24</v>
      </c>
      <c r="Z1673">
        <v>9.0305172134094655E-2</v>
      </c>
      <c r="AA1673">
        <v>31.536000000000001</v>
      </c>
    </row>
    <row r="1674" spans="1:27" x14ac:dyDescent="0.25">
      <c r="A1674" t="s">
        <v>98</v>
      </c>
      <c r="B1674" t="s">
        <v>519</v>
      </c>
      <c r="C1674" t="s">
        <v>100</v>
      </c>
      <c r="D1674" t="s">
        <v>1707</v>
      </c>
      <c r="E1674" t="s">
        <v>179</v>
      </c>
      <c r="F1674" t="s">
        <v>224</v>
      </c>
      <c r="G1674" t="s">
        <v>111</v>
      </c>
      <c r="H1674" t="s">
        <v>148</v>
      </c>
      <c r="I1674">
        <v>2016</v>
      </c>
      <c r="J1674" t="s">
        <v>296</v>
      </c>
      <c r="K1674" t="s">
        <v>150</v>
      </c>
      <c r="L1674" t="s">
        <v>1904</v>
      </c>
      <c r="M1674" t="s">
        <v>1955</v>
      </c>
      <c r="N1674">
        <v>1</v>
      </c>
      <c r="O1674">
        <v>2020</v>
      </c>
      <c r="P1674">
        <v>11126.65155658547</v>
      </c>
      <c r="Q1674">
        <v>15.04742874486676</v>
      </c>
      <c r="R1674" t="s">
        <v>109</v>
      </c>
      <c r="S1674">
        <v>739.4387270570187</v>
      </c>
      <c r="T1674">
        <v>0.84</v>
      </c>
      <c r="U1674" t="s">
        <v>227</v>
      </c>
      <c r="V1674">
        <v>0.84</v>
      </c>
      <c r="W1674">
        <v>18</v>
      </c>
      <c r="X1674">
        <v>28</v>
      </c>
      <c r="Y1674">
        <v>24</v>
      </c>
      <c r="Z1674">
        <v>9.0305172134094655E-2</v>
      </c>
      <c r="AA1674">
        <v>31.536000000000001</v>
      </c>
    </row>
    <row r="1675" spans="1:27" x14ac:dyDescent="0.25">
      <c r="A1675" t="s">
        <v>98</v>
      </c>
      <c r="B1675" t="s">
        <v>519</v>
      </c>
      <c r="C1675" t="s">
        <v>100</v>
      </c>
      <c r="D1675" t="s">
        <v>1707</v>
      </c>
      <c r="E1675" t="s">
        <v>179</v>
      </c>
      <c r="F1675" t="s">
        <v>224</v>
      </c>
      <c r="G1675" t="s">
        <v>111</v>
      </c>
      <c r="H1675" t="s">
        <v>148</v>
      </c>
      <c r="I1675">
        <v>2022</v>
      </c>
      <c r="J1675" t="s">
        <v>298</v>
      </c>
      <c r="K1675" t="s">
        <v>150</v>
      </c>
      <c r="L1675" t="s">
        <v>1904</v>
      </c>
      <c r="M1675" t="s">
        <v>1956</v>
      </c>
      <c r="N1675">
        <v>1</v>
      </c>
      <c r="O1675">
        <v>2022</v>
      </c>
      <c r="P1675">
        <v>11492.45927899376</v>
      </c>
      <c r="Q1675">
        <v>15.04742874486676</v>
      </c>
      <c r="R1675" t="s">
        <v>109</v>
      </c>
      <c r="S1675">
        <v>763.74904137122212</v>
      </c>
      <c r="T1675">
        <v>0.86</v>
      </c>
      <c r="U1675" t="s">
        <v>227</v>
      </c>
      <c r="V1675">
        <v>0.86</v>
      </c>
      <c r="W1675">
        <v>18</v>
      </c>
      <c r="X1675">
        <v>28</v>
      </c>
      <c r="Y1675">
        <v>24</v>
      </c>
      <c r="Z1675">
        <v>9.0305172134094655E-2</v>
      </c>
      <c r="AA1675">
        <v>31.536000000000001</v>
      </c>
    </row>
    <row r="1676" spans="1:27" x14ac:dyDescent="0.25">
      <c r="A1676" t="s">
        <v>98</v>
      </c>
      <c r="B1676" t="s">
        <v>519</v>
      </c>
      <c r="C1676" t="s">
        <v>100</v>
      </c>
      <c r="D1676" t="s">
        <v>1707</v>
      </c>
      <c r="E1676" t="s">
        <v>179</v>
      </c>
      <c r="F1676" t="s">
        <v>224</v>
      </c>
      <c r="G1676" t="s">
        <v>114</v>
      </c>
      <c r="H1676" t="s">
        <v>148</v>
      </c>
      <c r="I1676">
        <v>2016</v>
      </c>
      <c r="J1676" t="s">
        <v>300</v>
      </c>
      <c r="K1676" t="s">
        <v>150</v>
      </c>
      <c r="L1676" t="s">
        <v>1904</v>
      </c>
      <c r="M1676" t="s">
        <v>1957</v>
      </c>
      <c r="N1676">
        <v>1</v>
      </c>
      <c r="O1676">
        <v>2020</v>
      </c>
      <c r="P1676">
        <v>11492.45927899376</v>
      </c>
      <c r="Q1676">
        <v>15.04742874486676</v>
      </c>
      <c r="R1676" t="s">
        <v>109</v>
      </c>
      <c r="S1676">
        <v>763.74904137122212</v>
      </c>
      <c r="T1676">
        <v>0.87</v>
      </c>
      <c r="U1676" t="s">
        <v>227</v>
      </c>
      <c r="V1676">
        <v>0.87</v>
      </c>
      <c r="W1676">
        <v>18</v>
      </c>
      <c r="X1676">
        <v>28</v>
      </c>
      <c r="Y1676">
        <v>24</v>
      </c>
      <c r="Z1676">
        <v>9.0305172134094655E-2</v>
      </c>
      <c r="AA1676">
        <v>31.536000000000001</v>
      </c>
    </row>
    <row r="1677" spans="1:27" x14ac:dyDescent="0.25">
      <c r="A1677" t="s">
        <v>98</v>
      </c>
      <c r="B1677" t="s">
        <v>519</v>
      </c>
      <c r="C1677" t="s">
        <v>100</v>
      </c>
      <c r="D1677" t="s">
        <v>1707</v>
      </c>
      <c r="E1677" t="s">
        <v>179</v>
      </c>
      <c r="F1677" t="s">
        <v>224</v>
      </c>
      <c r="G1677" t="s">
        <v>119</v>
      </c>
      <c r="H1677" t="s">
        <v>148</v>
      </c>
      <c r="I1677">
        <v>2016</v>
      </c>
      <c r="J1677" t="s">
        <v>302</v>
      </c>
      <c r="K1677" t="s">
        <v>150</v>
      </c>
      <c r="L1677" t="s">
        <v>1904</v>
      </c>
      <c r="M1677" t="s">
        <v>1958</v>
      </c>
      <c r="N1677">
        <v>1</v>
      </c>
      <c r="O1677">
        <v>2020</v>
      </c>
      <c r="P1677">
        <v>13961.66140524971</v>
      </c>
      <c r="Q1677">
        <v>15.04742874486676</v>
      </c>
      <c r="R1677" t="s">
        <v>109</v>
      </c>
      <c r="S1677">
        <v>927.84366299209478</v>
      </c>
      <c r="T1677">
        <v>0.9</v>
      </c>
      <c r="U1677" t="s">
        <v>227</v>
      </c>
      <c r="V1677">
        <v>0.9</v>
      </c>
      <c r="W1677">
        <v>18</v>
      </c>
      <c r="X1677">
        <v>28</v>
      </c>
      <c r="Y1677">
        <v>24</v>
      </c>
      <c r="Z1677">
        <v>9.0305172134094655E-2</v>
      </c>
      <c r="AA1677">
        <v>31.536000000000001</v>
      </c>
    </row>
    <row r="1678" spans="1:27" x14ac:dyDescent="0.25">
      <c r="A1678" t="s">
        <v>98</v>
      </c>
      <c r="B1678" t="s">
        <v>519</v>
      </c>
      <c r="C1678" t="s">
        <v>100</v>
      </c>
      <c r="D1678" t="s">
        <v>1707</v>
      </c>
      <c r="E1678" t="s">
        <v>304</v>
      </c>
      <c r="F1678" t="s">
        <v>180</v>
      </c>
      <c r="G1678" t="s">
        <v>111</v>
      </c>
      <c r="H1678" t="s">
        <v>104</v>
      </c>
      <c r="I1678">
        <v>2016</v>
      </c>
      <c r="J1678" t="s">
        <v>305</v>
      </c>
      <c r="K1678" t="s">
        <v>106</v>
      </c>
      <c r="L1678" t="s">
        <v>1959</v>
      </c>
      <c r="M1678" t="s">
        <v>1960</v>
      </c>
      <c r="N1678">
        <v>0</v>
      </c>
      <c r="O1678">
        <v>2020</v>
      </c>
      <c r="P1678">
        <v>8291.641707921226</v>
      </c>
      <c r="Q1678">
        <v>3.6463116709824002</v>
      </c>
      <c r="R1678" t="s">
        <v>109</v>
      </c>
      <c r="S1678">
        <v>2273.9805195224212</v>
      </c>
      <c r="T1678">
        <v>0.6</v>
      </c>
      <c r="U1678" t="s">
        <v>184</v>
      </c>
      <c r="V1678">
        <v>0.6</v>
      </c>
      <c r="W1678">
        <v>12</v>
      </c>
      <c r="X1678">
        <v>18</v>
      </c>
      <c r="Y1678">
        <v>16</v>
      </c>
      <c r="Z1678">
        <v>8.0981185647948012E-2</v>
      </c>
      <c r="AA1678">
        <v>31.536000000000001</v>
      </c>
    </row>
    <row r="1679" spans="1:27" x14ac:dyDescent="0.25">
      <c r="A1679" t="s">
        <v>98</v>
      </c>
      <c r="B1679" t="s">
        <v>519</v>
      </c>
      <c r="C1679" t="s">
        <v>100</v>
      </c>
      <c r="D1679" t="s">
        <v>1707</v>
      </c>
      <c r="E1679" t="s">
        <v>304</v>
      </c>
      <c r="F1679" t="s">
        <v>180</v>
      </c>
      <c r="G1679" t="s">
        <v>111</v>
      </c>
      <c r="H1679" t="s">
        <v>104</v>
      </c>
      <c r="I1679">
        <v>2020</v>
      </c>
      <c r="J1679" t="s">
        <v>308</v>
      </c>
      <c r="K1679" t="s">
        <v>106</v>
      </c>
      <c r="L1679" t="s">
        <v>1959</v>
      </c>
      <c r="M1679" t="s">
        <v>1960</v>
      </c>
      <c r="N1679">
        <v>1</v>
      </c>
      <c r="O1679">
        <v>2020</v>
      </c>
      <c r="P1679">
        <v>8291.641707921226</v>
      </c>
      <c r="Q1679">
        <v>3.6463116709824002</v>
      </c>
      <c r="R1679" t="s">
        <v>109</v>
      </c>
      <c r="S1679">
        <v>2273.9805195224212</v>
      </c>
      <c r="T1679">
        <v>0.7</v>
      </c>
      <c r="U1679" t="s">
        <v>184</v>
      </c>
      <c r="V1679">
        <v>0.7</v>
      </c>
      <c r="W1679">
        <v>12</v>
      </c>
      <c r="X1679">
        <v>18</v>
      </c>
      <c r="Y1679">
        <v>16</v>
      </c>
      <c r="Z1679">
        <v>8.0981185647948012E-2</v>
      </c>
      <c r="AA1679">
        <v>31.536000000000001</v>
      </c>
    </row>
    <row r="1680" spans="1:27" x14ac:dyDescent="0.25">
      <c r="A1680" t="s">
        <v>98</v>
      </c>
      <c r="B1680" t="s">
        <v>519</v>
      </c>
      <c r="C1680" t="s">
        <v>100</v>
      </c>
      <c r="D1680" t="s">
        <v>1707</v>
      </c>
      <c r="E1680" t="s">
        <v>304</v>
      </c>
      <c r="F1680" t="s">
        <v>180</v>
      </c>
      <c r="G1680" t="s">
        <v>103</v>
      </c>
      <c r="H1680" t="s">
        <v>125</v>
      </c>
      <c r="I1680">
        <v>2016</v>
      </c>
      <c r="J1680" t="s">
        <v>309</v>
      </c>
      <c r="K1680" t="s">
        <v>127</v>
      </c>
      <c r="L1680" t="s">
        <v>1959</v>
      </c>
      <c r="M1680" t="s">
        <v>1961</v>
      </c>
      <c r="N1680">
        <v>1</v>
      </c>
      <c r="O1680">
        <v>2020</v>
      </c>
      <c r="P1680">
        <v>2956.9457561336731</v>
      </c>
      <c r="Q1680">
        <v>3.6463116709824002</v>
      </c>
      <c r="R1680" t="s">
        <v>109</v>
      </c>
      <c r="S1680">
        <v>810.94158232968698</v>
      </c>
      <c r="T1680">
        <v>4.1031652989449006</v>
      </c>
      <c r="U1680" t="s">
        <v>184</v>
      </c>
      <c r="V1680">
        <v>4.1031652989449006</v>
      </c>
      <c r="W1680">
        <v>9</v>
      </c>
      <c r="X1680">
        <v>22</v>
      </c>
      <c r="Y1680">
        <v>16</v>
      </c>
      <c r="Z1680">
        <v>8.0981185647948012E-2</v>
      </c>
      <c r="AA1680">
        <v>31.536000000000001</v>
      </c>
    </row>
    <row r="1681" spans="1:27" x14ac:dyDescent="0.25">
      <c r="A1681" t="s">
        <v>98</v>
      </c>
      <c r="B1681" t="s">
        <v>519</v>
      </c>
      <c r="C1681" t="s">
        <v>100</v>
      </c>
      <c r="D1681" t="s">
        <v>1707</v>
      </c>
      <c r="E1681" t="s">
        <v>304</v>
      </c>
      <c r="F1681" t="s">
        <v>180</v>
      </c>
      <c r="G1681" t="s">
        <v>103</v>
      </c>
      <c r="H1681" t="s">
        <v>125</v>
      </c>
      <c r="I1681">
        <v>2023</v>
      </c>
      <c r="J1681" t="s">
        <v>311</v>
      </c>
      <c r="K1681" t="s">
        <v>127</v>
      </c>
      <c r="L1681" t="s">
        <v>1959</v>
      </c>
      <c r="M1681" t="s">
        <v>1962</v>
      </c>
      <c r="N1681">
        <v>1</v>
      </c>
      <c r="O1681">
        <v>2023</v>
      </c>
      <c r="P1681">
        <v>2956.9457561336731</v>
      </c>
      <c r="Q1681">
        <v>3.6463116709824002</v>
      </c>
      <c r="R1681" t="s">
        <v>109</v>
      </c>
      <c r="S1681">
        <v>810.94158232968698</v>
      </c>
      <c r="T1681">
        <v>4.1031652989449006</v>
      </c>
      <c r="U1681" t="s">
        <v>184</v>
      </c>
      <c r="V1681">
        <v>4.1031652989449006</v>
      </c>
      <c r="W1681">
        <v>9</v>
      </c>
      <c r="X1681">
        <v>22</v>
      </c>
      <c r="Y1681">
        <v>16</v>
      </c>
      <c r="Z1681">
        <v>8.0981185647948012E-2</v>
      </c>
      <c r="AA1681">
        <v>31.536000000000001</v>
      </c>
    </row>
    <row r="1682" spans="1:27" x14ac:dyDescent="0.25">
      <c r="A1682" t="s">
        <v>98</v>
      </c>
      <c r="B1682" t="s">
        <v>519</v>
      </c>
      <c r="C1682" t="s">
        <v>100</v>
      </c>
      <c r="D1682" t="s">
        <v>1707</v>
      </c>
      <c r="E1682" t="s">
        <v>304</v>
      </c>
      <c r="F1682" t="s">
        <v>180</v>
      </c>
      <c r="G1682" t="s">
        <v>111</v>
      </c>
      <c r="H1682" t="s">
        <v>125</v>
      </c>
      <c r="I1682">
        <v>2016</v>
      </c>
      <c r="J1682" t="s">
        <v>313</v>
      </c>
      <c r="K1682" t="s">
        <v>127</v>
      </c>
      <c r="L1682" t="s">
        <v>1959</v>
      </c>
      <c r="M1682" t="s">
        <v>1963</v>
      </c>
      <c r="N1682">
        <v>1</v>
      </c>
      <c r="O1682">
        <v>2020</v>
      </c>
      <c r="P1682">
        <v>3109.3656404704602</v>
      </c>
      <c r="Q1682">
        <v>3.6463116709824002</v>
      </c>
      <c r="R1682" t="s">
        <v>109</v>
      </c>
      <c r="S1682">
        <v>852.7426948209079</v>
      </c>
      <c r="T1682">
        <v>4.484173505275499</v>
      </c>
      <c r="U1682" t="s">
        <v>184</v>
      </c>
      <c r="V1682">
        <v>4.484173505275499</v>
      </c>
      <c r="W1682">
        <v>9</v>
      </c>
      <c r="X1682">
        <v>22</v>
      </c>
      <c r="Y1682">
        <v>16</v>
      </c>
      <c r="Z1682">
        <v>8.0981185647948012E-2</v>
      </c>
      <c r="AA1682">
        <v>31.536000000000001</v>
      </c>
    </row>
    <row r="1683" spans="1:27" x14ac:dyDescent="0.25">
      <c r="A1683" t="s">
        <v>98</v>
      </c>
      <c r="B1683" t="s">
        <v>519</v>
      </c>
      <c r="C1683" t="s">
        <v>100</v>
      </c>
      <c r="D1683" t="s">
        <v>1707</v>
      </c>
      <c r="E1683" t="s">
        <v>304</v>
      </c>
      <c r="F1683" t="s">
        <v>180</v>
      </c>
      <c r="G1683" t="s">
        <v>111</v>
      </c>
      <c r="H1683" t="s">
        <v>125</v>
      </c>
      <c r="I1683">
        <v>2023</v>
      </c>
      <c r="J1683" t="s">
        <v>315</v>
      </c>
      <c r="K1683" t="s">
        <v>127</v>
      </c>
      <c r="L1683" t="s">
        <v>1959</v>
      </c>
      <c r="M1683" t="s">
        <v>1964</v>
      </c>
      <c r="N1683">
        <v>1</v>
      </c>
      <c r="O1683">
        <v>2023</v>
      </c>
      <c r="P1683">
        <v>3139.8496173378171</v>
      </c>
      <c r="Q1683">
        <v>3.6463116709824002</v>
      </c>
      <c r="R1683" t="s">
        <v>109</v>
      </c>
      <c r="S1683">
        <v>861.10291731915208</v>
      </c>
      <c r="T1683">
        <v>4.6307151230949586</v>
      </c>
      <c r="U1683" t="s">
        <v>184</v>
      </c>
      <c r="V1683">
        <v>4.6307151230949586</v>
      </c>
      <c r="W1683">
        <v>9</v>
      </c>
      <c r="X1683">
        <v>22</v>
      </c>
      <c r="Y1683">
        <v>16</v>
      </c>
      <c r="Z1683">
        <v>8.0981185647948012E-2</v>
      </c>
      <c r="AA1683">
        <v>31.536000000000001</v>
      </c>
    </row>
    <row r="1684" spans="1:27" x14ac:dyDescent="0.25">
      <c r="A1684" t="s">
        <v>98</v>
      </c>
      <c r="B1684" t="s">
        <v>519</v>
      </c>
      <c r="C1684" t="s">
        <v>100</v>
      </c>
      <c r="D1684" t="s">
        <v>1707</v>
      </c>
      <c r="E1684" t="s">
        <v>304</v>
      </c>
      <c r="F1684" t="s">
        <v>180</v>
      </c>
      <c r="G1684" t="s">
        <v>114</v>
      </c>
      <c r="H1684" t="s">
        <v>125</v>
      </c>
      <c r="I1684">
        <v>2016</v>
      </c>
      <c r="J1684" t="s">
        <v>317</v>
      </c>
      <c r="K1684" t="s">
        <v>127</v>
      </c>
      <c r="L1684" t="s">
        <v>1959</v>
      </c>
      <c r="M1684" t="s">
        <v>1965</v>
      </c>
      <c r="N1684">
        <v>1</v>
      </c>
      <c r="O1684">
        <v>2020</v>
      </c>
      <c r="P1684">
        <v>3017.9137098683868</v>
      </c>
      <c r="Q1684">
        <v>3.6463116709824002</v>
      </c>
      <c r="R1684" t="s">
        <v>109</v>
      </c>
      <c r="S1684">
        <v>827.66202732617535</v>
      </c>
      <c r="T1684">
        <v>4.3962485345838216</v>
      </c>
      <c r="U1684" t="s">
        <v>184</v>
      </c>
      <c r="V1684">
        <v>4.3962485345838216</v>
      </c>
      <c r="W1684">
        <v>9</v>
      </c>
      <c r="X1684">
        <v>22</v>
      </c>
      <c r="Y1684">
        <v>16</v>
      </c>
      <c r="Z1684">
        <v>8.0981185647948012E-2</v>
      </c>
      <c r="AA1684">
        <v>31.536000000000001</v>
      </c>
    </row>
    <row r="1685" spans="1:27" x14ac:dyDescent="0.25">
      <c r="A1685" t="s">
        <v>98</v>
      </c>
      <c r="B1685" t="s">
        <v>519</v>
      </c>
      <c r="C1685" t="s">
        <v>100</v>
      </c>
      <c r="D1685" t="s">
        <v>1707</v>
      </c>
      <c r="E1685" t="s">
        <v>304</v>
      </c>
      <c r="F1685" t="s">
        <v>180</v>
      </c>
      <c r="G1685" t="s">
        <v>114</v>
      </c>
      <c r="H1685" t="s">
        <v>125</v>
      </c>
      <c r="I1685">
        <v>2022</v>
      </c>
      <c r="J1685" t="s">
        <v>319</v>
      </c>
      <c r="K1685" t="s">
        <v>127</v>
      </c>
      <c r="L1685" t="s">
        <v>1959</v>
      </c>
      <c r="M1685" t="s">
        <v>1966</v>
      </c>
      <c r="N1685">
        <v>1</v>
      </c>
      <c r="O1685">
        <v>2022</v>
      </c>
      <c r="P1685">
        <v>3017.9137098683868</v>
      </c>
      <c r="Q1685">
        <v>3.6463116709824002</v>
      </c>
      <c r="R1685" t="s">
        <v>109</v>
      </c>
      <c r="S1685">
        <v>827.66202732617535</v>
      </c>
      <c r="T1685">
        <v>4.3962485345838216</v>
      </c>
      <c r="U1685" t="s">
        <v>184</v>
      </c>
      <c r="V1685">
        <v>4.3962485345838216</v>
      </c>
      <c r="W1685">
        <v>9</v>
      </c>
      <c r="X1685">
        <v>22</v>
      </c>
      <c r="Y1685">
        <v>16</v>
      </c>
      <c r="Z1685">
        <v>8.0981185647948012E-2</v>
      </c>
      <c r="AA1685">
        <v>31.536000000000001</v>
      </c>
    </row>
    <row r="1686" spans="1:27" x14ac:dyDescent="0.25">
      <c r="A1686" t="s">
        <v>98</v>
      </c>
      <c r="B1686" t="s">
        <v>519</v>
      </c>
      <c r="C1686" t="s">
        <v>100</v>
      </c>
      <c r="D1686" t="s">
        <v>1707</v>
      </c>
      <c r="E1686" t="s">
        <v>304</v>
      </c>
      <c r="F1686" t="s">
        <v>180</v>
      </c>
      <c r="G1686" t="s">
        <v>114</v>
      </c>
      <c r="H1686" t="s">
        <v>125</v>
      </c>
      <c r="I1686">
        <v>2023</v>
      </c>
      <c r="J1686" t="s">
        <v>321</v>
      </c>
      <c r="K1686" t="s">
        <v>127</v>
      </c>
      <c r="L1686" t="s">
        <v>1959</v>
      </c>
      <c r="M1686" t="s">
        <v>1967</v>
      </c>
      <c r="N1686">
        <v>1</v>
      </c>
      <c r="O1686">
        <v>2023</v>
      </c>
      <c r="P1686">
        <v>3266.447780092843</v>
      </c>
      <c r="Q1686">
        <v>3.6463116709824002</v>
      </c>
      <c r="R1686" t="s">
        <v>109</v>
      </c>
      <c r="S1686">
        <v>895.82242957656615</v>
      </c>
      <c r="T1686">
        <v>4.6893317702227444</v>
      </c>
      <c r="U1686" t="s">
        <v>184</v>
      </c>
      <c r="V1686">
        <v>4.6893317702227444</v>
      </c>
      <c r="W1686">
        <v>9</v>
      </c>
      <c r="X1686">
        <v>22</v>
      </c>
      <c r="Y1686">
        <v>16</v>
      </c>
      <c r="Z1686">
        <v>8.0981185647948012E-2</v>
      </c>
      <c r="AA1686">
        <v>31.536000000000001</v>
      </c>
    </row>
    <row r="1687" spans="1:27" x14ac:dyDescent="0.25">
      <c r="A1687" t="s">
        <v>98</v>
      </c>
      <c r="B1687" t="s">
        <v>519</v>
      </c>
      <c r="C1687" t="s">
        <v>100</v>
      </c>
      <c r="D1687" t="s">
        <v>1707</v>
      </c>
      <c r="E1687" t="s">
        <v>304</v>
      </c>
      <c r="F1687" t="s">
        <v>180</v>
      </c>
      <c r="G1687" t="s">
        <v>119</v>
      </c>
      <c r="H1687" t="s">
        <v>125</v>
      </c>
      <c r="I1687">
        <v>2016</v>
      </c>
      <c r="J1687" t="s">
        <v>323</v>
      </c>
      <c r="K1687" t="s">
        <v>127</v>
      </c>
      <c r="L1687" t="s">
        <v>1959</v>
      </c>
      <c r="M1687" t="s">
        <v>1968</v>
      </c>
      <c r="N1687">
        <v>1</v>
      </c>
      <c r="O1687">
        <v>2020</v>
      </c>
      <c r="P1687">
        <v>3719.0451778176089</v>
      </c>
      <c r="Q1687">
        <v>3.6463116709824002</v>
      </c>
      <c r="R1687" t="s">
        <v>109</v>
      </c>
      <c r="S1687">
        <v>1019.947144785792</v>
      </c>
      <c r="T1687">
        <v>5.5685814771395066</v>
      </c>
      <c r="U1687" t="s">
        <v>184</v>
      </c>
      <c r="V1687">
        <v>5.5685814771395066</v>
      </c>
      <c r="W1687">
        <v>9</v>
      </c>
      <c r="X1687">
        <v>22</v>
      </c>
      <c r="Y1687">
        <v>16</v>
      </c>
      <c r="Z1687">
        <v>8.0981185647948012E-2</v>
      </c>
      <c r="AA1687">
        <v>31.536000000000001</v>
      </c>
    </row>
    <row r="1688" spans="1:27" x14ac:dyDescent="0.25">
      <c r="A1688" t="s">
        <v>98</v>
      </c>
      <c r="B1688" t="s">
        <v>519</v>
      </c>
      <c r="C1688" t="s">
        <v>100</v>
      </c>
      <c r="D1688" t="s">
        <v>1707</v>
      </c>
      <c r="E1688" t="s">
        <v>304</v>
      </c>
      <c r="F1688" t="s">
        <v>180</v>
      </c>
      <c r="G1688" t="s">
        <v>119</v>
      </c>
      <c r="H1688" t="s">
        <v>125</v>
      </c>
      <c r="I1688">
        <v>2022</v>
      </c>
      <c r="J1688" t="s">
        <v>325</v>
      </c>
      <c r="K1688" t="s">
        <v>127</v>
      </c>
      <c r="L1688" t="s">
        <v>1959</v>
      </c>
      <c r="M1688" t="s">
        <v>1969</v>
      </c>
      <c r="N1688">
        <v>1</v>
      </c>
      <c r="O1688">
        <v>2022</v>
      </c>
      <c r="P1688">
        <v>3914.784397702746</v>
      </c>
      <c r="Q1688">
        <v>3.6463116709824002</v>
      </c>
      <c r="R1688" t="s">
        <v>109</v>
      </c>
      <c r="S1688">
        <v>1073.6285734587279</v>
      </c>
      <c r="T1688">
        <v>5.8616647127784294</v>
      </c>
      <c r="U1688" t="s">
        <v>184</v>
      </c>
      <c r="V1688">
        <v>5.8616647127784294</v>
      </c>
      <c r="W1688">
        <v>9</v>
      </c>
      <c r="X1688">
        <v>22</v>
      </c>
      <c r="Y1688">
        <v>16</v>
      </c>
      <c r="Z1688">
        <v>8.0981185647948012E-2</v>
      </c>
      <c r="AA1688">
        <v>31.536000000000001</v>
      </c>
    </row>
    <row r="1689" spans="1:27" x14ac:dyDescent="0.25">
      <c r="A1689" t="s">
        <v>98</v>
      </c>
      <c r="B1689" t="s">
        <v>519</v>
      </c>
      <c r="C1689" t="s">
        <v>100</v>
      </c>
      <c r="D1689" t="s">
        <v>1707</v>
      </c>
      <c r="E1689" t="s">
        <v>304</v>
      </c>
      <c r="F1689" t="s">
        <v>201</v>
      </c>
      <c r="G1689" t="s">
        <v>103</v>
      </c>
      <c r="H1689" t="s">
        <v>125</v>
      </c>
      <c r="I1689">
        <v>2016</v>
      </c>
      <c r="J1689" t="s">
        <v>327</v>
      </c>
      <c r="K1689" t="s">
        <v>127</v>
      </c>
      <c r="L1689" t="s">
        <v>1959</v>
      </c>
      <c r="M1689" t="s">
        <v>1970</v>
      </c>
      <c r="N1689">
        <v>1</v>
      </c>
      <c r="O1689">
        <v>2020</v>
      </c>
      <c r="P1689">
        <v>9511.0007826155233</v>
      </c>
      <c r="Q1689">
        <v>3.6463116709824002</v>
      </c>
      <c r="R1689" t="s">
        <v>109</v>
      </c>
      <c r="S1689">
        <v>2608.389419452189</v>
      </c>
      <c r="T1689">
        <v>14.1</v>
      </c>
      <c r="U1689" t="s">
        <v>329</v>
      </c>
      <c r="V1689">
        <v>4.1348973607038122</v>
      </c>
      <c r="W1689">
        <v>8</v>
      </c>
      <c r="X1689">
        <v>20.8</v>
      </c>
      <c r="Y1689">
        <v>15</v>
      </c>
      <c r="Z1689">
        <v>8.0981185647948012E-2</v>
      </c>
      <c r="AA1689">
        <v>31.536000000000001</v>
      </c>
    </row>
    <row r="1690" spans="1:27" x14ac:dyDescent="0.25">
      <c r="A1690" t="s">
        <v>98</v>
      </c>
      <c r="B1690" t="s">
        <v>519</v>
      </c>
      <c r="C1690" t="s">
        <v>100</v>
      </c>
      <c r="D1690" t="s">
        <v>1707</v>
      </c>
      <c r="E1690" t="s">
        <v>304</v>
      </c>
      <c r="F1690" t="s">
        <v>201</v>
      </c>
      <c r="G1690" t="s">
        <v>111</v>
      </c>
      <c r="H1690" t="s">
        <v>125</v>
      </c>
      <c r="I1690">
        <v>2016</v>
      </c>
      <c r="J1690" t="s">
        <v>330</v>
      </c>
      <c r="K1690" t="s">
        <v>127</v>
      </c>
      <c r="L1690" t="s">
        <v>1959</v>
      </c>
      <c r="M1690" t="s">
        <v>1971</v>
      </c>
      <c r="N1690">
        <v>1</v>
      </c>
      <c r="O1690">
        <v>2020</v>
      </c>
      <c r="P1690">
        <v>9846.3245281564559</v>
      </c>
      <c r="Q1690">
        <v>3.6463116709824002</v>
      </c>
      <c r="R1690" t="s">
        <v>109</v>
      </c>
      <c r="S1690">
        <v>2700.3518669328751</v>
      </c>
      <c r="T1690">
        <v>17.3</v>
      </c>
      <c r="U1690" t="s">
        <v>329</v>
      </c>
      <c r="V1690">
        <v>5.0733137829912023</v>
      </c>
      <c r="W1690">
        <v>8</v>
      </c>
      <c r="X1690">
        <v>20.8</v>
      </c>
      <c r="Y1690">
        <v>15</v>
      </c>
      <c r="Z1690">
        <v>8.0981185647948012E-2</v>
      </c>
      <c r="AA1690">
        <v>31.536000000000001</v>
      </c>
    </row>
    <row r="1691" spans="1:27" x14ac:dyDescent="0.25">
      <c r="A1691" t="s">
        <v>98</v>
      </c>
      <c r="B1691" t="s">
        <v>519</v>
      </c>
      <c r="C1691" t="s">
        <v>100</v>
      </c>
      <c r="D1691" t="s">
        <v>1707</v>
      </c>
      <c r="E1691" t="s">
        <v>304</v>
      </c>
      <c r="F1691" t="s">
        <v>201</v>
      </c>
      <c r="G1691" t="s">
        <v>114</v>
      </c>
      <c r="H1691" t="s">
        <v>125</v>
      </c>
      <c r="I1691">
        <v>2016</v>
      </c>
      <c r="J1691" t="s">
        <v>332</v>
      </c>
      <c r="K1691" t="s">
        <v>127</v>
      </c>
      <c r="L1691" t="s">
        <v>1959</v>
      </c>
      <c r="M1691" t="s">
        <v>1972</v>
      </c>
      <c r="N1691">
        <v>0</v>
      </c>
      <c r="O1691">
        <v>2020</v>
      </c>
      <c r="P1691">
        <v>9846.3245281564559</v>
      </c>
      <c r="Q1691">
        <v>3.6463116709824002</v>
      </c>
      <c r="R1691" t="s">
        <v>109</v>
      </c>
      <c r="S1691">
        <v>2700.3518669328751</v>
      </c>
      <c r="T1691">
        <v>17.100000000000001</v>
      </c>
      <c r="U1691" t="s">
        <v>329</v>
      </c>
      <c r="V1691">
        <v>5.0146627565982396</v>
      </c>
      <c r="W1691">
        <v>8</v>
      </c>
      <c r="X1691">
        <v>20.8</v>
      </c>
      <c r="Y1691">
        <v>15</v>
      </c>
      <c r="Z1691">
        <v>8.0981185647948012E-2</v>
      </c>
      <c r="AA1691">
        <v>31.536000000000001</v>
      </c>
    </row>
    <row r="1692" spans="1:27" x14ac:dyDescent="0.25">
      <c r="A1692" t="s">
        <v>98</v>
      </c>
      <c r="B1692" t="s">
        <v>519</v>
      </c>
      <c r="C1692" t="s">
        <v>100</v>
      </c>
      <c r="D1692" t="s">
        <v>1707</v>
      </c>
      <c r="E1692" t="s">
        <v>304</v>
      </c>
      <c r="F1692" t="s">
        <v>201</v>
      </c>
      <c r="G1692" t="s">
        <v>114</v>
      </c>
      <c r="H1692" t="s">
        <v>125</v>
      </c>
      <c r="I1692">
        <v>2020</v>
      </c>
      <c r="J1692" t="s">
        <v>334</v>
      </c>
      <c r="K1692" t="s">
        <v>127</v>
      </c>
      <c r="L1692" t="s">
        <v>1959</v>
      </c>
      <c r="M1692" t="s">
        <v>1972</v>
      </c>
      <c r="N1692">
        <v>1</v>
      </c>
      <c r="O1692">
        <v>2020</v>
      </c>
      <c r="P1692">
        <v>9846.3245281564559</v>
      </c>
      <c r="Q1692">
        <v>3.6463116709824002</v>
      </c>
      <c r="R1692" t="s">
        <v>109</v>
      </c>
      <c r="S1692">
        <v>2700.3518669328751</v>
      </c>
      <c r="T1692">
        <v>17.100000000000001</v>
      </c>
      <c r="U1692" t="s">
        <v>329</v>
      </c>
      <c r="V1692">
        <v>5.0146627565982396</v>
      </c>
      <c r="W1692">
        <v>8</v>
      </c>
      <c r="X1692">
        <v>20.8</v>
      </c>
      <c r="Y1692">
        <v>15</v>
      </c>
      <c r="Z1692">
        <v>8.0981185647948012E-2</v>
      </c>
      <c r="AA1692">
        <v>31.536000000000001</v>
      </c>
    </row>
    <row r="1693" spans="1:27" x14ac:dyDescent="0.25">
      <c r="A1693" t="s">
        <v>98</v>
      </c>
      <c r="B1693" t="s">
        <v>519</v>
      </c>
      <c r="C1693" t="s">
        <v>100</v>
      </c>
      <c r="D1693" t="s">
        <v>1707</v>
      </c>
      <c r="E1693" t="s">
        <v>304</v>
      </c>
      <c r="F1693" t="s">
        <v>201</v>
      </c>
      <c r="G1693" t="s">
        <v>114</v>
      </c>
      <c r="H1693" t="s">
        <v>125</v>
      </c>
      <c r="I1693">
        <v>2022</v>
      </c>
      <c r="J1693" t="s">
        <v>335</v>
      </c>
      <c r="K1693" t="s">
        <v>127</v>
      </c>
      <c r="L1693" t="s">
        <v>1959</v>
      </c>
      <c r="M1693" t="s">
        <v>1973</v>
      </c>
      <c r="N1693">
        <v>1</v>
      </c>
      <c r="O1693">
        <v>2022</v>
      </c>
      <c r="P1693">
        <v>9846.3245281564559</v>
      </c>
      <c r="Q1693">
        <v>3.6463116709824002</v>
      </c>
      <c r="R1693" t="s">
        <v>109</v>
      </c>
      <c r="S1693">
        <v>2700.3518669328751</v>
      </c>
      <c r="T1693">
        <v>17.100000000000001</v>
      </c>
      <c r="U1693" t="s">
        <v>329</v>
      </c>
      <c r="V1693">
        <v>5.0146627565982396</v>
      </c>
      <c r="W1693">
        <v>8</v>
      </c>
      <c r="X1693">
        <v>20.8</v>
      </c>
      <c r="Y1693">
        <v>15</v>
      </c>
      <c r="Z1693">
        <v>8.0981185647948012E-2</v>
      </c>
      <c r="AA1693">
        <v>31.536000000000001</v>
      </c>
    </row>
    <row r="1694" spans="1:27" x14ac:dyDescent="0.25">
      <c r="A1694" t="s">
        <v>98</v>
      </c>
      <c r="B1694" t="s">
        <v>519</v>
      </c>
      <c r="C1694" t="s">
        <v>100</v>
      </c>
      <c r="D1694" t="s">
        <v>1707</v>
      </c>
      <c r="E1694" t="s">
        <v>304</v>
      </c>
      <c r="F1694" t="s">
        <v>201</v>
      </c>
      <c r="G1694" t="s">
        <v>114</v>
      </c>
      <c r="H1694" t="s">
        <v>125</v>
      </c>
      <c r="I1694">
        <v>2023</v>
      </c>
      <c r="J1694" t="s">
        <v>337</v>
      </c>
      <c r="K1694" t="s">
        <v>127</v>
      </c>
      <c r="L1694" t="s">
        <v>1959</v>
      </c>
      <c r="M1694" t="s">
        <v>1974</v>
      </c>
      <c r="N1694">
        <v>1</v>
      </c>
      <c r="O1694">
        <v>2023</v>
      </c>
      <c r="P1694">
        <v>9846.3245281564559</v>
      </c>
      <c r="Q1694">
        <v>3.6463116709824002</v>
      </c>
      <c r="R1694" t="s">
        <v>109</v>
      </c>
      <c r="S1694">
        <v>2700.3518669328751</v>
      </c>
      <c r="T1694">
        <v>17.100000000000001</v>
      </c>
      <c r="U1694" t="s">
        <v>329</v>
      </c>
      <c r="V1694">
        <v>5.0146627565982396</v>
      </c>
      <c r="W1694">
        <v>8</v>
      </c>
      <c r="X1694">
        <v>20.8</v>
      </c>
      <c r="Y1694">
        <v>15</v>
      </c>
      <c r="Z1694">
        <v>8.0981185647948012E-2</v>
      </c>
      <c r="AA1694">
        <v>31.536000000000001</v>
      </c>
    </row>
    <row r="1695" spans="1:27" x14ac:dyDescent="0.25">
      <c r="A1695" t="s">
        <v>98</v>
      </c>
      <c r="B1695" t="s">
        <v>519</v>
      </c>
      <c r="C1695" t="s">
        <v>100</v>
      </c>
      <c r="D1695" t="s">
        <v>1707</v>
      </c>
      <c r="E1695" t="s">
        <v>304</v>
      </c>
      <c r="F1695" t="s">
        <v>201</v>
      </c>
      <c r="G1695" t="s">
        <v>114</v>
      </c>
      <c r="H1695" t="s">
        <v>125</v>
      </c>
      <c r="I1695">
        <v>2024</v>
      </c>
      <c r="J1695" t="s">
        <v>339</v>
      </c>
      <c r="K1695" t="s">
        <v>127</v>
      </c>
      <c r="L1695" t="s">
        <v>1959</v>
      </c>
      <c r="M1695" t="s">
        <v>1975</v>
      </c>
      <c r="N1695">
        <v>1</v>
      </c>
      <c r="O1695">
        <v>2024</v>
      </c>
      <c r="P1695">
        <v>9846.3245281564559</v>
      </c>
      <c r="Q1695">
        <v>3.6463116709824002</v>
      </c>
      <c r="R1695" t="s">
        <v>109</v>
      </c>
      <c r="S1695">
        <v>2700.3518669328751</v>
      </c>
      <c r="T1695">
        <v>17.100000000000001</v>
      </c>
      <c r="U1695" t="s">
        <v>329</v>
      </c>
      <c r="V1695">
        <v>5.0146627565982396</v>
      </c>
      <c r="W1695">
        <v>8</v>
      </c>
      <c r="X1695">
        <v>20.8</v>
      </c>
      <c r="Y1695">
        <v>15</v>
      </c>
      <c r="Z1695">
        <v>8.0981185647948012E-2</v>
      </c>
      <c r="AA1695">
        <v>31.536000000000001</v>
      </c>
    </row>
    <row r="1696" spans="1:27" x14ac:dyDescent="0.25">
      <c r="A1696" t="s">
        <v>98</v>
      </c>
      <c r="B1696" t="s">
        <v>519</v>
      </c>
      <c r="C1696" t="s">
        <v>100</v>
      </c>
      <c r="D1696" t="s">
        <v>1707</v>
      </c>
      <c r="E1696" t="s">
        <v>304</v>
      </c>
      <c r="F1696" t="s">
        <v>201</v>
      </c>
      <c r="G1696" t="s">
        <v>119</v>
      </c>
      <c r="H1696" t="s">
        <v>125</v>
      </c>
      <c r="I1696">
        <v>2016</v>
      </c>
      <c r="J1696" t="s">
        <v>341</v>
      </c>
      <c r="K1696" t="s">
        <v>127</v>
      </c>
      <c r="L1696" t="s">
        <v>1959</v>
      </c>
      <c r="M1696" t="s">
        <v>1976</v>
      </c>
      <c r="N1696">
        <v>0</v>
      </c>
      <c r="O1696">
        <v>2020</v>
      </c>
      <c r="P1696">
        <v>10395.03611176889</v>
      </c>
      <c r="Q1696">
        <v>3.6463116709824002</v>
      </c>
      <c r="R1696" t="s">
        <v>109</v>
      </c>
      <c r="S1696">
        <v>2850.8358719012708</v>
      </c>
      <c r="T1696">
        <v>22.4</v>
      </c>
      <c r="U1696" t="s">
        <v>329</v>
      </c>
      <c r="V1696">
        <v>6.5689149560117297</v>
      </c>
      <c r="W1696">
        <v>8</v>
      </c>
      <c r="X1696">
        <v>20.8</v>
      </c>
      <c r="Y1696">
        <v>15</v>
      </c>
      <c r="Z1696">
        <v>8.0981185647948012E-2</v>
      </c>
      <c r="AA1696">
        <v>31.536000000000001</v>
      </c>
    </row>
    <row r="1697" spans="1:27" x14ac:dyDescent="0.25">
      <c r="A1697" t="s">
        <v>98</v>
      </c>
      <c r="B1697" t="s">
        <v>519</v>
      </c>
      <c r="C1697" t="s">
        <v>100</v>
      </c>
      <c r="D1697" t="s">
        <v>1707</v>
      </c>
      <c r="E1697" t="s">
        <v>304</v>
      </c>
      <c r="F1697" t="s">
        <v>201</v>
      </c>
      <c r="G1697" t="s">
        <v>119</v>
      </c>
      <c r="H1697" t="s">
        <v>125</v>
      </c>
      <c r="I1697">
        <v>2020</v>
      </c>
      <c r="J1697" t="s">
        <v>343</v>
      </c>
      <c r="K1697" t="s">
        <v>127</v>
      </c>
      <c r="L1697" t="s">
        <v>1959</v>
      </c>
      <c r="M1697" t="s">
        <v>1976</v>
      </c>
      <c r="N1697">
        <v>1</v>
      </c>
      <c r="O1697">
        <v>2020</v>
      </c>
      <c r="P1697">
        <v>10395.03611176889</v>
      </c>
      <c r="Q1697">
        <v>3.6463116709824002</v>
      </c>
      <c r="R1697" t="s">
        <v>109</v>
      </c>
      <c r="S1697">
        <v>2850.8358719012708</v>
      </c>
      <c r="T1697">
        <v>22.4</v>
      </c>
      <c r="U1697" t="s">
        <v>329</v>
      </c>
      <c r="V1697">
        <v>6.5689149560117297</v>
      </c>
      <c r="W1697">
        <v>8</v>
      </c>
      <c r="X1697">
        <v>20.8</v>
      </c>
      <c r="Y1697">
        <v>15</v>
      </c>
      <c r="Z1697">
        <v>8.0981185647948012E-2</v>
      </c>
      <c r="AA1697">
        <v>31.536000000000001</v>
      </c>
    </row>
    <row r="1698" spans="1:27" x14ac:dyDescent="0.25">
      <c r="A1698" t="s">
        <v>98</v>
      </c>
      <c r="B1698" t="s">
        <v>519</v>
      </c>
      <c r="C1698" t="s">
        <v>100</v>
      </c>
      <c r="D1698" t="s">
        <v>1707</v>
      </c>
      <c r="E1698" t="s">
        <v>304</v>
      </c>
      <c r="F1698" t="s">
        <v>201</v>
      </c>
      <c r="G1698" t="s">
        <v>119</v>
      </c>
      <c r="H1698" t="s">
        <v>125</v>
      </c>
      <c r="I1698">
        <v>2022</v>
      </c>
      <c r="J1698" t="s">
        <v>344</v>
      </c>
      <c r="K1698" t="s">
        <v>127</v>
      </c>
      <c r="L1698" t="s">
        <v>1959</v>
      </c>
      <c r="M1698" t="s">
        <v>1977</v>
      </c>
      <c r="N1698">
        <v>1</v>
      </c>
      <c r="O1698">
        <v>2022</v>
      </c>
      <c r="P1698">
        <v>10395.03611176889</v>
      </c>
      <c r="Q1698">
        <v>3.6463116709824002</v>
      </c>
      <c r="R1698" t="s">
        <v>109</v>
      </c>
      <c r="S1698">
        <v>2850.8358719012708</v>
      </c>
      <c r="T1698">
        <v>22.4</v>
      </c>
      <c r="U1698" t="s">
        <v>329</v>
      </c>
      <c r="V1698">
        <v>6.5689149560117297</v>
      </c>
      <c r="W1698">
        <v>8</v>
      </c>
      <c r="X1698">
        <v>20.8</v>
      </c>
      <c r="Y1698">
        <v>15</v>
      </c>
      <c r="Z1698">
        <v>8.0981185647948012E-2</v>
      </c>
      <c r="AA1698">
        <v>31.536000000000001</v>
      </c>
    </row>
    <row r="1699" spans="1:27" x14ac:dyDescent="0.25">
      <c r="A1699" t="s">
        <v>98</v>
      </c>
      <c r="B1699" t="s">
        <v>519</v>
      </c>
      <c r="C1699" t="s">
        <v>100</v>
      </c>
      <c r="D1699" t="s">
        <v>1707</v>
      </c>
      <c r="E1699" t="s">
        <v>304</v>
      </c>
      <c r="F1699" t="s">
        <v>201</v>
      </c>
      <c r="G1699" t="s">
        <v>119</v>
      </c>
      <c r="H1699" t="s">
        <v>125</v>
      </c>
      <c r="I1699">
        <v>2023</v>
      </c>
      <c r="J1699" t="s">
        <v>346</v>
      </c>
      <c r="K1699" t="s">
        <v>127</v>
      </c>
      <c r="L1699" t="s">
        <v>1959</v>
      </c>
      <c r="M1699" t="s">
        <v>1978</v>
      </c>
      <c r="N1699">
        <v>1</v>
      </c>
      <c r="O1699">
        <v>2023</v>
      </c>
      <c r="P1699">
        <v>10395.03611176889</v>
      </c>
      <c r="Q1699">
        <v>3.6463116709824002</v>
      </c>
      <c r="R1699" t="s">
        <v>109</v>
      </c>
      <c r="S1699">
        <v>2850.8358719012708</v>
      </c>
      <c r="T1699">
        <v>22.4</v>
      </c>
      <c r="U1699" t="s">
        <v>329</v>
      </c>
      <c r="V1699">
        <v>6.5689149560117297</v>
      </c>
      <c r="W1699">
        <v>8</v>
      </c>
      <c r="X1699">
        <v>20.8</v>
      </c>
      <c r="Y1699">
        <v>15</v>
      </c>
      <c r="Z1699">
        <v>8.0981185647948012E-2</v>
      </c>
      <c r="AA1699">
        <v>31.536000000000001</v>
      </c>
    </row>
    <row r="1700" spans="1:27" x14ac:dyDescent="0.25">
      <c r="A1700" t="s">
        <v>98</v>
      </c>
      <c r="B1700" t="s">
        <v>519</v>
      </c>
      <c r="C1700" t="s">
        <v>100</v>
      </c>
      <c r="D1700" t="s">
        <v>1707</v>
      </c>
      <c r="E1700" t="s">
        <v>304</v>
      </c>
      <c r="F1700" t="s">
        <v>201</v>
      </c>
      <c r="G1700" t="s">
        <v>119</v>
      </c>
      <c r="H1700" t="s">
        <v>125</v>
      </c>
      <c r="I1700">
        <v>2024</v>
      </c>
      <c r="J1700" t="s">
        <v>348</v>
      </c>
      <c r="K1700" t="s">
        <v>127</v>
      </c>
      <c r="L1700" t="s">
        <v>1959</v>
      </c>
      <c r="M1700" t="s">
        <v>1979</v>
      </c>
      <c r="N1700">
        <v>1</v>
      </c>
      <c r="O1700">
        <v>2024</v>
      </c>
      <c r="P1700">
        <v>10395.03611176889</v>
      </c>
      <c r="Q1700">
        <v>3.6463116709824002</v>
      </c>
      <c r="R1700" t="s">
        <v>109</v>
      </c>
      <c r="S1700">
        <v>2850.8358719012708</v>
      </c>
      <c r="T1700">
        <v>22.4</v>
      </c>
      <c r="U1700" t="s">
        <v>329</v>
      </c>
      <c r="V1700">
        <v>6.5689149560117297</v>
      </c>
      <c r="W1700">
        <v>8</v>
      </c>
      <c r="X1700">
        <v>20.8</v>
      </c>
      <c r="Y1700">
        <v>15</v>
      </c>
      <c r="Z1700">
        <v>8.0981185647948012E-2</v>
      </c>
      <c r="AA1700">
        <v>31.536000000000001</v>
      </c>
    </row>
    <row r="1701" spans="1:27" x14ac:dyDescent="0.25">
      <c r="A1701" t="s">
        <v>98</v>
      </c>
      <c r="B1701" t="s">
        <v>519</v>
      </c>
      <c r="C1701" t="s">
        <v>100</v>
      </c>
      <c r="D1701" t="s">
        <v>1707</v>
      </c>
      <c r="E1701" t="s">
        <v>304</v>
      </c>
      <c r="F1701" t="s">
        <v>350</v>
      </c>
      <c r="G1701" t="s">
        <v>103</v>
      </c>
      <c r="H1701" t="s">
        <v>125</v>
      </c>
      <c r="I1701">
        <v>2016</v>
      </c>
      <c r="J1701" t="s">
        <v>351</v>
      </c>
      <c r="K1701" t="s">
        <v>127</v>
      </c>
      <c r="L1701" t="s">
        <v>1959</v>
      </c>
      <c r="M1701" t="s">
        <v>1980</v>
      </c>
      <c r="N1701">
        <v>1</v>
      </c>
      <c r="O1701">
        <v>2020</v>
      </c>
      <c r="P1701">
        <v>756.00262631046473</v>
      </c>
      <c r="Q1701">
        <v>3.6463116709824002</v>
      </c>
      <c r="R1701" t="s">
        <v>109</v>
      </c>
      <c r="S1701">
        <v>207.33351795645609</v>
      </c>
      <c r="T1701">
        <v>3.1946072684642441</v>
      </c>
      <c r="U1701" t="s">
        <v>184</v>
      </c>
      <c r="V1701">
        <v>3.1946072684642441</v>
      </c>
      <c r="W1701">
        <v>6</v>
      </c>
      <c r="X1701">
        <v>13</v>
      </c>
      <c r="Y1701">
        <v>10</v>
      </c>
      <c r="Z1701">
        <v>8.0981185647948012E-2</v>
      </c>
      <c r="AA1701">
        <v>31.536000000000001</v>
      </c>
    </row>
    <row r="1702" spans="1:27" x14ac:dyDescent="0.25">
      <c r="A1702" t="s">
        <v>98</v>
      </c>
      <c r="B1702" t="s">
        <v>519</v>
      </c>
      <c r="C1702" t="s">
        <v>100</v>
      </c>
      <c r="D1702" t="s">
        <v>1707</v>
      </c>
      <c r="E1702" t="s">
        <v>304</v>
      </c>
      <c r="F1702" t="s">
        <v>350</v>
      </c>
      <c r="G1702" t="s">
        <v>111</v>
      </c>
      <c r="H1702" t="s">
        <v>125</v>
      </c>
      <c r="I1702">
        <v>2016</v>
      </c>
      <c r="J1702" t="s">
        <v>353</v>
      </c>
      <c r="K1702" t="s">
        <v>127</v>
      </c>
      <c r="L1702" t="s">
        <v>1959</v>
      </c>
      <c r="M1702" t="s">
        <v>1981</v>
      </c>
      <c r="N1702">
        <v>1</v>
      </c>
      <c r="O1702">
        <v>2020</v>
      </c>
      <c r="P1702">
        <v>780.38980780435065</v>
      </c>
      <c r="Q1702">
        <v>3.6463116709824002</v>
      </c>
      <c r="R1702" t="s">
        <v>109</v>
      </c>
      <c r="S1702">
        <v>214.0216959550514</v>
      </c>
      <c r="T1702">
        <v>3.5169988276670581</v>
      </c>
      <c r="U1702" t="s">
        <v>184</v>
      </c>
      <c r="V1702">
        <v>3.5169988276670581</v>
      </c>
      <c r="W1702">
        <v>6</v>
      </c>
      <c r="X1702">
        <v>13</v>
      </c>
      <c r="Y1702">
        <v>10</v>
      </c>
      <c r="Z1702">
        <v>8.0981185647948012E-2</v>
      </c>
      <c r="AA1702">
        <v>31.536000000000001</v>
      </c>
    </row>
    <row r="1703" spans="1:27" x14ac:dyDescent="0.25">
      <c r="A1703" t="s">
        <v>98</v>
      </c>
      <c r="B1703" t="s">
        <v>519</v>
      </c>
      <c r="C1703" t="s">
        <v>100</v>
      </c>
      <c r="D1703" t="s">
        <v>1707</v>
      </c>
      <c r="E1703" t="s">
        <v>304</v>
      </c>
      <c r="F1703" t="s">
        <v>350</v>
      </c>
      <c r="G1703" t="s">
        <v>111</v>
      </c>
      <c r="H1703" t="s">
        <v>125</v>
      </c>
      <c r="I1703">
        <v>2030</v>
      </c>
      <c r="J1703" t="s">
        <v>355</v>
      </c>
      <c r="K1703" t="s">
        <v>127</v>
      </c>
      <c r="L1703" t="s">
        <v>1959</v>
      </c>
      <c r="M1703" t="s">
        <v>1982</v>
      </c>
      <c r="N1703">
        <v>1</v>
      </c>
      <c r="O1703">
        <v>2030</v>
      </c>
      <c r="P1703">
        <v>780.38980780435065</v>
      </c>
      <c r="Q1703">
        <v>3.6463116709824002</v>
      </c>
      <c r="R1703" t="s">
        <v>109</v>
      </c>
      <c r="S1703">
        <v>214.0216959550514</v>
      </c>
      <c r="T1703">
        <v>3.5902696365767879</v>
      </c>
      <c r="U1703" t="s">
        <v>184</v>
      </c>
      <c r="V1703">
        <v>3.5902696365767879</v>
      </c>
      <c r="W1703">
        <v>6</v>
      </c>
      <c r="X1703">
        <v>13</v>
      </c>
      <c r="Y1703">
        <v>10</v>
      </c>
      <c r="Z1703">
        <v>8.0981185647948012E-2</v>
      </c>
      <c r="AA1703">
        <v>31.536000000000001</v>
      </c>
    </row>
    <row r="1704" spans="1:27" x14ac:dyDescent="0.25">
      <c r="A1704" t="s">
        <v>98</v>
      </c>
      <c r="B1704" t="s">
        <v>519</v>
      </c>
      <c r="C1704" t="s">
        <v>100</v>
      </c>
      <c r="D1704" t="s">
        <v>1707</v>
      </c>
      <c r="E1704" t="s">
        <v>304</v>
      </c>
      <c r="F1704" t="s">
        <v>350</v>
      </c>
      <c r="G1704" t="s">
        <v>111</v>
      </c>
      <c r="H1704" t="s">
        <v>125</v>
      </c>
      <c r="I1704">
        <v>2040</v>
      </c>
      <c r="J1704" t="s">
        <v>357</v>
      </c>
      <c r="K1704" t="s">
        <v>127</v>
      </c>
      <c r="L1704" t="s">
        <v>1959</v>
      </c>
      <c r="M1704" t="s">
        <v>1983</v>
      </c>
      <c r="N1704">
        <v>1</v>
      </c>
      <c r="O1704">
        <v>2040</v>
      </c>
      <c r="P1704">
        <v>780.38980780435065</v>
      </c>
      <c r="Q1704">
        <v>3.6463116709824002</v>
      </c>
      <c r="R1704" t="s">
        <v>109</v>
      </c>
      <c r="S1704">
        <v>214.0216959550514</v>
      </c>
      <c r="T1704">
        <v>3.6635404454865181</v>
      </c>
      <c r="U1704" t="s">
        <v>184</v>
      </c>
      <c r="V1704">
        <v>3.6635404454865181</v>
      </c>
      <c r="W1704">
        <v>6</v>
      </c>
      <c r="X1704">
        <v>13</v>
      </c>
      <c r="Y1704">
        <v>10</v>
      </c>
      <c r="Z1704">
        <v>8.0981185647948012E-2</v>
      </c>
      <c r="AA1704">
        <v>31.536000000000001</v>
      </c>
    </row>
    <row r="1705" spans="1:27" x14ac:dyDescent="0.25">
      <c r="A1705" t="s">
        <v>98</v>
      </c>
      <c r="B1705" t="s">
        <v>519</v>
      </c>
      <c r="C1705" t="s">
        <v>100</v>
      </c>
      <c r="D1705" t="s">
        <v>1707</v>
      </c>
      <c r="E1705" t="s">
        <v>304</v>
      </c>
      <c r="F1705" t="s">
        <v>350</v>
      </c>
      <c r="G1705" t="s">
        <v>114</v>
      </c>
      <c r="H1705" t="s">
        <v>125</v>
      </c>
      <c r="I1705">
        <v>2016</v>
      </c>
      <c r="J1705" t="s">
        <v>359</v>
      </c>
      <c r="K1705" t="s">
        <v>127</v>
      </c>
      <c r="L1705" t="s">
        <v>1959</v>
      </c>
      <c r="M1705" t="s">
        <v>1984</v>
      </c>
      <c r="N1705">
        <v>1</v>
      </c>
      <c r="O1705">
        <v>2020</v>
      </c>
      <c r="P1705">
        <v>780.38980780435065</v>
      </c>
      <c r="Q1705">
        <v>3.6463116709824002</v>
      </c>
      <c r="R1705" t="s">
        <v>109</v>
      </c>
      <c r="S1705">
        <v>214.0216959550514</v>
      </c>
      <c r="T1705">
        <v>3.5169988276670581</v>
      </c>
      <c r="U1705" t="s">
        <v>184</v>
      </c>
      <c r="V1705">
        <v>3.5169988276670581</v>
      </c>
      <c r="W1705">
        <v>6</v>
      </c>
      <c r="X1705">
        <v>13</v>
      </c>
      <c r="Y1705">
        <v>10</v>
      </c>
      <c r="Z1705">
        <v>8.0981185647948012E-2</v>
      </c>
      <c r="AA1705">
        <v>31.536000000000001</v>
      </c>
    </row>
    <row r="1706" spans="1:27" x14ac:dyDescent="0.25">
      <c r="A1706" t="s">
        <v>98</v>
      </c>
      <c r="B1706" t="s">
        <v>519</v>
      </c>
      <c r="C1706" t="s">
        <v>100</v>
      </c>
      <c r="D1706" t="s">
        <v>1707</v>
      </c>
      <c r="E1706" t="s">
        <v>304</v>
      </c>
      <c r="F1706" t="s">
        <v>350</v>
      </c>
      <c r="G1706" t="s">
        <v>119</v>
      </c>
      <c r="H1706" t="s">
        <v>125</v>
      </c>
      <c r="I1706">
        <v>2016</v>
      </c>
      <c r="J1706" t="s">
        <v>361</v>
      </c>
      <c r="K1706" t="s">
        <v>127</v>
      </c>
      <c r="L1706" t="s">
        <v>1959</v>
      </c>
      <c r="M1706" t="s">
        <v>1985</v>
      </c>
      <c r="N1706">
        <v>1</v>
      </c>
      <c r="O1706">
        <v>2020</v>
      </c>
      <c r="P1706">
        <v>859.64814765948006</v>
      </c>
      <c r="Q1706">
        <v>3.6463116709824002</v>
      </c>
      <c r="R1706" t="s">
        <v>109</v>
      </c>
      <c r="S1706">
        <v>235.75827445048631</v>
      </c>
      <c r="T1706">
        <v>3.6049237983587341</v>
      </c>
      <c r="U1706" t="s">
        <v>184</v>
      </c>
      <c r="V1706">
        <v>3.6049237983587341</v>
      </c>
      <c r="W1706">
        <v>6</v>
      </c>
      <c r="X1706">
        <v>13</v>
      </c>
      <c r="Y1706">
        <v>10</v>
      </c>
      <c r="Z1706">
        <v>8.0981185647948012E-2</v>
      </c>
      <c r="AA1706">
        <v>31.536000000000001</v>
      </c>
    </row>
    <row r="1707" spans="1:27" x14ac:dyDescent="0.25">
      <c r="A1707" t="s">
        <v>98</v>
      </c>
      <c r="B1707" t="s">
        <v>519</v>
      </c>
      <c r="C1707" t="s">
        <v>100</v>
      </c>
      <c r="D1707" t="s">
        <v>1707</v>
      </c>
      <c r="E1707" t="s">
        <v>304</v>
      </c>
      <c r="F1707" t="s">
        <v>350</v>
      </c>
      <c r="G1707" t="s">
        <v>119</v>
      </c>
      <c r="H1707" t="s">
        <v>125</v>
      </c>
      <c r="I1707">
        <v>2022</v>
      </c>
      <c r="J1707" t="s">
        <v>363</v>
      </c>
      <c r="K1707" t="s">
        <v>127</v>
      </c>
      <c r="L1707" t="s">
        <v>1959</v>
      </c>
      <c r="M1707" t="s">
        <v>1986</v>
      </c>
      <c r="N1707">
        <v>1</v>
      </c>
      <c r="O1707">
        <v>2022</v>
      </c>
      <c r="P1707">
        <v>859.64814765948006</v>
      </c>
      <c r="Q1707">
        <v>3.6463116709824002</v>
      </c>
      <c r="R1707" t="s">
        <v>109</v>
      </c>
      <c r="S1707">
        <v>235.75827445048631</v>
      </c>
      <c r="T1707">
        <v>3.6635404454865181</v>
      </c>
      <c r="U1707" t="s">
        <v>184</v>
      </c>
      <c r="V1707">
        <v>3.6635404454865181</v>
      </c>
      <c r="W1707">
        <v>6</v>
      </c>
      <c r="X1707">
        <v>13</v>
      </c>
      <c r="Y1707">
        <v>10</v>
      </c>
      <c r="Z1707">
        <v>8.0981185647948012E-2</v>
      </c>
      <c r="AA1707">
        <v>31.536000000000001</v>
      </c>
    </row>
    <row r="1708" spans="1:27" x14ac:dyDescent="0.25">
      <c r="A1708" t="s">
        <v>98</v>
      </c>
      <c r="B1708" t="s">
        <v>519</v>
      </c>
      <c r="C1708" t="s">
        <v>100</v>
      </c>
      <c r="D1708" t="s">
        <v>1707</v>
      </c>
      <c r="E1708" t="s">
        <v>304</v>
      </c>
      <c r="F1708" t="s">
        <v>350</v>
      </c>
      <c r="G1708" t="s">
        <v>119</v>
      </c>
      <c r="H1708" t="s">
        <v>125</v>
      </c>
      <c r="I1708">
        <v>2030</v>
      </c>
      <c r="J1708" t="s">
        <v>365</v>
      </c>
      <c r="K1708" t="s">
        <v>127</v>
      </c>
      <c r="L1708" t="s">
        <v>1959</v>
      </c>
      <c r="M1708" t="s">
        <v>1987</v>
      </c>
      <c r="N1708">
        <v>1</v>
      </c>
      <c r="O1708">
        <v>2030</v>
      </c>
      <c r="P1708">
        <v>859.64814765948006</v>
      </c>
      <c r="Q1708">
        <v>3.6463116709824002</v>
      </c>
      <c r="R1708" t="s">
        <v>109</v>
      </c>
      <c r="S1708">
        <v>235.75827445048631</v>
      </c>
      <c r="T1708">
        <v>3.8100820633059791</v>
      </c>
      <c r="U1708" t="s">
        <v>184</v>
      </c>
      <c r="V1708">
        <v>3.8100820633059791</v>
      </c>
      <c r="W1708">
        <v>6</v>
      </c>
      <c r="X1708">
        <v>13</v>
      </c>
      <c r="Y1708">
        <v>10</v>
      </c>
      <c r="Z1708">
        <v>8.0981185647948012E-2</v>
      </c>
      <c r="AA1708">
        <v>31.536000000000001</v>
      </c>
    </row>
    <row r="1709" spans="1:27" x14ac:dyDescent="0.25">
      <c r="A1709" t="s">
        <v>98</v>
      </c>
      <c r="B1709" t="s">
        <v>519</v>
      </c>
      <c r="C1709" t="s">
        <v>100</v>
      </c>
      <c r="D1709" t="s">
        <v>1707</v>
      </c>
      <c r="E1709" t="s">
        <v>304</v>
      </c>
      <c r="F1709" t="s">
        <v>350</v>
      </c>
      <c r="G1709" t="s">
        <v>119</v>
      </c>
      <c r="H1709" t="s">
        <v>125</v>
      </c>
      <c r="I1709">
        <v>2040</v>
      </c>
      <c r="J1709" t="s">
        <v>367</v>
      </c>
      <c r="K1709" t="s">
        <v>127</v>
      </c>
      <c r="L1709" t="s">
        <v>1959</v>
      </c>
      <c r="M1709" t="s">
        <v>1988</v>
      </c>
      <c r="N1709">
        <v>1</v>
      </c>
      <c r="O1709">
        <v>2040</v>
      </c>
      <c r="P1709">
        <v>859.64814765948006</v>
      </c>
      <c r="Q1709">
        <v>3.6463116709824002</v>
      </c>
      <c r="R1709" t="s">
        <v>109</v>
      </c>
      <c r="S1709">
        <v>235.75827445048631</v>
      </c>
      <c r="T1709">
        <v>3.9566236811254401</v>
      </c>
      <c r="U1709" t="s">
        <v>184</v>
      </c>
      <c r="V1709">
        <v>3.9566236811254401</v>
      </c>
      <c r="W1709">
        <v>6</v>
      </c>
      <c r="X1709">
        <v>13</v>
      </c>
      <c r="Y1709">
        <v>10</v>
      </c>
      <c r="Z1709">
        <v>8.0981185647948012E-2</v>
      </c>
      <c r="AA1709">
        <v>31.536000000000001</v>
      </c>
    </row>
    <row r="1710" spans="1:27" x14ac:dyDescent="0.25">
      <c r="A1710" t="s">
        <v>98</v>
      </c>
      <c r="B1710" t="s">
        <v>519</v>
      </c>
      <c r="C1710" t="s">
        <v>100</v>
      </c>
      <c r="D1710" t="s">
        <v>1707</v>
      </c>
      <c r="E1710" t="s">
        <v>304</v>
      </c>
      <c r="F1710" t="s">
        <v>369</v>
      </c>
      <c r="G1710" t="s">
        <v>103</v>
      </c>
      <c r="H1710" t="s">
        <v>125</v>
      </c>
      <c r="I1710">
        <v>2016</v>
      </c>
      <c r="J1710" t="s">
        <v>370</v>
      </c>
      <c r="K1710" t="s">
        <v>127</v>
      </c>
      <c r="L1710" t="s">
        <v>1959</v>
      </c>
      <c r="M1710" t="s">
        <v>1989</v>
      </c>
      <c r="N1710">
        <v>1</v>
      </c>
      <c r="O1710">
        <v>2020</v>
      </c>
      <c r="P1710">
        <v>4328.724715164758</v>
      </c>
      <c r="Q1710">
        <v>3.6463116709824002</v>
      </c>
      <c r="R1710" t="s">
        <v>109</v>
      </c>
      <c r="S1710">
        <v>1187.1515947506759</v>
      </c>
      <c r="T1710">
        <v>3.8100820633059791</v>
      </c>
      <c r="U1710" t="s">
        <v>184</v>
      </c>
      <c r="V1710">
        <v>3.8100820633059791</v>
      </c>
      <c r="W1710">
        <v>11</v>
      </c>
      <c r="X1710">
        <v>25</v>
      </c>
      <c r="Y1710">
        <v>19</v>
      </c>
      <c r="Z1710">
        <v>8.0981185647948012E-2</v>
      </c>
      <c r="AA1710">
        <v>31.536000000000001</v>
      </c>
    </row>
    <row r="1711" spans="1:27" x14ac:dyDescent="0.25">
      <c r="A1711" t="s">
        <v>98</v>
      </c>
      <c r="B1711" t="s">
        <v>519</v>
      </c>
      <c r="C1711" t="s">
        <v>100</v>
      </c>
      <c r="D1711" t="s">
        <v>1707</v>
      </c>
      <c r="E1711" t="s">
        <v>304</v>
      </c>
      <c r="F1711" t="s">
        <v>369</v>
      </c>
      <c r="G1711" t="s">
        <v>103</v>
      </c>
      <c r="H1711" t="s">
        <v>125</v>
      </c>
      <c r="I1711">
        <v>2023</v>
      </c>
      <c r="J1711" t="s">
        <v>372</v>
      </c>
      <c r="K1711" t="s">
        <v>127</v>
      </c>
      <c r="L1711" t="s">
        <v>1959</v>
      </c>
      <c r="M1711" t="s">
        <v>1990</v>
      </c>
      <c r="N1711">
        <v>1</v>
      </c>
      <c r="O1711">
        <v>2023</v>
      </c>
      <c r="P1711">
        <v>4328.724715164758</v>
      </c>
      <c r="Q1711">
        <v>3.6463116709824002</v>
      </c>
      <c r="R1711" t="s">
        <v>109</v>
      </c>
      <c r="S1711">
        <v>1187.1515947506759</v>
      </c>
      <c r="T1711">
        <v>3.8100820633059791</v>
      </c>
      <c r="U1711" t="s">
        <v>184</v>
      </c>
      <c r="V1711">
        <v>3.8100820633059791</v>
      </c>
      <c r="W1711">
        <v>11</v>
      </c>
      <c r="X1711">
        <v>25</v>
      </c>
      <c r="Y1711">
        <v>19</v>
      </c>
      <c r="Z1711">
        <v>8.0981185647948012E-2</v>
      </c>
      <c r="AA1711">
        <v>31.536000000000001</v>
      </c>
    </row>
    <row r="1712" spans="1:27" x14ac:dyDescent="0.25">
      <c r="A1712" t="s">
        <v>98</v>
      </c>
      <c r="B1712" t="s">
        <v>519</v>
      </c>
      <c r="C1712" t="s">
        <v>100</v>
      </c>
      <c r="D1712" t="s">
        <v>1707</v>
      </c>
      <c r="E1712" t="s">
        <v>304</v>
      </c>
      <c r="F1712" t="s">
        <v>369</v>
      </c>
      <c r="G1712" t="s">
        <v>111</v>
      </c>
      <c r="H1712" t="s">
        <v>125</v>
      </c>
      <c r="I1712">
        <v>2016</v>
      </c>
      <c r="J1712" t="s">
        <v>374</v>
      </c>
      <c r="K1712" t="s">
        <v>127</v>
      </c>
      <c r="L1712" t="s">
        <v>1959</v>
      </c>
      <c r="M1712" t="s">
        <v>1991</v>
      </c>
      <c r="N1712">
        <v>1</v>
      </c>
      <c r="O1712">
        <v>2020</v>
      </c>
      <c r="P1712">
        <v>4450.6606226341873</v>
      </c>
      <c r="Q1712">
        <v>3.6463116709824002</v>
      </c>
      <c r="R1712" t="s">
        <v>109</v>
      </c>
      <c r="S1712">
        <v>1220.592484743652</v>
      </c>
      <c r="T1712">
        <v>4.0738569753810081</v>
      </c>
      <c r="U1712" t="s">
        <v>184</v>
      </c>
      <c r="V1712">
        <v>4.0738569753810081</v>
      </c>
      <c r="W1712">
        <v>11</v>
      </c>
      <c r="X1712">
        <v>25</v>
      </c>
      <c r="Y1712">
        <v>19</v>
      </c>
      <c r="Z1712">
        <v>8.0981185647948012E-2</v>
      </c>
      <c r="AA1712">
        <v>31.536000000000001</v>
      </c>
    </row>
    <row r="1713" spans="1:27" x14ac:dyDescent="0.25">
      <c r="A1713" t="s">
        <v>98</v>
      </c>
      <c r="B1713" t="s">
        <v>519</v>
      </c>
      <c r="C1713" t="s">
        <v>100</v>
      </c>
      <c r="D1713" t="s">
        <v>1707</v>
      </c>
      <c r="E1713" t="s">
        <v>304</v>
      </c>
      <c r="F1713" t="s">
        <v>369</v>
      </c>
      <c r="G1713" t="s">
        <v>111</v>
      </c>
      <c r="H1713" t="s">
        <v>125</v>
      </c>
      <c r="I1713">
        <v>2023</v>
      </c>
      <c r="J1713" t="s">
        <v>376</v>
      </c>
      <c r="K1713" t="s">
        <v>127</v>
      </c>
      <c r="L1713" t="s">
        <v>1959</v>
      </c>
      <c r="M1713" t="s">
        <v>1992</v>
      </c>
      <c r="N1713">
        <v>1</v>
      </c>
      <c r="O1713">
        <v>2023</v>
      </c>
      <c r="P1713">
        <v>4511.628576368902</v>
      </c>
      <c r="Q1713">
        <v>3.6463116709824002</v>
      </c>
      <c r="R1713" t="s">
        <v>109</v>
      </c>
      <c r="S1713">
        <v>1237.312929740141</v>
      </c>
      <c r="T1713">
        <v>4.2203985932004704</v>
      </c>
      <c r="U1713" t="s">
        <v>184</v>
      </c>
      <c r="V1713">
        <v>4.2203985932004704</v>
      </c>
      <c r="W1713">
        <v>11</v>
      </c>
      <c r="X1713">
        <v>25</v>
      </c>
      <c r="Y1713">
        <v>19</v>
      </c>
      <c r="Z1713">
        <v>8.0981185647948012E-2</v>
      </c>
      <c r="AA1713">
        <v>31.536000000000001</v>
      </c>
    </row>
    <row r="1714" spans="1:27" x14ac:dyDescent="0.25">
      <c r="A1714" t="s">
        <v>98</v>
      </c>
      <c r="B1714" t="s">
        <v>519</v>
      </c>
      <c r="C1714" t="s">
        <v>100</v>
      </c>
      <c r="D1714" t="s">
        <v>1707</v>
      </c>
      <c r="E1714" t="s">
        <v>304</v>
      </c>
      <c r="F1714" t="s">
        <v>369</v>
      </c>
      <c r="G1714" t="s">
        <v>114</v>
      </c>
      <c r="H1714" t="s">
        <v>125</v>
      </c>
      <c r="I1714">
        <v>2016</v>
      </c>
      <c r="J1714" t="s">
        <v>378</v>
      </c>
      <c r="K1714" t="s">
        <v>127</v>
      </c>
      <c r="L1714" t="s">
        <v>1959</v>
      </c>
      <c r="M1714" t="s">
        <v>1993</v>
      </c>
      <c r="N1714">
        <v>1</v>
      </c>
      <c r="O1714">
        <v>2020</v>
      </c>
      <c r="P1714">
        <v>4877.436298777192</v>
      </c>
      <c r="Q1714">
        <v>3.6463116709824002</v>
      </c>
      <c r="R1714" t="s">
        <v>109</v>
      </c>
      <c r="S1714">
        <v>1337.635599719071</v>
      </c>
      <c r="T1714">
        <v>4.3962485345838216</v>
      </c>
      <c r="U1714" t="s">
        <v>184</v>
      </c>
      <c r="V1714">
        <v>4.3962485345838216</v>
      </c>
      <c r="W1714">
        <v>11</v>
      </c>
      <c r="X1714">
        <v>25</v>
      </c>
      <c r="Y1714">
        <v>19</v>
      </c>
      <c r="Z1714">
        <v>8.0981185647948012E-2</v>
      </c>
      <c r="AA1714">
        <v>31.536000000000001</v>
      </c>
    </row>
    <row r="1715" spans="1:27" x14ac:dyDescent="0.25">
      <c r="A1715" t="s">
        <v>98</v>
      </c>
      <c r="B1715" t="s">
        <v>519</v>
      </c>
      <c r="C1715" t="s">
        <v>100</v>
      </c>
      <c r="D1715" t="s">
        <v>1707</v>
      </c>
      <c r="E1715" t="s">
        <v>304</v>
      </c>
      <c r="F1715" t="s">
        <v>369</v>
      </c>
      <c r="G1715" t="s">
        <v>114</v>
      </c>
      <c r="H1715" t="s">
        <v>125</v>
      </c>
      <c r="I1715">
        <v>2023</v>
      </c>
      <c r="J1715" t="s">
        <v>380</v>
      </c>
      <c r="K1715" t="s">
        <v>127</v>
      </c>
      <c r="L1715" t="s">
        <v>1959</v>
      </c>
      <c r="M1715" t="s">
        <v>1994</v>
      </c>
      <c r="N1715">
        <v>1</v>
      </c>
      <c r="O1715">
        <v>2023</v>
      </c>
      <c r="P1715">
        <v>5202.5987186956727</v>
      </c>
      <c r="Q1715">
        <v>3.6463116709824002</v>
      </c>
      <c r="R1715" t="s">
        <v>109</v>
      </c>
      <c r="S1715">
        <v>1426.81130636701</v>
      </c>
      <c r="T1715">
        <v>4.6893317702227444</v>
      </c>
      <c r="U1715" t="s">
        <v>184</v>
      </c>
      <c r="V1715">
        <v>4.6893317702227444</v>
      </c>
      <c r="W1715">
        <v>11</v>
      </c>
      <c r="X1715">
        <v>25</v>
      </c>
      <c r="Y1715">
        <v>19</v>
      </c>
      <c r="Z1715">
        <v>8.0981185647948012E-2</v>
      </c>
      <c r="AA1715">
        <v>31.536000000000001</v>
      </c>
    </row>
    <row r="1716" spans="1:27" x14ac:dyDescent="0.25">
      <c r="A1716" t="s">
        <v>98</v>
      </c>
      <c r="B1716" t="s">
        <v>519</v>
      </c>
      <c r="C1716" t="s">
        <v>100</v>
      </c>
      <c r="D1716" t="s">
        <v>1707</v>
      </c>
      <c r="E1716" t="s">
        <v>304</v>
      </c>
      <c r="F1716" t="s">
        <v>369</v>
      </c>
      <c r="G1716" t="s">
        <v>119</v>
      </c>
      <c r="H1716" t="s">
        <v>125</v>
      </c>
      <c r="I1716">
        <v>2016</v>
      </c>
      <c r="J1716" t="s">
        <v>382</v>
      </c>
      <c r="K1716" t="s">
        <v>127</v>
      </c>
      <c r="L1716" t="s">
        <v>1959</v>
      </c>
      <c r="M1716" t="s">
        <v>1995</v>
      </c>
      <c r="N1716">
        <v>1</v>
      </c>
      <c r="O1716">
        <v>2020</v>
      </c>
      <c r="P1716">
        <v>5670.0196973284856</v>
      </c>
      <c r="Q1716">
        <v>3.6463116709824002</v>
      </c>
      <c r="R1716" t="s">
        <v>109</v>
      </c>
      <c r="S1716">
        <v>1555.00138467342</v>
      </c>
      <c r="T1716">
        <v>4.835873388042204</v>
      </c>
      <c r="U1716" t="s">
        <v>184</v>
      </c>
      <c r="V1716">
        <v>4.835873388042204</v>
      </c>
      <c r="W1716">
        <v>11</v>
      </c>
      <c r="X1716">
        <v>25</v>
      </c>
      <c r="Y1716">
        <v>19</v>
      </c>
      <c r="Z1716">
        <v>8.0981185647948012E-2</v>
      </c>
      <c r="AA1716">
        <v>31.536000000000001</v>
      </c>
    </row>
    <row r="1717" spans="1:27" x14ac:dyDescent="0.25">
      <c r="A1717" t="s">
        <v>98</v>
      </c>
      <c r="B1717" t="s">
        <v>519</v>
      </c>
      <c r="C1717" t="s">
        <v>100</v>
      </c>
      <c r="D1717" t="s">
        <v>1707</v>
      </c>
      <c r="E1717" t="s">
        <v>304</v>
      </c>
      <c r="F1717" t="s">
        <v>369</v>
      </c>
      <c r="G1717" t="s">
        <v>119</v>
      </c>
      <c r="H1717" t="s">
        <v>125</v>
      </c>
      <c r="I1717">
        <v>2022</v>
      </c>
      <c r="J1717" t="s">
        <v>384</v>
      </c>
      <c r="K1717" t="s">
        <v>127</v>
      </c>
      <c r="L1717" t="s">
        <v>1959</v>
      </c>
      <c r="M1717" t="s">
        <v>1996</v>
      </c>
      <c r="N1717">
        <v>1</v>
      </c>
      <c r="O1717">
        <v>2022</v>
      </c>
      <c r="P1717">
        <v>5670.0196973284856</v>
      </c>
      <c r="Q1717">
        <v>3.6463116709824002</v>
      </c>
      <c r="R1717" t="s">
        <v>109</v>
      </c>
      <c r="S1717">
        <v>1555.00138467342</v>
      </c>
      <c r="T1717">
        <v>4.835873388042204</v>
      </c>
      <c r="U1717" t="s">
        <v>184</v>
      </c>
      <c r="V1717">
        <v>4.835873388042204</v>
      </c>
      <c r="W1717">
        <v>11</v>
      </c>
      <c r="X1717">
        <v>25</v>
      </c>
      <c r="Y1717">
        <v>19</v>
      </c>
      <c r="Z1717">
        <v>8.0981185647948012E-2</v>
      </c>
      <c r="AA1717">
        <v>31.536000000000001</v>
      </c>
    </row>
    <row r="1718" spans="1:27" x14ac:dyDescent="0.25">
      <c r="A1718" t="s">
        <v>98</v>
      </c>
      <c r="B1718" t="s">
        <v>519</v>
      </c>
      <c r="C1718" t="s">
        <v>100</v>
      </c>
      <c r="D1718" t="s">
        <v>1707</v>
      </c>
      <c r="E1718" t="s">
        <v>386</v>
      </c>
      <c r="G1718" t="s">
        <v>387</v>
      </c>
      <c r="H1718" t="s">
        <v>125</v>
      </c>
      <c r="I1718">
        <v>2016</v>
      </c>
      <c r="J1718" t="s">
        <v>388</v>
      </c>
      <c r="K1718" t="s">
        <v>127</v>
      </c>
      <c r="L1718" t="s">
        <v>1997</v>
      </c>
      <c r="M1718" t="s">
        <v>1998</v>
      </c>
      <c r="N1718">
        <v>1</v>
      </c>
      <c r="O1718">
        <v>2020</v>
      </c>
      <c r="P1718">
        <v>853.55135228600852</v>
      </c>
      <c r="Q1718">
        <v>3.3741104866420111</v>
      </c>
      <c r="R1718" t="s">
        <v>391</v>
      </c>
      <c r="S1718">
        <v>252.97077723601211</v>
      </c>
      <c r="T1718">
        <v>404.78399999999999</v>
      </c>
      <c r="U1718" t="s">
        <v>392</v>
      </c>
      <c r="V1718">
        <v>1.1306815642458099</v>
      </c>
      <c r="W1718">
        <v>11.625999787885601</v>
      </c>
      <c r="X1718">
        <v>21.895260974855479</v>
      </c>
      <c r="Y1718">
        <v>17</v>
      </c>
      <c r="Z1718">
        <v>0.65</v>
      </c>
      <c r="AA1718">
        <v>1</v>
      </c>
    </row>
    <row r="1719" spans="1:27" x14ac:dyDescent="0.25">
      <c r="A1719" t="s">
        <v>98</v>
      </c>
      <c r="B1719" t="s">
        <v>519</v>
      </c>
      <c r="C1719" t="s">
        <v>100</v>
      </c>
      <c r="D1719" t="s">
        <v>1707</v>
      </c>
      <c r="E1719" t="s">
        <v>386</v>
      </c>
      <c r="G1719" t="s">
        <v>393</v>
      </c>
      <c r="H1719" t="s">
        <v>125</v>
      </c>
      <c r="I1719">
        <v>2016</v>
      </c>
      <c r="J1719" t="s">
        <v>394</v>
      </c>
      <c r="K1719" t="s">
        <v>127</v>
      </c>
      <c r="L1719" t="s">
        <v>1997</v>
      </c>
      <c r="M1719" t="s">
        <v>1999</v>
      </c>
      <c r="N1719">
        <v>1</v>
      </c>
      <c r="O1719">
        <v>2020</v>
      </c>
      <c r="P1719">
        <v>914.51930602072343</v>
      </c>
      <c r="Q1719">
        <v>3.3741104866420111</v>
      </c>
      <c r="R1719" t="s">
        <v>391</v>
      </c>
      <c r="S1719">
        <v>271.04011846715582</v>
      </c>
      <c r="T1719">
        <v>389</v>
      </c>
      <c r="U1719" t="s">
        <v>392</v>
      </c>
      <c r="V1719">
        <v>1.08659217877095</v>
      </c>
      <c r="W1719">
        <v>11.625999787885601</v>
      </c>
      <c r="X1719">
        <v>21.895260974855479</v>
      </c>
      <c r="Y1719">
        <v>17</v>
      </c>
      <c r="Z1719">
        <v>0.65</v>
      </c>
      <c r="AA1719">
        <v>1</v>
      </c>
    </row>
    <row r="1720" spans="1:27" x14ac:dyDescent="0.25">
      <c r="A1720" t="s">
        <v>98</v>
      </c>
      <c r="B1720" t="s">
        <v>519</v>
      </c>
      <c r="C1720" t="s">
        <v>100</v>
      </c>
      <c r="D1720" t="s">
        <v>1707</v>
      </c>
      <c r="E1720" t="s">
        <v>386</v>
      </c>
      <c r="G1720" t="s">
        <v>396</v>
      </c>
      <c r="H1720" t="s">
        <v>125</v>
      </c>
      <c r="I1720">
        <v>2016</v>
      </c>
      <c r="J1720" t="s">
        <v>397</v>
      </c>
      <c r="K1720" t="s">
        <v>127</v>
      </c>
      <c r="L1720" t="s">
        <v>1997</v>
      </c>
      <c r="M1720" t="s">
        <v>2000</v>
      </c>
      <c r="N1720">
        <v>1</v>
      </c>
      <c r="O1720">
        <v>2020</v>
      </c>
      <c r="P1720">
        <v>1036.455213490153</v>
      </c>
      <c r="Q1720">
        <v>3.3741104866420111</v>
      </c>
      <c r="R1720" t="s">
        <v>391</v>
      </c>
      <c r="S1720">
        <v>307.17880092944318</v>
      </c>
      <c r="T1720">
        <v>364.30560000000003</v>
      </c>
      <c r="U1720" t="s">
        <v>392</v>
      </c>
      <c r="V1720">
        <v>1.0176134078212291</v>
      </c>
      <c r="W1720">
        <v>11.625999787885601</v>
      </c>
      <c r="X1720">
        <v>21.895260974855479</v>
      </c>
      <c r="Y1720">
        <v>17</v>
      </c>
      <c r="Z1720">
        <v>0.65</v>
      </c>
      <c r="AA1720">
        <v>1</v>
      </c>
    </row>
    <row r="1721" spans="1:27" x14ac:dyDescent="0.25">
      <c r="A1721" t="s">
        <v>98</v>
      </c>
      <c r="B1721" t="s">
        <v>519</v>
      </c>
      <c r="C1721" t="s">
        <v>100</v>
      </c>
      <c r="D1721" t="s">
        <v>1707</v>
      </c>
      <c r="E1721" t="s">
        <v>386</v>
      </c>
      <c r="G1721" t="s">
        <v>399</v>
      </c>
      <c r="H1721" t="s">
        <v>125</v>
      </c>
      <c r="I1721">
        <v>2016</v>
      </c>
      <c r="J1721" t="s">
        <v>400</v>
      </c>
      <c r="K1721" t="s">
        <v>127</v>
      </c>
      <c r="L1721" t="s">
        <v>1997</v>
      </c>
      <c r="M1721" t="s">
        <v>2001</v>
      </c>
      <c r="N1721">
        <v>1</v>
      </c>
      <c r="O1721">
        <v>2020</v>
      </c>
      <c r="P1721">
        <v>1073.035985730982</v>
      </c>
      <c r="Q1721">
        <v>3.3741104866420111</v>
      </c>
      <c r="R1721" t="s">
        <v>391</v>
      </c>
      <c r="S1721">
        <v>318.02040566812951</v>
      </c>
      <c r="T1721">
        <v>358</v>
      </c>
      <c r="U1721" t="s">
        <v>392</v>
      </c>
      <c r="V1721">
        <v>1</v>
      </c>
      <c r="W1721">
        <v>11.625999787885601</v>
      </c>
      <c r="X1721">
        <v>21.895260974855479</v>
      </c>
      <c r="Y1721">
        <v>17</v>
      </c>
      <c r="Z1721">
        <v>0.65</v>
      </c>
      <c r="AA1721">
        <v>1</v>
      </c>
    </row>
    <row r="1722" spans="1:27" x14ac:dyDescent="0.25">
      <c r="A1722" t="s">
        <v>98</v>
      </c>
      <c r="B1722" t="s">
        <v>519</v>
      </c>
      <c r="C1722" t="s">
        <v>100</v>
      </c>
      <c r="D1722" t="s">
        <v>1707</v>
      </c>
      <c r="E1722" t="s">
        <v>386</v>
      </c>
      <c r="G1722" t="s">
        <v>402</v>
      </c>
      <c r="H1722" t="s">
        <v>125</v>
      </c>
      <c r="I1722">
        <v>2016</v>
      </c>
      <c r="J1722" t="s">
        <v>403</v>
      </c>
      <c r="K1722" t="s">
        <v>127</v>
      </c>
      <c r="L1722" t="s">
        <v>1997</v>
      </c>
      <c r="M1722" t="s">
        <v>2002</v>
      </c>
      <c r="N1722">
        <v>1</v>
      </c>
      <c r="O1722">
        <v>2020</v>
      </c>
      <c r="P1722">
        <v>1597.3603878495301</v>
      </c>
      <c r="Q1722">
        <v>3.3741104866420111</v>
      </c>
      <c r="R1722" t="s">
        <v>391</v>
      </c>
      <c r="S1722">
        <v>473.41674025596552</v>
      </c>
      <c r="T1722">
        <v>705.226</v>
      </c>
      <c r="U1722" t="s">
        <v>392</v>
      </c>
      <c r="V1722">
        <v>1.9699050279329611</v>
      </c>
      <c r="W1722">
        <v>11.625999787885601</v>
      </c>
      <c r="X1722">
        <v>21.895260974855479</v>
      </c>
      <c r="Y1722">
        <v>17</v>
      </c>
      <c r="Z1722">
        <v>0.65</v>
      </c>
      <c r="AA1722">
        <v>1</v>
      </c>
    </row>
    <row r="1723" spans="1:27" x14ac:dyDescent="0.25">
      <c r="A1723" t="s">
        <v>98</v>
      </c>
      <c r="B1723" t="s">
        <v>519</v>
      </c>
      <c r="C1723" t="s">
        <v>100</v>
      </c>
      <c r="D1723" t="s">
        <v>1707</v>
      </c>
      <c r="E1723" t="s">
        <v>386</v>
      </c>
      <c r="G1723" t="s">
        <v>405</v>
      </c>
      <c r="H1723" t="s">
        <v>125</v>
      </c>
      <c r="I1723">
        <v>2016</v>
      </c>
      <c r="J1723" t="s">
        <v>406</v>
      </c>
      <c r="K1723" t="s">
        <v>127</v>
      </c>
      <c r="L1723" t="s">
        <v>1997</v>
      </c>
      <c r="M1723" t="s">
        <v>2003</v>
      </c>
      <c r="N1723">
        <v>1</v>
      </c>
      <c r="O1723">
        <v>2020</v>
      </c>
      <c r="P1723">
        <v>1731.489886065903</v>
      </c>
      <c r="Q1723">
        <v>3.3741104866420111</v>
      </c>
      <c r="R1723" t="s">
        <v>391</v>
      </c>
      <c r="S1723">
        <v>513.16929096448166</v>
      </c>
      <c r="T1723">
        <v>671</v>
      </c>
      <c r="U1723" t="s">
        <v>392</v>
      </c>
      <c r="V1723">
        <v>1.8743016759776541</v>
      </c>
      <c r="W1723">
        <v>11.625999787885601</v>
      </c>
      <c r="X1723">
        <v>21.895260974855479</v>
      </c>
      <c r="Y1723">
        <v>17</v>
      </c>
      <c r="Z1723">
        <v>0.65</v>
      </c>
      <c r="AA1723">
        <v>1</v>
      </c>
    </row>
    <row r="1724" spans="1:27" x14ac:dyDescent="0.25">
      <c r="A1724" t="s">
        <v>98</v>
      </c>
      <c r="B1724" t="s">
        <v>519</v>
      </c>
      <c r="C1724" t="s">
        <v>100</v>
      </c>
      <c r="D1724" t="s">
        <v>1707</v>
      </c>
      <c r="E1724" t="s">
        <v>386</v>
      </c>
      <c r="G1724" t="s">
        <v>408</v>
      </c>
      <c r="H1724" t="s">
        <v>125</v>
      </c>
      <c r="I1724">
        <v>2016</v>
      </c>
      <c r="J1724" t="s">
        <v>409</v>
      </c>
      <c r="K1724" t="s">
        <v>127</v>
      </c>
      <c r="L1724" t="s">
        <v>1997</v>
      </c>
      <c r="M1724" t="s">
        <v>2004</v>
      </c>
      <c r="N1724">
        <v>1</v>
      </c>
      <c r="O1724">
        <v>2020</v>
      </c>
      <c r="P1724">
        <v>1890.006565776162</v>
      </c>
      <c r="Q1724">
        <v>3.3741104866420111</v>
      </c>
      <c r="R1724" t="s">
        <v>391</v>
      </c>
      <c r="S1724">
        <v>560.1495781654553</v>
      </c>
      <c r="T1724">
        <v>634.70339999999999</v>
      </c>
      <c r="U1724" t="s">
        <v>392</v>
      </c>
      <c r="V1724">
        <v>1.772914525139665</v>
      </c>
      <c r="W1724">
        <v>11.625999787885601</v>
      </c>
      <c r="X1724">
        <v>21.895260974855479</v>
      </c>
      <c r="Y1724">
        <v>17</v>
      </c>
      <c r="Z1724">
        <v>0.65</v>
      </c>
      <c r="AA1724">
        <v>1</v>
      </c>
    </row>
    <row r="1725" spans="1:27" x14ac:dyDescent="0.25">
      <c r="A1725" t="s">
        <v>98</v>
      </c>
      <c r="B1725" t="s">
        <v>519</v>
      </c>
      <c r="C1725" t="s">
        <v>100</v>
      </c>
      <c r="D1725" t="s">
        <v>1707</v>
      </c>
      <c r="E1725" t="s">
        <v>386</v>
      </c>
      <c r="G1725" t="s">
        <v>411</v>
      </c>
      <c r="H1725" t="s">
        <v>125</v>
      </c>
      <c r="I1725">
        <v>2016</v>
      </c>
      <c r="J1725" t="s">
        <v>412</v>
      </c>
      <c r="K1725" t="s">
        <v>127</v>
      </c>
      <c r="L1725" t="s">
        <v>1997</v>
      </c>
      <c r="M1725" t="s">
        <v>2005</v>
      </c>
      <c r="N1725">
        <v>1</v>
      </c>
      <c r="O1725">
        <v>2020</v>
      </c>
      <c r="P1725">
        <v>2414.3309678947098</v>
      </c>
      <c r="Q1725">
        <v>3.3741104866420111</v>
      </c>
      <c r="R1725" t="s">
        <v>391</v>
      </c>
      <c r="S1725">
        <v>715.5459127532913</v>
      </c>
      <c r="T1725">
        <v>509</v>
      </c>
      <c r="U1725" t="s">
        <v>392</v>
      </c>
      <c r="V1725">
        <v>1.4217877094972069</v>
      </c>
      <c r="W1725">
        <v>11.625999787885601</v>
      </c>
      <c r="X1725">
        <v>21.895260974855479</v>
      </c>
      <c r="Y1725">
        <v>17</v>
      </c>
      <c r="Z1725">
        <v>0.65</v>
      </c>
      <c r="AA1725">
        <v>1</v>
      </c>
    </row>
    <row r="1726" spans="1:27" x14ac:dyDescent="0.25">
      <c r="A1726" t="s">
        <v>98</v>
      </c>
      <c r="B1726" t="s">
        <v>519</v>
      </c>
      <c r="C1726" t="s">
        <v>100</v>
      </c>
      <c r="D1726" t="s">
        <v>1707</v>
      </c>
      <c r="E1726" t="s">
        <v>386</v>
      </c>
      <c r="G1726" t="s">
        <v>414</v>
      </c>
      <c r="H1726" t="s">
        <v>125</v>
      </c>
      <c r="I1726">
        <v>2016</v>
      </c>
      <c r="J1726" t="s">
        <v>415</v>
      </c>
      <c r="K1726" t="s">
        <v>127</v>
      </c>
      <c r="L1726" t="s">
        <v>1997</v>
      </c>
      <c r="M1726" t="s">
        <v>2006</v>
      </c>
      <c r="N1726">
        <v>1</v>
      </c>
      <c r="O1726">
        <v>2020</v>
      </c>
      <c r="P1726">
        <v>1255.939846935127</v>
      </c>
      <c r="Q1726">
        <v>3.3741104866420111</v>
      </c>
      <c r="R1726" t="s">
        <v>391</v>
      </c>
      <c r="S1726">
        <v>372.2284293615607</v>
      </c>
      <c r="T1726">
        <v>520.54999999999995</v>
      </c>
      <c r="U1726" t="s">
        <v>392</v>
      </c>
      <c r="V1726">
        <v>1.4540502793296091</v>
      </c>
      <c r="W1726">
        <v>11.625999787885601</v>
      </c>
      <c r="X1726">
        <v>21.895260974855479</v>
      </c>
      <c r="Y1726">
        <v>17</v>
      </c>
      <c r="Z1726">
        <v>0.65</v>
      </c>
      <c r="AA1726">
        <v>1</v>
      </c>
    </row>
    <row r="1727" spans="1:27" x14ac:dyDescent="0.25">
      <c r="A1727" t="s">
        <v>98</v>
      </c>
      <c r="B1727" t="s">
        <v>519</v>
      </c>
      <c r="C1727" t="s">
        <v>100</v>
      </c>
      <c r="D1727" t="s">
        <v>1707</v>
      </c>
      <c r="E1727" t="s">
        <v>386</v>
      </c>
      <c r="G1727" t="s">
        <v>417</v>
      </c>
      <c r="H1727" t="s">
        <v>125</v>
      </c>
      <c r="I1727">
        <v>2016</v>
      </c>
      <c r="J1727" t="s">
        <v>418</v>
      </c>
      <c r="K1727" t="s">
        <v>127</v>
      </c>
      <c r="L1727" t="s">
        <v>1997</v>
      </c>
      <c r="M1727" t="s">
        <v>2007</v>
      </c>
      <c r="N1727">
        <v>1</v>
      </c>
      <c r="O1727">
        <v>2020</v>
      </c>
      <c r="P1727">
        <v>1365.682163657614</v>
      </c>
      <c r="Q1727">
        <v>3.3741104866420111</v>
      </c>
      <c r="R1727" t="s">
        <v>391</v>
      </c>
      <c r="S1727">
        <v>404.75324357761929</v>
      </c>
      <c r="T1727">
        <v>480</v>
      </c>
      <c r="U1727" t="s">
        <v>392</v>
      </c>
      <c r="V1727">
        <v>1.3407821229050281</v>
      </c>
      <c r="W1727">
        <v>11.625999787885601</v>
      </c>
      <c r="X1727">
        <v>21.895260974855479</v>
      </c>
      <c r="Y1727">
        <v>17</v>
      </c>
      <c r="Z1727">
        <v>0.65</v>
      </c>
      <c r="AA1727">
        <v>1</v>
      </c>
    </row>
    <row r="1728" spans="1:27" x14ac:dyDescent="0.25">
      <c r="A1728" t="s">
        <v>98</v>
      </c>
      <c r="B1728" t="s">
        <v>519</v>
      </c>
      <c r="C1728" t="s">
        <v>100</v>
      </c>
      <c r="D1728" t="s">
        <v>1707</v>
      </c>
      <c r="E1728" t="s">
        <v>386</v>
      </c>
      <c r="G1728" t="s">
        <v>420</v>
      </c>
      <c r="H1728" t="s">
        <v>125</v>
      </c>
      <c r="I1728">
        <v>2016</v>
      </c>
      <c r="J1728" t="s">
        <v>421</v>
      </c>
      <c r="K1728" t="s">
        <v>127</v>
      </c>
      <c r="L1728" t="s">
        <v>1997</v>
      </c>
      <c r="M1728" t="s">
        <v>2008</v>
      </c>
      <c r="N1728">
        <v>1</v>
      </c>
      <c r="O1728">
        <v>2020</v>
      </c>
      <c r="P1728">
        <v>1414.456526645386</v>
      </c>
      <c r="Q1728">
        <v>3.3741104866420111</v>
      </c>
      <c r="R1728" t="s">
        <v>391</v>
      </c>
      <c r="S1728">
        <v>419.20871656253428</v>
      </c>
      <c r="T1728">
        <v>469</v>
      </c>
      <c r="U1728" t="s">
        <v>392</v>
      </c>
      <c r="V1728">
        <v>1.310055865921788</v>
      </c>
      <c r="W1728">
        <v>11.625999787885601</v>
      </c>
      <c r="X1728">
        <v>21.895260974855479</v>
      </c>
      <c r="Y1728">
        <v>17</v>
      </c>
      <c r="Z1728">
        <v>0.65</v>
      </c>
      <c r="AA1728">
        <v>1</v>
      </c>
    </row>
    <row r="1729" spans="1:27" x14ac:dyDescent="0.25">
      <c r="A1729" t="s">
        <v>98</v>
      </c>
      <c r="B1729" t="s">
        <v>519</v>
      </c>
      <c r="C1729" t="s">
        <v>100</v>
      </c>
      <c r="D1729" t="s">
        <v>1707</v>
      </c>
      <c r="E1729" t="s">
        <v>386</v>
      </c>
      <c r="G1729" t="s">
        <v>423</v>
      </c>
      <c r="H1729" t="s">
        <v>125</v>
      </c>
      <c r="I1729">
        <v>2016</v>
      </c>
      <c r="J1729" t="s">
        <v>424</v>
      </c>
      <c r="K1729" t="s">
        <v>127</v>
      </c>
      <c r="L1729" t="s">
        <v>1997</v>
      </c>
      <c r="M1729" t="s">
        <v>2009</v>
      </c>
      <c r="N1729">
        <v>1</v>
      </c>
      <c r="O1729">
        <v>2020</v>
      </c>
      <c r="P1729">
        <v>1414.456526645386</v>
      </c>
      <c r="Q1729">
        <v>3.3741104866420111</v>
      </c>
      <c r="R1729" t="s">
        <v>391</v>
      </c>
      <c r="S1729">
        <v>419.20871656253428</v>
      </c>
      <c r="T1729">
        <v>469</v>
      </c>
      <c r="U1729" t="s">
        <v>392</v>
      </c>
      <c r="V1729">
        <v>1.310055865921788</v>
      </c>
      <c r="W1729">
        <v>11.625999787885601</v>
      </c>
      <c r="X1729">
        <v>21.895260974855479</v>
      </c>
      <c r="Y1729">
        <v>17</v>
      </c>
      <c r="Z1729">
        <v>0.65</v>
      </c>
      <c r="AA1729">
        <v>1</v>
      </c>
    </row>
    <row r="1730" spans="1:27" x14ac:dyDescent="0.25">
      <c r="A1730" t="s">
        <v>98</v>
      </c>
      <c r="B1730" t="s">
        <v>519</v>
      </c>
      <c r="C1730" t="s">
        <v>100</v>
      </c>
      <c r="D1730" t="s">
        <v>1707</v>
      </c>
      <c r="E1730" t="s">
        <v>426</v>
      </c>
      <c r="G1730" t="s">
        <v>427</v>
      </c>
      <c r="H1730" t="s">
        <v>125</v>
      </c>
      <c r="I1730">
        <v>2016</v>
      </c>
      <c r="J1730" t="s">
        <v>428</v>
      </c>
      <c r="K1730" t="s">
        <v>127</v>
      </c>
      <c r="L1730" t="s">
        <v>2010</v>
      </c>
      <c r="M1730" t="s">
        <v>2011</v>
      </c>
      <c r="N1730">
        <v>1</v>
      </c>
      <c r="O1730">
        <v>2020</v>
      </c>
      <c r="P1730">
        <v>609.67953734714899</v>
      </c>
      <c r="Q1730">
        <v>0.78213799330500688</v>
      </c>
      <c r="R1730" t="s">
        <v>391</v>
      </c>
      <c r="S1730">
        <v>779.50379928595919</v>
      </c>
      <c r="T1730">
        <v>300.25599999999997</v>
      </c>
      <c r="U1730" t="s">
        <v>392</v>
      </c>
      <c r="V1730">
        <v>1.0918399999999999</v>
      </c>
      <c r="W1730">
        <v>16.5973520403479</v>
      </c>
      <c r="X1730">
        <v>27.331519839424129</v>
      </c>
      <c r="Y1730">
        <v>22</v>
      </c>
      <c r="Z1730">
        <v>0.65</v>
      </c>
      <c r="AA1730">
        <v>1</v>
      </c>
    </row>
    <row r="1731" spans="1:27" x14ac:dyDescent="0.25">
      <c r="A1731" t="s">
        <v>98</v>
      </c>
      <c r="B1731" t="s">
        <v>519</v>
      </c>
      <c r="C1731" t="s">
        <v>100</v>
      </c>
      <c r="D1731" t="s">
        <v>1707</v>
      </c>
      <c r="E1731" t="s">
        <v>426</v>
      </c>
      <c r="G1731" t="s">
        <v>431</v>
      </c>
      <c r="H1731" t="s">
        <v>125</v>
      </c>
      <c r="I1731">
        <v>2016</v>
      </c>
      <c r="J1731" t="s">
        <v>432</v>
      </c>
      <c r="K1731" t="s">
        <v>127</v>
      </c>
      <c r="L1731" t="s">
        <v>2010</v>
      </c>
      <c r="M1731" t="s">
        <v>2012</v>
      </c>
      <c r="N1731">
        <v>1</v>
      </c>
      <c r="O1731">
        <v>2020</v>
      </c>
      <c r="P1731">
        <v>609.67953734714899</v>
      </c>
      <c r="Q1731">
        <v>0.78213799330500688</v>
      </c>
      <c r="R1731" t="s">
        <v>391</v>
      </c>
      <c r="S1731">
        <v>779.50379928595919</v>
      </c>
      <c r="T1731">
        <v>297</v>
      </c>
      <c r="U1731" t="s">
        <v>392</v>
      </c>
      <c r="V1731">
        <v>1.08</v>
      </c>
      <c r="W1731">
        <v>16.5973520403479</v>
      </c>
      <c r="X1731">
        <v>27.331519839424129</v>
      </c>
      <c r="Y1731">
        <v>22</v>
      </c>
      <c r="Z1731">
        <v>0.65</v>
      </c>
      <c r="AA1731">
        <v>1</v>
      </c>
    </row>
    <row r="1732" spans="1:27" x14ac:dyDescent="0.25">
      <c r="A1732" t="s">
        <v>98</v>
      </c>
      <c r="B1732" t="s">
        <v>519</v>
      </c>
      <c r="C1732" t="s">
        <v>100</v>
      </c>
      <c r="D1732" t="s">
        <v>1707</v>
      </c>
      <c r="E1732" t="s">
        <v>426</v>
      </c>
      <c r="G1732" t="s">
        <v>434</v>
      </c>
      <c r="H1732" t="s">
        <v>125</v>
      </c>
      <c r="I1732">
        <v>2016</v>
      </c>
      <c r="J1732" t="s">
        <v>435</v>
      </c>
      <c r="K1732" t="s">
        <v>127</v>
      </c>
      <c r="L1732" t="s">
        <v>2010</v>
      </c>
      <c r="M1732" t="s">
        <v>2013</v>
      </c>
      <c r="N1732">
        <v>1</v>
      </c>
      <c r="O1732">
        <v>2020</v>
      </c>
      <c r="P1732">
        <v>670.6474910818639</v>
      </c>
      <c r="Q1732">
        <v>0.78213799330500688</v>
      </c>
      <c r="R1732" t="s">
        <v>391</v>
      </c>
      <c r="S1732">
        <v>857.4541792145551</v>
      </c>
      <c r="T1732">
        <v>277</v>
      </c>
      <c r="U1732" t="s">
        <v>392</v>
      </c>
      <c r="V1732">
        <v>1.0072727272727271</v>
      </c>
      <c r="W1732">
        <v>16.5973520403479</v>
      </c>
      <c r="X1732">
        <v>27.331519839424129</v>
      </c>
      <c r="Y1732">
        <v>22</v>
      </c>
      <c r="Z1732">
        <v>0.65</v>
      </c>
      <c r="AA1732">
        <v>1</v>
      </c>
    </row>
    <row r="1733" spans="1:27" x14ac:dyDescent="0.25">
      <c r="A1733" t="s">
        <v>98</v>
      </c>
      <c r="B1733" t="s">
        <v>519</v>
      </c>
      <c r="C1733" t="s">
        <v>100</v>
      </c>
      <c r="D1733" t="s">
        <v>1707</v>
      </c>
      <c r="E1733" t="s">
        <v>426</v>
      </c>
      <c r="G1733" t="s">
        <v>437</v>
      </c>
      <c r="H1733" t="s">
        <v>125</v>
      </c>
      <c r="I1733">
        <v>2016</v>
      </c>
      <c r="J1733" t="s">
        <v>438</v>
      </c>
      <c r="K1733" t="s">
        <v>127</v>
      </c>
      <c r="L1733" t="s">
        <v>2010</v>
      </c>
      <c r="M1733" t="s">
        <v>2014</v>
      </c>
      <c r="N1733">
        <v>1</v>
      </c>
      <c r="O1733">
        <v>2020</v>
      </c>
      <c r="P1733">
        <v>658.45390033492083</v>
      </c>
      <c r="Q1733">
        <v>0.78213799330500688</v>
      </c>
      <c r="R1733" t="s">
        <v>391</v>
      </c>
      <c r="S1733">
        <v>841.8641032288358</v>
      </c>
      <c r="T1733">
        <v>275</v>
      </c>
      <c r="U1733" t="s">
        <v>392</v>
      </c>
      <c r="V1733">
        <v>1</v>
      </c>
      <c r="W1733">
        <v>16.5973520403479</v>
      </c>
      <c r="X1733">
        <v>27.331519839424129</v>
      </c>
      <c r="Y1733">
        <v>22</v>
      </c>
      <c r="Z1733">
        <v>0.65</v>
      </c>
      <c r="AA1733">
        <v>1</v>
      </c>
    </row>
    <row r="1734" spans="1:27" x14ac:dyDescent="0.25">
      <c r="A1734" t="s">
        <v>98</v>
      </c>
      <c r="B1734" t="s">
        <v>519</v>
      </c>
      <c r="C1734" t="s">
        <v>100</v>
      </c>
      <c r="D1734" t="s">
        <v>1707</v>
      </c>
      <c r="E1734" t="s">
        <v>426</v>
      </c>
      <c r="G1734" t="s">
        <v>440</v>
      </c>
      <c r="H1734" t="s">
        <v>125</v>
      </c>
      <c r="I1734">
        <v>2016</v>
      </c>
      <c r="J1734" t="s">
        <v>441</v>
      </c>
      <c r="K1734" t="s">
        <v>127</v>
      </c>
      <c r="L1734" t="s">
        <v>2010</v>
      </c>
      <c r="M1734" t="s">
        <v>2015</v>
      </c>
      <c r="N1734">
        <v>1</v>
      </c>
      <c r="O1734">
        <v>2020</v>
      </c>
      <c r="P1734">
        <v>841.35776153906556</v>
      </c>
      <c r="Q1734">
        <v>0.78213799330500688</v>
      </c>
      <c r="R1734" t="s">
        <v>391</v>
      </c>
      <c r="S1734">
        <v>1075.7152430146241</v>
      </c>
      <c r="T1734">
        <v>477.41800000000001</v>
      </c>
      <c r="U1734" t="s">
        <v>392</v>
      </c>
      <c r="V1734">
        <v>1.736065454545455</v>
      </c>
      <c r="W1734">
        <v>16.5973520403479</v>
      </c>
      <c r="X1734">
        <v>27.331519839424129</v>
      </c>
      <c r="Y1734">
        <v>22</v>
      </c>
      <c r="Z1734">
        <v>0.65</v>
      </c>
      <c r="AA1734">
        <v>1</v>
      </c>
    </row>
    <row r="1735" spans="1:27" x14ac:dyDescent="0.25">
      <c r="A1735" t="s">
        <v>98</v>
      </c>
      <c r="B1735" t="s">
        <v>519</v>
      </c>
      <c r="C1735" t="s">
        <v>100</v>
      </c>
      <c r="D1735" t="s">
        <v>1707</v>
      </c>
      <c r="E1735" t="s">
        <v>426</v>
      </c>
      <c r="G1735" t="s">
        <v>443</v>
      </c>
      <c r="H1735" t="s">
        <v>125</v>
      </c>
      <c r="I1735">
        <v>2016</v>
      </c>
      <c r="J1735" t="s">
        <v>444</v>
      </c>
      <c r="K1735" t="s">
        <v>127</v>
      </c>
      <c r="L1735" t="s">
        <v>2010</v>
      </c>
      <c r="M1735" t="s">
        <v>2016</v>
      </c>
      <c r="N1735">
        <v>1</v>
      </c>
      <c r="O1735">
        <v>2020</v>
      </c>
      <c r="P1735">
        <v>914.51930602072343</v>
      </c>
      <c r="Q1735">
        <v>0.78213799330500688</v>
      </c>
      <c r="R1735" t="s">
        <v>391</v>
      </c>
      <c r="S1735">
        <v>1169.255698928939</v>
      </c>
      <c r="T1735">
        <v>446</v>
      </c>
      <c r="U1735" t="s">
        <v>392</v>
      </c>
      <c r="V1735">
        <v>1.621818181818182</v>
      </c>
      <c r="W1735">
        <v>16.5973520403479</v>
      </c>
      <c r="X1735">
        <v>27.331519839424129</v>
      </c>
      <c r="Y1735">
        <v>22</v>
      </c>
      <c r="Z1735">
        <v>0.65</v>
      </c>
      <c r="AA1735">
        <v>1</v>
      </c>
    </row>
    <row r="1736" spans="1:27" x14ac:dyDescent="0.25">
      <c r="A1736" t="s">
        <v>98</v>
      </c>
      <c r="B1736" t="s">
        <v>519</v>
      </c>
      <c r="C1736" t="s">
        <v>100</v>
      </c>
      <c r="D1736" t="s">
        <v>1707</v>
      </c>
      <c r="E1736" t="s">
        <v>426</v>
      </c>
      <c r="G1736" t="s">
        <v>446</v>
      </c>
      <c r="H1736" t="s">
        <v>125</v>
      </c>
      <c r="I1736">
        <v>2016</v>
      </c>
      <c r="J1736" t="s">
        <v>447</v>
      </c>
      <c r="K1736" t="s">
        <v>127</v>
      </c>
      <c r="L1736" t="s">
        <v>2010</v>
      </c>
      <c r="M1736" t="s">
        <v>2017</v>
      </c>
      <c r="N1736">
        <v>1</v>
      </c>
      <c r="O1736">
        <v>2020</v>
      </c>
      <c r="P1736">
        <v>963.29366900849539</v>
      </c>
      <c r="Q1736">
        <v>0.78213799330500688</v>
      </c>
      <c r="R1736" t="s">
        <v>391</v>
      </c>
      <c r="S1736">
        <v>1231.616002871815</v>
      </c>
      <c r="T1736">
        <v>429.67619999999999</v>
      </c>
      <c r="U1736" t="s">
        <v>392</v>
      </c>
      <c r="V1736">
        <v>1.5624589090909089</v>
      </c>
      <c r="W1736">
        <v>16.5973520403479</v>
      </c>
      <c r="X1736">
        <v>27.331519839424129</v>
      </c>
      <c r="Y1736">
        <v>22</v>
      </c>
      <c r="Z1736">
        <v>0.65</v>
      </c>
      <c r="AA1736">
        <v>1</v>
      </c>
    </row>
    <row r="1737" spans="1:27" x14ac:dyDescent="0.25">
      <c r="A1737" t="s">
        <v>98</v>
      </c>
      <c r="B1737" t="s">
        <v>519</v>
      </c>
      <c r="C1737" t="s">
        <v>100</v>
      </c>
      <c r="D1737" t="s">
        <v>1707</v>
      </c>
      <c r="E1737" t="s">
        <v>426</v>
      </c>
      <c r="G1737" t="s">
        <v>449</v>
      </c>
      <c r="H1737" t="s">
        <v>125</v>
      </c>
      <c r="I1737">
        <v>2016</v>
      </c>
      <c r="J1737" t="s">
        <v>450</v>
      </c>
      <c r="K1737" t="s">
        <v>127</v>
      </c>
      <c r="L1737" t="s">
        <v>2010</v>
      </c>
      <c r="M1737" t="s">
        <v>2018</v>
      </c>
      <c r="N1737">
        <v>1</v>
      </c>
      <c r="O1737">
        <v>2020</v>
      </c>
      <c r="P1737">
        <v>987.6808505023813</v>
      </c>
      <c r="Q1737">
        <v>0.78213799330500688</v>
      </c>
      <c r="R1737" t="s">
        <v>391</v>
      </c>
      <c r="S1737">
        <v>1262.796154843254</v>
      </c>
      <c r="T1737">
        <v>419</v>
      </c>
      <c r="U1737" t="s">
        <v>392</v>
      </c>
      <c r="V1737">
        <v>1.5236363636363639</v>
      </c>
      <c r="W1737">
        <v>16.5973520403479</v>
      </c>
      <c r="X1737">
        <v>27.331519839424129</v>
      </c>
      <c r="Y1737">
        <v>22</v>
      </c>
      <c r="Z1737">
        <v>0.65</v>
      </c>
      <c r="AA1737">
        <v>1</v>
      </c>
    </row>
    <row r="1738" spans="1:27" x14ac:dyDescent="0.25">
      <c r="A1738" t="s">
        <v>98</v>
      </c>
      <c r="B1738" t="s">
        <v>519</v>
      </c>
      <c r="C1738" t="s">
        <v>100</v>
      </c>
      <c r="D1738" t="s">
        <v>1707</v>
      </c>
      <c r="E1738" t="s">
        <v>452</v>
      </c>
      <c r="G1738" t="s">
        <v>111</v>
      </c>
      <c r="H1738" t="s">
        <v>104</v>
      </c>
      <c r="I1738">
        <v>2016</v>
      </c>
      <c r="J1738" t="s">
        <v>453</v>
      </c>
      <c r="K1738" t="s">
        <v>106</v>
      </c>
      <c r="L1738" t="s">
        <v>2019</v>
      </c>
      <c r="M1738" t="s">
        <v>2020</v>
      </c>
      <c r="N1738">
        <v>1</v>
      </c>
      <c r="O1738">
        <v>2020</v>
      </c>
      <c r="P1738">
        <v>451.16285763689018</v>
      </c>
      <c r="Q1738">
        <v>11.38788217856273</v>
      </c>
      <c r="R1738" t="s">
        <v>391</v>
      </c>
      <c r="S1738">
        <v>39.617801673974803</v>
      </c>
      <c r="T1738">
        <v>0.45</v>
      </c>
      <c r="U1738" t="s">
        <v>456</v>
      </c>
      <c r="V1738">
        <v>0.45</v>
      </c>
      <c r="W1738">
        <v>9</v>
      </c>
      <c r="X1738">
        <v>15</v>
      </c>
      <c r="Y1738">
        <v>13</v>
      </c>
      <c r="Z1738">
        <v>9.0000000000000011E-2</v>
      </c>
      <c r="AA1738">
        <v>1</v>
      </c>
    </row>
    <row r="1739" spans="1:27" x14ac:dyDescent="0.25">
      <c r="A1739" t="s">
        <v>98</v>
      </c>
      <c r="B1739" t="s">
        <v>519</v>
      </c>
      <c r="C1739" t="s">
        <v>100</v>
      </c>
      <c r="D1739" t="s">
        <v>1707</v>
      </c>
      <c r="E1739" t="s">
        <v>452</v>
      </c>
      <c r="G1739" t="s">
        <v>119</v>
      </c>
      <c r="H1739" t="s">
        <v>104</v>
      </c>
      <c r="I1739">
        <v>2016</v>
      </c>
      <c r="J1739" t="s">
        <v>457</v>
      </c>
      <c r="K1739" t="s">
        <v>106</v>
      </c>
      <c r="L1739" t="s">
        <v>2019</v>
      </c>
      <c r="M1739" t="s">
        <v>2021</v>
      </c>
      <c r="N1739">
        <v>1</v>
      </c>
      <c r="O1739">
        <v>2020</v>
      </c>
      <c r="P1739">
        <v>521.3437466026287</v>
      </c>
      <c r="Q1739">
        <v>11.38788217856273</v>
      </c>
      <c r="R1739" t="s">
        <v>391</v>
      </c>
      <c r="S1739">
        <v>45.780570823259772</v>
      </c>
      <c r="T1739">
        <v>0.52</v>
      </c>
      <c r="U1739" t="s">
        <v>456</v>
      </c>
      <c r="V1739">
        <v>0.52</v>
      </c>
      <c r="W1739">
        <v>9</v>
      </c>
      <c r="X1739">
        <v>15</v>
      </c>
      <c r="Y1739">
        <v>13</v>
      </c>
      <c r="Z1739">
        <v>9.0000000000000011E-2</v>
      </c>
      <c r="AA1739">
        <v>1</v>
      </c>
    </row>
    <row r="1740" spans="1:27" x14ac:dyDescent="0.25">
      <c r="A1740" t="s">
        <v>98</v>
      </c>
      <c r="B1740" t="s">
        <v>519</v>
      </c>
      <c r="C1740" t="s">
        <v>100</v>
      </c>
      <c r="D1740" t="s">
        <v>1707</v>
      </c>
      <c r="E1740" t="s">
        <v>452</v>
      </c>
      <c r="G1740" t="s">
        <v>111</v>
      </c>
      <c r="H1740" t="s">
        <v>156</v>
      </c>
      <c r="I1740">
        <v>2016</v>
      </c>
      <c r="J1740" t="s">
        <v>459</v>
      </c>
      <c r="K1740" t="s">
        <v>158</v>
      </c>
      <c r="L1740" t="s">
        <v>2019</v>
      </c>
      <c r="M1740" t="s">
        <v>2022</v>
      </c>
      <c r="N1740">
        <v>1</v>
      </c>
      <c r="O1740">
        <v>2020</v>
      </c>
      <c r="P1740">
        <v>451.16285763689018</v>
      </c>
      <c r="Q1740">
        <v>11.38788217856273</v>
      </c>
      <c r="R1740" t="s">
        <v>391</v>
      </c>
      <c r="S1740">
        <v>39.617801673974803</v>
      </c>
      <c r="T1740">
        <v>0.45</v>
      </c>
      <c r="U1740" t="s">
        <v>456</v>
      </c>
      <c r="V1740">
        <v>0.45</v>
      </c>
      <c r="W1740">
        <v>9</v>
      </c>
      <c r="X1740">
        <v>15</v>
      </c>
      <c r="Y1740">
        <v>13</v>
      </c>
      <c r="Z1740">
        <v>9.0000000000000011E-2</v>
      </c>
      <c r="AA1740">
        <v>1</v>
      </c>
    </row>
    <row r="1741" spans="1:27" x14ac:dyDescent="0.25">
      <c r="A1741" t="s">
        <v>98</v>
      </c>
      <c r="B1741" t="s">
        <v>519</v>
      </c>
      <c r="C1741" t="s">
        <v>100</v>
      </c>
      <c r="D1741" t="s">
        <v>1707</v>
      </c>
      <c r="E1741" t="s">
        <v>452</v>
      </c>
      <c r="G1741" t="s">
        <v>119</v>
      </c>
      <c r="H1741" t="s">
        <v>156</v>
      </c>
      <c r="I1741">
        <v>2016</v>
      </c>
      <c r="J1741" t="s">
        <v>461</v>
      </c>
      <c r="K1741" t="s">
        <v>158</v>
      </c>
      <c r="L1741" t="s">
        <v>2019</v>
      </c>
      <c r="M1741" t="s">
        <v>2023</v>
      </c>
      <c r="N1741">
        <v>1</v>
      </c>
      <c r="O1741">
        <v>2020</v>
      </c>
      <c r="P1741">
        <v>521.3437466026287</v>
      </c>
      <c r="Q1741">
        <v>11.38788217856273</v>
      </c>
      <c r="R1741" t="s">
        <v>391</v>
      </c>
      <c r="S1741">
        <v>45.780570823259772</v>
      </c>
      <c r="T1741">
        <v>0.52</v>
      </c>
      <c r="U1741" t="s">
        <v>456</v>
      </c>
      <c r="V1741">
        <v>0.52</v>
      </c>
      <c r="W1741">
        <v>9</v>
      </c>
      <c r="X1741">
        <v>15</v>
      </c>
      <c r="Y1741">
        <v>13</v>
      </c>
      <c r="Z1741">
        <v>9.0000000000000011E-2</v>
      </c>
      <c r="AA1741">
        <v>1</v>
      </c>
    </row>
    <row r="1742" spans="1:27" x14ac:dyDescent="0.25">
      <c r="A1742" t="s">
        <v>98</v>
      </c>
      <c r="B1742" t="s">
        <v>519</v>
      </c>
      <c r="C1742" t="s">
        <v>100</v>
      </c>
      <c r="D1742" t="s">
        <v>1707</v>
      </c>
      <c r="E1742" t="s">
        <v>452</v>
      </c>
      <c r="G1742" t="s">
        <v>111</v>
      </c>
      <c r="H1742" t="s">
        <v>125</v>
      </c>
      <c r="I1742">
        <v>2016</v>
      </c>
      <c r="J1742" t="s">
        <v>463</v>
      </c>
      <c r="K1742" t="s">
        <v>127</v>
      </c>
      <c r="L1742" t="s">
        <v>2019</v>
      </c>
      <c r="M1742" t="s">
        <v>2024</v>
      </c>
      <c r="N1742">
        <v>1</v>
      </c>
      <c r="O1742">
        <v>2020</v>
      </c>
      <c r="P1742">
        <v>938.90648751460947</v>
      </c>
      <c r="Q1742">
        <v>11.38788217856273</v>
      </c>
      <c r="R1742" t="s">
        <v>391</v>
      </c>
      <c r="S1742">
        <v>82.447857537731352</v>
      </c>
      <c r="T1742">
        <v>228.0913607809874</v>
      </c>
      <c r="U1742" t="s">
        <v>392</v>
      </c>
      <c r="V1742">
        <v>0.9</v>
      </c>
      <c r="W1742">
        <v>10</v>
      </c>
      <c r="X1742">
        <v>20</v>
      </c>
      <c r="Y1742">
        <v>16</v>
      </c>
      <c r="Z1742">
        <v>9.0000000000000011E-2</v>
      </c>
      <c r="AA1742">
        <v>1</v>
      </c>
    </row>
    <row r="1743" spans="1:27" x14ac:dyDescent="0.25">
      <c r="A1743" t="s">
        <v>98</v>
      </c>
      <c r="B1743" t="s">
        <v>519</v>
      </c>
      <c r="C1743" t="s">
        <v>100</v>
      </c>
      <c r="D1743" t="s">
        <v>1707</v>
      </c>
      <c r="E1743" t="s">
        <v>465</v>
      </c>
      <c r="G1743" t="s">
        <v>466</v>
      </c>
      <c r="H1743" t="s">
        <v>125</v>
      </c>
      <c r="I1743">
        <v>2030</v>
      </c>
      <c r="J1743" t="s">
        <v>467</v>
      </c>
      <c r="K1743" t="s">
        <v>127</v>
      </c>
      <c r="L1743" t="s">
        <v>2025</v>
      </c>
      <c r="M1743" t="s">
        <v>2026</v>
      </c>
      <c r="N1743">
        <v>1</v>
      </c>
      <c r="O1743">
        <v>2030</v>
      </c>
      <c r="P1743">
        <v>1646.1347508373019</v>
      </c>
      <c r="Q1743">
        <v>7.3845319926300279</v>
      </c>
      <c r="R1743" t="s">
        <v>391</v>
      </c>
      <c r="S1743">
        <v>222.91659816494681</v>
      </c>
      <c r="T1743">
        <v>0.28000000000000003</v>
      </c>
      <c r="U1743" t="s">
        <v>470</v>
      </c>
      <c r="V1743">
        <v>2.333333333333333</v>
      </c>
      <c r="W1743">
        <v>6</v>
      </c>
      <c r="X1743">
        <v>17</v>
      </c>
      <c r="Y1743">
        <v>12</v>
      </c>
      <c r="Z1743">
        <v>0.02</v>
      </c>
      <c r="AA1743">
        <v>1</v>
      </c>
    </row>
    <row r="1744" spans="1:27" x14ac:dyDescent="0.25">
      <c r="A1744" t="s">
        <v>98</v>
      </c>
      <c r="B1744" t="s">
        <v>519</v>
      </c>
      <c r="C1744" t="s">
        <v>100</v>
      </c>
      <c r="D1744" t="s">
        <v>1707</v>
      </c>
      <c r="E1744" t="s">
        <v>465</v>
      </c>
      <c r="G1744" t="s">
        <v>471</v>
      </c>
      <c r="H1744" t="s">
        <v>125</v>
      </c>
      <c r="I1744">
        <v>2016</v>
      </c>
      <c r="J1744" t="s">
        <v>472</v>
      </c>
      <c r="K1744" t="s">
        <v>127</v>
      </c>
      <c r="L1744" t="s">
        <v>2025</v>
      </c>
      <c r="M1744" t="s">
        <v>2027</v>
      </c>
      <c r="N1744">
        <v>1</v>
      </c>
      <c r="O1744">
        <v>2020</v>
      </c>
      <c r="P1744">
        <v>792.58339855129361</v>
      </c>
      <c r="Q1744">
        <v>7.3845319926300279</v>
      </c>
      <c r="R1744" t="s">
        <v>391</v>
      </c>
      <c r="S1744">
        <v>107.33021393127071</v>
      </c>
      <c r="T1744">
        <v>0.26</v>
      </c>
      <c r="U1744" t="s">
        <v>470</v>
      </c>
      <c r="V1744">
        <v>2.166666666666667</v>
      </c>
      <c r="W1744">
        <v>6</v>
      </c>
      <c r="X1744">
        <v>17</v>
      </c>
      <c r="Y1744">
        <v>12</v>
      </c>
      <c r="Z1744">
        <v>0.02</v>
      </c>
      <c r="AA1744">
        <v>1</v>
      </c>
    </row>
    <row r="1745" spans="1:27" x14ac:dyDescent="0.25">
      <c r="A1745" t="s">
        <v>98</v>
      </c>
      <c r="B1745" t="s">
        <v>519</v>
      </c>
      <c r="C1745" t="s">
        <v>100</v>
      </c>
      <c r="D1745" t="s">
        <v>1707</v>
      </c>
      <c r="E1745" t="s">
        <v>465</v>
      </c>
      <c r="G1745" t="s">
        <v>474</v>
      </c>
      <c r="H1745" t="s">
        <v>125</v>
      </c>
      <c r="I1745">
        <v>2016</v>
      </c>
      <c r="J1745" t="s">
        <v>475</v>
      </c>
      <c r="K1745" t="s">
        <v>127</v>
      </c>
      <c r="L1745" t="s">
        <v>2025</v>
      </c>
      <c r="M1745" t="s">
        <v>2028</v>
      </c>
      <c r="N1745">
        <v>0</v>
      </c>
      <c r="O1745">
        <v>2020</v>
      </c>
      <c r="P1745">
        <v>792.58339855129361</v>
      </c>
      <c r="Q1745">
        <v>7.3845319926300279</v>
      </c>
      <c r="R1745" t="s">
        <v>391</v>
      </c>
      <c r="S1745">
        <v>107.33021393127071</v>
      </c>
      <c r="T1745">
        <v>0.26</v>
      </c>
      <c r="U1745" t="s">
        <v>470</v>
      </c>
      <c r="V1745">
        <v>2.166666666666667</v>
      </c>
      <c r="W1745">
        <v>6</v>
      </c>
      <c r="X1745">
        <v>17</v>
      </c>
      <c r="Y1745">
        <v>12</v>
      </c>
      <c r="Z1745">
        <v>0.02</v>
      </c>
      <c r="AA1745">
        <v>1</v>
      </c>
    </row>
    <row r="1746" spans="1:27" x14ac:dyDescent="0.25">
      <c r="A1746" t="s">
        <v>98</v>
      </c>
      <c r="B1746" t="s">
        <v>519</v>
      </c>
      <c r="C1746" t="s">
        <v>100</v>
      </c>
      <c r="D1746" t="s">
        <v>1707</v>
      </c>
      <c r="E1746" t="s">
        <v>465</v>
      </c>
      <c r="G1746" t="s">
        <v>474</v>
      </c>
      <c r="H1746" t="s">
        <v>125</v>
      </c>
      <c r="I1746">
        <v>2020</v>
      </c>
      <c r="J1746" t="s">
        <v>477</v>
      </c>
      <c r="K1746" t="s">
        <v>127</v>
      </c>
      <c r="L1746" t="s">
        <v>2025</v>
      </c>
      <c r="M1746" t="s">
        <v>2028</v>
      </c>
      <c r="N1746">
        <v>1</v>
      </c>
      <c r="O1746">
        <v>2020</v>
      </c>
      <c r="P1746">
        <v>914.51930602072343</v>
      </c>
      <c r="Q1746">
        <v>7.3845319926300279</v>
      </c>
      <c r="R1746" t="s">
        <v>391</v>
      </c>
      <c r="S1746">
        <v>123.84255453608159</v>
      </c>
      <c r="T1746">
        <v>0.24</v>
      </c>
      <c r="U1746" t="s">
        <v>470</v>
      </c>
      <c r="V1746">
        <v>2</v>
      </c>
      <c r="W1746">
        <v>6</v>
      </c>
      <c r="X1746">
        <v>17</v>
      </c>
      <c r="Y1746">
        <v>12</v>
      </c>
      <c r="Z1746">
        <v>0.02</v>
      </c>
      <c r="AA1746">
        <v>1</v>
      </c>
    </row>
    <row r="1747" spans="1:27" x14ac:dyDescent="0.25">
      <c r="A1747" t="s">
        <v>98</v>
      </c>
      <c r="B1747" t="s">
        <v>519</v>
      </c>
      <c r="C1747" t="s">
        <v>100</v>
      </c>
      <c r="D1747" t="s">
        <v>1707</v>
      </c>
      <c r="E1747" t="s">
        <v>465</v>
      </c>
      <c r="G1747" t="s">
        <v>478</v>
      </c>
      <c r="H1747" t="s">
        <v>125</v>
      </c>
      <c r="I1747">
        <v>2016</v>
      </c>
      <c r="J1747" t="s">
        <v>479</v>
      </c>
      <c r="K1747" t="s">
        <v>127</v>
      </c>
      <c r="L1747" t="s">
        <v>2025</v>
      </c>
      <c r="M1747" t="s">
        <v>2029</v>
      </c>
      <c r="N1747">
        <v>1</v>
      </c>
      <c r="O1747">
        <v>2020</v>
      </c>
      <c r="P1747">
        <v>1158.3911209595831</v>
      </c>
      <c r="Q1747">
        <v>7.3845319926300279</v>
      </c>
      <c r="R1747" t="s">
        <v>391</v>
      </c>
      <c r="S1747">
        <v>156.86723574570331</v>
      </c>
      <c r="T1747">
        <v>0.15</v>
      </c>
      <c r="U1747" t="s">
        <v>470</v>
      </c>
      <c r="V1747">
        <v>1.25</v>
      </c>
      <c r="W1747">
        <v>6</v>
      </c>
      <c r="X1747">
        <v>17</v>
      </c>
      <c r="Y1747">
        <v>12</v>
      </c>
      <c r="Z1747">
        <v>0.02</v>
      </c>
      <c r="AA1747">
        <v>1</v>
      </c>
    </row>
    <row r="1748" spans="1:27" x14ac:dyDescent="0.25">
      <c r="A1748" t="s">
        <v>98</v>
      </c>
      <c r="B1748" t="s">
        <v>519</v>
      </c>
      <c r="C1748" t="s">
        <v>100</v>
      </c>
      <c r="D1748" t="s">
        <v>1707</v>
      </c>
      <c r="E1748" t="s">
        <v>465</v>
      </c>
      <c r="G1748" t="s">
        <v>481</v>
      </c>
      <c r="H1748" t="s">
        <v>125</v>
      </c>
      <c r="I1748">
        <v>2016</v>
      </c>
      <c r="J1748" t="s">
        <v>482</v>
      </c>
      <c r="K1748" t="s">
        <v>127</v>
      </c>
      <c r="L1748" t="s">
        <v>2025</v>
      </c>
      <c r="M1748" t="s">
        <v>2030</v>
      </c>
      <c r="N1748">
        <v>1</v>
      </c>
      <c r="O1748">
        <v>2020</v>
      </c>
      <c r="P1748">
        <v>1371.7789590310849</v>
      </c>
      <c r="Q1748">
        <v>7.3845319926300279</v>
      </c>
      <c r="R1748" t="s">
        <v>391</v>
      </c>
      <c r="S1748">
        <v>185.76383180412239</v>
      </c>
      <c r="T1748">
        <v>0.12</v>
      </c>
      <c r="U1748" t="s">
        <v>470</v>
      </c>
      <c r="V1748">
        <v>1</v>
      </c>
      <c r="W1748">
        <v>6</v>
      </c>
      <c r="X1748">
        <v>17</v>
      </c>
      <c r="Y1748">
        <v>12</v>
      </c>
      <c r="Z1748">
        <v>0.02</v>
      </c>
      <c r="AA1748">
        <v>1</v>
      </c>
    </row>
    <row r="1749" spans="1:27" x14ac:dyDescent="0.25">
      <c r="A1749" t="s">
        <v>98</v>
      </c>
      <c r="B1749" t="s">
        <v>519</v>
      </c>
      <c r="C1749" t="s">
        <v>100</v>
      </c>
      <c r="D1749" t="s">
        <v>1707</v>
      </c>
      <c r="E1749" t="s">
        <v>465</v>
      </c>
      <c r="G1749" t="s">
        <v>484</v>
      </c>
      <c r="H1749" t="s">
        <v>125</v>
      </c>
      <c r="I1749">
        <v>2016</v>
      </c>
      <c r="J1749" t="s">
        <v>485</v>
      </c>
      <c r="K1749" t="s">
        <v>127</v>
      </c>
      <c r="L1749" t="s">
        <v>2025</v>
      </c>
      <c r="M1749" t="s">
        <v>2031</v>
      </c>
      <c r="N1749">
        <v>1</v>
      </c>
      <c r="O1749">
        <v>2020</v>
      </c>
      <c r="P1749">
        <v>1158.3911209595831</v>
      </c>
      <c r="Q1749">
        <v>7.3845319926300279</v>
      </c>
      <c r="R1749" t="s">
        <v>391</v>
      </c>
      <c r="S1749">
        <v>156.86723574570331</v>
      </c>
      <c r="T1749">
        <v>0.15</v>
      </c>
      <c r="U1749" t="s">
        <v>470</v>
      </c>
      <c r="V1749">
        <v>1.25</v>
      </c>
      <c r="W1749">
        <v>6</v>
      </c>
      <c r="X1749">
        <v>17</v>
      </c>
      <c r="Y1749">
        <v>12</v>
      </c>
      <c r="Z1749">
        <v>0.02</v>
      </c>
      <c r="AA1749">
        <v>1</v>
      </c>
    </row>
    <row r="1750" spans="1:27" x14ac:dyDescent="0.25">
      <c r="A1750" t="s">
        <v>98</v>
      </c>
      <c r="B1750" t="s">
        <v>519</v>
      </c>
      <c r="C1750" t="s">
        <v>100</v>
      </c>
      <c r="D1750" t="s">
        <v>1707</v>
      </c>
      <c r="E1750" t="s">
        <v>465</v>
      </c>
      <c r="G1750" t="s">
        <v>487</v>
      </c>
      <c r="H1750" t="s">
        <v>125</v>
      </c>
      <c r="I1750">
        <v>2016</v>
      </c>
      <c r="J1750" t="s">
        <v>488</v>
      </c>
      <c r="K1750" t="s">
        <v>127</v>
      </c>
      <c r="L1750" t="s">
        <v>2025</v>
      </c>
      <c r="M1750" t="s">
        <v>2032</v>
      </c>
      <c r="N1750">
        <v>1</v>
      </c>
      <c r="O1750">
        <v>2020</v>
      </c>
      <c r="P1750">
        <v>1219.359074694298</v>
      </c>
      <c r="Q1750">
        <v>7.3845319926300279</v>
      </c>
      <c r="R1750" t="s">
        <v>391</v>
      </c>
      <c r="S1750">
        <v>165.12340604810879</v>
      </c>
      <c r="T1750">
        <v>0.21</v>
      </c>
      <c r="U1750" t="s">
        <v>470</v>
      </c>
      <c r="V1750">
        <v>1.75</v>
      </c>
      <c r="W1750">
        <v>6</v>
      </c>
      <c r="X1750">
        <v>17</v>
      </c>
      <c r="Y1750">
        <v>12</v>
      </c>
      <c r="Z1750">
        <v>0.02</v>
      </c>
      <c r="AA1750">
        <v>1</v>
      </c>
    </row>
    <row r="1751" spans="1:27" x14ac:dyDescent="0.25">
      <c r="A1751" t="s">
        <v>98</v>
      </c>
      <c r="B1751" t="s">
        <v>519</v>
      </c>
      <c r="C1751" t="s">
        <v>100</v>
      </c>
      <c r="D1751" t="s">
        <v>1707</v>
      </c>
      <c r="E1751" t="s">
        <v>465</v>
      </c>
      <c r="G1751" t="s">
        <v>487</v>
      </c>
      <c r="H1751" t="s">
        <v>125</v>
      </c>
      <c r="I1751">
        <v>2030</v>
      </c>
      <c r="J1751" t="s">
        <v>490</v>
      </c>
      <c r="K1751" t="s">
        <v>127</v>
      </c>
      <c r="L1751" t="s">
        <v>2025</v>
      </c>
      <c r="M1751" t="s">
        <v>2033</v>
      </c>
      <c r="N1751">
        <v>1</v>
      </c>
      <c r="O1751">
        <v>2030</v>
      </c>
      <c r="P1751">
        <v>1280.3270284290129</v>
      </c>
      <c r="Q1751">
        <v>7.3845319926300279</v>
      </c>
      <c r="R1751" t="s">
        <v>391</v>
      </c>
      <c r="S1751">
        <v>173.37957635051421</v>
      </c>
      <c r="T1751">
        <v>0.17</v>
      </c>
      <c r="U1751" t="s">
        <v>470</v>
      </c>
      <c r="V1751">
        <v>1.416666666666667</v>
      </c>
      <c r="W1751">
        <v>6</v>
      </c>
      <c r="X1751">
        <v>17</v>
      </c>
      <c r="Y1751">
        <v>12</v>
      </c>
      <c r="Z1751">
        <v>0.02</v>
      </c>
      <c r="AA1751">
        <v>1</v>
      </c>
    </row>
    <row r="1752" spans="1:27" x14ac:dyDescent="0.25">
      <c r="A1752" t="s">
        <v>98</v>
      </c>
      <c r="B1752" t="s">
        <v>519</v>
      </c>
      <c r="C1752" t="s">
        <v>100</v>
      </c>
      <c r="D1752" t="s">
        <v>1707</v>
      </c>
      <c r="E1752" t="s">
        <v>465</v>
      </c>
      <c r="G1752" t="s">
        <v>492</v>
      </c>
      <c r="H1752" t="s">
        <v>125</v>
      </c>
      <c r="I1752">
        <v>2016</v>
      </c>
      <c r="J1752" t="s">
        <v>493</v>
      </c>
      <c r="K1752" t="s">
        <v>127</v>
      </c>
      <c r="L1752" t="s">
        <v>2025</v>
      </c>
      <c r="M1752" t="s">
        <v>2034</v>
      </c>
      <c r="N1752">
        <v>1</v>
      </c>
      <c r="O1752">
        <v>2020</v>
      </c>
      <c r="P1752">
        <v>1158.3911209595831</v>
      </c>
      <c r="Q1752">
        <v>7.3845319926300279</v>
      </c>
      <c r="R1752" t="s">
        <v>391</v>
      </c>
      <c r="S1752">
        <v>156.86723574570331</v>
      </c>
      <c r="T1752">
        <v>0.28999999999999998</v>
      </c>
      <c r="U1752" t="s">
        <v>470</v>
      </c>
      <c r="V1752">
        <v>2.416666666666667</v>
      </c>
      <c r="W1752">
        <v>6</v>
      </c>
      <c r="X1752">
        <v>17</v>
      </c>
      <c r="Y1752">
        <v>12</v>
      </c>
      <c r="Z1752">
        <v>0.02</v>
      </c>
      <c r="AA1752">
        <v>1</v>
      </c>
    </row>
    <row r="1753" spans="1:27" x14ac:dyDescent="0.25">
      <c r="A1753" t="s">
        <v>98</v>
      </c>
      <c r="B1753" t="s">
        <v>519</v>
      </c>
      <c r="C1753" t="s">
        <v>100</v>
      </c>
      <c r="D1753" t="s">
        <v>1707</v>
      </c>
      <c r="E1753" t="s">
        <v>465</v>
      </c>
      <c r="G1753" t="s">
        <v>466</v>
      </c>
      <c r="H1753" t="s">
        <v>125</v>
      </c>
      <c r="I1753">
        <v>2016</v>
      </c>
      <c r="J1753" t="s">
        <v>495</v>
      </c>
      <c r="K1753" t="s">
        <v>127</v>
      </c>
      <c r="L1753" t="s">
        <v>2025</v>
      </c>
      <c r="M1753" t="s">
        <v>2035</v>
      </c>
      <c r="N1753">
        <v>0</v>
      </c>
      <c r="O1753">
        <v>2020</v>
      </c>
      <c r="P1753">
        <v>1280.3270284290129</v>
      </c>
      <c r="Q1753">
        <v>7.3845319926300279</v>
      </c>
      <c r="R1753" t="s">
        <v>391</v>
      </c>
      <c r="S1753">
        <v>173.37957635051421</v>
      </c>
      <c r="T1753">
        <v>0.17</v>
      </c>
      <c r="U1753" t="s">
        <v>470</v>
      </c>
      <c r="V1753">
        <v>1.416666666666667</v>
      </c>
      <c r="W1753">
        <v>6</v>
      </c>
      <c r="X1753">
        <v>17</v>
      </c>
      <c r="Y1753">
        <v>12</v>
      </c>
      <c r="Z1753">
        <v>0.02</v>
      </c>
      <c r="AA1753">
        <v>1</v>
      </c>
    </row>
    <row r="1754" spans="1:27" x14ac:dyDescent="0.25">
      <c r="A1754" t="s">
        <v>98</v>
      </c>
      <c r="B1754" t="s">
        <v>519</v>
      </c>
      <c r="C1754" t="s">
        <v>100</v>
      </c>
      <c r="D1754" t="s">
        <v>1707</v>
      </c>
      <c r="E1754" t="s">
        <v>465</v>
      </c>
      <c r="G1754" t="s">
        <v>466</v>
      </c>
      <c r="H1754" t="s">
        <v>125</v>
      </c>
      <c r="I1754">
        <v>2020</v>
      </c>
      <c r="J1754" t="s">
        <v>497</v>
      </c>
      <c r="K1754" t="s">
        <v>127</v>
      </c>
      <c r="L1754" t="s">
        <v>2025</v>
      </c>
      <c r="M1754" t="s">
        <v>2035</v>
      </c>
      <c r="N1754">
        <v>1</v>
      </c>
      <c r="O1754">
        <v>2020</v>
      </c>
      <c r="P1754">
        <v>1646.1347508373019</v>
      </c>
      <c r="Q1754">
        <v>7.3845319926300279</v>
      </c>
      <c r="R1754" t="s">
        <v>391</v>
      </c>
      <c r="S1754">
        <v>222.91659816494681</v>
      </c>
      <c r="T1754">
        <v>0.28000000000000003</v>
      </c>
      <c r="U1754" t="s">
        <v>470</v>
      </c>
      <c r="V1754">
        <v>2.333333333333333</v>
      </c>
      <c r="W1754">
        <v>6</v>
      </c>
      <c r="X1754">
        <v>17</v>
      </c>
      <c r="Y1754">
        <v>12</v>
      </c>
      <c r="Z1754">
        <v>0.02</v>
      </c>
      <c r="AA1754">
        <v>1</v>
      </c>
    </row>
    <row r="1755" spans="1:27" x14ac:dyDescent="0.25">
      <c r="A1755" t="s">
        <v>98</v>
      </c>
      <c r="B1755" t="s">
        <v>519</v>
      </c>
      <c r="C1755" t="s">
        <v>100</v>
      </c>
      <c r="D1755" t="s">
        <v>1707</v>
      </c>
      <c r="E1755" t="s">
        <v>498</v>
      </c>
      <c r="G1755" t="s">
        <v>103</v>
      </c>
      <c r="H1755" t="s">
        <v>104</v>
      </c>
      <c r="I1755">
        <v>2016</v>
      </c>
      <c r="J1755" t="s">
        <v>499</v>
      </c>
      <c r="K1755" t="s">
        <v>106</v>
      </c>
      <c r="L1755" t="s">
        <v>2036</v>
      </c>
      <c r="M1755" t="s">
        <v>2037</v>
      </c>
      <c r="N1755">
        <v>1</v>
      </c>
      <c r="O1755">
        <v>2020</v>
      </c>
      <c r="P1755">
        <v>792.58339855129361</v>
      </c>
      <c r="Q1755">
        <v>75.135363057532999</v>
      </c>
      <c r="R1755" t="s">
        <v>391</v>
      </c>
      <c r="S1755">
        <v>10.54873985162477</v>
      </c>
      <c r="T1755">
        <v>3.3</v>
      </c>
      <c r="U1755" t="s">
        <v>502</v>
      </c>
      <c r="V1755">
        <v>1</v>
      </c>
      <c r="W1755">
        <v>8</v>
      </c>
      <c r="X1755">
        <v>18</v>
      </c>
      <c r="Y1755">
        <v>14</v>
      </c>
      <c r="Z1755">
        <v>0.02</v>
      </c>
      <c r="AA1755">
        <v>1</v>
      </c>
    </row>
    <row r="1756" spans="1:27" x14ac:dyDescent="0.25">
      <c r="A1756" t="s">
        <v>98</v>
      </c>
      <c r="B1756" t="s">
        <v>519</v>
      </c>
      <c r="C1756" t="s">
        <v>100</v>
      </c>
      <c r="D1756" t="s">
        <v>1707</v>
      </c>
      <c r="E1756" t="s">
        <v>498</v>
      </c>
      <c r="G1756" t="s">
        <v>111</v>
      </c>
      <c r="H1756" t="s">
        <v>104</v>
      </c>
      <c r="I1756">
        <v>2016</v>
      </c>
      <c r="J1756" t="s">
        <v>503</v>
      </c>
      <c r="K1756" t="s">
        <v>106</v>
      </c>
      <c r="L1756" t="s">
        <v>2036</v>
      </c>
      <c r="M1756" t="s">
        <v>2038</v>
      </c>
      <c r="N1756">
        <v>1</v>
      </c>
      <c r="O1756">
        <v>2020</v>
      </c>
      <c r="P1756">
        <v>804.77698929823669</v>
      </c>
      <c r="Q1756">
        <v>75.135363057532999</v>
      </c>
      <c r="R1756" t="s">
        <v>391</v>
      </c>
      <c r="S1756">
        <v>10.711028157034381</v>
      </c>
      <c r="T1756">
        <v>3.32</v>
      </c>
      <c r="U1756" t="s">
        <v>502</v>
      </c>
      <c r="V1756">
        <v>1.0060606060606061</v>
      </c>
      <c r="W1756">
        <v>8</v>
      </c>
      <c r="X1756">
        <v>18</v>
      </c>
      <c r="Y1756">
        <v>14</v>
      </c>
      <c r="Z1756">
        <v>0.02</v>
      </c>
      <c r="AA1756">
        <v>1</v>
      </c>
    </row>
    <row r="1757" spans="1:27" x14ac:dyDescent="0.25">
      <c r="A1757" t="s">
        <v>98</v>
      </c>
      <c r="B1757" t="s">
        <v>519</v>
      </c>
      <c r="C1757" t="s">
        <v>100</v>
      </c>
      <c r="D1757" t="s">
        <v>1707</v>
      </c>
      <c r="E1757" t="s">
        <v>498</v>
      </c>
      <c r="G1757" t="s">
        <v>114</v>
      </c>
      <c r="H1757" t="s">
        <v>104</v>
      </c>
      <c r="I1757">
        <v>2016</v>
      </c>
      <c r="J1757" t="s">
        <v>505</v>
      </c>
      <c r="K1757" t="s">
        <v>106</v>
      </c>
      <c r="L1757" t="s">
        <v>2036</v>
      </c>
      <c r="M1757" t="s">
        <v>2039</v>
      </c>
      <c r="N1757">
        <v>1</v>
      </c>
      <c r="O1757">
        <v>2020</v>
      </c>
      <c r="P1757">
        <v>843.56142251742892</v>
      </c>
      <c r="Q1757">
        <v>75.135363057532999</v>
      </c>
      <c r="R1757" t="s">
        <v>391</v>
      </c>
      <c r="S1757">
        <v>11.227222285084229</v>
      </c>
      <c r="T1757">
        <v>3.48</v>
      </c>
      <c r="U1757" t="s">
        <v>502</v>
      </c>
      <c r="V1757">
        <v>1.0545454545454549</v>
      </c>
      <c r="W1757">
        <v>8</v>
      </c>
      <c r="X1757">
        <v>18</v>
      </c>
      <c r="Y1757">
        <v>14</v>
      </c>
      <c r="Z1757">
        <v>0.02</v>
      </c>
      <c r="AA1757">
        <v>1</v>
      </c>
    </row>
    <row r="1758" spans="1:27" x14ac:dyDescent="0.25">
      <c r="A1758" t="s">
        <v>98</v>
      </c>
      <c r="B1758" t="s">
        <v>519</v>
      </c>
      <c r="C1758" t="s">
        <v>100</v>
      </c>
      <c r="D1758" t="s">
        <v>1707</v>
      </c>
      <c r="E1758" t="s">
        <v>498</v>
      </c>
      <c r="G1758" t="s">
        <v>119</v>
      </c>
      <c r="H1758" t="s">
        <v>104</v>
      </c>
      <c r="I1758">
        <v>2016</v>
      </c>
      <c r="J1758" t="s">
        <v>507</v>
      </c>
      <c r="K1758" t="s">
        <v>106</v>
      </c>
      <c r="L1758" t="s">
        <v>2036</v>
      </c>
      <c r="M1758" t="s">
        <v>2040</v>
      </c>
      <c r="N1758">
        <v>1</v>
      </c>
      <c r="O1758">
        <v>2020</v>
      </c>
      <c r="P1758">
        <v>938.90648751460947</v>
      </c>
      <c r="Q1758">
        <v>75.135363057532999</v>
      </c>
      <c r="R1758" t="s">
        <v>391</v>
      </c>
      <c r="S1758">
        <v>12.496199516540109</v>
      </c>
      <c r="T1758">
        <v>3.49</v>
      </c>
      <c r="U1758" t="s">
        <v>502</v>
      </c>
      <c r="V1758">
        <v>1.0575757575757581</v>
      </c>
      <c r="W1758">
        <v>8</v>
      </c>
      <c r="X1758">
        <v>18</v>
      </c>
      <c r="Y1758">
        <v>14</v>
      </c>
      <c r="Z1758">
        <v>0.02</v>
      </c>
      <c r="AA1758">
        <v>1</v>
      </c>
    </row>
    <row r="1759" spans="1:27" x14ac:dyDescent="0.25">
      <c r="A1759" t="s">
        <v>98</v>
      </c>
      <c r="B1759" t="s">
        <v>519</v>
      </c>
      <c r="C1759" t="s">
        <v>100</v>
      </c>
      <c r="D1759" t="s">
        <v>1707</v>
      </c>
      <c r="E1759" t="s">
        <v>498</v>
      </c>
      <c r="G1759" t="s">
        <v>119</v>
      </c>
      <c r="H1759" t="s">
        <v>104</v>
      </c>
      <c r="I1759">
        <v>2030</v>
      </c>
      <c r="J1759" t="s">
        <v>509</v>
      </c>
      <c r="K1759" t="s">
        <v>106</v>
      </c>
      <c r="L1759" t="s">
        <v>2036</v>
      </c>
      <c r="M1759" t="s">
        <v>2041</v>
      </c>
      <c r="N1759">
        <v>1</v>
      </c>
      <c r="O1759">
        <v>2030</v>
      </c>
      <c r="P1759">
        <v>987.6808505023813</v>
      </c>
      <c r="Q1759">
        <v>75.135363057532999</v>
      </c>
      <c r="R1759" t="s">
        <v>391</v>
      </c>
      <c r="S1759">
        <v>13.145352738178561</v>
      </c>
      <c r="T1759">
        <v>3.61</v>
      </c>
      <c r="U1759" t="s">
        <v>502</v>
      </c>
      <c r="V1759">
        <v>1.093939393939394</v>
      </c>
      <c r="W1759">
        <v>8</v>
      </c>
      <c r="X1759">
        <v>18</v>
      </c>
      <c r="Y1759">
        <v>14</v>
      </c>
      <c r="Z1759">
        <v>0.02</v>
      </c>
      <c r="AA1759">
        <v>1</v>
      </c>
    </row>
    <row r="1760" spans="1:27" x14ac:dyDescent="0.25">
      <c r="A1760" t="s">
        <v>98</v>
      </c>
      <c r="B1760" t="s">
        <v>519</v>
      </c>
      <c r="C1760" t="s">
        <v>100</v>
      </c>
      <c r="D1760" t="s">
        <v>1707</v>
      </c>
      <c r="E1760" t="s">
        <v>498</v>
      </c>
      <c r="G1760" t="s">
        <v>103</v>
      </c>
      <c r="H1760" t="s">
        <v>125</v>
      </c>
      <c r="I1760">
        <v>2016</v>
      </c>
      <c r="J1760" t="s">
        <v>511</v>
      </c>
      <c r="K1760" t="s">
        <v>127</v>
      </c>
      <c r="L1760" t="s">
        <v>2036</v>
      </c>
      <c r="M1760" t="s">
        <v>2042</v>
      </c>
      <c r="N1760">
        <v>1</v>
      </c>
      <c r="O1760">
        <v>2020</v>
      </c>
      <c r="P1760">
        <v>646.26030958797787</v>
      </c>
      <c r="Q1760">
        <v>75.135363057532999</v>
      </c>
      <c r="R1760" t="s">
        <v>391</v>
      </c>
      <c r="S1760">
        <v>8.6012801867094257</v>
      </c>
      <c r="T1760">
        <v>3.73</v>
      </c>
      <c r="U1760" t="s">
        <v>502</v>
      </c>
      <c r="V1760">
        <v>1.1303030303030299</v>
      </c>
      <c r="W1760">
        <v>8</v>
      </c>
      <c r="X1760">
        <v>18</v>
      </c>
      <c r="Y1760">
        <v>14</v>
      </c>
      <c r="Z1760">
        <v>0.02</v>
      </c>
      <c r="AA1760">
        <v>1</v>
      </c>
    </row>
    <row r="1761" spans="1:27" x14ac:dyDescent="0.25">
      <c r="A1761" t="s">
        <v>98</v>
      </c>
      <c r="B1761" t="s">
        <v>519</v>
      </c>
      <c r="C1761" t="s">
        <v>100</v>
      </c>
      <c r="D1761" t="s">
        <v>1707</v>
      </c>
      <c r="E1761" t="s">
        <v>498</v>
      </c>
      <c r="G1761" t="s">
        <v>111</v>
      </c>
      <c r="H1761" t="s">
        <v>125</v>
      </c>
      <c r="I1761">
        <v>2016</v>
      </c>
      <c r="J1761" t="s">
        <v>513</v>
      </c>
      <c r="K1761" t="s">
        <v>127</v>
      </c>
      <c r="L1761" t="s">
        <v>2036</v>
      </c>
      <c r="M1761" t="s">
        <v>2043</v>
      </c>
      <c r="N1761">
        <v>1</v>
      </c>
      <c r="O1761">
        <v>2020</v>
      </c>
      <c r="P1761">
        <v>658.45390033492083</v>
      </c>
      <c r="Q1761">
        <v>75.135363057532999</v>
      </c>
      <c r="R1761" t="s">
        <v>391</v>
      </c>
      <c r="S1761">
        <v>8.7635684921190364</v>
      </c>
      <c r="T1761">
        <v>3.74</v>
      </c>
      <c r="U1761" t="s">
        <v>502</v>
      </c>
      <c r="V1761">
        <v>1.133333333333334</v>
      </c>
      <c r="W1761">
        <v>8</v>
      </c>
      <c r="X1761">
        <v>18</v>
      </c>
      <c r="Y1761">
        <v>14</v>
      </c>
      <c r="Z1761">
        <v>0.02</v>
      </c>
      <c r="AA1761">
        <v>1</v>
      </c>
    </row>
    <row r="1762" spans="1:27" x14ac:dyDescent="0.25">
      <c r="A1762" t="s">
        <v>98</v>
      </c>
      <c r="B1762" t="s">
        <v>519</v>
      </c>
      <c r="C1762" t="s">
        <v>100</v>
      </c>
      <c r="D1762" t="s">
        <v>1707</v>
      </c>
      <c r="E1762" t="s">
        <v>498</v>
      </c>
      <c r="G1762" t="s">
        <v>114</v>
      </c>
      <c r="H1762" t="s">
        <v>125</v>
      </c>
      <c r="I1762">
        <v>2016</v>
      </c>
      <c r="J1762" t="s">
        <v>515</v>
      </c>
      <c r="K1762" t="s">
        <v>127</v>
      </c>
      <c r="L1762" t="s">
        <v>2036</v>
      </c>
      <c r="M1762" t="s">
        <v>2044</v>
      </c>
      <c r="N1762">
        <v>1</v>
      </c>
      <c r="O1762">
        <v>2020</v>
      </c>
      <c r="P1762">
        <v>691.90476692947561</v>
      </c>
      <c r="Q1762">
        <v>75.135363057532999</v>
      </c>
      <c r="R1762" t="s">
        <v>391</v>
      </c>
      <c r="S1762">
        <v>9.2087765171197358</v>
      </c>
      <c r="T1762">
        <v>3.93</v>
      </c>
      <c r="U1762" t="s">
        <v>502</v>
      </c>
      <c r="V1762">
        <v>1.1909090909090909</v>
      </c>
      <c r="W1762">
        <v>8</v>
      </c>
      <c r="X1762">
        <v>18</v>
      </c>
      <c r="Y1762">
        <v>14</v>
      </c>
      <c r="Z1762">
        <v>0.02</v>
      </c>
      <c r="AA1762">
        <v>1</v>
      </c>
    </row>
    <row r="1763" spans="1:27" x14ac:dyDescent="0.25">
      <c r="A1763" t="s">
        <v>98</v>
      </c>
      <c r="B1763" t="s">
        <v>519</v>
      </c>
      <c r="C1763" t="s">
        <v>100</v>
      </c>
      <c r="D1763" t="s">
        <v>1707</v>
      </c>
      <c r="E1763" t="s">
        <v>498</v>
      </c>
      <c r="G1763" t="s">
        <v>119</v>
      </c>
      <c r="H1763" t="s">
        <v>125</v>
      </c>
      <c r="I1763">
        <v>2016</v>
      </c>
      <c r="J1763" t="s">
        <v>517</v>
      </c>
      <c r="K1763" t="s">
        <v>127</v>
      </c>
      <c r="L1763" t="s">
        <v>2036</v>
      </c>
      <c r="M1763" t="s">
        <v>2045</v>
      </c>
      <c r="N1763">
        <v>1</v>
      </c>
      <c r="O1763">
        <v>2020</v>
      </c>
      <c r="P1763">
        <v>938.90648751460947</v>
      </c>
      <c r="Q1763">
        <v>75.135363057532999</v>
      </c>
      <c r="R1763" t="s">
        <v>391</v>
      </c>
      <c r="S1763">
        <v>12.496199516540109</v>
      </c>
      <c r="T1763">
        <v>4.5</v>
      </c>
      <c r="U1763" t="s">
        <v>502</v>
      </c>
      <c r="V1763">
        <v>1.363636363636364</v>
      </c>
      <c r="W1763">
        <v>8</v>
      </c>
      <c r="X1763">
        <v>18</v>
      </c>
      <c r="Y1763">
        <v>14</v>
      </c>
      <c r="Z1763">
        <v>0.02</v>
      </c>
      <c r="AA1763">
        <v>1</v>
      </c>
    </row>
    <row r="1764" spans="1:27" x14ac:dyDescent="0.25">
      <c r="A1764" t="s">
        <v>98</v>
      </c>
      <c r="B1764" t="s">
        <v>99</v>
      </c>
      <c r="C1764" t="s">
        <v>689</v>
      </c>
      <c r="D1764" t="s">
        <v>1707</v>
      </c>
      <c r="E1764" t="s">
        <v>102</v>
      </c>
      <c r="G1764" t="s">
        <v>103</v>
      </c>
      <c r="H1764" t="s">
        <v>104</v>
      </c>
      <c r="I1764">
        <v>2016</v>
      </c>
      <c r="J1764" t="s">
        <v>105</v>
      </c>
      <c r="K1764" t="s">
        <v>106</v>
      </c>
      <c r="L1764" t="s">
        <v>2046</v>
      </c>
      <c r="M1764" t="s">
        <v>2047</v>
      </c>
      <c r="N1764">
        <v>1</v>
      </c>
      <c r="O1764">
        <v>2020</v>
      </c>
      <c r="P1764">
        <v>2225.3303113170941</v>
      </c>
      <c r="Q1764">
        <v>1.5324031945368921</v>
      </c>
      <c r="R1764" t="s">
        <v>109</v>
      </c>
      <c r="S1764">
        <v>1452.183289130777</v>
      </c>
      <c r="T1764">
        <v>0.61014999999999997</v>
      </c>
      <c r="U1764" t="s">
        <v>110</v>
      </c>
      <c r="V1764">
        <v>0.61014999999999997</v>
      </c>
      <c r="W1764">
        <v>6</v>
      </c>
      <c r="X1764">
        <v>20</v>
      </c>
      <c r="Y1764">
        <v>14</v>
      </c>
      <c r="Z1764">
        <v>0.24</v>
      </c>
      <c r="AA1764">
        <v>31.536000000000001</v>
      </c>
    </row>
    <row r="1765" spans="1:27" x14ac:dyDescent="0.25">
      <c r="A1765" t="s">
        <v>98</v>
      </c>
      <c r="B1765" t="s">
        <v>99</v>
      </c>
      <c r="C1765" t="s">
        <v>689</v>
      </c>
      <c r="D1765" t="s">
        <v>1707</v>
      </c>
      <c r="E1765" t="s">
        <v>102</v>
      </c>
      <c r="G1765" t="s">
        <v>111</v>
      </c>
      <c r="H1765" t="s">
        <v>104</v>
      </c>
      <c r="I1765">
        <v>2016</v>
      </c>
      <c r="J1765" t="s">
        <v>112</v>
      </c>
      <c r="K1765" t="s">
        <v>106</v>
      </c>
      <c r="L1765" t="s">
        <v>2046</v>
      </c>
      <c r="M1765" t="s">
        <v>2048</v>
      </c>
      <c r="N1765">
        <v>1</v>
      </c>
      <c r="O1765">
        <v>2020</v>
      </c>
      <c r="P1765">
        <v>2347.266218786523</v>
      </c>
      <c r="Q1765">
        <v>1.5324031945368921</v>
      </c>
      <c r="R1765" t="s">
        <v>109</v>
      </c>
      <c r="S1765">
        <v>1531.7549762064359</v>
      </c>
      <c r="T1765">
        <v>0.63</v>
      </c>
      <c r="U1765" t="s">
        <v>110</v>
      </c>
      <c r="V1765">
        <v>0.63</v>
      </c>
      <c r="W1765">
        <v>6</v>
      </c>
      <c r="X1765">
        <v>20</v>
      </c>
      <c r="Y1765">
        <v>14</v>
      </c>
      <c r="Z1765">
        <v>0.24</v>
      </c>
      <c r="AA1765">
        <v>31.536000000000001</v>
      </c>
    </row>
    <row r="1766" spans="1:27" x14ac:dyDescent="0.25">
      <c r="A1766" t="s">
        <v>98</v>
      </c>
      <c r="B1766" t="s">
        <v>99</v>
      </c>
      <c r="C1766" t="s">
        <v>689</v>
      </c>
      <c r="D1766" t="s">
        <v>1707</v>
      </c>
      <c r="E1766" t="s">
        <v>102</v>
      </c>
      <c r="G1766" t="s">
        <v>114</v>
      </c>
      <c r="H1766" t="s">
        <v>104</v>
      </c>
      <c r="I1766">
        <v>2016</v>
      </c>
      <c r="J1766" t="s">
        <v>115</v>
      </c>
      <c r="K1766" t="s">
        <v>106</v>
      </c>
      <c r="L1766" t="s">
        <v>2046</v>
      </c>
      <c r="M1766" t="s">
        <v>2049</v>
      </c>
      <c r="N1766">
        <v>1</v>
      </c>
      <c r="O1766">
        <v>2020</v>
      </c>
      <c r="P1766">
        <v>2469.2021262559529</v>
      </c>
      <c r="Q1766">
        <v>1.5324031945368921</v>
      </c>
      <c r="R1766" t="s">
        <v>109</v>
      </c>
      <c r="S1766">
        <v>1611.3266632820951</v>
      </c>
      <c r="T1766">
        <v>0.66</v>
      </c>
      <c r="U1766" t="s">
        <v>110</v>
      </c>
      <c r="V1766">
        <v>0.66</v>
      </c>
      <c r="W1766">
        <v>6</v>
      </c>
      <c r="X1766">
        <v>20</v>
      </c>
      <c r="Y1766">
        <v>14</v>
      </c>
      <c r="Z1766">
        <v>0.24</v>
      </c>
      <c r="AA1766">
        <v>31.536000000000001</v>
      </c>
    </row>
    <row r="1767" spans="1:27" x14ac:dyDescent="0.25">
      <c r="A1767" t="s">
        <v>98</v>
      </c>
      <c r="B1767" t="s">
        <v>99</v>
      </c>
      <c r="C1767" t="s">
        <v>689</v>
      </c>
      <c r="D1767" t="s">
        <v>1707</v>
      </c>
      <c r="E1767" t="s">
        <v>102</v>
      </c>
      <c r="G1767" t="s">
        <v>114</v>
      </c>
      <c r="H1767" t="s">
        <v>104</v>
      </c>
      <c r="I1767">
        <v>2023</v>
      </c>
      <c r="J1767" t="s">
        <v>117</v>
      </c>
      <c r="K1767" t="s">
        <v>106</v>
      </c>
      <c r="L1767" t="s">
        <v>2046</v>
      </c>
      <c r="M1767" t="s">
        <v>2050</v>
      </c>
      <c r="N1767">
        <v>1</v>
      </c>
      <c r="O1767">
        <v>2023</v>
      </c>
      <c r="P1767">
        <v>3865.2553631628971</v>
      </c>
      <c r="Q1767">
        <v>1.5324031945368921</v>
      </c>
      <c r="R1767" t="s">
        <v>109</v>
      </c>
      <c r="S1767">
        <v>2522.3488028103579</v>
      </c>
      <c r="T1767">
        <v>0.83499999999999996</v>
      </c>
      <c r="U1767" t="s">
        <v>110</v>
      </c>
      <c r="V1767">
        <v>0.83499999999999996</v>
      </c>
      <c r="W1767">
        <v>6</v>
      </c>
      <c r="X1767">
        <v>20</v>
      </c>
      <c r="Y1767">
        <v>14</v>
      </c>
      <c r="Z1767">
        <v>0.24</v>
      </c>
      <c r="AA1767">
        <v>31.536000000000001</v>
      </c>
    </row>
    <row r="1768" spans="1:27" x14ac:dyDescent="0.25">
      <c r="A1768" t="s">
        <v>98</v>
      </c>
      <c r="B1768" t="s">
        <v>99</v>
      </c>
      <c r="C1768" t="s">
        <v>689</v>
      </c>
      <c r="D1768" t="s">
        <v>1707</v>
      </c>
      <c r="E1768" t="s">
        <v>102</v>
      </c>
      <c r="G1768" t="s">
        <v>119</v>
      </c>
      <c r="H1768" t="s">
        <v>104</v>
      </c>
      <c r="I1768">
        <v>2016</v>
      </c>
      <c r="J1768" t="s">
        <v>120</v>
      </c>
      <c r="K1768" t="s">
        <v>106</v>
      </c>
      <c r="L1768" t="s">
        <v>2046</v>
      </c>
      <c r="M1768" t="s">
        <v>2051</v>
      </c>
      <c r="N1768">
        <v>0</v>
      </c>
      <c r="O1768">
        <v>2020</v>
      </c>
      <c r="P1768">
        <v>3749.5291546849662</v>
      </c>
      <c r="Q1768">
        <v>1.5324031945368921</v>
      </c>
      <c r="R1768" t="s">
        <v>109</v>
      </c>
      <c r="S1768">
        <v>2446.8293775765151</v>
      </c>
      <c r="T1768">
        <v>0.81</v>
      </c>
      <c r="U1768" t="s">
        <v>110</v>
      </c>
      <c r="V1768">
        <v>0.81</v>
      </c>
      <c r="W1768">
        <v>6</v>
      </c>
      <c r="X1768">
        <v>20</v>
      </c>
      <c r="Y1768">
        <v>14</v>
      </c>
      <c r="Z1768">
        <v>0.24</v>
      </c>
      <c r="AA1768">
        <v>31.536000000000001</v>
      </c>
    </row>
    <row r="1769" spans="1:27" x14ac:dyDescent="0.25">
      <c r="A1769" t="s">
        <v>98</v>
      </c>
      <c r="B1769" t="s">
        <v>99</v>
      </c>
      <c r="C1769" t="s">
        <v>689</v>
      </c>
      <c r="D1769" t="s">
        <v>1707</v>
      </c>
      <c r="E1769" t="s">
        <v>102</v>
      </c>
      <c r="G1769" t="s">
        <v>119</v>
      </c>
      <c r="H1769" t="s">
        <v>104</v>
      </c>
      <c r="I1769">
        <v>2018</v>
      </c>
      <c r="J1769" t="s">
        <v>122</v>
      </c>
      <c r="K1769" t="s">
        <v>106</v>
      </c>
      <c r="L1769" t="s">
        <v>2046</v>
      </c>
      <c r="M1769" t="s">
        <v>2051</v>
      </c>
      <c r="N1769">
        <v>1</v>
      </c>
      <c r="O1769">
        <v>2020</v>
      </c>
      <c r="P1769">
        <v>3749.5291546849662</v>
      </c>
      <c r="Q1769">
        <v>1.5324031945368921</v>
      </c>
      <c r="R1769" t="s">
        <v>109</v>
      </c>
      <c r="S1769">
        <v>2446.8293775765151</v>
      </c>
      <c r="T1769">
        <v>0.81</v>
      </c>
      <c r="U1769" t="s">
        <v>110</v>
      </c>
      <c r="V1769">
        <v>0.81</v>
      </c>
      <c r="W1769">
        <v>6</v>
      </c>
      <c r="X1769">
        <v>20</v>
      </c>
      <c r="Y1769">
        <v>14</v>
      </c>
      <c r="Z1769">
        <v>0.24</v>
      </c>
      <c r="AA1769">
        <v>31.536000000000001</v>
      </c>
    </row>
    <row r="1770" spans="1:27" x14ac:dyDescent="0.25">
      <c r="A1770" t="s">
        <v>98</v>
      </c>
      <c r="B1770" t="s">
        <v>99</v>
      </c>
      <c r="C1770" t="s">
        <v>689</v>
      </c>
      <c r="D1770" t="s">
        <v>1707</v>
      </c>
      <c r="E1770" t="s">
        <v>102</v>
      </c>
      <c r="G1770" t="s">
        <v>119</v>
      </c>
      <c r="H1770" t="s">
        <v>104</v>
      </c>
      <c r="I1770">
        <v>2022</v>
      </c>
      <c r="J1770" t="s">
        <v>123</v>
      </c>
      <c r="K1770" t="s">
        <v>106</v>
      </c>
      <c r="L1770" t="s">
        <v>2046</v>
      </c>
      <c r="M1770" t="s">
        <v>2052</v>
      </c>
      <c r="N1770">
        <v>1</v>
      </c>
      <c r="O1770">
        <v>2022</v>
      </c>
      <c r="P1770">
        <v>3749.5291546849662</v>
      </c>
      <c r="Q1770">
        <v>1.5324031945368921</v>
      </c>
      <c r="R1770" t="s">
        <v>109</v>
      </c>
      <c r="S1770">
        <v>2446.8293775765151</v>
      </c>
      <c r="T1770">
        <v>0.81</v>
      </c>
      <c r="U1770" t="s">
        <v>110</v>
      </c>
      <c r="V1770">
        <v>0.81</v>
      </c>
      <c r="W1770">
        <v>6</v>
      </c>
      <c r="X1770">
        <v>20</v>
      </c>
      <c r="Y1770">
        <v>14</v>
      </c>
      <c r="Z1770">
        <v>0.24</v>
      </c>
      <c r="AA1770">
        <v>31.536000000000001</v>
      </c>
    </row>
    <row r="1771" spans="1:27" x14ac:dyDescent="0.25">
      <c r="A1771" t="s">
        <v>98</v>
      </c>
      <c r="B1771" t="s">
        <v>99</v>
      </c>
      <c r="C1771" t="s">
        <v>689</v>
      </c>
      <c r="D1771" t="s">
        <v>1707</v>
      </c>
      <c r="E1771" t="s">
        <v>102</v>
      </c>
      <c r="G1771" t="s">
        <v>103</v>
      </c>
      <c r="H1771" t="s">
        <v>125</v>
      </c>
      <c r="I1771">
        <v>2016</v>
      </c>
      <c r="J1771" t="s">
        <v>126</v>
      </c>
      <c r="K1771" t="s">
        <v>127</v>
      </c>
      <c r="L1771" t="s">
        <v>2046</v>
      </c>
      <c r="M1771" t="s">
        <v>2053</v>
      </c>
      <c r="N1771">
        <v>1</v>
      </c>
      <c r="O1771">
        <v>2020</v>
      </c>
      <c r="P1771">
        <v>945.00328288808089</v>
      </c>
      <c r="Q1771">
        <v>1.5324031945368921</v>
      </c>
      <c r="R1771" t="s">
        <v>109</v>
      </c>
      <c r="S1771">
        <v>616.68057483635744</v>
      </c>
      <c r="T1771">
        <v>0.91554999999999997</v>
      </c>
      <c r="U1771" t="s">
        <v>110</v>
      </c>
      <c r="V1771">
        <v>0.91554999999999997</v>
      </c>
      <c r="W1771">
        <v>6</v>
      </c>
      <c r="X1771">
        <v>20</v>
      </c>
      <c r="Y1771">
        <v>14</v>
      </c>
      <c r="Z1771">
        <v>0.24</v>
      </c>
      <c r="AA1771">
        <v>31.536000000000001</v>
      </c>
    </row>
    <row r="1772" spans="1:27" x14ac:dyDescent="0.25">
      <c r="A1772" t="s">
        <v>98</v>
      </c>
      <c r="B1772" t="s">
        <v>99</v>
      </c>
      <c r="C1772" t="s">
        <v>689</v>
      </c>
      <c r="D1772" t="s">
        <v>1707</v>
      </c>
      <c r="E1772" t="s">
        <v>102</v>
      </c>
      <c r="G1772" t="s">
        <v>111</v>
      </c>
      <c r="H1772" t="s">
        <v>125</v>
      </c>
      <c r="I1772">
        <v>2016</v>
      </c>
      <c r="J1772" t="s">
        <v>129</v>
      </c>
      <c r="K1772" t="s">
        <v>127</v>
      </c>
      <c r="L1772" t="s">
        <v>2046</v>
      </c>
      <c r="M1772" t="s">
        <v>2054</v>
      </c>
      <c r="N1772">
        <v>1</v>
      </c>
      <c r="O1772">
        <v>2020</v>
      </c>
      <c r="P1772">
        <v>1036.455213490153</v>
      </c>
      <c r="Q1772">
        <v>1.5324031945368921</v>
      </c>
      <c r="R1772" t="s">
        <v>109</v>
      </c>
      <c r="S1772">
        <v>676.35934014310169</v>
      </c>
      <c r="T1772">
        <v>0.93</v>
      </c>
      <c r="U1772" t="s">
        <v>110</v>
      </c>
      <c r="V1772">
        <v>0.93</v>
      </c>
      <c r="W1772">
        <v>6</v>
      </c>
      <c r="X1772">
        <v>20</v>
      </c>
      <c r="Y1772">
        <v>14</v>
      </c>
      <c r="Z1772">
        <v>0.24</v>
      </c>
      <c r="AA1772">
        <v>31.536000000000001</v>
      </c>
    </row>
    <row r="1773" spans="1:27" x14ac:dyDescent="0.25">
      <c r="A1773" t="s">
        <v>98</v>
      </c>
      <c r="B1773" t="s">
        <v>99</v>
      </c>
      <c r="C1773" t="s">
        <v>689</v>
      </c>
      <c r="D1773" t="s">
        <v>1707</v>
      </c>
      <c r="E1773" t="s">
        <v>102</v>
      </c>
      <c r="G1773" t="s">
        <v>119</v>
      </c>
      <c r="H1773" t="s">
        <v>125</v>
      </c>
      <c r="I1773">
        <v>2016</v>
      </c>
      <c r="J1773" t="s">
        <v>131</v>
      </c>
      <c r="K1773" t="s">
        <v>127</v>
      </c>
      <c r="L1773" t="s">
        <v>2046</v>
      </c>
      <c r="M1773" t="s">
        <v>2055</v>
      </c>
      <c r="N1773">
        <v>1</v>
      </c>
      <c r="O1773">
        <v>2020</v>
      </c>
      <c r="P1773">
        <v>1493.714866500515</v>
      </c>
      <c r="Q1773">
        <v>1.5324031945368921</v>
      </c>
      <c r="R1773" t="s">
        <v>109</v>
      </c>
      <c r="S1773">
        <v>974.75316667682296</v>
      </c>
      <c r="T1773">
        <v>0.95</v>
      </c>
      <c r="U1773" t="s">
        <v>110</v>
      </c>
      <c r="V1773">
        <v>0.95</v>
      </c>
      <c r="W1773">
        <v>6</v>
      </c>
      <c r="X1773">
        <v>20</v>
      </c>
      <c r="Y1773">
        <v>14</v>
      </c>
      <c r="Z1773">
        <v>0.24</v>
      </c>
      <c r="AA1773">
        <v>31.536000000000001</v>
      </c>
    </row>
    <row r="1774" spans="1:27" x14ac:dyDescent="0.25">
      <c r="A1774" t="s">
        <v>98</v>
      </c>
      <c r="B1774" t="s">
        <v>99</v>
      </c>
      <c r="C1774" t="s">
        <v>689</v>
      </c>
      <c r="D1774" t="s">
        <v>1707</v>
      </c>
      <c r="E1774" t="s">
        <v>102</v>
      </c>
      <c r="G1774" t="s">
        <v>133</v>
      </c>
      <c r="H1774" t="s">
        <v>125</v>
      </c>
      <c r="I1774">
        <v>2016</v>
      </c>
      <c r="J1774" t="s">
        <v>134</v>
      </c>
      <c r="K1774" t="s">
        <v>127</v>
      </c>
      <c r="L1774" t="s">
        <v>2046</v>
      </c>
      <c r="M1774" t="s">
        <v>2056</v>
      </c>
      <c r="N1774">
        <v>1</v>
      </c>
      <c r="O1774">
        <v>2020</v>
      </c>
      <c r="P1774">
        <v>2530.170079990668</v>
      </c>
      <c r="Q1774">
        <v>1.5324031945368921</v>
      </c>
      <c r="R1774" t="s">
        <v>109</v>
      </c>
      <c r="S1774">
        <v>1651.112506819924</v>
      </c>
      <c r="T1774">
        <v>3.28</v>
      </c>
      <c r="U1774" t="s">
        <v>110</v>
      </c>
      <c r="V1774">
        <v>3.28</v>
      </c>
      <c r="W1774">
        <v>6</v>
      </c>
      <c r="X1774">
        <v>20</v>
      </c>
      <c r="Y1774">
        <v>14</v>
      </c>
      <c r="Z1774">
        <v>0.24</v>
      </c>
      <c r="AA1774">
        <v>31.536000000000001</v>
      </c>
    </row>
    <row r="1775" spans="1:27" x14ac:dyDescent="0.25">
      <c r="A1775" t="s">
        <v>98</v>
      </c>
      <c r="B1775" t="s">
        <v>99</v>
      </c>
      <c r="C1775" t="s">
        <v>689</v>
      </c>
      <c r="D1775" t="s">
        <v>1707</v>
      </c>
      <c r="E1775" t="s">
        <v>102</v>
      </c>
      <c r="G1775" t="s">
        <v>133</v>
      </c>
      <c r="H1775" t="s">
        <v>125</v>
      </c>
      <c r="I1775">
        <v>2022</v>
      </c>
      <c r="J1775" t="s">
        <v>136</v>
      </c>
      <c r="K1775" t="s">
        <v>127</v>
      </c>
      <c r="L1775" t="s">
        <v>2046</v>
      </c>
      <c r="M1775" t="s">
        <v>2057</v>
      </c>
      <c r="N1775">
        <v>1</v>
      </c>
      <c r="O1775">
        <v>2022</v>
      </c>
      <c r="P1775">
        <v>2530.170079990668</v>
      </c>
      <c r="Q1775">
        <v>1.5324031945368921</v>
      </c>
      <c r="R1775" t="s">
        <v>109</v>
      </c>
      <c r="S1775">
        <v>1651.112506819924</v>
      </c>
      <c r="T1775">
        <v>3.28</v>
      </c>
      <c r="U1775" t="s">
        <v>110</v>
      </c>
      <c r="V1775">
        <v>3.28</v>
      </c>
      <c r="W1775">
        <v>6</v>
      </c>
      <c r="X1775">
        <v>20</v>
      </c>
      <c r="Y1775">
        <v>14</v>
      </c>
      <c r="Z1775">
        <v>0.24</v>
      </c>
      <c r="AA1775">
        <v>31.536000000000001</v>
      </c>
    </row>
    <row r="1776" spans="1:27" x14ac:dyDescent="0.25">
      <c r="A1776" t="s">
        <v>98</v>
      </c>
      <c r="B1776" t="s">
        <v>99</v>
      </c>
      <c r="C1776" t="s">
        <v>689</v>
      </c>
      <c r="D1776" t="s">
        <v>1707</v>
      </c>
      <c r="E1776" t="s">
        <v>102</v>
      </c>
      <c r="G1776" t="s">
        <v>138</v>
      </c>
      <c r="H1776" t="s">
        <v>125</v>
      </c>
      <c r="I1776">
        <v>2016</v>
      </c>
      <c r="J1776" t="s">
        <v>139</v>
      </c>
      <c r="K1776" t="s">
        <v>127</v>
      </c>
      <c r="L1776" t="s">
        <v>2046</v>
      </c>
      <c r="M1776" t="s">
        <v>2058</v>
      </c>
      <c r="N1776">
        <v>1</v>
      </c>
      <c r="O1776">
        <v>2020</v>
      </c>
      <c r="P1776">
        <v>2316.7822419191662</v>
      </c>
      <c r="Q1776">
        <v>1.5324031945368921</v>
      </c>
      <c r="R1776" t="s">
        <v>109</v>
      </c>
      <c r="S1776">
        <v>1511.862054437521</v>
      </c>
      <c r="T1776">
        <v>2</v>
      </c>
      <c r="U1776" t="s">
        <v>110</v>
      </c>
      <c r="V1776">
        <v>2</v>
      </c>
      <c r="W1776">
        <v>6</v>
      </c>
      <c r="X1776">
        <v>20</v>
      </c>
      <c r="Y1776">
        <v>14</v>
      </c>
      <c r="Z1776">
        <v>0.24</v>
      </c>
      <c r="AA1776">
        <v>31.536000000000001</v>
      </c>
    </row>
    <row r="1777" spans="1:27" x14ac:dyDescent="0.25">
      <c r="A1777" t="s">
        <v>98</v>
      </c>
      <c r="B1777" t="s">
        <v>99</v>
      </c>
      <c r="C1777" t="s">
        <v>689</v>
      </c>
      <c r="D1777" t="s">
        <v>1707</v>
      </c>
      <c r="E1777" t="s">
        <v>102</v>
      </c>
      <c r="G1777" t="s">
        <v>138</v>
      </c>
      <c r="H1777" t="s">
        <v>125</v>
      </c>
      <c r="I1777">
        <v>2022</v>
      </c>
      <c r="J1777" t="s">
        <v>141</v>
      </c>
      <c r="K1777" t="s">
        <v>127</v>
      </c>
      <c r="L1777" t="s">
        <v>2046</v>
      </c>
      <c r="M1777" t="s">
        <v>2059</v>
      </c>
      <c r="N1777">
        <v>1</v>
      </c>
      <c r="O1777">
        <v>2022</v>
      </c>
      <c r="P1777">
        <v>2805.3845753706141</v>
      </c>
      <c r="Q1777">
        <v>1.5324031945368921</v>
      </c>
      <c r="R1777" t="s">
        <v>109</v>
      </c>
      <c r="S1777">
        <v>1830.7091667336481</v>
      </c>
      <c r="T1777">
        <v>3.3</v>
      </c>
      <c r="U1777" t="s">
        <v>110</v>
      </c>
      <c r="V1777">
        <v>3.3</v>
      </c>
      <c r="W1777">
        <v>6</v>
      </c>
      <c r="X1777">
        <v>20</v>
      </c>
      <c r="Y1777">
        <v>14</v>
      </c>
      <c r="Z1777">
        <v>0.24</v>
      </c>
      <c r="AA1777">
        <v>31.536000000000001</v>
      </c>
    </row>
    <row r="1778" spans="1:27" x14ac:dyDescent="0.25">
      <c r="A1778" t="s">
        <v>98</v>
      </c>
      <c r="B1778" t="s">
        <v>99</v>
      </c>
      <c r="C1778" t="s">
        <v>689</v>
      </c>
      <c r="D1778" t="s">
        <v>1707</v>
      </c>
      <c r="E1778" t="s">
        <v>102</v>
      </c>
      <c r="G1778" t="s">
        <v>143</v>
      </c>
      <c r="H1778" t="s">
        <v>125</v>
      </c>
      <c r="I1778">
        <v>2016</v>
      </c>
      <c r="J1778" t="s">
        <v>144</v>
      </c>
      <c r="K1778" t="s">
        <v>127</v>
      </c>
      <c r="L1778" t="s">
        <v>2046</v>
      </c>
      <c r="M1778" t="s">
        <v>2060</v>
      </c>
      <c r="N1778">
        <v>1</v>
      </c>
      <c r="O1778">
        <v>2020</v>
      </c>
      <c r="P1778">
        <v>3017.9137098683868</v>
      </c>
      <c r="Q1778">
        <v>1.5324031945368921</v>
      </c>
      <c r="R1778" t="s">
        <v>109</v>
      </c>
      <c r="S1778">
        <v>1969.399255122561</v>
      </c>
      <c r="T1778">
        <v>3.55</v>
      </c>
      <c r="U1778" t="s">
        <v>110</v>
      </c>
      <c r="V1778">
        <v>3.55</v>
      </c>
      <c r="W1778">
        <v>6</v>
      </c>
      <c r="X1778">
        <v>20</v>
      </c>
      <c r="Y1778">
        <v>14</v>
      </c>
      <c r="Z1778">
        <v>0.24</v>
      </c>
      <c r="AA1778">
        <v>31.536000000000001</v>
      </c>
    </row>
    <row r="1779" spans="1:27" x14ac:dyDescent="0.25">
      <c r="A1779" t="s">
        <v>98</v>
      </c>
      <c r="B1779" t="s">
        <v>99</v>
      </c>
      <c r="C1779" t="s">
        <v>689</v>
      </c>
      <c r="D1779" t="s">
        <v>1707</v>
      </c>
      <c r="E1779" t="s">
        <v>102</v>
      </c>
      <c r="G1779" t="s">
        <v>143</v>
      </c>
      <c r="H1779" t="s">
        <v>125</v>
      </c>
      <c r="I1779">
        <v>2022</v>
      </c>
      <c r="J1779" t="s">
        <v>146</v>
      </c>
      <c r="K1779" t="s">
        <v>127</v>
      </c>
      <c r="L1779" t="s">
        <v>2046</v>
      </c>
      <c r="M1779" t="s">
        <v>2061</v>
      </c>
      <c r="N1779">
        <v>1</v>
      </c>
      <c r="O1779">
        <v>2022</v>
      </c>
      <c r="P1779">
        <v>3017.9137098683868</v>
      </c>
      <c r="Q1779">
        <v>1.5324031945368921</v>
      </c>
      <c r="R1779" t="s">
        <v>109</v>
      </c>
      <c r="S1779">
        <v>1969.399255122561</v>
      </c>
      <c r="T1779">
        <v>3.55</v>
      </c>
      <c r="U1779" t="s">
        <v>110</v>
      </c>
      <c r="V1779">
        <v>3.55</v>
      </c>
      <c r="W1779">
        <v>6</v>
      </c>
      <c r="X1779">
        <v>20</v>
      </c>
      <c r="Y1779">
        <v>14</v>
      </c>
      <c r="Z1779">
        <v>0.24</v>
      </c>
      <c r="AA1779">
        <v>31.536000000000001</v>
      </c>
    </row>
    <row r="1780" spans="1:27" x14ac:dyDescent="0.25">
      <c r="A1780" t="s">
        <v>98</v>
      </c>
      <c r="B1780" t="s">
        <v>99</v>
      </c>
      <c r="C1780" t="s">
        <v>689</v>
      </c>
      <c r="D1780" t="s">
        <v>1707</v>
      </c>
      <c r="E1780" t="s">
        <v>102</v>
      </c>
      <c r="G1780" t="s">
        <v>103</v>
      </c>
      <c r="H1780" t="s">
        <v>148</v>
      </c>
      <c r="I1780">
        <v>2016</v>
      </c>
      <c r="J1780" t="s">
        <v>149</v>
      </c>
      <c r="K1780" t="s">
        <v>150</v>
      </c>
      <c r="L1780" t="s">
        <v>2046</v>
      </c>
      <c r="M1780" t="s">
        <v>2062</v>
      </c>
      <c r="N1780">
        <v>1</v>
      </c>
      <c r="O1780">
        <v>2020</v>
      </c>
      <c r="P1780">
        <v>2926.4617792663148</v>
      </c>
      <c r="Q1780">
        <v>1.5324031945368921</v>
      </c>
      <c r="R1780" t="s">
        <v>109</v>
      </c>
      <c r="S1780">
        <v>1909.720489815817</v>
      </c>
      <c r="T1780">
        <v>0.63670000000000004</v>
      </c>
      <c r="U1780" t="s">
        <v>110</v>
      </c>
      <c r="V1780">
        <v>0.63670000000000004</v>
      </c>
      <c r="W1780">
        <v>6</v>
      </c>
      <c r="X1780">
        <v>20</v>
      </c>
      <c r="Y1780">
        <v>14</v>
      </c>
      <c r="Z1780">
        <v>0.24</v>
      </c>
      <c r="AA1780">
        <v>31.536000000000001</v>
      </c>
    </row>
    <row r="1781" spans="1:27" x14ac:dyDescent="0.25">
      <c r="A1781" t="s">
        <v>98</v>
      </c>
      <c r="B1781" t="s">
        <v>99</v>
      </c>
      <c r="C1781" t="s">
        <v>689</v>
      </c>
      <c r="D1781" t="s">
        <v>1707</v>
      </c>
      <c r="E1781" t="s">
        <v>102</v>
      </c>
      <c r="G1781" t="s">
        <v>111</v>
      </c>
      <c r="H1781" t="s">
        <v>148</v>
      </c>
      <c r="I1781">
        <v>2016</v>
      </c>
      <c r="J1781" t="s">
        <v>152</v>
      </c>
      <c r="K1781" t="s">
        <v>150</v>
      </c>
      <c r="L1781" t="s">
        <v>2046</v>
      </c>
      <c r="M1781" t="s">
        <v>2063</v>
      </c>
      <c r="N1781">
        <v>1</v>
      </c>
      <c r="O1781">
        <v>2020</v>
      </c>
      <c r="P1781">
        <v>3109.3656404704602</v>
      </c>
      <c r="Q1781">
        <v>1.5324031945368921</v>
      </c>
      <c r="R1781" t="s">
        <v>109</v>
      </c>
      <c r="S1781">
        <v>2029.0780204293051</v>
      </c>
      <c r="T1781">
        <v>0.67</v>
      </c>
      <c r="U1781" t="s">
        <v>110</v>
      </c>
      <c r="V1781">
        <v>0.67</v>
      </c>
      <c r="W1781">
        <v>6</v>
      </c>
      <c r="X1781">
        <v>20</v>
      </c>
      <c r="Y1781">
        <v>14</v>
      </c>
      <c r="Z1781">
        <v>0.24</v>
      </c>
      <c r="AA1781">
        <v>31.536000000000001</v>
      </c>
    </row>
    <row r="1782" spans="1:27" x14ac:dyDescent="0.25">
      <c r="A1782" t="s">
        <v>98</v>
      </c>
      <c r="B1782" t="s">
        <v>99</v>
      </c>
      <c r="C1782" t="s">
        <v>689</v>
      </c>
      <c r="D1782" t="s">
        <v>1707</v>
      </c>
      <c r="E1782" t="s">
        <v>102</v>
      </c>
      <c r="G1782" t="s">
        <v>119</v>
      </c>
      <c r="H1782" t="s">
        <v>148</v>
      </c>
      <c r="I1782">
        <v>2016</v>
      </c>
      <c r="J1782" t="s">
        <v>154</v>
      </c>
      <c r="K1782" t="s">
        <v>150</v>
      </c>
      <c r="L1782" t="s">
        <v>2046</v>
      </c>
      <c r="M1782" t="s">
        <v>2064</v>
      </c>
      <c r="N1782">
        <v>1</v>
      </c>
      <c r="O1782">
        <v>2020</v>
      </c>
      <c r="P1782">
        <v>3078.881663603102</v>
      </c>
      <c r="Q1782">
        <v>1.5324031945368921</v>
      </c>
      <c r="R1782" t="s">
        <v>109</v>
      </c>
      <c r="S1782">
        <v>2009.1850986603899</v>
      </c>
      <c r="T1782">
        <v>0.69</v>
      </c>
      <c r="U1782" t="s">
        <v>110</v>
      </c>
      <c r="V1782">
        <v>0.69</v>
      </c>
      <c r="W1782">
        <v>6</v>
      </c>
      <c r="X1782">
        <v>20</v>
      </c>
      <c r="Y1782">
        <v>14</v>
      </c>
      <c r="Z1782">
        <v>0.24</v>
      </c>
      <c r="AA1782">
        <v>31.536000000000001</v>
      </c>
    </row>
    <row r="1783" spans="1:27" x14ac:dyDescent="0.25">
      <c r="A1783" t="s">
        <v>98</v>
      </c>
      <c r="B1783" t="s">
        <v>99</v>
      </c>
      <c r="C1783" t="s">
        <v>689</v>
      </c>
      <c r="D1783" t="s">
        <v>1707</v>
      </c>
      <c r="E1783" t="s">
        <v>102</v>
      </c>
      <c r="G1783" t="s">
        <v>103</v>
      </c>
      <c r="H1783" t="s">
        <v>156</v>
      </c>
      <c r="I1783">
        <v>2016</v>
      </c>
      <c r="J1783" t="s">
        <v>157</v>
      </c>
      <c r="K1783" t="s">
        <v>158</v>
      </c>
      <c r="L1783" t="s">
        <v>2046</v>
      </c>
      <c r="M1783" t="s">
        <v>2065</v>
      </c>
      <c r="N1783">
        <v>1</v>
      </c>
      <c r="O1783">
        <v>2020</v>
      </c>
      <c r="P1783">
        <v>2225.3303113170941</v>
      </c>
      <c r="Q1783">
        <v>1.5324031945368921</v>
      </c>
      <c r="R1783" t="s">
        <v>109</v>
      </c>
      <c r="S1783">
        <v>1452.183289130777</v>
      </c>
      <c r="T1783">
        <v>0.61014999999999997</v>
      </c>
      <c r="U1783" t="s">
        <v>110</v>
      </c>
      <c r="V1783">
        <v>0.61014999999999997</v>
      </c>
      <c r="W1783">
        <v>6</v>
      </c>
      <c r="X1783">
        <v>20</v>
      </c>
      <c r="Y1783">
        <v>14</v>
      </c>
      <c r="Z1783">
        <v>0.24</v>
      </c>
      <c r="AA1783">
        <v>31.536000000000001</v>
      </c>
    </row>
    <row r="1784" spans="1:27" x14ac:dyDescent="0.25">
      <c r="A1784" t="s">
        <v>98</v>
      </c>
      <c r="B1784" t="s">
        <v>99</v>
      </c>
      <c r="C1784" t="s">
        <v>689</v>
      </c>
      <c r="D1784" t="s">
        <v>1707</v>
      </c>
      <c r="E1784" t="s">
        <v>102</v>
      </c>
      <c r="G1784" t="s">
        <v>111</v>
      </c>
      <c r="H1784" t="s">
        <v>156</v>
      </c>
      <c r="I1784">
        <v>2016</v>
      </c>
      <c r="J1784" t="s">
        <v>160</v>
      </c>
      <c r="K1784" t="s">
        <v>158</v>
      </c>
      <c r="L1784" t="s">
        <v>2046</v>
      </c>
      <c r="M1784" t="s">
        <v>2066</v>
      </c>
      <c r="N1784">
        <v>1</v>
      </c>
      <c r="O1784">
        <v>2020</v>
      </c>
      <c r="P1784">
        <v>2347.266218786523</v>
      </c>
      <c r="Q1784">
        <v>1.5324031945368921</v>
      </c>
      <c r="R1784" t="s">
        <v>109</v>
      </c>
      <c r="S1784">
        <v>1531.7549762064359</v>
      </c>
      <c r="T1784">
        <v>0.63</v>
      </c>
      <c r="U1784" t="s">
        <v>110</v>
      </c>
      <c r="V1784">
        <v>0.63</v>
      </c>
      <c r="W1784">
        <v>6</v>
      </c>
      <c r="X1784">
        <v>20</v>
      </c>
      <c r="Y1784">
        <v>14</v>
      </c>
      <c r="Z1784">
        <v>0.24</v>
      </c>
      <c r="AA1784">
        <v>31.536000000000001</v>
      </c>
    </row>
    <row r="1785" spans="1:27" x14ac:dyDescent="0.25">
      <c r="A1785" t="s">
        <v>98</v>
      </c>
      <c r="B1785" t="s">
        <v>99</v>
      </c>
      <c r="C1785" t="s">
        <v>689</v>
      </c>
      <c r="D1785" t="s">
        <v>1707</v>
      </c>
      <c r="E1785" t="s">
        <v>102</v>
      </c>
      <c r="G1785" t="s">
        <v>114</v>
      </c>
      <c r="H1785" t="s">
        <v>156</v>
      </c>
      <c r="I1785">
        <v>2016</v>
      </c>
      <c r="J1785" t="s">
        <v>162</v>
      </c>
      <c r="K1785" t="s">
        <v>158</v>
      </c>
      <c r="L1785" t="s">
        <v>2046</v>
      </c>
      <c r="M1785" t="s">
        <v>2067</v>
      </c>
      <c r="N1785">
        <v>1</v>
      </c>
      <c r="O1785">
        <v>2020</v>
      </c>
      <c r="P1785">
        <v>2469.2021262559529</v>
      </c>
      <c r="Q1785">
        <v>1.5324031945368921</v>
      </c>
      <c r="R1785" t="s">
        <v>109</v>
      </c>
      <c r="S1785">
        <v>1611.3266632820951</v>
      </c>
      <c r="T1785">
        <v>0.66</v>
      </c>
      <c r="U1785" t="s">
        <v>110</v>
      </c>
      <c r="V1785">
        <v>0.66</v>
      </c>
      <c r="W1785">
        <v>6</v>
      </c>
      <c r="X1785">
        <v>20</v>
      </c>
      <c r="Y1785">
        <v>14</v>
      </c>
      <c r="Z1785">
        <v>0.24</v>
      </c>
      <c r="AA1785">
        <v>31.536000000000001</v>
      </c>
    </row>
    <row r="1786" spans="1:27" x14ac:dyDescent="0.25">
      <c r="A1786" t="s">
        <v>98</v>
      </c>
      <c r="B1786" t="s">
        <v>99</v>
      </c>
      <c r="C1786" t="s">
        <v>689</v>
      </c>
      <c r="D1786" t="s">
        <v>1707</v>
      </c>
      <c r="E1786" t="s">
        <v>102</v>
      </c>
      <c r="G1786" t="s">
        <v>114</v>
      </c>
      <c r="H1786" t="s">
        <v>156</v>
      </c>
      <c r="I1786">
        <v>2023</v>
      </c>
      <c r="J1786" t="s">
        <v>164</v>
      </c>
      <c r="K1786" t="s">
        <v>158</v>
      </c>
      <c r="L1786" t="s">
        <v>2046</v>
      </c>
      <c r="M1786" t="s">
        <v>2068</v>
      </c>
      <c r="N1786">
        <v>1</v>
      </c>
      <c r="O1786">
        <v>2023</v>
      </c>
      <c r="P1786">
        <v>3865.2553631628971</v>
      </c>
      <c r="Q1786">
        <v>1.5324031945368921</v>
      </c>
      <c r="R1786" t="s">
        <v>109</v>
      </c>
      <c r="S1786">
        <v>2522.3488028103579</v>
      </c>
      <c r="T1786">
        <v>0.83499999999999996</v>
      </c>
      <c r="U1786" t="s">
        <v>110</v>
      </c>
      <c r="V1786">
        <v>0.83499999999999996</v>
      </c>
      <c r="W1786">
        <v>6</v>
      </c>
      <c r="X1786">
        <v>20</v>
      </c>
      <c r="Y1786">
        <v>14</v>
      </c>
      <c r="Z1786">
        <v>0.24</v>
      </c>
      <c r="AA1786">
        <v>31.536000000000001</v>
      </c>
    </row>
    <row r="1787" spans="1:27" x14ac:dyDescent="0.25">
      <c r="A1787" t="s">
        <v>98</v>
      </c>
      <c r="B1787" t="s">
        <v>99</v>
      </c>
      <c r="C1787" t="s">
        <v>689</v>
      </c>
      <c r="D1787" t="s">
        <v>1707</v>
      </c>
      <c r="E1787" t="s">
        <v>102</v>
      </c>
      <c r="G1787" t="s">
        <v>119</v>
      </c>
      <c r="H1787" t="s">
        <v>156</v>
      </c>
      <c r="I1787">
        <v>2016</v>
      </c>
      <c r="J1787" t="s">
        <v>166</v>
      </c>
      <c r="K1787" t="s">
        <v>158</v>
      </c>
      <c r="L1787" t="s">
        <v>2046</v>
      </c>
      <c r="M1787" t="s">
        <v>2069</v>
      </c>
      <c r="N1787">
        <v>0</v>
      </c>
      <c r="O1787">
        <v>2020</v>
      </c>
      <c r="P1787">
        <v>3749.5291546849662</v>
      </c>
      <c r="Q1787">
        <v>1.5324031945368921</v>
      </c>
      <c r="R1787" t="s">
        <v>109</v>
      </c>
      <c r="S1787">
        <v>2446.8293775765151</v>
      </c>
      <c r="T1787">
        <v>0.81</v>
      </c>
      <c r="U1787" t="s">
        <v>110</v>
      </c>
      <c r="V1787">
        <v>0.81</v>
      </c>
      <c r="W1787">
        <v>6</v>
      </c>
      <c r="X1787">
        <v>20</v>
      </c>
      <c r="Y1787">
        <v>14</v>
      </c>
      <c r="Z1787">
        <v>0.24</v>
      </c>
      <c r="AA1787">
        <v>31.536000000000001</v>
      </c>
    </row>
    <row r="1788" spans="1:27" x14ac:dyDescent="0.25">
      <c r="A1788" t="s">
        <v>98</v>
      </c>
      <c r="B1788" t="s">
        <v>99</v>
      </c>
      <c r="C1788" t="s">
        <v>689</v>
      </c>
      <c r="D1788" t="s">
        <v>1707</v>
      </c>
      <c r="E1788" t="s">
        <v>102</v>
      </c>
      <c r="G1788" t="s">
        <v>119</v>
      </c>
      <c r="H1788" t="s">
        <v>156</v>
      </c>
      <c r="I1788">
        <v>2018</v>
      </c>
      <c r="J1788" t="s">
        <v>168</v>
      </c>
      <c r="K1788" t="s">
        <v>158</v>
      </c>
      <c r="L1788" t="s">
        <v>2046</v>
      </c>
      <c r="M1788" t="s">
        <v>2069</v>
      </c>
      <c r="N1788">
        <v>1</v>
      </c>
      <c r="O1788">
        <v>2020</v>
      </c>
      <c r="P1788">
        <v>3749.5291546849662</v>
      </c>
      <c r="Q1788">
        <v>1.5324031945368921</v>
      </c>
      <c r="R1788" t="s">
        <v>109</v>
      </c>
      <c r="S1788">
        <v>2446.8293775765151</v>
      </c>
      <c r="T1788">
        <v>0.81</v>
      </c>
      <c r="U1788" t="s">
        <v>110</v>
      </c>
      <c r="V1788">
        <v>0.81</v>
      </c>
      <c r="W1788">
        <v>6</v>
      </c>
      <c r="X1788">
        <v>20</v>
      </c>
      <c r="Y1788">
        <v>14</v>
      </c>
      <c r="Z1788">
        <v>0.24</v>
      </c>
      <c r="AA1788">
        <v>31.536000000000001</v>
      </c>
    </row>
    <row r="1789" spans="1:27" x14ac:dyDescent="0.25">
      <c r="A1789" t="s">
        <v>98</v>
      </c>
      <c r="B1789" t="s">
        <v>99</v>
      </c>
      <c r="C1789" t="s">
        <v>689</v>
      </c>
      <c r="D1789" t="s">
        <v>1707</v>
      </c>
      <c r="E1789" t="s">
        <v>102</v>
      </c>
      <c r="G1789" t="s">
        <v>111</v>
      </c>
      <c r="H1789" t="s">
        <v>169</v>
      </c>
      <c r="I1789">
        <v>2016</v>
      </c>
      <c r="J1789" t="s">
        <v>170</v>
      </c>
      <c r="K1789" t="s">
        <v>171</v>
      </c>
      <c r="L1789" t="s">
        <v>2046</v>
      </c>
      <c r="M1789" t="s">
        <v>2070</v>
      </c>
      <c r="N1789">
        <v>0</v>
      </c>
      <c r="O1789">
        <v>2020</v>
      </c>
      <c r="P1789">
        <v>13412.949821637279</v>
      </c>
      <c r="Q1789">
        <v>1.5324031945368921</v>
      </c>
      <c r="R1789" t="s">
        <v>109</v>
      </c>
      <c r="S1789">
        <v>8752.8855783224917</v>
      </c>
      <c r="T1789">
        <v>1</v>
      </c>
      <c r="U1789" t="s">
        <v>173</v>
      </c>
      <c r="V1789">
        <v>1</v>
      </c>
      <c r="W1789">
        <v>15</v>
      </c>
      <c r="X1789">
        <v>30</v>
      </c>
      <c r="Y1789">
        <v>23</v>
      </c>
      <c r="Z1789">
        <v>0.24</v>
      </c>
      <c r="AA1789">
        <v>31.536000000000001</v>
      </c>
    </row>
    <row r="1790" spans="1:27" x14ac:dyDescent="0.25">
      <c r="A1790" t="s">
        <v>98</v>
      </c>
      <c r="B1790" t="s">
        <v>99</v>
      </c>
      <c r="C1790" t="s">
        <v>689</v>
      </c>
      <c r="D1790" t="s">
        <v>1707</v>
      </c>
      <c r="E1790" t="s">
        <v>102</v>
      </c>
      <c r="G1790" t="s">
        <v>111</v>
      </c>
      <c r="H1790" t="s">
        <v>169</v>
      </c>
      <c r="I1790">
        <v>2020</v>
      </c>
      <c r="J1790" t="s">
        <v>174</v>
      </c>
      <c r="K1790" t="s">
        <v>171</v>
      </c>
      <c r="L1790" t="s">
        <v>2046</v>
      </c>
      <c r="M1790" t="s">
        <v>2070</v>
      </c>
      <c r="N1790">
        <v>1</v>
      </c>
      <c r="O1790">
        <v>2020</v>
      </c>
      <c r="P1790">
        <v>13412.949821637279</v>
      </c>
      <c r="Q1790">
        <v>1.5324031945368921</v>
      </c>
      <c r="R1790" t="s">
        <v>109</v>
      </c>
      <c r="S1790">
        <v>8752.8855783224917</v>
      </c>
      <c r="T1790">
        <v>1</v>
      </c>
      <c r="U1790" t="s">
        <v>173</v>
      </c>
      <c r="V1790">
        <v>1</v>
      </c>
      <c r="W1790">
        <v>15</v>
      </c>
      <c r="X1790">
        <v>30</v>
      </c>
      <c r="Y1790">
        <v>23</v>
      </c>
      <c r="Z1790">
        <v>0.24</v>
      </c>
      <c r="AA1790">
        <v>31.536000000000001</v>
      </c>
    </row>
    <row r="1791" spans="1:27" x14ac:dyDescent="0.25">
      <c r="A1791" t="s">
        <v>98</v>
      </c>
      <c r="B1791" t="s">
        <v>99</v>
      </c>
      <c r="C1791" t="s">
        <v>689</v>
      </c>
      <c r="D1791" t="s">
        <v>1707</v>
      </c>
      <c r="E1791" t="s">
        <v>102</v>
      </c>
      <c r="G1791" t="s">
        <v>111</v>
      </c>
      <c r="H1791" t="s">
        <v>169</v>
      </c>
      <c r="I1791">
        <v>2023</v>
      </c>
      <c r="J1791" t="s">
        <v>175</v>
      </c>
      <c r="K1791" t="s">
        <v>171</v>
      </c>
      <c r="L1791" t="s">
        <v>2046</v>
      </c>
      <c r="M1791" t="s">
        <v>2071</v>
      </c>
      <c r="N1791">
        <v>1</v>
      </c>
      <c r="O1791">
        <v>2023</v>
      </c>
      <c r="P1791">
        <v>13412.949821637279</v>
      </c>
      <c r="Q1791">
        <v>1.5324031945368921</v>
      </c>
      <c r="R1791" t="s">
        <v>109</v>
      </c>
      <c r="S1791">
        <v>8752.8855783224917</v>
      </c>
      <c r="T1791">
        <v>1</v>
      </c>
      <c r="U1791" t="s">
        <v>173</v>
      </c>
      <c r="V1791">
        <v>1</v>
      </c>
      <c r="W1791">
        <v>15</v>
      </c>
      <c r="X1791">
        <v>30</v>
      </c>
      <c r="Y1791">
        <v>23</v>
      </c>
      <c r="Z1791">
        <v>0.24</v>
      </c>
      <c r="AA1791">
        <v>31.536000000000001</v>
      </c>
    </row>
    <row r="1792" spans="1:27" x14ac:dyDescent="0.25">
      <c r="A1792" t="s">
        <v>98</v>
      </c>
      <c r="B1792" t="s">
        <v>99</v>
      </c>
      <c r="C1792" t="s">
        <v>689</v>
      </c>
      <c r="D1792" t="s">
        <v>1707</v>
      </c>
      <c r="E1792" t="s">
        <v>102</v>
      </c>
      <c r="G1792" t="s">
        <v>111</v>
      </c>
      <c r="H1792" t="s">
        <v>169</v>
      </c>
      <c r="I1792">
        <v>2024</v>
      </c>
      <c r="J1792" t="s">
        <v>177</v>
      </c>
      <c r="K1792" t="s">
        <v>171</v>
      </c>
      <c r="L1792" t="s">
        <v>2046</v>
      </c>
      <c r="M1792" t="s">
        <v>2072</v>
      </c>
      <c r="N1792">
        <v>1</v>
      </c>
      <c r="O1792">
        <v>2024</v>
      </c>
      <c r="P1792">
        <v>13412.949821637279</v>
      </c>
      <c r="Q1792">
        <v>1.5324031945368921</v>
      </c>
      <c r="R1792" t="s">
        <v>109</v>
      </c>
      <c r="S1792">
        <v>8752.8855783224917</v>
      </c>
      <c r="T1792">
        <v>1</v>
      </c>
      <c r="U1792" t="s">
        <v>173</v>
      </c>
      <c r="V1792">
        <v>1</v>
      </c>
      <c r="W1792">
        <v>15</v>
      </c>
      <c r="X1792">
        <v>30</v>
      </c>
      <c r="Y1792">
        <v>23</v>
      </c>
      <c r="Z1792">
        <v>0.24</v>
      </c>
      <c r="AA1792">
        <v>31.536000000000001</v>
      </c>
    </row>
    <row r="1793" spans="1:27" x14ac:dyDescent="0.25">
      <c r="A1793" t="s">
        <v>98</v>
      </c>
      <c r="B1793" t="s">
        <v>99</v>
      </c>
      <c r="C1793" t="s">
        <v>689</v>
      </c>
      <c r="D1793" t="s">
        <v>1707</v>
      </c>
      <c r="E1793" t="s">
        <v>179</v>
      </c>
      <c r="F1793" t="s">
        <v>180</v>
      </c>
      <c r="G1793" t="s">
        <v>103</v>
      </c>
      <c r="H1793" t="s">
        <v>125</v>
      </c>
      <c r="I1793">
        <v>2016</v>
      </c>
      <c r="J1793" t="s">
        <v>181</v>
      </c>
      <c r="K1793" t="s">
        <v>127</v>
      </c>
      <c r="L1793" t="s">
        <v>2073</v>
      </c>
      <c r="M1793" t="s">
        <v>2074</v>
      </c>
      <c r="N1793">
        <v>1</v>
      </c>
      <c r="O1793">
        <v>2020</v>
      </c>
      <c r="P1793">
        <v>2956.9457561336731</v>
      </c>
      <c r="Q1793">
        <v>4.3808079625411702</v>
      </c>
      <c r="R1793" t="s">
        <v>109</v>
      </c>
      <c r="S1793">
        <v>674.97726022631696</v>
      </c>
      <c r="T1793">
        <v>2.4032825322391562</v>
      </c>
      <c r="U1793" t="s">
        <v>184</v>
      </c>
      <c r="V1793">
        <v>2.4032825322391562</v>
      </c>
      <c r="W1793">
        <v>9</v>
      </c>
      <c r="X1793">
        <v>22</v>
      </c>
      <c r="Y1793">
        <v>16</v>
      </c>
      <c r="Z1793">
        <v>9.0799342577003436E-2</v>
      </c>
      <c r="AA1793">
        <v>31.536000000000001</v>
      </c>
    </row>
    <row r="1794" spans="1:27" x14ac:dyDescent="0.25">
      <c r="A1794" t="s">
        <v>98</v>
      </c>
      <c r="B1794" t="s">
        <v>99</v>
      </c>
      <c r="C1794" t="s">
        <v>689</v>
      </c>
      <c r="D1794" t="s">
        <v>1707</v>
      </c>
      <c r="E1794" t="s">
        <v>179</v>
      </c>
      <c r="F1794" t="s">
        <v>180</v>
      </c>
      <c r="G1794" t="s">
        <v>103</v>
      </c>
      <c r="H1794" t="s">
        <v>125</v>
      </c>
      <c r="I1794">
        <v>2023</v>
      </c>
      <c r="J1794" t="s">
        <v>185</v>
      </c>
      <c r="K1794" t="s">
        <v>127</v>
      </c>
      <c r="L1794" t="s">
        <v>2073</v>
      </c>
      <c r="M1794" t="s">
        <v>2075</v>
      </c>
      <c r="N1794">
        <v>1</v>
      </c>
      <c r="O1794">
        <v>2023</v>
      </c>
      <c r="P1794">
        <v>2956.9457561336731</v>
      </c>
      <c r="Q1794">
        <v>4.3808079625411702</v>
      </c>
      <c r="R1794" t="s">
        <v>109</v>
      </c>
      <c r="S1794">
        <v>674.97726022631696</v>
      </c>
      <c r="T1794">
        <v>2.4032825322391562</v>
      </c>
      <c r="U1794" t="s">
        <v>184</v>
      </c>
      <c r="V1794">
        <v>2.4032825322391562</v>
      </c>
      <c r="W1794">
        <v>9</v>
      </c>
      <c r="X1794">
        <v>22</v>
      </c>
      <c r="Y1794">
        <v>16</v>
      </c>
      <c r="Z1794">
        <v>9.0799342577003436E-2</v>
      </c>
      <c r="AA1794">
        <v>31.536000000000001</v>
      </c>
    </row>
    <row r="1795" spans="1:27" x14ac:dyDescent="0.25">
      <c r="A1795" t="s">
        <v>98</v>
      </c>
      <c r="B1795" t="s">
        <v>99</v>
      </c>
      <c r="C1795" t="s">
        <v>689</v>
      </c>
      <c r="D1795" t="s">
        <v>1707</v>
      </c>
      <c r="E1795" t="s">
        <v>179</v>
      </c>
      <c r="F1795" t="s">
        <v>180</v>
      </c>
      <c r="G1795" t="s">
        <v>111</v>
      </c>
      <c r="H1795" t="s">
        <v>125</v>
      </c>
      <c r="I1795">
        <v>2016</v>
      </c>
      <c r="J1795" t="s">
        <v>187</v>
      </c>
      <c r="K1795" t="s">
        <v>127</v>
      </c>
      <c r="L1795" t="s">
        <v>2073</v>
      </c>
      <c r="M1795" t="s">
        <v>2076</v>
      </c>
      <c r="N1795">
        <v>1</v>
      </c>
      <c r="O1795">
        <v>2020</v>
      </c>
      <c r="P1795">
        <v>3109.3656404704602</v>
      </c>
      <c r="Q1795">
        <v>4.3808079625411702</v>
      </c>
      <c r="R1795" t="s">
        <v>109</v>
      </c>
      <c r="S1795">
        <v>709.76990250602398</v>
      </c>
      <c r="T1795">
        <v>2.5205158264947238</v>
      </c>
      <c r="U1795" t="s">
        <v>184</v>
      </c>
      <c r="V1795">
        <v>2.5205158264947238</v>
      </c>
      <c r="W1795">
        <v>9</v>
      </c>
      <c r="X1795">
        <v>22</v>
      </c>
      <c r="Y1795">
        <v>16</v>
      </c>
      <c r="Z1795">
        <v>9.0799342577003436E-2</v>
      </c>
      <c r="AA1795">
        <v>31.536000000000001</v>
      </c>
    </row>
    <row r="1796" spans="1:27" x14ac:dyDescent="0.25">
      <c r="A1796" t="s">
        <v>98</v>
      </c>
      <c r="B1796" t="s">
        <v>99</v>
      </c>
      <c r="C1796" t="s">
        <v>689</v>
      </c>
      <c r="D1796" t="s">
        <v>1707</v>
      </c>
      <c r="E1796" t="s">
        <v>179</v>
      </c>
      <c r="F1796" t="s">
        <v>180</v>
      </c>
      <c r="G1796" t="s">
        <v>111</v>
      </c>
      <c r="H1796" t="s">
        <v>125</v>
      </c>
      <c r="I1796">
        <v>2023</v>
      </c>
      <c r="J1796" t="s">
        <v>189</v>
      </c>
      <c r="K1796" t="s">
        <v>127</v>
      </c>
      <c r="L1796" t="s">
        <v>2073</v>
      </c>
      <c r="M1796" t="s">
        <v>2077</v>
      </c>
      <c r="N1796">
        <v>1</v>
      </c>
      <c r="O1796">
        <v>2023</v>
      </c>
      <c r="P1796">
        <v>3139.8496173378171</v>
      </c>
      <c r="Q1796">
        <v>4.3808079625411702</v>
      </c>
      <c r="R1796" t="s">
        <v>109</v>
      </c>
      <c r="S1796">
        <v>716.72843096196527</v>
      </c>
      <c r="T1796">
        <v>2.5791324736225092</v>
      </c>
      <c r="U1796" t="s">
        <v>184</v>
      </c>
      <c r="V1796">
        <v>2.5791324736225092</v>
      </c>
      <c r="W1796">
        <v>9</v>
      </c>
      <c r="X1796">
        <v>22</v>
      </c>
      <c r="Y1796">
        <v>16</v>
      </c>
      <c r="Z1796">
        <v>9.0799342577003436E-2</v>
      </c>
      <c r="AA1796">
        <v>31.536000000000001</v>
      </c>
    </row>
    <row r="1797" spans="1:27" x14ac:dyDescent="0.25">
      <c r="A1797" t="s">
        <v>98</v>
      </c>
      <c r="B1797" t="s">
        <v>99</v>
      </c>
      <c r="C1797" t="s">
        <v>689</v>
      </c>
      <c r="D1797" t="s">
        <v>1707</v>
      </c>
      <c r="E1797" t="s">
        <v>179</v>
      </c>
      <c r="F1797" t="s">
        <v>180</v>
      </c>
      <c r="G1797" t="s">
        <v>114</v>
      </c>
      <c r="H1797" t="s">
        <v>125</v>
      </c>
      <c r="I1797">
        <v>2016</v>
      </c>
      <c r="J1797" t="s">
        <v>191</v>
      </c>
      <c r="K1797" t="s">
        <v>127</v>
      </c>
      <c r="L1797" t="s">
        <v>2073</v>
      </c>
      <c r="M1797" t="s">
        <v>2078</v>
      </c>
      <c r="N1797">
        <v>1</v>
      </c>
      <c r="O1797">
        <v>2020</v>
      </c>
      <c r="P1797">
        <v>3017.9137098683868</v>
      </c>
      <c r="Q1797">
        <v>4.3808079625411702</v>
      </c>
      <c r="R1797" t="s">
        <v>109</v>
      </c>
      <c r="S1797">
        <v>688.89431713819965</v>
      </c>
      <c r="T1797">
        <v>2.4912075029308318</v>
      </c>
      <c r="U1797" t="s">
        <v>184</v>
      </c>
      <c r="V1797">
        <v>2.4912075029308318</v>
      </c>
      <c r="W1797">
        <v>9</v>
      </c>
      <c r="X1797">
        <v>22</v>
      </c>
      <c r="Y1797">
        <v>16</v>
      </c>
      <c r="Z1797">
        <v>9.0799342577003436E-2</v>
      </c>
      <c r="AA1797">
        <v>31.536000000000001</v>
      </c>
    </row>
    <row r="1798" spans="1:27" x14ac:dyDescent="0.25">
      <c r="A1798" t="s">
        <v>98</v>
      </c>
      <c r="B1798" t="s">
        <v>99</v>
      </c>
      <c r="C1798" t="s">
        <v>689</v>
      </c>
      <c r="D1798" t="s">
        <v>1707</v>
      </c>
      <c r="E1798" t="s">
        <v>179</v>
      </c>
      <c r="F1798" t="s">
        <v>180</v>
      </c>
      <c r="G1798" t="s">
        <v>114</v>
      </c>
      <c r="H1798" t="s">
        <v>125</v>
      </c>
      <c r="I1798">
        <v>2022</v>
      </c>
      <c r="J1798" t="s">
        <v>193</v>
      </c>
      <c r="K1798" t="s">
        <v>127</v>
      </c>
      <c r="L1798" t="s">
        <v>2073</v>
      </c>
      <c r="M1798" t="s">
        <v>2079</v>
      </c>
      <c r="N1798">
        <v>1</v>
      </c>
      <c r="O1798">
        <v>2022</v>
      </c>
      <c r="P1798">
        <v>3017.9137098683868</v>
      </c>
      <c r="Q1798">
        <v>4.3808079625411702</v>
      </c>
      <c r="R1798" t="s">
        <v>109</v>
      </c>
      <c r="S1798">
        <v>688.89431713819965</v>
      </c>
      <c r="T1798">
        <v>2.4912075029308318</v>
      </c>
      <c r="U1798" t="s">
        <v>184</v>
      </c>
      <c r="V1798">
        <v>2.4912075029308318</v>
      </c>
      <c r="W1798">
        <v>9</v>
      </c>
      <c r="X1798">
        <v>22</v>
      </c>
      <c r="Y1798">
        <v>16</v>
      </c>
      <c r="Z1798">
        <v>9.0799342577003436E-2</v>
      </c>
      <c r="AA1798">
        <v>31.536000000000001</v>
      </c>
    </row>
    <row r="1799" spans="1:27" x14ac:dyDescent="0.25">
      <c r="A1799" t="s">
        <v>98</v>
      </c>
      <c r="B1799" t="s">
        <v>99</v>
      </c>
      <c r="C1799" t="s">
        <v>689</v>
      </c>
      <c r="D1799" t="s">
        <v>1707</v>
      </c>
      <c r="E1799" t="s">
        <v>179</v>
      </c>
      <c r="F1799" t="s">
        <v>180</v>
      </c>
      <c r="G1799" t="s">
        <v>114</v>
      </c>
      <c r="H1799" t="s">
        <v>125</v>
      </c>
      <c r="I1799">
        <v>2023</v>
      </c>
      <c r="J1799" t="s">
        <v>195</v>
      </c>
      <c r="K1799" t="s">
        <v>127</v>
      </c>
      <c r="L1799" t="s">
        <v>2073</v>
      </c>
      <c r="M1799" t="s">
        <v>2080</v>
      </c>
      <c r="N1799">
        <v>1</v>
      </c>
      <c r="O1799">
        <v>2023</v>
      </c>
      <c r="P1799">
        <v>3266.447780092843</v>
      </c>
      <c r="Q1799">
        <v>4.3808079625411702</v>
      </c>
      <c r="R1799" t="s">
        <v>109</v>
      </c>
      <c r="S1799">
        <v>745.62679031428672</v>
      </c>
      <c r="T1799">
        <v>2.6963657678780768</v>
      </c>
      <c r="U1799" t="s">
        <v>184</v>
      </c>
      <c r="V1799">
        <v>2.6963657678780768</v>
      </c>
      <c r="W1799">
        <v>9</v>
      </c>
      <c r="X1799">
        <v>22</v>
      </c>
      <c r="Y1799">
        <v>16</v>
      </c>
      <c r="Z1799">
        <v>9.0799342577003436E-2</v>
      </c>
      <c r="AA1799">
        <v>31.536000000000001</v>
      </c>
    </row>
    <row r="1800" spans="1:27" x14ac:dyDescent="0.25">
      <c r="A1800" t="s">
        <v>98</v>
      </c>
      <c r="B1800" t="s">
        <v>99</v>
      </c>
      <c r="C1800" t="s">
        <v>689</v>
      </c>
      <c r="D1800" t="s">
        <v>1707</v>
      </c>
      <c r="E1800" t="s">
        <v>179</v>
      </c>
      <c r="F1800" t="s">
        <v>180</v>
      </c>
      <c r="G1800" t="s">
        <v>119</v>
      </c>
      <c r="H1800" t="s">
        <v>125</v>
      </c>
      <c r="I1800">
        <v>2016</v>
      </c>
      <c r="J1800" t="s">
        <v>197</v>
      </c>
      <c r="K1800" t="s">
        <v>127</v>
      </c>
      <c r="L1800" t="s">
        <v>2073</v>
      </c>
      <c r="M1800" t="s">
        <v>2081</v>
      </c>
      <c r="N1800">
        <v>1</v>
      </c>
      <c r="O1800">
        <v>2020</v>
      </c>
      <c r="P1800">
        <v>3719.0451778176089</v>
      </c>
      <c r="Q1800">
        <v>4.3808079625411702</v>
      </c>
      <c r="R1800" t="s">
        <v>109</v>
      </c>
      <c r="S1800">
        <v>848.94047162485219</v>
      </c>
      <c r="T1800">
        <v>2.6377491207502932</v>
      </c>
      <c r="U1800" t="s">
        <v>184</v>
      </c>
      <c r="V1800">
        <v>2.6377491207502932</v>
      </c>
      <c r="W1800">
        <v>9</v>
      </c>
      <c r="X1800">
        <v>22</v>
      </c>
      <c r="Y1800">
        <v>16</v>
      </c>
      <c r="Z1800">
        <v>9.0799342577003436E-2</v>
      </c>
      <c r="AA1800">
        <v>31.536000000000001</v>
      </c>
    </row>
    <row r="1801" spans="1:27" x14ac:dyDescent="0.25">
      <c r="A1801" t="s">
        <v>98</v>
      </c>
      <c r="B1801" t="s">
        <v>99</v>
      </c>
      <c r="C1801" t="s">
        <v>689</v>
      </c>
      <c r="D1801" t="s">
        <v>1707</v>
      </c>
      <c r="E1801" t="s">
        <v>179</v>
      </c>
      <c r="F1801" t="s">
        <v>180</v>
      </c>
      <c r="G1801" t="s">
        <v>119</v>
      </c>
      <c r="H1801" t="s">
        <v>125</v>
      </c>
      <c r="I1801">
        <v>2022</v>
      </c>
      <c r="J1801" t="s">
        <v>199</v>
      </c>
      <c r="K1801" t="s">
        <v>127</v>
      </c>
      <c r="L1801" t="s">
        <v>2073</v>
      </c>
      <c r="M1801" t="s">
        <v>2082</v>
      </c>
      <c r="N1801">
        <v>1</v>
      </c>
      <c r="O1801">
        <v>2022</v>
      </c>
      <c r="P1801">
        <v>3914.784397702746</v>
      </c>
      <c r="Q1801">
        <v>4.3808079625411702</v>
      </c>
      <c r="R1801" t="s">
        <v>109</v>
      </c>
      <c r="S1801">
        <v>893.62154907879176</v>
      </c>
      <c r="T1801">
        <v>2.9308323563892151</v>
      </c>
      <c r="U1801" t="s">
        <v>184</v>
      </c>
      <c r="V1801">
        <v>2.9308323563892151</v>
      </c>
      <c r="W1801">
        <v>9</v>
      </c>
      <c r="X1801">
        <v>22</v>
      </c>
      <c r="Y1801">
        <v>16</v>
      </c>
      <c r="Z1801">
        <v>9.0799342577003436E-2</v>
      </c>
      <c r="AA1801">
        <v>31.536000000000001</v>
      </c>
    </row>
    <row r="1802" spans="1:27" x14ac:dyDescent="0.25">
      <c r="A1802" t="s">
        <v>98</v>
      </c>
      <c r="B1802" t="s">
        <v>99</v>
      </c>
      <c r="C1802" t="s">
        <v>689</v>
      </c>
      <c r="D1802" t="s">
        <v>1707</v>
      </c>
      <c r="E1802" t="s">
        <v>179</v>
      </c>
      <c r="F1802" t="s">
        <v>201</v>
      </c>
      <c r="G1802" t="s">
        <v>103</v>
      </c>
      <c r="H1802" t="s">
        <v>125</v>
      </c>
      <c r="I1802">
        <v>2016</v>
      </c>
      <c r="J1802" t="s">
        <v>202</v>
      </c>
      <c r="K1802" t="s">
        <v>127</v>
      </c>
      <c r="L1802" t="s">
        <v>2073</v>
      </c>
      <c r="M1802" t="s">
        <v>2083</v>
      </c>
      <c r="N1802">
        <v>1</v>
      </c>
      <c r="O1802">
        <v>2020</v>
      </c>
      <c r="P1802">
        <v>9511.0007826155233</v>
      </c>
      <c r="Q1802">
        <v>4.3808079625411702</v>
      </c>
      <c r="R1802" t="s">
        <v>109</v>
      </c>
      <c r="S1802">
        <v>2171.0608782537201</v>
      </c>
      <c r="T1802">
        <v>3.2</v>
      </c>
      <c r="U1802" t="s">
        <v>184</v>
      </c>
      <c r="V1802">
        <v>3.2</v>
      </c>
      <c r="W1802">
        <v>8</v>
      </c>
      <c r="X1802">
        <v>20.8</v>
      </c>
      <c r="Y1802">
        <v>15</v>
      </c>
      <c r="Z1802">
        <v>9.0799342577003436E-2</v>
      </c>
      <c r="AA1802">
        <v>31.536000000000001</v>
      </c>
    </row>
    <row r="1803" spans="1:27" x14ac:dyDescent="0.25">
      <c r="A1803" t="s">
        <v>98</v>
      </c>
      <c r="B1803" t="s">
        <v>99</v>
      </c>
      <c r="C1803" t="s">
        <v>689</v>
      </c>
      <c r="D1803" t="s">
        <v>1707</v>
      </c>
      <c r="E1803" t="s">
        <v>179</v>
      </c>
      <c r="F1803" t="s">
        <v>201</v>
      </c>
      <c r="G1803" t="s">
        <v>111</v>
      </c>
      <c r="H1803" t="s">
        <v>125</v>
      </c>
      <c r="I1803">
        <v>2016</v>
      </c>
      <c r="J1803" t="s">
        <v>204</v>
      </c>
      <c r="K1803" t="s">
        <v>127</v>
      </c>
      <c r="L1803" t="s">
        <v>2073</v>
      </c>
      <c r="M1803" t="s">
        <v>2084</v>
      </c>
      <c r="N1803">
        <v>1</v>
      </c>
      <c r="O1803">
        <v>2020</v>
      </c>
      <c r="P1803">
        <v>9846.3245281564559</v>
      </c>
      <c r="Q1803">
        <v>4.3808079625411702</v>
      </c>
      <c r="R1803" t="s">
        <v>109</v>
      </c>
      <c r="S1803">
        <v>2247.6046912690758</v>
      </c>
      <c r="T1803">
        <v>3.7</v>
      </c>
      <c r="U1803" t="s">
        <v>184</v>
      </c>
      <c r="V1803">
        <v>3.7</v>
      </c>
      <c r="W1803">
        <v>8</v>
      </c>
      <c r="X1803">
        <v>20.8</v>
      </c>
      <c r="Y1803">
        <v>15</v>
      </c>
      <c r="Z1803">
        <v>9.0799342577003436E-2</v>
      </c>
      <c r="AA1803">
        <v>31.536000000000001</v>
      </c>
    </row>
    <row r="1804" spans="1:27" x14ac:dyDescent="0.25">
      <c r="A1804" t="s">
        <v>98</v>
      </c>
      <c r="B1804" t="s">
        <v>99</v>
      </c>
      <c r="C1804" t="s">
        <v>689</v>
      </c>
      <c r="D1804" t="s">
        <v>1707</v>
      </c>
      <c r="E1804" t="s">
        <v>179</v>
      </c>
      <c r="F1804" t="s">
        <v>201</v>
      </c>
      <c r="G1804" t="s">
        <v>114</v>
      </c>
      <c r="H1804" t="s">
        <v>125</v>
      </c>
      <c r="I1804">
        <v>2016</v>
      </c>
      <c r="J1804" t="s">
        <v>206</v>
      </c>
      <c r="K1804" t="s">
        <v>127</v>
      </c>
      <c r="L1804" t="s">
        <v>2073</v>
      </c>
      <c r="M1804" t="s">
        <v>2085</v>
      </c>
      <c r="N1804">
        <v>0</v>
      </c>
      <c r="O1804">
        <v>2020</v>
      </c>
      <c r="P1804">
        <v>9846.3245281564559</v>
      </c>
      <c r="Q1804">
        <v>4.3808079625411702</v>
      </c>
      <c r="R1804" t="s">
        <v>109</v>
      </c>
      <c r="S1804">
        <v>2247.6046912690758</v>
      </c>
      <c r="T1804">
        <v>3.6</v>
      </c>
      <c r="U1804" t="s">
        <v>184</v>
      </c>
      <c r="V1804">
        <v>3.6</v>
      </c>
      <c r="W1804">
        <v>8</v>
      </c>
      <c r="X1804">
        <v>20.8</v>
      </c>
      <c r="Y1804">
        <v>15</v>
      </c>
      <c r="Z1804">
        <v>9.0799342577003436E-2</v>
      </c>
      <c r="AA1804">
        <v>31.536000000000001</v>
      </c>
    </row>
    <row r="1805" spans="1:27" x14ac:dyDescent="0.25">
      <c r="A1805" t="s">
        <v>98</v>
      </c>
      <c r="B1805" t="s">
        <v>99</v>
      </c>
      <c r="C1805" t="s">
        <v>689</v>
      </c>
      <c r="D1805" t="s">
        <v>1707</v>
      </c>
      <c r="E1805" t="s">
        <v>179</v>
      </c>
      <c r="F1805" t="s">
        <v>201</v>
      </c>
      <c r="G1805" t="s">
        <v>114</v>
      </c>
      <c r="H1805" t="s">
        <v>125</v>
      </c>
      <c r="I1805">
        <v>2020</v>
      </c>
      <c r="J1805" t="s">
        <v>208</v>
      </c>
      <c r="K1805" t="s">
        <v>127</v>
      </c>
      <c r="L1805" t="s">
        <v>2073</v>
      </c>
      <c r="M1805" t="s">
        <v>2085</v>
      </c>
      <c r="N1805">
        <v>1</v>
      </c>
      <c r="O1805">
        <v>2020</v>
      </c>
      <c r="P1805">
        <v>9846.3245281564559</v>
      </c>
      <c r="Q1805">
        <v>4.3808079625411702</v>
      </c>
      <c r="R1805" t="s">
        <v>109</v>
      </c>
      <c r="S1805">
        <v>2247.6046912690758</v>
      </c>
      <c r="T1805">
        <v>3.6</v>
      </c>
      <c r="U1805" t="s">
        <v>184</v>
      </c>
      <c r="V1805">
        <v>3.6</v>
      </c>
      <c r="W1805">
        <v>8</v>
      </c>
      <c r="X1805">
        <v>20.8</v>
      </c>
      <c r="Y1805">
        <v>15</v>
      </c>
      <c r="Z1805">
        <v>9.0799342577003436E-2</v>
      </c>
      <c r="AA1805">
        <v>31.536000000000001</v>
      </c>
    </row>
    <row r="1806" spans="1:27" x14ac:dyDescent="0.25">
      <c r="A1806" t="s">
        <v>98</v>
      </c>
      <c r="B1806" t="s">
        <v>99</v>
      </c>
      <c r="C1806" t="s">
        <v>689</v>
      </c>
      <c r="D1806" t="s">
        <v>1707</v>
      </c>
      <c r="E1806" t="s">
        <v>179</v>
      </c>
      <c r="F1806" t="s">
        <v>201</v>
      </c>
      <c r="G1806" t="s">
        <v>114</v>
      </c>
      <c r="H1806" t="s">
        <v>125</v>
      </c>
      <c r="I1806">
        <v>2022</v>
      </c>
      <c r="J1806" t="s">
        <v>209</v>
      </c>
      <c r="K1806" t="s">
        <v>127</v>
      </c>
      <c r="L1806" t="s">
        <v>2073</v>
      </c>
      <c r="M1806" t="s">
        <v>2086</v>
      </c>
      <c r="N1806">
        <v>1</v>
      </c>
      <c r="O1806">
        <v>2022</v>
      </c>
      <c r="P1806">
        <v>9846.3245281564559</v>
      </c>
      <c r="Q1806">
        <v>4.3808079625411702</v>
      </c>
      <c r="R1806" t="s">
        <v>109</v>
      </c>
      <c r="S1806">
        <v>2247.6046912690758</v>
      </c>
      <c r="T1806">
        <v>3.6</v>
      </c>
      <c r="U1806" t="s">
        <v>184</v>
      </c>
      <c r="V1806">
        <v>3.6</v>
      </c>
      <c r="W1806">
        <v>8</v>
      </c>
      <c r="X1806">
        <v>20.8</v>
      </c>
      <c r="Y1806">
        <v>15</v>
      </c>
      <c r="Z1806">
        <v>9.0799342577003436E-2</v>
      </c>
      <c r="AA1806">
        <v>31.536000000000001</v>
      </c>
    </row>
    <row r="1807" spans="1:27" x14ac:dyDescent="0.25">
      <c r="A1807" t="s">
        <v>98</v>
      </c>
      <c r="B1807" t="s">
        <v>99</v>
      </c>
      <c r="C1807" t="s">
        <v>689</v>
      </c>
      <c r="D1807" t="s">
        <v>1707</v>
      </c>
      <c r="E1807" t="s">
        <v>179</v>
      </c>
      <c r="F1807" t="s">
        <v>201</v>
      </c>
      <c r="G1807" t="s">
        <v>114</v>
      </c>
      <c r="H1807" t="s">
        <v>125</v>
      </c>
      <c r="I1807">
        <v>2023</v>
      </c>
      <c r="J1807" t="s">
        <v>211</v>
      </c>
      <c r="K1807" t="s">
        <v>127</v>
      </c>
      <c r="L1807" t="s">
        <v>2073</v>
      </c>
      <c r="M1807" t="s">
        <v>2087</v>
      </c>
      <c r="N1807">
        <v>1</v>
      </c>
      <c r="O1807">
        <v>2023</v>
      </c>
      <c r="P1807">
        <v>9846.3245281564559</v>
      </c>
      <c r="Q1807">
        <v>4.3808079625411702</v>
      </c>
      <c r="R1807" t="s">
        <v>109</v>
      </c>
      <c r="S1807">
        <v>2247.6046912690758</v>
      </c>
      <c r="T1807">
        <v>3.6</v>
      </c>
      <c r="U1807" t="s">
        <v>184</v>
      </c>
      <c r="V1807">
        <v>3.6</v>
      </c>
      <c r="W1807">
        <v>8</v>
      </c>
      <c r="X1807">
        <v>20.8</v>
      </c>
      <c r="Y1807">
        <v>15</v>
      </c>
      <c r="Z1807">
        <v>9.0799342577003436E-2</v>
      </c>
      <c r="AA1807">
        <v>31.536000000000001</v>
      </c>
    </row>
    <row r="1808" spans="1:27" x14ac:dyDescent="0.25">
      <c r="A1808" t="s">
        <v>98</v>
      </c>
      <c r="B1808" t="s">
        <v>99</v>
      </c>
      <c r="C1808" t="s">
        <v>689</v>
      </c>
      <c r="D1808" t="s">
        <v>1707</v>
      </c>
      <c r="E1808" t="s">
        <v>179</v>
      </c>
      <c r="F1808" t="s">
        <v>201</v>
      </c>
      <c r="G1808" t="s">
        <v>114</v>
      </c>
      <c r="H1808" t="s">
        <v>125</v>
      </c>
      <c r="I1808">
        <v>2024</v>
      </c>
      <c r="J1808" t="s">
        <v>213</v>
      </c>
      <c r="K1808" t="s">
        <v>127</v>
      </c>
      <c r="L1808" t="s">
        <v>2073</v>
      </c>
      <c r="M1808" t="s">
        <v>2088</v>
      </c>
      <c r="N1808">
        <v>1</v>
      </c>
      <c r="O1808">
        <v>2024</v>
      </c>
      <c r="P1808">
        <v>9846.3245281564559</v>
      </c>
      <c r="Q1808">
        <v>4.3808079625411702</v>
      </c>
      <c r="R1808" t="s">
        <v>109</v>
      </c>
      <c r="S1808">
        <v>2247.6046912690758</v>
      </c>
      <c r="T1808">
        <v>3.6</v>
      </c>
      <c r="U1808" t="s">
        <v>184</v>
      </c>
      <c r="V1808">
        <v>3.6</v>
      </c>
      <c r="W1808">
        <v>8</v>
      </c>
      <c r="X1808">
        <v>20.8</v>
      </c>
      <c r="Y1808">
        <v>15</v>
      </c>
      <c r="Z1808">
        <v>9.0799342577003436E-2</v>
      </c>
      <c r="AA1808">
        <v>31.536000000000001</v>
      </c>
    </row>
    <row r="1809" spans="1:27" x14ac:dyDescent="0.25">
      <c r="A1809" t="s">
        <v>98</v>
      </c>
      <c r="B1809" t="s">
        <v>99</v>
      </c>
      <c r="C1809" t="s">
        <v>689</v>
      </c>
      <c r="D1809" t="s">
        <v>1707</v>
      </c>
      <c r="E1809" t="s">
        <v>179</v>
      </c>
      <c r="F1809" t="s">
        <v>201</v>
      </c>
      <c r="G1809" t="s">
        <v>119</v>
      </c>
      <c r="H1809" t="s">
        <v>125</v>
      </c>
      <c r="I1809">
        <v>2016</v>
      </c>
      <c r="J1809" t="s">
        <v>215</v>
      </c>
      <c r="K1809" t="s">
        <v>127</v>
      </c>
      <c r="L1809" t="s">
        <v>2073</v>
      </c>
      <c r="M1809" t="s">
        <v>2089</v>
      </c>
      <c r="N1809">
        <v>0</v>
      </c>
      <c r="O1809">
        <v>2020</v>
      </c>
      <c r="P1809">
        <v>10395.03611176889</v>
      </c>
      <c r="Q1809">
        <v>4.3808079625411702</v>
      </c>
      <c r="R1809" t="s">
        <v>109</v>
      </c>
      <c r="S1809">
        <v>2372.8582034760211</v>
      </c>
      <c r="T1809">
        <v>4.5</v>
      </c>
      <c r="U1809" t="s">
        <v>184</v>
      </c>
      <c r="V1809">
        <v>4.5</v>
      </c>
      <c r="W1809">
        <v>8</v>
      </c>
      <c r="X1809">
        <v>20.8</v>
      </c>
      <c r="Y1809">
        <v>15</v>
      </c>
      <c r="Z1809">
        <v>9.0799342577003436E-2</v>
      </c>
      <c r="AA1809">
        <v>31.536000000000001</v>
      </c>
    </row>
    <row r="1810" spans="1:27" x14ac:dyDescent="0.25">
      <c r="A1810" t="s">
        <v>98</v>
      </c>
      <c r="B1810" t="s">
        <v>99</v>
      </c>
      <c r="C1810" t="s">
        <v>689</v>
      </c>
      <c r="D1810" t="s">
        <v>1707</v>
      </c>
      <c r="E1810" t="s">
        <v>179</v>
      </c>
      <c r="F1810" t="s">
        <v>201</v>
      </c>
      <c r="G1810" t="s">
        <v>119</v>
      </c>
      <c r="H1810" t="s">
        <v>125</v>
      </c>
      <c r="I1810">
        <v>2020</v>
      </c>
      <c r="J1810" t="s">
        <v>217</v>
      </c>
      <c r="K1810" t="s">
        <v>127</v>
      </c>
      <c r="L1810" t="s">
        <v>2073</v>
      </c>
      <c r="M1810" t="s">
        <v>2089</v>
      </c>
      <c r="N1810">
        <v>1</v>
      </c>
      <c r="O1810">
        <v>2020</v>
      </c>
      <c r="P1810">
        <v>10395.03611176889</v>
      </c>
      <c r="Q1810">
        <v>4.3808079625411702</v>
      </c>
      <c r="R1810" t="s">
        <v>109</v>
      </c>
      <c r="S1810">
        <v>2372.8582034760211</v>
      </c>
      <c r="T1810">
        <v>4.5</v>
      </c>
      <c r="U1810" t="s">
        <v>184</v>
      </c>
      <c r="V1810">
        <v>4.5</v>
      </c>
      <c r="W1810">
        <v>8</v>
      </c>
      <c r="X1810">
        <v>20.8</v>
      </c>
      <c r="Y1810">
        <v>15</v>
      </c>
      <c r="Z1810">
        <v>9.0799342577003436E-2</v>
      </c>
      <c r="AA1810">
        <v>31.536000000000001</v>
      </c>
    </row>
    <row r="1811" spans="1:27" x14ac:dyDescent="0.25">
      <c r="A1811" t="s">
        <v>98</v>
      </c>
      <c r="B1811" t="s">
        <v>99</v>
      </c>
      <c r="C1811" t="s">
        <v>689</v>
      </c>
      <c r="D1811" t="s">
        <v>1707</v>
      </c>
      <c r="E1811" t="s">
        <v>179</v>
      </c>
      <c r="F1811" t="s">
        <v>201</v>
      </c>
      <c r="G1811" t="s">
        <v>119</v>
      </c>
      <c r="H1811" t="s">
        <v>125</v>
      </c>
      <c r="I1811">
        <v>2022</v>
      </c>
      <c r="J1811" t="s">
        <v>218</v>
      </c>
      <c r="K1811" t="s">
        <v>127</v>
      </c>
      <c r="L1811" t="s">
        <v>2073</v>
      </c>
      <c r="M1811" t="s">
        <v>2090</v>
      </c>
      <c r="N1811">
        <v>1</v>
      </c>
      <c r="O1811">
        <v>2022</v>
      </c>
      <c r="P1811">
        <v>10395.03611176889</v>
      </c>
      <c r="Q1811">
        <v>4.3808079625411702</v>
      </c>
      <c r="R1811" t="s">
        <v>109</v>
      </c>
      <c r="S1811">
        <v>2372.8582034760211</v>
      </c>
      <c r="T1811">
        <v>4.5</v>
      </c>
      <c r="U1811" t="s">
        <v>184</v>
      </c>
      <c r="V1811">
        <v>4.5</v>
      </c>
      <c r="W1811">
        <v>8</v>
      </c>
      <c r="X1811">
        <v>20.8</v>
      </c>
      <c r="Y1811">
        <v>15</v>
      </c>
      <c r="Z1811">
        <v>9.0799342577003436E-2</v>
      </c>
      <c r="AA1811">
        <v>31.536000000000001</v>
      </c>
    </row>
    <row r="1812" spans="1:27" x14ac:dyDescent="0.25">
      <c r="A1812" t="s">
        <v>98</v>
      </c>
      <c r="B1812" t="s">
        <v>99</v>
      </c>
      <c r="C1812" t="s">
        <v>689</v>
      </c>
      <c r="D1812" t="s">
        <v>1707</v>
      </c>
      <c r="E1812" t="s">
        <v>179</v>
      </c>
      <c r="F1812" t="s">
        <v>201</v>
      </c>
      <c r="G1812" t="s">
        <v>119</v>
      </c>
      <c r="H1812" t="s">
        <v>125</v>
      </c>
      <c r="I1812">
        <v>2023</v>
      </c>
      <c r="J1812" t="s">
        <v>220</v>
      </c>
      <c r="K1812" t="s">
        <v>127</v>
      </c>
      <c r="L1812" t="s">
        <v>2073</v>
      </c>
      <c r="M1812" t="s">
        <v>2091</v>
      </c>
      <c r="N1812">
        <v>1</v>
      </c>
      <c r="O1812">
        <v>2023</v>
      </c>
      <c r="P1812">
        <v>10395.03611176889</v>
      </c>
      <c r="Q1812">
        <v>4.3808079625411702</v>
      </c>
      <c r="R1812" t="s">
        <v>109</v>
      </c>
      <c r="S1812">
        <v>2372.8582034760211</v>
      </c>
      <c r="T1812">
        <v>4.5</v>
      </c>
      <c r="U1812" t="s">
        <v>184</v>
      </c>
      <c r="V1812">
        <v>4.5</v>
      </c>
      <c r="W1812">
        <v>8</v>
      </c>
      <c r="X1812">
        <v>20.8</v>
      </c>
      <c r="Y1812">
        <v>15</v>
      </c>
      <c r="Z1812">
        <v>9.0799342577003436E-2</v>
      </c>
      <c r="AA1812">
        <v>31.536000000000001</v>
      </c>
    </row>
    <row r="1813" spans="1:27" x14ac:dyDescent="0.25">
      <c r="A1813" t="s">
        <v>98</v>
      </c>
      <c r="B1813" t="s">
        <v>99</v>
      </c>
      <c r="C1813" t="s">
        <v>689</v>
      </c>
      <c r="D1813" t="s">
        <v>1707</v>
      </c>
      <c r="E1813" t="s">
        <v>179</v>
      </c>
      <c r="F1813" t="s">
        <v>201</v>
      </c>
      <c r="G1813" t="s">
        <v>119</v>
      </c>
      <c r="H1813" t="s">
        <v>125</v>
      </c>
      <c r="I1813">
        <v>2024</v>
      </c>
      <c r="J1813" t="s">
        <v>222</v>
      </c>
      <c r="K1813" t="s">
        <v>127</v>
      </c>
      <c r="L1813" t="s">
        <v>2073</v>
      </c>
      <c r="M1813" t="s">
        <v>2092</v>
      </c>
      <c r="N1813">
        <v>1</v>
      </c>
      <c r="O1813">
        <v>2024</v>
      </c>
      <c r="P1813">
        <v>10395.03611176889</v>
      </c>
      <c r="Q1813">
        <v>4.3808079625411702</v>
      </c>
      <c r="R1813" t="s">
        <v>109</v>
      </c>
      <c r="S1813">
        <v>2372.8582034760211</v>
      </c>
      <c r="T1813">
        <v>4.5</v>
      </c>
      <c r="U1813" t="s">
        <v>184</v>
      </c>
      <c r="V1813">
        <v>4.5</v>
      </c>
      <c r="W1813">
        <v>8</v>
      </c>
      <c r="X1813">
        <v>20.8</v>
      </c>
      <c r="Y1813">
        <v>15</v>
      </c>
      <c r="Z1813">
        <v>9.0799342577003436E-2</v>
      </c>
      <c r="AA1813">
        <v>31.536000000000001</v>
      </c>
    </row>
    <row r="1814" spans="1:27" x14ac:dyDescent="0.25">
      <c r="A1814" t="s">
        <v>98</v>
      </c>
      <c r="B1814" t="s">
        <v>99</v>
      </c>
      <c r="C1814" t="s">
        <v>689</v>
      </c>
      <c r="D1814" t="s">
        <v>1707</v>
      </c>
      <c r="E1814" t="s">
        <v>179</v>
      </c>
      <c r="F1814" t="s">
        <v>224</v>
      </c>
      <c r="G1814" t="s">
        <v>111</v>
      </c>
      <c r="H1814" t="s">
        <v>125</v>
      </c>
      <c r="I1814">
        <v>2016</v>
      </c>
      <c r="J1814" t="s">
        <v>225</v>
      </c>
      <c r="K1814" t="s">
        <v>127</v>
      </c>
      <c r="L1814" t="s">
        <v>2073</v>
      </c>
      <c r="M1814" t="s">
        <v>2093</v>
      </c>
      <c r="N1814">
        <v>1</v>
      </c>
      <c r="O1814">
        <v>2020</v>
      </c>
      <c r="P1814">
        <v>1341.294982163728</v>
      </c>
      <c r="Q1814">
        <v>4.3808079625411702</v>
      </c>
      <c r="R1814" t="s">
        <v>109</v>
      </c>
      <c r="S1814">
        <v>306.1752520614221</v>
      </c>
      <c r="T1814">
        <v>0.98</v>
      </c>
      <c r="U1814" t="s">
        <v>227</v>
      </c>
      <c r="V1814">
        <v>0.98</v>
      </c>
      <c r="W1814">
        <v>15</v>
      </c>
      <c r="X1814">
        <v>30</v>
      </c>
      <c r="Y1814">
        <v>23</v>
      </c>
      <c r="Z1814">
        <v>9.0799342577003436E-2</v>
      </c>
      <c r="AA1814">
        <v>31.536000000000001</v>
      </c>
    </row>
    <row r="1815" spans="1:27" x14ac:dyDescent="0.25">
      <c r="A1815" t="s">
        <v>98</v>
      </c>
      <c r="B1815" t="s">
        <v>99</v>
      </c>
      <c r="C1815" t="s">
        <v>689</v>
      </c>
      <c r="D1815" t="s">
        <v>1707</v>
      </c>
      <c r="E1815" t="s">
        <v>179</v>
      </c>
      <c r="F1815" t="s">
        <v>228</v>
      </c>
      <c r="G1815" t="s">
        <v>103</v>
      </c>
      <c r="H1815" t="s">
        <v>104</v>
      </c>
      <c r="I1815">
        <v>2016</v>
      </c>
      <c r="J1815" t="s">
        <v>229</v>
      </c>
      <c r="K1815" t="s">
        <v>106</v>
      </c>
      <c r="L1815" t="s">
        <v>2073</v>
      </c>
      <c r="M1815" t="s">
        <v>2094</v>
      </c>
      <c r="N1815">
        <v>1</v>
      </c>
      <c r="O1815">
        <v>2020</v>
      </c>
      <c r="P1815">
        <v>2499.6861031233111</v>
      </c>
      <c r="Q1815">
        <v>4.3808079625411702</v>
      </c>
      <c r="R1815" t="s">
        <v>109</v>
      </c>
      <c r="S1815">
        <v>570.59933338719566</v>
      </c>
      <c r="T1815">
        <v>0.8</v>
      </c>
      <c r="U1815" t="s">
        <v>227</v>
      </c>
      <c r="V1815">
        <v>0.8</v>
      </c>
      <c r="W1815">
        <v>16</v>
      </c>
      <c r="X1815">
        <v>27</v>
      </c>
      <c r="Y1815">
        <v>22</v>
      </c>
      <c r="Z1815">
        <v>9.0799342577003436E-2</v>
      </c>
      <c r="AA1815">
        <v>31.536000000000001</v>
      </c>
    </row>
    <row r="1816" spans="1:27" x14ac:dyDescent="0.25">
      <c r="A1816" t="s">
        <v>98</v>
      </c>
      <c r="B1816" t="s">
        <v>99</v>
      </c>
      <c r="C1816" t="s">
        <v>689</v>
      </c>
      <c r="D1816" t="s">
        <v>1707</v>
      </c>
      <c r="E1816" t="s">
        <v>179</v>
      </c>
      <c r="F1816" t="s">
        <v>228</v>
      </c>
      <c r="G1816" t="s">
        <v>111</v>
      </c>
      <c r="H1816" t="s">
        <v>104</v>
      </c>
      <c r="I1816">
        <v>2016</v>
      </c>
      <c r="J1816" t="s">
        <v>231</v>
      </c>
      <c r="K1816" t="s">
        <v>106</v>
      </c>
      <c r="L1816" t="s">
        <v>2073</v>
      </c>
      <c r="M1816" t="s">
        <v>2095</v>
      </c>
      <c r="N1816">
        <v>0</v>
      </c>
      <c r="O1816">
        <v>2020</v>
      </c>
      <c r="P1816">
        <v>3182.5271849521182</v>
      </c>
      <c r="Q1816">
        <v>4.3808079625411702</v>
      </c>
      <c r="R1816" t="s">
        <v>109</v>
      </c>
      <c r="S1816">
        <v>726.47037080028338</v>
      </c>
      <c r="T1816">
        <v>0.92</v>
      </c>
      <c r="U1816" t="s">
        <v>227</v>
      </c>
      <c r="V1816">
        <v>0.92</v>
      </c>
      <c r="W1816">
        <v>16</v>
      </c>
      <c r="X1816">
        <v>27</v>
      </c>
      <c r="Y1816">
        <v>22</v>
      </c>
      <c r="Z1816">
        <v>9.0799342577003436E-2</v>
      </c>
      <c r="AA1816">
        <v>31.536000000000001</v>
      </c>
    </row>
    <row r="1817" spans="1:27" x14ac:dyDescent="0.25">
      <c r="A1817" t="s">
        <v>98</v>
      </c>
      <c r="B1817" t="s">
        <v>99</v>
      </c>
      <c r="C1817" t="s">
        <v>689</v>
      </c>
      <c r="D1817" t="s">
        <v>1707</v>
      </c>
      <c r="E1817" t="s">
        <v>179</v>
      </c>
      <c r="F1817" t="s">
        <v>228</v>
      </c>
      <c r="G1817" t="s">
        <v>111</v>
      </c>
      <c r="H1817" t="s">
        <v>104</v>
      </c>
      <c r="I1817">
        <v>2020</v>
      </c>
      <c r="J1817" t="s">
        <v>233</v>
      </c>
      <c r="K1817" t="s">
        <v>106</v>
      </c>
      <c r="L1817" t="s">
        <v>2073</v>
      </c>
      <c r="M1817" t="s">
        <v>2095</v>
      </c>
      <c r="N1817">
        <v>1</v>
      </c>
      <c r="O1817">
        <v>2020</v>
      </c>
      <c r="P1817">
        <v>3365.4310461562618</v>
      </c>
      <c r="Q1817">
        <v>4.3808079625411702</v>
      </c>
      <c r="R1817" t="s">
        <v>109</v>
      </c>
      <c r="S1817">
        <v>768.22154153593181</v>
      </c>
      <c r="T1817">
        <v>0.92</v>
      </c>
      <c r="U1817" t="s">
        <v>227</v>
      </c>
      <c r="V1817">
        <v>0.92</v>
      </c>
      <c r="W1817">
        <v>16</v>
      </c>
      <c r="X1817">
        <v>27</v>
      </c>
      <c r="Y1817">
        <v>22</v>
      </c>
      <c r="Z1817">
        <v>9.0799342577003436E-2</v>
      </c>
      <c r="AA1817">
        <v>31.536000000000001</v>
      </c>
    </row>
    <row r="1818" spans="1:27" x14ac:dyDescent="0.25">
      <c r="A1818" t="s">
        <v>98</v>
      </c>
      <c r="B1818" t="s">
        <v>99</v>
      </c>
      <c r="C1818" t="s">
        <v>689</v>
      </c>
      <c r="D1818" t="s">
        <v>1707</v>
      </c>
      <c r="E1818" t="s">
        <v>179</v>
      </c>
      <c r="F1818" t="s">
        <v>228</v>
      </c>
      <c r="G1818" t="s">
        <v>114</v>
      </c>
      <c r="H1818" t="s">
        <v>104</v>
      </c>
      <c r="I1818">
        <v>2016</v>
      </c>
      <c r="J1818" t="s">
        <v>234</v>
      </c>
      <c r="K1818" t="s">
        <v>106</v>
      </c>
      <c r="L1818" t="s">
        <v>2073</v>
      </c>
      <c r="M1818" t="s">
        <v>2096</v>
      </c>
      <c r="N1818">
        <v>1</v>
      </c>
      <c r="O1818">
        <v>2020</v>
      </c>
      <c r="P1818">
        <v>3341.043864662377</v>
      </c>
      <c r="Q1818">
        <v>4.3808079625411702</v>
      </c>
      <c r="R1818" t="s">
        <v>109</v>
      </c>
      <c r="S1818">
        <v>762.65471877117875</v>
      </c>
      <c r="T1818">
        <v>0.95</v>
      </c>
      <c r="U1818" t="s">
        <v>227</v>
      </c>
      <c r="V1818">
        <v>0.95</v>
      </c>
      <c r="W1818">
        <v>16</v>
      </c>
      <c r="X1818">
        <v>27</v>
      </c>
      <c r="Y1818">
        <v>22</v>
      </c>
      <c r="Z1818">
        <v>9.0799342577003436E-2</v>
      </c>
      <c r="AA1818">
        <v>31.536000000000001</v>
      </c>
    </row>
    <row r="1819" spans="1:27" x14ac:dyDescent="0.25">
      <c r="A1819" t="s">
        <v>98</v>
      </c>
      <c r="B1819" t="s">
        <v>99</v>
      </c>
      <c r="C1819" t="s">
        <v>689</v>
      </c>
      <c r="D1819" t="s">
        <v>1707</v>
      </c>
      <c r="E1819" t="s">
        <v>179</v>
      </c>
      <c r="F1819" t="s">
        <v>228</v>
      </c>
      <c r="G1819" t="s">
        <v>114</v>
      </c>
      <c r="H1819" t="s">
        <v>104</v>
      </c>
      <c r="I1819">
        <v>2022</v>
      </c>
      <c r="J1819" t="s">
        <v>236</v>
      </c>
      <c r="K1819" t="s">
        <v>106</v>
      </c>
      <c r="L1819" t="s">
        <v>2073</v>
      </c>
      <c r="M1819" t="s">
        <v>2097</v>
      </c>
      <c r="N1819">
        <v>1</v>
      </c>
      <c r="O1819">
        <v>2022</v>
      </c>
      <c r="P1819">
        <v>3341.043864662377</v>
      </c>
      <c r="Q1819">
        <v>4.3808079625411702</v>
      </c>
      <c r="R1819" t="s">
        <v>109</v>
      </c>
      <c r="S1819">
        <v>762.65471877117875</v>
      </c>
      <c r="T1819">
        <v>0.95</v>
      </c>
      <c r="U1819" t="s">
        <v>227</v>
      </c>
      <c r="V1819">
        <v>0.95</v>
      </c>
      <c r="W1819">
        <v>16</v>
      </c>
      <c r="X1819">
        <v>27</v>
      </c>
      <c r="Y1819">
        <v>22</v>
      </c>
      <c r="Z1819">
        <v>9.0799342577003436E-2</v>
      </c>
      <c r="AA1819">
        <v>31.536000000000001</v>
      </c>
    </row>
    <row r="1820" spans="1:27" x14ac:dyDescent="0.25">
      <c r="A1820" t="s">
        <v>98</v>
      </c>
      <c r="B1820" t="s">
        <v>99</v>
      </c>
      <c r="C1820" t="s">
        <v>689</v>
      </c>
      <c r="D1820" t="s">
        <v>1707</v>
      </c>
      <c r="E1820" t="s">
        <v>179</v>
      </c>
      <c r="F1820" t="s">
        <v>228</v>
      </c>
      <c r="G1820" t="s">
        <v>119</v>
      </c>
      <c r="H1820" t="s">
        <v>104</v>
      </c>
      <c r="I1820">
        <v>2016</v>
      </c>
      <c r="J1820" t="s">
        <v>238</v>
      </c>
      <c r="K1820" t="s">
        <v>106</v>
      </c>
      <c r="L1820" t="s">
        <v>2073</v>
      </c>
      <c r="M1820" t="s">
        <v>2098</v>
      </c>
      <c r="N1820">
        <v>1</v>
      </c>
      <c r="O1820">
        <v>2020</v>
      </c>
      <c r="P1820">
        <v>3706.851587070666</v>
      </c>
      <c r="Q1820">
        <v>4.3808079625411702</v>
      </c>
      <c r="R1820" t="s">
        <v>109</v>
      </c>
      <c r="S1820">
        <v>846.15706024247561</v>
      </c>
      <c r="T1820">
        <v>0.99</v>
      </c>
      <c r="U1820" t="s">
        <v>227</v>
      </c>
      <c r="V1820">
        <v>0.99</v>
      </c>
      <c r="W1820">
        <v>16</v>
      </c>
      <c r="X1820">
        <v>27</v>
      </c>
      <c r="Y1820">
        <v>22</v>
      </c>
      <c r="Z1820">
        <v>9.0799342577003436E-2</v>
      </c>
      <c r="AA1820">
        <v>31.536000000000001</v>
      </c>
    </row>
    <row r="1821" spans="1:27" x14ac:dyDescent="0.25">
      <c r="A1821" t="s">
        <v>98</v>
      </c>
      <c r="B1821" t="s">
        <v>99</v>
      </c>
      <c r="C1821" t="s">
        <v>689</v>
      </c>
      <c r="D1821" t="s">
        <v>1707</v>
      </c>
      <c r="E1821" t="s">
        <v>179</v>
      </c>
      <c r="F1821" t="s">
        <v>228</v>
      </c>
      <c r="G1821" t="s">
        <v>119</v>
      </c>
      <c r="H1821" t="s">
        <v>104</v>
      </c>
      <c r="I1821">
        <v>2022</v>
      </c>
      <c r="J1821" t="s">
        <v>240</v>
      </c>
      <c r="K1821" t="s">
        <v>106</v>
      </c>
      <c r="L1821" t="s">
        <v>2073</v>
      </c>
      <c r="M1821" t="s">
        <v>2099</v>
      </c>
      <c r="N1821">
        <v>1</v>
      </c>
      <c r="O1821">
        <v>2022</v>
      </c>
      <c r="P1821">
        <v>3706.851587070666</v>
      </c>
      <c r="Q1821">
        <v>4.3808079625411702</v>
      </c>
      <c r="R1821" t="s">
        <v>109</v>
      </c>
      <c r="S1821">
        <v>846.15706024247561</v>
      </c>
      <c r="T1821">
        <v>0.99</v>
      </c>
      <c r="U1821" t="s">
        <v>227</v>
      </c>
      <c r="V1821">
        <v>0.99</v>
      </c>
      <c r="W1821">
        <v>16</v>
      </c>
      <c r="X1821">
        <v>27</v>
      </c>
      <c r="Y1821">
        <v>22</v>
      </c>
      <c r="Z1821">
        <v>9.0799342577003436E-2</v>
      </c>
      <c r="AA1821">
        <v>31.536000000000001</v>
      </c>
    </row>
    <row r="1822" spans="1:27" x14ac:dyDescent="0.25">
      <c r="A1822" t="s">
        <v>98</v>
      </c>
      <c r="B1822" t="s">
        <v>99</v>
      </c>
      <c r="C1822" t="s">
        <v>689</v>
      </c>
      <c r="D1822" t="s">
        <v>1707</v>
      </c>
      <c r="E1822" t="s">
        <v>179</v>
      </c>
      <c r="F1822" t="s">
        <v>224</v>
      </c>
      <c r="G1822" t="s">
        <v>103</v>
      </c>
      <c r="H1822" t="s">
        <v>104</v>
      </c>
      <c r="I1822">
        <v>2016</v>
      </c>
      <c r="J1822" t="s">
        <v>242</v>
      </c>
      <c r="K1822" t="s">
        <v>106</v>
      </c>
      <c r="L1822" t="s">
        <v>2073</v>
      </c>
      <c r="M1822" t="s">
        <v>2100</v>
      </c>
      <c r="N1822">
        <v>1</v>
      </c>
      <c r="O1822">
        <v>2020</v>
      </c>
      <c r="P1822">
        <v>8748.901360931588</v>
      </c>
      <c r="Q1822">
        <v>4.3808079625411702</v>
      </c>
      <c r="R1822" t="s">
        <v>109</v>
      </c>
      <c r="S1822">
        <v>1997.097666855185</v>
      </c>
      <c r="T1822">
        <v>0.82</v>
      </c>
      <c r="U1822" t="s">
        <v>227</v>
      </c>
      <c r="V1822">
        <v>0.82</v>
      </c>
      <c r="W1822">
        <v>20</v>
      </c>
      <c r="X1822">
        <v>30</v>
      </c>
      <c r="Y1822">
        <v>26</v>
      </c>
      <c r="Z1822">
        <v>9.0799342577003436E-2</v>
      </c>
      <c r="AA1822">
        <v>31.536000000000001</v>
      </c>
    </row>
    <row r="1823" spans="1:27" x14ac:dyDescent="0.25">
      <c r="A1823" t="s">
        <v>98</v>
      </c>
      <c r="B1823" t="s">
        <v>99</v>
      </c>
      <c r="C1823" t="s">
        <v>689</v>
      </c>
      <c r="D1823" t="s">
        <v>1707</v>
      </c>
      <c r="E1823" t="s">
        <v>179</v>
      </c>
      <c r="F1823" t="s">
        <v>224</v>
      </c>
      <c r="G1823" t="s">
        <v>103</v>
      </c>
      <c r="H1823" t="s">
        <v>104</v>
      </c>
      <c r="I1823">
        <v>2021</v>
      </c>
      <c r="J1823" t="s">
        <v>244</v>
      </c>
      <c r="K1823" t="s">
        <v>106</v>
      </c>
      <c r="L1823" t="s">
        <v>2073</v>
      </c>
      <c r="M1823" t="s">
        <v>2101</v>
      </c>
      <c r="N1823">
        <v>1</v>
      </c>
      <c r="O1823">
        <v>2021</v>
      </c>
      <c r="P1823">
        <v>8962.2891990030894</v>
      </c>
      <c r="Q1823">
        <v>4.3808079625411702</v>
      </c>
      <c r="R1823" t="s">
        <v>109</v>
      </c>
      <c r="S1823">
        <v>2045.8073660467751</v>
      </c>
      <c r="T1823">
        <v>0.84</v>
      </c>
      <c r="U1823" t="s">
        <v>227</v>
      </c>
      <c r="V1823">
        <v>0.84</v>
      </c>
      <c r="W1823">
        <v>20</v>
      </c>
      <c r="X1823">
        <v>30</v>
      </c>
      <c r="Y1823">
        <v>26</v>
      </c>
      <c r="Z1823">
        <v>9.0799342577003436E-2</v>
      </c>
      <c r="AA1823">
        <v>31.536000000000001</v>
      </c>
    </row>
    <row r="1824" spans="1:27" x14ac:dyDescent="0.25">
      <c r="A1824" t="s">
        <v>98</v>
      </c>
      <c r="B1824" t="s">
        <v>99</v>
      </c>
      <c r="C1824" t="s">
        <v>689</v>
      </c>
      <c r="D1824" t="s">
        <v>1707</v>
      </c>
      <c r="E1824" t="s">
        <v>179</v>
      </c>
      <c r="F1824" t="s">
        <v>224</v>
      </c>
      <c r="G1824" t="s">
        <v>111</v>
      </c>
      <c r="H1824" t="s">
        <v>104</v>
      </c>
      <c r="I1824">
        <v>2016</v>
      </c>
      <c r="J1824" t="s">
        <v>246</v>
      </c>
      <c r="K1824" t="s">
        <v>106</v>
      </c>
      <c r="L1824" t="s">
        <v>2073</v>
      </c>
      <c r="M1824" t="s">
        <v>2102</v>
      </c>
      <c r="N1824">
        <v>0</v>
      </c>
      <c r="O1824">
        <v>2020</v>
      </c>
      <c r="P1824">
        <v>8748.901360931588</v>
      </c>
      <c r="Q1824">
        <v>4.3808079625411702</v>
      </c>
      <c r="R1824" t="s">
        <v>109</v>
      </c>
      <c r="S1824">
        <v>1997.097666855185</v>
      </c>
      <c r="T1824">
        <v>0.82</v>
      </c>
      <c r="U1824" t="s">
        <v>227</v>
      </c>
      <c r="V1824">
        <v>0.82</v>
      </c>
      <c r="W1824">
        <v>20</v>
      </c>
      <c r="X1824">
        <v>30</v>
      </c>
      <c r="Y1824">
        <v>26</v>
      </c>
      <c r="Z1824">
        <v>9.0799342577003436E-2</v>
      </c>
      <c r="AA1824">
        <v>31.536000000000001</v>
      </c>
    </row>
    <row r="1825" spans="1:27" x14ac:dyDescent="0.25">
      <c r="A1825" t="s">
        <v>98</v>
      </c>
      <c r="B1825" t="s">
        <v>99</v>
      </c>
      <c r="C1825" t="s">
        <v>689</v>
      </c>
      <c r="D1825" t="s">
        <v>1707</v>
      </c>
      <c r="E1825" t="s">
        <v>179</v>
      </c>
      <c r="F1825" t="s">
        <v>224</v>
      </c>
      <c r="G1825" t="s">
        <v>111</v>
      </c>
      <c r="H1825" t="s">
        <v>104</v>
      </c>
      <c r="I1825">
        <v>2020</v>
      </c>
      <c r="J1825" t="s">
        <v>248</v>
      </c>
      <c r="K1825" t="s">
        <v>106</v>
      </c>
      <c r="L1825" t="s">
        <v>2073</v>
      </c>
      <c r="M1825" t="s">
        <v>2102</v>
      </c>
      <c r="N1825">
        <v>1</v>
      </c>
      <c r="O1825">
        <v>2020</v>
      </c>
      <c r="P1825">
        <v>9602.4527132175954</v>
      </c>
      <c r="Q1825">
        <v>4.3808079625411702</v>
      </c>
      <c r="R1825" t="s">
        <v>109</v>
      </c>
      <c r="S1825">
        <v>2191.9364636215441</v>
      </c>
      <c r="T1825">
        <v>0.9</v>
      </c>
      <c r="U1825" t="s">
        <v>227</v>
      </c>
      <c r="V1825">
        <v>0.9</v>
      </c>
      <c r="W1825">
        <v>20</v>
      </c>
      <c r="X1825">
        <v>30</v>
      </c>
      <c r="Y1825">
        <v>26</v>
      </c>
      <c r="Z1825">
        <v>9.0799342577003436E-2</v>
      </c>
      <c r="AA1825">
        <v>31.536000000000001</v>
      </c>
    </row>
    <row r="1826" spans="1:27" x14ac:dyDescent="0.25">
      <c r="A1826" t="s">
        <v>98</v>
      </c>
      <c r="B1826" t="s">
        <v>99</v>
      </c>
      <c r="C1826" t="s">
        <v>689</v>
      </c>
      <c r="D1826" t="s">
        <v>1707</v>
      </c>
      <c r="E1826" t="s">
        <v>179</v>
      </c>
      <c r="F1826" t="s">
        <v>224</v>
      </c>
      <c r="G1826" t="s">
        <v>114</v>
      </c>
      <c r="H1826" t="s">
        <v>104</v>
      </c>
      <c r="I1826">
        <v>2016</v>
      </c>
      <c r="J1826" t="s">
        <v>249</v>
      </c>
      <c r="K1826" t="s">
        <v>106</v>
      </c>
      <c r="L1826" t="s">
        <v>2073</v>
      </c>
      <c r="M1826" t="s">
        <v>2103</v>
      </c>
      <c r="N1826">
        <v>1</v>
      </c>
      <c r="O1826">
        <v>2020</v>
      </c>
      <c r="P1826">
        <v>9602.4527132175954</v>
      </c>
      <c r="Q1826">
        <v>4.3808079625411702</v>
      </c>
      <c r="R1826" t="s">
        <v>109</v>
      </c>
      <c r="S1826">
        <v>2191.9364636215441</v>
      </c>
      <c r="T1826">
        <v>0.9</v>
      </c>
      <c r="U1826" t="s">
        <v>227</v>
      </c>
      <c r="V1826">
        <v>0.9</v>
      </c>
      <c r="W1826">
        <v>20</v>
      </c>
      <c r="X1826">
        <v>30</v>
      </c>
      <c r="Y1826">
        <v>26</v>
      </c>
      <c r="Z1826">
        <v>9.0799342577003436E-2</v>
      </c>
      <c r="AA1826">
        <v>31.536000000000001</v>
      </c>
    </row>
    <row r="1827" spans="1:27" x14ac:dyDescent="0.25">
      <c r="A1827" t="s">
        <v>98</v>
      </c>
      <c r="B1827" t="s">
        <v>99</v>
      </c>
      <c r="C1827" t="s">
        <v>689</v>
      </c>
      <c r="D1827" t="s">
        <v>1707</v>
      </c>
      <c r="E1827" t="s">
        <v>179</v>
      </c>
      <c r="F1827" t="s">
        <v>224</v>
      </c>
      <c r="G1827" t="s">
        <v>119</v>
      </c>
      <c r="H1827" t="s">
        <v>104</v>
      </c>
      <c r="I1827">
        <v>2016</v>
      </c>
      <c r="J1827" t="s">
        <v>251</v>
      </c>
      <c r="K1827" t="s">
        <v>106</v>
      </c>
      <c r="L1827" t="s">
        <v>2073</v>
      </c>
      <c r="M1827" t="s">
        <v>2104</v>
      </c>
      <c r="N1827">
        <v>1</v>
      </c>
      <c r="O1827">
        <v>2020</v>
      </c>
      <c r="P1827">
        <v>10882.779741646609</v>
      </c>
      <c r="Q1827">
        <v>4.3808079625411702</v>
      </c>
      <c r="R1827" t="s">
        <v>109</v>
      </c>
      <c r="S1827">
        <v>2484.1946587710841</v>
      </c>
      <c r="T1827">
        <v>0.97</v>
      </c>
      <c r="U1827" t="s">
        <v>227</v>
      </c>
      <c r="V1827">
        <v>0.97</v>
      </c>
      <c r="W1827">
        <v>20</v>
      </c>
      <c r="X1827">
        <v>30</v>
      </c>
      <c r="Y1827">
        <v>26</v>
      </c>
      <c r="Z1827">
        <v>9.0799342577003436E-2</v>
      </c>
      <c r="AA1827">
        <v>31.536000000000001</v>
      </c>
    </row>
    <row r="1828" spans="1:27" x14ac:dyDescent="0.25">
      <c r="A1828" t="s">
        <v>98</v>
      </c>
      <c r="B1828" t="s">
        <v>99</v>
      </c>
      <c r="C1828" t="s">
        <v>689</v>
      </c>
      <c r="D1828" t="s">
        <v>1707</v>
      </c>
      <c r="E1828" t="s">
        <v>179</v>
      </c>
      <c r="F1828" t="s">
        <v>224</v>
      </c>
      <c r="G1828" t="s">
        <v>119</v>
      </c>
      <c r="H1828" t="s">
        <v>104</v>
      </c>
      <c r="I1828">
        <v>2022</v>
      </c>
      <c r="J1828" t="s">
        <v>253</v>
      </c>
      <c r="K1828" t="s">
        <v>106</v>
      </c>
      <c r="L1828" t="s">
        <v>2073</v>
      </c>
      <c r="M1828" t="s">
        <v>2105</v>
      </c>
      <c r="N1828">
        <v>1</v>
      </c>
      <c r="O1828">
        <v>2022</v>
      </c>
      <c r="P1828">
        <v>10882.779741646609</v>
      </c>
      <c r="Q1828">
        <v>4.3808079625411702</v>
      </c>
      <c r="R1828" t="s">
        <v>109</v>
      </c>
      <c r="S1828">
        <v>2484.1946587710841</v>
      </c>
      <c r="T1828">
        <v>0.97</v>
      </c>
      <c r="U1828" t="s">
        <v>227</v>
      </c>
      <c r="V1828">
        <v>0.97</v>
      </c>
      <c r="W1828">
        <v>20</v>
      </c>
      <c r="X1828">
        <v>30</v>
      </c>
      <c r="Y1828">
        <v>26</v>
      </c>
      <c r="Z1828">
        <v>9.0799342577003436E-2</v>
      </c>
      <c r="AA1828">
        <v>31.536000000000001</v>
      </c>
    </row>
    <row r="1829" spans="1:27" x14ac:dyDescent="0.25">
      <c r="A1829" t="s">
        <v>98</v>
      </c>
      <c r="B1829" t="s">
        <v>99</v>
      </c>
      <c r="C1829" t="s">
        <v>689</v>
      </c>
      <c r="D1829" t="s">
        <v>1707</v>
      </c>
      <c r="E1829" t="s">
        <v>179</v>
      </c>
      <c r="F1829" t="s">
        <v>228</v>
      </c>
      <c r="G1829" t="s">
        <v>103</v>
      </c>
      <c r="H1829" t="s">
        <v>255</v>
      </c>
      <c r="I1829">
        <v>2016</v>
      </c>
      <c r="J1829" t="s">
        <v>256</v>
      </c>
      <c r="K1829" t="s">
        <v>257</v>
      </c>
      <c r="L1829" t="s">
        <v>2073</v>
      </c>
      <c r="M1829" t="s">
        <v>2106</v>
      </c>
      <c r="N1829">
        <v>1</v>
      </c>
      <c r="O1829">
        <v>2020</v>
      </c>
      <c r="P1829">
        <v>5029.8561831139787</v>
      </c>
      <c r="Q1829">
        <v>4.3808079625411702</v>
      </c>
      <c r="R1829" t="s">
        <v>109</v>
      </c>
      <c r="S1829">
        <v>1148.1571952303329</v>
      </c>
      <c r="T1829">
        <v>0.83</v>
      </c>
      <c r="U1829" t="s">
        <v>227</v>
      </c>
      <c r="V1829">
        <v>0.83</v>
      </c>
      <c r="W1829">
        <v>19.7</v>
      </c>
      <c r="X1829">
        <v>33.1</v>
      </c>
      <c r="Y1829">
        <v>27</v>
      </c>
      <c r="Z1829">
        <v>9.0799342577003436E-2</v>
      </c>
      <c r="AA1829">
        <v>31.536000000000001</v>
      </c>
    </row>
    <row r="1830" spans="1:27" x14ac:dyDescent="0.25">
      <c r="A1830" t="s">
        <v>98</v>
      </c>
      <c r="B1830" t="s">
        <v>99</v>
      </c>
      <c r="C1830" t="s">
        <v>689</v>
      </c>
      <c r="D1830" t="s">
        <v>1707</v>
      </c>
      <c r="E1830" t="s">
        <v>179</v>
      </c>
      <c r="F1830" t="s">
        <v>228</v>
      </c>
      <c r="G1830" t="s">
        <v>111</v>
      </c>
      <c r="H1830" t="s">
        <v>255</v>
      </c>
      <c r="I1830">
        <v>2016</v>
      </c>
      <c r="J1830" t="s">
        <v>259</v>
      </c>
      <c r="K1830" t="s">
        <v>257</v>
      </c>
      <c r="L1830" t="s">
        <v>2073</v>
      </c>
      <c r="M1830" t="s">
        <v>2107</v>
      </c>
      <c r="N1830">
        <v>0</v>
      </c>
      <c r="O1830">
        <v>2020</v>
      </c>
      <c r="P1830">
        <v>5029.8561831139787</v>
      </c>
      <c r="Q1830">
        <v>4.3808079625411702</v>
      </c>
      <c r="R1830" t="s">
        <v>109</v>
      </c>
      <c r="S1830">
        <v>1148.1571952303329</v>
      </c>
      <c r="T1830">
        <v>0.83</v>
      </c>
      <c r="U1830" t="s">
        <v>227</v>
      </c>
      <c r="V1830">
        <v>0.83</v>
      </c>
      <c r="W1830">
        <v>19.7</v>
      </c>
      <c r="X1830">
        <v>33.1</v>
      </c>
      <c r="Y1830">
        <v>27</v>
      </c>
      <c r="Z1830">
        <v>9.0799342577003436E-2</v>
      </c>
      <c r="AA1830">
        <v>31.536000000000001</v>
      </c>
    </row>
    <row r="1831" spans="1:27" x14ac:dyDescent="0.25">
      <c r="A1831" t="s">
        <v>98</v>
      </c>
      <c r="B1831" t="s">
        <v>99</v>
      </c>
      <c r="C1831" t="s">
        <v>689</v>
      </c>
      <c r="D1831" t="s">
        <v>1707</v>
      </c>
      <c r="E1831" t="s">
        <v>179</v>
      </c>
      <c r="F1831" t="s">
        <v>228</v>
      </c>
      <c r="G1831" t="s">
        <v>111</v>
      </c>
      <c r="H1831" t="s">
        <v>255</v>
      </c>
      <c r="I1831">
        <v>2020</v>
      </c>
      <c r="J1831" t="s">
        <v>261</v>
      </c>
      <c r="K1831" t="s">
        <v>257</v>
      </c>
      <c r="L1831" t="s">
        <v>2073</v>
      </c>
      <c r="M1831" t="s">
        <v>2107</v>
      </c>
      <c r="N1831">
        <v>1</v>
      </c>
      <c r="O1831">
        <v>2020</v>
      </c>
      <c r="P1831">
        <v>5151.7920905834089</v>
      </c>
      <c r="Q1831">
        <v>4.3808079625411702</v>
      </c>
      <c r="R1831" t="s">
        <v>109</v>
      </c>
      <c r="S1831">
        <v>1175.991309054099</v>
      </c>
      <c r="T1831">
        <v>0.84</v>
      </c>
      <c r="U1831" t="s">
        <v>227</v>
      </c>
      <c r="V1831">
        <v>0.84</v>
      </c>
      <c r="W1831">
        <v>19.7</v>
      </c>
      <c r="X1831">
        <v>33.1</v>
      </c>
      <c r="Y1831">
        <v>27</v>
      </c>
      <c r="Z1831">
        <v>9.0799342577003436E-2</v>
      </c>
      <c r="AA1831">
        <v>31.536000000000001</v>
      </c>
    </row>
    <row r="1832" spans="1:27" x14ac:dyDescent="0.25">
      <c r="A1832" t="s">
        <v>98</v>
      </c>
      <c r="B1832" t="s">
        <v>99</v>
      </c>
      <c r="C1832" t="s">
        <v>689</v>
      </c>
      <c r="D1832" t="s">
        <v>1707</v>
      </c>
      <c r="E1832" t="s">
        <v>179</v>
      </c>
      <c r="F1832" t="s">
        <v>228</v>
      </c>
      <c r="G1832" t="s">
        <v>114</v>
      </c>
      <c r="H1832" t="s">
        <v>255</v>
      </c>
      <c r="I1832">
        <v>2016</v>
      </c>
      <c r="J1832" t="s">
        <v>262</v>
      </c>
      <c r="K1832" t="s">
        <v>257</v>
      </c>
      <c r="L1832" t="s">
        <v>2073</v>
      </c>
      <c r="M1832" t="s">
        <v>2108</v>
      </c>
      <c r="N1832">
        <v>1</v>
      </c>
      <c r="O1832">
        <v>2020</v>
      </c>
      <c r="P1832">
        <v>5304.2119749201956</v>
      </c>
      <c r="Q1832">
        <v>4.3808079625411702</v>
      </c>
      <c r="R1832" t="s">
        <v>109</v>
      </c>
      <c r="S1832">
        <v>1210.7839513338049</v>
      </c>
      <c r="T1832">
        <v>0.85</v>
      </c>
      <c r="U1832" t="s">
        <v>227</v>
      </c>
      <c r="V1832">
        <v>0.85</v>
      </c>
      <c r="W1832">
        <v>19.7</v>
      </c>
      <c r="X1832">
        <v>33.1</v>
      </c>
      <c r="Y1832">
        <v>27</v>
      </c>
      <c r="Z1832">
        <v>9.0799342577003436E-2</v>
      </c>
      <c r="AA1832">
        <v>31.536000000000001</v>
      </c>
    </row>
    <row r="1833" spans="1:27" x14ac:dyDescent="0.25">
      <c r="A1833" t="s">
        <v>98</v>
      </c>
      <c r="B1833" t="s">
        <v>99</v>
      </c>
      <c r="C1833" t="s">
        <v>689</v>
      </c>
      <c r="D1833" t="s">
        <v>1707</v>
      </c>
      <c r="E1833" t="s">
        <v>179</v>
      </c>
      <c r="F1833" t="s">
        <v>228</v>
      </c>
      <c r="G1833" t="s">
        <v>119</v>
      </c>
      <c r="H1833" t="s">
        <v>255</v>
      </c>
      <c r="I1833">
        <v>2016</v>
      </c>
      <c r="J1833" t="s">
        <v>264</v>
      </c>
      <c r="K1833" t="s">
        <v>257</v>
      </c>
      <c r="L1833" t="s">
        <v>2073</v>
      </c>
      <c r="M1833" t="s">
        <v>2109</v>
      </c>
      <c r="N1833">
        <v>0</v>
      </c>
      <c r="O1833">
        <v>2020</v>
      </c>
      <c r="P1833">
        <v>7864.8660317782214</v>
      </c>
      <c r="Q1833">
        <v>4.3808079625411702</v>
      </c>
      <c r="R1833" t="s">
        <v>109</v>
      </c>
      <c r="S1833">
        <v>1795.3003416328841</v>
      </c>
      <c r="T1833">
        <v>0.97</v>
      </c>
      <c r="U1833" t="s">
        <v>227</v>
      </c>
      <c r="V1833">
        <v>0.97</v>
      </c>
      <c r="W1833">
        <v>19.7</v>
      </c>
      <c r="X1833">
        <v>33.1</v>
      </c>
      <c r="Y1833">
        <v>27</v>
      </c>
      <c r="Z1833">
        <v>9.0799342577003436E-2</v>
      </c>
      <c r="AA1833">
        <v>31.536000000000001</v>
      </c>
    </row>
    <row r="1834" spans="1:27" x14ac:dyDescent="0.25">
      <c r="A1834" t="s">
        <v>98</v>
      </c>
      <c r="B1834" t="s">
        <v>99</v>
      </c>
      <c r="C1834" t="s">
        <v>689</v>
      </c>
      <c r="D1834" t="s">
        <v>1707</v>
      </c>
      <c r="E1834" t="s">
        <v>179</v>
      </c>
      <c r="F1834" t="s">
        <v>228</v>
      </c>
      <c r="G1834" t="s">
        <v>119</v>
      </c>
      <c r="H1834" t="s">
        <v>255</v>
      </c>
      <c r="I1834">
        <v>2020</v>
      </c>
      <c r="J1834" t="s">
        <v>266</v>
      </c>
      <c r="K1834" t="s">
        <v>257</v>
      </c>
      <c r="L1834" t="s">
        <v>2073</v>
      </c>
      <c r="M1834" t="s">
        <v>2109</v>
      </c>
      <c r="N1834">
        <v>1</v>
      </c>
      <c r="O1834">
        <v>2020</v>
      </c>
      <c r="P1834">
        <v>7864.8660317782214</v>
      </c>
      <c r="Q1834">
        <v>4.3808079625411702</v>
      </c>
      <c r="R1834" t="s">
        <v>109</v>
      </c>
      <c r="S1834">
        <v>1795.3003416328841</v>
      </c>
      <c r="T1834">
        <v>0.97</v>
      </c>
      <c r="U1834" t="s">
        <v>227</v>
      </c>
      <c r="V1834">
        <v>0.97</v>
      </c>
      <c r="W1834">
        <v>19.7</v>
      </c>
      <c r="X1834">
        <v>33.1</v>
      </c>
      <c r="Y1834">
        <v>27</v>
      </c>
      <c r="Z1834">
        <v>9.0799342577003436E-2</v>
      </c>
      <c r="AA1834">
        <v>31.536000000000001</v>
      </c>
    </row>
    <row r="1835" spans="1:27" x14ac:dyDescent="0.25">
      <c r="A1835" t="s">
        <v>98</v>
      </c>
      <c r="B1835" t="s">
        <v>99</v>
      </c>
      <c r="C1835" t="s">
        <v>689</v>
      </c>
      <c r="D1835" t="s">
        <v>1707</v>
      </c>
      <c r="E1835" t="s">
        <v>179</v>
      </c>
      <c r="F1835" t="s">
        <v>228</v>
      </c>
      <c r="G1835" t="s">
        <v>103</v>
      </c>
      <c r="H1835" t="s">
        <v>156</v>
      </c>
      <c r="I1835">
        <v>2016</v>
      </c>
      <c r="J1835" t="s">
        <v>267</v>
      </c>
      <c r="K1835" t="s">
        <v>158</v>
      </c>
      <c r="L1835" t="s">
        <v>2073</v>
      </c>
      <c r="M1835" t="s">
        <v>2110</v>
      </c>
      <c r="N1835">
        <v>1</v>
      </c>
      <c r="O1835">
        <v>2020</v>
      </c>
      <c r="P1835">
        <v>2499.6861031233111</v>
      </c>
      <c r="Q1835">
        <v>4.3808079625411702</v>
      </c>
      <c r="R1835" t="s">
        <v>109</v>
      </c>
      <c r="S1835">
        <v>570.59933338719566</v>
      </c>
      <c r="T1835">
        <v>0.8</v>
      </c>
      <c r="U1835" t="s">
        <v>227</v>
      </c>
      <c r="V1835">
        <v>0.8</v>
      </c>
      <c r="W1835">
        <v>16</v>
      </c>
      <c r="X1835">
        <v>27</v>
      </c>
      <c r="Y1835">
        <v>22</v>
      </c>
      <c r="Z1835">
        <v>9.0799342577003436E-2</v>
      </c>
      <c r="AA1835">
        <v>31.536000000000001</v>
      </c>
    </row>
    <row r="1836" spans="1:27" x14ac:dyDescent="0.25">
      <c r="A1836" t="s">
        <v>98</v>
      </c>
      <c r="B1836" t="s">
        <v>99</v>
      </c>
      <c r="C1836" t="s">
        <v>689</v>
      </c>
      <c r="D1836" t="s">
        <v>1707</v>
      </c>
      <c r="E1836" t="s">
        <v>179</v>
      </c>
      <c r="F1836" t="s">
        <v>228</v>
      </c>
      <c r="G1836" t="s">
        <v>111</v>
      </c>
      <c r="H1836" t="s">
        <v>156</v>
      </c>
      <c r="I1836">
        <v>2016</v>
      </c>
      <c r="J1836" t="s">
        <v>269</v>
      </c>
      <c r="K1836" t="s">
        <v>158</v>
      </c>
      <c r="L1836" t="s">
        <v>2073</v>
      </c>
      <c r="M1836" t="s">
        <v>2111</v>
      </c>
      <c r="N1836">
        <v>0</v>
      </c>
      <c r="O1836">
        <v>2020</v>
      </c>
      <c r="P1836">
        <v>3182.5271849521182</v>
      </c>
      <c r="Q1836">
        <v>4.3808079625411702</v>
      </c>
      <c r="R1836" t="s">
        <v>109</v>
      </c>
      <c r="S1836">
        <v>726.47037080028338</v>
      </c>
      <c r="T1836">
        <v>0.92</v>
      </c>
      <c r="U1836" t="s">
        <v>227</v>
      </c>
      <c r="V1836">
        <v>0.92</v>
      </c>
      <c r="W1836">
        <v>16</v>
      </c>
      <c r="X1836">
        <v>27</v>
      </c>
      <c r="Y1836">
        <v>22</v>
      </c>
      <c r="Z1836">
        <v>9.0799342577003436E-2</v>
      </c>
      <c r="AA1836">
        <v>31.536000000000001</v>
      </c>
    </row>
    <row r="1837" spans="1:27" x14ac:dyDescent="0.25">
      <c r="A1837" t="s">
        <v>98</v>
      </c>
      <c r="B1837" t="s">
        <v>99</v>
      </c>
      <c r="C1837" t="s">
        <v>689</v>
      </c>
      <c r="D1837" t="s">
        <v>1707</v>
      </c>
      <c r="E1837" t="s">
        <v>179</v>
      </c>
      <c r="F1837" t="s">
        <v>228</v>
      </c>
      <c r="G1837" t="s">
        <v>111</v>
      </c>
      <c r="H1837" t="s">
        <v>156</v>
      </c>
      <c r="I1837">
        <v>2020</v>
      </c>
      <c r="J1837" t="s">
        <v>271</v>
      </c>
      <c r="K1837" t="s">
        <v>158</v>
      </c>
      <c r="L1837" t="s">
        <v>2073</v>
      </c>
      <c r="M1837" t="s">
        <v>2111</v>
      </c>
      <c r="N1837">
        <v>1</v>
      </c>
      <c r="O1837">
        <v>2020</v>
      </c>
      <c r="P1837">
        <v>3365.4310461562618</v>
      </c>
      <c r="Q1837">
        <v>4.3808079625411702</v>
      </c>
      <c r="R1837" t="s">
        <v>109</v>
      </c>
      <c r="S1837">
        <v>768.22154153593181</v>
      </c>
      <c r="T1837">
        <v>0.92</v>
      </c>
      <c r="U1837" t="s">
        <v>227</v>
      </c>
      <c r="V1837">
        <v>0.92</v>
      </c>
      <c r="W1837">
        <v>16</v>
      </c>
      <c r="X1837">
        <v>27</v>
      </c>
      <c r="Y1837">
        <v>22</v>
      </c>
      <c r="Z1837">
        <v>9.0799342577003436E-2</v>
      </c>
      <c r="AA1837">
        <v>31.536000000000001</v>
      </c>
    </row>
    <row r="1838" spans="1:27" x14ac:dyDescent="0.25">
      <c r="A1838" t="s">
        <v>98</v>
      </c>
      <c r="B1838" t="s">
        <v>99</v>
      </c>
      <c r="C1838" t="s">
        <v>689</v>
      </c>
      <c r="D1838" t="s">
        <v>1707</v>
      </c>
      <c r="E1838" t="s">
        <v>179</v>
      </c>
      <c r="F1838" t="s">
        <v>228</v>
      </c>
      <c r="G1838" t="s">
        <v>114</v>
      </c>
      <c r="H1838" t="s">
        <v>156</v>
      </c>
      <c r="I1838">
        <v>2016</v>
      </c>
      <c r="J1838" t="s">
        <v>272</v>
      </c>
      <c r="K1838" t="s">
        <v>158</v>
      </c>
      <c r="L1838" t="s">
        <v>2073</v>
      </c>
      <c r="M1838" t="s">
        <v>2112</v>
      </c>
      <c r="N1838">
        <v>1</v>
      </c>
      <c r="O1838">
        <v>2020</v>
      </c>
      <c r="P1838">
        <v>3341.043864662377</v>
      </c>
      <c r="Q1838">
        <v>4.3808079625411702</v>
      </c>
      <c r="R1838" t="s">
        <v>109</v>
      </c>
      <c r="S1838">
        <v>762.65471877117875</v>
      </c>
      <c r="T1838">
        <v>0.95</v>
      </c>
      <c r="U1838" t="s">
        <v>227</v>
      </c>
      <c r="V1838">
        <v>0.95</v>
      </c>
      <c r="W1838">
        <v>16</v>
      </c>
      <c r="X1838">
        <v>27</v>
      </c>
      <c r="Y1838">
        <v>22</v>
      </c>
      <c r="Z1838">
        <v>9.0799342577003436E-2</v>
      </c>
      <c r="AA1838">
        <v>31.536000000000001</v>
      </c>
    </row>
    <row r="1839" spans="1:27" x14ac:dyDescent="0.25">
      <c r="A1839" t="s">
        <v>98</v>
      </c>
      <c r="B1839" t="s">
        <v>99</v>
      </c>
      <c r="C1839" t="s">
        <v>689</v>
      </c>
      <c r="D1839" t="s">
        <v>1707</v>
      </c>
      <c r="E1839" t="s">
        <v>179</v>
      </c>
      <c r="F1839" t="s">
        <v>228</v>
      </c>
      <c r="G1839" t="s">
        <v>114</v>
      </c>
      <c r="H1839" t="s">
        <v>156</v>
      </c>
      <c r="I1839">
        <v>2022</v>
      </c>
      <c r="J1839" t="s">
        <v>274</v>
      </c>
      <c r="K1839" t="s">
        <v>158</v>
      </c>
      <c r="L1839" t="s">
        <v>2073</v>
      </c>
      <c r="M1839" t="s">
        <v>2113</v>
      </c>
      <c r="N1839">
        <v>1</v>
      </c>
      <c r="O1839">
        <v>2022</v>
      </c>
      <c r="P1839">
        <v>3341.043864662377</v>
      </c>
      <c r="Q1839">
        <v>4.3808079625411702</v>
      </c>
      <c r="R1839" t="s">
        <v>109</v>
      </c>
      <c r="S1839">
        <v>762.65471877117875</v>
      </c>
      <c r="T1839">
        <v>0.95</v>
      </c>
      <c r="U1839" t="s">
        <v>227</v>
      </c>
      <c r="V1839">
        <v>0.95</v>
      </c>
      <c r="W1839">
        <v>16</v>
      </c>
      <c r="X1839">
        <v>27</v>
      </c>
      <c r="Y1839">
        <v>22</v>
      </c>
      <c r="Z1839">
        <v>9.0799342577003436E-2</v>
      </c>
      <c r="AA1839">
        <v>31.536000000000001</v>
      </c>
    </row>
    <row r="1840" spans="1:27" x14ac:dyDescent="0.25">
      <c r="A1840" t="s">
        <v>98</v>
      </c>
      <c r="B1840" t="s">
        <v>99</v>
      </c>
      <c r="C1840" t="s">
        <v>689</v>
      </c>
      <c r="D1840" t="s">
        <v>1707</v>
      </c>
      <c r="E1840" t="s">
        <v>179</v>
      </c>
      <c r="F1840" t="s">
        <v>228</v>
      </c>
      <c r="G1840" t="s">
        <v>119</v>
      </c>
      <c r="H1840" t="s">
        <v>156</v>
      </c>
      <c r="I1840">
        <v>2016</v>
      </c>
      <c r="J1840" t="s">
        <v>276</v>
      </c>
      <c r="K1840" t="s">
        <v>158</v>
      </c>
      <c r="L1840" t="s">
        <v>2073</v>
      </c>
      <c r="M1840" t="s">
        <v>2114</v>
      </c>
      <c r="N1840">
        <v>1</v>
      </c>
      <c r="O1840">
        <v>2020</v>
      </c>
      <c r="P1840">
        <v>3706.851587070666</v>
      </c>
      <c r="Q1840">
        <v>4.3808079625411702</v>
      </c>
      <c r="R1840" t="s">
        <v>109</v>
      </c>
      <c r="S1840">
        <v>846.15706024247561</v>
      </c>
      <c r="T1840">
        <v>0.99</v>
      </c>
      <c r="U1840" t="s">
        <v>227</v>
      </c>
      <c r="V1840">
        <v>0.99</v>
      </c>
      <c r="W1840">
        <v>16</v>
      </c>
      <c r="X1840">
        <v>27</v>
      </c>
      <c r="Y1840">
        <v>22</v>
      </c>
      <c r="Z1840">
        <v>9.0799342577003436E-2</v>
      </c>
      <c r="AA1840">
        <v>31.536000000000001</v>
      </c>
    </row>
    <row r="1841" spans="1:27" x14ac:dyDescent="0.25">
      <c r="A1841" t="s">
        <v>98</v>
      </c>
      <c r="B1841" t="s">
        <v>99</v>
      </c>
      <c r="C1841" t="s">
        <v>689</v>
      </c>
      <c r="D1841" t="s">
        <v>1707</v>
      </c>
      <c r="E1841" t="s">
        <v>179</v>
      </c>
      <c r="F1841" t="s">
        <v>228</v>
      </c>
      <c r="G1841" t="s">
        <v>119</v>
      </c>
      <c r="H1841" t="s">
        <v>156</v>
      </c>
      <c r="I1841">
        <v>2022</v>
      </c>
      <c r="J1841" t="s">
        <v>278</v>
      </c>
      <c r="K1841" t="s">
        <v>158</v>
      </c>
      <c r="L1841" t="s">
        <v>2073</v>
      </c>
      <c r="M1841" t="s">
        <v>2115</v>
      </c>
      <c r="N1841">
        <v>1</v>
      </c>
      <c r="O1841">
        <v>2022</v>
      </c>
      <c r="P1841">
        <v>3706.851587070666</v>
      </c>
      <c r="Q1841">
        <v>4.3808079625411702</v>
      </c>
      <c r="R1841" t="s">
        <v>109</v>
      </c>
      <c r="S1841">
        <v>846.15706024247561</v>
      </c>
      <c r="T1841">
        <v>0.99</v>
      </c>
      <c r="U1841" t="s">
        <v>227</v>
      </c>
      <c r="V1841">
        <v>0.99</v>
      </c>
      <c r="W1841">
        <v>16</v>
      </c>
      <c r="X1841">
        <v>27</v>
      </c>
      <c r="Y1841">
        <v>22</v>
      </c>
      <c r="Z1841">
        <v>9.0799342577003436E-2</v>
      </c>
      <c r="AA1841">
        <v>31.536000000000001</v>
      </c>
    </row>
    <row r="1842" spans="1:27" x14ac:dyDescent="0.25">
      <c r="A1842" t="s">
        <v>98</v>
      </c>
      <c r="B1842" t="s">
        <v>99</v>
      </c>
      <c r="C1842" t="s">
        <v>689</v>
      </c>
      <c r="D1842" t="s">
        <v>1707</v>
      </c>
      <c r="E1842" t="s">
        <v>179</v>
      </c>
      <c r="F1842" t="s">
        <v>228</v>
      </c>
      <c r="G1842" t="s">
        <v>103</v>
      </c>
      <c r="H1842" t="s">
        <v>148</v>
      </c>
      <c r="I1842">
        <v>2016</v>
      </c>
      <c r="J1842" t="s">
        <v>280</v>
      </c>
      <c r="K1842" t="s">
        <v>150</v>
      </c>
      <c r="L1842" t="s">
        <v>2073</v>
      </c>
      <c r="M1842" t="s">
        <v>2116</v>
      </c>
      <c r="N1842">
        <v>1</v>
      </c>
      <c r="O1842">
        <v>2020</v>
      </c>
      <c r="P1842">
        <v>5029.8561831139787</v>
      </c>
      <c r="Q1842">
        <v>4.3808079625411702</v>
      </c>
      <c r="R1842" t="s">
        <v>109</v>
      </c>
      <c r="S1842">
        <v>1148.1571952303329</v>
      </c>
      <c r="T1842">
        <v>0.83</v>
      </c>
      <c r="U1842" t="s">
        <v>227</v>
      </c>
      <c r="V1842">
        <v>0.83</v>
      </c>
      <c r="W1842">
        <v>19.7</v>
      </c>
      <c r="X1842">
        <v>33.1</v>
      </c>
      <c r="Y1842">
        <v>27</v>
      </c>
      <c r="Z1842">
        <v>9.0799342577003436E-2</v>
      </c>
      <c r="AA1842">
        <v>31.536000000000001</v>
      </c>
    </row>
    <row r="1843" spans="1:27" x14ac:dyDescent="0.25">
      <c r="A1843" t="s">
        <v>98</v>
      </c>
      <c r="B1843" t="s">
        <v>99</v>
      </c>
      <c r="C1843" t="s">
        <v>689</v>
      </c>
      <c r="D1843" t="s">
        <v>1707</v>
      </c>
      <c r="E1843" t="s">
        <v>179</v>
      </c>
      <c r="F1843" t="s">
        <v>228</v>
      </c>
      <c r="G1843" t="s">
        <v>111</v>
      </c>
      <c r="H1843" t="s">
        <v>148</v>
      </c>
      <c r="I1843">
        <v>2016</v>
      </c>
      <c r="J1843" t="s">
        <v>282</v>
      </c>
      <c r="K1843" t="s">
        <v>150</v>
      </c>
      <c r="L1843" t="s">
        <v>2073</v>
      </c>
      <c r="M1843" t="s">
        <v>2117</v>
      </c>
      <c r="N1843">
        <v>1</v>
      </c>
      <c r="O1843">
        <v>2020</v>
      </c>
      <c r="P1843">
        <v>5029.8561831139787</v>
      </c>
      <c r="Q1843">
        <v>4.3808079625411702</v>
      </c>
      <c r="R1843" t="s">
        <v>109</v>
      </c>
      <c r="S1843">
        <v>1148.1571952303329</v>
      </c>
      <c r="T1843">
        <v>0.83</v>
      </c>
      <c r="U1843" t="s">
        <v>227</v>
      </c>
      <c r="V1843">
        <v>0.83</v>
      </c>
      <c r="W1843">
        <v>19.7</v>
      </c>
      <c r="X1843">
        <v>33.1</v>
      </c>
      <c r="Y1843">
        <v>27</v>
      </c>
      <c r="Z1843">
        <v>9.0799342577003436E-2</v>
      </c>
      <c r="AA1843">
        <v>31.536000000000001</v>
      </c>
    </row>
    <row r="1844" spans="1:27" x14ac:dyDescent="0.25">
      <c r="A1844" t="s">
        <v>98</v>
      </c>
      <c r="B1844" t="s">
        <v>99</v>
      </c>
      <c r="C1844" t="s">
        <v>689</v>
      </c>
      <c r="D1844" t="s">
        <v>1707</v>
      </c>
      <c r="E1844" t="s">
        <v>179</v>
      </c>
      <c r="F1844" t="s">
        <v>228</v>
      </c>
      <c r="G1844" t="s">
        <v>111</v>
      </c>
      <c r="H1844" t="s">
        <v>148</v>
      </c>
      <c r="I1844">
        <v>2022</v>
      </c>
      <c r="J1844" t="s">
        <v>284</v>
      </c>
      <c r="K1844" t="s">
        <v>150</v>
      </c>
      <c r="L1844" t="s">
        <v>2073</v>
      </c>
      <c r="M1844" t="s">
        <v>2118</v>
      </c>
      <c r="N1844">
        <v>1</v>
      </c>
      <c r="O1844">
        <v>2022</v>
      </c>
      <c r="P1844">
        <v>5151.7920905834089</v>
      </c>
      <c r="Q1844">
        <v>4.3808079625411702</v>
      </c>
      <c r="R1844" t="s">
        <v>109</v>
      </c>
      <c r="S1844">
        <v>1175.991309054099</v>
      </c>
      <c r="T1844">
        <v>0.84</v>
      </c>
      <c r="U1844" t="s">
        <v>227</v>
      </c>
      <c r="V1844">
        <v>0.84</v>
      </c>
      <c r="W1844">
        <v>19.7</v>
      </c>
      <c r="X1844">
        <v>33.1</v>
      </c>
      <c r="Y1844">
        <v>27</v>
      </c>
      <c r="Z1844">
        <v>9.0799342577003436E-2</v>
      </c>
      <c r="AA1844">
        <v>31.536000000000001</v>
      </c>
    </row>
    <row r="1845" spans="1:27" x14ac:dyDescent="0.25">
      <c r="A1845" t="s">
        <v>98</v>
      </c>
      <c r="B1845" t="s">
        <v>99</v>
      </c>
      <c r="C1845" t="s">
        <v>689</v>
      </c>
      <c r="D1845" t="s">
        <v>1707</v>
      </c>
      <c r="E1845" t="s">
        <v>179</v>
      </c>
      <c r="F1845" t="s">
        <v>228</v>
      </c>
      <c r="G1845" t="s">
        <v>114</v>
      </c>
      <c r="H1845" t="s">
        <v>148</v>
      </c>
      <c r="I1845">
        <v>2016</v>
      </c>
      <c r="J1845" t="s">
        <v>286</v>
      </c>
      <c r="K1845" t="s">
        <v>150</v>
      </c>
      <c r="L1845" t="s">
        <v>2073</v>
      </c>
      <c r="M1845" t="s">
        <v>2119</v>
      </c>
      <c r="N1845">
        <v>1</v>
      </c>
      <c r="O1845">
        <v>2020</v>
      </c>
      <c r="P1845">
        <v>5304.2119749201956</v>
      </c>
      <c r="Q1845">
        <v>4.3808079625411702</v>
      </c>
      <c r="R1845" t="s">
        <v>109</v>
      </c>
      <c r="S1845">
        <v>1210.7839513338049</v>
      </c>
      <c r="T1845">
        <v>0.85</v>
      </c>
      <c r="U1845" t="s">
        <v>227</v>
      </c>
      <c r="V1845">
        <v>0.85</v>
      </c>
      <c r="W1845">
        <v>19.7</v>
      </c>
      <c r="X1845">
        <v>33.1</v>
      </c>
      <c r="Y1845">
        <v>27</v>
      </c>
      <c r="Z1845">
        <v>9.0799342577003436E-2</v>
      </c>
      <c r="AA1845">
        <v>31.536000000000001</v>
      </c>
    </row>
    <row r="1846" spans="1:27" x14ac:dyDescent="0.25">
      <c r="A1846" t="s">
        <v>98</v>
      </c>
      <c r="B1846" t="s">
        <v>99</v>
      </c>
      <c r="C1846" t="s">
        <v>689</v>
      </c>
      <c r="D1846" t="s">
        <v>1707</v>
      </c>
      <c r="E1846" t="s">
        <v>179</v>
      </c>
      <c r="F1846" t="s">
        <v>228</v>
      </c>
      <c r="G1846" t="s">
        <v>119</v>
      </c>
      <c r="H1846" t="s">
        <v>148</v>
      </c>
      <c r="I1846">
        <v>2016</v>
      </c>
      <c r="J1846" t="s">
        <v>288</v>
      </c>
      <c r="K1846" t="s">
        <v>150</v>
      </c>
      <c r="L1846" t="s">
        <v>2073</v>
      </c>
      <c r="M1846" t="s">
        <v>2120</v>
      </c>
      <c r="N1846">
        <v>1</v>
      </c>
      <c r="O1846">
        <v>2020</v>
      </c>
      <c r="P1846">
        <v>7864.8660317782214</v>
      </c>
      <c r="Q1846">
        <v>4.3808079625411702</v>
      </c>
      <c r="R1846" t="s">
        <v>109</v>
      </c>
      <c r="S1846">
        <v>1795.3003416328841</v>
      </c>
      <c r="T1846">
        <v>0.97</v>
      </c>
      <c r="U1846" t="s">
        <v>227</v>
      </c>
      <c r="V1846">
        <v>0.97</v>
      </c>
      <c r="W1846">
        <v>19.7</v>
      </c>
      <c r="X1846">
        <v>33.1</v>
      </c>
      <c r="Y1846">
        <v>27</v>
      </c>
      <c r="Z1846">
        <v>9.0799342577003436E-2</v>
      </c>
      <c r="AA1846">
        <v>31.536000000000001</v>
      </c>
    </row>
    <row r="1847" spans="1:27" x14ac:dyDescent="0.25">
      <c r="A1847" t="s">
        <v>98</v>
      </c>
      <c r="B1847" t="s">
        <v>99</v>
      </c>
      <c r="C1847" t="s">
        <v>689</v>
      </c>
      <c r="D1847" t="s">
        <v>1707</v>
      </c>
      <c r="E1847" t="s">
        <v>179</v>
      </c>
      <c r="F1847" t="s">
        <v>228</v>
      </c>
      <c r="G1847" t="s">
        <v>119</v>
      </c>
      <c r="H1847" t="s">
        <v>148</v>
      </c>
      <c r="I1847">
        <v>2022</v>
      </c>
      <c r="J1847" t="s">
        <v>290</v>
      </c>
      <c r="K1847" t="s">
        <v>150</v>
      </c>
      <c r="L1847" t="s">
        <v>2073</v>
      </c>
      <c r="M1847" t="s">
        <v>2121</v>
      </c>
      <c r="N1847">
        <v>1</v>
      </c>
      <c r="O1847">
        <v>2022</v>
      </c>
      <c r="P1847">
        <v>7864.8660317782214</v>
      </c>
      <c r="Q1847">
        <v>4.3808079625411702</v>
      </c>
      <c r="R1847" t="s">
        <v>109</v>
      </c>
      <c r="S1847">
        <v>1795.3003416328841</v>
      </c>
      <c r="T1847">
        <v>0.97</v>
      </c>
      <c r="U1847" t="s">
        <v>227</v>
      </c>
      <c r="V1847">
        <v>0.97</v>
      </c>
      <c r="W1847">
        <v>19.7</v>
      </c>
      <c r="X1847">
        <v>33.1</v>
      </c>
      <c r="Y1847">
        <v>27</v>
      </c>
      <c r="Z1847">
        <v>9.0799342577003436E-2</v>
      </c>
      <c r="AA1847">
        <v>31.536000000000001</v>
      </c>
    </row>
    <row r="1848" spans="1:27" x14ac:dyDescent="0.25">
      <c r="A1848" t="s">
        <v>98</v>
      </c>
      <c r="B1848" t="s">
        <v>99</v>
      </c>
      <c r="C1848" t="s">
        <v>689</v>
      </c>
      <c r="D1848" t="s">
        <v>1707</v>
      </c>
      <c r="E1848" t="s">
        <v>179</v>
      </c>
      <c r="F1848" t="s">
        <v>224</v>
      </c>
      <c r="G1848" t="s">
        <v>103</v>
      </c>
      <c r="H1848" t="s">
        <v>148</v>
      </c>
      <c r="I1848">
        <v>2016</v>
      </c>
      <c r="J1848" t="s">
        <v>292</v>
      </c>
      <c r="K1848" t="s">
        <v>150</v>
      </c>
      <c r="L1848" t="s">
        <v>2073</v>
      </c>
      <c r="M1848" t="s">
        <v>2122</v>
      </c>
      <c r="N1848">
        <v>1</v>
      </c>
      <c r="O1848">
        <v>2020</v>
      </c>
      <c r="P1848">
        <v>11126.65155658547</v>
      </c>
      <c r="Q1848">
        <v>4.3808079625411702</v>
      </c>
      <c r="R1848" t="s">
        <v>109</v>
      </c>
      <c r="S1848">
        <v>2539.8628864186148</v>
      </c>
      <c r="T1848">
        <v>0.84</v>
      </c>
      <c r="U1848" t="s">
        <v>227</v>
      </c>
      <c r="V1848">
        <v>0.84</v>
      </c>
      <c r="W1848">
        <v>18</v>
      </c>
      <c r="X1848">
        <v>28</v>
      </c>
      <c r="Y1848">
        <v>24</v>
      </c>
      <c r="Z1848">
        <v>9.0799342577003436E-2</v>
      </c>
      <c r="AA1848">
        <v>31.536000000000001</v>
      </c>
    </row>
    <row r="1849" spans="1:27" x14ac:dyDescent="0.25">
      <c r="A1849" t="s">
        <v>98</v>
      </c>
      <c r="B1849" t="s">
        <v>99</v>
      </c>
      <c r="C1849" t="s">
        <v>689</v>
      </c>
      <c r="D1849" t="s">
        <v>1707</v>
      </c>
      <c r="E1849" t="s">
        <v>179</v>
      </c>
      <c r="F1849" t="s">
        <v>224</v>
      </c>
      <c r="G1849" t="s">
        <v>103</v>
      </c>
      <c r="H1849" t="s">
        <v>148</v>
      </c>
      <c r="I1849">
        <v>2022</v>
      </c>
      <c r="J1849" t="s">
        <v>294</v>
      </c>
      <c r="K1849" t="s">
        <v>150</v>
      </c>
      <c r="L1849" t="s">
        <v>2073</v>
      </c>
      <c r="M1849" t="s">
        <v>2123</v>
      </c>
      <c r="N1849">
        <v>1</v>
      </c>
      <c r="O1849">
        <v>2022</v>
      </c>
      <c r="P1849">
        <v>11492.45927899376</v>
      </c>
      <c r="Q1849">
        <v>4.3808079625411702</v>
      </c>
      <c r="R1849" t="s">
        <v>109</v>
      </c>
      <c r="S1849">
        <v>2623.3652278899121</v>
      </c>
      <c r="T1849">
        <v>0.86</v>
      </c>
      <c r="U1849" t="s">
        <v>227</v>
      </c>
      <c r="V1849">
        <v>0.86</v>
      </c>
      <c r="W1849">
        <v>18</v>
      </c>
      <c r="X1849">
        <v>28</v>
      </c>
      <c r="Y1849">
        <v>24</v>
      </c>
      <c r="Z1849">
        <v>9.0799342577003436E-2</v>
      </c>
      <c r="AA1849">
        <v>31.536000000000001</v>
      </c>
    </row>
    <row r="1850" spans="1:27" x14ac:dyDescent="0.25">
      <c r="A1850" t="s">
        <v>98</v>
      </c>
      <c r="B1850" t="s">
        <v>99</v>
      </c>
      <c r="C1850" t="s">
        <v>689</v>
      </c>
      <c r="D1850" t="s">
        <v>1707</v>
      </c>
      <c r="E1850" t="s">
        <v>179</v>
      </c>
      <c r="F1850" t="s">
        <v>224</v>
      </c>
      <c r="G1850" t="s">
        <v>111</v>
      </c>
      <c r="H1850" t="s">
        <v>148</v>
      </c>
      <c r="I1850">
        <v>2016</v>
      </c>
      <c r="J1850" t="s">
        <v>296</v>
      </c>
      <c r="K1850" t="s">
        <v>150</v>
      </c>
      <c r="L1850" t="s">
        <v>2073</v>
      </c>
      <c r="M1850" t="s">
        <v>2124</v>
      </c>
      <c r="N1850">
        <v>1</v>
      </c>
      <c r="O1850">
        <v>2020</v>
      </c>
      <c r="P1850">
        <v>11126.65155658547</v>
      </c>
      <c r="Q1850">
        <v>4.3808079625411702</v>
      </c>
      <c r="R1850" t="s">
        <v>109</v>
      </c>
      <c r="S1850">
        <v>2539.8628864186148</v>
      </c>
      <c r="T1850">
        <v>0.84</v>
      </c>
      <c r="U1850" t="s">
        <v>227</v>
      </c>
      <c r="V1850">
        <v>0.84</v>
      </c>
      <c r="W1850">
        <v>18</v>
      </c>
      <c r="X1850">
        <v>28</v>
      </c>
      <c r="Y1850">
        <v>24</v>
      </c>
      <c r="Z1850">
        <v>9.0799342577003436E-2</v>
      </c>
      <c r="AA1850">
        <v>31.536000000000001</v>
      </c>
    </row>
    <row r="1851" spans="1:27" x14ac:dyDescent="0.25">
      <c r="A1851" t="s">
        <v>98</v>
      </c>
      <c r="B1851" t="s">
        <v>99</v>
      </c>
      <c r="C1851" t="s">
        <v>689</v>
      </c>
      <c r="D1851" t="s">
        <v>1707</v>
      </c>
      <c r="E1851" t="s">
        <v>179</v>
      </c>
      <c r="F1851" t="s">
        <v>224</v>
      </c>
      <c r="G1851" t="s">
        <v>111</v>
      </c>
      <c r="H1851" t="s">
        <v>148</v>
      </c>
      <c r="I1851">
        <v>2022</v>
      </c>
      <c r="J1851" t="s">
        <v>298</v>
      </c>
      <c r="K1851" t="s">
        <v>150</v>
      </c>
      <c r="L1851" t="s">
        <v>2073</v>
      </c>
      <c r="M1851" t="s">
        <v>2125</v>
      </c>
      <c r="N1851">
        <v>1</v>
      </c>
      <c r="O1851">
        <v>2022</v>
      </c>
      <c r="P1851">
        <v>11492.45927899376</v>
      </c>
      <c r="Q1851">
        <v>4.3808079625411702</v>
      </c>
      <c r="R1851" t="s">
        <v>109</v>
      </c>
      <c r="S1851">
        <v>2623.3652278899121</v>
      </c>
      <c r="T1851">
        <v>0.86</v>
      </c>
      <c r="U1851" t="s">
        <v>227</v>
      </c>
      <c r="V1851">
        <v>0.86</v>
      </c>
      <c r="W1851">
        <v>18</v>
      </c>
      <c r="X1851">
        <v>28</v>
      </c>
      <c r="Y1851">
        <v>24</v>
      </c>
      <c r="Z1851">
        <v>9.0799342577003436E-2</v>
      </c>
      <c r="AA1851">
        <v>31.536000000000001</v>
      </c>
    </row>
    <row r="1852" spans="1:27" x14ac:dyDescent="0.25">
      <c r="A1852" t="s">
        <v>98</v>
      </c>
      <c r="B1852" t="s">
        <v>99</v>
      </c>
      <c r="C1852" t="s">
        <v>689</v>
      </c>
      <c r="D1852" t="s">
        <v>1707</v>
      </c>
      <c r="E1852" t="s">
        <v>179</v>
      </c>
      <c r="F1852" t="s">
        <v>224</v>
      </c>
      <c r="G1852" t="s">
        <v>114</v>
      </c>
      <c r="H1852" t="s">
        <v>148</v>
      </c>
      <c r="I1852">
        <v>2016</v>
      </c>
      <c r="J1852" t="s">
        <v>300</v>
      </c>
      <c r="K1852" t="s">
        <v>150</v>
      </c>
      <c r="L1852" t="s">
        <v>2073</v>
      </c>
      <c r="M1852" t="s">
        <v>2126</v>
      </c>
      <c r="N1852">
        <v>1</v>
      </c>
      <c r="O1852">
        <v>2020</v>
      </c>
      <c r="P1852">
        <v>11492.45927899376</v>
      </c>
      <c r="Q1852">
        <v>4.3808079625411702</v>
      </c>
      <c r="R1852" t="s">
        <v>109</v>
      </c>
      <c r="S1852">
        <v>2623.3652278899121</v>
      </c>
      <c r="T1852">
        <v>0.87</v>
      </c>
      <c r="U1852" t="s">
        <v>227</v>
      </c>
      <c r="V1852">
        <v>0.87</v>
      </c>
      <c r="W1852">
        <v>18</v>
      </c>
      <c r="X1852">
        <v>28</v>
      </c>
      <c r="Y1852">
        <v>24</v>
      </c>
      <c r="Z1852">
        <v>9.0799342577003436E-2</v>
      </c>
      <c r="AA1852">
        <v>31.536000000000001</v>
      </c>
    </row>
    <row r="1853" spans="1:27" x14ac:dyDescent="0.25">
      <c r="A1853" t="s">
        <v>98</v>
      </c>
      <c r="B1853" t="s">
        <v>99</v>
      </c>
      <c r="C1853" t="s">
        <v>689</v>
      </c>
      <c r="D1853" t="s">
        <v>1707</v>
      </c>
      <c r="E1853" t="s">
        <v>179</v>
      </c>
      <c r="F1853" t="s">
        <v>224</v>
      </c>
      <c r="G1853" t="s">
        <v>119</v>
      </c>
      <c r="H1853" t="s">
        <v>148</v>
      </c>
      <c r="I1853">
        <v>2016</v>
      </c>
      <c r="J1853" t="s">
        <v>302</v>
      </c>
      <c r="K1853" t="s">
        <v>150</v>
      </c>
      <c r="L1853" t="s">
        <v>2073</v>
      </c>
      <c r="M1853" t="s">
        <v>2127</v>
      </c>
      <c r="N1853">
        <v>1</v>
      </c>
      <c r="O1853">
        <v>2020</v>
      </c>
      <c r="P1853">
        <v>13961.66140524971</v>
      </c>
      <c r="Q1853">
        <v>4.3808079625411702</v>
      </c>
      <c r="R1853" t="s">
        <v>109</v>
      </c>
      <c r="S1853">
        <v>3187.0060328211662</v>
      </c>
      <c r="T1853">
        <v>0.9</v>
      </c>
      <c r="U1853" t="s">
        <v>227</v>
      </c>
      <c r="V1853">
        <v>0.9</v>
      </c>
      <c r="W1853">
        <v>18</v>
      </c>
      <c r="X1853">
        <v>28</v>
      </c>
      <c r="Y1853">
        <v>24</v>
      </c>
      <c r="Z1853">
        <v>9.0799342577003436E-2</v>
      </c>
      <c r="AA1853">
        <v>31.536000000000001</v>
      </c>
    </row>
    <row r="1854" spans="1:27" x14ac:dyDescent="0.25">
      <c r="A1854" t="s">
        <v>98</v>
      </c>
      <c r="B1854" t="s">
        <v>99</v>
      </c>
      <c r="C1854" t="s">
        <v>689</v>
      </c>
      <c r="D1854" t="s">
        <v>1707</v>
      </c>
      <c r="E1854" t="s">
        <v>304</v>
      </c>
      <c r="F1854" t="s">
        <v>180</v>
      </c>
      <c r="G1854" t="s">
        <v>111</v>
      </c>
      <c r="H1854" t="s">
        <v>104</v>
      </c>
      <c r="I1854">
        <v>2016</v>
      </c>
      <c r="J1854" t="s">
        <v>305</v>
      </c>
      <c r="K1854" t="s">
        <v>106</v>
      </c>
      <c r="L1854" t="s">
        <v>2128</v>
      </c>
      <c r="M1854" t="s">
        <v>2129</v>
      </c>
      <c r="N1854">
        <v>0</v>
      </c>
      <c r="O1854">
        <v>2020</v>
      </c>
      <c r="P1854">
        <v>8291.641707921226</v>
      </c>
      <c r="Q1854">
        <v>2.0610137692780768</v>
      </c>
      <c r="R1854" t="s">
        <v>109</v>
      </c>
      <c r="S1854">
        <v>4023.0889436636739</v>
      </c>
      <c r="T1854">
        <v>0.6</v>
      </c>
      <c r="U1854" t="s">
        <v>184</v>
      </c>
      <c r="V1854">
        <v>0.6</v>
      </c>
      <c r="W1854">
        <v>12</v>
      </c>
      <c r="X1854">
        <v>18</v>
      </c>
      <c r="Y1854">
        <v>16</v>
      </c>
      <c r="Z1854">
        <v>7.9838654742081211E-2</v>
      </c>
      <c r="AA1854">
        <v>31.536000000000001</v>
      </c>
    </row>
    <row r="1855" spans="1:27" x14ac:dyDescent="0.25">
      <c r="A1855" t="s">
        <v>98</v>
      </c>
      <c r="B1855" t="s">
        <v>99</v>
      </c>
      <c r="C1855" t="s">
        <v>689</v>
      </c>
      <c r="D1855" t="s">
        <v>1707</v>
      </c>
      <c r="E1855" t="s">
        <v>304</v>
      </c>
      <c r="F1855" t="s">
        <v>180</v>
      </c>
      <c r="G1855" t="s">
        <v>111</v>
      </c>
      <c r="H1855" t="s">
        <v>104</v>
      </c>
      <c r="I1855">
        <v>2020</v>
      </c>
      <c r="J1855" t="s">
        <v>308</v>
      </c>
      <c r="K1855" t="s">
        <v>106</v>
      </c>
      <c r="L1855" t="s">
        <v>2128</v>
      </c>
      <c r="M1855" t="s">
        <v>2129</v>
      </c>
      <c r="N1855">
        <v>1</v>
      </c>
      <c r="O1855">
        <v>2020</v>
      </c>
      <c r="P1855">
        <v>8291.641707921226</v>
      </c>
      <c r="Q1855">
        <v>2.0610137692780768</v>
      </c>
      <c r="R1855" t="s">
        <v>109</v>
      </c>
      <c r="S1855">
        <v>4023.0889436636739</v>
      </c>
      <c r="T1855">
        <v>0.7</v>
      </c>
      <c r="U1855" t="s">
        <v>184</v>
      </c>
      <c r="V1855">
        <v>0.7</v>
      </c>
      <c r="W1855">
        <v>12</v>
      </c>
      <c r="X1855">
        <v>18</v>
      </c>
      <c r="Y1855">
        <v>16</v>
      </c>
      <c r="Z1855">
        <v>7.9838654742081211E-2</v>
      </c>
      <c r="AA1855">
        <v>31.536000000000001</v>
      </c>
    </row>
    <row r="1856" spans="1:27" x14ac:dyDescent="0.25">
      <c r="A1856" t="s">
        <v>98</v>
      </c>
      <c r="B1856" t="s">
        <v>99</v>
      </c>
      <c r="C1856" t="s">
        <v>689</v>
      </c>
      <c r="D1856" t="s">
        <v>1707</v>
      </c>
      <c r="E1856" t="s">
        <v>304</v>
      </c>
      <c r="F1856" t="s">
        <v>180</v>
      </c>
      <c r="G1856" t="s">
        <v>103</v>
      </c>
      <c r="H1856" t="s">
        <v>125</v>
      </c>
      <c r="I1856">
        <v>2016</v>
      </c>
      <c r="J1856" t="s">
        <v>309</v>
      </c>
      <c r="K1856" t="s">
        <v>127</v>
      </c>
      <c r="L1856" t="s">
        <v>2128</v>
      </c>
      <c r="M1856" t="s">
        <v>2130</v>
      </c>
      <c r="N1856">
        <v>1</v>
      </c>
      <c r="O1856">
        <v>2020</v>
      </c>
      <c r="P1856">
        <v>2956.9457561336731</v>
      </c>
      <c r="Q1856">
        <v>2.0610137692780768</v>
      </c>
      <c r="R1856" t="s">
        <v>109</v>
      </c>
      <c r="S1856">
        <v>1434.704512997708</v>
      </c>
      <c r="T1856">
        <v>4.1031652989449006</v>
      </c>
      <c r="U1856" t="s">
        <v>184</v>
      </c>
      <c r="V1856">
        <v>4.1031652989449006</v>
      </c>
      <c r="W1856">
        <v>9</v>
      </c>
      <c r="X1856">
        <v>22</v>
      </c>
      <c r="Y1856">
        <v>16</v>
      </c>
      <c r="Z1856">
        <v>7.9838654742081211E-2</v>
      </c>
      <c r="AA1856">
        <v>31.536000000000001</v>
      </c>
    </row>
    <row r="1857" spans="1:27" x14ac:dyDescent="0.25">
      <c r="A1857" t="s">
        <v>98</v>
      </c>
      <c r="B1857" t="s">
        <v>99</v>
      </c>
      <c r="C1857" t="s">
        <v>689</v>
      </c>
      <c r="D1857" t="s">
        <v>1707</v>
      </c>
      <c r="E1857" t="s">
        <v>304</v>
      </c>
      <c r="F1857" t="s">
        <v>180</v>
      </c>
      <c r="G1857" t="s">
        <v>103</v>
      </c>
      <c r="H1857" t="s">
        <v>125</v>
      </c>
      <c r="I1857">
        <v>2023</v>
      </c>
      <c r="J1857" t="s">
        <v>311</v>
      </c>
      <c r="K1857" t="s">
        <v>127</v>
      </c>
      <c r="L1857" t="s">
        <v>2128</v>
      </c>
      <c r="M1857" t="s">
        <v>2131</v>
      </c>
      <c r="N1857">
        <v>1</v>
      </c>
      <c r="O1857">
        <v>2023</v>
      </c>
      <c r="P1857">
        <v>2956.9457561336731</v>
      </c>
      <c r="Q1857">
        <v>2.0610137692780768</v>
      </c>
      <c r="R1857" t="s">
        <v>109</v>
      </c>
      <c r="S1857">
        <v>1434.704512997708</v>
      </c>
      <c r="T1857">
        <v>4.1031652989449006</v>
      </c>
      <c r="U1857" t="s">
        <v>184</v>
      </c>
      <c r="V1857">
        <v>4.1031652989449006</v>
      </c>
      <c r="W1857">
        <v>9</v>
      </c>
      <c r="X1857">
        <v>22</v>
      </c>
      <c r="Y1857">
        <v>16</v>
      </c>
      <c r="Z1857">
        <v>7.9838654742081211E-2</v>
      </c>
      <c r="AA1857">
        <v>31.536000000000001</v>
      </c>
    </row>
    <row r="1858" spans="1:27" x14ac:dyDescent="0.25">
      <c r="A1858" t="s">
        <v>98</v>
      </c>
      <c r="B1858" t="s">
        <v>99</v>
      </c>
      <c r="C1858" t="s">
        <v>689</v>
      </c>
      <c r="D1858" t="s">
        <v>1707</v>
      </c>
      <c r="E1858" t="s">
        <v>304</v>
      </c>
      <c r="F1858" t="s">
        <v>180</v>
      </c>
      <c r="G1858" t="s">
        <v>111</v>
      </c>
      <c r="H1858" t="s">
        <v>125</v>
      </c>
      <c r="I1858">
        <v>2016</v>
      </c>
      <c r="J1858" t="s">
        <v>313</v>
      </c>
      <c r="K1858" t="s">
        <v>127</v>
      </c>
      <c r="L1858" t="s">
        <v>2128</v>
      </c>
      <c r="M1858" t="s">
        <v>2132</v>
      </c>
      <c r="N1858">
        <v>1</v>
      </c>
      <c r="O1858">
        <v>2020</v>
      </c>
      <c r="P1858">
        <v>3109.3656404704602</v>
      </c>
      <c r="Q1858">
        <v>2.0610137692780768</v>
      </c>
      <c r="R1858" t="s">
        <v>109</v>
      </c>
      <c r="S1858">
        <v>1508.658353873878</v>
      </c>
      <c r="T1858">
        <v>4.484173505275499</v>
      </c>
      <c r="U1858" t="s">
        <v>184</v>
      </c>
      <c r="V1858">
        <v>4.484173505275499</v>
      </c>
      <c r="W1858">
        <v>9</v>
      </c>
      <c r="X1858">
        <v>22</v>
      </c>
      <c r="Y1858">
        <v>16</v>
      </c>
      <c r="Z1858">
        <v>7.9838654742081211E-2</v>
      </c>
      <c r="AA1858">
        <v>31.536000000000001</v>
      </c>
    </row>
    <row r="1859" spans="1:27" x14ac:dyDescent="0.25">
      <c r="A1859" t="s">
        <v>98</v>
      </c>
      <c r="B1859" t="s">
        <v>99</v>
      </c>
      <c r="C1859" t="s">
        <v>689</v>
      </c>
      <c r="D1859" t="s">
        <v>1707</v>
      </c>
      <c r="E1859" t="s">
        <v>304</v>
      </c>
      <c r="F1859" t="s">
        <v>180</v>
      </c>
      <c r="G1859" t="s">
        <v>111</v>
      </c>
      <c r="H1859" t="s">
        <v>125</v>
      </c>
      <c r="I1859">
        <v>2023</v>
      </c>
      <c r="J1859" t="s">
        <v>315</v>
      </c>
      <c r="K1859" t="s">
        <v>127</v>
      </c>
      <c r="L1859" t="s">
        <v>2128</v>
      </c>
      <c r="M1859" t="s">
        <v>2133</v>
      </c>
      <c r="N1859">
        <v>1</v>
      </c>
      <c r="O1859">
        <v>2023</v>
      </c>
      <c r="P1859">
        <v>3139.8496173378171</v>
      </c>
      <c r="Q1859">
        <v>2.0610137692780768</v>
      </c>
      <c r="R1859" t="s">
        <v>109</v>
      </c>
      <c r="S1859">
        <v>1523.449122049112</v>
      </c>
      <c r="T1859">
        <v>4.6307151230949586</v>
      </c>
      <c r="U1859" t="s">
        <v>184</v>
      </c>
      <c r="V1859">
        <v>4.6307151230949586</v>
      </c>
      <c r="W1859">
        <v>9</v>
      </c>
      <c r="X1859">
        <v>22</v>
      </c>
      <c r="Y1859">
        <v>16</v>
      </c>
      <c r="Z1859">
        <v>7.9838654742081211E-2</v>
      </c>
      <c r="AA1859">
        <v>31.536000000000001</v>
      </c>
    </row>
    <row r="1860" spans="1:27" x14ac:dyDescent="0.25">
      <c r="A1860" t="s">
        <v>98</v>
      </c>
      <c r="B1860" t="s">
        <v>99</v>
      </c>
      <c r="C1860" t="s">
        <v>689</v>
      </c>
      <c r="D1860" t="s">
        <v>1707</v>
      </c>
      <c r="E1860" t="s">
        <v>304</v>
      </c>
      <c r="F1860" t="s">
        <v>180</v>
      </c>
      <c r="G1860" t="s">
        <v>114</v>
      </c>
      <c r="H1860" t="s">
        <v>125</v>
      </c>
      <c r="I1860">
        <v>2016</v>
      </c>
      <c r="J1860" t="s">
        <v>317</v>
      </c>
      <c r="K1860" t="s">
        <v>127</v>
      </c>
      <c r="L1860" t="s">
        <v>2128</v>
      </c>
      <c r="M1860" t="s">
        <v>2134</v>
      </c>
      <c r="N1860">
        <v>1</v>
      </c>
      <c r="O1860">
        <v>2020</v>
      </c>
      <c r="P1860">
        <v>3017.9137098683868</v>
      </c>
      <c r="Q1860">
        <v>2.0610137692780768</v>
      </c>
      <c r="R1860" t="s">
        <v>109</v>
      </c>
      <c r="S1860">
        <v>1464.286049348176</v>
      </c>
      <c r="T1860">
        <v>4.3962485345838216</v>
      </c>
      <c r="U1860" t="s">
        <v>184</v>
      </c>
      <c r="V1860">
        <v>4.3962485345838216</v>
      </c>
      <c r="W1860">
        <v>9</v>
      </c>
      <c r="X1860">
        <v>22</v>
      </c>
      <c r="Y1860">
        <v>16</v>
      </c>
      <c r="Z1860">
        <v>7.9838654742081211E-2</v>
      </c>
      <c r="AA1860">
        <v>31.536000000000001</v>
      </c>
    </row>
    <row r="1861" spans="1:27" x14ac:dyDescent="0.25">
      <c r="A1861" t="s">
        <v>98</v>
      </c>
      <c r="B1861" t="s">
        <v>99</v>
      </c>
      <c r="C1861" t="s">
        <v>689</v>
      </c>
      <c r="D1861" t="s">
        <v>1707</v>
      </c>
      <c r="E1861" t="s">
        <v>304</v>
      </c>
      <c r="F1861" t="s">
        <v>180</v>
      </c>
      <c r="G1861" t="s">
        <v>114</v>
      </c>
      <c r="H1861" t="s">
        <v>125</v>
      </c>
      <c r="I1861">
        <v>2022</v>
      </c>
      <c r="J1861" t="s">
        <v>319</v>
      </c>
      <c r="K1861" t="s">
        <v>127</v>
      </c>
      <c r="L1861" t="s">
        <v>2128</v>
      </c>
      <c r="M1861" t="s">
        <v>2135</v>
      </c>
      <c r="N1861">
        <v>1</v>
      </c>
      <c r="O1861">
        <v>2022</v>
      </c>
      <c r="P1861">
        <v>3017.9137098683868</v>
      </c>
      <c r="Q1861">
        <v>2.0610137692780768</v>
      </c>
      <c r="R1861" t="s">
        <v>109</v>
      </c>
      <c r="S1861">
        <v>1464.286049348176</v>
      </c>
      <c r="T1861">
        <v>4.3962485345838216</v>
      </c>
      <c r="U1861" t="s">
        <v>184</v>
      </c>
      <c r="V1861">
        <v>4.3962485345838216</v>
      </c>
      <c r="W1861">
        <v>9</v>
      </c>
      <c r="X1861">
        <v>22</v>
      </c>
      <c r="Y1861">
        <v>16</v>
      </c>
      <c r="Z1861">
        <v>7.9838654742081211E-2</v>
      </c>
      <c r="AA1861">
        <v>31.536000000000001</v>
      </c>
    </row>
    <row r="1862" spans="1:27" x14ac:dyDescent="0.25">
      <c r="A1862" t="s">
        <v>98</v>
      </c>
      <c r="B1862" t="s">
        <v>99</v>
      </c>
      <c r="C1862" t="s">
        <v>689</v>
      </c>
      <c r="D1862" t="s">
        <v>1707</v>
      </c>
      <c r="E1862" t="s">
        <v>304</v>
      </c>
      <c r="F1862" t="s">
        <v>180</v>
      </c>
      <c r="G1862" t="s">
        <v>114</v>
      </c>
      <c r="H1862" t="s">
        <v>125</v>
      </c>
      <c r="I1862">
        <v>2023</v>
      </c>
      <c r="J1862" t="s">
        <v>321</v>
      </c>
      <c r="K1862" t="s">
        <v>127</v>
      </c>
      <c r="L1862" t="s">
        <v>2128</v>
      </c>
      <c r="M1862" t="s">
        <v>2136</v>
      </c>
      <c r="N1862">
        <v>1</v>
      </c>
      <c r="O1862">
        <v>2023</v>
      </c>
      <c r="P1862">
        <v>3266.447780092843</v>
      </c>
      <c r="Q1862">
        <v>2.0610137692780768</v>
      </c>
      <c r="R1862" t="s">
        <v>109</v>
      </c>
      <c r="S1862">
        <v>1584.8743122356721</v>
      </c>
      <c r="T1862">
        <v>4.6893317702227444</v>
      </c>
      <c r="U1862" t="s">
        <v>184</v>
      </c>
      <c r="V1862">
        <v>4.6893317702227444</v>
      </c>
      <c r="W1862">
        <v>9</v>
      </c>
      <c r="X1862">
        <v>22</v>
      </c>
      <c r="Y1862">
        <v>16</v>
      </c>
      <c r="Z1862">
        <v>7.9838654742081211E-2</v>
      </c>
      <c r="AA1862">
        <v>31.536000000000001</v>
      </c>
    </row>
    <row r="1863" spans="1:27" x14ac:dyDescent="0.25">
      <c r="A1863" t="s">
        <v>98</v>
      </c>
      <c r="B1863" t="s">
        <v>99</v>
      </c>
      <c r="C1863" t="s">
        <v>689</v>
      </c>
      <c r="D1863" t="s">
        <v>1707</v>
      </c>
      <c r="E1863" t="s">
        <v>304</v>
      </c>
      <c r="F1863" t="s">
        <v>180</v>
      </c>
      <c r="G1863" t="s">
        <v>119</v>
      </c>
      <c r="H1863" t="s">
        <v>125</v>
      </c>
      <c r="I1863">
        <v>2016</v>
      </c>
      <c r="J1863" t="s">
        <v>323</v>
      </c>
      <c r="K1863" t="s">
        <v>127</v>
      </c>
      <c r="L1863" t="s">
        <v>2128</v>
      </c>
      <c r="M1863" t="s">
        <v>2137</v>
      </c>
      <c r="N1863">
        <v>1</v>
      </c>
      <c r="O1863">
        <v>2020</v>
      </c>
      <c r="P1863">
        <v>3719.0451778176089</v>
      </c>
      <c r="Q1863">
        <v>2.0610137692780768</v>
      </c>
      <c r="R1863" t="s">
        <v>109</v>
      </c>
      <c r="S1863">
        <v>1804.47371737856</v>
      </c>
      <c r="T1863">
        <v>5.5685814771395066</v>
      </c>
      <c r="U1863" t="s">
        <v>184</v>
      </c>
      <c r="V1863">
        <v>5.5685814771395066</v>
      </c>
      <c r="W1863">
        <v>9</v>
      </c>
      <c r="X1863">
        <v>22</v>
      </c>
      <c r="Y1863">
        <v>16</v>
      </c>
      <c r="Z1863">
        <v>7.9838654742081211E-2</v>
      </c>
      <c r="AA1863">
        <v>31.536000000000001</v>
      </c>
    </row>
    <row r="1864" spans="1:27" x14ac:dyDescent="0.25">
      <c r="A1864" t="s">
        <v>98</v>
      </c>
      <c r="B1864" t="s">
        <v>99</v>
      </c>
      <c r="C1864" t="s">
        <v>689</v>
      </c>
      <c r="D1864" t="s">
        <v>1707</v>
      </c>
      <c r="E1864" t="s">
        <v>304</v>
      </c>
      <c r="F1864" t="s">
        <v>180</v>
      </c>
      <c r="G1864" t="s">
        <v>119</v>
      </c>
      <c r="H1864" t="s">
        <v>125</v>
      </c>
      <c r="I1864">
        <v>2022</v>
      </c>
      <c r="J1864" t="s">
        <v>325</v>
      </c>
      <c r="K1864" t="s">
        <v>127</v>
      </c>
      <c r="L1864" t="s">
        <v>2128</v>
      </c>
      <c r="M1864" t="s">
        <v>2138</v>
      </c>
      <c r="N1864">
        <v>1</v>
      </c>
      <c r="O1864">
        <v>2022</v>
      </c>
      <c r="P1864">
        <v>3914.784397702746</v>
      </c>
      <c r="Q1864">
        <v>2.0610137692780768</v>
      </c>
      <c r="R1864" t="s">
        <v>109</v>
      </c>
      <c r="S1864">
        <v>1899.446018293221</v>
      </c>
      <c r="T1864">
        <v>5.8616647127784294</v>
      </c>
      <c r="U1864" t="s">
        <v>184</v>
      </c>
      <c r="V1864">
        <v>5.8616647127784294</v>
      </c>
      <c r="W1864">
        <v>9</v>
      </c>
      <c r="X1864">
        <v>22</v>
      </c>
      <c r="Y1864">
        <v>16</v>
      </c>
      <c r="Z1864">
        <v>7.9838654742081211E-2</v>
      </c>
      <c r="AA1864">
        <v>31.536000000000001</v>
      </c>
    </row>
    <row r="1865" spans="1:27" x14ac:dyDescent="0.25">
      <c r="A1865" t="s">
        <v>98</v>
      </c>
      <c r="B1865" t="s">
        <v>99</v>
      </c>
      <c r="C1865" t="s">
        <v>689</v>
      </c>
      <c r="D1865" t="s">
        <v>1707</v>
      </c>
      <c r="E1865" t="s">
        <v>304</v>
      </c>
      <c r="F1865" t="s">
        <v>201</v>
      </c>
      <c r="G1865" t="s">
        <v>103</v>
      </c>
      <c r="H1865" t="s">
        <v>125</v>
      </c>
      <c r="I1865">
        <v>2016</v>
      </c>
      <c r="J1865" t="s">
        <v>327</v>
      </c>
      <c r="K1865" t="s">
        <v>127</v>
      </c>
      <c r="L1865" t="s">
        <v>2128</v>
      </c>
      <c r="M1865" t="s">
        <v>2139</v>
      </c>
      <c r="N1865">
        <v>1</v>
      </c>
      <c r="O1865">
        <v>2020</v>
      </c>
      <c r="P1865">
        <v>9511.0007826155233</v>
      </c>
      <c r="Q1865">
        <v>2.0610137692780768</v>
      </c>
      <c r="R1865" t="s">
        <v>109</v>
      </c>
      <c r="S1865">
        <v>4614.7196706730383</v>
      </c>
      <c r="T1865">
        <v>14.1</v>
      </c>
      <c r="U1865" t="s">
        <v>329</v>
      </c>
      <c r="V1865">
        <v>4.1348973607038122</v>
      </c>
      <c r="W1865">
        <v>8</v>
      </c>
      <c r="X1865">
        <v>20.8</v>
      </c>
      <c r="Y1865">
        <v>15</v>
      </c>
      <c r="Z1865">
        <v>7.9838654742081211E-2</v>
      </c>
      <c r="AA1865">
        <v>31.536000000000001</v>
      </c>
    </row>
    <row r="1866" spans="1:27" x14ac:dyDescent="0.25">
      <c r="A1866" t="s">
        <v>98</v>
      </c>
      <c r="B1866" t="s">
        <v>99</v>
      </c>
      <c r="C1866" t="s">
        <v>689</v>
      </c>
      <c r="D1866" t="s">
        <v>1707</v>
      </c>
      <c r="E1866" t="s">
        <v>304</v>
      </c>
      <c r="F1866" t="s">
        <v>201</v>
      </c>
      <c r="G1866" t="s">
        <v>111</v>
      </c>
      <c r="H1866" t="s">
        <v>125</v>
      </c>
      <c r="I1866">
        <v>2016</v>
      </c>
      <c r="J1866" t="s">
        <v>330</v>
      </c>
      <c r="K1866" t="s">
        <v>127</v>
      </c>
      <c r="L1866" t="s">
        <v>2128</v>
      </c>
      <c r="M1866" t="s">
        <v>2140</v>
      </c>
      <c r="N1866">
        <v>1</v>
      </c>
      <c r="O1866">
        <v>2020</v>
      </c>
      <c r="P1866">
        <v>9846.3245281564559</v>
      </c>
      <c r="Q1866">
        <v>2.0610137692780768</v>
      </c>
      <c r="R1866" t="s">
        <v>109</v>
      </c>
      <c r="S1866">
        <v>4777.4181206006133</v>
      </c>
      <c r="T1866">
        <v>17.3</v>
      </c>
      <c r="U1866" t="s">
        <v>329</v>
      </c>
      <c r="V1866">
        <v>5.0733137829912023</v>
      </c>
      <c r="W1866">
        <v>8</v>
      </c>
      <c r="X1866">
        <v>20.8</v>
      </c>
      <c r="Y1866">
        <v>15</v>
      </c>
      <c r="Z1866">
        <v>7.9838654742081211E-2</v>
      </c>
      <c r="AA1866">
        <v>31.536000000000001</v>
      </c>
    </row>
    <row r="1867" spans="1:27" x14ac:dyDescent="0.25">
      <c r="A1867" t="s">
        <v>98</v>
      </c>
      <c r="B1867" t="s">
        <v>99</v>
      </c>
      <c r="C1867" t="s">
        <v>689</v>
      </c>
      <c r="D1867" t="s">
        <v>1707</v>
      </c>
      <c r="E1867" t="s">
        <v>304</v>
      </c>
      <c r="F1867" t="s">
        <v>201</v>
      </c>
      <c r="G1867" t="s">
        <v>114</v>
      </c>
      <c r="H1867" t="s">
        <v>125</v>
      </c>
      <c r="I1867">
        <v>2016</v>
      </c>
      <c r="J1867" t="s">
        <v>332</v>
      </c>
      <c r="K1867" t="s">
        <v>127</v>
      </c>
      <c r="L1867" t="s">
        <v>2128</v>
      </c>
      <c r="M1867" t="s">
        <v>2141</v>
      </c>
      <c r="N1867">
        <v>0</v>
      </c>
      <c r="O1867">
        <v>2020</v>
      </c>
      <c r="P1867">
        <v>9846.3245281564559</v>
      </c>
      <c r="Q1867">
        <v>2.0610137692780768</v>
      </c>
      <c r="R1867" t="s">
        <v>109</v>
      </c>
      <c r="S1867">
        <v>4777.4181206006133</v>
      </c>
      <c r="T1867">
        <v>17.100000000000001</v>
      </c>
      <c r="U1867" t="s">
        <v>329</v>
      </c>
      <c r="V1867">
        <v>5.0146627565982396</v>
      </c>
      <c r="W1867">
        <v>8</v>
      </c>
      <c r="X1867">
        <v>20.8</v>
      </c>
      <c r="Y1867">
        <v>15</v>
      </c>
      <c r="Z1867">
        <v>7.9838654742081211E-2</v>
      </c>
      <c r="AA1867">
        <v>31.536000000000001</v>
      </c>
    </row>
    <row r="1868" spans="1:27" x14ac:dyDescent="0.25">
      <c r="A1868" t="s">
        <v>98</v>
      </c>
      <c r="B1868" t="s">
        <v>99</v>
      </c>
      <c r="C1868" t="s">
        <v>689</v>
      </c>
      <c r="D1868" t="s">
        <v>1707</v>
      </c>
      <c r="E1868" t="s">
        <v>304</v>
      </c>
      <c r="F1868" t="s">
        <v>201</v>
      </c>
      <c r="G1868" t="s">
        <v>114</v>
      </c>
      <c r="H1868" t="s">
        <v>125</v>
      </c>
      <c r="I1868">
        <v>2020</v>
      </c>
      <c r="J1868" t="s">
        <v>334</v>
      </c>
      <c r="K1868" t="s">
        <v>127</v>
      </c>
      <c r="L1868" t="s">
        <v>2128</v>
      </c>
      <c r="M1868" t="s">
        <v>2141</v>
      </c>
      <c r="N1868">
        <v>1</v>
      </c>
      <c r="O1868">
        <v>2020</v>
      </c>
      <c r="P1868">
        <v>9846.3245281564559</v>
      </c>
      <c r="Q1868">
        <v>2.0610137692780768</v>
      </c>
      <c r="R1868" t="s">
        <v>109</v>
      </c>
      <c r="S1868">
        <v>4777.4181206006133</v>
      </c>
      <c r="T1868">
        <v>17.100000000000001</v>
      </c>
      <c r="U1868" t="s">
        <v>329</v>
      </c>
      <c r="V1868">
        <v>5.0146627565982396</v>
      </c>
      <c r="W1868">
        <v>8</v>
      </c>
      <c r="X1868">
        <v>20.8</v>
      </c>
      <c r="Y1868">
        <v>15</v>
      </c>
      <c r="Z1868">
        <v>7.9838654742081211E-2</v>
      </c>
      <c r="AA1868">
        <v>31.536000000000001</v>
      </c>
    </row>
    <row r="1869" spans="1:27" x14ac:dyDescent="0.25">
      <c r="A1869" t="s">
        <v>98</v>
      </c>
      <c r="B1869" t="s">
        <v>99</v>
      </c>
      <c r="C1869" t="s">
        <v>689</v>
      </c>
      <c r="D1869" t="s">
        <v>1707</v>
      </c>
      <c r="E1869" t="s">
        <v>304</v>
      </c>
      <c r="F1869" t="s">
        <v>201</v>
      </c>
      <c r="G1869" t="s">
        <v>114</v>
      </c>
      <c r="H1869" t="s">
        <v>125</v>
      </c>
      <c r="I1869">
        <v>2022</v>
      </c>
      <c r="J1869" t="s">
        <v>335</v>
      </c>
      <c r="K1869" t="s">
        <v>127</v>
      </c>
      <c r="L1869" t="s">
        <v>2128</v>
      </c>
      <c r="M1869" t="s">
        <v>2142</v>
      </c>
      <c r="N1869">
        <v>1</v>
      </c>
      <c r="O1869">
        <v>2022</v>
      </c>
      <c r="P1869">
        <v>9846.3245281564559</v>
      </c>
      <c r="Q1869">
        <v>2.0610137692780768</v>
      </c>
      <c r="R1869" t="s">
        <v>109</v>
      </c>
      <c r="S1869">
        <v>4777.4181206006133</v>
      </c>
      <c r="T1869">
        <v>17.100000000000001</v>
      </c>
      <c r="U1869" t="s">
        <v>329</v>
      </c>
      <c r="V1869">
        <v>5.0146627565982396</v>
      </c>
      <c r="W1869">
        <v>8</v>
      </c>
      <c r="X1869">
        <v>20.8</v>
      </c>
      <c r="Y1869">
        <v>15</v>
      </c>
      <c r="Z1869">
        <v>7.9838654742081211E-2</v>
      </c>
      <c r="AA1869">
        <v>31.536000000000001</v>
      </c>
    </row>
    <row r="1870" spans="1:27" x14ac:dyDescent="0.25">
      <c r="A1870" t="s">
        <v>98</v>
      </c>
      <c r="B1870" t="s">
        <v>99</v>
      </c>
      <c r="C1870" t="s">
        <v>689</v>
      </c>
      <c r="D1870" t="s">
        <v>1707</v>
      </c>
      <c r="E1870" t="s">
        <v>304</v>
      </c>
      <c r="F1870" t="s">
        <v>201</v>
      </c>
      <c r="G1870" t="s">
        <v>114</v>
      </c>
      <c r="H1870" t="s">
        <v>125</v>
      </c>
      <c r="I1870">
        <v>2023</v>
      </c>
      <c r="J1870" t="s">
        <v>337</v>
      </c>
      <c r="K1870" t="s">
        <v>127</v>
      </c>
      <c r="L1870" t="s">
        <v>2128</v>
      </c>
      <c r="M1870" t="s">
        <v>2143</v>
      </c>
      <c r="N1870">
        <v>1</v>
      </c>
      <c r="O1870">
        <v>2023</v>
      </c>
      <c r="P1870">
        <v>9846.3245281564559</v>
      </c>
      <c r="Q1870">
        <v>2.0610137692780768</v>
      </c>
      <c r="R1870" t="s">
        <v>109</v>
      </c>
      <c r="S1870">
        <v>4777.4181206006133</v>
      </c>
      <c r="T1870">
        <v>17.100000000000001</v>
      </c>
      <c r="U1870" t="s">
        <v>329</v>
      </c>
      <c r="V1870">
        <v>5.0146627565982396</v>
      </c>
      <c r="W1870">
        <v>8</v>
      </c>
      <c r="X1870">
        <v>20.8</v>
      </c>
      <c r="Y1870">
        <v>15</v>
      </c>
      <c r="Z1870">
        <v>7.9838654742081211E-2</v>
      </c>
      <c r="AA1870">
        <v>31.536000000000001</v>
      </c>
    </row>
    <row r="1871" spans="1:27" x14ac:dyDescent="0.25">
      <c r="A1871" t="s">
        <v>98</v>
      </c>
      <c r="B1871" t="s">
        <v>99</v>
      </c>
      <c r="C1871" t="s">
        <v>689</v>
      </c>
      <c r="D1871" t="s">
        <v>1707</v>
      </c>
      <c r="E1871" t="s">
        <v>304</v>
      </c>
      <c r="F1871" t="s">
        <v>201</v>
      </c>
      <c r="G1871" t="s">
        <v>114</v>
      </c>
      <c r="H1871" t="s">
        <v>125</v>
      </c>
      <c r="I1871">
        <v>2024</v>
      </c>
      <c r="J1871" t="s">
        <v>339</v>
      </c>
      <c r="K1871" t="s">
        <v>127</v>
      </c>
      <c r="L1871" t="s">
        <v>2128</v>
      </c>
      <c r="M1871" t="s">
        <v>2144</v>
      </c>
      <c r="N1871">
        <v>1</v>
      </c>
      <c r="O1871">
        <v>2024</v>
      </c>
      <c r="P1871">
        <v>9846.3245281564559</v>
      </c>
      <c r="Q1871">
        <v>2.0610137692780768</v>
      </c>
      <c r="R1871" t="s">
        <v>109</v>
      </c>
      <c r="S1871">
        <v>4777.4181206006133</v>
      </c>
      <c r="T1871">
        <v>17.100000000000001</v>
      </c>
      <c r="U1871" t="s">
        <v>329</v>
      </c>
      <c r="V1871">
        <v>5.0146627565982396</v>
      </c>
      <c r="W1871">
        <v>8</v>
      </c>
      <c r="X1871">
        <v>20.8</v>
      </c>
      <c r="Y1871">
        <v>15</v>
      </c>
      <c r="Z1871">
        <v>7.9838654742081211E-2</v>
      </c>
      <c r="AA1871">
        <v>31.536000000000001</v>
      </c>
    </row>
    <row r="1872" spans="1:27" x14ac:dyDescent="0.25">
      <c r="A1872" t="s">
        <v>98</v>
      </c>
      <c r="B1872" t="s">
        <v>99</v>
      </c>
      <c r="C1872" t="s">
        <v>689</v>
      </c>
      <c r="D1872" t="s">
        <v>1707</v>
      </c>
      <c r="E1872" t="s">
        <v>304</v>
      </c>
      <c r="F1872" t="s">
        <v>201</v>
      </c>
      <c r="G1872" t="s">
        <v>119</v>
      </c>
      <c r="H1872" t="s">
        <v>125</v>
      </c>
      <c r="I1872">
        <v>2016</v>
      </c>
      <c r="J1872" t="s">
        <v>341</v>
      </c>
      <c r="K1872" t="s">
        <v>127</v>
      </c>
      <c r="L1872" t="s">
        <v>2128</v>
      </c>
      <c r="M1872" t="s">
        <v>2145</v>
      </c>
      <c r="N1872">
        <v>0</v>
      </c>
      <c r="O1872">
        <v>2020</v>
      </c>
      <c r="P1872">
        <v>10395.03611176889</v>
      </c>
      <c r="Q1872">
        <v>2.0610137692780768</v>
      </c>
      <c r="R1872" t="s">
        <v>109</v>
      </c>
      <c r="S1872">
        <v>5043.6519477548272</v>
      </c>
      <c r="T1872">
        <v>22.4</v>
      </c>
      <c r="U1872" t="s">
        <v>329</v>
      </c>
      <c r="V1872">
        <v>6.5689149560117297</v>
      </c>
      <c r="W1872">
        <v>8</v>
      </c>
      <c r="X1872">
        <v>20.8</v>
      </c>
      <c r="Y1872">
        <v>15</v>
      </c>
      <c r="Z1872">
        <v>7.9838654742081211E-2</v>
      </c>
      <c r="AA1872">
        <v>31.536000000000001</v>
      </c>
    </row>
    <row r="1873" spans="1:27" x14ac:dyDescent="0.25">
      <c r="A1873" t="s">
        <v>98</v>
      </c>
      <c r="B1873" t="s">
        <v>99</v>
      </c>
      <c r="C1873" t="s">
        <v>689</v>
      </c>
      <c r="D1873" t="s">
        <v>1707</v>
      </c>
      <c r="E1873" t="s">
        <v>304</v>
      </c>
      <c r="F1873" t="s">
        <v>201</v>
      </c>
      <c r="G1873" t="s">
        <v>119</v>
      </c>
      <c r="H1873" t="s">
        <v>125</v>
      </c>
      <c r="I1873">
        <v>2020</v>
      </c>
      <c r="J1873" t="s">
        <v>343</v>
      </c>
      <c r="K1873" t="s">
        <v>127</v>
      </c>
      <c r="L1873" t="s">
        <v>2128</v>
      </c>
      <c r="M1873" t="s">
        <v>2145</v>
      </c>
      <c r="N1873">
        <v>1</v>
      </c>
      <c r="O1873">
        <v>2020</v>
      </c>
      <c r="P1873">
        <v>10395.03611176889</v>
      </c>
      <c r="Q1873">
        <v>2.0610137692780768</v>
      </c>
      <c r="R1873" t="s">
        <v>109</v>
      </c>
      <c r="S1873">
        <v>5043.6519477548272</v>
      </c>
      <c r="T1873">
        <v>22.4</v>
      </c>
      <c r="U1873" t="s">
        <v>329</v>
      </c>
      <c r="V1873">
        <v>6.5689149560117297</v>
      </c>
      <c r="W1873">
        <v>8</v>
      </c>
      <c r="X1873">
        <v>20.8</v>
      </c>
      <c r="Y1873">
        <v>15</v>
      </c>
      <c r="Z1873">
        <v>7.9838654742081211E-2</v>
      </c>
      <c r="AA1873">
        <v>31.536000000000001</v>
      </c>
    </row>
    <row r="1874" spans="1:27" x14ac:dyDescent="0.25">
      <c r="A1874" t="s">
        <v>98</v>
      </c>
      <c r="B1874" t="s">
        <v>99</v>
      </c>
      <c r="C1874" t="s">
        <v>689</v>
      </c>
      <c r="D1874" t="s">
        <v>1707</v>
      </c>
      <c r="E1874" t="s">
        <v>304</v>
      </c>
      <c r="F1874" t="s">
        <v>201</v>
      </c>
      <c r="G1874" t="s">
        <v>119</v>
      </c>
      <c r="H1874" t="s">
        <v>125</v>
      </c>
      <c r="I1874">
        <v>2022</v>
      </c>
      <c r="J1874" t="s">
        <v>344</v>
      </c>
      <c r="K1874" t="s">
        <v>127</v>
      </c>
      <c r="L1874" t="s">
        <v>2128</v>
      </c>
      <c r="M1874" t="s">
        <v>2146</v>
      </c>
      <c r="N1874">
        <v>1</v>
      </c>
      <c r="O1874">
        <v>2022</v>
      </c>
      <c r="P1874">
        <v>10395.03611176889</v>
      </c>
      <c r="Q1874">
        <v>2.0610137692780768</v>
      </c>
      <c r="R1874" t="s">
        <v>109</v>
      </c>
      <c r="S1874">
        <v>5043.6519477548272</v>
      </c>
      <c r="T1874">
        <v>22.4</v>
      </c>
      <c r="U1874" t="s">
        <v>329</v>
      </c>
      <c r="V1874">
        <v>6.5689149560117297</v>
      </c>
      <c r="W1874">
        <v>8</v>
      </c>
      <c r="X1874">
        <v>20.8</v>
      </c>
      <c r="Y1874">
        <v>15</v>
      </c>
      <c r="Z1874">
        <v>7.9838654742081211E-2</v>
      </c>
      <c r="AA1874">
        <v>31.536000000000001</v>
      </c>
    </row>
    <row r="1875" spans="1:27" x14ac:dyDescent="0.25">
      <c r="A1875" t="s">
        <v>98</v>
      </c>
      <c r="B1875" t="s">
        <v>99</v>
      </c>
      <c r="C1875" t="s">
        <v>689</v>
      </c>
      <c r="D1875" t="s">
        <v>1707</v>
      </c>
      <c r="E1875" t="s">
        <v>304</v>
      </c>
      <c r="F1875" t="s">
        <v>201</v>
      </c>
      <c r="G1875" t="s">
        <v>119</v>
      </c>
      <c r="H1875" t="s">
        <v>125</v>
      </c>
      <c r="I1875">
        <v>2023</v>
      </c>
      <c r="J1875" t="s">
        <v>346</v>
      </c>
      <c r="K1875" t="s">
        <v>127</v>
      </c>
      <c r="L1875" t="s">
        <v>2128</v>
      </c>
      <c r="M1875" t="s">
        <v>2147</v>
      </c>
      <c r="N1875">
        <v>1</v>
      </c>
      <c r="O1875">
        <v>2023</v>
      </c>
      <c r="P1875">
        <v>10395.03611176889</v>
      </c>
      <c r="Q1875">
        <v>2.0610137692780768</v>
      </c>
      <c r="R1875" t="s">
        <v>109</v>
      </c>
      <c r="S1875">
        <v>5043.6519477548272</v>
      </c>
      <c r="T1875">
        <v>22.4</v>
      </c>
      <c r="U1875" t="s">
        <v>329</v>
      </c>
      <c r="V1875">
        <v>6.5689149560117297</v>
      </c>
      <c r="W1875">
        <v>8</v>
      </c>
      <c r="X1875">
        <v>20.8</v>
      </c>
      <c r="Y1875">
        <v>15</v>
      </c>
      <c r="Z1875">
        <v>7.9838654742081211E-2</v>
      </c>
      <c r="AA1875">
        <v>31.536000000000001</v>
      </c>
    </row>
    <row r="1876" spans="1:27" x14ac:dyDescent="0.25">
      <c r="A1876" t="s">
        <v>98</v>
      </c>
      <c r="B1876" t="s">
        <v>99</v>
      </c>
      <c r="C1876" t="s">
        <v>689</v>
      </c>
      <c r="D1876" t="s">
        <v>1707</v>
      </c>
      <c r="E1876" t="s">
        <v>304</v>
      </c>
      <c r="F1876" t="s">
        <v>201</v>
      </c>
      <c r="G1876" t="s">
        <v>119</v>
      </c>
      <c r="H1876" t="s">
        <v>125</v>
      </c>
      <c r="I1876">
        <v>2024</v>
      </c>
      <c r="J1876" t="s">
        <v>348</v>
      </c>
      <c r="K1876" t="s">
        <v>127</v>
      </c>
      <c r="L1876" t="s">
        <v>2128</v>
      </c>
      <c r="M1876" t="s">
        <v>2148</v>
      </c>
      <c r="N1876">
        <v>1</v>
      </c>
      <c r="O1876">
        <v>2024</v>
      </c>
      <c r="P1876">
        <v>10395.03611176889</v>
      </c>
      <c r="Q1876">
        <v>2.0610137692780768</v>
      </c>
      <c r="R1876" t="s">
        <v>109</v>
      </c>
      <c r="S1876">
        <v>5043.6519477548272</v>
      </c>
      <c r="T1876">
        <v>22.4</v>
      </c>
      <c r="U1876" t="s">
        <v>329</v>
      </c>
      <c r="V1876">
        <v>6.5689149560117297</v>
      </c>
      <c r="W1876">
        <v>8</v>
      </c>
      <c r="X1876">
        <v>20.8</v>
      </c>
      <c r="Y1876">
        <v>15</v>
      </c>
      <c r="Z1876">
        <v>7.9838654742081211E-2</v>
      </c>
      <c r="AA1876">
        <v>31.536000000000001</v>
      </c>
    </row>
    <row r="1877" spans="1:27" x14ac:dyDescent="0.25">
      <c r="A1877" t="s">
        <v>98</v>
      </c>
      <c r="B1877" t="s">
        <v>99</v>
      </c>
      <c r="C1877" t="s">
        <v>689</v>
      </c>
      <c r="D1877" t="s">
        <v>1707</v>
      </c>
      <c r="E1877" t="s">
        <v>304</v>
      </c>
      <c r="F1877" t="s">
        <v>350</v>
      </c>
      <c r="G1877" t="s">
        <v>103</v>
      </c>
      <c r="H1877" t="s">
        <v>125</v>
      </c>
      <c r="I1877">
        <v>2016</v>
      </c>
      <c r="J1877" t="s">
        <v>351</v>
      </c>
      <c r="K1877" t="s">
        <v>127</v>
      </c>
      <c r="L1877" t="s">
        <v>2128</v>
      </c>
      <c r="M1877" t="s">
        <v>2149</v>
      </c>
      <c r="N1877">
        <v>1</v>
      </c>
      <c r="O1877">
        <v>2020</v>
      </c>
      <c r="P1877">
        <v>756.00262631046473</v>
      </c>
      <c r="Q1877">
        <v>2.0610137692780768</v>
      </c>
      <c r="R1877" t="s">
        <v>109</v>
      </c>
      <c r="S1877">
        <v>366.81105074580557</v>
      </c>
      <c r="T1877">
        <v>3.1946072684642441</v>
      </c>
      <c r="U1877" t="s">
        <v>184</v>
      </c>
      <c r="V1877">
        <v>3.1946072684642441</v>
      </c>
      <c r="W1877">
        <v>6</v>
      </c>
      <c r="X1877">
        <v>13</v>
      </c>
      <c r="Y1877">
        <v>10</v>
      </c>
      <c r="Z1877">
        <v>7.9838654742081211E-2</v>
      </c>
      <c r="AA1877">
        <v>31.536000000000001</v>
      </c>
    </row>
    <row r="1878" spans="1:27" x14ac:dyDescent="0.25">
      <c r="A1878" t="s">
        <v>98</v>
      </c>
      <c r="B1878" t="s">
        <v>99</v>
      </c>
      <c r="C1878" t="s">
        <v>689</v>
      </c>
      <c r="D1878" t="s">
        <v>1707</v>
      </c>
      <c r="E1878" t="s">
        <v>304</v>
      </c>
      <c r="F1878" t="s">
        <v>350</v>
      </c>
      <c r="G1878" t="s">
        <v>111</v>
      </c>
      <c r="H1878" t="s">
        <v>125</v>
      </c>
      <c r="I1878">
        <v>2016</v>
      </c>
      <c r="J1878" t="s">
        <v>353</v>
      </c>
      <c r="K1878" t="s">
        <v>127</v>
      </c>
      <c r="L1878" t="s">
        <v>2128</v>
      </c>
      <c r="M1878" t="s">
        <v>2150</v>
      </c>
      <c r="N1878">
        <v>1</v>
      </c>
      <c r="O1878">
        <v>2020</v>
      </c>
      <c r="P1878">
        <v>780.38980780435065</v>
      </c>
      <c r="Q1878">
        <v>2.0610137692780768</v>
      </c>
      <c r="R1878" t="s">
        <v>109</v>
      </c>
      <c r="S1878">
        <v>378.64366528599288</v>
      </c>
      <c r="T1878">
        <v>3.5169988276670581</v>
      </c>
      <c r="U1878" t="s">
        <v>184</v>
      </c>
      <c r="V1878">
        <v>3.5169988276670581</v>
      </c>
      <c r="W1878">
        <v>6</v>
      </c>
      <c r="X1878">
        <v>13</v>
      </c>
      <c r="Y1878">
        <v>10</v>
      </c>
      <c r="Z1878">
        <v>7.9838654742081211E-2</v>
      </c>
      <c r="AA1878">
        <v>31.536000000000001</v>
      </c>
    </row>
    <row r="1879" spans="1:27" x14ac:dyDescent="0.25">
      <c r="A1879" t="s">
        <v>98</v>
      </c>
      <c r="B1879" t="s">
        <v>99</v>
      </c>
      <c r="C1879" t="s">
        <v>689</v>
      </c>
      <c r="D1879" t="s">
        <v>1707</v>
      </c>
      <c r="E1879" t="s">
        <v>304</v>
      </c>
      <c r="F1879" t="s">
        <v>350</v>
      </c>
      <c r="G1879" t="s">
        <v>111</v>
      </c>
      <c r="H1879" t="s">
        <v>125</v>
      </c>
      <c r="I1879">
        <v>2030</v>
      </c>
      <c r="J1879" t="s">
        <v>355</v>
      </c>
      <c r="K1879" t="s">
        <v>127</v>
      </c>
      <c r="L1879" t="s">
        <v>2128</v>
      </c>
      <c r="M1879" t="s">
        <v>2151</v>
      </c>
      <c r="N1879">
        <v>1</v>
      </c>
      <c r="O1879">
        <v>2030</v>
      </c>
      <c r="P1879">
        <v>780.38980780435065</v>
      </c>
      <c r="Q1879">
        <v>2.0610137692780768</v>
      </c>
      <c r="R1879" t="s">
        <v>109</v>
      </c>
      <c r="S1879">
        <v>378.64366528599288</v>
      </c>
      <c r="T1879">
        <v>3.5902696365767879</v>
      </c>
      <c r="U1879" t="s">
        <v>184</v>
      </c>
      <c r="V1879">
        <v>3.5902696365767879</v>
      </c>
      <c r="W1879">
        <v>6</v>
      </c>
      <c r="X1879">
        <v>13</v>
      </c>
      <c r="Y1879">
        <v>10</v>
      </c>
      <c r="Z1879">
        <v>7.9838654742081211E-2</v>
      </c>
      <c r="AA1879">
        <v>31.536000000000001</v>
      </c>
    </row>
    <row r="1880" spans="1:27" x14ac:dyDescent="0.25">
      <c r="A1880" t="s">
        <v>98</v>
      </c>
      <c r="B1880" t="s">
        <v>99</v>
      </c>
      <c r="C1880" t="s">
        <v>689</v>
      </c>
      <c r="D1880" t="s">
        <v>1707</v>
      </c>
      <c r="E1880" t="s">
        <v>304</v>
      </c>
      <c r="F1880" t="s">
        <v>350</v>
      </c>
      <c r="G1880" t="s">
        <v>111</v>
      </c>
      <c r="H1880" t="s">
        <v>125</v>
      </c>
      <c r="I1880">
        <v>2040</v>
      </c>
      <c r="J1880" t="s">
        <v>357</v>
      </c>
      <c r="K1880" t="s">
        <v>127</v>
      </c>
      <c r="L1880" t="s">
        <v>2128</v>
      </c>
      <c r="M1880" t="s">
        <v>2152</v>
      </c>
      <c r="N1880">
        <v>1</v>
      </c>
      <c r="O1880">
        <v>2040</v>
      </c>
      <c r="P1880">
        <v>780.38980780435065</v>
      </c>
      <c r="Q1880">
        <v>2.0610137692780768</v>
      </c>
      <c r="R1880" t="s">
        <v>109</v>
      </c>
      <c r="S1880">
        <v>378.64366528599288</v>
      </c>
      <c r="T1880">
        <v>3.6635404454865181</v>
      </c>
      <c r="U1880" t="s">
        <v>184</v>
      </c>
      <c r="V1880">
        <v>3.6635404454865181</v>
      </c>
      <c r="W1880">
        <v>6</v>
      </c>
      <c r="X1880">
        <v>13</v>
      </c>
      <c r="Y1880">
        <v>10</v>
      </c>
      <c r="Z1880">
        <v>7.9838654742081211E-2</v>
      </c>
      <c r="AA1880">
        <v>31.536000000000001</v>
      </c>
    </row>
    <row r="1881" spans="1:27" x14ac:dyDescent="0.25">
      <c r="A1881" t="s">
        <v>98</v>
      </c>
      <c r="B1881" t="s">
        <v>99</v>
      </c>
      <c r="C1881" t="s">
        <v>689</v>
      </c>
      <c r="D1881" t="s">
        <v>1707</v>
      </c>
      <c r="E1881" t="s">
        <v>304</v>
      </c>
      <c r="F1881" t="s">
        <v>350</v>
      </c>
      <c r="G1881" t="s">
        <v>114</v>
      </c>
      <c r="H1881" t="s">
        <v>125</v>
      </c>
      <c r="I1881">
        <v>2016</v>
      </c>
      <c r="J1881" t="s">
        <v>359</v>
      </c>
      <c r="K1881" t="s">
        <v>127</v>
      </c>
      <c r="L1881" t="s">
        <v>2128</v>
      </c>
      <c r="M1881" t="s">
        <v>2153</v>
      </c>
      <c r="N1881">
        <v>1</v>
      </c>
      <c r="O1881">
        <v>2020</v>
      </c>
      <c r="P1881">
        <v>780.38980780435065</v>
      </c>
      <c r="Q1881">
        <v>2.0610137692780768</v>
      </c>
      <c r="R1881" t="s">
        <v>109</v>
      </c>
      <c r="S1881">
        <v>378.64366528599288</v>
      </c>
      <c r="T1881">
        <v>3.5169988276670581</v>
      </c>
      <c r="U1881" t="s">
        <v>184</v>
      </c>
      <c r="V1881">
        <v>3.5169988276670581</v>
      </c>
      <c r="W1881">
        <v>6</v>
      </c>
      <c r="X1881">
        <v>13</v>
      </c>
      <c r="Y1881">
        <v>10</v>
      </c>
      <c r="Z1881">
        <v>7.9838654742081211E-2</v>
      </c>
      <c r="AA1881">
        <v>31.536000000000001</v>
      </c>
    </row>
    <row r="1882" spans="1:27" x14ac:dyDescent="0.25">
      <c r="A1882" t="s">
        <v>98</v>
      </c>
      <c r="B1882" t="s">
        <v>99</v>
      </c>
      <c r="C1882" t="s">
        <v>689</v>
      </c>
      <c r="D1882" t="s">
        <v>1707</v>
      </c>
      <c r="E1882" t="s">
        <v>304</v>
      </c>
      <c r="F1882" t="s">
        <v>350</v>
      </c>
      <c r="G1882" t="s">
        <v>119</v>
      </c>
      <c r="H1882" t="s">
        <v>125</v>
      </c>
      <c r="I1882">
        <v>2016</v>
      </c>
      <c r="J1882" t="s">
        <v>361</v>
      </c>
      <c r="K1882" t="s">
        <v>127</v>
      </c>
      <c r="L1882" t="s">
        <v>2128</v>
      </c>
      <c r="M1882" t="s">
        <v>2154</v>
      </c>
      <c r="N1882">
        <v>1</v>
      </c>
      <c r="O1882">
        <v>2020</v>
      </c>
      <c r="P1882">
        <v>859.64814765948006</v>
      </c>
      <c r="Q1882">
        <v>2.0610137692780768</v>
      </c>
      <c r="R1882" t="s">
        <v>109</v>
      </c>
      <c r="S1882">
        <v>417.09966254160162</v>
      </c>
      <c r="T1882">
        <v>3.6049237983587341</v>
      </c>
      <c r="U1882" t="s">
        <v>184</v>
      </c>
      <c r="V1882">
        <v>3.6049237983587341</v>
      </c>
      <c r="W1882">
        <v>6</v>
      </c>
      <c r="X1882">
        <v>13</v>
      </c>
      <c r="Y1882">
        <v>10</v>
      </c>
      <c r="Z1882">
        <v>7.9838654742081211E-2</v>
      </c>
      <c r="AA1882">
        <v>31.536000000000001</v>
      </c>
    </row>
    <row r="1883" spans="1:27" x14ac:dyDescent="0.25">
      <c r="A1883" t="s">
        <v>98</v>
      </c>
      <c r="B1883" t="s">
        <v>99</v>
      </c>
      <c r="C1883" t="s">
        <v>689</v>
      </c>
      <c r="D1883" t="s">
        <v>1707</v>
      </c>
      <c r="E1883" t="s">
        <v>304</v>
      </c>
      <c r="F1883" t="s">
        <v>350</v>
      </c>
      <c r="G1883" t="s">
        <v>119</v>
      </c>
      <c r="H1883" t="s">
        <v>125</v>
      </c>
      <c r="I1883">
        <v>2022</v>
      </c>
      <c r="J1883" t="s">
        <v>363</v>
      </c>
      <c r="K1883" t="s">
        <v>127</v>
      </c>
      <c r="L1883" t="s">
        <v>2128</v>
      </c>
      <c r="M1883" t="s">
        <v>2155</v>
      </c>
      <c r="N1883">
        <v>1</v>
      </c>
      <c r="O1883">
        <v>2022</v>
      </c>
      <c r="P1883">
        <v>859.64814765948006</v>
      </c>
      <c r="Q1883">
        <v>2.0610137692780768</v>
      </c>
      <c r="R1883" t="s">
        <v>109</v>
      </c>
      <c r="S1883">
        <v>417.09966254160162</v>
      </c>
      <c r="T1883">
        <v>3.6635404454865181</v>
      </c>
      <c r="U1883" t="s">
        <v>184</v>
      </c>
      <c r="V1883">
        <v>3.6635404454865181</v>
      </c>
      <c r="W1883">
        <v>6</v>
      </c>
      <c r="X1883">
        <v>13</v>
      </c>
      <c r="Y1883">
        <v>10</v>
      </c>
      <c r="Z1883">
        <v>7.9838654742081211E-2</v>
      </c>
      <c r="AA1883">
        <v>31.536000000000001</v>
      </c>
    </row>
    <row r="1884" spans="1:27" x14ac:dyDescent="0.25">
      <c r="A1884" t="s">
        <v>98</v>
      </c>
      <c r="B1884" t="s">
        <v>99</v>
      </c>
      <c r="C1884" t="s">
        <v>689</v>
      </c>
      <c r="D1884" t="s">
        <v>1707</v>
      </c>
      <c r="E1884" t="s">
        <v>304</v>
      </c>
      <c r="F1884" t="s">
        <v>350</v>
      </c>
      <c r="G1884" t="s">
        <v>119</v>
      </c>
      <c r="H1884" t="s">
        <v>125</v>
      </c>
      <c r="I1884">
        <v>2030</v>
      </c>
      <c r="J1884" t="s">
        <v>365</v>
      </c>
      <c r="K1884" t="s">
        <v>127</v>
      </c>
      <c r="L1884" t="s">
        <v>2128</v>
      </c>
      <c r="M1884" t="s">
        <v>2156</v>
      </c>
      <c r="N1884">
        <v>1</v>
      </c>
      <c r="O1884">
        <v>2030</v>
      </c>
      <c r="P1884">
        <v>859.64814765948006</v>
      </c>
      <c r="Q1884">
        <v>2.0610137692780768</v>
      </c>
      <c r="R1884" t="s">
        <v>109</v>
      </c>
      <c r="S1884">
        <v>417.09966254160162</v>
      </c>
      <c r="T1884">
        <v>3.8100820633059791</v>
      </c>
      <c r="U1884" t="s">
        <v>184</v>
      </c>
      <c r="V1884">
        <v>3.8100820633059791</v>
      </c>
      <c r="W1884">
        <v>6</v>
      </c>
      <c r="X1884">
        <v>13</v>
      </c>
      <c r="Y1884">
        <v>10</v>
      </c>
      <c r="Z1884">
        <v>7.9838654742081211E-2</v>
      </c>
      <c r="AA1884">
        <v>31.536000000000001</v>
      </c>
    </row>
    <row r="1885" spans="1:27" x14ac:dyDescent="0.25">
      <c r="A1885" t="s">
        <v>98</v>
      </c>
      <c r="B1885" t="s">
        <v>99</v>
      </c>
      <c r="C1885" t="s">
        <v>689</v>
      </c>
      <c r="D1885" t="s">
        <v>1707</v>
      </c>
      <c r="E1885" t="s">
        <v>304</v>
      </c>
      <c r="F1885" t="s">
        <v>350</v>
      </c>
      <c r="G1885" t="s">
        <v>119</v>
      </c>
      <c r="H1885" t="s">
        <v>125</v>
      </c>
      <c r="I1885">
        <v>2040</v>
      </c>
      <c r="J1885" t="s">
        <v>367</v>
      </c>
      <c r="K1885" t="s">
        <v>127</v>
      </c>
      <c r="L1885" t="s">
        <v>2128</v>
      </c>
      <c r="M1885" t="s">
        <v>2157</v>
      </c>
      <c r="N1885">
        <v>1</v>
      </c>
      <c r="O1885">
        <v>2040</v>
      </c>
      <c r="P1885">
        <v>859.64814765948006</v>
      </c>
      <c r="Q1885">
        <v>2.0610137692780768</v>
      </c>
      <c r="R1885" t="s">
        <v>109</v>
      </c>
      <c r="S1885">
        <v>417.09966254160162</v>
      </c>
      <c r="T1885">
        <v>3.9566236811254401</v>
      </c>
      <c r="U1885" t="s">
        <v>184</v>
      </c>
      <c r="V1885">
        <v>3.9566236811254401</v>
      </c>
      <c r="W1885">
        <v>6</v>
      </c>
      <c r="X1885">
        <v>13</v>
      </c>
      <c r="Y1885">
        <v>10</v>
      </c>
      <c r="Z1885">
        <v>7.9838654742081211E-2</v>
      </c>
      <c r="AA1885">
        <v>31.536000000000001</v>
      </c>
    </row>
    <row r="1886" spans="1:27" x14ac:dyDescent="0.25">
      <c r="A1886" t="s">
        <v>98</v>
      </c>
      <c r="B1886" t="s">
        <v>99</v>
      </c>
      <c r="C1886" t="s">
        <v>689</v>
      </c>
      <c r="D1886" t="s">
        <v>1707</v>
      </c>
      <c r="E1886" t="s">
        <v>304</v>
      </c>
      <c r="F1886" t="s">
        <v>369</v>
      </c>
      <c r="G1886" t="s">
        <v>103</v>
      </c>
      <c r="H1886" t="s">
        <v>125</v>
      </c>
      <c r="I1886">
        <v>2016</v>
      </c>
      <c r="J1886" t="s">
        <v>370</v>
      </c>
      <c r="K1886" t="s">
        <v>127</v>
      </c>
      <c r="L1886" t="s">
        <v>2128</v>
      </c>
      <c r="M1886" t="s">
        <v>2158</v>
      </c>
      <c r="N1886">
        <v>1</v>
      </c>
      <c r="O1886">
        <v>2020</v>
      </c>
      <c r="P1886">
        <v>4328.724715164758</v>
      </c>
      <c r="Q1886">
        <v>2.0610137692780768</v>
      </c>
      <c r="R1886" t="s">
        <v>109</v>
      </c>
      <c r="S1886">
        <v>2100.2890808832421</v>
      </c>
      <c r="T1886">
        <v>3.8100820633059791</v>
      </c>
      <c r="U1886" t="s">
        <v>184</v>
      </c>
      <c r="V1886">
        <v>3.8100820633059791</v>
      </c>
      <c r="W1886">
        <v>11</v>
      </c>
      <c r="X1886">
        <v>25</v>
      </c>
      <c r="Y1886">
        <v>19</v>
      </c>
      <c r="Z1886">
        <v>7.9838654742081211E-2</v>
      </c>
      <c r="AA1886">
        <v>31.536000000000001</v>
      </c>
    </row>
    <row r="1887" spans="1:27" x14ac:dyDescent="0.25">
      <c r="A1887" t="s">
        <v>98</v>
      </c>
      <c r="B1887" t="s">
        <v>99</v>
      </c>
      <c r="C1887" t="s">
        <v>689</v>
      </c>
      <c r="D1887" t="s">
        <v>1707</v>
      </c>
      <c r="E1887" t="s">
        <v>304</v>
      </c>
      <c r="F1887" t="s">
        <v>369</v>
      </c>
      <c r="G1887" t="s">
        <v>103</v>
      </c>
      <c r="H1887" t="s">
        <v>125</v>
      </c>
      <c r="I1887">
        <v>2023</v>
      </c>
      <c r="J1887" t="s">
        <v>372</v>
      </c>
      <c r="K1887" t="s">
        <v>127</v>
      </c>
      <c r="L1887" t="s">
        <v>2128</v>
      </c>
      <c r="M1887" t="s">
        <v>2159</v>
      </c>
      <c r="N1887">
        <v>1</v>
      </c>
      <c r="O1887">
        <v>2023</v>
      </c>
      <c r="P1887">
        <v>4328.724715164758</v>
      </c>
      <c r="Q1887">
        <v>2.0610137692780768</v>
      </c>
      <c r="R1887" t="s">
        <v>109</v>
      </c>
      <c r="S1887">
        <v>2100.2890808832421</v>
      </c>
      <c r="T1887">
        <v>3.8100820633059791</v>
      </c>
      <c r="U1887" t="s">
        <v>184</v>
      </c>
      <c r="V1887">
        <v>3.8100820633059791</v>
      </c>
      <c r="W1887">
        <v>11</v>
      </c>
      <c r="X1887">
        <v>25</v>
      </c>
      <c r="Y1887">
        <v>19</v>
      </c>
      <c r="Z1887">
        <v>7.9838654742081211E-2</v>
      </c>
      <c r="AA1887">
        <v>31.536000000000001</v>
      </c>
    </row>
    <row r="1888" spans="1:27" x14ac:dyDescent="0.25">
      <c r="A1888" t="s">
        <v>98</v>
      </c>
      <c r="B1888" t="s">
        <v>99</v>
      </c>
      <c r="C1888" t="s">
        <v>689</v>
      </c>
      <c r="D1888" t="s">
        <v>1707</v>
      </c>
      <c r="E1888" t="s">
        <v>304</v>
      </c>
      <c r="F1888" t="s">
        <v>369</v>
      </c>
      <c r="G1888" t="s">
        <v>111</v>
      </c>
      <c r="H1888" t="s">
        <v>125</v>
      </c>
      <c r="I1888">
        <v>2016</v>
      </c>
      <c r="J1888" t="s">
        <v>374</v>
      </c>
      <c r="K1888" t="s">
        <v>127</v>
      </c>
      <c r="L1888" t="s">
        <v>2128</v>
      </c>
      <c r="M1888" t="s">
        <v>2160</v>
      </c>
      <c r="N1888">
        <v>1</v>
      </c>
      <c r="O1888">
        <v>2020</v>
      </c>
      <c r="P1888">
        <v>4450.6606226341873</v>
      </c>
      <c r="Q1888">
        <v>2.0610137692780768</v>
      </c>
      <c r="R1888" t="s">
        <v>109</v>
      </c>
      <c r="S1888">
        <v>2159.4521535841782</v>
      </c>
      <c r="T1888">
        <v>4.0738569753810081</v>
      </c>
      <c r="U1888" t="s">
        <v>184</v>
      </c>
      <c r="V1888">
        <v>4.0738569753810081</v>
      </c>
      <c r="W1888">
        <v>11</v>
      </c>
      <c r="X1888">
        <v>25</v>
      </c>
      <c r="Y1888">
        <v>19</v>
      </c>
      <c r="Z1888">
        <v>7.9838654742081211E-2</v>
      </c>
      <c r="AA1888">
        <v>31.536000000000001</v>
      </c>
    </row>
    <row r="1889" spans="1:27" x14ac:dyDescent="0.25">
      <c r="A1889" t="s">
        <v>98</v>
      </c>
      <c r="B1889" t="s">
        <v>99</v>
      </c>
      <c r="C1889" t="s">
        <v>689</v>
      </c>
      <c r="D1889" t="s">
        <v>1707</v>
      </c>
      <c r="E1889" t="s">
        <v>304</v>
      </c>
      <c r="F1889" t="s">
        <v>369</v>
      </c>
      <c r="G1889" t="s">
        <v>111</v>
      </c>
      <c r="H1889" t="s">
        <v>125</v>
      </c>
      <c r="I1889">
        <v>2023</v>
      </c>
      <c r="J1889" t="s">
        <v>376</v>
      </c>
      <c r="K1889" t="s">
        <v>127</v>
      </c>
      <c r="L1889" t="s">
        <v>2128</v>
      </c>
      <c r="M1889" t="s">
        <v>2161</v>
      </c>
      <c r="N1889">
        <v>1</v>
      </c>
      <c r="O1889">
        <v>2023</v>
      </c>
      <c r="P1889">
        <v>4511.628576368902</v>
      </c>
      <c r="Q1889">
        <v>2.0610137692780768</v>
      </c>
      <c r="R1889" t="s">
        <v>109</v>
      </c>
      <c r="S1889">
        <v>2189.0336899346462</v>
      </c>
      <c r="T1889">
        <v>4.2203985932004704</v>
      </c>
      <c r="U1889" t="s">
        <v>184</v>
      </c>
      <c r="V1889">
        <v>4.2203985932004704</v>
      </c>
      <c r="W1889">
        <v>11</v>
      </c>
      <c r="X1889">
        <v>25</v>
      </c>
      <c r="Y1889">
        <v>19</v>
      </c>
      <c r="Z1889">
        <v>7.9838654742081211E-2</v>
      </c>
      <c r="AA1889">
        <v>31.536000000000001</v>
      </c>
    </row>
    <row r="1890" spans="1:27" x14ac:dyDescent="0.25">
      <c r="A1890" t="s">
        <v>98</v>
      </c>
      <c r="B1890" t="s">
        <v>99</v>
      </c>
      <c r="C1890" t="s">
        <v>689</v>
      </c>
      <c r="D1890" t="s">
        <v>1707</v>
      </c>
      <c r="E1890" t="s">
        <v>304</v>
      </c>
      <c r="F1890" t="s">
        <v>369</v>
      </c>
      <c r="G1890" t="s">
        <v>114</v>
      </c>
      <c r="H1890" t="s">
        <v>125</v>
      </c>
      <c r="I1890">
        <v>2016</v>
      </c>
      <c r="J1890" t="s">
        <v>378</v>
      </c>
      <c r="K1890" t="s">
        <v>127</v>
      </c>
      <c r="L1890" t="s">
        <v>2128</v>
      </c>
      <c r="M1890" t="s">
        <v>2162</v>
      </c>
      <c r="N1890">
        <v>1</v>
      </c>
      <c r="O1890">
        <v>2020</v>
      </c>
      <c r="P1890">
        <v>4877.436298777192</v>
      </c>
      <c r="Q1890">
        <v>2.0610137692780768</v>
      </c>
      <c r="R1890" t="s">
        <v>109</v>
      </c>
      <c r="S1890">
        <v>2366.5229080374561</v>
      </c>
      <c r="T1890">
        <v>4.3962485345838216</v>
      </c>
      <c r="U1890" t="s">
        <v>184</v>
      </c>
      <c r="V1890">
        <v>4.3962485345838216</v>
      </c>
      <c r="W1890">
        <v>11</v>
      </c>
      <c r="X1890">
        <v>25</v>
      </c>
      <c r="Y1890">
        <v>19</v>
      </c>
      <c r="Z1890">
        <v>7.9838654742081211E-2</v>
      </c>
      <c r="AA1890">
        <v>31.536000000000001</v>
      </c>
    </row>
    <row r="1891" spans="1:27" x14ac:dyDescent="0.25">
      <c r="A1891" t="s">
        <v>98</v>
      </c>
      <c r="B1891" t="s">
        <v>99</v>
      </c>
      <c r="C1891" t="s">
        <v>689</v>
      </c>
      <c r="D1891" t="s">
        <v>1707</v>
      </c>
      <c r="E1891" t="s">
        <v>304</v>
      </c>
      <c r="F1891" t="s">
        <v>369</v>
      </c>
      <c r="G1891" t="s">
        <v>114</v>
      </c>
      <c r="H1891" t="s">
        <v>125</v>
      </c>
      <c r="I1891">
        <v>2023</v>
      </c>
      <c r="J1891" t="s">
        <v>380</v>
      </c>
      <c r="K1891" t="s">
        <v>127</v>
      </c>
      <c r="L1891" t="s">
        <v>2128</v>
      </c>
      <c r="M1891" t="s">
        <v>2163</v>
      </c>
      <c r="N1891">
        <v>1</v>
      </c>
      <c r="O1891">
        <v>2023</v>
      </c>
      <c r="P1891">
        <v>5202.5987186956727</v>
      </c>
      <c r="Q1891">
        <v>2.0610137692780768</v>
      </c>
      <c r="R1891" t="s">
        <v>109</v>
      </c>
      <c r="S1891">
        <v>2524.29110190662</v>
      </c>
      <c r="T1891">
        <v>4.6893317702227444</v>
      </c>
      <c r="U1891" t="s">
        <v>184</v>
      </c>
      <c r="V1891">
        <v>4.6893317702227444</v>
      </c>
      <c r="W1891">
        <v>11</v>
      </c>
      <c r="X1891">
        <v>25</v>
      </c>
      <c r="Y1891">
        <v>19</v>
      </c>
      <c r="Z1891">
        <v>7.9838654742081211E-2</v>
      </c>
      <c r="AA1891">
        <v>31.536000000000001</v>
      </c>
    </row>
    <row r="1892" spans="1:27" x14ac:dyDescent="0.25">
      <c r="A1892" t="s">
        <v>98</v>
      </c>
      <c r="B1892" t="s">
        <v>99</v>
      </c>
      <c r="C1892" t="s">
        <v>689</v>
      </c>
      <c r="D1892" t="s">
        <v>1707</v>
      </c>
      <c r="E1892" t="s">
        <v>304</v>
      </c>
      <c r="F1892" t="s">
        <v>369</v>
      </c>
      <c r="G1892" t="s">
        <v>119</v>
      </c>
      <c r="H1892" t="s">
        <v>125</v>
      </c>
      <c r="I1892">
        <v>2016</v>
      </c>
      <c r="J1892" t="s">
        <v>382</v>
      </c>
      <c r="K1892" t="s">
        <v>127</v>
      </c>
      <c r="L1892" t="s">
        <v>2128</v>
      </c>
      <c r="M1892" t="s">
        <v>2164</v>
      </c>
      <c r="N1892">
        <v>1</v>
      </c>
      <c r="O1892">
        <v>2020</v>
      </c>
      <c r="P1892">
        <v>5670.0196973284856</v>
      </c>
      <c r="Q1892">
        <v>2.0610137692780768</v>
      </c>
      <c r="R1892" t="s">
        <v>109</v>
      </c>
      <c r="S1892">
        <v>2751.0828805935421</v>
      </c>
      <c r="T1892">
        <v>4.835873388042204</v>
      </c>
      <c r="U1892" t="s">
        <v>184</v>
      </c>
      <c r="V1892">
        <v>4.835873388042204</v>
      </c>
      <c r="W1892">
        <v>11</v>
      </c>
      <c r="X1892">
        <v>25</v>
      </c>
      <c r="Y1892">
        <v>19</v>
      </c>
      <c r="Z1892">
        <v>7.9838654742081211E-2</v>
      </c>
      <c r="AA1892">
        <v>31.536000000000001</v>
      </c>
    </row>
    <row r="1893" spans="1:27" x14ac:dyDescent="0.25">
      <c r="A1893" t="s">
        <v>98</v>
      </c>
      <c r="B1893" t="s">
        <v>99</v>
      </c>
      <c r="C1893" t="s">
        <v>689</v>
      </c>
      <c r="D1893" t="s">
        <v>1707</v>
      </c>
      <c r="E1893" t="s">
        <v>304</v>
      </c>
      <c r="F1893" t="s">
        <v>369</v>
      </c>
      <c r="G1893" t="s">
        <v>119</v>
      </c>
      <c r="H1893" t="s">
        <v>125</v>
      </c>
      <c r="I1893">
        <v>2022</v>
      </c>
      <c r="J1893" t="s">
        <v>384</v>
      </c>
      <c r="K1893" t="s">
        <v>127</v>
      </c>
      <c r="L1893" t="s">
        <v>2128</v>
      </c>
      <c r="M1893" t="s">
        <v>2165</v>
      </c>
      <c r="N1893">
        <v>1</v>
      </c>
      <c r="O1893">
        <v>2022</v>
      </c>
      <c r="P1893">
        <v>5670.0196973284856</v>
      </c>
      <c r="Q1893">
        <v>2.0610137692780768</v>
      </c>
      <c r="R1893" t="s">
        <v>109</v>
      </c>
      <c r="S1893">
        <v>2751.0828805935421</v>
      </c>
      <c r="T1893">
        <v>4.835873388042204</v>
      </c>
      <c r="U1893" t="s">
        <v>184</v>
      </c>
      <c r="V1893">
        <v>4.835873388042204</v>
      </c>
      <c r="W1893">
        <v>11</v>
      </c>
      <c r="X1893">
        <v>25</v>
      </c>
      <c r="Y1893">
        <v>19</v>
      </c>
      <c r="Z1893">
        <v>7.9838654742081211E-2</v>
      </c>
      <c r="AA1893">
        <v>31.536000000000001</v>
      </c>
    </row>
    <row r="1894" spans="1:27" x14ac:dyDescent="0.25">
      <c r="A1894" t="s">
        <v>98</v>
      </c>
      <c r="B1894" t="s">
        <v>99</v>
      </c>
      <c r="C1894" t="s">
        <v>689</v>
      </c>
      <c r="D1894" t="s">
        <v>1707</v>
      </c>
      <c r="E1894" t="s">
        <v>386</v>
      </c>
      <c r="G1894" t="s">
        <v>387</v>
      </c>
      <c r="H1894" t="s">
        <v>125</v>
      </c>
      <c r="I1894">
        <v>2016</v>
      </c>
      <c r="J1894" t="s">
        <v>388</v>
      </c>
      <c r="K1894" t="s">
        <v>127</v>
      </c>
      <c r="L1894" t="s">
        <v>2166</v>
      </c>
      <c r="M1894" t="s">
        <v>2167</v>
      </c>
      <c r="N1894">
        <v>1</v>
      </c>
      <c r="O1894">
        <v>2020</v>
      </c>
      <c r="P1894">
        <v>853.55135228600852</v>
      </c>
      <c r="Q1894">
        <v>1.892911011784838</v>
      </c>
      <c r="R1894" t="s">
        <v>391</v>
      </c>
      <c r="S1894">
        <v>450.91995713057293</v>
      </c>
      <c r="T1894">
        <v>404.78399999999999</v>
      </c>
      <c r="U1894" t="s">
        <v>392</v>
      </c>
      <c r="V1894">
        <v>1.1306815642458099</v>
      </c>
      <c r="W1894">
        <v>11.625999787885601</v>
      </c>
      <c r="X1894">
        <v>21.895260974855479</v>
      </c>
      <c r="Y1894">
        <v>17</v>
      </c>
      <c r="Z1894">
        <v>0.65</v>
      </c>
      <c r="AA1894">
        <v>1</v>
      </c>
    </row>
    <row r="1895" spans="1:27" x14ac:dyDescent="0.25">
      <c r="A1895" t="s">
        <v>98</v>
      </c>
      <c r="B1895" t="s">
        <v>99</v>
      </c>
      <c r="C1895" t="s">
        <v>689</v>
      </c>
      <c r="D1895" t="s">
        <v>1707</v>
      </c>
      <c r="E1895" t="s">
        <v>386</v>
      </c>
      <c r="G1895" t="s">
        <v>393</v>
      </c>
      <c r="H1895" t="s">
        <v>125</v>
      </c>
      <c r="I1895">
        <v>2016</v>
      </c>
      <c r="J1895" t="s">
        <v>394</v>
      </c>
      <c r="K1895" t="s">
        <v>127</v>
      </c>
      <c r="L1895" t="s">
        <v>2166</v>
      </c>
      <c r="M1895" t="s">
        <v>2168</v>
      </c>
      <c r="N1895">
        <v>1</v>
      </c>
      <c r="O1895">
        <v>2020</v>
      </c>
      <c r="P1895">
        <v>914.51930602072343</v>
      </c>
      <c r="Q1895">
        <v>1.892911011784838</v>
      </c>
      <c r="R1895" t="s">
        <v>391</v>
      </c>
      <c r="S1895">
        <v>483.1285254970424</v>
      </c>
      <c r="T1895">
        <v>389</v>
      </c>
      <c r="U1895" t="s">
        <v>392</v>
      </c>
      <c r="V1895">
        <v>1.08659217877095</v>
      </c>
      <c r="W1895">
        <v>11.625999787885601</v>
      </c>
      <c r="X1895">
        <v>21.895260974855479</v>
      </c>
      <c r="Y1895">
        <v>17</v>
      </c>
      <c r="Z1895">
        <v>0.65</v>
      </c>
      <c r="AA1895">
        <v>1</v>
      </c>
    </row>
    <row r="1896" spans="1:27" x14ac:dyDescent="0.25">
      <c r="A1896" t="s">
        <v>98</v>
      </c>
      <c r="B1896" t="s">
        <v>99</v>
      </c>
      <c r="C1896" t="s">
        <v>689</v>
      </c>
      <c r="D1896" t="s">
        <v>1707</v>
      </c>
      <c r="E1896" t="s">
        <v>386</v>
      </c>
      <c r="G1896" t="s">
        <v>396</v>
      </c>
      <c r="H1896" t="s">
        <v>125</v>
      </c>
      <c r="I1896">
        <v>2016</v>
      </c>
      <c r="J1896" t="s">
        <v>397</v>
      </c>
      <c r="K1896" t="s">
        <v>127</v>
      </c>
      <c r="L1896" t="s">
        <v>2166</v>
      </c>
      <c r="M1896" t="s">
        <v>2169</v>
      </c>
      <c r="N1896">
        <v>1</v>
      </c>
      <c r="O1896">
        <v>2020</v>
      </c>
      <c r="P1896">
        <v>1036.455213490153</v>
      </c>
      <c r="Q1896">
        <v>1.892911011784838</v>
      </c>
      <c r="R1896" t="s">
        <v>391</v>
      </c>
      <c r="S1896">
        <v>547.54566222998142</v>
      </c>
      <c r="T1896">
        <v>364.30560000000003</v>
      </c>
      <c r="U1896" t="s">
        <v>392</v>
      </c>
      <c r="V1896">
        <v>1.0176134078212291</v>
      </c>
      <c r="W1896">
        <v>11.625999787885601</v>
      </c>
      <c r="X1896">
        <v>21.895260974855479</v>
      </c>
      <c r="Y1896">
        <v>17</v>
      </c>
      <c r="Z1896">
        <v>0.65</v>
      </c>
      <c r="AA1896">
        <v>1</v>
      </c>
    </row>
    <row r="1897" spans="1:27" x14ac:dyDescent="0.25">
      <c r="A1897" t="s">
        <v>98</v>
      </c>
      <c r="B1897" t="s">
        <v>99</v>
      </c>
      <c r="C1897" t="s">
        <v>689</v>
      </c>
      <c r="D1897" t="s">
        <v>1707</v>
      </c>
      <c r="E1897" t="s">
        <v>386</v>
      </c>
      <c r="G1897" t="s">
        <v>399</v>
      </c>
      <c r="H1897" t="s">
        <v>125</v>
      </c>
      <c r="I1897">
        <v>2016</v>
      </c>
      <c r="J1897" t="s">
        <v>400</v>
      </c>
      <c r="K1897" t="s">
        <v>127</v>
      </c>
      <c r="L1897" t="s">
        <v>2166</v>
      </c>
      <c r="M1897" t="s">
        <v>2170</v>
      </c>
      <c r="N1897">
        <v>1</v>
      </c>
      <c r="O1897">
        <v>2020</v>
      </c>
      <c r="P1897">
        <v>1073.035985730982</v>
      </c>
      <c r="Q1897">
        <v>1.892911011784838</v>
      </c>
      <c r="R1897" t="s">
        <v>391</v>
      </c>
      <c r="S1897">
        <v>566.87080324986312</v>
      </c>
      <c r="T1897">
        <v>358</v>
      </c>
      <c r="U1897" t="s">
        <v>392</v>
      </c>
      <c r="V1897">
        <v>1</v>
      </c>
      <c r="W1897">
        <v>11.625999787885601</v>
      </c>
      <c r="X1897">
        <v>21.895260974855479</v>
      </c>
      <c r="Y1897">
        <v>17</v>
      </c>
      <c r="Z1897">
        <v>0.65</v>
      </c>
      <c r="AA1897">
        <v>1</v>
      </c>
    </row>
    <row r="1898" spans="1:27" x14ac:dyDescent="0.25">
      <c r="A1898" t="s">
        <v>98</v>
      </c>
      <c r="B1898" t="s">
        <v>99</v>
      </c>
      <c r="C1898" t="s">
        <v>689</v>
      </c>
      <c r="D1898" t="s">
        <v>1707</v>
      </c>
      <c r="E1898" t="s">
        <v>386</v>
      </c>
      <c r="G1898" t="s">
        <v>402</v>
      </c>
      <c r="H1898" t="s">
        <v>125</v>
      </c>
      <c r="I1898">
        <v>2016</v>
      </c>
      <c r="J1898" t="s">
        <v>403</v>
      </c>
      <c r="K1898" t="s">
        <v>127</v>
      </c>
      <c r="L1898" t="s">
        <v>2166</v>
      </c>
      <c r="M1898" t="s">
        <v>2171</v>
      </c>
      <c r="N1898">
        <v>1</v>
      </c>
      <c r="O1898">
        <v>2020</v>
      </c>
      <c r="P1898">
        <v>1597.3603878495301</v>
      </c>
      <c r="Q1898">
        <v>1.892911011784838</v>
      </c>
      <c r="R1898" t="s">
        <v>391</v>
      </c>
      <c r="S1898">
        <v>843.86449120150075</v>
      </c>
      <c r="T1898">
        <v>705.226</v>
      </c>
      <c r="U1898" t="s">
        <v>392</v>
      </c>
      <c r="V1898">
        <v>1.9699050279329611</v>
      </c>
      <c r="W1898">
        <v>11.625999787885601</v>
      </c>
      <c r="X1898">
        <v>21.895260974855479</v>
      </c>
      <c r="Y1898">
        <v>17</v>
      </c>
      <c r="Z1898">
        <v>0.65</v>
      </c>
      <c r="AA1898">
        <v>1</v>
      </c>
    </row>
    <row r="1899" spans="1:27" x14ac:dyDescent="0.25">
      <c r="A1899" t="s">
        <v>98</v>
      </c>
      <c r="B1899" t="s">
        <v>99</v>
      </c>
      <c r="C1899" t="s">
        <v>689</v>
      </c>
      <c r="D1899" t="s">
        <v>1707</v>
      </c>
      <c r="E1899" t="s">
        <v>386</v>
      </c>
      <c r="G1899" t="s">
        <v>405</v>
      </c>
      <c r="H1899" t="s">
        <v>125</v>
      </c>
      <c r="I1899">
        <v>2016</v>
      </c>
      <c r="J1899" t="s">
        <v>406</v>
      </c>
      <c r="K1899" t="s">
        <v>127</v>
      </c>
      <c r="L1899" t="s">
        <v>2166</v>
      </c>
      <c r="M1899" t="s">
        <v>2172</v>
      </c>
      <c r="N1899">
        <v>1</v>
      </c>
      <c r="O1899">
        <v>2020</v>
      </c>
      <c r="P1899">
        <v>1731.489886065903</v>
      </c>
      <c r="Q1899">
        <v>1.892911011784838</v>
      </c>
      <c r="R1899" t="s">
        <v>391</v>
      </c>
      <c r="S1899">
        <v>914.72334160773357</v>
      </c>
      <c r="T1899">
        <v>671</v>
      </c>
      <c r="U1899" t="s">
        <v>392</v>
      </c>
      <c r="V1899">
        <v>1.8743016759776541</v>
      </c>
      <c r="W1899">
        <v>11.625999787885601</v>
      </c>
      <c r="X1899">
        <v>21.895260974855479</v>
      </c>
      <c r="Y1899">
        <v>17</v>
      </c>
      <c r="Z1899">
        <v>0.65</v>
      </c>
      <c r="AA1899">
        <v>1</v>
      </c>
    </row>
    <row r="1900" spans="1:27" x14ac:dyDescent="0.25">
      <c r="A1900" t="s">
        <v>98</v>
      </c>
      <c r="B1900" t="s">
        <v>99</v>
      </c>
      <c r="C1900" t="s">
        <v>689</v>
      </c>
      <c r="D1900" t="s">
        <v>1707</v>
      </c>
      <c r="E1900" t="s">
        <v>386</v>
      </c>
      <c r="G1900" t="s">
        <v>408</v>
      </c>
      <c r="H1900" t="s">
        <v>125</v>
      </c>
      <c r="I1900">
        <v>2016</v>
      </c>
      <c r="J1900" t="s">
        <v>409</v>
      </c>
      <c r="K1900" t="s">
        <v>127</v>
      </c>
      <c r="L1900" t="s">
        <v>2166</v>
      </c>
      <c r="M1900" t="s">
        <v>2173</v>
      </c>
      <c r="N1900">
        <v>1</v>
      </c>
      <c r="O1900">
        <v>2020</v>
      </c>
      <c r="P1900">
        <v>1890.006565776162</v>
      </c>
      <c r="Q1900">
        <v>1.892911011784838</v>
      </c>
      <c r="R1900" t="s">
        <v>391</v>
      </c>
      <c r="S1900">
        <v>998.46561936055434</v>
      </c>
      <c r="T1900">
        <v>634.70339999999999</v>
      </c>
      <c r="U1900" t="s">
        <v>392</v>
      </c>
      <c r="V1900">
        <v>1.772914525139665</v>
      </c>
      <c r="W1900">
        <v>11.625999787885601</v>
      </c>
      <c r="X1900">
        <v>21.895260974855479</v>
      </c>
      <c r="Y1900">
        <v>17</v>
      </c>
      <c r="Z1900">
        <v>0.65</v>
      </c>
      <c r="AA1900">
        <v>1</v>
      </c>
    </row>
    <row r="1901" spans="1:27" x14ac:dyDescent="0.25">
      <c r="A1901" t="s">
        <v>98</v>
      </c>
      <c r="B1901" t="s">
        <v>99</v>
      </c>
      <c r="C1901" t="s">
        <v>689</v>
      </c>
      <c r="D1901" t="s">
        <v>1707</v>
      </c>
      <c r="E1901" t="s">
        <v>386</v>
      </c>
      <c r="G1901" t="s">
        <v>411</v>
      </c>
      <c r="H1901" t="s">
        <v>125</v>
      </c>
      <c r="I1901">
        <v>2016</v>
      </c>
      <c r="J1901" t="s">
        <v>412</v>
      </c>
      <c r="K1901" t="s">
        <v>127</v>
      </c>
      <c r="L1901" t="s">
        <v>2166</v>
      </c>
      <c r="M1901" t="s">
        <v>2174</v>
      </c>
      <c r="N1901">
        <v>1</v>
      </c>
      <c r="O1901">
        <v>2020</v>
      </c>
      <c r="P1901">
        <v>2414.3309678947098</v>
      </c>
      <c r="Q1901">
        <v>1.892911011784838</v>
      </c>
      <c r="R1901" t="s">
        <v>391</v>
      </c>
      <c r="S1901">
        <v>1275.4593073121921</v>
      </c>
      <c r="T1901">
        <v>509</v>
      </c>
      <c r="U1901" t="s">
        <v>392</v>
      </c>
      <c r="V1901">
        <v>1.4217877094972069</v>
      </c>
      <c r="W1901">
        <v>11.625999787885601</v>
      </c>
      <c r="X1901">
        <v>21.895260974855479</v>
      </c>
      <c r="Y1901">
        <v>17</v>
      </c>
      <c r="Z1901">
        <v>0.65</v>
      </c>
      <c r="AA1901">
        <v>1</v>
      </c>
    </row>
    <row r="1902" spans="1:27" x14ac:dyDescent="0.25">
      <c r="A1902" t="s">
        <v>98</v>
      </c>
      <c r="B1902" t="s">
        <v>99</v>
      </c>
      <c r="C1902" t="s">
        <v>689</v>
      </c>
      <c r="D1902" t="s">
        <v>1707</v>
      </c>
      <c r="E1902" t="s">
        <v>386</v>
      </c>
      <c r="G1902" t="s">
        <v>414</v>
      </c>
      <c r="H1902" t="s">
        <v>125</v>
      </c>
      <c r="I1902">
        <v>2016</v>
      </c>
      <c r="J1902" t="s">
        <v>415</v>
      </c>
      <c r="K1902" t="s">
        <v>127</v>
      </c>
      <c r="L1902" t="s">
        <v>2166</v>
      </c>
      <c r="M1902" t="s">
        <v>2175</v>
      </c>
      <c r="N1902">
        <v>1</v>
      </c>
      <c r="O1902">
        <v>2020</v>
      </c>
      <c r="P1902">
        <v>1255.939846935127</v>
      </c>
      <c r="Q1902">
        <v>1.892911011784838</v>
      </c>
      <c r="R1902" t="s">
        <v>391</v>
      </c>
      <c r="S1902">
        <v>663.49650834927161</v>
      </c>
      <c r="T1902">
        <v>520.54999999999995</v>
      </c>
      <c r="U1902" t="s">
        <v>392</v>
      </c>
      <c r="V1902">
        <v>1.4540502793296091</v>
      </c>
      <c r="W1902">
        <v>11.625999787885601</v>
      </c>
      <c r="X1902">
        <v>21.895260974855479</v>
      </c>
      <c r="Y1902">
        <v>17</v>
      </c>
      <c r="Z1902">
        <v>0.65</v>
      </c>
      <c r="AA1902">
        <v>1</v>
      </c>
    </row>
    <row r="1903" spans="1:27" x14ac:dyDescent="0.25">
      <c r="A1903" t="s">
        <v>98</v>
      </c>
      <c r="B1903" t="s">
        <v>99</v>
      </c>
      <c r="C1903" t="s">
        <v>689</v>
      </c>
      <c r="D1903" t="s">
        <v>1707</v>
      </c>
      <c r="E1903" t="s">
        <v>386</v>
      </c>
      <c r="G1903" t="s">
        <v>417</v>
      </c>
      <c r="H1903" t="s">
        <v>125</v>
      </c>
      <c r="I1903">
        <v>2016</v>
      </c>
      <c r="J1903" t="s">
        <v>418</v>
      </c>
      <c r="K1903" t="s">
        <v>127</v>
      </c>
      <c r="L1903" t="s">
        <v>2166</v>
      </c>
      <c r="M1903" t="s">
        <v>2176</v>
      </c>
      <c r="N1903">
        <v>1</v>
      </c>
      <c r="O1903">
        <v>2020</v>
      </c>
      <c r="P1903">
        <v>1365.682163657614</v>
      </c>
      <c r="Q1903">
        <v>1.892911011784838</v>
      </c>
      <c r="R1903" t="s">
        <v>391</v>
      </c>
      <c r="S1903">
        <v>721.4719314089167</v>
      </c>
      <c r="T1903">
        <v>480</v>
      </c>
      <c r="U1903" t="s">
        <v>392</v>
      </c>
      <c r="V1903">
        <v>1.3407821229050281</v>
      </c>
      <c r="W1903">
        <v>11.625999787885601</v>
      </c>
      <c r="X1903">
        <v>21.895260974855479</v>
      </c>
      <c r="Y1903">
        <v>17</v>
      </c>
      <c r="Z1903">
        <v>0.65</v>
      </c>
      <c r="AA1903">
        <v>1</v>
      </c>
    </row>
    <row r="1904" spans="1:27" x14ac:dyDescent="0.25">
      <c r="A1904" t="s">
        <v>98</v>
      </c>
      <c r="B1904" t="s">
        <v>99</v>
      </c>
      <c r="C1904" t="s">
        <v>689</v>
      </c>
      <c r="D1904" t="s">
        <v>1707</v>
      </c>
      <c r="E1904" t="s">
        <v>386</v>
      </c>
      <c r="G1904" t="s">
        <v>420</v>
      </c>
      <c r="H1904" t="s">
        <v>125</v>
      </c>
      <c r="I1904">
        <v>2016</v>
      </c>
      <c r="J1904" t="s">
        <v>421</v>
      </c>
      <c r="K1904" t="s">
        <v>127</v>
      </c>
      <c r="L1904" t="s">
        <v>2166</v>
      </c>
      <c r="M1904" t="s">
        <v>2177</v>
      </c>
      <c r="N1904">
        <v>1</v>
      </c>
      <c r="O1904">
        <v>2020</v>
      </c>
      <c r="P1904">
        <v>1414.456526645386</v>
      </c>
      <c r="Q1904">
        <v>1.892911011784838</v>
      </c>
      <c r="R1904" t="s">
        <v>391</v>
      </c>
      <c r="S1904">
        <v>747.23878610209226</v>
      </c>
      <c r="T1904">
        <v>469</v>
      </c>
      <c r="U1904" t="s">
        <v>392</v>
      </c>
      <c r="V1904">
        <v>1.310055865921788</v>
      </c>
      <c r="W1904">
        <v>11.625999787885601</v>
      </c>
      <c r="X1904">
        <v>21.895260974855479</v>
      </c>
      <c r="Y1904">
        <v>17</v>
      </c>
      <c r="Z1904">
        <v>0.65</v>
      </c>
      <c r="AA1904">
        <v>1</v>
      </c>
    </row>
    <row r="1905" spans="1:27" x14ac:dyDescent="0.25">
      <c r="A1905" t="s">
        <v>98</v>
      </c>
      <c r="B1905" t="s">
        <v>99</v>
      </c>
      <c r="C1905" t="s">
        <v>689</v>
      </c>
      <c r="D1905" t="s">
        <v>1707</v>
      </c>
      <c r="E1905" t="s">
        <v>386</v>
      </c>
      <c r="G1905" t="s">
        <v>423</v>
      </c>
      <c r="H1905" t="s">
        <v>125</v>
      </c>
      <c r="I1905">
        <v>2016</v>
      </c>
      <c r="J1905" t="s">
        <v>424</v>
      </c>
      <c r="K1905" t="s">
        <v>127</v>
      </c>
      <c r="L1905" t="s">
        <v>2166</v>
      </c>
      <c r="M1905" t="s">
        <v>2178</v>
      </c>
      <c r="N1905">
        <v>1</v>
      </c>
      <c r="O1905">
        <v>2020</v>
      </c>
      <c r="P1905">
        <v>1414.456526645386</v>
      </c>
      <c r="Q1905">
        <v>1.892911011784838</v>
      </c>
      <c r="R1905" t="s">
        <v>391</v>
      </c>
      <c r="S1905">
        <v>747.23878610209226</v>
      </c>
      <c r="T1905">
        <v>469</v>
      </c>
      <c r="U1905" t="s">
        <v>392</v>
      </c>
      <c r="V1905">
        <v>1.310055865921788</v>
      </c>
      <c r="W1905">
        <v>11.625999787885601</v>
      </c>
      <c r="X1905">
        <v>21.895260974855479</v>
      </c>
      <c r="Y1905">
        <v>17</v>
      </c>
      <c r="Z1905">
        <v>0.65</v>
      </c>
      <c r="AA1905">
        <v>1</v>
      </c>
    </row>
    <row r="1906" spans="1:27" x14ac:dyDescent="0.25">
      <c r="A1906" t="s">
        <v>98</v>
      </c>
      <c r="B1906" t="s">
        <v>99</v>
      </c>
      <c r="C1906" t="s">
        <v>689</v>
      </c>
      <c r="D1906" t="s">
        <v>1707</v>
      </c>
      <c r="E1906" t="s">
        <v>426</v>
      </c>
      <c r="G1906" t="s">
        <v>427</v>
      </c>
      <c r="H1906" t="s">
        <v>125</v>
      </c>
      <c r="I1906">
        <v>2016</v>
      </c>
      <c r="J1906" t="s">
        <v>428</v>
      </c>
      <c r="K1906" t="s">
        <v>127</v>
      </c>
      <c r="L1906" t="s">
        <v>2179</v>
      </c>
      <c r="M1906" t="s">
        <v>2180</v>
      </c>
      <c r="N1906">
        <v>1</v>
      </c>
      <c r="O1906">
        <v>2020</v>
      </c>
      <c r="P1906">
        <v>609.67953734714899</v>
      </c>
      <c r="Q1906">
        <v>0.2264658115138328</v>
      </c>
      <c r="R1906" t="s">
        <v>391</v>
      </c>
      <c r="S1906">
        <v>2692.1482464469432</v>
      </c>
      <c r="T1906">
        <v>300.25599999999997</v>
      </c>
      <c r="U1906" t="s">
        <v>392</v>
      </c>
      <c r="V1906">
        <v>1.0918399999999999</v>
      </c>
      <c r="W1906">
        <v>16.5973520403479</v>
      </c>
      <c r="X1906">
        <v>27.331519839424129</v>
      </c>
      <c r="Y1906">
        <v>22</v>
      </c>
      <c r="Z1906">
        <v>0.65</v>
      </c>
      <c r="AA1906">
        <v>1</v>
      </c>
    </row>
    <row r="1907" spans="1:27" x14ac:dyDescent="0.25">
      <c r="A1907" t="s">
        <v>98</v>
      </c>
      <c r="B1907" t="s">
        <v>99</v>
      </c>
      <c r="C1907" t="s">
        <v>689</v>
      </c>
      <c r="D1907" t="s">
        <v>1707</v>
      </c>
      <c r="E1907" t="s">
        <v>426</v>
      </c>
      <c r="G1907" t="s">
        <v>431</v>
      </c>
      <c r="H1907" t="s">
        <v>125</v>
      </c>
      <c r="I1907">
        <v>2016</v>
      </c>
      <c r="J1907" t="s">
        <v>432</v>
      </c>
      <c r="K1907" t="s">
        <v>127</v>
      </c>
      <c r="L1907" t="s">
        <v>2179</v>
      </c>
      <c r="M1907" t="s">
        <v>2181</v>
      </c>
      <c r="N1907">
        <v>1</v>
      </c>
      <c r="O1907">
        <v>2020</v>
      </c>
      <c r="P1907">
        <v>609.67953734714899</v>
      </c>
      <c r="Q1907">
        <v>0.2264658115138328</v>
      </c>
      <c r="R1907" t="s">
        <v>391</v>
      </c>
      <c r="S1907">
        <v>2692.1482464469432</v>
      </c>
      <c r="T1907">
        <v>297</v>
      </c>
      <c r="U1907" t="s">
        <v>392</v>
      </c>
      <c r="V1907">
        <v>1.08</v>
      </c>
      <c r="W1907">
        <v>16.5973520403479</v>
      </c>
      <c r="X1907">
        <v>27.331519839424129</v>
      </c>
      <c r="Y1907">
        <v>22</v>
      </c>
      <c r="Z1907">
        <v>0.65</v>
      </c>
      <c r="AA1907">
        <v>1</v>
      </c>
    </row>
    <row r="1908" spans="1:27" x14ac:dyDescent="0.25">
      <c r="A1908" t="s">
        <v>98</v>
      </c>
      <c r="B1908" t="s">
        <v>99</v>
      </c>
      <c r="C1908" t="s">
        <v>689</v>
      </c>
      <c r="D1908" t="s">
        <v>1707</v>
      </c>
      <c r="E1908" t="s">
        <v>426</v>
      </c>
      <c r="G1908" t="s">
        <v>434</v>
      </c>
      <c r="H1908" t="s">
        <v>125</v>
      </c>
      <c r="I1908">
        <v>2016</v>
      </c>
      <c r="J1908" t="s">
        <v>435</v>
      </c>
      <c r="K1908" t="s">
        <v>127</v>
      </c>
      <c r="L1908" t="s">
        <v>2179</v>
      </c>
      <c r="M1908" t="s">
        <v>2182</v>
      </c>
      <c r="N1908">
        <v>1</v>
      </c>
      <c r="O1908">
        <v>2020</v>
      </c>
      <c r="P1908">
        <v>670.6474910818639</v>
      </c>
      <c r="Q1908">
        <v>0.2264658115138328</v>
      </c>
      <c r="R1908" t="s">
        <v>391</v>
      </c>
      <c r="S1908">
        <v>2961.3630710916382</v>
      </c>
      <c r="T1908">
        <v>277</v>
      </c>
      <c r="U1908" t="s">
        <v>392</v>
      </c>
      <c r="V1908">
        <v>1.0072727272727271</v>
      </c>
      <c r="W1908">
        <v>16.5973520403479</v>
      </c>
      <c r="X1908">
        <v>27.331519839424129</v>
      </c>
      <c r="Y1908">
        <v>22</v>
      </c>
      <c r="Z1908">
        <v>0.65</v>
      </c>
      <c r="AA1908">
        <v>1</v>
      </c>
    </row>
    <row r="1909" spans="1:27" x14ac:dyDescent="0.25">
      <c r="A1909" t="s">
        <v>98</v>
      </c>
      <c r="B1909" t="s">
        <v>99</v>
      </c>
      <c r="C1909" t="s">
        <v>689</v>
      </c>
      <c r="D1909" t="s">
        <v>1707</v>
      </c>
      <c r="E1909" t="s">
        <v>426</v>
      </c>
      <c r="G1909" t="s">
        <v>437</v>
      </c>
      <c r="H1909" t="s">
        <v>125</v>
      </c>
      <c r="I1909">
        <v>2016</v>
      </c>
      <c r="J1909" t="s">
        <v>438</v>
      </c>
      <c r="K1909" t="s">
        <v>127</v>
      </c>
      <c r="L1909" t="s">
        <v>2179</v>
      </c>
      <c r="M1909" t="s">
        <v>2183</v>
      </c>
      <c r="N1909">
        <v>1</v>
      </c>
      <c r="O1909">
        <v>2020</v>
      </c>
      <c r="P1909">
        <v>658.45390033492083</v>
      </c>
      <c r="Q1909">
        <v>0.2264658115138328</v>
      </c>
      <c r="R1909" t="s">
        <v>391</v>
      </c>
      <c r="S1909">
        <v>2907.5201061626981</v>
      </c>
      <c r="T1909">
        <v>275</v>
      </c>
      <c r="U1909" t="s">
        <v>392</v>
      </c>
      <c r="V1909">
        <v>1</v>
      </c>
      <c r="W1909">
        <v>16.5973520403479</v>
      </c>
      <c r="X1909">
        <v>27.331519839424129</v>
      </c>
      <c r="Y1909">
        <v>22</v>
      </c>
      <c r="Z1909">
        <v>0.65</v>
      </c>
      <c r="AA1909">
        <v>1</v>
      </c>
    </row>
    <row r="1910" spans="1:27" x14ac:dyDescent="0.25">
      <c r="A1910" t="s">
        <v>98</v>
      </c>
      <c r="B1910" t="s">
        <v>99</v>
      </c>
      <c r="C1910" t="s">
        <v>689</v>
      </c>
      <c r="D1910" t="s">
        <v>1707</v>
      </c>
      <c r="E1910" t="s">
        <v>426</v>
      </c>
      <c r="G1910" t="s">
        <v>440</v>
      </c>
      <c r="H1910" t="s">
        <v>125</v>
      </c>
      <c r="I1910">
        <v>2016</v>
      </c>
      <c r="J1910" t="s">
        <v>441</v>
      </c>
      <c r="K1910" t="s">
        <v>127</v>
      </c>
      <c r="L1910" t="s">
        <v>2179</v>
      </c>
      <c r="M1910" t="s">
        <v>2184</v>
      </c>
      <c r="N1910">
        <v>1</v>
      </c>
      <c r="O1910">
        <v>2020</v>
      </c>
      <c r="P1910">
        <v>841.35776153906556</v>
      </c>
      <c r="Q1910">
        <v>0.2264658115138328</v>
      </c>
      <c r="R1910" t="s">
        <v>391</v>
      </c>
      <c r="S1910">
        <v>3715.1645800967808</v>
      </c>
      <c r="T1910">
        <v>477.41800000000001</v>
      </c>
      <c r="U1910" t="s">
        <v>392</v>
      </c>
      <c r="V1910">
        <v>1.736065454545455</v>
      </c>
      <c r="W1910">
        <v>16.5973520403479</v>
      </c>
      <c r="X1910">
        <v>27.331519839424129</v>
      </c>
      <c r="Y1910">
        <v>22</v>
      </c>
      <c r="Z1910">
        <v>0.65</v>
      </c>
      <c r="AA1910">
        <v>1</v>
      </c>
    </row>
    <row r="1911" spans="1:27" x14ac:dyDescent="0.25">
      <c r="A1911" t="s">
        <v>98</v>
      </c>
      <c r="B1911" t="s">
        <v>99</v>
      </c>
      <c r="C1911" t="s">
        <v>689</v>
      </c>
      <c r="D1911" t="s">
        <v>1707</v>
      </c>
      <c r="E1911" t="s">
        <v>426</v>
      </c>
      <c r="G1911" t="s">
        <v>443</v>
      </c>
      <c r="H1911" t="s">
        <v>125</v>
      </c>
      <c r="I1911">
        <v>2016</v>
      </c>
      <c r="J1911" t="s">
        <v>444</v>
      </c>
      <c r="K1911" t="s">
        <v>127</v>
      </c>
      <c r="L1911" t="s">
        <v>2179</v>
      </c>
      <c r="M1911" t="s">
        <v>2185</v>
      </c>
      <c r="N1911">
        <v>1</v>
      </c>
      <c r="O1911">
        <v>2020</v>
      </c>
      <c r="P1911">
        <v>914.51930602072343</v>
      </c>
      <c r="Q1911">
        <v>0.2264658115138328</v>
      </c>
      <c r="R1911" t="s">
        <v>391</v>
      </c>
      <c r="S1911">
        <v>4038.222369670415</v>
      </c>
      <c r="T1911">
        <v>446</v>
      </c>
      <c r="U1911" t="s">
        <v>392</v>
      </c>
      <c r="V1911">
        <v>1.621818181818182</v>
      </c>
      <c r="W1911">
        <v>16.5973520403479</v>
      </c>
      <c r="X1911">
        <v>27.331519839424129</v>
      </c>
      <c r="Y1911">
        <v>22</v>
      </c>
      <c r="Z1911">
        <v>0.65</v>
      </c>
      <c r="AA1911">
        <v>1</v>
      </c>
    </row>
    <row r="1912" spans="1:27" x14ac:dyDescent="0.25">
      <c r="A1912" t="s">
        <v>98</v>
      </c>
      <c r="B1912" t="s">
        <v>99</v>
      </c>
      <c r="C1912" t="s">
        <v>689</v>
      </c>
      <c r="D1912" t="s">
        <v>1707</v>
      </c>
      <c r="E1912" t="s">
        <v>426</v>
      </c>
      <c r="G1912" t="s">
        <v>446</v>
      </c>
      <c r="H1912" t="s">
        <v>125</v>
      </c>
      <c r="I1912">
        <v>2016</v>
      </c>
      <c r="J1912" t="s">
        <v>447</v>
      </c>
      <c r="K1912" t="s">
        <v>127</v>
      </c>
      <c r="L1912" t="s">
        <v>2179</v>
      </c>
      <c r="M1912" t="s">
        <v>2186</v>
      </c>
      <c r="N1912">
        <v>1</v>
      </c>
      <c r="O1912">
        <v>2020</v>
      </c>
      <c r="P1912">
        <v>963.29366900849539</v>
      </c>
      <c r="Q1912">
        <v>0.2264658115138328</v>
      </c>
      <c r="R1912" t="s">
        <v>391</v>
      </c>
      <c r="S1912">
        <v>4253.5942293861699</v>
      </c>
      <c r="T1912">
        <v>429.67619999999999</v>
      </c>
      <c r="U1912" t="s">
        <v>392</v>
      </c>
      <c r="V1912">
        <v>1.5624589090909089</v>
      </c>
      <c r="W1912">
        <v>16.5973520403479</v>
      </c>
      <c r="X1912">
        <v>27.331519839424129</v>
      </c>
      <c r="Y1912">
        <v>22</v>
      </c>
      <c r="Z1912">
        <v>0.65</v>
      </c>
      <c r="AA1912">
        <v>1</v>
      </c>
    </row>
    <row r="1913" spans="1:27" x14ac:dyDescent="0.25">
      <c r="A1913" t="s">
        <v>98</v>
      </c>
      <c r="B1913" t="s">
        <v>99</v>
      </c>
      <c r="C1913" t="s">
        <v>689</v>
      </c>
      <c r="D1913" t="s">
        <v>1707</v>
      </c>
      <c r="E1913" t="s">
        <v>426</v>
      </c>
      <c r="G1913" t="s">
        <v>449</v>
      </c>
      <c r="H1913" t="s">
        <v>125</v>
      </c>
      <c r="I1913">
        <v>2016</v>
      </c>
      <c r="J1913" t="s">
        <v>450</v>
      </c>
      <c r="K1913" t="s">
        <v>127</v>
      </c>
      <c r="L1913" t="s">
        <v>2179</v>
      </c>
      <c r="M1913" t="s">
        <v>2187</v>
      </c>
      <c r="N1913">
        <v>1</v>
      </c>
      <c r="O1913">
        <v>2020</v>
      </c>
      <c r="P1913">
        <v>987.6808505023813</v>
      </c>
      <c r="Q1913">
        <v>0.2264658115138328</v>
      </c>
      <c r="R1913" t="s">
        <v>391</v>
      </c>
      <c r="S1913">
        <v>4361.2801592440474</v>
      </c>
      <c r="T1913">
        <v>419</v>
      </c>
      <c r="U1913" t="s">
        <v>392</v>
      </c>
      <c r="V1913">
        <v>1.5236363636363639</v>
      </c>
      <c r="W1913">
        <v>16.5973520403479</v>
      </c>
      <c r="X1913">
        <v>27.331519839424129</v>
      </c>
      <c r="Y1913">
        <v>22</v>
      </c>
      <c r="Z1913">
        <v>0.65</v>
      </c>
      <c r="AA1913">
        <v>1</v>
      </c>
    </row>
    <row r="1914" spans="1:27" x14ac:dyDescent="0.25">
      <c r="A1914" t="s">
        <v>98</v>
      </c>
      <c r="B1914" t="s">
        <v>99</v>
      </c>
      <c r="C1914" t="s">
        <v>689</v>
      </c>
      <c r="D1914" t="s">
        <v>1707</v>
      </c>
      <c r="E1914" t="s">
        <v>452</v>
      </c>
      <c r="G1914" t="s">
        <v>111</v>
      </c>
      <c r="H1914" t="s">
        <v>104</v>
      </c>
      <c r="I1914">
        <v>2016</v>
      </c>
      <c r="J1914" t="s">
        <v>453</v>
      </c>
      <c r="K1914" t="s">
        <v>106</v>
      </c>
      <c r="L1914" t="s">
        <v>2188</v>
      </c>
      <c r="M1914" t="s">
        <v>2189</v>
      </c>
      <c r="N1914">
        <v>1</v>
      </c>
      <c r="O1914">
        <v>2020</v>
      </c>
      <c r="P1914">
        <v>451.16285763689018</v>
      </c>
      <c r="Q1914">
        <v>16.055331270483929</v>
      </c>
      <c r="R1914" t="s">
        <v>391</v>
      </c>
      <c r="S1914">
        <v>28.100501324834479</v>
      </c>
      <c r="T1914">
        <v>0.45</v>
      </c>
      <c r="U1914" t="s">
        <v>456</v>
      </c>
      <c r="V1914">
        <v>0.45</v>
      </c>
      <c r="W1914">
        <v>9</v>
      </c>
      <c r="X1914">
        <v>15</v>
      </c>
      <c r="Y1914">
        <v>13</v>
      </c>
      <c r="Z1914">
        <v>9.0000000000000011E-2</v>
      </c>
      <c r="AA1914">
        <v>1</v>
      </c>
    </row>
    <row r="1915" spans="1:27" x14ac:dyDescent="0.25">
      <c r="A1915" t="s">
        <v>98</v>
      </c>
      <c r="B1915" t="s">
        <v>99</v>
      </c>
      <c r="C1915" t="s">
        <v>689</v>
      </c>
      <c r="D1915" t="s">
        <v>1707</v>
      </c>
      <c r="E1915" t="s">
        <v>452</v>
      </c>
      <c r="G1915" t="s">
        <v>119</v>
      </c>
      <c r="H1915" t="s">
        <v>104</v>
      </c>
      <c r="I1915">
        <v>2016</v>
      </c>
      <c r="J1915" t="s">
        <v>457</v>
      </c>
      <c r="K1915" t="s">
        <v>106</v>
      </c>
      <c r="L1915" t="s">
        <v>2188</v>
      </c>
      <c r="M1915" t="s">
        <v>2190</v>
      </c>
      <c r="N1915">
        <v>1</v>
      </c>
      <c r="O1915">
        <v>2020</v>
      </c>
      <c r="P1915">
        <v>521.3437466026287</v>
      </c>
      <c r="Q1915">
        <v>16.055331270483929</v>
      </c>
      <c r="R1915" t="s">
        <v>391</v>
      </c>
      <c r="S1915">
        <v>32.471690419808731</v>
      </c>
      <c r="T1915">
        <v>0.52</v>
      </c>
      <c r="U1915" t="s">
        <v>456</v>
      </c>
      <c r="V1915">
        <v>0.52</v>
      </c>
      <c r="W1915">
        <v>9</v>
      </c>
      <c r="X1915">
        <v>15</v>
      </c>
      <c r="Y1915">
        <v>13</v>
      </c>
      <c r="Z1915">
        <v>9.0000000000000011E-2</v>
      </c>
      <c r="AA1915">
        <v>1</v>
      </c>
    </row>
    <row r="1916" spans="1:27" x14ac:dyDescent="0.25">
      <c r="A1916" t="s">
        <v>98</v>
      </c>
      <c r="B1916" t="s">
        <v>99</v>
      </c>
      <c r="C1916" t="s">
        <v>689</v>
      </c>
      <c r="D1916" t="s">
        <v>1707</v>
      </c>
      <c r="E1916" t="s">
        <v>452</v>
      </c>
      <c r="G1916" t="s">
        <v>111</v>
      </c>
      <c r="H1916" t="s">
        <v>156</v>
      </c>
      <c r="I1916">
        <v>2016</v>
      </c>
      <c r="J1916" t="s">
        <v>459</v>
      </c>
      <c r="K1916" t="s">
        <v>158</v>
      </c>
      <c r="L1916" t="s">
        <v>2188</v>
      </c>
      <c r="M1916" t="s">
        <v>2191</v>
      </c>
      <c r="N1916">
        <v>1</v>
      </c>
      <c r="O1916">
        <v>2020</v>
      </c>
      <c r="P1916">
        <v>451.16285763689018</v>
      </c>
      <c r="Q1916">
        <v>16.055331270483929</v>
      </c>
      <c r="R1916" t="s">
        <v>391</v>
      </c>
      <c r="S1916">
        <v>28.100501324834479</v>
      </c>
      <c r="T1916">
        <v>0.45</v>
      </c>
      <c r="U1916" t="s">
        <v>456</v>
      </c>
      <c r="V1916">
        <v>0.45</v>
      </c>
      <c r="W1916">
        <v>9</v>
      </c>
      <c r="X1916">
        <v>15</v>
      </c>
      <c r="Y1916">
        <v>13</v>
      </c>
      <c r="Z1916">
        <v>9.0000000000000011E-2</v>
      </c>
      <c r="AA1916">
        <v>1</v>
      </c>
    </row>
    <row r="1917" spans="1:27" x14ac:dyDescent="0.25">
      <c r="A1917" t="s">
        <v>98</v>
      </c>
      <c r="B1917" t="s">
        <v>99</v>
      </c>
      <c r="C1917" t="s">
        <v>689</v>
      </c>
      <c r="D1917" t="s">
        <v>1707</v>
      </c>
      <c r="E1917" t="s">
        <v>452</v>
      </c>
      <c r="G1917" t="s">
        <v>119</v>
      </c>
      <c r="H1917" t="s">
        <v>156</v>
      </c>
      <c r="I1917">
        <v>2016</v>
      </c>
      <c r="J1917" t="s">
        <v>461</v>
      </c>
      <c r="K1917" t="s">
        <v>158</v>
      </c>
      <c r="L1917" t="s">
        <v>2188</v>
      </c>
      <c r="M1917" t="s">
        <v>2192</v>
      </c>
      <c r="N1917">
        <v>1</v>
      </c>
      <c r="O1917">
        <v>2020</v>
      </c>
      <c r="P1917">
        <v>521.3437466026287</v>
      </c>
      <c r="Q1917">
        <v>16.055331270483929</v>
      </c>
      <c r="R1917" t="s">
        <v>391</v>
      </c>
      <c r="S1917">
        <v>32.471690419808731</v>
      </c>
      <c r="T1917">
        <v>0.52</v>
      </c>
      <c r="U1917" t="s">
        <v>456</v>
      </c>
      <c r="V1917">
        <v>0.52</v>
      </c>
      <c r="W1917">
        <v>9</v>
      </c>
      <c r="X1917">
        <v>15</v>
      </c>
      <c r="Y1917">
        <v>13</v>
      </c>
      <c r="Z1917">
        <v>9.0000000000000011E-2</v>
      </c>
      <c r="AA1917">
        <v>1</v>
      </c>
    </row>
    <row r="1918" spans="1:27" x14ac:dyDescent="0.25">
      <c r="A1918" t="s">
        <v>98</v>
      </c>
      <c r="B1918" t="s">
        <v>99</v>
      </c>
      <c r="C1918" t="s">
        <v>689</v>
      </c>
      <c r="D1918" t="s">
        <v>1707</v>
      </c>
      <c r="E1918" t="s">
        <v>452</v>
      </c>
      <c r="G1918" t="s">
        <v>111</v>
      </c>
      <c r="H1918" t="s">
        <v>125</v>
      </c>
      <c r="I1918">
        <v>2016</v>
      </c>
      <c r="J1918" t="s">
        <v>463</v>
      </c>
      <c r="K1918" t="s">
        <v>127</v>
      </c>
      <c r="L1918" t="s">
        <v>2188</v>
      </c>
      <c r="M1918" t="s">
        <v>2193</v>
      </c>
      <c r="N1918">
        <v>1</v>
      </c>
      <c r="O1918">
        <v>2020</v>
      </c>
      <c r="P1918">
        <v>938.90648751460947</v>
      </c>
      <c r="Q1918">
        <v>16.055331270483929</v>
      </c>
      <c r="R1918" t="s">
        <v>391</v>
      </c>
      <c r="S1918">
        <v>58.479421676006901</v>
      </c>
      <c r="T1918">
        <v>228.0913607809874</v>
      </c>
      <c r="U1918" t="s">
        <v>392</v>
      </c>
      <c r="V1918">
        <v>0.9</v>
      </c>
      <c r="W1918">
        <v>10</v>
      </c>
      <c r="X1918">
        <v>20</v>
      </c>
      <c r="Y1918">
        <v>16</v>
      </c>
      <c r="Z1918">
        <v>9.0000000000000011E-2</v>
      </c>
      <c r="AA1918">
        <v>1</v>
      </c>
    </row>
    <row r="1919" spans="1:27" x14ac:dyDescent="0.25">
      <c r="A1919" t="s">
        <v>98</v>
      </c>
      <c r="B1919" t="s">
        <v>99</v>
      </c>
      <c r="C1919" t="s">
        <v>689</v>
      </c>
      <c r="D1919" t="s">
        <v>1707</v>
      </c>
      <c r="E1919" t="s">
        <v>465</v>
      </c>
      <c r="G1919" t="s">
        <v>466</v>
      </c>
      <c r="H1919" t="s">
        <v>125</v>
      </c>
      <c r="I1919">
        <v>2030</v>
      </c>
      <c r="J1919" t="s">
        <v>467</v>
      </c>
      <c r="K1919" t="s">
        <v>127</v>
      </c>
      <c r="L1919" t="s">
        <v>2194</v>
      </c>
      <c r="M1919" t="s">
        <v>2195</v>
      </c>
      <c r="N1919">
        <v>1</v>
      </c>
      <c r="O1919">
        <v>2030</v>
      </c>
      <c r="P1919">
        <v>1646.1347508373019</v>
      </c>
      <c r="Q1919">
        <v>1.2636727213417449</v>
      </c>
      <c r="R1919" t="s">
        <v>391</v>
      </c>
      <c r="S1919">
        <v>1302.659084932581</v>
      </c>
      <c r="T1919">
        <v>0.28000000000000003</v>
      </c>
      <c r="U1919" t="s">
        <v>470</v>
      </c>
      <c r="V1919">
        <v>2.333333333333333</v>
      </c>
      <c r="W1919">
        <v>6</v>
      </c>
      <c r="X1919">
        <v>17</v>
      </c>
      <c r="Y1919">
        <v>12</v>
      </c>
      <c r="Z1919">
        <v>0.02</v>
      </c>
      <c r="AA1919">
        <v>1</v>
      </c>
    </row>
    <row r="1920" spans="1:27" x14ac:dyDescent="0.25">
      <c r="A1920" t="s">
        <v>98</v>
      </c>
      <c r="B1920" t="s">
        <v>99</v>
      </c>
      <c r="C1920" t="s">
        <v>689</v>
      </c>
      <c r="D1920" t="s">
        <v>1707</v>
      </c>
      <c r="E1920" t="s">
        <v>465</v>
      </c>
      <c r="G1920" t="s">
        <v>471</v>
      </c>
      <c r="H1920" t="s">
        <v>125</v>
      </c>
      <c r="I1920">
        <v>2016</v>
      </c>
      <c r="J1920" t="s">
        <v>472</v>
      </c>
      <c r="K1920" t="s">
        <v>127</v>
      </c>
      <c r="L1920" t="s">
        <v>2194</v>
      </c>
      <c r="M1920" t="s">
        <v>2196</v>
      </c>
      <c r="N1920">
        <v>1</v>
      </c>
      <c r="O1920">
        <v>2020</v>
      </c>
      <c r="P1920">
        <v>792.58339855129361</v>
      </c>
      <c r="Q1920">
        <v>1.2636727213417449</v>
      </c>
      <c r="R1920" t="s">
        <v>391</v>
      </c>
      <c r="S1920">
        <v>627.20622607865016</v>
      </c>
      <c r="T1920">
        <v>0.26</v>
      </c>
      <c r="U1920" t="s">
        <v>470</v>
      </c>
      <c r="V1920">
        <v>2.166666666666667</v>
      </c>
      <c r="W1920">
        <v>6</v>
      </c>
      <c r="X1920">
        <v>17</v>
      </c>
      <c r="Y1920">
        <v>12</v>
      </c>
      <c r="Z1920">
        <v>0.02</v>
      </c>
      <c r="AA1920">
        <v>1</v>
      </c>
    </row>
    <row r="1921" spans="1:27" x14ac:dyDescent="0.25">
      <c r="A1921" t="s">
        <v>98</v>
      </c>
      <c r="B1921" t="s">
        <v>99</v>
      </c>
      <c r="C1921" t="s">
        <v>689</v>
      </c>
      <c r="D1921" t="s">
        <v>1707</v>
      </c>
      <c r="E1921" t="s">
        <v>465</v>
      </c>
      <c r="G1921" t="s">
        <v>474</v>
      </c>
      <c r="H1921" t="s">
        <v>125</v>
      </c>
      <c r="I1921">
        <v>2016</v>
      </c>
      <c r="J1921" t="s">
        <v>475</v>
      </c>
      <c r="K1921" t="s">
        <v>127</v>
      </c>
      <c r="L1921" t="s">
        <v>2194</v>
      </c>
      <c r="M1921" t="s">
        <v>2197</v>
      </c>
      <c r="N1921">
        <v>0</v>
      </c>
      <c r="O1921">
        <v>2020</v>
      </c>
      <c r="P1921">
        <v>792.58339855129361</v>
      </c>
      <c r="Q1921">
        <v>1.2636727213417449</v>
      </c>
      <c r="R1921" t="s">
        <v>391</v>
      </c>
      <c r="S1921">
        <v>627.20622607865016</v>
      </c>
      <c r="T1921">
        <v>0.26</v>
      </c>
      <c r="U1921" t="s">
        <v>470</v>
      </c>
      <c r="V1921">
        <v>2.166666666666667</v>
      </c>
      <c r="W1921">
        <v>6</v>
      </c>
      <c r="X1921">
        <v>17</v>
      </c>
      <c r="Y1921">
        <v>12</v>
      </c>
      <c r="Z1921">
        <v>0.02</v>
      </c>
      <c r="AA1921">
        <v>1</v>
      </c>
    </row>
    <row r="1922" spans="1:27" x14ac:dyDescent="0.25">
      <c r="A1922" t="s">
        <v>98</v>
      </c>
      <c r="B1922" t="s">
        <v>99</v>
      </c>
      <c r="C1922" t="s">
        <v>689</v>
      </c>
      <c r="D1922" t="s">
        <v>1707</v>
      </c>
      <c r="E1922" t="s">
        <v>465</v>
      </c>
      <c r="G1922" t="s">
        <v>474</v>
      </c>
      <c r="H1922" t="s">
        <v>125</v>
      </c>
      <c r="I1922">
        <v>2020</v>
      </c>
      <c r="J1922" t="s">
        <v>477</v>
      </c>
      <c r="K1922" t="s">
        <v>127</v>
      </c>
      <c r="L1922" t="s">
        <v>2194</v>
      </c>
      <c r="M1922" t="s">
        <v>2197</v>
      </c>
      <c r="N1922">
        <v>1</v>
      </c>
      <c r="O1922">
        <v>2020</v>
      </c>
      <c r="P1922">
        <v>914.51930602072343</v>
      </c>
      <c r="Q1922">
        <v>1.2636727213417449</v>
      </c>
      <c r="R1922" t="s">
        <v>391</v>
      </c>
      <c r="S1922">
        <v>723.69949162921182</v>
      </c>
      <c r="T1922">
        <v>0.24</v>
      </c>
      <c r="U1922" t="s">
        <v>470</v>
      </c>
      <c r="V1922">
        <v>2</v>
      </c>
      <c r="W1922">
        <v>6</v>
      </c>
      <c r="X1922">
        <v>17</v>
      </c>
      <c r="Y1922">
        <v>12</v>
      </c>
      <c r="Z1922">
        <v>0.02</v>
      </c>
      <c r="AA1922">
        <v>1</v>
      </c>
    </row>
    <row r="1923" spans="1:27" x14ac:dyDescent="0.25">
      <c r="A1923" t="s">
        <v>98</v>
      </c>
      <c r="B1923" t="s">
        <v>99</v>
      </c>
      <c r="C1923" t="s">
        <v>689</v>
      </c>
      <c r="D1923" t="s">
        <v>1707</v>
      </c>
      <c r="E1923" t="s">
        <v>465</v>
      </c>
      <c r="G1923" t="s">
        <v>478</v>
      </c>
      <c r="H1923" t="s">
        <v>125</v>
      </c>
      <c r="I1923">
        <v>2016</v>
      </c>
      <c r="J1923" t="s">
        <v>479</v>
      </c>
      <c r="K1923" t="s">
        <v>127</v>
      </c>
      <c r="L1923" t="s">
        <v>2194</v>
      </c>
      <c r="M1923" t="s">
        <v>2198</v>
      </c>
      <c r="N1923">
        <v>1</v>
      </c>
      <c r="O1923">
        <v>2020</v>
      </c>
      <c r="P1923">
        <v>1158.3911209595831</v>
      </c>
      <c r="Q1923">
        <v>1.2636727213417449</v>
      </c>
      <c r="R1923" t="s">
        <v>391</v>
      </c>
      <c r="S1923">
        <v>916.68602273033503</v>
      </c>
      <c r="T1923">
        <v>0.15</v>
      </c>
      <c r="U1923" t="s">
        <v>470</v>
      </c>
      <c r="V1923">
        <v>1.25</v>
      </c>
      <c r="W1923">
        <v>6</v>
      </c>
      <c r="X1923">
        <v>17</v>
      </c>
      <c r="Y1923">
        <v>12</v>
      </c>
      <c r="Z1923">
        <v>0.02</v>
      </c>
      <c r="AA1923">
        <v>1</v>
      </c>
    </row>
    <row r="1924" spans="1:27" x14ac:dyDescent="0.25">
      <c r="A1924" t="s">
        <v>98</v>
      </c>
      <c r="B1924" t="s">
        <v>99</v>
      </c>
      <c r="C1924" t="s">
        <v>689</v>
      </c>
      <c r="D1924" t="s">
        <v>1707</v>
      </c>
      <c r="E1924" t="s">
        <v>465</v>
      </c>
      <c r="G1924" t="s">
        <v>481</v>
      </c>
      <c r="H1924" t="s">
        <v>125</v>
      </c>
      <c r="I1924">
        <v>2016</v>
      </c>
      <c r="J1924" t="s">
        <v>482</v>
      </c>
      <c r="K1924" t="s">
        <v>127</v>
      </c>
      <c r="L1924" t="s">
        <v>2194</v>
      </c>
      <c r="M1924" t="s">
        <v>2199</v>
      </c>
      <c r="N1924">
        <v>1</v>
      </c>
      <c r="O1924">
        <v>2020</v>
      </c>
      <c r="P1924">
        <v>1371.7789590310849</v>
      </c>
      <c r="Q1924">
        <v>1.2636727213417449</v>
      </c>
      <c r="R1924" t="s">
        <v>391</v>
      </c>
      <c r="S1924">
        <v>1085.5492374438179</v>
      </c>
      <c r="T1924">
        <v>0.12</v>
      </c>
      <c r="U1924" t="s">
        <v>470</v>
      </c>
      <c r="V1924">
        <v>1</v>
      </c>
      <c r="W1924">
        <v>6</v>
      </c>
      <c r="X1924">
        <v>17</v>
      </c>
      <c r="Y1924">
        <v>12</v>
      </c>
      <c r="Z1924">
        <v>0.02</v>
      </c>
      <c r="AA1924">
        <v>1</v>
      </c>
    </row>
    <row r="1925" spans="1:27" x14ac:dyDescent="0.25">
      <c r="A1925" t="s">
        <v>98</v>
      </c>
      <c r="B1925" t="s">
        <v>99</v>
      </c>
      <c r="C1925" t="s">
        <v>689</v>
      </c>
      <c r="D1925" t="s">
        <v>1707</v>
      </c>
      <c r="E1925" t="s">
        <v>465</v>
      </c>
      <c r="G1925" t="s">
        <v>484</v>
      </c>
      <c r="H1925" t="s">
        <v>125</v>
      </c>
      <c r="I1925">
        <v>2016</v>
      </c>
      <c r="J1925" t="s">
        <v>485</v>
      </c>
      <c r="K1925" t="s">
        <v>127</v>
      </c>
      <c r="L1925" t="s">
        <v>2194</v>
      </c>
      <c r="M1925" t="s">
        <v>2200</v>
      </c>
      <c r="N1925">
        <v>1</v>
      </c>
      <c r="O1925">
        <v>2020</v>
      </c>
      <c r="P1925">
        <v>1158.3911209595831</v>
      </c>
      <c r="Q1925">
        <v>1.2636727213417449</v>
      </c>
      <c r="R1925" t="s">
        <v>391</v>
      </c>
      <c r="S1925">
        <v>916.68602273033503</v>
      </c>
      <c r="T1925">
        <v>0.15</v>
      </c>
      <c r="U1925" t="s">
        <v>470</v>
      </c>
      <c r="V1925">
        <v>1.25</v>
      </c>
      <c r="W1925">
        <v>6</v>
      </c>
      <c r="X1925">
        <v>17</v>
      </c>
      <c r="Y1925">
        <v>12</v>
      </c>
      <c r="Z1925">
        <v>0.02</v>
      </c>
      <c r="AA1925">
        <v>1</v>
      </c>
    </row>
    <row r="1926" spans="1:27" x14ac:dyDescent="0.25">
      <c r="A1926" t="s">
        <v>98</v>
      </c>
      <c r="B1926" t="s">
        <v>99</v>
      </c>
      <c r="C1926" t="s">
        <v>689</v>
      </c>
      <c r="D1926" t="s">
        <v>1707</v>
      </c>
      <c r="E1926" t="s">
        <v>465</v>
      </c>
      <c r="G1926" t="s">
        <v>487</v>
      </c>
      <c r="H1926" t="s">
        <v>125</v>
      </c>
      <c r="I1926">
        <v>2016</v>
      </c>
      <c r="J1926" t="s">
        <v>488</v>
      </c>
      <c r="K1926" t="s">
        <v>127</v>
      </c>
      <c r="L1926" t="s">
        <v>2194</v>
      </c>
      <c r="M1926" t="s">
        <v>2201</v>
      </c>
      <c r="N1926">
        <v>1</v>
      </c>
      <c r="O1926">
        <v>2020</v>
      </c>
      <c r="P1926">
        <v>1219.359074694298</v>
      </c>
      <c r="Q1926">
        <v>1.2636727213417449</v>
      </c>
      <c r="R1926" t="s">
        <v>391</v>
      </c>
      <c r="S1926">
        <v>964.9326555056158</v>
      </c>
      <c r="T1926">
        <v>0.21</v>
      </c>
      <c r="U1926" t="s">
        <v>470</v>
      </c>
      <c r="V1926">
        <v>1.75</v>
      </c>
      <c r="W1926">
        <v>6</v>
      </c>
      <c r="X1926">
        <v>17</v>
      </c>
      <c r="Y1926">
        <v>12</v>
      </c>
      <c r="Z1926">
        <v>0.02</v>
      </c>
      <c r="AA1926">
        <v>1</v>
      </c>
    </row>
    <row r="1927" spans="1:27" x14ac:dyDescent="0.25">
      <c r="A1927" t="s">
        <v>98</v>
      </c>
      <c r="B1927" t="s">
        <v>99</v>
      </c>
      <c r="C1927" t="s">
        <v>689</v>
      </c>
      <c r="D1927" t="s">
        <v>1707</v>
      </c>
      <c r="E1927" t="s">
        <v>465</v>
      </c>
      <c r="G1927" t="s">
        <v>487</v>
      </c>
      <c r="H1927" t="s">
        <v>125</v>
      </c>
      <c r="I1927">
        <v>2030</v>
      </c>
      <c r="J1927" t="s">
        <v>490</v>
      </c>
      <c r="K1927" t="s">
        <v>127</v>
      </c>
      <c r="L1927" t="s">
        <v>2194</v>
      </c>
      <c r="M1927" t="s">
        <v>2202</v>
      </c>
      <c r="N1927">
        <v>1</v>
      </c>
      <c r="O1927">
        <v>2030</v>
      </c>
      <c r="P1927">
        <v>1280.3270284290129</v>
      </c>
      <c r="Q1927">
        <v>1.2636727213417449</v>
      </c>
      <c r="R1927" t="s">
        <v>391</v>
      </c>
      <c r="S1927">
        <v>1013.179288280897</v>
      </c>
      <c r="T1927">
        <v>0.17</v>
      </c>
      <c r="U1927" t="s">
        <v>470</v>
      </c>
      <c r="V1927">
        <v>1.416666666666667</v>
      </c>
      <c r="W1927">
        <v>6</v>
      </c>
      <c r="X1927">
        <v>17</v>
      </c>
      <c r="Y1927">
        <v>12</v>
      </c>
      <c r="Z1927">
        <v>0.02</v>
      </c>
      <c r="AA1927">
        <v>1</v>
      </c>
    </row>
    <row r="1928" spans="1:27" x14ac:dyDescent="0.25">
      <c r="A1928" t="s">
        <v>98</v>
      </c>
      <c r="B1928" t="s">
        <v>99</v>
      </c>
      <c r="C1928" t="s">
        <v>689</v>
      </c>
      <c r="D1928" t="s">
        <v>1707</v>
      </c>
      <c r="E1928" t="s">
        <v>465</v>
      </c>
      <c r="G1928" t="s">
        <v>492</v>
      </c>
      <c r="H1928" t="s">
        <v>125</v>
      </c>
      <c r="I1928">
        <v>2016</v>
      </c>
      <c r="J1928" t="s">
        <v>493</v>
      </c>
      <c r="K1928" t="s">
        <v>127</v>
      </c>
      <c r="L1928" t="s">
        <v>2194</v>
      </c>
      <c r="M1928" t="s">
        <v>2203</v>
      </c>
      <c r="N1928">
        <v>1</v>
      </c>
      <c r="O1928">
        <v>2020</v>
      </c>
      <c r="P1928">
        <v>1158.3911209595831</v>
      </c>
      <c r="Q1928">
        <v>1.2636727213417449</v>
      </c>
      <c r="R1928" t="s">
        <v>391</v>
      </c>
      <c r="S1928">
        <v>916.68602273033503</v>
      </c>
      <c r="T1928">
        <v>0.28999999999999998</v>
      </c>
      <c r="U1928" t="s">
        <v>470</v>
      </c>
      <c r="V1928">
        <v>2.416666666666667</v>
      </c>
      <c r="W1928">
        <v>6</v>
      </c>
      <c r="X1928">
        <v>17</v>
      </c>
      <c r="Y1928">
        <v>12</v>
      </c>
      <c r="Z1928">
        <v>0.02</v>
      </c>
      <c r="AA1928">
        <v>1</v>
      </c>
    </row>
    <row r="1929" spans="1:27" x14ac:dyDescent="0.25">
      <c r="A1929" t="s">
        <v>98</v>
      </c>
      <c r="B1929" t="s">
        <v>99</v>
      </c>
      <c r="C1929" t="s">
        <v>689</v>
      </c>
      <c r="D1929" t="s">
        <v>1707</v>
      </c>
      <c r="E1929" t="s">
        <v>465</v>
      </c>
      <c r="G1929" t="s">
        <v>466</v>
      </c>
      <c r="H1929" t="s">
        <v>125</v>
      </c>
      <c r="I1929">
        <v>2016</v>
      </c>
      <c r="J1929" t="s">
        <v>495</v>
      </c>
      <c r="K1929" t="s">
        <v>127</v>
      </c>
      <c r="L1929" t="s">
        <v>2194</v>
      </c>
      <c r="M1929" t="s">
        <v>2204</v>
      </c>
      <c r="N1929">
        <v>0</v>
      </c>
      <c r="O1929">
        <v>2020</v>
      </c>
      <c r="P1929">
        <v>1280.3270284290129</v>
      </c>
      <c r="Q1929">
        <v>1.2636727213417449</v>
      </c>
      <c r="R1929" t="s">
        <v>391</v>
      </c>
      <c r="S1929">
        <v>1013.179288280897</v>
      </c>
      <c r="T1929">
        <v>0.17</v>
      </c>
      <c r="U1929" t="s">
        <v>470</v>
      </c>
      <c r="V1929">
        <v>1.416666666666667</v>
      </c>
      <c r="W1929">
        <v>6</v>
      </c>
      <c r="X1929">
        <v>17</v>
      </c>
      <c r="Y1929">
        <v>12</v>
      </c>
      <c r="Z1929">
        <v>0.02</v>
      </c>
      <c r="AA1929">
        <v>1</v>
      </c>
    </row>
    <row r="1930" spans="1:27" x14ac:dyDescent="0.25">
      <c r="A1930" t="s">
        <v>98</v>
      </c>
      <c r="B1930" t="s">
        <v>99</v>
      </c>
      <c r="C1930" t="s">
        <v>689</v>
      </c>
      <c r="D1930" t="s">
        <v>1707</v>
      </c>
      <c r="E1930" t="s">
        <v>465</v>
      </c>
      <c r="G1930" t="s">
        <v>466</v>
      </c>
      <c r="H1930" t="s">
        <v>125</v>
      </c>
      <c r="I1930">
        <v>2020</v>
      </c>
      <c r="J1930" t="s">
        <v>497</v>
      </c>
      <c r="K1930" t="s">
        <v>127</v>
      </c>
      <c r="L1930" t="s">
        <v>2194</v>
      </c>
      <c r="M1930" t="s">
        <v>2204</v>
      </c>
      <c r="N1930">
        <v>1</v>
      </c>
      <c r="O1930">
        <v>2020</v>
      </c>
      <c r="P1930">
        <v>1646.1347508373019</v>
      </c>
      <c r="Q1930">
        <v>1.2636727213417449</v>
      </c>
      <c r="R1930" t="s">
        <v>391</v>
      </c>
      <c r="S1930">
        <v>1302.659084932581</v>
      </c>
      <c r="T1930">
        <v>0.28000000000000003</v>
      </c>
      <c r="U1930" t="s">
        <v>470</v>
      </c>
      <c r="V1930">
        <v>2.333333333333333</v>
      </c>
      <c r="W1930">
        <v>6</v>
      </c>
      <c r="X1930">
        <v>17</v>
      </c>
      <c r="Y1930">
        <v>12</v>
      </c>
      <c r="Z1930">
        <v>0.02</v>
      </c>
      <c r="AA1930">
        <v>1</v>
      </c>
    </row>
    <row r="1931" spans="1:27" x14ac:dyDescent="0.25">
      <c r="A1931" t="s">
        <v>98</v>
      </c>
      <c r="B1931" t="s">
        <v>99</v>
      </c>
      <c r="C1931" t="s">
        <v>689</v>
      </c>
      <c r="D1931" t="s">
        <v>1707</v>
      </c>
      <c r="E1931" t="s">
        <v>498</v>
      </c>
      <c r="G1931" t="s">
        <v>103</v>
      </c>
      <c r="H1931" t="s">
        <v>104</v>
      </c>
      <c r="I1931">
        <v>2016</v>
      </c>
      <c r="J1931" t="s">
        <v>499</v>
      </c>
      <c r="K1931" t="s">
        <v>106</v>
      </c>
      <c r="L1931" t="s">
        <v>2205</v>
      </c>
      <c r="M1931" t="s">
        <v>2206</v>
      </c>
      <c r="N1931">
        <v>1</v>
      </c>
      <c r="O1931">
        <v>2020</v>
      </c>
      <c r="P1931">
        <v>792.58339855129361</v>
      </c>
      <c r="Q1931">
        <v>12.617040935387189</v>
      </c>
      <c r="R1931" t="s">
        <v>391</v>
      </c>
      <c r="S1931">
        <v>62.818485143241787</v>
      </c>
      <c r="T1931">
        <v>3.3</v>
      </c>
      <c r="U1931" t="s">
        <v>502</v>
      </c>
      <c r="V1931">
        <v>1</v>
      </c>
      <c r="W1931">
        <v>8</v>
      </c>
      <c r="X1931">
        <v>18</v>
      </c>
      <c r="Y1931">
        <v>14</v>
      </c>
      <c r="Z1931">
        <v>0.02</v>
      </c>
      <c r="AA1931">
        <v>1</v>
      </c>
    </row>
    <row r="1932" spans="1:27" x14ac:dyDescent="0.25">
      <c r="A1932" t="s">
        <v>98</v>
      </c>
      <c r="B1932" t="s">
        <v>99</v>
      </c>
      <c r="C1932" t="s">
        <v>689</v>
      </c>
      <c r="D1932" t="s">
        <v>1707</v>
      </c>
      <c r="E1932" t="s">
        <v>498</v>
      </c>
      <c r="G1932" t="s">
        <v>111</v>
      </c>
      <c r="H1932" t="s">
        <v>104</v>
      </c>
      <c r="I1932">
        <v>2016</v>
      </c>
      <c r="J1932" t="s">
        <v>503</v>
      </c>
      <c r="K1932" t="s">
        <v>106</v>
      </c>
      <c r="L1932" t="s">
        <v>2205</v>
      </c>
      <c r="M1932" t="s">
        <v>2207</v>
      </c>
      <c r="N1932">
        <v>1</v>
      </c>
      <c r="O1932">
        <v>2020</v>
      </c>
      <c r="P1932">
        <v>804.77698929823669</v>
      </c>
      <c r="Q1932">
        <v>12.617040935387189</v>
      </c>
      <c r="R1932" t="s">
        <v>391</v>
      </c>
      <c r="S1932">
        <v>63.784923376214742</v>
      </c>
      <c r="T1932">
        <v>3.32</v>
      </c>
      <c r="U1932" t="s">
        <v>502</v>
      </c>
      <c r="V1932">
        <v>1.0060606060606061</v>
      </c>
      <c r="W1932">
        <v>8</v>
      </c>
      <c r="X1932">
        <v>18</v>
      </c>
      <c r="Y1932">
        <v>14</v>
      </c>
      <c r="Z1932">
        <v>0.02</v>
      </c>
      <c r="AA1932">
        <v>1</v>
      </c>
    </row>
    <row r="1933" spans="1:27" x14ac:dyDescent="0.25">
      <c r="A1933" t="s">
        <v>98</v>
      </c>
      <c r="B1933" t="s">
        <v>99</v>
      </c>
      <c r="C1933" t="s">
        <v>689</v>
      </c>
      <c r="D1933" t="s">
        <v>1707</v>
      </c>
      <c r="E1933" t="s">
        <v>498</v>
      </c>
      <c r="G1933" t="s">
        <v>114</v>
      </c>
      <c r="H1933" t="s">
        <v>104</v>
      </c>
      <c r="I1933">
        <v>2016</v>
      </c>
      <c r="J1933" t="s">
        <v>505</v>
      </c>
      <c r="K1933" t="s">
        <v>106</v>
      </c>
      <c r="L1933" t="s">
        <v>2205</v>
      </c>
      <c r="M1933" t="s">
        <v>2208</v>
      </c>
      <c r="N1933">
        <v>1</v>
      </c>
      <c r="O1933">
        <v>2020</v>
      </c>
      <c r="P1933">
        <v>843.56142251742892</v>
      </c>
      <c r="Q1933">
        <v>12.617040935387189</v>
      </c>
      <c r="R1933" t="s">
        <v>391</v>
      </c>
      <c r="S1933">
        <v>66.858895587116663</v>
      </c>
      <c r="T1933">
        <v>3.48</v>
      </c>
      <c r="U1933" t="s">
        <v>502</v>
      </c>
      <c r="V1933">
        <v>1.0545454545454549</v>
      </c>
      <c r="W1933">
        <v>8</v>
      </c>
      <c r="X1933">
        <v>18</v>
      </c>
      <c r="Y1933">
        <v>14</v>
      </c>
      <c r="Z1933">
        <v>0.02</v>
      </c>
      <c r="AA1933">
        <v>1</v>
      </c>
    </row>
    <row r="1934" spans="1:27" x14ac:dyDescent="0.25">
      <c r="A1934" t="s">
        <v>98</v>
      </c>
      <c r="B1934" t="s">
        <v>99</v>
      </c>
      <c r="C1934" t="s">
        <v>689</v>
      </c>
      <c r="D1934" t="s">
        <v>1707</v>
      </c>
      <c r="E1934" t="s">
        <v>498</v>
      </c>
      <c r="G1934" t="s">
        <v>119</v>
      </c>
      <c r="H1934" t="s">
        <v>104</v>
      </c>
      <c r="I1934">
        <v>2016</v>
      </c>
      <c r="J1934" t="s">
        <v>507</v>
      </c>
      <c r="K1934" t="s">
        <v>106</v>
      </c>
      <c r="L1934" t="s">
        <v>2205</v>
      </c>
      <c r="M1934" t="s">
        <v>2209</v>
      </c>
      <c r="N1934">
        <v>1</v>
      </c>
      <c r="O1934">
        <v>2020</v>
      </c>
      <c r="P1934">
        <v>938.90648751460947</v>
      </c>
      <c r="Q1934">
        <v>12.617040935387189</v>
      </c>
      <c r="R1934" t="s">
        <v>391</v>
      </c>
      <c r="S1934">
        <v>74.415743938917203</v>
      </c>
      <c r="T1934">
        <v>3.49</v>
      </c>
      <c r="U1934" t="s">
        <v>502</v>
      </c>
      <c r="V1934">
        <v>1.0575757575757581</v>
      </c>
      <c r="W1934">
        <v>8</v>
      </c>
      <c r="X1934">
        <v>18</v>
      </c>
      <c r="Y1934">
        <v>14</v>
      </c>
      <c r="Z1934">
        <v>0.02</v>
      </c>
      <c r="AA1934">
        <v>1</v>
      </c>
    </row>
    <row r="1935" spans="1:27" x14ac:dyDescent="0.25">
      <c r="A1935" t="s">
        <v>98</v>
      </c>
      <c r="B1935" t="s">
        <v>99</v>
      </c>
      <c r="C1935" t="s">
        <v>689</v>
      </c>
      <c r="D1935" t="s">
        <v>1707</v>
      </c>
      <c r="E1935" t="s">
        <v>498</v>
      </c>
      <c r="G1935" t="s">
        <v>119</v>
      </c>
      <c r="H1935" t="s">
        <v>104</v>
      </c>
      <c r="I1935">
        <v>2030</v>
      </c>
      <c r="J1935" t="s">
        <v>509</v>
      </c>
      <c r="K1935" t="s">
        <v>106</v>
      </c>
      <c r="L1935" t="s">
        <v>2205</v>
      </c>
      <c r="M1935" t="s">
        <v>2210</v>
      </c>
      <c r="N1935">
        <v>1</v>
      </c>
      <c r="O1935">
        <v>2030</v>
      </c>
      <c r="P1935">
        <v>987.6808505023813</v>
      </c>
      <c r="Q1935">
        <v>12.617040935387189</v>
      </c>
      <c r="R1935" t="s">
        <v>391</v>
      </c>
      <c r="S1935">
        <v>78.281496870808994</v>
      </c>
      <c r="T1935">
        <v>3.61</v>
      </c>
      <c r="U1935" t="s">
        <v>502</v>
      </c>
      <c r="V1935">
        <v>1.093939393939394</v>
      </c>
      <c r="W1935">
        <v>8</v>
      </c>
      <c r="X1935">
        <v>18</v>
      </c>
      <c r="Y1935">
        <v>14</v>
      </c>
      <c r="Z1935">
        <v>0.02</v>
      </c>
      <c r="AA1935">
        <v>1</v>
      </c>
    </row>
    <row r="1936" spans="1:27" x14ac:dyDescent="0.25">
      <c r="A1936" t="s">
        <v>98</v>
      </c>
      <c r="B1936" t="s">
        <v>99</v>
      </c>
      <c r="C1936" t="s">
        <v>689</v>
      </c>
      <c r="D1936" t="s">
        <v>1707</v>
      </c>
      <c r="E1936" t="s">
        <v>498</v>
      </c>
      <c r="G1936" t="s">
        <v>103</v>
      </c>
      <c r="H1936" t="s">
        <v>125</v>
      </c>
      <c r="I1936">
        <v>2016</v>
      </c>
      <c r="J1936" t="s">
        <v>511</v>
      </c>
      <c r="K1936" t="s">
        <v>127</v>
      </c>
      <c r="L1936" t="s">
        <v>2205</v>
      </c>
      <c r="M1936" t="s">
        <v>2211</v>
      </c>
      <c r="N1936">
        <v>1</v>
      </c>
      <c r="O1936">
        <v>2020</v>
      </c>
      <c r="P1936">
        <v>646.26030958797787</v>
      </c>
      <c r="Q1936">
        <v>12.617040935387189</v>
      </c>
      <c r="R1936" t="s">
        <v>391</v>
      </c>
      <c r="S1936">
        <v>51.221226347566379</v>
      </c>
      <c r="T1936">
        <v>3.73</v>
      </c>
      <c r="U1936" t="s">
        <v>502</v>
      </c>
      <c r="V1936">
        <v>1.1303030303030299</v>
      </c>
      <c r="W1936">
        <v>8</v>
      </c>
      <c r="X1936">
        <v>18</v>
      </c>
      <c r="Y1936">
        <v>14</v>
      </c>
      <c r="Z1936">
        <v>0.02</v>
      </c>
      <c r="AA1936">
        <v>1</v>
      </c>
    </row>
    <row r="1937" spans="1:27" x14ac:dyDescent="0.25">
      <c r="A1937" t="s">
        <v>98</v>
      </c>
      <c r="B1937" t="s">
        <v>99</v>
      </c>
      <c r="C1937" t="s">
        <v>689</v>
      </c>
      <c r="D1937" t="s">
        <v>1707</v>
      </c>
      <c r="E1937" t="s">
        <v>498</v>
      </c>
      <c r="G1937" t="s">
        <v>111</v>
      </c>
      <c r="H1937" t="s">
        <v>125</v>
      </c>
      <c r="I1937">
        <v>2016</v>
      </c>
      <c r="J1937" t="s">
        <v>513</v>
      </c>
      <c r="K1937" t="s">
        <v>127</v>
      </c>
      <c r="L1937" t="s">
        <v>2205</v>
      </c>
      <c r="M1937" t="s">
        <v>2212</v>
      </c>
      <c r="N1937">
        <v>1</v>
      </c>
      <c r="O1937">
        <v>2020</v>
      </c>
      <c r="P1937">
        <v>658.45390033492083</v>
      </c>
      <c r="Q1937">
        <v>12.617040935387189</v>
      </c>
      <c r="R1937" t="s">
        <v>391</v>
      </c>
      <c r="S1937">
        <v>52.187664580539327</v>
      </c>
      <c r="T1937">
        <v>3.74</v>
      </c>
      <c r="U1937" t="s">
        <v>502</v>
      </c>
      <c r="V1937">
        <v>1.133333333333334</v>
      </c>
      <c r="W1937">
        <v>8</v>
      </c>
      <c r="X1937">
        <v>18</v>
      </c>
      <c r="Y1937">
        <v>14</v>
      </c>
      <c r="Z1937">
        <v>0.02</v>
      </c>
      <c r="AA1937">
        <v>1</v>
      </c>
    </row>
    <row r="1938" spans="1:27" x14ac:dyDescent="0.25">
      <c r="A1938" t="s">
        <v>98</v>
      </c>
      <c r="B1938" t="s">
        <v>99</v>
      </c>
      <c r="C1938" t="s">
        <v>689</v>
      </c>
      <c r="D1938" t="s">
        <v>1707</v>
      </c>
      <c r="E1938" t="s">
        <v>498</v>
      </c>
      <c r="G1938" t="s">
        <v>114</v>
      </c>
      <c r="H1938" t="s">
        <v>125</v>
      </c>
      <c r="I1938">
        <v>2016</v>
      </c>
      <c r="J1938" t="s">
        <v>515</v>
      </c>
      <c r="K1938" t="s">
        <v>127</v>
      </c>
      <c r="L1938" t="s">
        <v>2205</v>
      </c>
      <c r="M1938" t="s">
        <v>2213</v>
      </c>
      <c r="N1938">
        <v>1</v>
      </c>
      <c r="O1938">
        <v>2020</v>
      </c>
      <c r="P1938">
        <v>691.90476692947561</v>
      </c>
      <c r="Q1938">
        <v>12.617040935387189</v>
      </c>
      <c r="R1938" t="s">
        <v>391</v>
      </c>
      <c r="S1938">
        <v>54.838909572598823</v>
      </c>
      <c r="T1938">
        <v>3.93</v>
      </c>
      <c r="U1938" t="s">
        <v>502</v>
      </c>
      <c r="V1938">
        <v>1.1909090909090909</v>
      </c>
      <c r="W1938">
        <v>8</v>
      </c>
      <c r="X1938">
        <v>18</v>
      </c>
      <c r="Y1938">
        <v>14</v>
      </c>
      <c r="Z1938">
        <v>0.02</v>
      </c>
      <c r="AA1938">
        <v>1</v>
      </c>
    </row>
    <row r="1939" spans="1:27" x14ac:dyDescent="0.25">
      <c r="A1939" t="s">
        <v>98</v>
      </c>
      <c r="B1939" t="s">
        <v>99</v>
      </c>
      <c r="C1939" t="s">
        <v>689</v>
      </c>
      <c r="D1939" t="s">
        <v>1707</v>
      </c>
      <c r="E1939" t="s">
        <v>498</v>
      </c>
      <c r="G1939" t="s">
        <v>119</v>
      </c>
      <c r="H1939" t="s">
        <v>125</v>
      </c>
      <c r="I1939">
        <v>2016</v>
      </c>
      <c r="J1939" t="s">
        <v>517</v>
      </c>
      <c r="K1939" t="s">
        <v>127</v>
      </c>
      <c r="L1939" t="s">
        <v>2205</v>
      </c>
      <c r="M1939" t="s">
        <v>2214</v>
      </c>
      <c r="N1939">
        <v>1</v>
      </c>
      <c r="O1939">
        <v>2020</v>
      </c>
      <c r="P1939">
        <v>938.90648751460947</v>
      </c>
      <c r="Q1939">
        <v>12.617040935387189</v>
      </c>
      <c r="R1939" t="s">
        <v>391</v>
      </c>
      <c r="S1939">
        <v>74.415743938917203</v>
      </c>
      <c r="T1939">
        <v>4.5</v>
      </c>
      <c r="U1939" t="s">
        <v>502</v>
      </c>
      <c r="V1939">
        <v>1.363636363636364</v>
      </c>
      <c r="W1939">
        <v>8</v>
      </c>
      <c r="X1939">
        <v>18</v>
      </c>
      <c r="Y1939">
        <v>14</v>
      </c>
      <c r="Z1939">
        <v>0.02</v>
      </c>
      <c r="AA1939">
        <v>1</v>
      </c>
    </row>
    <row r="1940" spans="1:27" x14ac:dyDescent="0.25">
      <c r="A1940" t="s">
        <v>98</v>
      </c>
      <c r="B1940" t="s">
        <v>519</v>
      </c>
      <c r="C1940" t="s">
        <v>689</v>
      </c>
      <c r="D1940" t="s">
        <v>1707</v>
      </c>
      <c r="E1940" t="s">
        <v>102</v>
      </c>
      <c r="G1940" t="s">
        <v>103</v>
      </c>
      <c r="H1940" t="s">
        <v>104</v>
      </c>
      <c r="I1940">
        <v>2016</v>
      </c>
      <c r="J1940" t="s">
        <v>105</v>
      </c>
      <c r="K1940" t="s">
        <v>106</v>
      </c>
      <c r="L1940" t="s">
        <v>2215</v>
      </c>
      <c r="M1940" t="s">
        <v>2216</v>
      </c>
      <c r="N1940">
        <v>1</v>
      </c>
      <c r="O1940">
        <v>2020</v>
      </c>
      <c r="P1940">
        <v>2225.3303113170941</v>
      </c>
      <c r="Q1940">
        <v>1.8663618897004079</v>
      </c>
      <c r="R1940" t="s">
        <v>109</v>
      </c>
      <c r="S1940">
        <v>1192.3359149142871</v>
      </c>
      <c r="T1940">
        <v>0.61014999999999997</v>
      </c>
      <c r="U1940" t="s">
        <v>110</v>
      </c>
      <c r="V1940">
        <v>0.61014999999999997</v>
      </c>
      <c r="W1940">
        <v>6</v>
      </c>
      <c r="X1940">
        <v>20</v>
      </c>
      <c r="Y1940">
        <v>14</v>
      </c>
      <c r="Z1940">
        <v>0.24</v>
      </c>
      <c r="AA1940">
        <v>31.536000000000001</v>
      </c>
    </row>
    <row r="1941" spans="1:27" x14ac:dyDescent="0.25">
      <c r="A1941" t="s">
        <v>98</v>
      </c>
      <c r="B1941" t="s">
        <v>519</v>
      </c>
      <c r="C1941" t="s">
        <v>689</v>
      </c>
      <c r="D1941" t="s">
        <v>1707</v>
      </c>
      <c r="E1941" t="s">
        <v>102</v>
      </c>
      <c r="G1941" t="s">
        <v>111</v>
      </c>
      <c r="H1941" t="s">
        <v>104</v>
      </c>
      <c r="I1941">
        <v>2016</v>
      </c>
      <c r="J1941" t="s">
        <v>112</v>
      </c>
      <c r="K1941" t="s">
        <v>106</v>
      </c>
      <c r="L1941" t="s">
        <v>2215</v>
      </c>
      <c r="M1941" t="s">
        <v>2217</v>
      </c>
      <c r="N1941">
        <v>1</v>
      </c>
      <c r="O1941">
        <v>2020</v>
      </c>
      <c r="P1941">
        <v>2347.266218786523</v>
      </c>
      <c r="Q1941">
        <v>1.8663618897004079</v>
      </c>
      <c r="R1941" t="s">
        <v>109</v>
      </c>
      <c r="S1941">
        <v>1257.6693897041109</v>
      </c>
      <c r="T1941">
        <v>0.63</v>
      </c>
      <c r="U1941" t="s">
        <v>110</v>
      </c>
      <c r="V1941">
        <v>0.63</v>
      </c>
      <c r="W1941">
        <v>6</v>
      </c>
      <c r="X1941">
        <v>20</v>
      </c>
      <c r="Y1941">
        <v>14</v>
      </c>
      <c r="Z1941">
        <v>0.24</v>
      </c>
      <c r="AA1941">
        <v>31.536000000000001</v>
      </c>
    </row>
    <row r="1942" spans="1:27" x14ac:dyDescent="0.25">
      <c r="A1942" t="s">
        <v>98</v>
      </c>
      <c r="B1942" t="s">
        <v>519</v>
      </c>
      <c r="C1942" t="s">
        <v>689</v>
      </c>
      <c r="D1942" t="s">
        <v>1707</v>
      </c>
      <c r="E1942" t="s">
        <v>102</v>
      </c>
      <c r="G1942" t="s">
        <v>114</v>
      </c>
      <c r="H1942" t="s">
        <v>104</v>
      </c>
      <c r="I1942">
        <v>2016</v>
      </c>
      <c r="J1942" t="s">
        <v>115</v>
      </c>
      <c r="K1942" t="s">
        <v>106</v>
      </c>
      <c r="L1942" t="s">
        <v>2215</v>
      </c>
      <c r="M1942" t="s">
        <v>2218</v>
      </c>
      <c r="N1942">
        <v>1</v>
      </c>
      <c r="O1942">
        <v>2020</v>
      </c>
      <c r="P1942">
        <v>2469.2021262559529</v>
      </c>
      <c r="Q1942">
        <v>1.8663618897004079</v>
      </c>
      <c r="R1942" t="s">
        <v>109</v>
      </c>
      <c r="S1942">
        <v>1323.002864493935</v>
      </c>
      <c r="T1942">
        <v>0.66</v>
      </c>
      <c r="U1942" t="s">
        <v>110</v>
      </c>
      <c r="V1942">
        <v>0.66</v>
      </c>
      <c r="W1942">
        <v>6</v>
      </c>
      <c r="X1942">
        <v>20</v>
      </c>
      <c r="Y1942">
        <v>14</v>
      </c>
      <c r="Z1942">
        <v>0.24</v>
      </c>
      <c r="AA1942">
        <v>31.536000000000001</v>
      </c>
    </row>
    <row r="1943" spans="1:27" x14ac:dyDescent="0.25">
      <c r="A1943" t="s">
        <v>98</v>
      </c>
      <c r="B1943" t="s">
        <v>519</v>
      </c>
      <c r="C1943" t="s">
        <v>689</v>
      </c>
      <c r="D1943" t="s">
        <v>1707</v>
      </c>
      <c r="E1943" t="s">
        <v>102</v>
      </c>
      <c r="G1943" t="s">
        <v>114</v>
      </c>
      <c r="H1943" t="s">
        <v>104</v>
      </c>
      <c r="I1943">
        <v>2023</v>
      </c>
      <c r="J1943" t="s">
        <v>117</v>
      </c>
      <c r="K1943" t="s">
        <v>106</v>
      </c>
      <c r="L1943" t="s">
        <v>2215</v>
      </c>
      <c r="M1943" t="s">
        <v>2219</v>
      </c>
      <c r="N1943">
        <v>1</v>
      </c>
      <c r="O1943">
        <v>2023</v>
      </c>
      <c r="P1943">
        <v>3865.2553631628971</v>
      </c>
      <c r="Q1943">
        <v>1.8663618897004079</v>
      </c>
      <c r="R1943" t="s">
        <v>109</v>
      </c>
      <c r="S1943">
        <v>2071.0106568792812</v>
      </c>
      <c r="T1943">
        <v>0.83499999999999996</v>
      </c>
      <c r="U1943" t="s">
        <v>110</v>
      </c>
      <c r="V1943">
        <v>0.83499999999999996</v>
      </c>
      <c r="W1943">
        <v>6</v>
      </c>
      <c r="X1943">
        <v>20</v>
      </c>
      <c r="Y1943">
        <v>14</v>
      </c>
      <c r="Z1943">
        <v>0.24</v>
      </c>
      <c r="AA1943">
        <v>31.536000000000001</v>
      </c>
    </row>
    <row r="1944" spans="1:27" x14ac:dyDescent="0.25">
      <c r="A1944" t="s">
        <v>98</v>
      </c>
      <c r="B1944" t="s">
        <v>519</v>
      </c>
      <c r="C1944" t="s">
        <v>689</v>
      </c>
      <c r="D1944" t="s">
        <v>1707</v>
      </c>
      <c r="E1944" t="s">
        <v>102</v>
      </c>
      <c r="G1944" t="s">
        <v>119</v>
      </c>
      <c r="H1944" t="s">
        <v>104</v>
      </c>
      <c r="I1944">
        <v>2016</v>
      </c>
      <c r="J1944" t="s">
        <v>120</v>
      </c>
      <c r="K1944" t="s">
        <v>106</v>
      </c>
      <c r="L1944" t="s">
        <v>2215</v>
      </c>
      <c r="M1944" t="s">
        <v>2220</v>
      </c>
      <c r="N1944">
        <v>0</v>
      </c>
      <c r="O1944">
        <v>2020</v>
      </c>
      <c r="P1944">
        <v>3749.5291546849662</v>
      </c>
      <c r="Q1944">
        <v>1.8663618897004079</v>
      </c>
      <c r="R1944" t="s">
        <v>109</v>
      </c>
      <c r="S1944">
        <v>2009.004349787087</v>
      </c>
      <c r="T1944">
        <v>0.81</v>
      </c>
      <c r="U1944" t="s">
        <v>110</v>
      </c>
      <c r="V1944">
        <v>0.81</v>
      </c>
      <c r="W1944">
        <v>6</v>
      </c>
      <c r="X1944">
        <v>20</v>
      </c>
      <c r="Y1944">
        <v>14</v>
      </c>
      <c r="Z1944">
        <v>0.24</v>
      </c>
      <c r="AA1944">
        <v>31.536000000000001</v>
      </c>
    </row>
    <row r="1945" spans="1:27" x14ac:dyDescent="0.25">
      <c r="A1945" t="s">
        <v>98</v>
      </c>
      <c r="B1945" t="s">
        <v>519</v>
      </c>
      <c r="C1945" t="s">
        <v>689</v>
      </c>
      <c r="D1945" t="s">
        <v>1707</v>
      </c>
      <c r="E1945" t="s">
        <v>102</v>
      </c>
      <c r="G1945" t="s">
        <v>119</v>
      </c>
      <c r="H1945" t="s">
        <v>104</v>
      </c>
      <c r="I1945">
        <v>2018</v>
      </c>
      <c r="J1945" t="s">
        <v>122</v>
      </c>
      <c r="K1945" t="s">
        <v>106</v>
      </c>
      <c r="L1945" t="s">
        <v>2215</v>
      </c>
      <c r="M1945" t="s">
        <v>2220</v>
      </c>
      <c r="N1945">
        <v>1</v>
      </c>
      <c r="O1945">
        <v>2020</v>
      </c>
      <c r="P1945">
        <v>3749.5291546849662</v>
      </c>
      <c r="Q1945">
        <v>1.8663618897004079</v>
      </c>
      <c r="R1945" t="s">
        <v>109</v>
      </c>
      <c r="S1945">
        <v>2009.004349787087</v>
      </c>
      <c r="T1945">
        <v>0.81</v>
      </c>
      <c r="U1945" t="s">
        <v>110</v>
      </c>
      <c r="V1945">
        <v>0.81</v>
      </c>
      <c r="W1945">
        <v>6</v>
      </c>
      <c r="X1945">
        <v>20</v>
      </c>
      <c r="Y1945">
        <v>14</v>
      </c>
      <c r="Z1945">
        <v>0.24</v>
      </c>
      <c r="AA1945">
        <v>31.536000000000001</v>
      </c>
    </row>
    <row r="1946" spans="1:27" x14ac:dyDescent="0.25">
      <c r="A1946" t="s">
        <v>98</v>
      </c>
      <c r="B1946" t="s">
        <v>519</v>
      </c>
      <c r="C1946" t="s">
        <v>689</v>
      </c>
      <c r="D1946" t="s">
        <v>1707</v>
      </c>
      <c r="E1946" t="s">
        <v>102</v>
      </c>
      <c r="G1946" t="s">
        <v>119</v>
      </c>
      <c r="H1946" t="s">
        <v>104</v>
      </c>
      <c r="I1946">
        <v>2022</v>
      </c>
      <c r="J1946" t="s">
        <v>123</v>
      </c>
      <c r="K1946" t="s">
        <v>106</v>
      </c>
      <c r="L1946" t="s">
        <v>2215</v>
      </c>
      <c r="M1946" t="s">
        <v>2221</v>
      </c>
      <c r="N1946">
        <v>1</v>
      </c>
      <c r="O1946">
        <v>2022</v>
      </c>
      <c r="P1946">
        <v>3749.5291546849662</v>
      </c>
      <c r="Q1946">
        <v>1.8663618897004079</v>
      </c>
      <c r="R1946" t="s">
        <v>109</v>
      </c>
      <c r="S1946">
        <v>2009.004349787087</v>
      </c>
      <c r="T1946">
        <v>0.81</v>
      </c>
      <c r="U1946" t="s">
        <v>110</v>
      </c>
      <c r="V1946">
        <v>0.81</v>
      </c>
      <c r="W1946">
        <v>6</v>
      </c>
      <c r="X1946">
        <v>20</v>
      </c>
      <c r="Y1946">
        <v>14</v>
      </c>
      <c r="Z1946">
        <v>0.24</v>
      </c>
      <c r="AA1946">
        <v>31.536000000000001</v>
      </c>
    </row>
    <row r="1947" spans="1:27" x14ac:dyDescent="0.25">
      <c r="A1947" t="s">
        <v>98</v>
      </c>
      <c r="B1947" t="s">
        <v>519</v>
      </c>
      <c r="C1947" t="s">
        <v>689</v>
      </c>
      <c r="D1947" t="s">
        <v>1707</v>
      </c>
      <c r="E1947" t="s">
        <v>102</v>
      </c>
      <c r="G1947" t="s">
        <v>103</v>
      </c>
      <c r="H1947" t="s">
        <v>125</v>
      </c>
      <c r="I1947">
        <v>2016</v>
      </c>
      <c r="J1947" t="s">
        <v>126</v>
      </c>
      <c r="K1947" t="s">
        <v>127</v>
      </c>
      <c r="L1947" t="s">
        <v>2215</v>
      </c>
      <c r="M1947" t="s">
        <v>2222</v>
      </c>
      <c r="N1947">
        <v>1</v>
      </c>
      <c r="O1947">
        <v>2020</v>
      </c>
      <c r="P1947">
        <v>945.00328288808089</v>
      </c>
      <c r="Q1947">
        <v>1.8663618897004079</v>
      </c>
      <c r="R1947" t="s">
        <v>109</v>
      </c>
      <c r="S1947">
        <v>506.33442962113571</v>
      </c>
      <c r="T1947">
        <v>0.91554999999999997</v>
      </c>
      <c r="U1947" t="s">
        <v>110</v>
      </c>
      <c r="V1947">
        <v>0.91554999999999997</v>
      </c>
      <c r="W1947">
        <v>6</v>
      </c>
      <c r="X1947">
        <v>20</v>
      </c>
      <c r="Y1947">
        <v>14</v>
      </c>
      <c r="Z1947">
        <v>0.24</v>
      </c>
      <c r="AA1947">
        <v>31.536000000000001</v>
      </c>
    </row>
    <row r="1948" spans="1:27" x14ac:dyDescent="0.25">
      <c r="A1948" t="s">
        <v>98</v>
      </c>
      <c r="B1948" t="s">
        <v>519</v>
      </c>
      <c r="C1948" t="s">
        <v>689</v>
      </c>
      <c r="D1948" t="s">
        <v>1707</v>
      </c>
      <c r="E1948" t="s">
        <v>102</v>
      </c>
      <c r="G1948" t="s">
        <v>111</v>
      </c>
      <c r="H1948" t="s">
        <v>125</v>
      </c>
      <c r="I1948">
        <v>2016</v>
      </c>
      <c r="J1948" t="s">
        <v>129</v>
      </c>
      <c r="K1948" t="s">
        <v>127</v>
      </c>
      <c r="L1948" t="s">
        <v>2215</v>
      </c>
      <c r="M1948" t="s">
        <v>2223</v>
      </c>
      <c r="N1948">
        <v>1</v>
      </c>
      <c r="O1948">
        <v>2020</v>
      </c>
      <c r="P1948">
        <v>1036.455213490153</v>
      </c>
      <c r="Q1948">
        <v>1.8663618897004079</v>
      </c>
      <c r="R1948" t="s">
        <v>109</v>
      </c>
      <c r="S1948">
        <v>555.33453571350378</v>
      </c>
      <c r="T1948">
        <v>0.93</v>
      </c>
      <c r="U1948" t="s">
        <v>110</v>
      </c>
      <c r="V1948">
        <v>0.93</v>
      </c>
      <c r="W1948">
        <v>6</v>
      </c>
      <c r="X1948">
        <v>20</v>
      </c>
      <c r="Y1948">
        <v>14</v>
      </c>
      <c r="Z1948">
        <v>0.24</v>
      </c>
      <c r="AA1948">
        <v>31.536000000000001</v>
      </c>
    </row>
    <row r="1949" spans="1:27" x14ac:dyDescent="0.25">
      <c r="A1949" t="s">
        <v>98</v>
      </c>
      <c r="B1949" t="s">
        <v>519</v>
      </c>
      <c r="C1949" t="s">
        <v>689</v>
      </c>
      <c r="D1949" t="s">
        <v>1707</v>
      </c>
      <c r="E1949" t="s">
        <v>102</v>
      </c>
      <c r="G1949" t="s">
        <v>119</v>
      </c>
      <c r="H1949" t="s">
        <v>125</v>
      </c>
      <c r="I1949">
        <v>2016</v>
      </c>
      <c r="J1949" t="s">
        <v>131</v>
      </c>
      <c r="K1949" t="s">
        <v>127</v>
      </c>
      <c r="L1949" t="s">
        <v>2215</v>
      </c>
      <c r="M1949" t="s">
        <v>2224</v>
      </c>
      <c r="N1949">
        <v>1</v>
      </c>
      <c r="O1949">
        <v>2020</v>
      </c>
      <c r="P1949">
        <v>1493.714866500515</v>
      </c>
      <c r="Q1949">
        <v>1.8663618897004079</v>
      </c>
      <c r="R1949" t="s">
        <v>109</v>
      </c>
      <c r="S1949">
        <v>800.33506617534363</v>
      </c>
      <c r="T1949">
        <v>0.95</v>
      </c>
      <c r="U1949" t="s">
        <v>110</v>
      </c>
      <c r="V1949">
        <v>0.95</v>
      </c>
      <c r="W1949">
        <v>6</v>
      </c>
      <c r="X1949">
        <v>20</v>
      </c>
      <c r="Y1949">
        <v>14</v>
      </c>
      <c r="Z1949">
        <v>0.24</v>
      </c>
      <c r="AA1949">
        <v>31.536000000000001</v>
      </c>
    </row>
    <row r="1950" spans="1:27" x14ac:dyDescent="0.25">
      <c r="A1950" t="s">
        <v>98</v>
      </c>
      <c r="B1950" t="s">
        <v>519</v>
      </c>
      <c r="C1950" t="s">
        <v>689</v>
      </c>
      <c r="D1950" t="s">
        <v>1707</v>
      </c>
      <c r="E1950" t="s">
        <v>102</v>
      </c>
      <c r="G1950" t="s">
        <v>133</v>
      </c>
      <c r="H1950" t="s">
        <v>125</v>
      </c>
      <c r="I1950">
        <v>2016</v>
      </c>
      <c r="J1950" t="s">
        <v>134</v>
      </c>
      <c r="K1950" t="s">
        <v>127</v>
      </c>
      <c r="L1950" t="s">
        <v>2215</v>
      </c>
      <c r="M1950" t="s">
        <v>2225</v>
      </c>
      <c r="N1950">
        <v>1</v>
      </c>
      <c r="O1950">
        <v>2020</v>
      </c>
      <c r="P1950">
        <v>2530.170079990668</v>
      </c>
      <c r="Q1950">
        <v>1.8663618897004079</v>
      </c>
      <c r="R1950" t="s">
        <v>109</v>
      </c>
      <c r="S1950">
        <v>1355.669601888847</v>
      </c>
      <c r="T1950">
        <v>3.28</v>
      </c>
      <c r="U1950" t="s">
        <v>110</v>
      </c>
      <c r="V1950">
        <v>3.28</v>
      </c>
      <c r="W1950">
        <v>6</v>
      </c>
      <c r="X1950">
        <v>20</v>
      </c>
      <c r="Y1950">
        <v>14</v>
      </c>
      <c r="Z1950">
        <v>0.24</v>
      </c>
      <c r="AA1950">
        <v>31.536000000000001</v>
      </c>
    </row>
    <row r="1951" spans="1:27" x14ac:dyDescent="0.25">
      <c r="A1951" t="s">
        <v>98</v>
      </c>
      <c r="B1951" t="s">
        <v>519</v>
      </c>
      <c r="C1951" t="s">
        <v>689</v>
      </c>
      <c r="D1951" t="s">
        <v>1707</v>
      </c>
      <c r="E1951" t="s">
        <v>102</v>
      </c>
      <c r="G1951" t="s">
        <v>133</v>
      </c>
      <c r="H1951" t="s">
        <v>125</v>
      </c>
      <c r="I1951">
        <v>2022</v>
      </c>
      <c r="J1951" t="s">
        <v>136</v>
      </c>
      <c r="K1951" t="s">
        <v>127</v>
      </c>
      <c r="L1951" t="s">
        <v>2215</v>
      </c>
      <c r="M1951" t="s">
        <v>2226</v>
      </c>
      <c r="N1951">
        <v>1</v>
      </c>
      <c r="O1951">
        <v>2022</v>
      </c>
      <c r="P1951">
        <v>2530.170079990668</v>
      </c>
      <c r="Q1951">
        <v>1.8663618897004079</v>
      </c>
      <c r="R1951" t="s">
        <v>109</v>
      </c>
      <c r="S1951">
        <v>1355.669601888847</v>
      </c>
      <c r="T1951">
        <v>3.28</v>
      </c>
      <c r="U1951" t="s">
        <v>110</v>
      </c>
      <c r="V1951">
        <v>3.28</v>
      </c>
      <c r="W1951">
        <v>6</v>
      </c>
      <c r="X1951">
        <v>20</v>
      </c>
      <c r="Y1951">
        <v>14</v>
      </c>
      <c r="Z1951">
        <v>0.24</v>
      </c>
      <c r="AA1951">
        <v>31.536000000000001</v>
      </c>
    </row>
    <row r="1952" spans="1:27" x14ac:dyDescent="0.25">
      <c r="A1952" t="s">
        <v>98</v>
      </c>
      <c r="B1952" t="s">
        <v>519</v>
      </c>
      <c r="C1952" t="s">
        <v>689</v>
      </c>
      <c r="D1952" t="s">
        <v>1707</v>
      </c>
      <c r="E1952" t="s">
        <v>102</v>
      </c>
      <c r="G1952" t="s">
        <v>138</v>
      </c>
      <c r="H1952" t="s">
        <v>125</v>
      </c>
      <c r="I1952">
        <v>2016</v>
      </c>
      <c r="J1952" t="s">
        <v>139</v>
      </c>
      <c r="K1952" t="s">
        <v>127</v>
      </c>
      <c r="L1952" t="s">
        <v>2215</v>
      </c>
      <c r="M1952" t="s">
        <v>2227</v>
      </c>
      <c r="N1952">
        <v>1</v>
      </c>
      <c r="O1952">
        <v>2020</v>
      </c>
      <c r="P1952">
        <v>2316.7822419191662</v>
      </c>
      <c r="Q1952">
        <v>1.8663618897004079</v>
      </c>
      <c r="R1952" t="s">
        <v>109</v>
      </c>
      <c r="S1952">
        <v>1241.336021006656</v>
      </c>
      <c r="T1952">
        <v>2</v>
      </c>
      <c r="U1952" t="s">
        <v>110</v>
      </c>
      <c r="V1952">
        <v>2</v>
      </c>
      <c r="W1952">
        <v>6</v>
      </c>
      <c r="X1952">
        <v>20</v>
      </c>
      <c r="Y1952">
        <v>14</v>
      </c>
      <c r="Z1952">
        <v>0.24</v>
      </c>
      <c r="AA1952">
        <v>31.536000000000001</v>
      </c>
    </row>
    <row r="1953" spans="1:27" x14ac:dyDescent="0.25">
      <c r="A1953" t="s">
        <v>98</v>
      </c>
      <c r="B1953" t="s">
        <v>519</v>
      </c>
      <c r="C1953" t="s">
        <v>689</v>
      </c>
      <c r="D1953" t="s">
        <v>1707</v>
      </c>
      <c r="E1953" t="s">
        <v>102</v>
      </c>
      <c r="G1953" t="s">
        <v>138</v>
      </c>
      <c r="H1953" t="s">
        <v>125</v>
      </c>
      <c r="I1953">
        <v>2022</v>
      </c>
      <c r="J1953" t="s">
        <v>141</v>
      </c>
      <c r="K1953" t="s">
        <v>127</v>
      </c>
      <c r="L1953" t="s">
        <v>2215</v>
      </c>
      <c r="M1953" t="s">
        <v>2228</v>
      </c>
      <c r="N1953">
        <v>1</v>
      </c>
      <c r="O1953">
        <v>2022</v>
      </c>
      <c r="P1953">
        <v>2805.3845753706141</v>
      </c>
      <c r="Q1953">
        <v>1.8663618897004079</v>
      </c>
      <c r="R1953" t="s">
        <v>109</v>
      </c>
      <c r="S1953">
        <v>1503.130015058837</v>
      </c>
      <c r="T1953">
        <v>3.3</v>
      </c>
      <c r="U1953" t="s">
        <v>110</v>
      </c>
      <c r="V1953">
        <v>3.3</v>
      </c>
      <c r="W1953">
        <v>6</v>
      </c>
      <c r="X1953">
        <v>20</v>
      </c>
      <c r="Y1953">
        <v>14</v>
      </c>
      <c r="Z1953">
        <v>0.24</v>
      </c>
      <c r="AA1953">
        <v>31.536000000000001</v>
      </c>
    </row>
    <row r="1954" spans="1:27" x14ac:dyDescent="0.25">
      <c r="A1954" t="s">
        <v>98</v>
      </c>
      <c r="B1954" t="s">
        <v>519</v>
      </c>
      <c r="C1954" t="s">
        <v>689</v>
      </c>
      <c r="D1954" t="s">
        <v>1707</v>
      </c>
      <c r="E1954" t="s">
        <v>102</v>
      </c>
      <c r="G1954" t="s">
        <v>143</v>
      </c>
      <c r="H1954" t="s">
        <v>125</v>
      </c>
      <c r="I1954">
        <v>2016</v>
      </c>
      <c r="J1954" t="s">
        <v>144</v>
      </c>
      <c r="K1954" t="s">
        <v>127</v>
      </c>
      <c r="L1954" t="s">
        <v>2215</v>
      </c>
      <c r="M1954" t="s">
        <v>2229</v>
      </c>
      <c r="N1954">
        <v>1</v>
      </c>
      <c r="O1954">
        <v>2020</v>
      </c>
      <c r="P1954">
        <v>3017.9137098683868</v>
      </c>
      <c r="Q1954">
        <v>1.8663618897004079</v>
      </c>
      <c r="R1954" t="s">
        <v>109</v>
      </c>
      <c r="S1954">
        <v>1617.0035010481431</v>
      </c>
      <c r="T1954">
        <v>3.55</v>
      </c>
      <c r="U1954" t="s">
        <v>110</v>
      </c>
      <c r="V1954">
        <v>3.55</v>
      </c>
      <c r="W1954">
        <v>6</v>
      </c>
      <c r="X1954">
        <v>20</v>
      </c>
      <c r="Y1954">
        <v>14</v>
      </c>
      <c r="Z1954">
        <v>0.24</v>
      </c>
      <c r="AA1954">
        <v>31.536000000000001</v>
      </c>
    </row>
    <row r="1955" spans="1:27" x14ac:dyDescent="0.25">
      <c r="A1955" t="s">
        <v>98</v>
      </c>
      <c r="B1955" t="s">
        <v>519</v>
      </c>
      <c r="C1955" t="s">
        <v>689</v>
      </c>
      <c r="D1955" t="s">
        <v>1707</v>
      </c>
      <c r="E1955" t="s">
        <v>102</v>
      </c>
      <c r="G1955" t="s">
        <v>143</v>
      </c>
      <c r="H1955" t="s">
        <v>125</v>
      </c>
      <c r="I1955">
        <v>2022</v>
      </c>
      <c r="J1955" t="s">
        <v>146</v>
      </c>
      <c r="K1955" t="s">
        <v>127</v>
      </c>
      <c r="L1955" t="s">
        <v>2215</v>
      </c>
      <c r="M1955" t="s">
        <v>2230</v>
      </c>
      <c r="N1955">
        <v>1</v>
      </c>
      <c r="O1955">
        <v>2022</v>
      </c>
      <c r="P1955">
        <v>3017.9137098683868</v>
      </c>
      <c r="Q1955">
        <v>1.8663618897004079</v>
      </c>
      <c r="R1955" t="s">
        <v>109</v>
      </c>
      <c r="S1955">
        <v>1617.0035010481431</v>
      </c>
      <c r="T1955">
        <v>3.55</v>
      </c>
      <c r="U1955" t="s">
        <v>110</v>
      </c>
      <c r="V1955">
        <v>3.55</v>
      </c>
      <c r="W1955">
        <v>6</v>
      </c>
      <c r="X1955">
        <v>20</v>
      </c>
      <c r="Y1955">
        <v>14</v>
      </c>
      <c r="Z1955">
        <v>0.24</v>
      </c>
      <c r="AA1955">
        <v>31.536000000000001</v>
      </c>
    </row>
    <row r="1956" spans="1:27" x14ac:dyDescent="0.25">
      <c r="A1956" t="s">
        <v>98</v>
      </c>
      <c r="B1956" t="s">
        <v>519</v>
      </c>
      <c r="C1956" t="s">
        <v>689</v>
      </c>
      <c r="D1956" t="s">
        <v>1707</v>
      </c>
      <c r="E1956" t="s">
        <v>102</v>
      </c>
      <c r="G1956" t="s">
        <v>103</v>
      </c>
      <c r="H1956" t="s">
        <v>148</v>
      </c>
      <c r="I1956">
        <v>2016</v>
      </c>
      <c r="J1956" t="s">
        <v>149</v>
      </c>
      <c r="K1956" t="s">
        <v>150</v>
      </c>
      <c r="L1956" t="s">
        <v>2215</v>
      </c>
      <c r="M1956" t="s">
        <v>2231</v>
      </c>
      <c r="N1956">
        <v>1</v>
      </c>
      <c r="O1956">
        <v>2020</v>
      </c>
      <c r="P1956">
        <v>2926.4617792663148</v>
      </c>
      <c r="Q1956">
        <v>1.8663618897004079</v>
      </c>
      <c r="R1956" t="s">
        <v>109</v>
      </c>
      <c r="S1956">
        <v>1568.0033949557751</v>
      </c>
      <c r="T1956">
        <v>0.63670000000000004</v>
      </c>
      <c r="U1956" t="s">
        <v>110</v>
      </c>
      <c r="V1956">
        <v>0.63670000000000004</v>
      </c>
      <c r="W1956">
        <v>6</v>
      </c>
      <c r="X1956">
        <v>20</v>
      </c>
      <c r="Y1956">
        <v>14</v>
      </c>
      <c r="Z1956">
        <v>0.24</v>
      </c>
      <c r="AA1956">
        <v>31.536000000000001</v>
      </c>
    </row>
    <row r="1957" spans="1:27" x14ac:dyDescent="0.25">
      <c r="A1957" t="s">
        <v>98</v>
      </c>
      <c r="B1957" t="s">
        <v>519</v>
      </c>
      <c r="C1957" t="s">
        <v>689</v>
      </c>
      <c r="D1957" t="s">
        <v>1707</v>
      </c>
      <c r="E1957" t="s">
        <v>102</v>
      </c>
      <c r="G1957" t="s">
        <v>111</v>
      </c>
      <c r="H1957" t="s">
        <v>148</v>
      </c>
      <c r="I1957">
        <v>2016</v>
      </c>
      <c r="J1957" t="s">
        <v>152</v>
      </c>
      <c r="K1957" t="s">
        <v>150</v>
      </c>
      <c r="L1957" t="s">
        <v>2215</v>
      </c>
      <c r="M1957" t="s">
        <v>2232</v>
      </c>
      <c r="N1957">
        <v>1</v>
      </c>
      <c r="O1957">
        <v>2020</v>
      </c>
      <c r="P1957">
        <v>3109.3656404704602</v>
      </c>
      <c r="Q1957">
        <v>1.8663618897004079</v>
      </c>
      <c r="R1957" t="s">
        <v>109</v>
      </c>
      <c r="S1957">
        <v>1666.0036071405109</v>
      </c>
      <c r="T1957">
        <v>0.67</v>
      </c>
      <c r="U1957" t="s">
        <v>110</v>
      </c>
      <c r="V1957">
        <v>0.67</v>
      </c>
      <c r="W1957">
        <v>6</v>
      </c>
      <c r="X1957">
        <v>20</v>
      </c>
      <c r="Y1957">
        <v>14</v>
      </c>
      <c r="Z1957">
        <v>0.24</v>
      </c>
      <c r="AA1957">
        <v>31.536000000000001</v>
      </c>
    </row>
    <row r="1958" spans="1:27" x14ac:dyDescent="0.25">
      <c r="A1958" t="s">
        <v>98</v>
      </c>
      <c r="B1958" t="s">
        <v>519</v>
      </c>
      <c r="C1958" t="s">
        <v>689</v>
      </c>
      <c r="D1958" t="s">
        <v>1707</v>
      </c>
      <c r="E1958" t="s">
        <v>102</v>
      </c>
      <c r="G1958" t="s">
        <v>119</v>
      </c>
      <c r="H1958" t="s">
        <v>148</v>
      </c>
      <c r="I1958">
        <v>2016</v>
      </c>
      <c r="J1958" t="s">
        <v>154</v>
      </c>
      <c r="K1958" t="s">
        <v>150</v>
      </c>
      <c r="L1958" t="s">
        <v>2215</v>
      </c>
      <c r="M1958" t="s">
        <v>2233</v>
      </c>
      <c r="N1958">
        <v>1</v>
      </c>
      <c r="O1958">
        <v>2020</v>
      </c>
      <c r="P1958">
        <v>3078.881663603102</v>
      </c>
      <c r="Q1958">
        <v>1.8663618897004079</v>
      </c>
      <c r="R1958" t="s">
        <v>109</v>
      </c>
      <c r="S1958">
        <v>1649.670238443055</v>
      </c>
      <c r="T1958">
        <v>0.69</v>
      </c>
      <c r="U1958" t="s">
        <v>110</v>
      </c>
      <c r="V1958">
        <v>0.69</v>
      </c>
      <c r="W1958">
        <v>6</v>
      </c>
      <c r="X1958">
        <v>20</v>
      </c>
      <c r="Y1958">
        <v>14</v>
      </c>
      <c r="Z1958">
        <v>0.24</v>
      </c>
      <c r="AA1958">
        <v>31.536000000000001</v>
      </c>
    </row>
    <row r="1959" spans="1:27" x14ac:dyDescent="0.25">
      <c r="A1959" t="s">
        <v>98</v>
      </c>
      <c r="B1959" t="s">
        <v>519</v>
      </c>
      <c r="C1959" t="s">
        <v>689</v>
      </c>
      <c r="D1959" t="s">
        <v>1707</v>
      </c>
      <c r="E1959" t="s">
        <v>102</v>
      </c>
      <c r="G1959" t="s">
        <v>103</v>
      </c>
      <c r="H1959" t="s">
        <v>156</v>
      </c>
      <c r="I1959">
        <v>2016</v>
      </c>
      <c r="J1959" t="s">
        <v>157</v>
      </c>
      <c r="K1959" t="s">
        <v>158</v>
      </c>
      <c r="L1959" t="s">
        <v>2215</v>
      </c>
      <c r="M1959" t="s">
        <v>2234</v>
      </c>
      <c r="N1959">
        <v>1</v>
      </c>
      <c r="O1959">
        <v>2020</v>
      </c>
      <c r="P1959">
        <v>2225.3303113170941</v>
      </c>
      <c r="Q1959">
        <v>1.8663618897004079</v>
      </c>
      <c r="R1959" t="s">
        <v>109</v>
      </c>
      <c r="S1959">
        <v>1192.3359149142871</v>
      </c>
      <c r="T1959">
        <v>0.61014999999999997</v>
      </c>
      <c r="U1959" t="s">
        <v>110</v>
      </c>
      <c r="V1959">
        <v>0.61014999999999997</v>
      </c>
      <c r="W1959">
        <v>6</v>
      </c>
      <c r="X1959">
        <v>20</v>
      </c>
      <c r="Y1959">
        <v>14</v>
      </c>
      <c r="Z1959">
        <v>0.24</v>
      </c>
      <c r="AA1959">
        <v>31.536000000000001</v>
      </c>
    </row>
    <row r="1960" spans="1:27" x14ac:dyDescent="0.25">
      <c r="A1960" t="s">
        <v>98</v>
      </c>
      <c r="B1960" t="s">
        <v>519</v>
      </c>
      <c r="C1960" t="s">
        <v>689</v>
      </c>
      <c r="D1960" t="s">
        <v>1707</v>
      </c>
      <c r="E1960" t="s">
        <v>102</v>
      </c>
      <c r="G1960" t="s">
        <v>111</v>
      </c>
      <c r="H1960" t="s">
        <v>156</v>
      </c>
      <c r="I1960">
        <v>2016</v>
      </c>
      <c r="J1960" t="s">
        <v>160</v>
      </c>
      <c r="K1960" t="s">
        <v>158</v>
      </c>
      <c r="L1960" t="s">
        <v>2215</v>
      </c>
      <c r="M1960" t="s">
        <v>2235</v>
      </c>
      <c r="N1960">
        <v>1</v>
      </c>
      <c r="O1960">
        <v>2020</v>
      </c>
      <c r="P1960">
        <v>2347.266218786523</v>
      </c>
      <c r="Q1960">
        <v>1.8663618897004079</v>
      </c>
      <c r="R1960" t="s">
        <v>109</v>
      </c>
      <c r="S1960">
        <v>1257.6693897041109</v>
      </c>
      <c r="T1960">
        <v>0.63</v>
      </c>
      <c r="U1960" t="s">
        <v>110</v>
      </c>
      <c r="V1960">
        <v>0.63</v>
      </c>
      <c r="W1960">
        <v>6</v>
      </c>
      <c r="X1960">
        <v>20</v>
      </c>
      <c r="Y1960">
        <v>14</v>
      </c>
      <c r="Z1960">
        <v>0.24</v>
      </c>
      <c r="AA1960">
        <v>31.536000000000001</v>
      </c>
    </row>
    <row r="1961" spans="1:27" x14ac:dyDescent="0.25">
      <c r="A1961" t="s">
        <v>98</v>
      </c>
      <c r="B1961" t="s">
        <v>519</v>
      </c>
      <c r="C1961" t="s">
        <v>689</v>
      </c>
      <c r="D1961" t="s">
        <v>1707</v>
      </c>
      <c r="E1961" t="s">
        <v>102</v>
      </c>
      <c r="G1961" t="s">
        <v>114</v>
      </c>
      <c r="H1961" t="s">
        <v>156</v>
      </c>
      <c r="I1961">
        <v>2016</v>
      </c>
      <c r="J1961" t="s">
        <v>162</v>
      </c>
      <c r="K1961" t="s">
        <v>158</v>
      </c>
      <c r="L1961" t="s">
        <v>2215</v>
      </c>
      <c r="M1961" t="s">
        <v>2236</v>
      </c>
      <c r="N1961">
        <v>1</v>
      </c>
      <c r="O1961">
        <v>2020</v>
      </c>
      <c r="P1961">
        <v>2469.2021262559529</v>
      </c>
      <c r="Q1961">
        <v>1.8663618897004079</v>
      </c>
      <c r="R1961" t="s">
        <v>109</v>
      </c>
      <c r="S1961">
        <v>1323.002864493935</v>
      </c>
      <c r="T1961">
        <v>0.66</v>
      </c>
      <c r="U1961" t="s">
        <v>110</v>
      </c>
      <c r="V1961">
        <v>0.66</v>
      </c>
      <c r="W1961">
        <v>6</v>
      </c>
      <c r="X1961">
        <v>20</v>
      </c>
      <c r="Y1961">
        <v>14</v>
      </c>
      <c r="Z1961">
        <v>0.24</v>
      </c>
      <c r="AA1961">
        <v>31.536000000000001</v>
      </c>
    </row>
    <row r="1962" spans="1:27" x14ac:dyDescent="0.25">
      <c r="A1962" t="s">
        <v>98</v>
      </c>
      <c r="B1962" t="s">
        <v>519</v>
      </c>
      <c r="C1962" t="s">
        <v>689</v>
      </c>
      <c r="D1962" t="s">
        <v>1707</v>
      </c>
      <c r="E1962" t="s">
        <v>102</v>
      </c>
      <c r="G1962" t="s">
        <v>114</v>
      </c>
      <c r="H1962" t="s">
        <v>156</v>
      </c>
      <c r="I1962">
        <v>2023</v>
      </c>
      <c r="J1962" t="s">
        <v>164</v>
      </c>
      <c r="K1962" t="s">
        <v>158</v>
      </c>
      <c r="L1962" t="s">
        <v>2215</v>
      </c>
      <c r="M1962" t="s">
        <v>2237</v>
      </c>
      <c r="N1962">
        <v>1</v>
      </c>
      <c r="O1962">
        <v>2023</v>
      </c>
      <c r="P1962">
        <v>3865.2553631628971</v>
      </c>
      <c r="Q1962">
        <v>1.8663618897004079</v>
      </c>
      <c r="R1962" t="s">
        <v>109</v>
      </c>
      <c r="S1962">
        <v>2071.0106568792812</v>
      </c>
      <c r="T1962">
        <v>0.83499999999999996</v>
      </c>
      <c r="U1962" t="s">
        <v>110</v>
      </c>
      <c r="V1962">
        <v>0.83499999999999996</v>
      </c>
      <c r="W1962">
        <v>6</v>
      </c>
      <c r="X1962">
        <v>20</v>
      </c>
      <c r="Y1962">
        <v>14</v>
      </c>
      <c r="Z1962">
        <v>0.24</v>
      </c>
      <c r="AA1962">
        <v>31.536000000000001</v>
      </c>
    </row>
    <row r="1963" spans="1:27" x14ac:dyDescent="0.25">
      <c r="A1963" t="s">
        <v>98</v>
      </c>
      <c r="B1963" t="s">
        <v>519</v>
      </c>
      <c r="C1963" t="s">
        <v>689</v>
      </c>
      <c r="D1963" t="s">
        <v>1707</v>
      </c>
      <c r="E1963" t="s">
        <v>102</v>
      </c>
      <c r="G1963" t="s">
        <v>119</v>
      </c>
      <c r="H1963" t="s">
        <v>156</v>
      </c>
      <c r="I1963">
        <v>2016</v>
      </c>
      <c r="J1963" t="s">
        <v>166</v>
      </c>
      <c r="K1963" t="s">
        <v>158</v>
      </c>
      <c r="L1963" t="s">
        <v>2215</v>
      </c>
      <c r="M1963" t="s">
        <v>2238</v>
      </c>
      <c r="N1963">
        <v>0</v>
      </c>
      <c r="O1963">
        <v>2020</v>
      </c>
      <c r="P1963">
        <v>3749.5291546849662</v>
      </c>
      <c r="Q1963">
        <v>1.8663618897004079</v>
      </c>
      <c r="R1963" t="s">
        <v>109</v>
      </c>
      <c r="S1963">
        <v>2009.004349787087</v>
      </c>
      <c r="T1963">
        <v>0.81</v>
      </c>
      <c r="U1963" t="s">
        <v>110</v>
      </c>
      <c r="V1963">
        <v>0.81</v>
      </c>
      <c r="W1963">
        <v>6</v>
      </c>
      <c r="X1963">
        <v>20</v>
      </c>
      <c r="Y1963">
        <v>14</v>
      </c>
      <c r="Z1963">
        <v>0.24</v>
      </c>
      <c r="AA1963">
        <v>31.536000000000001</v>
      </c>
    </row>
    <row r="1964" spans="1:27" x14ac:dyDescent="0.25">
      <c r="A1964" t="s">
        <v>98</v>
      </c>
      <c r="B1964" t="s">
        <v>519</v>
      </c>
      <c r="C1964" t="s">
        <v>689</v>
      </c>
      <c r="D1964" t="s">
        <v>1707</v>
      </c>
      <c r="E1964" t="s">
        <v>102</v>
      </c>
      <c r="G1964" t="s">
        <v>119</v>
      </c>
      <c r="H1964" t="s">
        <v>156</v>
      </c>
      <c r="I1964">
        <v>2018</v>
      </c>
      <c r="J1964" t="s">
        <v>168</v>
      </c>
      <c r="K1964" t="s">
        <v>158</v>
      </c>
      <c r="L1964" t="s">
        <v>2215</v>
      </c>
      <c r="M1964" t="s">
        <v>2238</v>
      </c>
      <c r="N1964">
        <v>1</v>
      </c>
      <c r="O1964">
        <v>2020</v>
      </c>
      <c r="P1964">
        <v>3749.5291546849662</v>
      </c>
      <c r="Q1964">
        <v>1.8663618897004079</v>
      </c>
      <c r="R1964" t="s">
        <v>109</v>
      </c>
      <c r="S1964">
        <v>2009.004349787087</v>
      </c>
      <c r="T1964">
        <v>0.81</v>
      </c>
      <c r="U1964" t="s">
        <v>110</v>
      </c>
      <c r="V1964">
        <v>0.81</v>
      </c>
      <c r="W1964">
        <v>6</v>
      </c>
      <c r="X1964">
        <v>20</v>
      </c>
      <c r="Y1964">
        <v>14</v>
      </c>
      <c r="Z1964">
        <v>0.24</v>
      </c>
      <c r="AA1964">
        <v>31.536000000000001</v>
      </c>
    </row>
    <row r="1965" spans="1:27" x14ac:dyDescent="0.25">
      <c r="A1965" t="s">
        <v>98</v>
      </c>
      <c r="B1965" t="s">
        <v>519</v>
      </c>
      <c r="C1965" t="s">
        <v>689</v>
      </c>
      <c r="D1965" t="s">
        <v>1707</v>
      </c>
      <c r="E1965" t="s">
        <v>102</v>
      </c>
      <c r="G1965" t="s">
        <v>111</v>
      </c>
      <c r="H1965" t="s">
        <v>169</v>
      </c>
      <c r="I1965">
        <v>2016</v>
      </c>
      <c r="J1965" t="s">
        <v>170</v>
      </c>
      <c r="K1965" t="s">
        <v>171</v>
      </c>
      <c r="L1965" t="s">
        <v>2215</v>
      </c>
      <c r="M1965" t="s">
        <v>2239</v>
      </c>
      <c r="N1965">
        <v>0</v>
      </c>
      <c r="O1965">
        <v>2020</v>
      </c>
      <c r="P1965">
        <v>13412.949821637279</v>
      </c>
      <c r="Q1965">
        <v>1.8663618897004079</v>
      </c>
      <c r="R1965" t="s">
        <v>109</v>
      </c>
      <c r="S1965">
        <v>7186.6822268806363</v>
      </c>
      <c r="T1965">
        <v>1</v>
      </c>
      <c r="U1965" t="s">
        <v>173</v>
      </c>
      <c r="V1965">
        <v>1</v>
      </c>
      <c r="W1965">
        <v>15</v>
      </c>
      <c r="X1965">
        <v>30</v>
      </c>
      <c r="Y1965">
        <v>23</v>
      </c>
      <c r="Z1965">
        <v>0.24</v>
      </c>
      <c r="AA1965">
        <v>31.536000000000001</v>
      </c>
    </row>
    <row r="1966" spans="1:27" x14ac:dyDescent="0.25">
      <c r="A1966" t="s">
        <v>98</v>
      </c>
      <c r="B1966" t="s">
        <v>519</v>
      </c>
      <c r="C1966" t="s">
        <v>689</v>
      </c>
      <c r="D1966" t="s">
        <v>1707</v>
      </c>
      <c r="E1966" t="s">
        <v>102</v>
      </c>
      <c r="G1966" t="s">
        <v>111</v>
      </c>
      <c r="H1966" t="s">
        <v>169</v>
      </c>
      <c r="I1966">
        <v>2020</v>
      </c>
      <c r="J1966" t="s">
        <v>174</v>
      </c>
      <c r="K1966" t="s">
        <v>171</v>
      </c>
      <c r="L1966" t="s">
        <v>2215</v>
      </c>
      <c r="M1966" t="s">
        <v>2239</v>
      </c>
      <c r="N1966">
        <v>1</v>
      </c>
      <c r="O1966">
        <v>2020</v>
      </c>
      <c r="P1966">
        <v>13412.949821637279</v>
      </c>
      <c r="Q1966">
        <v>1.8663618897004079</v>
      </c>
      <c r="R1966" t="s">
        <v>109</v>
      </c>
      <c r="S1966">
        <v>7186.6822268806363</v>
      </c>
      <c r="T1966">
        <v>1</v>
      </c>
      <c r="U1966" t="s">
        <v>173</v>
      </c>
      <c r="V1966">
        <v>1</v>
      </c>
      <c r="W1966">
        <v>15</v>
      </c>
      <c r="X1966">
        <v>30</v>
      </c>
      <c r="Y1966">
        <v>23</v>
      </c>
      <c r="Z1966">
        <v>0.24</v>
      </c>
      <c r="AA1966">
        <v>31.536000000000001</v>
      </c>
    </row>
    <row r="1967" spans="1:27" x14ac:dyDescent="0.25">
      <c r="A1967" t="s">
        <v>98</v>
      </c>
      <c r="B1967" t="s">
        <v>519</v>
      </c>
      <c r="C1967" t="s">
        <v>689</v>
      </c>
      <c r="D1967" t="s">
        <v>1707</v>
      </c>
      <c r="E1967" t="s">
        <v>102</v>
      </c>
      <c r="G1967" t="s">
        <v>111</v>
      </c>
      <c r="H1967" t="s">
        <v>169</v>
      </c>
      <c r="I1967">
        <v>2023</v>
      </c>
      <c r="J1967" t="s">
        <v>175</v>
      </c>
      <c r="K1967" t="s">
        <v>171</v>
      </c>
      <c r="L1967" t="s">
        <v>2215</v>
      </c>
      <c r="M1967" t="s">
        <v>2240</v>
      </c>
      <c r="N1967">
        <v>1</v>
      </c>
      <c r="O1967">
        <v>2023</v>
      </c>
      <c r="P1967">
        <v>13412.949821637279</v>
      </c>
      <c r="Q1967">
        <v>1.8663618897004079</v>
      </c>
      <c r="R1967" t="s">
        <v>109</v>
      </c>
      <c r="S1967">
        <v>7186.6822268806363</v>
      </c>
      <c r="T1967">
        <v>1</v>
      </c>
      <c r="U1967" t="s">
        <v>173</v>
      </c>
      <c r="V1967">
        <v>1</v>
      </c>
      <c r="W1967">
        <v>15</v>
      </c>
      <c r="X1967">
        <v>30</v>
      </c>
      <c r="Y1967">
        <v>23</v>
      </c>
      <c r="Z1967">
        <v>0.24</v>
      </c>
      <c r="AA1967">
        <v>31.536000000000001</v>
      </c>
    </row>
    <row r="1968" spans="1:27" x14ac:dyDescent="0.25">
      <c r="A1968" t="s">
        <v>98</v>
      </c>
      <c r="B1968" t="s">
        <v>519</v>
      </c>
      <c r="C1968" t="s">
        <v>689</v>
      </c>
      <c r="D1968" t="s">
        <v>1707</v>
      </c>
      <c r="E1968" t="s">
        <v>102</v>
      </c>
      <c r="G1968" t="s">
        <v>111</v>
      </c>
      <c r="H1968" t="s">
        <v>169</v>
      </c>
      <c r="I1968">
        <v>2024</v>
      </c>
      <c r="J1968" t="s">
        <v>177</v>
      </c>
      <c r="K1968" t="s">
        <v>171</v>
      </c>
      <c r="L1968" t="s">
        <v>2215</v>
      </c>
      <c r="M1968" t="s">
        <v>2241</v>
      </c>
      <c r="N1968">
        <v>1</v>
      </c>
      <c r="O1968">
        <v>2024</v>
      </c>
      <c r="P1968">
        <v>13412.949821637279</v>
      </c>
      <c r="Q1968">
        <v>1.8663618897004079</v>
      </c>
      <c r="R1968" t="s">
        <v>109</v>
      </c>
      <c r="S1968">
        <v>7186.6822268806363</v>
      </c>
      <c r="T1968">
        <v>1</v>
      </c>
      <c r="U1968" t="s">
        <v>173</v>
      </c>
      <c r="V1968">
        <v>1</v>
      </c>
      <c r="W1968">
        <v>15</v>
      </c>
      <c r="X1968">
        <v>30</v>
      </c>
      <c r="Y1968">
        <v>23</v>
      </c>
      <c r="Z1968">
        <v>0.24</v>
      </c>
      <c r="AA1968">
        <v>31.536000000000001</v>
      </c>
    </row>
    <row r="1969" spans="1:27" x14ac:dyDescent="0.25">
      <c r="A1969" t="s">
        <v>98</v>
      </c>
      <c r="B1969" t="s">
        <v>519</v>
      </c>
      <c r="C1969" t="s">
        <v>689</v>
      </c>
      <c r="D1969" t="s">
        <v>1707</v>
      </c>
      <c r="E1969" t="s">
        <v>179</v>
      </c>
      <c r="F1969" t="s">
        <v>180</v>
      </c>
      <c r="G1969" t="s">
        <v>103</v>
      </c>
      <c r="H1969" t="s">
        <v>125</v>
      </c>
      <c r="I1969">
        <v>2016</v>
      </c>
      <c r="J1969" t="s">
        <v>181</v>
      </c>
      <c r="K1969" t="s">
        <v>127</v>
      </c>
      <c r="L1969" t="s">
        <v>2242</v>
      </c>
      <c r="M1969" t="s">
        <v>2243</v>
      </c>
      <c r="N1969">
        <v>1</v>
      </c>
      <c r="O1969">
        <v>2020</v>
      </c>
      <c r="P1969">
        <v>2956.9457561336731</v>
      </c>
      <c r="Q1969">
        <v>16.265240809907731</v>
      </c>
      <c r="R1969" t="s">
        <v>109</v>
      </c>
      <c r="S1969">
        <v>181.79538751940851</v>
      </c>
      <c r="T1969">
        <v>2.4032825322391562</v>
      </c>
      <c r="U1969" t="s">
        <v>184</v>
      </c>
      <c r="V1969">
        <v>2.4032825322391562</v>
      </c>
      <c r="W1969">
        <v>9</v>
      </c>
      <c r="X1969">
        <v>22</v>
      </c>
      <c r="Y1969">
        <v>16</v>
      </c>
      <c r="Z1969">
        <v>8.263812321365821E-2</v>
      </c>
      <c r="AA1969">
        <v>31.536000000000001</v>
      </c>
    </row>
    <row r="1970" spans="1:27" x14ac:dyDescent="0.25">
      <c r="A1970" t="s">
        <v>98</v>
      </c>
      <c r="B1970" t="s">
        <v>519</v>
      </c>
      <c r="C1970" t="s">
        <v>689</v>
      </c>
      <c r="D1970" t="s">
        <v>1707</v>
      </c>
      <c r="E1970" t="s">
        <v>179</v>
      </c>
      <c r="F1970" t="s">
        <v>180</v>
      </c>
      <c r="G1970" t="s">
        <v>103</v>
      </c>
      <c r="H1970" t="s">
        <v>125</v>
      </c>
      <c r="I1970">
        <v>2023</v>
      </c>
      <c r="J1970" t="s">
        <v>185</v>
      </c>
      <c r="K1970" t="s">
        <v>127</v>
      </c>
      <c r="L1970" t="s">
        <v>2242</v>
      </c>
      <c r="M1970" t="s">
        <v>2244</v>
      </c>
      <c r="N1970">
        <v>1</v>
      </c>
      <c r="O1970">
        <v>2023</v>
      </c>
      <c r="P1970">
        <v>2956.9457561336731</v>
      </c>
      <c r="Q1970">
        <v>16.265240809907731</v>
      </c>
      <c r="R1970" t="s">
        <v>109</v>
      </c>
      <c r="S1970">
        <v>181.79538751940851</v>
      </c>
      <c r="T1970">
        <v>2.4032825322391562</v>
      </c>
      <c r="U1970" t="s">
        <v>184</v>
      </c>
      <c r="V1970">
        <v>2.4032825322391562</v>
      </c>
      <c r="W1970">
        <v>9</v>
      </c>
      <c r="X1970">
        <v>22</v>
      </c>
      <c r="Y1970">
        <v>16</v>
      </c>
      <c r="Z1970">
        <v>8.263812321365821E-2</v>
      </c>
      <c r="AA1970">
        <v>31.536000000000001</v>
      </c>
    </row>
    <row r="1971" spans="1:27" x14ac:dyDescent="0.25">
      <c r="A1971" t="s">
        <v>98</v>
      </c>
      <c r="B1971" t="s">
        <v>519</v>
      </c>
      <c r="C1971" t="s">
        <v>689</v>
      </c>
      <c r="D1971" t="s">
        <v>1707</v>
      </c>
      <c r="E1971" t="s">
        <v>179</v>
      </c>
      <c r="F1971" t="s">
        <v>180</v>
      </c>
      <c r="G1971" t="s">
        <v>111</v>
      </c>
      <c r="H1971" t="s">
        <v>125</v>
      </c>
      <c r="I1971">
        <v>2016</v>
      </c>
      <c r="J1971" t="s">
        <v>187</v>
      </c>
      <c r="K1971" t="s">
        <v>127</v>
      </c>
      <c r="L1971" t="s">
        <v>2242</v>
      </c>
      <c r="M1971" t="s">
        <v>2245</v>
      </c>
      <c r="N1971">
        <v>1</v>
      </c>
      <c r="O1971">
        <v>2020</v>
      </c>
      <c r="P1971">
        <v>3109.3656404704602</v>
      </c>
      <c r="Q1971">
        <v>16.265240809907731</v>
      </c>
      <c r="R1971" t="s">
        <v>109</v>
      </c>
      <c r="S1971">
        <v>191.16628378329551</v>
      </c>
      <c r="T1971">
        <v>2.5205158264947238</v>
      </c>
      <c r="U1971" t="s">
        <v>184</v>
      </c>
      <c r="V1971">
        <v>2.5205158264947238</v>
      </c>
      <c r="W1971">
        <v>9</v>
      </c>
      <c r="X1971">
        <v>22</v>
      </c>
      <c r="Y1971">
        <v>16</v>
      </c>
      <c r="Z1971">
        <v>8.263812321365821E-2</v>
      </c>
      <c r="AA1971">
        <v>31.536000000000001</v>
      </c>
    </row>
    <row r="1972" spans="1:27" x14ac:dyDescent="0.25">
      <c r="A1972" t="s">
        <v>98</v>
      </c>
      <c r="B1972" t="s">
        <v>519</v>
      </c>
      <c r="C1972" t="s">
        <v>689</v>
      </c>
      <c r="D1972" t="s">
        <v>1707</v>
      </c>
      <c r="E1972" t="s">
        <v>179</v>
      </c>
      <c r="F1972" t="s">
        <v>180</v>
      </c>
      <c r="G1972" t="s">
        <v>111</v>
      </c>
      <c r="H1972" t="s">
        <v>125</v>
      </c>
      <c r="I1972">
        <v>2023</v>
      </c>
      <c r="J1972" t="s">
        <v>189</v>
      </c>
      <c r="K1972" t="s">
        <v>127</v>
      </c>
      <c r="L1972" t="s">
        <v>2242</v>
      </c>
      <c r="M1972" t="s">
        <v>2246</v>
      </c>
      <c r="N1972">
        <v>1</v>
      </c>
      <c r="O1972">
        <v>2023</v>
      </c>
      <c r="P1972">
        <v>3139.8496173378171</v>
      </c>
      <c r="Q1972">
        <v>16.265240809907731</v>
      </c>
      <c r="R1972" t="s">
        <v>109</v>
      </c>
      <c r="S1972">
        <v>193.04046303607291</v>
      </c>
      <c r="T1972">
        <v>2.5791324736225092</v>
      </c>
      <c r="U1972" t="s">
        <v>184</v>
      </c>
      <c r="V1972">
        <v>2.5791324736225092</v>
      </c>
      <c r="W1972">
        <v>9</v>
      </c>
      <c r="X1972">
        <v>22</v>
      </c>
      <c r="Y1972">
        <v>16</v>
      </c>
      <c r="Z1972">
        <v>8.263812321365821E-2</v>
      </c>
      <c r="AA1972">
        <v>31.536000000000001</v>
      </c>
    </row>
    <row r="1973" spans="1:27" x14ac:dyDescent="0.25">
      <c r="A1973" t="s">
        <v>98</v>
      </c>
      <c r="B1973" t="s">
        <v>519</v>
      </c>
      <c r="C1973" t="s">
        <v>689</v>
      </c>
      <c r="D1973" t="s">
        <v>1707</v>
      </c>
      <c r="E1973" t="s">
        <v>179</v>
      </c>
      <c r="F1973" t="s">
        <v>180</v>
      </c>
      <c r="G1973" t="s">
        <v>114</v>
      </c>
      <c r="H1973" t="s">
        <v>125</v>
      </c>
      <c r="I1973">
        <v>2016</v>
      </c>
      <c r="J1973" t="s">
        <v>191</v>
      </c>
      <c r="K1973" t="s">
        <v>127</v>
      </c>
      <c r="L1973" t="s">
        <v>2242</v>
      </c>
      <c r="M1973" t="s">
        <v>2247</v>
      </c>
      <c r="N1973">
        <v>1</v>
      </c>
      <c r="O1973">
        <v>2020</v>
      </c>
      <c r="P1973">
        <v>3017.9137098683868</v>
      </c>
      <c r="Q1973">
        <v>16.265240809907731</v>
      </c>
      <c r="R1973" t="s">
        <v>109</v>
      </c>
      <c r="S1973">
        <v>185.5437460249633</v>
      </c>
      <c r="T1973">
        <v>2.4912075029308318</v>
      </c>
      <c r="U1973" t="s">
        <v>184</v>
      </c>
      <c r="V1973">
        <v>2.4912075029308318</v>
      </c>
      <c r="W1973">
        <v>9</v>
      </c>
      <c r="X1973">
        <v>22</v>
      </c>
      <c r="Y1973">
        <v>16</v>
      </c>
      <c r="Z1973">
        <v>8.263812321365821E-2</v>
      </c>
      <c r="AA1973">
        <v>31.536000000000001</v>
      </c>
    </row>
    <row r="1974" spans="1:27" x14ac:dyDescent="0.25">
      <c r="A1974" t="s">
        <v>98</v>
      </c>
      <c r="B1974" t="s">
        <v>519</v>
      </c>
      <c r="C1974" t="s">
        <v>689</v>
      </c>
      <c r="D1974" t="s">
        <v>1707</v>
      </c>
      <c r="E1974" t="s">
        <v>179</v>
      </c>
      <c r="F1974" t="s">
        <v>180</v>
      </c>
      <c r="G1974" t="s">
        <v>114</v>
      </c>
      <c r="H1974" t="s">
        <v>125</v>
      </c>
      <c r="I1974">
        <v>2022</v>
      </c>
      <c r="J1974" t="s">
        <v>193</v>
      </c>
      <c r="K1974" t="s">
        <v>127</v>
      </c>
      <c r="L1974" t="s">
        <v>2242</v>
      </c>
      <c r="M1974" t="s">
        <v>2248</v>
      </c>
      <c r="N1974">
        <v>1</v>
      </c>
      <c r="O1974">
        <v>2022</v>
      </c>
      <c r="P1974">
        <v>3017.9137098683868</v>
      </c>
      <c r="Q1974">
        <v>16.265240809907731</v>
      </c>
      <c r="R1974" t="s">
        <v>109</v>
      </c>
      <c r="S1974">
        <v>185.5437460249633</v>
      </c>
      <c r="T1974">
        <v>2.4912075029308318</v>
      </c>
      <c r="U1974" t="s">
        <v>184</v>
      </c>
      <c r="V1974">
        <v>2.4912075029308318</v>
      </c>
      <c r="W1974">
        <v>9</v>
      </c>
      <c r="X1974">
        <v>22</v>
      </c>
      <c r="Y1974">
        <v>16</v>
      </c>
      <c r="Z1974">
        <v>8.263812321365821E-2</v>
      </c>
      <c r="AA1974">
        <v>31.536000000000001</v>
      </c>
    </row>
    <row r="1975" spans="1:27" x14ac:dyDescent="0.25">
      <c r="A1975" t="s">
        <v>98</v>
      </c>
      <c r="B1975" t="s">
        <v>519</v>
      </c>
      <c r="C1975" t="s">
        <v>689</v>
      </c>
      <c r="D1975" t="s">
        <v>1707</v>
      </c>
      <c r="E1975" t="s">
        <v>179</v>
      </c>
      <c r="F1975" t="s">
        <v>180</v>
      </c>
      <c r="G1975" t="s">
        <v>114</v>
      </c>
      <c r="H1975" t="s">
        <v>125</v>
      </c>
      <c r="I1975">
        <v>2023</v>
      </c>
      <c r="J1975" t="s">
        <v>195</v>
      </c>
      <c r="K1975" t="s">
        <v>127</v>
      </c>
      <c r="L1975" t="s">
        <v>2242</v>
      </c>
      <c r="M1975" t="s">
        <v>2249</v>
      </c>
      <c r="N1975">
        <v>1</v>
      </c>
      <c r="O1975">
        <v>2023</v>
      </c>
      <c r="P1975">
        <v>3266.447780092843</v>
      </c>
      <c r="Q1975">
        <v>16.265240809907731</v>
      </c>
      <c r="R1975" t="s">
        <v>109</v>
      </c>
      <c r="S1975">
        <v>200.8238192270191</v>
      </c>
      <c r="T1975">
        <v>2.6963657678780768</v>
      </c>
      <c r="U1975" t="s">
        <v>184</v>
      </c>
      <c r="V1975">
        <v>2.6963657678780768</v>
      </c>
      <c r="W1975">
        <v>9</v>
      </c>
      <c r="X1975">
        <v>22</v>
      </c>
      <c r="Y1975">
        <v>16</v>
      </c>
      <c r="Z1975">
        <v>8.263812321365821E-2</v>
      </c>
      <c r="AA1975">
        <v>31.536000000000001</v>
      </c>
    </row>
    <row r="1976" spans="1:27" x14ac:dyDescent="0.25">
      <c r="A1976" t="s">
        <v>98</v>
      </c>
      <c r="B1976" t="s">
        <v>519</v>
      </c>
      <c r="C1976" t="s">
        <v>689</v>
      </c>
      <c r="D1976" t="s">
        <v>1707</v>
      </c>
      <c r="E1976" t="s">
        <v>179</v>
      </c>
      <c r="F1976" t="s">
        <v>180</v>
      </c>
      <c r="G1976" t="s">
        <v>119</v>
      </c>
      <c r="H1976" t="s">
        <v>125</v>
      </c>
      <c r="I1976">
        <v>2016</v>
      </c>
      <c r="J1976" t="s">
        <v>197</v>
      </c>
      <c r="K1976" t="s">
        <v>127</v>
      </c>
      <c r="L1976" t="s">
        <v>2242</v>
      </c>
      <c r="M1976" t="s">
        <v>2250</v>
      </c>
      <c r="N1976">
        <v>1</v>
      </c>
      <c r="O1976">
        <v>2020</v>
      </c>
      <c r="P1976">
        <v>3719.0451778176089</v>
      </c>
      <c r="Q1976">
        <v>16.265240809907731</v>
      </c>
      <c r="R1976" t="s">
        <v>109</v>
      </c>
      <c r="S1976">
        <v>228.64986883884359</v>
      </c>
      <c r="T1976">
        <v>2.6377491207502932</v>
      </c>
      <c r="U1976" t="s">
        <v>184</v>
      </c>
      <c r="V1976">
        <v>2.6377491207502932</v>
      </c>
      <c r="W1976">
        <v>9</v>
      </c>
      <c r="X1976">
        <v>22</v>
      </c>
      <c r="Y1976">
        <v>16</v>
      </c>
      <c r="Z1976">
        <v>8.263812321365821E-2</v>
      </c>
      <c r="AA1976">
        <v>31.536000000000001</v>
      </c>
    </row>
    <row r="1977" spans="1:27" x14ac:dyDescent="0.25">
      <c r="A1977" t="s">
        <v>98</v>
      </c>
      <c r="B1977" t="s">
        <v>519</v>
      </c>
      <c r="C1977" t="s">
        <v>689</v>
      </c>
      <c r="D1977" t="s">
        <v>1707</v>
      </c>
      <c r="E1977" t="s">
        <v>179</v>
      </c>
      <c r="F1977" t="s">
        <v>180</v>
      </c>
      <c r="G1977" t="s">
        <v>119</v>
      </c>
      <c r="H1977" t="s">
        <v>125</v>
      </c>
      <c r="I1977">
        <v>2022</v>
      </c>
      <c r="J1977" t="s">
        <v>199</v>
      </c>
      <c r="K1977" t="s">
        <v>127</v>
      </c>
      <c r="L1977" t="s">
        <v>2242</v>
      </c>
      <c r="M1977" t="s">
        <v>2251</v>
      </c>
      <c r="N1977">
        <v>1</v>
      </c>
      <c r="O1977">
        <v>2022</v>
      </c>
      <c r="P1977">
        <v>3914.784397702746</v>
      </c>
      <c r="Q1977">
        <v>16.265240809907731</v>
      </c>
      <c r="R1977" t="s">
        <v>109</v>
      </c>
      <c r="S1977">
        <v>240.6840724619407</v>
      </c>
      <c r="T1977">
        <v>2.9308323563892151</v>
      </c>
      <c r="U1977" t="s">
        <v>184</v>
      </c>
      <c r="V1977">
        <v>2.9308323563892151</v>
      </c>
      <c r="W1977">
        <v>9</v>
      </c>
      <c r="X1977">
        <v>22</v>
      </c>
      <c r="Y1977">
        <v>16</v>
      </c>
      <c r="Z1977">
        <v>8.263812321365821E-2</v>
      </c>
      <c r="AA1977">
        <v>31.536000000000001</v>
      </c>
    </row>
    <row r="1978" spans="1:27" x14ac:dyDescent="0.25">
      <c r="A1978" t="s">
        <v>98</v>
      </c>
      <c r="B1978" t="s">
        <v>519</v>
      </c>
      <c r="C1978" t="s">
        <v>689</v>
      </c>
      <c r="D1978" t="s">
        <v>1707</v>
      </c>
      <c r="E1978" t="s">
        <v>179</v>
      </c>
      <c r="F1978" t="s">
        <v>201</v>
      </c>
      <c r="G1978" t="s">
        <v>103</v>
      </c>
      <c r="H1978" t="s">
        <v>125</v>
      </c>
      <c r="I1978">
        <v>2016</v>
      </c>
      <c r="J1978" t="s">
        <v>202</v>
      </c>
      <c r="K1978" t="s">
        <v>127</v>
      </c>
      <c r="L1978" t="s">
        <v>2242</v>
      </c>
      <c r="M1978" t="s">
        <v>2252</v>
      </c>
      <c r="N1978">
        <v>1</v>
      </c>
      <c r="O1978">
        <v>2020</v>
      </c>
      <c r="P1978">
        <v>9511.0007826155233</v>
      </c>
      <c r="Q1978">
        <v>16.265240809907731</v>
      </c>
      <c r="R1978" t="s">
        <v>109</v>
      </c>
      <c r="S1978">
        <v>584.74392686655096</v>
      </c>
      <c r="T1978">
        <v>3.2</v>
      </c>
      <c r="U1978" t="s">
        <v>184</v>
      </c>
      <c r="V1978">
        <v>3.2</v>
      </c>
      <c r="W1978">
        <v>8</v>
      </c>
      <c r="X1978">
        <v>20.8</v>
      </c>
      <c r="Y1978">
        <v>15</v>
      </c>
      <c r="Z1978">
        <v>8.263812321365821E-2</v>
      </c>
      <c r="AA1978">
        <v>31.536000000000001</v>
      </c>
    </row>
    <row r="1979" spans="1:27" x14ac:dyDescent="0.25">
      <c r="A1979" t="s">
        <v>98</v>
      </c>
      <c r="B1979" t="s">
        <v>519</v>
      </c>
      <c r="C1979" t="s">
        <v>689</v>
      </c>
      <c r="D1979" t="s">
        <v>1707</v>
      </c>
      <c r="E1979" t="s">
        <v>179</v>
      </c>
      <c r="F1979" t="s">
        <v>201</v>
      </c>
      <c r="G1979" t="s">
        <v>111</v>
      </c>
      <c r="H1979" t="s">
        <v>125</v>
      </c>
      <c r="I1979">
        <v>2016</v>
      </c>
      <c r="J1979" t="s">
        <v>204</v>
      </c>
      <c r="K1979" t="s">
        <v>127</v>
      </c>
      <c r="L1979" t="s">
        <v>2242</v>
      </c>
      <c r="M1979" t="s">
        <v>2253</v>
      </c>
      <c r="N1979">
        <v>1</v>
      </c>
      <c r="O1979">
        <v>2020</v>
      </c>
      <c r="P1979">
        <v>9846.3245281564559</v>
      </c>
      <c r="Q1979">
        <v>16.265240809907731</v>
      </c>
      <c r="R1979" t="s">
        <v>109</v>
      </c>
      <c r="S1979">
        <v>605.35989864710245</v>
      </c>
      <c r="T1979">
        <v>3.7</v>
      </c>
      <c r="U1979" t="s">
        <v>184</v>
      </c>
      <c r="V1979">
        <v>3.7</v>
      </c>
      <c r="W1979">
        <v>8</v>
      </c>
      <c r="X1979">
        <v>20.8</v>
      </c>
      <c r="Y1979">
        <v>15</v>
      </c>
      <c r="Z1979">
        <v>8.263812321365821E-2</v>
      </c>
      <c r="AA1979">
        <v>31.536000000000001</v>
      </c>
    </row>
    <row r="1980" spans="1:27" x14ac:dyDescent="0.25">
      <c r="A1980" t="s">
        <v>98</v>
      </c>
      <c r="B1980" t="s">
        <v>519</v>
      </c>
      <c r="C1980" t="s">
        <v>689</v>
      </c>
      <c r="D1980" t="s">
        <v>1707</v>
      </c>
      <c r="E1980" t="s">
        <v>179</v>
      </c>
      <c r="F1980" t="s">
        <v>201</v>
      </c>
      <c r="G1980" t="s">
        <v>114</v>
      </c>
      <c r="H1980" t="s">
        <v>125</v>
      </c>
      <c r="I1980">
        <v>2016</v>
      </c>
      <c r="J1980" t="s">
        <v>206</v>
      </c>
      <c r="K1980" t="s">
        <v>127</v>
      </c>
      <c r="L1980" t="s">
        <v>2242</v>
      </c>
      <c r="M1980" t="s">
        <v>2254</v>
      </c>
      <c r="N1980">
        <v>0</v>
      </c>
      <c r="O1980">
        <v>2020</v>
      </c>
      <c r="P1980">
        <v>9846.3245281564559</v>
      </c>
      <c r="Q1980">
        <v>16.265240809907731</v>
      </c>
      <c r="R1980" t="s">
        <v>109</v>
      </c>
      <c r="S1980">
        <v>605.35989864710245</v>
      </c>
      <c r="T1980">
        <v>3.6</v>
      </c>
      <c r="U1980" t="s">
        <v>184</v>
      </c>
      <c r="V1980">
        <v>3.6</v>
      </c>
      <c r="W1980">
        <v>8</v>
      </c>
      <c r="X1980">
        <v>20.8</v>
      </c>
      <c r="Y1980">
        <v>15</v>
      </c>
      <c r="Z1980">
        <v>8.263812321365821E-2</v>
      </c>
      <c r="AA1980">
        <v>31.536000000000001</v>
      </c>
    </row>
    <row r="1981" spans="1:27" x14ac:dyDescent="0.25">
      <c r="A1981" t="s">
        <v>98</v>
      </c>
      <c r="B1981" t="s">
        <v>519</v>
      </c>
      <c r="C1981" t="s">
        <v>689</v>
      </c>
      <c r="D1981" t="s">
        <v>1707</v>
      </c>
      <c r="E1981" t="s">
        <v>179</v>
      </c>
      <c r="F1981" t="s">
        <v>201</v>
      </c>
      <c r="G1981" t="s">
        <v>114</v>
      </c>
      <c r="H1981" t="s">
        <v>125</v>
      </c>
      <c r="I1981">
        <v>2020</v>
      </c>
      <c r="J1981" t="s">
        <v>208</v>
      </c>
      <c r="K1981" t="s">
        <v>127</v>
      </c>
      <c r="L1981" t="s">
        <v>2242</v>
      </c>
      <c r="M1981" t="s">
        <v>2254</v>
      </c>
      <c r="N1981">
        <v>1</v>
      </c>
      <c r="O1981">
        <v>2020</v>
      </c>
      <c r="P1981">
        <v>9846.3245281564559</v>
      </c>
      <c r="Q1981">
        <v>16.265240809907731</v>
      </c>
      <c r="R1981" t="s">
        <v>109</v>
      </c>
      <c r="S1981">
        <v>605.35989864710245</v>
      </c>
      <c r="T1981">
        <v>3.6</v>
      </c>
      <c r="U1981" t="s">
        <v>184</v>
      </c>
      <c r="V1981">
        <v>3.6</v>
      </c>
      <c r="W1981">
        <v>8</v>
      </c>
      <c r="X1981">
        <v>20.8</v>
      </c>
      <c r="Y1981">
        <v>15</v>
      </c>
      <c r="Z1981">
        <v>8.263812321365821E-2</v>
      </c>
      <c r="AA1981">
        <v>31.536000000000001</v>
      </c>
    </row>
    <row r="1982" spans="1:27" x14ac:dyDescent="0.25">
      <c r="A1982" t="s">
        <v>98</v>
      </c>
      <c r="B1982" t="s">
        <v>519</v>
      </c>
      <c r="C1982" t="s">
        <v>689</v>
      </c>
      <c r="D1982" t="s">
        <v>1707</v>
      </c>
      <c r="E1982" t="s">
        <v>179</v>
      </c>
      <c r="F1982" t="s">
        <v>201</v>
      </c>
      <c r="G1982" t="s">
        <v>114</v>
      </c>
      <c r="H1982" t="s">
        <v>125</v>
      </c>
      <c r="I1982">
        <v>2022</v>
      </c>
      <c r="J1982" t="s">
        <v>209</v>
      </c>
      <c r="K1982" t="s">
        <v>127</v>
      </c>
      <c r="L1982" t="s">
        <v>2242</v>
      </c>
      <c r="M1982" t="s">
        <v>2255</v>
      </c>
      <c r="N1982">
        <v>1</v>
      </c>
      <c r="O1982">
        <v>2022</v>
      </c>
      <c r="P1982">
        <v>9846.3245281564559</v>
      </c>
      <c r="Q1982">
        <v>16.265240809907731</v>
      </c>
      <c r="R1982" t="s">
        <v>109</v>
      </c>
      <c r="S1982">
        <v>605.35989864710245</v>
      </c>
      <c r="T1982">
        <v>3.6</v>
      </c>
      <c r="U1982" t="s">
        <v>184</v>
      </c>
      <c r="V1982">
        <v>3.6</v>
      </c>
      <c r="W1982">
        <v>8</v>
      </c>
      <c r="X1982">
        <v>20.8</v>
      </c>
      <c r="Y1982">
        <v>15</v>
      </c>
      <c r="Z1982">
        <v>8.263812321365821E-2</v>
      </c>
      <c r="AA1982">
        <v>31.536000000000001</v>
      </c>
    </row>
    <row r="1983" spans="1:27" x14ac:dyDescent="0.25">
      <c r="A1983" t="s">
        <v>98</v>
      </c>
      <c r="B1983" t="s">
        <v>519</v>
      </c>
      <c r="C1983" t="s">
        <v>689</v>
      </c>
      <c r="D1983" t="s">
        <v>1707</v>
      </c>
      <c r="E1983" t="s">
        <v>179</v>
      </c>
      <c r="F1983" t="s">
        <v>201</v>
      </c>
      <c r="G1983" t="s">
        <v>114</v>
      </c>
      <c r="H1983" t="s">
        <v>125</v>
      </c>
      <c r="I1983">
        <v>2023</v>
      </c>
      <c r="J1983" t="s">
        <v>211</v>
      </c>
      <c r="K1983" t="s">
        <v>127</v>
      </c>
      <c r="L1983" t="s">
        <v>2242</v>
      </c>
      <c r="M1983" t="s">
        <v>2256</v>
      </c>
      <c r="N1983">
        <v>1</v>
      </c>
      <c r="O1983">
        <v>2023</v>
      </c>
      <c r="P1983">
        <v>9846.3245281564559</v>
      </c>
      <c r="Q1983">
        <v>16.265240809907731</v>
      </c>
      <c r="R1983" t="s">
        <v>109</v>
      </c>
      <c r="S1983">
        <v>605.35989864710245</v>
      </c>
      <c r="T1983">
        <v>3.6</v>
      </c>
      <c r="U1983" t="s">
        <v>184</v>
      </c>
      <c r="V1983">
        <v>3.6</v>
      </c>
      <c r="W1983">
        <v>8</v>
      </c>
      <c r="X1983">
        <v>20.8</v>
      </c>
      <c r="Y1983">
        <v>15</v>
      </c>
      <c r="Z1983">
        <v>8.263812321365821E-2</v>
      </c>
      <c r="AA1983">
        <v>31.536000000000001</v>
      </c>
    </row>
    <row r="1984" spans="1:27" x14ac:dyDescent="0.25">
      <c r="A1984" t="s">
        <v>98</v>
      </c>
      <c r="B1984" t="s">
        <v>519</v>
      </c>
      <c r="C1984" t="s">
        <v>689</v>
      </c>
      <c r="D1984" t="s">
        <v>1707</v>
      </c>
      <c r="E1984" t="s">
        <v>179</v>
      </c>
      <c r="F1984" t="s">
        <v>201</v>
      </c>
      <c r="G1984" t="s">
        <v>114</v>
      </c>
      <c r="H1984" t="s">
        <v>125</v>
      </c>
      <c r="I1984">
        <v>2024</v>
      </c>
      <c r="J1984" t="s">
        <v>213</v>
      </c>
      <c r="K1984" t="s">
        <v>127</v>
      </c>
      <c r="L1984" t="s">
        <v>2242</v>
      </c>
      <c r="M1984" t="s">
        <v>2257</v>
      </c>
      <c r="N1984">
        <v>1</v>
      </c>
      <c r="O1984">
        <v>2024</v>
      </c>
      <c r="P1984">
        <v>9846.3245281564559</v>
      </c>
      <c r="Q1984">
        <v>16.265240809907731</v>
      </c>
      <c r="R1984" t="s">
        <v>109</v>
      </c>
      <c r="S1984">
        <v>605.35989864710245</v>
      </c>
      <c r="T1984">
        <v>3.6</v>
      </c>
      <c r="U1984" t="s">
        <v>184</v>
      </c>
      <c r="V1984">
        <v>3.6</v>
      </c>
      <c r="W1984">
        <v>8</v>
      </c>
      <c r="X1984">
        <v>20.8</v>
      </c>
      <c r="Y1984">
        <v>15</v>
      </c>
      <c r="Z1984">
        <v>8.263812321365821E-2</v>
      </c>
      <c r="AA1984">
        <v>31.536000000000001</v>
      </c>
    </row>
    <row r="1985" spans="1:27" x14ac:dyDescent="0.25">
      <c r="A1985" t="s">
        <v>98</v>
      </c>
      <c r="B1985" t="s">
        <v>519</v>
      </c>
      <c r="C1985" t="s">
        <v>689</v>
      </c>
      <c r="D1985" t="s">
        <v>1707</v>
      </c>
      <c r="E1985" t="s">
        <v>179</v>
      </c>
      <c r="F1985" t="s">
        <v>201</v>
      </c>
      <c r="G1985" t="s">
        <v>119</v>
      </c>
      <c r="H1985" t="s">
        <v>125</v>
      </c>
      <c r="I1985">
        <v>2016</v>
      </c>
      <c r="J1985" t="s">
        <v>215</v>
      </c>
      <c r="K1985" t="s">
        <v>127</v>
      </c>
      <c r="L1985" t="s">
        <v>2242</v>
      </c>
      <c r="M1985" t="s">
        <v>2258</v>
      </c>
      <c r="N1985">
        <v>0</v>
      </c>
      <c r="O1985">
        <v>2020</v>
      </c>
      <c r="P1985">
        <v>10395.03611176889</v>
      </c>
      <c r="Q1985">
        <v>16.265240809907731</v>
      </c>
      <c r="R1985" t="s">
        <v>109</v>
      </c>
      <c r="S1985">
        <v>639.09512519709574</v>
      </c>
      <c r="T1985">
        <v>4.5</v>
      </c>
      <c r="U1985" t="s">
        <v>184</v>
      </c>
      <c r="V1985">
        <v>4.5</v>
      </c>
      <c r="W1985">
        <v>8</v>
      </c>
      <c r="X1985">
        <v>20.8</v>
      </c>
      <c r="Y1985">
        <v>15</v>
      </c>
      <c r="Z1985">
        <v>8.263812321365821E-2</v>
      </c>
      <c r="AA1985">
        <v>31.536000000000001</v>
      </c>
    </row>
    <row r="1986" spans="1:27" x14ac:dyDescent="0.25">
      <c r="A1986" t="s">
        <v>98</v>
      </c>
      <c r="B1986" t="s">
        <v>519</v>
      </c>
      <c r="C1986" t="s">
        <v>689</v>
      </c>
      <c r="D1986" t="s">
        <v>1707</v>
      </c>
      <c r="E1986" t="s">
        <v>179</v>
      </c>
      <c r="F1986" t="s">
        <v>201</v>
      </c>
      <c r="G1986" t="s">
        <v>119</v>
      </c>
      <c r="H1986" t="s">
        <v>125</v>
      </c>
      <c r="I1986">
        <v>2020</v>
      </c>
      <c r="J1986" t="s">
        <v>217</v>
      </c>
      <c r="K1986" t="s">
        <v>127</v>
      </c>
      <c r="L1986" t="s">
        <v>2242</v>
      </c>
      <c r="M1986" t="s">
        <v>2258</v>
      </c>
      <c r="N1986">
        <v>1</v>
      </c>
      <c r="O1986">
        <v>2020</v>
      </c>
      <c r="P1986">
        <v>10395.03611176889</v>
      </c>
      <c r="Q1986">
        <v>16.265240809907731</v>
      </c>
      <c r="R1986" t="s">
        <v>109</v>
      </c>
      <c r="S1986">
        <v>639.09512519709574</v>
      </c>
      <c r="T1986">
        <v>4.5</v>
      </c>
      <c r="U1986" t="s">
        <v>184</v>
      </c>
      <c r="V1986">
        <v>4.5</v>
      </c>
      <c r="W1986">
        <v>8</v>
      </c>
      <c r="X1986">
        <v>20.8</v>
      </c>
      <c r="Y1986">
        <v>15</v>
      </c>
      <c r="Z1986">
        <v>8.263812321365821E-2</v>
      </c>
      <c r="AA1986">
        <v>31.536000000000001</v>
      </c>
    </row>
    <row r="1987" spans="1:27" x14ac:dyDescent="0.25">
      <c r="A1987" t="s">
        <v>98</v>
      </c>
      <c r="B1987" t="s">
        <v>519</v>
      </c>
      <c r="C1987" t="s">
        <v>689</v>
      </c>
      <c r="D1987" t="s">
        <v>1707</v>
      </c>
      <c r="E1987" t="s">
        <v>179</v>
      </c>
      <c r="F1987" t="s">
        <v>201</v>
      </c>
      <c r="G1987" t="s">
        <v>119</v>
      </c>
      <c r="H1987" t="s">
        <v>125</v>
      </c>
      <c r="I1987">
        <v>2022</v>
      </c>
      <c r="J1987" t="s">
        <v>218</v>
      </c>
      <c r="K1987" t="s">
        <v>127</v>
      </c>
      <c r="L1987" t="s">
        <v>2242</v>
      </c>
      <c r="M1987" t="s">
        <v>2259</v>
      </c>
      <c r="N1987">
        <v>1</v>
      </c>
      <c r="O1987">
        <v>2022</v>
      </c>
      <c r="P1987">
        <v>10395.03611176889</v>
      </c>
      <c r="Q1987">
        <v>16.265240809907731</v>
      </c>
      <c r="R1987" t="s">
        <v>109</v>
      </c>
      <c r="S1987">
        <v>639.09512519709574</v>
      </c>
      <c r="T1987">
        <v>4.5</v>
      </c>
      <c r="U1987" t="s">
        <v>184</v>
      </c>
      <c r="V1987">
        <v>4.5</v>
      </c>
      <c r="W1987">
        <v>8</v>
      </c>
      <c r="X1987">
        <v>20.8</v>
      </c>
      <c r="Y1987">
        <v>15</v>
      </c>
      <c r="Z1987">
        <v>8.263812321365821E-2</v>
      </c>
      <c r="AA1987">
        <v>31.536000000000001</v>
      </c>
    </row>
    <row r="1988" spans="1:27" x14ac:dyDescent="0.25">
      <c r="A1988" t="s">
        <v>98</v>
      </c>
      <c r="B1988" t="s">
        <v>519</v>
      </c>
      <c r="C1988" t="s">
        <v>689</v>
      </c>
      <c r="D1988" t="s">
        <v>1707</v>
      </c>
      <c r="E1988" t="s">
        <v>179</v>
      </c>
      <c r="F1988" t="s">
        <v>201</v>
      </c>
      <c r="G1988" t="s">
        <v>119</v>
      </c>
      <c r="H1988" t="s">
        <v>125</v>
      </c>
      <c r="I1988">
        <v>2023</v>
      </c>
      <c r="J1988" t="s">
        <v>220</v>
      </c>
      <c r="K1988" t="s">
        <v>127</v>
      </c>
      <c r="L1988" t="s">
        <v>2242</v>
      </c>
      <c r="M1988" t="s">
        <v>2260</v>
      </c>
      <c r="N1988">
        <v>1</v>
      </c>
      <c r="O1988">
        <v>2023</v>
      </c>
      <c r="P1988">
        <v>10395.03611176889</v>
      </c>
      <c r="Q1988">
        <v>16.265240809907731</v>
      </c>
      <c r="R1988" t="s">
        <v>109</v>
      </c>
      <c r="S1988">
        <v>639.09512519709574</v>
      </c>
      <c r="T1988">
        <v>4.5</v>
      </c>
      <c r="U1988" t="s">
        <v>184</v>
      </c>
      <c r="V1988">
        <v>4.5</v>
      </c>
      <c r="W1988">
        <v>8</v>
      </c>
      <c r="X1988">
        <v>20.8</v>
      </c>
      <c r="Y1988">
        <v>15</v>
      </c>
      <c r="Z1988">
        <v>8.263812321365821E-2</v>
      </c>
      <c r="AA1988">
        <v>31.536000000000001</v>
      </c>
    </row>
    <row r="1989" spans="1:27" x14ac:dyDescent="0.25">
      <c r="A1989" t="s">
        <v>98</v>
      </c>
      <c r="B1989" t="s">
        <v>519</v>
      </c>
      <c r="C1989" t="s">
        <v>689</v>
      </c>
      <c r="D1989" t="s">
        <v>1707</v>
      </c>
      <c r="E1989" t="s">
        <v>179</v>
      </c>
      <c r="F1989" t="s">
        <v>201</v>
      </c>
      <c r="G1989" t="s">
        <v>119</v>
      </c>
      <c r="H1989" t="s">
        <v>125</v>
      </c>
      <c r="I1989">
        <v>2024</v>
      </c>
      <c r="J1989" t="s">
        <v>222</v>
      </c>
      <c r="K1989" t="s">
        <v>127</v>
      </c>
      <c r="L1989" t="s">
        <v>2242</v>
      </c>
      <c r="M1989" t="s">
        <v>2261</v>
      </c>
      <c r="N1989">
        <v>1</v>
      </c>
      <c r="O1989">
        <v>2024</v>
      </c>
      <c r="P1989">
        <v>10395.03611176889</v>
      </c>
      <c r="Q1989">
        <v>16.265240809907731</v>
      </c>
      <c r="R1989" t="s">
        <v>109</v>
      </c>
      <c r="S1989">
        <v>639.09512519709574</v>
      </c>
      <c r="T1989">
        <v>4.5</v>
      </c>
      <c r="U1989" t="s">
        <v>184</v>
      </c>
      <c r="V1989">
        <v>4.5</v>
      </c>
      <c r="W1989">
        <v>8</v>
      </c>
      <c r="X1989">
        <v>20.8</v>
      </c>
      <c r="Y1989">
        <v>15</v>
      </c>
      <c r="Z1989">
        <v>8.263812321365821E-2</v>
      </c>
      <c r="AA1989">
        <v>31.536000000000001</v>
      </c>
    </row>
    <row r="1990" spans="1:27" x14ac:dyDescent="0.25">
      <c r="A1990" t="s">
        <v>98</v>
      </c>
      <c r="B1990" t="s">
        <v>519</v>
      </c>
      <c r="C1990" t="s">
        <v>689</v>
      </c>
      <c r="D1990" t="s">
        <v>1707</v>
      </c>
      <c r="E1990" t="s">
        <v>179</v>
      </c>
      <c r="F1990" t="s">
        <v>224</v>
      </c>
      <c r="G1990" t="s">
        <v>111</v>
      </c>
      <c r="H1990" t="s">
        <v>125</v>
      </c>
      <c r="I1990">
        <v>2016</v>
      </c>
      <c r="J1990" t="s">
        <v>225</v>
      </c>
      <c r="K1990" t="s">
        <v>127</v>
      </c>
      <c r="L1990" t="s">
        <v>2242</v>
      </c>
      <c r="M1990" t="s">
        <v>2262</v>
      </c>
      <c r="N1990">
        <v>1</v>
      </c>
      <c r="O1990">
        <v>2020</v>
      </c>
      <c r="P1990">
        <v>1341.294982163728</v>
      </c>
      <c r="Q1990">
        <v>16.265240809907731</v>
      </c>
      <c r="R1990" t="s">
        <v>109</v>
      </c>
      <c r="S1990">
        <v>82.463887122205904</v>
      </c>
      <c r="T1990">
        <v>0.98</v>
      </c>
      <c r="U1990" t="s">
        <v>227</v>
      </c>
      <c r="V1990">
        <v>0.98</v>
      </c>
      <c r="W1990">
        <v>15</v>
      </c>
      <c r="X1990">
        <v>30</v>
      </c>
      <c r="Y1990">
        <v>23</v>
      </c>
      <c r="Z1990">
        <v>8.263812321365821E-2</v>
      </c>
      <c r="AA1990">
        <v>31.536000000000001</v>
      </c>
    </row>
    <row r="1991" spans="1:27" x14ac:dyDescent="0.25">
      <c r="A1991" t="s">
        <v>98</v>
      </c>
      <c r="B1991" t="s">
        <v>519</v>
      </c>
      <c r="C1991" t="s">
        <v>689</v>
      </c>
      <c r="D1991" t="s">
        <v>1707</v>
      </c>
      <c r="E1991" t="s">
        <v>179</v>
      </c>
      <c r="F1991" t="s">
        <v>228</v>
      </c>
      <c r="G1991" t="s">
        <v>103</v>
      </c>
      <c r="H1991" t="s">
        <v>104</v>
      </c>
      <c r="I1991">
        <v>2016</v>
      </c>
      <c r="J1991" t="s">
        <v>229</v>
      </c>
      <c r="K1991" t="s">
        <v>106</v>
      </c>
      <c r="L1991" t="s">
        <v>2242</v>
      </c>
      <c r="M1991" t="s">
        <v>2263</v>
      </c>
      <c r="N1991">
        <v>1</v>
      </c>
      <c r="O1991">
        <v>2020</v>
      </c>
      <c r="P1991">
        <v>2499.6861031233111</v>
      </c>
      <c r="Q1991">
        <v>16.265240809907731</v>
      </c>
      <c r="R1991" t="s">
        <v>109</v>
      </c>
      <c r="S1991">
        <v>153.68269872774741</v>
      </c>
      <c r="T1991">
        <v>0.8</v>
      </c>
      <c r="U1991" t="s">
        <v>227</v>
      </c>
      <c r="V1991">
        <v>0.8</v>
      </c>
      <c r="W1991">
        <v>16</v>
      </c>
      <c r="X1991">
        <v>27</v>
      </c>
      <c r="Y1991">
        <v>22</v>
      </c>
      <c r="Z1991">
        <v>8.263812321365821E-2</v>
      </c>
      <c r="AA1991">
        <v>31.536000000000001</v>
      </c>
    </row>
    <row r="1992" spans="1:27" x14ac:dyDescent="0.25">
      <c r="A1992" t="s">
        <v>98</v>
      </c>
      <c r="B1992" t="s">
        <v>519</v>
      </c>
      <c r="C1992" t="s">
        <v>689</v>
      </c>
      <c r="D1992" t="s">
        <v>1707</v>
      </c>
      <c r="E1992" t="s">
        <v>179</v>
      </c>
      <c r="F1992" t="s">
        <v>228</v>
      </c>
      <c r="G1992" t="s">
        <v>111</v>
      </c>
      <c r="H1992" t="s">
        <v>104</v>
      </c>
      <c r="I1992">
        <v>2016</v>
      </c>
      <c r="J1992" t="s">
        <v>231</v>
      </c>
      <c r="K1992" t="s">
        <v>106</v>
      </c>
      <c r="L1992" t="s">
        <v>2242</v>
      </c>
      <c r="M1992" t="s">
        <v>2264</v>
      </c>
      <c r="N1992">
        <v>0</v>
      </c>
      <c r="O1992">
        <v>2020</v>
      </c>
      <c r="P1992">
        <v>3182.5271849521182</v>
      </c>
      <c r="Q1992">
        <v>16.265240809907731</v>
      </c>
      <c r="R1992" t="s">
        <v>109</v>
      </c>
      <c r="S1992">
        <v>195.6643139899613</v>
      </c>
      <c r="T1992">
        <v>0.92</v>
      </c>
      <c r="U1992" t="s">
        <v>227</v>
      </c>
      <c r="V1992">
        <v>0.92</v>
      </c>
      <c r="W1992">
        <v>16</v>
      </c>
      <c r="X1992">
        <v>27</v>
      </c>
      <c r="Y1992">
        <v>22</v>
      </c>
      <c r="Z1992">
        <v>8.263812321365821E-2</v>
      </c>
      <c r="AA1992">
        <v>31.536000000000001</v>
      </c>
    </row>
    <row r="1993" spans="1:27" x14ac:dyDescent="0.25">
      <c r="A1993" t="s">
        <v>98</v>
      </c>
      <c r="B1993" t="s">
        <v>519</v>
      </c>
      <c r="C1993" t="s">
        <v>689</v>
      </c>
      <c r="D1993" t="s">
        <v>1707</v>
      </c>
      <c r="E1993" t="s">
        <v>179</v>
      </c>
      <c r="F1993" t="s">
        <v>228</v>
      </c>
      <c r="G1993" t="s">
        <v>111</v>
      </c>
      <c r="H1993" t="s">
        <v>104</v>
      </c>
      <c r="I1993">
        <v>2020</v>
      </c>
      <c r="J1993" t="s">
        <v>233</v>
      </c>
      <c r="K1993" t="s">
        <v>106</v>
      </c>
      <c r="L1993" t="s">
        <v>2242</v>
      </c>
      <c r="M1993" t="s">
        <v>2264</v>
      </c>
      <c r="N1993">
        <v>1</v>
      </c>
      <c r="O1993">
        <v>2020</v>
      </c>
      <c r="P1993">
        <v>3365.4310461562618</v>
      </c>
      <c r="Q1993">
        <v>16.265240809907731</v>
      </c>
      <c r="R1993" t="s">
        <v>109</v>
      </c>
      <c r="S1993">
        <v>206.9093895066257</v>
      </c>
      <c r="T1993">
        <v>0.92</v>
      </c>
      <c r="U1993" t="s">
        <v>227</v>
      </c>
      <c r="V1993">
        <v>0.92</v>
      </c>
      <c r="W1993">
        <v>16</v>
      </c>
      <c r="X1993">
        <v>27</v>
      </c>
      <c r="Y1993">
        <v>22</v>
      </c>
      <c r="Z1993">
        <v>8.263812321365821E-2</v>
      </c>
      <c r="AA1993">
        <v>31.536000000000001</v>
      </c>
    </row>
    <row r="1994" spans="1:27" x14ac:dyDescent="0.25">
      <c r="A1994" t="s">
        <v>98</v>
      </c>
      <c r="B1994" t="s">
        <v>519</v>
      </c>
      <c r="C1994" t="s">
        <v>689</v>
      </c>
      <c r="D1994" t="s">
        <v>1707</v>
      </c>
      <c r="E1994" t="s">
        <v>179</v>
      </c>
      <c r="F1994" t="s">
        <v>228</v>
      </c>
      <c r="G1994" t="s">
        <v>114</v>
      </c>
      <c r="H1994" t="s">
        <v>104</v>
      </c>
      <c r="I1994">
        <v>2016</v>
      </c>
      <c r="J1994" t="s">
        <v>234</v>
      </c>
      <c r="K1994" t="s">
        <v>106</v>
      </c>
      <c r="L1994" t="s">
        <v>2242</v>
      </c>
      <c r="M1994" t="s">
        <v>2265</v>
      </c>
      <c r="N1994">
        <v>1</v>
      </c>
      <c r="O1994">
        <v>2020</v>
      </c>
      <c r="P1994">
        <v>3341.043864662377</v>
      </c>
      <c r="Q1994">
        <v>16.265240809907731</v>
      </c>
      <c r="R1994" t="s">
        <v>109</v>
      </c>
      <c r="S1994">
        <v>205.41004610440379</v>
      </c>
      <c r="T1994">
        <v>0.95</v>
      </c>
      <c r="U1994" t="s">
        <v>227</v>
      </c>
      <c r="V1994">
        <v>0.95</v>
      </c>
      <c r="W1994">
        <v>16</v>
      </c>
      <c r="X1994">
        <v>27</v>
      </c>
      <c r="Y1994">
        <v>22</v>
      </c>
      <c r="Z1994">
        <v>8.263812321365821E-2</v>
      </c>
      <c r="AA1994">
        <v>31.536000000000001</v>
      </c>
    </row>
    <row r="1995" spans="1:27" x14ac:dyDescent="0.25">
      <c r="A1995" t="s">
        <v>98</v>
      </c>
      <c r="B1995" t="s">
        <v>519</v>
      </c>
      <c r="C1995" t="s">
        <v>689</v>
      </c>
      <c r="D1995" t="s">
        <v>1707</v>
      </c>
      <c r="E1995" t="s">
        <v>179</v>
      </c>
      <c r="F1995" t="s">
        <v>228</v>
      </c>
      <c r="G1995" t="s">
        <v>114</v>
      </c>
      <c r="H1995" t="s">
        <v>104</v>
      </c>
      <c r="I1995">
        <v>2022</v>
      </c>
      <c r="J1995" t="s">
        <v>236</v>
      </c>
      <c r="K1995" t="s">
        <v>106</v>
      </c>
      <c r="L1995" t="s">
        <v>2242</v>
      </c>
      <c r="M1995" t="s">
        <v>2266</v>
      </c>
      <c r="N1995">
        <v>1</v>
      </c>
      <c r="O1995">
        <v>2022</v>
      </c>
      <c r="P1995">
        <v>3341.043864662377</v>
      </c>
      <c r="Q1995">
        <v>16.265240809907731</v>
      </c>
      <c r="R1995" t="s">
        <v>109</v>
      </c>
      <c r="S1995">
        <v>205.41004610440379</v>
      </c>
      <c r="T1995">
        <v>0.95</v>
      </c>
      <c r="U1995" t="s">
        <v>227</v>
      </c>
      <c r="V1995">
        <v>0.95</v>
      </c>
      <c r="W1995">
        <v>16</v>
      </c>
      <c r="X1995">
        <v>27</v>
      </c>
      <c r="Y1995">
        <v>22</v>
      </c>
      <c r="Z1995">
        <v>8.263812321365821E-2</v>
      </c>
      <c r="AA1995">
        <v>31.536000000000001</v>
      </c>
    </row>
    <row r="1996" spans="1:27" x14ac:dyDescent="0.25">
      <c r="A1996" t="s">
        <v>98</v>
      </c>
      <c r="B1996" t="s">
        <v>519</v>
      </c>
      <c r="C1996" t="s">
        <v>689</v>
      </c>
      <c r="D1996" t="s">
        <v>1707</v>
      </c>
      <c r="E1996" t="s">
        <v>179</v>
      </c>
      <c r="F1996" t="s">
        <v>228</v>
      </c>
      <c r="G1996" t="s">
        <v>119</v>
      </c>
      <c r="H1996" t="s">
        <v>104</v>
      </c>
      <c r="I1996">
        <v>2016</v>
      </c>
      <c r="J1996" t="s">
        <v>238</v>
      </c>
      <c r="K1996" t="s">
        <v>106</v>
      </c>
      <c r="L1996" t="s">
        <v>2242</v>
      </c>
      <c r="M1996" t="s">
        <v>2267</v>
      </c>
      <c r="N1996">
        <v>1</v>
      </c>
      <c r="O1996">
        <v>2020</v>
      </c>
      <c r="P1996">
        <v>3706.851587070666</v>
      </c>
      <c r="Q1996">
        <v>16.265240809907731</v>
      </c>
      <c r="R1996" t="s">
        <v>109</v>
      </c>
      <c r="S1996">
        <v>227.9001971377327</v>
      </c>
      <c r="T1996">
        <v>0.99</v>
      </c>
      <c r="U1996" t="s">
        <v>227</v>
      </c>
      <c r="V1996">
        <v>0.99</v>
      </c>
      <c r="W1996">
        <v>16</v>
      </c>
      <c r="X1996">
        <v>27</v>
      </c>
      <c r="Y1996">
        <v>22</v>
      </c>
      <c r="Z1996">
        <v>8.263812321365821E-2</v>
      </c>
      <c r="AA1996">
        <v>31.536000000000001</v>
      </c>
    </row>
    <row r="1997" spans="1:27" x14ac:dyDescent="0.25">
      <c r="A1997" t="s">
        <v>98</v>
      </c>
      <c r="B1997" t="s">
        <v>519</v>
      </c>
      <c r="C1997" t="s">
        <v>689</v>
      </c>
      <c r="D1997" t="s">
        <v>1707</v>
      </c>
      <c r="E1997" t="s">
        <v>179</v>
      </c>
      <c r="F1997" t="s">
        <v>228</v>
      </c>
      <c r="G1997" t="s">
        <v>119</v>
      </c>
      <c r="H1997" t="s">
        <v>104</v>
      </c>
      <c r="I1997">
        <v>2022</v>
      </c>
      <c r="J1997" t="s">
        <v>240</v>
      </c>
      <c r="K1997" t="s">
        <v>106</v>
      </c>
      <c r="L1997" t="s">
        <v>2242</v>
      </c>
      <c r="M1997" t="s">
        <v>2268</v>
      </c>
      <c r="N1997">
        <v>1</v>
      </c>
      <c r="O1997">
        <v>2022</v>
      </c>
      <c r="P1997">
        <v>3706.851587070666</v>
      </c>
      <c r="Q1997">
        <v>16.265240809907731</v>
      </c>
      <c r="R1997" t="s">
        <v>109</v>
      </c>
      <c r="S1997">
        <v>227.9001971377327</v>
      </c>
      <c r="T1997">
        <v>0.99</v>
      </c>
      <c r="U1997" t="s">
        <v>227</v>
      </c>
      <c r="V1997">
        <v>0.99</v>
      </c>
      <c r="W1997">
        <v>16</v>
      </c>
      <c r="X1997">
        <v>27</v>
      </c>
      <c r="Y1997">
        <v>22</v>
      </c>
      <c r="Z1997">
        <v>8.263812321365821E-2</v>
      </c>
      <c r="AA1997">
        <v>31.536000000000001</v>
      </c>
    </row>
    <row r="1998" spans="1:27" x14ac:dyDescent="0.25">
      <c r="A1998" t="s">
        <v>98</v>
      </c>
      <c r="B1998" t="s">
        <v>519</v>
      </c>
      <c r="C1998" t="s">
        <v>689</v>
      </c>
      <c r="D1998" t="s">
        <v>1707</v>
      </c>
      <c r="E1998" t="s">
        <v>179</v>
      </c>
      <c r="F1998" t="s">
        <v>224</v>
      </c>
      <c r="G1998" t="s">
        <v>103</v>
      </c>
      <c r="H1998" t="s">
        <v>104</v>
      </c>
      <c r="I1998">
        <v>2016</v>
      </c>
      <c r="J1998" t="s">
        <v>242</v>
      </c>
      <c r="K1998" t="s">
        <v>106</v>
      </c>
      <c r="L1998" t="s">
        <v>2242</v>
      </c>
      <c r="M1998" t="s">
        <v>2269</v>
      </c>
      <c r="N1998">
        <v>1</v>
      </c>
      <c r="O1998">
        <v>2020</v>
      </c>
      <c r="P1998">
        <v>8748.901360931588</v>
      </c>
      <c r="Q1998">
        <v>16.265240809907731</v>
      </c>
      <c r="R1998" t="s">
        <v>109</v>
      </c>
      <c r="S1998">
        <v>537.88944554711577</v>
      </c>
      <c r="T1998">
        <v>0.82</v>
      </c>
      <c r="U1998" t="s">
        <v>227</v>
      </c>
      <c r="V1998">
        <v>0.82</v>
      </c>
      <c r="W1998">
        <v>20</v>
      </c>
      <c r="X1998">
        <v>30</v>
      </c>
      <c r="Y1998">
        <v>26</v>
      </c>
      <c r="Z1998">
        <v>8.263812321365821E-2</v>
      </c>
      <c r="AA1998">
        <v>31.536000000000001</v>
      </c>
    </row>
    <row r="1999" spans="1:27" x14ac:dyDescent="0.25">
      <c r="A1999" t="s">
        <v>98</v>
      </c>
      <c r="B1999" t="s">
        <v>519</v>
      </c>
      <c r="C1999" t="s">
        <v>689</v>
      </c>
      <c r="D1999" t="s">
        <v>1707</v>
      </c>
      <c r="E1999" t="s">
        <v>179</v>
      </c>
      <c r="F1999" t="s">
        <v>224</v>
      </c>
      <c r="G1999" t="s">
        <v>103</v>
      </c>
      <c r="H1999" t="s">
        <v>104</v>
      </c>
      <c r="I1999">
        <v>2021</v>
      </c>
      <c r="J1999" t="s">
        <v>244</v>
      </c>
      <c r="K1999" t="s">
        <v>106</v>
      </c>
      <c r="L1999" t="s">
        <v>2242</v>
      </c>
      <c r="M1999" t="s">
        <v>2270</v>
      </c>
      <c r="N1999">
        <v>1</v>
      </c>
      <c r="O1999">
        <v>2021</v>
      </c>
      <c r="P1999">
        <v>8962.2891990030894</v>
      </c>
      <c r="Q1999">
        <v>16.265240809907731</v>
      </c>
      <c r="R1999" t="s">
        <v>109</v>
      </c>
      <c r="S1999">
        <v>551.00870031655757</v>
      </c>
      <c r="T1999">
        <v>0.84</v>
      </c>
      <c r="U1999" t="s">
        <v>227</v>
      </c>
      <c r="V1999">
        <v>0.84</v>
      </c>
      <c r="W1999">
        <v>20</v>
      </c>
      <c r="X1999">
        <v>30</v>
      </c>
      <c r="Y1999">
        <v>26</v>
      </c>
      <c r="Z1999">
        <v>8.263812321365821E-2</v>
      </c>
      <c r="AA1999">
        <v>31.536000000000001</v>
      </c>
    </row>
    <row r="2000" spans="1:27" x14ac:dyDescent="0.25">
      <c r="A2000" t="s">
        <v>98</v>
      </c>
      <c r="B2000" t="s">
        <v>519</v>
      </c>
      <c r="C2000" t="s">
        <v>689</v>
      </c>
      <c r="D2000" t="s">
        <v>1707</v>
      </c>
      <c r="E2000" t="s">
        <v>179</v>
      </c>
      <c r="F2000" t="s">
        <v>224</v>
      </c>
      <c r="G2000" t="s">
        <v>111</v>
      </c>
      <c r="H2000" t="s">
        <v>104</v>
      </c>
      <c r="I2000">
        <v>2016</v>
      </c>
      <c r="J2000" t="s">
        <v>246</v>
      </c>
      <c r="K2000" t="s">
        <v>106</v>
      </c>
      <c r="L2000" t="s">
        <v>2242</v>
      </c>
      <c r="M2000" t="s">
        <v>2271</v>
      </c>
      <c r="N2000">
        <v>0</v>
      </c>
      <c r="O2000">
        <v>2020</v>
      </c>
      <c r="P2000">
        <v>8748.901360931588</v>
      </c>
      <c r="Q2000">
        <v>16.265240809907731</v>
      </c>
      <c r="R2000" t="s">
        <v>109</v>
      </c>
      <c r="S2000">
        <v>537.88944554711577</v>
      </c>
      <c r="T2000">
        <v>0.82</v>
      </c>
      <c r="U2000" t="s">
        <v>227</v>
      </c>
      <c r="V2000">
        <v>0.82</v>
      </c>
      <c r="W2000">
        <v>20</v>
      </c>
      <c r="X2000">
        <v>30</v>
      </c>
      <c r="Y2000">
        <v>26</v>
      </c>
      <c r="Z2000">
        <v>8.263812321365821E-2</v>
      </c>
      <c r="AA2000">
        <v>31.536000000000001</v>
      </c>
    </row>
    <row r="2001" spans="1:27" x14ac:dyDescent="0.25">
      <c r="A2001" t="s">
        <v>98</v>
      </c>
      <c r="B2001" t="s">
        <v>519</v>
      </c>
      <c r="C2001" t="s">
        <v>689</v>
      </c>
      <c r="D2001" t="s">
        <v>1707</v>
      </c>
      <c r="E2001" t="s">
        <v>179</v>
      </c>
      <c r="F2001" t="s">
        <v>224</v>
      </c>
      <c r="G2001" t="s">
        <v>111</v>
      </c>
      <c r="H2001" t="s">
        <v>104</v>
      </c>
      <c r="I2001">
        <v>2020</v>
      </c>
      <c r="J2001" t="s">
        <v>248</v>
      </c>
      <c r="K2001" t="s">
        <v>106</v>
      </c>
      <c r="L2001" t="s">
        <v>2242</v>
      </c>
      <c r="M2001" t="s">
        <v>2271</v>
      </c>
      <c r="N2001">
        <v>1</v>
      </c>
      <c r="O2001">
        <v>2020</v>
      </c>
      <c r="P2001">
        <v>9602.4527132175954</v>
      </c>
      <c r="Q2001">
        <v>16.265240809907731</v>
      </c>
      <c r="R2001" t="s">
        <v>109</v>
      </c>
      <c r="S2001">
        <v>590.36646462488306</v>
      </c>
      <c r="T2001">
        <v>0.9</v>
      </c>
      <c r="U2001" t="s">
        <v>227</v>
      </c>
      <c r="V2001">
        <v>0.9</v>
      </c>
      <c r="W2001">
        <v>20</v>
      </c>
      <c r="X2001">
        <v>30</v>
      </c>
      <c r="Y2001">
        <v>26</v>
      </c>
      <c r="Z2001">
        <v>8.263812321365821E-2</v>
      </c>
      <c r="AA2001">
        <v>31.536000000000001</v>
      </c>
    </row>
    <row r="2002" spans="1:27" x14ac:dyDescent="0.25">
      <c r="A2002" t="s">
        <v>98</v>
      </c>
      <c r="B2002" t="s">
        <v>519</v>
      </c>
      <c r="C2002" t="s">
        <v>689</v>
      </c>
      <c r="D2002" t="s">
        <v>1707</v>
      </c>
      <c r="E2002" t="s">
        <v>179</v>
      </c>
      <c r="F2002" t="s">
        <v>224</v>
      </c>
      <c r="G2002" t="s">
        <v>114</v>
      </c>
      <c r="H2002" t="s">
        <v>104</v>
      </c>
      <c r="I2002">
        <v>2016</v>
      </c>
      <c r="J2002" t="s">
        <v>249</v>
      </c>
      <c r="K2002" t="s">
        <v>106</v>
      </c>
      <c r="L2002" t="s">
        <v>2242</v>
      </c>
      <c r="M2002" t="s">
        <v>2272</v>
      </c>
      <c r="N2002">
        <v>1</v>
      </c>
      <c r="O2002">
        <v>2020</v>
      </c>
      <c r="P2002">
        <v>9602.4527132175954</v>
      </c>
      <c r="Q2002">
        <v>16.265240809907731</v>
      </c>
      <c r="R2002" t="s">
        <v>109</v>
      </c>
      <c r="S2002">
        <v>590.36646462488306</v>
      </c>
      <c r="T2002">
        <v>0.9</v>
      </c>
      <c r="U2002" t="s">
        <v>227</v>
      </c>
      <c r="V2002">
        <v>0.9</v>
      </c>
      <c r="W2002">
        <v>20</v>
      </c>
      <c r="X2002">
        <v>30</v>
      </c>
      <c r="Y2002">
        <v>26</v>
      </c>
      <c r="Z2002">
        <v>8.263812321365821E-2</v>
      </c>
      <c r="AA2002">
        <v>31.536000000000001</v>
      </c>
    </row>
    <row r="2003" spans="1:27" x14ac:dyDescent="0.25">
      <c r="A2003" t="s">
        <v>98</v>
      </c>
      <c r="B2003" t="s">
        <v>519</v>
      </c>
      <c r="C2003" t="s">
        <v>689</v>
      </c>
      <c r="D2003" t="s">
        <v>1707</v>
      </c>
      <c r="E2003" t="s">
        <v>179</v>
      </c>
      <c r="F2003" t="s">
        <v>224</v>
      </c>
      <c r="G2003" t="s">
        <v>119</v>
      </c>
      <c r="H2003" t="s">
        <v>104</v>
      </c>
      <c r="I2003">
        <v>2016</v>
      </c>
      <c r="J2003" t="s">
        <v>251</v>
      </c>
      <c r="K2003" t="s">
        <v>106</v>
      </c>
      <c r="L2003" t="s">
        <v>2242</v>
      </c>
      <c r="M2003" t="s">
        <v>2273</v>
      </c>
      <c r="N2003">
        <v>1</v>
      </c>
      <c r="O2003">
        <v>2020</v>
      </c>
      <c r="P2003">
        <v>10882.779741646609</v>
      </c>
      <c r="Q2003">
        <v>16.265240809907731</v>
      </c>
      <c r="R2003" t="s">
        <v>109</v>
      </c>
      <c r="S2003">
        <v>669.08199324153429</v>
      </c>
      <c r="T2003">
        <v>0.97</v>
      </c>
      <c r="U2003" t="s">
        <v>227</v>
      </c>
      <c r="V2003">
        <v>0.97</v>
      </c>
      <c r="W2003">
        <v>20</v>
      </c>
      <c r="X2003">
        <v>30</v>
      </c>
      <c r="Y2003">
        <v>26</v>
      </c>
      <c r="Z2003">
        <v>8.263812321365821E-2</v>
      </c>
      <c r="AA2003">
        <v>31.536000000000001</v>
      </c>
    </row>
    <row r="2004" spans="1:27" x14ac:dyDescent="0.25">
      <c r="A2004" t="s">
        <v>98</v>
      </c>
      <c r="B2004" t="s">
        <v>519</v>
      </c>
      <c r="C2004" t="s">
        <v>689</v>
      </c>
      <c r="D2004" t="s">
        <v>1707</v>
      </c>
      <c r="E2004" t="s">
        <v>179</v>
      </c>
      <c r="F2004" t="s">
        <v>224</v>
      </c>
      <c r="G2004" t="s">
        <v>119</v>
      </c>
      <c r="H2004" t="s">
        <v>104</v>
      </c>
      <c r="I2004">
        <v>2022</v>
      </c>
      <c r="J2004" t="s">
        <v>253</v>
      </c>
      <c r="K2004" t="s">
        <v>106</v>
      </c>
      <c r="L2004" t="s">
        <v>2242</v>
      </c>
      <c r="M2004" t="s">
        <v>2274</v>
      </c>
      <c r="N2004">
        <v>1</v>
      </c>
      <c r="O2004">
        <v>2022</v>
      </c>
      <c r="P2004">
        <v>10882.779741646609</v>
      </c>
      <c r="Q2004">
        <v>16.265240809907731</v>
      </c>
      <c r="R2004" t="s">
        <v>109</v>
      </c>
      <c r="S2004">
        <v>669.08199324153429</v>
      </c>
      <c r="T2004">
        <v>0.97</v>
      </c>
      <c r="U2004" t="s">
        <v>227</v>
      </c>
      <c r="V2004">
        <v>0.97</v>
      </c>
      <c r="W2004">
        <v>20</v>
      </c>
      <c r="X2004">
        <v>30</v>
      </c>
      <c r="Y2004">
        <v>26</v>
      </c>
      <c r="Z2004">
        <v>8.263812321365821E-2</v>
      </c>
      <c r="AA2004">
        <v>31.536000000000001</v>
      </c>
    </row>
    <row r="2005" spans="1:27" x14ac:dyDescent="0.25">
      <c r="A2005" t="s">
        <v>98</v>
      </c>
      <c r="B2005" t="s">
        <v>519</v>
      </c>
      <c r="C2005" t="s">
        <v>689</v>
      </c>
      <c r="D2005" t="s">
        <v>1707</v>
      </c>
      <c r="E2005" t="s">
        <v>179</v>
      </c>
      <c r="F2005" t="s">
        <v>228</v>
      </c>
      <c r="G2005" t="s">
        <v>103</v>
      </c>
      <c r="H2005" t="s">
        <v>255</v>
      </c>
      <c r="I2005">
        <v>2016</v>
      </c>
      <c r="J2005" t="s">
        <v>256</v>
      </c>
      <c r="K2005" t="s">
        <v>257</v>
      </c>
      <c r="L2005" t="s">
        <v>2242</v>
      </c>
      <c r="M2005" t="s">
        <v>2275</v>
      </c>
      <c r="N2005">
        <v>1</v>
      </c>
      <c r="O2005">
        <v>2020</v>
      </c>
      <c r="P2005">
        <v>5029.8561831139787</v>
      </c>
      <c r="Q2005">
        <v>16.265240809907731</v>
      </c>
      <c r="R2005" t="s">
        <v>109</v>
      </c>
      <c r="S2005">
        <v>309.23957670827212</v>
      </c>
      <c r="T2005">
        <v>0.83</v>
      </c>
      <c r="U2005" t="s">
        <v>227</v>
      </c>
      <c r="V2005">
        <v>0.83</v>
      </c>
      <c r="W2005">
        <v>19.7</v>
      </c>
      <c r="X2005">
        <v>33.1</v>
      </c>
      <c r="Y2005">
        <v>27</v>
      </c>
      <c r="Z2005">
        <v>8.263812321365821E-2</v>
      </c>
      <c r="AA2005">
        <v>31.536000000000001</v>
      </c>
    </row>
    <row r="2006" spans="1:27" x14ac:dyDescent="0.25">
      <c r="A2006" t="s">
        <v>98</v>
      </c>
      <c r="B2006" t="s">
        <v>519</v>
      </c>
      <c r="C2006" t="s">
        <v>689</v>
      </c>
      <c r="D2006" t="s">
        <v>1707</v>
      </c>
      <c r="E2006" t="s">
        <v>179</v>
      </c>
      <c r="F2006" t="s">
        <v>228</v>
      </c>
      <c r="G2006" t="s">
        <v>111</v>
      </c>
      <c r="H2006" t="s">
        <v>255</v>
      </c>
      <c r="I2006">
        <v>2016</v>
      </c>
      <c r="J2006" t="s">
        <v>259</v>
      </c>
      <c r="K2006" t="s">
        <v>257</v>
      </c>
      <c r="L2006" t="s">
        <v>2242</v>
      </c>
      <c r="M2006" t="s">
        <v>2276</v>
      </c>
      <c r="N2006">
        <v>0</v>
      </c>
      <c r="O2006">
        <v>2020</v>
      </c>
      <c r="P2006">
        <v>5029.8561831139787</v>
      </c>
      <c r="Q2006">
        <v>16.265240809907731</v>
      </c>
      <c r="R2006" t="s">
        <v>109</v>
      </c>
      <c r="S2006">
        <v>309.23957670827212</v>
      </c>
      <c r="T2006">
        <v>0.83</v>
      </c>
      <c r="U2006" t="s">
        <v>227</v>
      </c>
      <c r="V2006">
        <v>0.83</v>
      </c>
      <c r="W2006">
        <v>19.7</v>
      </c>
      <c r="X2006">
        <v>33.1</v>
      </c>
      <c r="Y2006">
        <v>27</v>
      </c>
      <c r="Z2006">
        <v>8.263812321365821E-2</v>
      </c>
      <c r="AA2006">
        <v>31.536000000000001</v>
      </c>
    </row>
    <row r="2007" spans="1:27" x14ac:dyDescent="0.25">
      <c r="A2007" t="s">
        <v>98</v>
      </c>
      <c r="B2007" t="s">
        <v>519</v>
      </c>
      <c r="C2007" t="s">
        <v>689</v>
      </c>
      <c r="D2007" t="s">
        <v>1707</v>
      </c>
      <c r="E2007" t="s">
        <v>179</v>
      </c>
      <c r="F2007" t="s">
        <v>228</v>
      </c>
      <c r="G2007" t="s">
        <v>111</v>
      </c>
      <c r="H2007" t="s">
        <v>255</v>
      </c>
      <c r="I2007">
        <v>2020</v>
      </c>
      <c r="J2007" t="s">
        <v>261</v>
      </c>
      <c r="K2007" t="s">
        <v>257</v>
      </c>
      <c r="L2007" t="s">
        <v>2242</v>
      </c>
      <c r="M2007" t="s">
        <v>2276</v>
      </c>
      <c r="N2007">
        <v>1</v>
      </c>
      <c r="O2007">
        <v>2020</v>
      </c>
      <c r="P2007">
        <v>5151.7920905834089</v>
      </c>
      <c r="Q2007">
        <v>16.265240809907731</v>
      </c>
      <c r="R2007" t="s">
        <v>109</v>
      </c>
      <c r="S2007">
        <v>316.73629371938182</v>
      </c>
      <c r="T2007">
        <v>0.84</v>
      </c>
      <c r="U2007" t="s">
        <v>227</v>
      </c>
      <c r="V2007">
        <v>0.84</v>
      </c>
      <c r="W2007">
        <v>19.7</v>
      </c>
      <c r="X2007">
        <v>33.1</v>
      </c>
      <c r="Y2007">
        <v>27</v>
      </c>
      <c r="Z2007">
        <v>8.263812321365821E-2</v>
      </c>
      <c r="AA2007">
        <v>31.536000000000001</v>
      </c>
    </row>
    <row r="2008" spans="1:27" x14ac:dyDescent="0.25">
      <c r="A2008" t="s">
        <v>98</v>
      </c>
      <c r="B2008" t="s">
        <v>519</v>
      </c>
      <c r="C2008" t="s">
        <v>689</v>
      </c>
      <c r="D2008" t="s">
        <v>1707</v>
      </c>
      <c r="E2008" t="s">
        <v>179</v>
      </c>
      <c r="F2008" t="s">
        <v>228</v>
      </c>
      <c r="G2008" t="s">
        <v>114</v>
      </c>
      <c r="H2008" t="s">
        <v>255</v>
      </c>
      <c r="I2008">
        <v>2016</v>
      </c>
      <c r="J2008" t="s">
        <v>262</v>
      </c>
      <c r="K2008" t="s">
        <v>257</v>
      </c>
      <c r="L2008" t="s">
        <v>2242</v>
      </c>
      <c r="M2008" t="s">
        <v>2277</v>
      </c>
      <c r="N2008">
        <v>1</v>
      </c>
      <c r="O2008">
        <v>2020</v>
      </c>
      <c r="P2008">
        <v>5304.2119749201956</v>
      </c>
      <c r="Q2008">
        <v>16.265240809907731</v>
      </c>
      <c r="R2008" t="s">
        <v>109</v>
      </c>
      <c r="S2008">
        <v>326.10718998326882</v>
      </c>
      <c r="T2008">
        <v>0.85</v>
      </c>
      <c r="U2008" t="s">
        <v>227</v>
      </c>
      <c r="V2008">
        <v>0.85</v>
      </c>
      <c r="W2008">
        <v>19.7</v>
      </c>
      <c r="X2008">
        <v>33.1</v>
      </c>
      <c r="Y2008">
        <v>27</v>
      </c>
      <c r="Z2008">
        <v>8.263812321365821E-2</v>
      </c>
      <c r="AA2008">
        <v>31.536000000000001</v>
      </c>
    </row>
    <row r="2009" spans="1:27" x14ac:dyDescent="0.25">
      <c r="A2009" t="s">
        <v>98</v>
      </c>
      <c r="B2009" t="s">
        <v>519</v>
      </c>
      <c r="C2009" t="s">
        <v>689</v>
      </c>
      <c r="D2009" t="s">
        <v>1707</v>
      </c>
      <c r="E2009" t="s">
        <v>179</v>
      </c>
      <c r="F2009" t="s">
        <v>228</v>
      </c>
      <c r="G2009" t="s">
        <v>119</v>
      </c>
      <c r="H2009" t="s">
        <v>255</v>
      </c>
      <c r="I2009">
        <v>2016</v>
      </c>
      <c r="J2009" t="s">
        <v>264</v>
      </c>
      <c r="K2009" t="s">
        <v>257</v>
      </c>
      <c r="L2009" t="s">
        <v>2242</v>
      </c>
      <c r="M2009" t="s">
        <v>2278</v>
      </c>
      <c r="N2009">
        <v>0</v>
      </c>
      <c r="O2009">
        <v>2020</v>
      </c>
      <c r="P2009">
        <v>7864.8660317782214</v>
      </c>
      <c r="Q2009">
        <v>16.265240809907731</v>
      </c>
      <c r="R2009" t="s">
        <v>109</v>
      </c>
      <c r="S2009">
        <v>483.53824721657088</v>
      </c>
      <c r="T2009">
        <v>0.97</v>
      </c>
      <c r="U2009" t="s">
        <v>227</v>
      </c>
      <c r="V2009">
        <v>0.97</v>
      </c>
      <c r="W2009">
        <v>19.7</v>
      </c>
      <c r="X2009">
        <v>33.1</v>
      </c>
      <c r="Y2009">
        <v>27</v>
      </c>
      <c r="Z2009">
        <v>8.263812321365821E-2</v>
      </c>
      <c r="AA2009">
        <v>31.536000000000001</v>
      </c>
    </row>
    <row r="2010" spans="1:27" x14ac:dyDescent="0.25">
      <c r="A2010" t="s">
        <v>98</v>
      </c>
      <c r="B2010" t="s">
        <v>519</v>
      </c>
      <c r="C2010" t="s">
        <v>689</v>
      </c>
      <c r="D2010" t="s">
        <v>1707</v>
      </c>
      <c r="E2010" t="s">
        <v>179</v>
      </c>
      <c r="F2010" t="s">
        <v>228</v>
      </c>
      <c r="G2010" t="s">
        <v>119</v>
      </c>
      <c r="H2010" t="s">
        <v>255</v>
      </c>
      <c r="I2010">
        <v>2020</v>
      </c>
      <c r="J2010" t="s">
        <v>266</v>
      </c>
      <c r="K2010" t="s">
        <v>257</v>
      </c>
      <c r="L2010" t="s">
        <v>2242</v>
      </c>
      <c r="M2010" t="s">
        <v>2278</v>
      </c>
      <c r="N2010">
        <v>1</v>
      </c>
      <c r="O2010">
        <v>2020</v>
      </c>
      <c r="P2010">
        <v>7864.8660317782214</v>
      </c>
      <c r="Q2010">
        <v>16.265240809907731</v>
      </c>
      <c r="R2010" t="s">
        <v>109</v>
      </c>
      <c r="S2010">
        <v>483.53824721657088</v>
      </c>
      <c r="T2010">
        <v>0.97</v>
      </c>
      <c r="U2010" t="s">
        <v>227</v>
      </c>
      <c r="V2010">
        <v>0.97</v>
      </c>
      <c r="W2010">
        <v>19.7</v>
      </c>
      <c r="X2010">
        <v>33.1</v>
      </c>
      <c r="Y2010">
        <v>27</v>
      </c>
      <c r="Z2010">
        <v>8.263812321365821E-2</v>
      </c>
      <c r="AA2010">
        <v>31.536000000000001</v>
      </c>
    </row>
    <row r="2011" spans="1:27" x14ac:dyDescent="0.25">
      <c r="A2011" t="s">
        <v>98</v>
      </c>
      <c r="B2011" t="s">
        <v>519</v>
      </c>
      <c r="C2011" t="s">
        <v>689</v>
      </c>
      <c r="D2011" t="s">
        <v>1707</v>
      </c>
      <c r="E2011" t="s">
        <v>179</v>
      </c>
      <c r="F2011" t="s">
        <v>228</v>
      </c>
      <c r="G2011" t="s">
        <v>103</v>
      </c>
      <c r="H2011" t="s">
        <v>156</v>
      </c>
      <c r="I2011">
        <v>2016</v>
      </c>
      <c r="J2011" t="s">
        <v>267</v>
      </c>
      <c r="K2011" t="s">
        <v>158</v>
      </c>
      <c r="L2011" t="s">
        <v>2242</v>
      </c>
      <c r="M2011" t="s">
        <v>2279</v>
      </c>
      <c r="N2011">
        <v>1</v>
      </c>
      <c r="O2011">
        <v>2020</v>
      </c>
      <c r="P2011">
        <v>2499.6861031233111</v>
      </c>
      <c r="Q2011">
        <v>16.265240809907731</v>
      </c>
      <c r="R2011" t="s">
        <v>109</v>
      </c>
      <c r="S2011">
        <v>153.68269872774741</v>
      </c>
      <c r="T2011">
        <v>0.8</v>
      </c>
      <c r="U2011" t="s">
        <v>227</v>
      </c>
      <c r="V2011">
        <v>0.8</v>
      </c>
      <c r="W2011">
        <v>16</v>
      </c>
      <c r="X2011">
        <v>27</v>
      </c>
      <c r="Y2011">
        <v>22</v>
      </c>
      <c r="Z2011">
        <v>8.263812321365821E-2</v>
      </c>
      <c r="AA2011">
        <v>31.536000000000001</v>
      </c>
    </row>
    <row r="2012" spans="1:27" x14ac:dyDescent="0.25">
      <c r="A2012" t="s">
        <v>98</v>
      </c>
      <c r="B2012" t="s">
        <v>519</v>
      </c>
      <c r="C2012" t="s">
        <v>689</v>
      </c>
      <c r="D2012" t="s">
        <v>1707</v>
      </c>
      <c r="E2012" t="s">
        <v>179</v>
      </c>
      <c r="F2012" t="s">
        <v>228</v>
      </c>
      <c r="G2012" t="s">
        <v>111</v>
      </c>
      <c r="H2012" t="s">
        <v>156</v>
      </c>
      <c r="I2012">
        <v>2016</v>
      </c>
      <c r="J2012" t="s">
        <v>269</v>
      </c>
      <c r="K2012" t="s">
        <v>158</v>
      </c>
      <c r="L2012" t="s">
        <v>2242</v>
      </c>
      <c r="M2012" t="s">
        <v>2280</v>
      </c>
      <c r="N2012">
        <v>0</v>
      </c>
      <c r="O2012">
        <v>2020</v>
      </c>
      <c r="P2012">
        <v>3182.5271849521182</v>
      </c>
      <c r="Q2012">
        <v>16.265240809907731</v>
      </c>
      <c r="R2012" t="s">
        <v>109</v>
      </c>
      <c r="S2012">
        <v>195.6643139899613</v>
      </c>
      <c r="T2012">
        <v>0.92</v>
      </c>
      <c r="U2012" t="s">
        <v>227</v>
      </c>
      <c r="V2012">
        <v>0.92</v>
      </c>
      <c r="W2012">
        <v>16</v>
      </c>
      <c r="X2012">
        <v>27</v>
      </c>
      <c r="Y2012">
        <v>22</v>
      </c>
      <c r="Z2012">
        <v>8.263812321365821E-2</v>
      </c>
      <c r="AA2012">
        <v>31.536000000000001</v>
      </c>
    </row>
    <row r="2013" spans="1:27" x14ac:dyDescent="0.25">
      <c r="A2013" t="s">
        <v>98</v>
      </c>
      <c r="B2013" t="s">
        <v>519</v>
      </c>
      <c r="C2013" t="s">
        <v>689</v>
      </c>
      <c r="D2013" t="s">
        <v>1707</v>
      </c>
      <c r="E2013" t="s">
        <v>179</v>
      </c>
      <c r="F2013" t="s">
        <v>228</v>
      </c>
      <c r="G2013" t="s">
        <v>111</v>
      </c>
      <c r="H2013" t="s">
        <v>156</v>
      </c>
      <c r="I2013">
        <v>2020</v>
      </c>
      <c r="J2013" t="s">
        <v>271</v>
      </c>
      <c r="K2013" t="s">
        <v>158</v>
      </c>
      <c r="L2013" t="s">
        <v>2242</v>
      </c>
      <c r="M2013" t="s">
        <v>2280</v>
      </c>
      <c r="N2013">
        <v>1</v>
      </c>
      <c r="O2013">
        <v>2020</v>
      </c>
      <c r="P2013">
        <v>3365.4310461562618</v>
      </c>
      <c r="Q2013">
        <v>16.265240809907731</v>
      </c>
      <c r="R2013" t="s">
        <v>109</v>
      </c>
      <c r="S2013">
        <v>206.9093895066257</v>
      </c>
      <c r="T2013">
        <v>0.92</v>
      </c>
      <c r="U2013" t="s">
        <v>227</v>
      </c>
      <c r="V2013">
        <v>0.92</v>
      </c>
      <c r="W2013">
        <v>16</v>
      </c>
      <c r="X2013">
        <v>27</v>
      </c>
      <c r="Y2013">
        <v>22</v>
      </c>
      <c r="Z2013">
        <v>8.263812321365821E-2</v>
      </c>
      <c r="AA2013">
        <v>31.536000000000001</v>
      </c>
    </row>
    <row r="2014" spans="1:27" x14ac:dyDescent="0.25">
      <c r="A2014" t="s">
        <v>98</v>
      </c>
      <c r="B2014" t="s">
        <v>519</v>
      </c>
      <c r="C2014" t="s">
        <v>689</v>
      </c>
      <c r="D2014" t="s">
        <v>1707</v>
      </c>
      <c r="E2014" t="s">
        <v>179</v>
      </c>
      <c r="F2014" t="s">
        <v>228</v>
      </c>
      <c r="G2014" t="s">
        <v>114</v>
      </c>
      <c r="H2014" t="s">
        <v>156</v>
      </c>
      <c r="I2014">
        <v>2016</v>
      </c>
      <c r="J2014" t="s">
        <v>272</v>
      </c>
      <c r="K2014" t="s">
        <v>158</v>
      </c>
      <c r="L2014" t="s">
        <v>2242</v>
      </c>
      <c r="M2014" t="s">
        <v>2281</v>
      </c>
      <c r="N2014">
        <v>1</v>
      </c>
      <c r="O2014">
        <v>2020</v>
      </c>
      <c r="P2014">
        <v>3341.043864662377</v>
      </c>
      <c r="Q2014">
        <v>16.265240809907731</v>
      </c>
      <c r="R2014" t="s">
        <v>109</v>
      </c>
      <c r="S2014">
        <v>205.41004610440379</v>
      </c>
      <c r="T2014">
        <v>0.95</v>
      </c>
      <c r="U2014" t="s">
        <v>227</v>
      </c>
      <c r="V2014">
        <v>0.95</v>
      </c>
      <c r="W2014">
        <v>16</v>
      </c>
      <c r="X2014">
        <v>27</v>
      </c>
      <c r="Y2014">
        <v>22</v>
      </c>
      <c r="Z2014">
        <v>8.263812321365821E-2</v>
      </c>
      <c r="AA2014">
        <v>31.536000000000001</v>
      </c>
    </row>
    <row r="2015" spans="1:27" x14ac:dyDescent="0.25">
      <c r="A2015" t="s">
        <v>98</v>
      </c>
      <c r="B2015" t="s">
        <v>519</v>
      </c>
      <c r="C2015" t="s">
        <v>689</v>
      </c>
      <c r="D2015" t="s">
        <v>1707</v>
      </c>
      <c r="E2015" t="s">
        <v>179</v>
      </c>
      <c r="F2015" t="s">
        <v>228</v>
      </c>
      <c r="G2015" t="s">
        <v>114</v>
      </c>
      <c r="H2015" t="s">
        <v>156</v>
      </c>
      <c r="I2015">
        <v>2022</v>
      </c>
      <c r="J2015" t="s">
        <v>274</v>
      </c>
      <c r="K2015" t="s">
        <v>158</v>
      </c>
      <c r="L2015" t="s">
        <v>2242</v>
      </c>
      <c r="M2015" t="s">
        <v>2282</v>
      </c>
      <c r="N2015">
        <v>1</v>
      </c>
      <c r="O2015">
        <v>2022</v>
      </c>
      <c r="P2015">
        <v>3341.043864662377</v>
      </c>
      <c r="Q2015">
        <v>16.265240809907731</v>
      </c>
      <c r="R2015" t="s">
        <v>109</v>
      </c>
      <c r="S2015">
        <v>205.41004610440379</v>
      </c>
      <c r="T2015">
        <v>0.95</v>
      </c>
      <c r="U2015" t="s">
        <v>227</v>
      </c>
      <c r="V2015">
        <v>0.95</v>
      </c>
      <c r="W2015">
        <v>16</v>
      </c>
      <c r="X2015">
        <v>27</v>
      </c>
      <c r="Y2015">
        <v>22</v>
      </c>
      <c r="Z2015">
        <v>8.263812321365821E-2</v>
      </c>
      <c r="AA2015">
        <v>31.536000000000001</v>
      </c>
    </row>
    <row r="2016" spans="1:27" x14ac:dyDescent="0.25">
      <c r="A2016" t="s">
        <v>98</v>
      </c>
      <c r="B2016" t="s">
        <v>519</v>
      </c>
      <c r="C2016" t="s">
        <v>689</v>
      </c>
      <c r="D2016" t="s">
        <v>1707</v>
      </c>
      <c r="E2016" t="s">
        <v>179</v>
      </c>
      <c r="F2016" t="s">
        <v>228</v>
      </c>
      <c r="G2016" t="s">
        <v>119</v>
      </c>
      <c r="H2016" t="s">
        <v>156</v>
      </c>
      <c r="I2016">
        <v>2016</v>
      </c>
      <c r="J2016" t="s">
        <v>276</v>
      </c>
      <c r="K2016" t="s">
        <v>158</v>
      </c>
      <c r="L2016" t="s">
        <v>2242</v>
      </c>
      <c r="M2016" t="s">
        <v>2283</v>
      </c>
      <c r="N2016">
        <v>1</v>
      </c>
      <c r="O2016">
        <v>2020</v>
      </c>
      <c r="P2016">
        <v>3706.851587070666</v>
      </c>
      <c r="Q2016">
        <v>16.265240809907731</v>
      </c>
      <c r="R2016" t="s">
        <v>109</v>
      </c>
      <c r="S2016">
        <v>227.9001971377327</v>
      </c>
      <c r="T2016">
        <v>0.99</v>
      </c>
      <c r="U2016" t="s">
        <v>227</v>
      </c>
      <c r="V2016">
        <v>0.99</v>
      </c>
      <c r="W2016">
        <v>16</v>
      </c>
      <c r="X2016">
        <v>27</v>
      </c>
      <c r="Y2016">
        <v>22</v>
      </c>
      <c r="Z2016">
        <v>8.263812321365821E-2</v>
      </c>
      <c r="AA2016">
        <v>31.536000000000001</v>
      </c>
    </row>
    <row r="2017" spans="1:27" x14ac:dyDescent="0.25">
      <c r="A2017" t="s">
        <v>98</v>
      </c>
      <c r="B2017" t="s">
        <v>519</v>
      </c>
      <c r="C2017" t="s">
        <v>689</v>
      </c>
      <c r="D2017" t="s">
        <v>1707</v>
      </c>
      <c r="E2017" t="s">
        <v>179</v>
      </c>
      <c r="F2017" t="s">
        <v>228</v>
      </c>
      <c r="G2017" t="s">
        <v>119</v>
      </c>
      <c r="H2017" t="s">
        <v>156</v>
      </c>
      <c r="I2017">
        <v>2022</v>
      </c>
      <c r="J2017" t="s">
        <v>278</v>
      </c>
      <c r="K2017" t="s">
        <v>158</v>
      </c>
      <c r="L2017" t="s">
        <v>2242</v>
      </c>
      <c r="M2017" t="s">
        <v>2284</v>
      </c>
      <c r="N2017">
        <v>1</v>
      </c>
      <c r="O2017">
        <v>2022</v>
      </c>
      <c r="P2017">
        <v>3706.851587070666</v>
      </c>
      <c r="Q2017">
        <v>16.265240809907731</v>
      </c>
      <c r="R2017" t="s">
        <v>109</v>
      </c>
      <c r="S2017">
        <v>227.9001971377327</v>
      </c>
      <c r="T2017">
        <v>0.99</v>
      </c>
      <c r="U2017" t="s">
        <v>227</v>
      </c>
      <c r="V2017">
        <v>0.99</v>
      </c>
      <c r="W2017">
        <v>16</v>
      </c>
      <c r="X2017">
        <v>27</v>
      </c>
      <c r="Y2017">
        <v>22</v>
      </c>
      <c r="Z2017">
        <v>8.263812321365821E-2</v>
      </c>
      <c r="AA2017">
        <v>31.536000000000001</v>
      </c>
    </row>
    <row r="2018" spans="1:27" x14ac:dyDescent="0.25">
      <c r="A2018" t="s">
        <v>98</v>
      </c>
      <c r="B2018" t="s">
        <v>519</v>
      </c>
      <c r="C2018" t="s">
        <v>689</v>
      </c>
      <c r="D2018" t="s">
        <v>1707</v>
      </c>
      <c r="E2018" t="s">
        <v>179</v>
      </c>
      <c r="F2018" t="s">
        <v>228</v>
      </c>
      <c r="G2018" t="s">
        <v>103</v>
      </c>
      <c r="H2018" t="s">
        <v>148</v>
      </c>
      <c r="I2018">
        <v>2016</v>
      </c>
      <c r="J2018" t="s">
        <v>280</v>
      </c>
      <c r="K2018" t="s">
        <v>150</v>
      </c>
      <c r="L2018" t="s">
        <v>2242</v>
      </c>
      <c r="M2018" t="s">
        <v>2285</v>
      </c>
      <c r="N2018">
        <v>1</v>
      </c>
      <c r="O2018">
        <v>2020</v>
      </c>
      <c r="P2018">
        <v>5029.8561831139787</v>
      </c>
      <c r="Q2018">
        <v>16.265240809907731</v>
      </c>
      <c r="R2018" t="s">
        <v>109</v>
      </c>
      <c r="S2018">
        <v>309.23957670827212</v>
      </c>
      <c r="T2018">
        <v>0.83</v>
      </c>
      <c r="U2018" t="s">
        <v>227</v>
      </c>
      <c r="V2018">
        <v>0.83</v>
      </c>
      <c r="W2018">
        <v>19.7</v>
      </c>
      <c r="X2018">
        <v>33.1</v>
      </c>
      <c r="Y2018">
        <v>27</v>
      </c>
      <c r="Z2018">
        <v>8.263812321365821E-2</v>
      </c>
      <c r="AA2018">
        <v>31.536000000000001</v>
      </c>
    </row>
    <row r="2019" spans="1:27" x14ac:dyDescent="0.25">
      <c r="A2019" t="s">
        <v>98</v>
      </c>
      <c r="B2019" t="s">
        <v>519</v>
      </c>
      <c r="C2019" t="s">
        <v>689</v>
      </c>
      <c r="D2019" t="s">
        <v>1707</v>
      </c>
      <c r="E2019" t="s">
        <v>179</v>
      </c>
      <c r="F2019" t="s">
        <v>228</v>
      </c>
      <c r="G2019" t="s">
        <v>111</v>
      </c>
      <c r="H2019" t="s">
        <v>148</v>
      </c>
      <c r="I2019">
        <v>2016</v>
      </c>
      <c r="J2019" t="s">
        <v>282</v>
      </c>
      <c r="K2019" t="s">
        <v>150</v>
      </c>
      <c r="L2019" t="s">
        <v>2242</v>
      </c>
      <c r="M2019" t="s">
        <v>2286</v>
      </c>
      <c r="N2019">
        <v>1</v>
      </c>
      <c r="O2019">
        <v>2020</v>
      </c>
      <c r="P2019">
        <v>5029.8561831139787</v>
      </c>
      <c r="Q2019">
        <v>16.265240809907731</v>
      </c>
      <c r="R2019" t="s">
        <v>109</v>
      </c>
      <c r="S2019">
        <v>309.23957670827212</v>
      </c>
      <c r="T2019">
        <v>0.83</v>
      </c>
      <c r="U2019" t="s">
        <v>227</v>
      </c>
      <c r="V2019">
        <v>0.83</v>
      </c>
      <c r="W2019">
        <v>19.7</v>
      </c>
      <c r="X2019">
        <v>33.1</v>
      </c>
      <c r="Y2019">
        <v>27</v>
      </c>
      <c r="Z2019">
        <v>8.263812321365821E-2</v>
      </c>
      <c r="AA2019">
        <v>31.536000000000001</v>
      </c>
    </row>
    <row r="2020" spans="1:27" x14ac:dyDescent="0.25">
      <c r="A2020" t="s">
        <v>98</v>
      </c>
      <c r="B2020" t="s">
        <v>519</v>
      </c>
      <c r="C2020" t="s">
        <v>689</v>
      </c>
      <c r="D2020" t="s">
        <v>1707</v>
      </c>
      <c r="E2020" t="s">
        <v>179</v>
      </c>
      <c r="F2020" t="s">
        <v>228</v>
      </c>
      <c r="G2020" t="s">
        <v>111</v>
      </c>
      <c r="H2020" t="s">
        <v>148</v>
      </c>
      <c r="I2020">
        <v>2022</v>
      </c>
      <c r="J2020" t="s">
        <v>284</v>
      </c>
      <c r="K2020" t="s">
        <v>150</v>
      </c>
      <c r="L2020" t="s">
        <v>2242</v>
      </c>
      <c r="M2020" t="s">
        <v>2287</v>
      </c>
      <c r="N2020">
        <v>1</v>
      </c>
      <c r="O2020">
        <v>2022</v>
      </c>
      <c r="P2020">
        <v>5151.7920905834089</v>
      </c>
      <c r="Q2020">
        <v>16.265240809907731</v>
      </c>
      <c r="R2020" t="s">
        <v>109</v>
      </c>
      <c r="S2020">
        <v>316.73629371938182</v>
      </c>
      <c r="T2020">
        <v>0.84</v>
      </c>
      <c r="U2020" t="s">
        <v>227</v>
      </c>
      <c r="V2020">
        <v>0.84</v>
      </c>
      <c r="W2020">
        <v>19.7</v>
      </c>
      <c r="X2020">
        <v>33.1</v>
      </c>
      <c r="Y2020">
        <v>27</v>
      </c>
      <c r="Z2020">
        <v>8.263812321365821E-2</v>
      </c>
      <c r="AA2020">
        <v>31.536000000000001</v>
      </c>
    </row>
    <row r="2021" spans="1:27" x14ac:dyDescent="0.25">
      <c r="A2021" t="s">
        <v>98</v>
      </c>
      <c r="B2021" t="s">
        <v>519</v>
      </c>
      <c r="C2021" t="s">
        <v>689</v>
      </c>
      <c r="D2021" t="s">
        <v>1707</v>
      </c>
      <c r="E2021" t="s">
        <v>179</v>
      </c>
      <c r="F2021" t="s">
        <v>228</v>
      </c>
      <c r="G2021" t="s">
        <v>114</v>
      </c>
      <c r="H2021" t="s">
        <v>148</v>
      </c>
      <c r="I2021">
        <v>2016</v>
      </c>
      <c r="J2021" t="s">
        <v>286</v>
      </c>
      <c r="K2021" t="s">
        <v>150</v>
      </c>
      <c r="L2021" t="s">
        <v>2242</v>
      </c>
      <c r="M2021" t="s">
        <v>2288</v>
      </c>
      <c r="N2021">
        <v>1</v>
      </c>
      <c r="O2021">
        <v>2020</v>
      </c>
      <c r="P2021">
        <v>5304.2119749201956</v>
      </c>
      <c r="Q2021">
        <v>16.265240809907731</v>
      </c>
      <c r="R2021" t="s">
        <v>109</v>
      </c>
      <c r="S2021">
        <v>326.10718998326882</v>
      </c>
      <c r="T2021">
        <v>0.85</v>
      </c>
      <c r="U2021" t="s">
        <v>227</v>
      </c>
      <c r="V2021">
        <v>0.85</v>
      </c>
      <c r="W2021">
        <v>19.7</v>
      </c>
      <c r="X2021">
        <v>33.1</v>
      </c>
      <c r="Y2021">
        <v>27</v>
      </c>
      <c r="Z2021">
        <v>8.263812321365821E-2</v>
      </c>
      <c r="AA2021">
        <v>31.536000000000001</v>
      </c>
    </row>
    <row r="2022" spans="1:27" x14ac:dyDescent="0.25">
      <c r="A2022" t="s">
        <v>98</v>
      </c>
      <c r="B2022" t="s">
        <v>519</v>
      </c>
      <c r="C2022" t="s">
        <v>689</v>
      </c>
      <c r="D2022" t="s">
        <v>1707</v>
      </c>
      <c r="E2022" t="s">
        <v>179</v>
      </c>
      <c r="F2022" t="s">
        <v>228</v>
      </c>
      <c r="G2022" t="s">
        <v>119</v>
      </c>
      <c r="H2022" t="s">
        <v>148</v>
      </c>
      <c r="I2022">
        <v>2016</v>
      </c>
      <c r="J2022" t="s">
        <v>288</v>
      </c>
      <c r="K2022" t="s">
        <v>150</v>
      </c>
      <c r="L2022" t="s">
        <v>2242</v>
      </c>
      <c r="M2022" t="s">
        <v>2289</v>
      </c>
      <c r="N2022">
        <v>1</v>
      </c>
      <c r="O2022">
        <v>2020</v>
      </c>
      <c r="P2022">
        <v>7864.8660317782214</v>
      </c>
      <c r="Q2022">
        <v>16.265240809907731</v>
      </c>
      <c r="R2022" t="s">
        <v>109</v>
      </c>
      <c r="S2022">
        <v>483.53824721657088</v>
      </c>
      <c r="T2022">
        <v>0.97</v>
      </c>
      <c r="U2022" t="s">
        <v>227</v>
      </c>
      <c r="V2022">
        <v>0.97</v>
      </c>
      <c r="W2022">
        <v>19.7</v>
      </c>
      <c r="X2022">
        <v>33.1</v>
      </c>
      <c r="Y2022">
        <v>27</v>
      </c>
      <c r="Z2022">
        <v>8.263812321365821E-2</v>
      </c>
      <c r="AA2022">
        <v>31.536000000000001</v>
      </c>
    </row>
    <row r="2023" spans="1:27" x14ac:dyDescent="0.25">
      <c r="A2023" t="s">
        <v>98</v>
      </c>
      <c r="B2023" t="s">
        <v>519</v>
      </c>
      <c r="C2023" t="s">
        <v>689</v>
      </c>
      <c r="D2023" t="s">
        <v>1707</v>
      </c>
      <c r="E2023" t="s">
        <v>179</v>
      </c>
      <c r="F2023" t="s">
        <v>228</v>
      </c>
      <c r="G2023" t="s">
        <v>119</v>
      </c>
      <c r="H2023" t="s">
        <v>148</v>
      </c>
      <c r="I2023">
        <v>2022</v>
      </c>
      <c r="J2023" t="s">
        <v>290</v>
      </c>
      <c r="K2023" t="s">
        <v>150</v>
      </c>
      <c r="L2023" t="s">
        <v>2242</v>
      </c>
      <c r="M2023" t="s">
        <v>2290</v>
      </c>
      <c r="N2023">
        <v>1</v>
      </c>
      <c r="O2023">
        <v>2022</v>
      </c>
      <c r="P2023">
        <v>7864.8660317782214</v>
      </c>
      <c r="Q2023">
        <v>16.265240809907731</v>
      </c>
      <c r="R2023" t="s">
        <v>109</v>
      </c>
      <c r="S2023">
        <v>483.53824721657088</v>
      </c>
      <c r="T2023">
        <v>0.97</v>
      </c>
      <c r="U2023" t="s">
        <v>227</v>
      </c>
      <c r="V2023">
        <v>0.97</v>
      </c>
      <c r="W2023">
        <v>19.7</v>
      </c>
      <c r="X2023">
        <v>33.1</v>
      </c>
      <c r="Y2023">
        <v>27</v>
      </c>
      <c r="Z2023">
        <v>8.263812321365821E-2</v>
      </c>
      <c r="AA2023">
        <v>31.536000000000001</v>
      </c>
    </row>
    <row r="2024" spans="1:27" x14ac:dyDescent="0.25">
      <c r="A2024" t="s">
        <v>98</v>
      </c>
      <c r="B2024" t="s">
        <v>519</v>
      </c>
      <c r="C2024" t="s">
        <v>689</v>
      </c>
      <c r="D2024" t="s">
        <v>1707</v>
      </c>
      <c r="E2024" t="s">
        <v>179</v>
      </c>
      <c r="F2024" t="s">
        <v>224</v>
      </c>
      <c r="G2024" t="s">
        <v>103</v>
      </c>
      <c r="H2024" t="s">
        <v>148</v>
      </c>
      <c r="I2024">
        <v>2016</v>
      </c>
      <c r="J2024" t="s">
        <v>292</v>
      </c>
      <c r="K2024" t="s">
        <v>150</v>
      </c>
      <c r="L2024" t="s">
        <v>2242</v>
      </c>
      <c r="M2024" t="s">
        <v>2291</v>
      </c>
      <c r="N2024">
        <v>1</v>
      </c>
      <c r="O2024">
        <v>2020</v>
      </c>
      <c r="P2024">
        <v>11126.65155658547</v>
      </c>
      <c r="Q2024">
        <v>16.265240809907731</v>
      </c>
      <c r="R2024" t="s">
        <v>109</v>
      </c>
      <c r="S2024">
        <v>684.07542726375345</v>
      </c>
      <c r="T2024">
        <v>0.84</v>
      </c>
      <c r="U2024" t="s">
        <v>227</v>
      </c>
      <c r="V2024">
        <v>0.84</v>
      </c>
      <c r="W2024">
        <v>18</v>
      </c>
      <c r="X2024">
        <v>28</v>
      </c>
      <c r="Y2024">
        <v>24</v>
      </c>
      <c r="Z2024">
        <v>8.263812321365821E-2</v>
      </c>
      <c r="AA2024">
        <v>31.536000000000001</v>
      </c>
    </row>
    <row r="2025" spans="1:27" x14ac:dyDescent="0.25">
      <c r="A2025" t="s">
        <v>98</v>
      </c>
      <c r="B2025" t="s">
        <v>519</v>
      </c>
      <c r="C2025" t="s">
        <v>689</v>
      </c>
      <c r="D2025" t="s">
        <v>1707</v>
      </c>
      <c r="E2025" t="s">
        <v>179</v>
      </c>
      <c r="F2025" t="s">
        <v>224</v>
      </c>
      <c r="G2025" t="s">
        <v>103</v>
      </c>
      <c r="H2025" t="s">
        <v>148</v>
      </c>
      <c r="I2025">
        <v>2022</v>
      </c>
      <c r="J2025" t="s">
        <v>294</v>
      </c>
      <c r="K2025" t="s">
        <v>150</v>
      </c>
      <c r="L2025" t="s">
        <v>2242</v>
      </c>
      <c r="M2025" t="s">
        <v>2292</v>
      </c>
      <c r="N2025">
        <v>1</v>
      </c>
      <c r="O2025">
        <v>2022</v>
      </c>
      <c r="P2025">
        <v>11492.45927899376</v>
      </c>
      <c r="Q2025">
        <v>16.265240809907731</v>
      </c>
      <c r="R2025" t="s">
        <v>109</v>
      </c>
      <c r="S2025">
        <v>706.56557829708242</v>
      </c>
      <c r="T2025">
        <v>0.86</v>
      </c>
      <c r="U2025" t="s">
        <v>227</v>
      </c>
      <c r="V2025">
        <v>0.86</v>
      </c>
      <c r="W2025">
        <v>18</v>
      </c>
      <c r="X2025">
        <v>28</v>
      </c>
      <c r="Y2025">
        <v>24</v>
      </c>
      <c r="Z2025">
        <v>8.263812321365821E-2</v>
      </c>
      <c r="AA2025">
        <v>31.536000000000001</v>
      </c>
    </row>
    <row r="2026" spans="1:27" x14ac:dyDescent="0.25">
      <c r="A2026" t="s">
        <v>98</v>
      </c>
      <c r="B2026" t="s">
        <v>519</v>
      </c>
      <c r="C2026" t="s">
        <v>689</v>
      </c>
      <c r="D2026" t="s">
        <v>1707</v>
      </c>
      <c r="E2026" t="s">
        <v>179</v>
      </c>
      <c r="F2026" t="s">
        <v>224</v>
      </c>
      <c r="G2026" t="s">
        <v>111</v>
      </c>
      <c r="H2026" t="s">
        <v>148</v>
      </c>
      <c r="I2026">
        <v>2016</v>
      </c>
      <c r="J2026" t="s">
        <v>296</v>
      </c>
      <c r="K2026" t="s">
        <v>150</v>
      </c>
      <c r="L2026" t="s">
        <v>2242</v>
      </c>
      <c r="M2026" t="s">
        <v>2293</v>
      </c>
      <c r="N2026">
        <v>1</v>
      </c>
      <c r="O2026">
        <v>2020</v>
      </c>
      <c r="P2026">
        <v>11126.65155658547</v>
      </c>
      <c r="Q2026">
        <v>16.265240809907731</v>
      </c>
      <c r="R2026" t="s">
        <v>109</v>
      </c>
      <c r="S2026">
        <v>684.07542726375345</v>
      </c>
      <c r="T2026">
        <v>0.84</v>
      </c>
      <c r="U2026" t="s">
        <v>227</v>
      </c>
      <c r="V2026">
        <v>0.84</v>
      </c>
      <c r="W2026">
        <v>18</v>
      </c>
      <c r="X2026">
        <v>28</v>
      </c>
      <c r="Y2026">
        <v>24</v>
      </c>
      <c r="Z2026">
        <v>8.263812321365821E-2</v>
      </c>
      <c r="AA2026">
        <v>31.536000000000001</v>
      </c>
    </row>
    <row r="2027" spans="1:27" x14ac:dyDescent="0.25">
      <c r="A2027" t="s">
        <v>98</v>
      </c>
      <c r="B2027" t="s">
        <v>519</v>
      </c>
      <c r="C2027" t="s">
        <v>689</v>
      </c>
      <c r="D2027" t="s">
        <v>1707</v>
      </c>
      <c r="E2027" t="s">
        <v>179</v>
      </c>
      <c r="F2027" t="s">
        <v>224</v>
      </c>
      <c r="G2027" t="s">
        <v>111</v>
      </c>
      <c r="H2027" t="s">
        <v>148</v>
      </c>
      <c r="I2027">
        <v>2022</v>
      </c>
      <c r="J2027" t="s">
        <v>298</v>
      </c>
      <c r="K2027" t="s">
        <v>150</v>
      </c>
      <c r="L2027" t="s">
        <v>2242</v>
      </c>
      <c r="M2027" t="s">
        <v>2294</v>
      </c>
      <c r="N2027">
        <v>1</v>
      </c>
      <c r="O2027">
        <v>2022</v>
      </c>
      <c r="P2027">
        <v>11492.45927899376</v>
      </c>
      <c r="Q2027">
        <v>16.265240809907731</v>
      </c>
      <c r="R2027" t="s">
        <v>109</v>
      </c>
      <c r="S2027">
        <v>706.56557829708242</v>
      </c>
      <c r="T2027">
        <v>0.86</v>
      </c>
      <c r="U2027" t="s">
        <v>227</v>
      </c>
      <c r="V2027">
        <v>0.86</v>
      </c>
      <c r="W2027">
        <v>18</v>
      </c>
      <c r="X2027">
        <v>28</v>
      </c>
      <c r="Y2027">
        <v>24</v>
      </c>
      <c r="Z2027">
        <v>8.263812321365821E-2</v>
      </c>
      <c r="AA2027">
        <v>31.536000000000001</v>
      </c>
    </row>
    <row r="2028" spans="1:27" x14ac:dyDescent="0.25">
      <c r="A2028" t="s">
        <v>98</v>
      </c>
      <c r="B2028" t="s">
        <v>519</v>
      </c>
      <c r="C2028" t="s">
        <v>689</v>
      </c>
      <c r="D2028" t="s">
        <v>1707</v>
      </c>
      <c r="E2028" t="s">
        <v>179</v>
      </c>
      <c r="F2028" t="s">
        <v>224</v>
      </c>
      <c r="G2028" t="s">
        <v>114</v>
      </c>
      <c r="H2028" t="s">
        <v>148</v>
      </c>
      <c r="I2028">
        <v>2016</v>
      </c>
      <c r="J2028" t="s">
        <v>300</v>
      </c>
      <c r="K2028" t="s">
        <v>150</v>
      </c>
      <c r="L2028" t="s">
        <v>2242</v>
      </c>
      <c r="M2028" t="s">
        <v>2295</v>
      </c>
      <c r="N2028">
        <v>1</v>
      </c>
      <c r="O2028">
        <v>2020</v>
      </c>
      <c r="P2028">
        <v>11492.45927899376</v>
      </c>
      <c r="Q2028">
        <v>16.265240809907731</v>
      </c>
      <c r="R2028" t="s">
        <v>109</v>
      </c>
      <c r="S2028">
        <v>706.56557829708242</v>
      </c>
      <c r="T2028">
        <v>0.87</v>
      </c>
      <c r="U2028" t="s">
        <v>227</v>
      </c>
      <c r="V2028">
        <v>0.87</v>
      </c>
      <c r="W2028">
        <v>18</v>
      </c>
      <c r="X2028">
        <v>28</v>
      </c>
      <c r="Y2028">
        <v>24</v>
      </c>
      <c r="Z2028">
        <v>8.263812321365821E-2</v>
      </c>
      <c r="AA2028">
        <v>31.536000000000001</v>
      </c>
    </row>
    <row r="2029" spans="1:27" x14ac:dyDescent="0.25">
      <c r="A2029" t="s">
        <v>98</v>
      </c>
      <c r="B2029" t="s">
        <v>519</v>
      </c>
      <c r="C2029" t="s">
        <v>689</v>
      </c>
      <c r="D2029" t="s">
        <v>1707</v>
      </c>
      <c r="E2029" t="s">
        <v>179</v>
      </c>
      <c r="F2029" t="s">
        <v>224</v>
      </c>
      <c r="G2029" t="s">
        <v>119</v>
      </c>
      <c r="H2029" t="s">
        <v>148</v>
      </c>
      <c r="I2029">
        <v>2016</v>
      </c>
      <c r="J2029" t="s">
        <v>302</v>
      </c>
      <c r="K2029" t="s">
        <v>150</v>
      </c>
      <c r="L2029" t="s">
        <v>2242</v>
      </c>
      <c r="M2029" t="s">
        <v>2296</v>
      </c>
      <c r="N2029">
        <v>1</v>
      </c>
      <c r="O2029">
        <v>2020</v>
      </c>
      <c r="P2029">
        <v>13961.66140524971</v>
      </c>
      <c r="Q2029">
        <v>16.265240809907731</v>
      </c>
      <c r="R2029" t="s">
        <v>109</v>
      </c>
      <c r="S2029">
        <v>858.37409777205232</v>
      </c>
      <c r="T2029">
        <v>0.9</v>
      </c>
      <c r="U2029" t="s">
        <v>227</v>
      </c>
      <c r="V2029">
        <v>0.9</v>
      </c>
      <c r="W2029">
        <v>18</v>
      </c>
      <c r="X2029">
        <v>28</v>
      </c>
      <c r="Y2029">
        <v>24</v>
      </c>
      <c r="Z2029">
        <v>8.263812321365821E-2</v>
      </c>
      <c r="AA2029">
        <v>31.536000000000001</v>
      </c>
    </row>
    <row r="2030" spans="1:27" x14ac:dyDescent="0.25">
      <c r="A2030" t="s">
        <v>98</v>
      </c>
      <c r="B2030" t="s">
        <v>519</v>
      </c>
      <c r="C2030" t="s">
        <v>689</v>
      </c>
      <c r="D2030" t="s">
        <v>1707</v>
      </c>
      <c r="E2030" t="s">
        <v>304</v>
      </c>
      <c r="F2030" t="s">
        <v>180</v>
      </c>
      <c r="G2030" t="s">
        <v>111</v>
      </c>
      <c r="H2030" t="s">
        <v>104</v>
      </c>
      <c r="I2030">
        <v>2016</v>
      </c>
      <c r="J2030" t="s">
        <v>305</v>
      </c>
      <c r="K2030" t="s">
        <v>106</v>
      </c>
      <c r="L2030" t="s">
        <v>2297</v>
      </c>
      <c r="M2030" t="s">
        <v>2298</v>
      </c>
      <c r="N2030">
        <v>0</v>
      </c>
      <c r="O2030">
        <v>2020</v>
      </c>
      <c r="P2030">
        <v>8291.641707921226</v>
      </c>
      <c r="Q2030">
        <v>4.0624899480159886</v>
      </c>
      <c r="R2030" t="s">
        <v>109</v>
      </c>
      <c r="S2030">
        <v>2041.0245475119621</v>
      </c>
      <c r="T2030">
        <v>0.6</v>
      </c>
      <c r="U2030" t="s">
        <v>184</v>
      </c>
      <c r="V2030">
        <v>0.6</v>
      </c>
      <c r="W2030">
        <v>12</v>
      </c>
      <c r="X2030">
        <v>18</v>
      </c>
      <c r="Y2030">
        <v>16</v>
      </c>
      <c r="Z2030">
        <v>9.7022787788124412E-2</v>
      </c>
      <c r="AA2030">
        <v>31.536000000000001</v>
      </c>
    </row>
    <row r="2031" spans="1:27" x14ac:dyDescent="0.25">
      <c r="A2031" t="s">
        <v>98</v>
      </c>
      <c r="B2031" t="s">
        <v>519</v>
      </c>
      <c r="C2031" t="s">
        <v>689</v>
      </c>
      <c r="D2031" t="s">
        <v>1707</v>
      </c>
      <c r="E2031" t="s">
        <v>304</v>
      </c>
      <c r="F2031" t="s">
        <v>180</v>
      </c>
      <c r="G2031" t="s">
        <v>111</v>
      </c>
      <c r="H2031" t="s">
        <v>104</v>
      </c>
      <c r="I2031">
        <v>2020</v>
      </c>
      <c r="J2031" t="s">
        <v>308</v>
      </c>
      <c r="K2031" t="s">
        <v>106</v>
      </c>
      <c r="L2031" t="s">
        <v>2297</v>
      </c>
      <c r="M2031" t="s">
        <v>2298</v>
      </c>
      <c r="N2031">
        <v>1</v>
      </c>
      <c r="O2031">
        <v>2020</v>
      </c>
      <c r="P2031">
        <v>8291.641707921226</v>
      </c>
      <c r="Q2031">
        <v>4.0624899480159886</v>
      </c>
      <c r="R2031" t="s">
        <v>109</v>
      </c>
      <c r="S2031">
        <v>2041.0245475119621</v>
      </c>
      <c r="T2031">
        <v>0.7</v>
      </c>
      <c r="U2031" t="s">
        <v>184</v>
      </c>
      <c r="V2031">
        <v>0.7</v>
      </c>
      <c r="W2031">
        <v>12</v>
      </c>
      <c r="X2031">
        <v>18</v>
      </c>
      <c r="Y2031">
        <v>16</v>
      </c>
      <c r="Z2031">
        <v>9.7022787788124412E-2</v>
      </c>
      <c r="AA2031">
        <v>31.536000000000001</v>
      </c>
    </row>
    <row r="2032" spans="1:27" x14ac:dyDescent="0.25">
      <c r="A2032" t="s">
        <v>98</v>
      </c>
      <c r="B2032" t="s">
        <v>519</v>
      </c>
      <c r="C2032" t="s">
        <v>689</v>
      </c>
      <c r="D2032" t="s">
        <v>1707</v>
      </c>
      <c r="E2032" t="s">
        <v>304</v>
      </c>
      <c r="F2032" t="s">
        <v>180</v>
      </c>
      <c r="G2032" t="s">
        <v>103</v>
      </c>
      <c r="H2032" t="s">
        <v>125</v>
      </c>
      <c r="I2032">
        <v>2016</v>
      </c>
      <c r="J2032" t="s">
        <v>309</v>
      </c>
      <c r="K2032" t="s">
        <v>127</v>
      </c>
      <c r="L2032" t="s">
        <v>2297</v>
      </c>
      <c r="M2032" t="s">
        <v>2299</v>
      </c>
      <c r="N2032">
        <v>1</v>
      </c>
      <c r="O2032">
        <v>2020</v>
      </c>
      <c r="P2032">
        <v>2956.9457561336731</v>
      </c>
      <c r="Q2032">
        <v>4.0624899480159886</v>
      </c>
      <c r="R2032" t="s">
        <v>109</v>
      </c>
      <c r="S2032">
        <v>727.86537172301576</v>
      </c>
      <c r="T2032">
        <v>4.1031652989449006</v>
      </c>
      <c r="U2032" t="s">
        <v>184</v>
      </c>
      <c r="V2032">
        <v>4.1031652989449006</v>
      </c>
      <c r="W2032">
        <v>9</v>
      </c>
      <c r="X2032">
        <v>22</v>
      </c>
      <c r="Y2032">
        <v>16</v>
      </c>
      <c r="Z2032">
        <v>9.7022787788124412E-2</v>
      </c>
      <c r="AA2032">
        <v>31.536000000000001</v>
      </c>
    </row>
    <row r="2033" spans="1:27" x14ac:dyDescent="0.25">
      <c r="A2033" t="s">
        <v>98</v>
      </c>
      <c r="B2033" t="s">
        <v>519</v>
      </c>
      <c r="C2033" t="s">
        <v>689</v>
      </c>
      <c r="D2033" t="s">
        <v>1707</v>
      </c>
      <c r="E2033" t="s">
        <v>304</v>
      </c>
      <c r="F2033" t="s">
        <v>180</v>
      </c>
      <c r="G2033" t="s">
        <v>103</v>
      </c>
      <c r="H2033" t="s">
        <v>125</v>
      </c>
      <c r="I2033">
        <v>2023</v>
      </c>
      <c r="J2033" t="s">
        <v>311</v>
      </c>
      <c r="K2033" t="s">
        <v>127</v>
      </c>
      <c r="L2033" t="s">
        <v>2297</v>
      </c>
      <c r="M2033" t="s">
        <v>2300</v>
      </c>
      <c r="N2033">
        <v>1</v>
      </c>
      <c r="O2033">
        <v>2023</v>
      </c>
      <c r="P2033">
        <v>2956.9457561336731</v>
      </c>
      <c r="Q2033">
        <v>4.0624899480159886</v>
      </c>
      <c r="R2033" t="s">
        <v>109</v>
      </c>
      <c r="S2033">
        <v>727.86537172301576</v>
      </c>
      <c r="T2033">
        <v>4.1031652989449006</v>
      </c>
      <c r="U2033" t="s">
        <v>184</v>
      </c>
      <c r="V2033">
        <v>4.1031652989449006</v>
      </c>
      <c r="W2033">
        <v>9</v>
      </c>
      <c r="X2033">
        <v>22</v>
      </c>
      <c r="Y2033">
        <v>16</v>
      </c>
      <c r="Z2033">
        <v>9.7022787788124412E-2</v>
      </c>
      <c r="AA2033">
        <v>31.536000000000001</v>
      </c>
    </row>
    <row r="2034" spans="1:27" x14ac:dyDescent="0.25">
      <c r="A2034" t="s">
        <v>98</v>
      </c>
      <c r="B2034" t="s">
        <v>519</v>
      </c>
      <c r="C2034" t="s">
        <v>689</v>
      </c>
      <c r="D2034" t="s">
        <v>1707</v>
      </c>
      <c r="E2034" t="s">
        <v>304</v>
      </c>
      <c r="F2034" t="s">
        <v>180</v>
      </c>
      <c r="G2034" t="s">
        <v>111</v>
      </c>
      <c r="H2034" t="s">
        <v>125</v>
      </c>
      <c r="I2034">
        <v>2016</v>
      </c>
      <c r="J2034" t="s">
        <v>313</v>
      </c>
      <c r="K2034" t="s">
        <v>127</v>
      </c>
      <c r="L2034" t="s">
        <v>2297</v>
      </c>
      <c r="M2034" t="s">
        <v>2301</v>
      </c>
      <c r="N2034">
        <v>1</v>
      </c>
      <c r="O2034">
        <v>2020</v>
      </c>
      <c r="P2034">
        <v>3109.3656404704602</v>
      </c>
      <c r="Q2034">
        <v>4.0624899480159886</v>
      </c>
      <c r="R2034" t="s">
        <v>109</v>
      </c>
      <c r="S2034">
        <v>765.38420531698569</v>
      </c>
      <c r="T2034">
        <v>4.484173505275499</v>
      </c>
      <c r="U2034" t="s">
        <v>184</v>
      </c>
      <c r="V2034">
        <v>4.484173505275499</v>
      </c>
      <c r="W2034">
        <v>9</v>
      </c>
      <c r="X2034">
        <v>22</v>
      </c>
      <c r="Y2034">
        <v>16</v>
      </c>
      <c r="Z2034">
        <v>9.7022787788124412E-2</v>
      </c>
      <c r="AA2034">
        <v>31.536000000000001</v>
      </c>
    </row>
    <row r="2035" spans="1:27" x14ac:dyDescent="0.25">
      <c r="A2035" t="s">
        <v>98</v>
      </c>
      <c r="B2035" t="s">
        <v>519</v>
      </c>
      <c r="C2035" t="s">
        <v>689</v>
      </c>
      <c r="D2035" t="s">
        <v>1707</v>
      </c>
      <c r="E2035" t="s">
        <v>304</v>
      </c>
      <c r="F2035" t="s">
        <v>180</v>
      </c>
      <c r="G2035" t="s">
        <v>111</v>
      </c>
      <c r="H2035" t="s">
        <v>125</v>
      </c>
      <c r="I2035">
        <v>2023</v>
      </c>
      <c r="J2035" t="s">
        <v>315</v>
      </c>
      <c r="K2035" t="s">
        <v>127</v>
      </c>
      <c r="L2035" t="s">
        <v>2297</v>
      </c>
      <c r="M2035" t="s">
        <v>2302</v>
      </c>
      <c r="N2035">
        <v>1</v>
      </c>
      <c r="O2035">
        <v>2023</v>
      </c>
      <c r="P2035">
        <v>3139.8496173378171</v>
      </c>
      <c r="Q2035">
        <v>4.0624899480159886</v>
      </c>
      <c r="R2035" t="s">
        <v>109</v>
      </c>
      <c r="S2035">
        <v>772.88797203577963</v>
      </c>
      <c r="T2035">
        <v>4.6307151230949586</v>
      </c>
      <c r="U2035" t="s">
        <v>184</v>
      </c>
      <c r="V2035">
        <v>4.6307151230949586</v>
      </c>
      <c r="W2035">
        <v>9</v>
      </c>
      <c r="X2035">
        <v>22</v>
      </c>
      <c r="Y2035">
        <v>16</v>
      </c>
      <c r="Z2035">
        <v>9.7022787788124412E-2</v>
      </c>
      <c r="AA2035">
        <v>31.536000000000001</v>
      </c>
    </row>
    <row r="2036" spans="1:27" x14ac:dyDescent="0.25">
      <c r="A2036" t="s">
        <v>98</v>
      </c>
      <c r="B2036" t="s">
        <v>519</v>
      </c>
      <c r="C2036" t="s">
        <v>689</v>
      </c>
      <c r="D2036" t="s">
        <v>1707</v>
      </c>
      <c r="E2036" t="s">
        <v>304</v>
      </c>
      <c r="F2036" t="s">
        <v>180</v>
      </c>
      <c r="G2036" t="s">
        <v>114</v>
      </c>
      <c r="H2036" t="s">
        <v>125</v>
      </c>
      <c r="I2036">
        <v>2016</v>
      </c>
      <c r="J2036" t="s">
        <v>317</v>
      </c>
      <c r="K2036" t="s">
        <v>127</v>
      </c>
      <c r="L2036" t="s">
        <v>2297</v>
      </c>
      <c r="M2036" t="s">
        <v>2303</v>
      </c>
      <c r="N2036">
        <v>1</v>
      </c>
      <c r="O2036">
        <v>2020</v>
      </c>
      <c r="P2036">
        <v>3017.9137098683868</v>
      </c>
      <c r="Q2036">
        <v>4.0624899480159886</v>
      </c>
      <c r="R2036" t="s">
        <v>109</v>
      </c>
      <c r="S2036">
        <v>742.87290516060364</v>
      </c>
      <c r="T2036">
        <v>4.3962485345838216</v>
      </c>
      <c r="U2036" t="s">
        <v>184</v>
      </c>
      <c r="V2036">
        <v>4.3962485345838216</v>
      </c>
      <c r="W2036">
        <v>9</v>
      </c>
      <c r="X2036">
        <v>22</v>
      </c>
      <c r="Y2036">
        <v>16</v>
      </c>
      <c r="Z2036">
        <v>9.7022787788124412E-2</v>
      </c>
      <c r="AA2036">
        <v>31.536000000000001</v>
      </c>
    </row>
    <row r="2037" spans="1:27" x14ac:dyDescent="0.25">
      <c r="A2037" t="s">
        <v>98</v>
      </c>
      <c r="B2037" t="s">
        <v>519</v>
      </c>
      <c r="C2037" t="s">
        <v>689</v>
      </c>
      <c r="D2037" t="s">
        <v>1707</v>
      </c>
      <c r="E2037" t="s">
        <v>304</v>
      </c>
      <c r="F2037" t="s">
        <v>180</v>
      </c>
      <c r="G2037" t="s">
        <v>114</v>
      </c>
      <c r="H2037" t="s">
        <v>125</v>
      </c>
      <c r="I2037">
        <v>2022</v>
      </c>
      <c r="J2037" t="s">
        <v>319</v>
      </c>
      <c r="K2037" t="s">
        <v>127</v>
      </c>
      <c r="L2037" t="s">
        <v>2297</v>
      </c>
      <c r="M2037" t="s">
        <v>2304</v>
      </c>
      <c r="N2037">
        <v>1</v>
      </c>
      <c r="O2037">
        <v>2022</v>
      </c>
      <c r="P2037">
        <v>3017.9137098683868</v>
      </c>
      <c r="Q2037">
        <v>4.0624899480159886</v>
      </c>
      <c r="R2037" t="s">
        <v>109</v>
      </c>
      <c r="S2037">
        <v>742.87290516060364</v>
      </c>
      <c r="T2037">
        <v>4.3962485345838216</v>
      </c>
      <c r="U2037" t="s">
        <v>184</v>
      </c>
      <c r="V2037">
        <v>4.3962485345838216</v>
      </c>
      <c r="W2037">
        <v>9</v>
      </c>
      <c r="X2037">
        <v>22</v>
      </c>
      <c r="Y2037">
        <v>16</v>
      </c>
      <c r="Z2037">
        <v>9.7022787788124412E-2</v>
      </c>
      <c r="AA2037">
        <v>31.536000000000001</v>
      </c>
    </row>
    <row r="2038" spans="1:27" x14ac:dyDescent="0.25">
      <c r="A2038" t="s">
        <v>98</v>
      </c>
      <c r="B2038" t="s">
        <v>519</v>
      </c>
      <c r="C2038" t="s">
        <v>689</v>
      </c>
      <c r="D2038" t="s">
        <v>1707</v>
      </c>
      <c r="E2038" t="s">
        <v>304</v>
      </c>
      <c r="F2038" t="s">
        <v>180</v>
      </c>
      <c r="G2038" t="s">
        <v>114</v>
      </c>
      <c r="H2038" t="s">
        <v>125</v>
      </c>
      <c r="I2038">
        <v>2023</v>
      </c>
      <c r="J2038" t="s">
        <v>321</v>
      </c>
      <c r="K2038" t="s">
        <v>127</v>
      </c>
      <c r="L2038" t="s">
        <v>2297</v>
      </c>
      <c r="M2038" t="s">
        <v>2305</v>
      </c>
      <c r="N2038">
        <v>1</v>
      </c>
      <c r="O2038">
        <v>2023</v>
      </c>
      <c r="P2038">
        <v>3266.447780092843</v>
      </c>
      <c r="Q2038">
        <v>4.0624899480159886</v>
      </c>
      <c r="R2038" t="s">
        <v>109</v>
      </c>
      <c r="S2038">
        <v>804.05067382088862</v>
      </c>
      <c r="T2038">
        <v>4.6893317702227444</v>
      </c>
      <c r="U2038" t="s">
        <v>184</v>
      </c>
      <c r="V2038">
        <v>4.6893317702227444</v>
      </c>
      <c r="W2038">
        <v>9</v>
      </c>
      <c r="X2038">
        <v>22</v>
      </c>
      <c r="Y2038">
        <v>16</v>
      </c>
      <c r="Z2038">
        <v>9.7022787788124412E-2</v>
      </c>
      <c r="AA2038">
        <v>31.536000000000001</v>
      </c>
    </row>
    <row r="2039" spans="1:27" x14ac:dyDescent="0.25">
      <c r="A2039" t="s">
        <v>98</v>
      </c>
      <c r="B2039" t="s">
        <v>519</v>
      </c>
      <c r="C2039" t="s">
        <v>689</v>
      </c>
      <c r="D2039" t="s">
        <v>1707</v>
      </c>
      <c r="E2039" t="s">
        <v>304</v>
      </c>
      <c r="F2039" t="s">
        <v>180</v>
      </c>
      <c r="G2039" t="s">
        <v>119</v>
      </c>
      <c r="H2039" t="s">
        <v>125</v>
      </c>
      <c r="I2039">
        <v>2016</v>
      </c>
      <c r="J2039" t="s">
        <v>323</v>
      </c>
      <c r="K2039" t="s">
        <v>127</v>
      </c>
      <c r="L2039" t="s">
        <v>2297</v>
      </c>
      <c r="M2039" t="s">
        <v>2306</v>
      </c>
      <c r="N2039">
        <v>1</v>
      </c>
      <c r="O2039">
        <v>2020</v>
      </c>
      <c r="P2039">
        <v>3719.0451778176089</v>
      </c>
      <c r="Q2039">
        <v>4.0624899480159886</v>
      </c>
      <c r="R2039" t="s">
        <v>109</v>
      </c>
      <c r="S2039">
        <v>915.45953969286518</v>
      </c>
      <c r="T2039">
        <v>5.5685814771395066</v>
      </c>
      <c r="U2039" t="s">
        <v>184</v>
      </c>
      <c r="V2039">
        <v>5.5685814771395066</v>
      </c>
      <c r="W2039">
        <v>9</v>
      </c>
      <c r="X2039">
        <v>22</v>
      </c>
      <c r="Y2039">
        <v>16</v>
      </c>
      <c r="Z2039">
        <v>9.7022787788124412E-2</v>
      </c>
      <c r="AA2039">
        <v>31.536000000000001</v>
      </c>
    </row>
    <row r="2040" spans="1:27" x14ac:dyDescent="0.25">
      <c r="A2040" t="s">
        <v>98</v>
      </c>
      <c r="B2040" t="s">
        <v>519</v>
      </c>
      <c r="C2040" t="s">
        <v>689</v>
      </c>
      <c r="D2040" t="s">
        <v>1707</v>
      </c>
      <c r="E2040" t="s">
        <v>304</v>
      </c>
      <c r="F2040" t="s">
        <v>180</v>
      </c>
      <c r="G2040" t="s">
        <v>119</v>
      </c>
      <c r="H2040" t="s">
        <v>125</v>
      </c>
      <c r="I2040">
        <v>2022</v>
      </c>
      <c r="J2040" t="s">
        <v>325</v>
      </c>
      <c r="K2040" t="s">
        <v>127</v>
      </c>
      <c r="L2040" t="s">
        <v>2297</v>
      </c>
      <c r="M2040" t="s">
        <v>2307</v>
      </c>
      <c r="N2040">
        <v>1</v>
      </c>
      <c r="O2040">
        <v>2022</v>
      </c>
      <c r="P2040">
        <v>3914.784397702746</v>
      </c>
      <c r="Q2040">
        <v>4.0624899480159886</v>
      </c>
      <c r="R2040" t="s">
        <v>109</v>
      </c>
      <c r="S2040">
        <v>963.64162072933175</v>
      </c>
      <c r="T2040">
        <v>5.8616647127784294</v>
      </c>
      <c r="U2040" t="s">
        <v>184</v>
      </c>
      <c r="V2040">
        <v>5.8616647127784294</v>
      </c>
      <c r="W2040">
        <v>9</v>
      </c>
      <c r="X2040">
        <v>22</v>
      </c>
      <c r="Y2040">
        <v>16</v>
      </c>
      <c r="Z2040">
        <v>9.7022787788124412E-2</v>
      </c>
      <c r="AA2040">
        <v>31.536000000000001</v>
      </c>
    </row>
    <row r="2041" spans="1:27" x14ac:dyDescent="0.25">
      <c r="A2041" t="s">
        <v>98</v>
      </c>
      <c r="B2041" t="s">
        <v>519</v>
      </c>
      <c r="C2041" t="s">
        <v>689</v>
      </c>
      <c r="D2041" t="s">
        <v>1707</v>
      </c>
      <c r="E2041" t="s">
        <v>304</v>
      </c>
      <c r="F2041" t="s">
        <v>201</v>
      </c>
      <c r="G2041" t="s">
        <v>103</v>
      </c>
      <c r="H2041" t="s">
        <v>125</v>
      </c>
      <c r="I2041">
        <v>2016</v>
      </c>
      <c r="J2041" t="s">
        <v>327</v>
      </c>
      <c r="K2041" t="s">
        <v>127</v>
      </c>
      <c r="L2041" t="s">
        <v>2297</v>
      </c>
      <c r="M2041" t="s">
        <v>2308</v>
      </c>
      <c r="N2041">
        <v>1</v>
      </c>
      <c r="O2041">
        <v>2020</v>
      </c>
      <c r="P2041">
        <v>9511.0007826155233</v>
      </c>
      <c r="Q2041">
        <v>4.0624899480159886</v>
      </c>
      <c r="R2041" t="s">
        <v>109</v>
      </c>
      <c r="S2041">
        <v>2341.1752162637208</v>
      </c>
      <c r="T2041">
        <v>14.1</v>
      </c>
      <c r="U2041" t="s">
        <v>329</v>
      </c>
      <c r="V2041">
        <v>4.1348973607038122</v>
      </c>
      <c r="W2041">
        <v>8</v>
      </c>
      <c r="X2041">
        <v>20.8</v>
      </c>
      <c r="Y2041">
        <v>15</v>
      </c>
      <c r="Z2041">
        <v>9.7022787788124412E-2</v>
      </c>
      <c r="AA2041">
        <v>31.536000000000001</v>
      </c>
    </row>
    <row r="2042" spans="1:27" x14ac:dyDescent="0.25">
      <c r="A2042" t="s">
        <v>98</v>
      </c>
      <c r="B2042" t="s">
        <v>519</v>
      </c>
      <c r="C2042" t="s">
        <v>689</v>
      </c>
      <c r="D2042" t="s">
        <v>1707</v>
      </c>
      <c r="E2042" t="s">
        <v>304</v>
      </c>
      <c r="F2042" t="s">
        <v>201</v>
      </c>
      <c r="G2042" t="s">
        <v>111</v>
      </c>
      <c r="H2042" t="s">
        <v>125</v>
      </c>
      <c r="I2042">
        <v>2016</v>
      </c>
      <c r="J2042" t="s">
        <v>330</v>
      </c>
      <c r="K2042" t="s">
        <v>127</v>
      </c>
      <c r="L2042" t="s">
        <v>2297</v>
      </c>
      <c r="M2042" t="s">
        <v>2309</v>
      </c>
      <c r="N2042">
        <v>1</v>
      </c>
      <c r="O2042">
        <v>2020</v>
      </c>
      <c r="P2042">
        <v>9846.3245281564559</v>
      </c>
      <c r="Q2042">
        <v>4.0624899480159886</v>
      </c>
      <c r="R2042" t="s">
        <v>109</v>
      </c>
      <c r="S2042">
        <v>2423.7166501704551</v>
      </c>
      <c r="T2042">
        <v>17.3</v>
      </c>
      <c r="U2042" t="s">
        <v>329</v>
      </c>
      <c r="V2042">
        <v>5.0733137829912023</v>
      </c>
      <c r="W2042">
        <v>8</v>
      </c>
      <c r="X2042">
        <v>20.8</v>
      </c>
      <c r="Y2042">
        <v>15</v>
      </c>
      <c r="Z2042">
        <v>9.7022787788124412E-2</v>
      </c>
      <c r="AA2042">
        <v>31.536000000000001</v>
      </c>
    </row>
    <row r="2043" spans="1:27" x14ac:dyDescent="0.25">
      <c r="A2043" t="s">
        <v>98</v>
      </c>
      <c r="B2043" t="s">
        <v>519</v>
      </c>
      <c r="C2043" t="s">
        <v>689</v>
      </c>
      <c r="D2043" t="s">
        <v>1707</v>
      </c>
      <c r="E2043" t="s">
        <v>304</v>
      </c>
      <c r="F2043" t="s">
        <v>201</v>
      </c>
      <c r="G2043" t="s">
        <v>114</v>
      </c>
      <c r="H2043" t="s">
        <v>125</v>
      </c>
      <c r="I2043">
        <v>2016</v>
      </c>
      <c r="J2043" t="s">
        <v>332</v>
      </c>
      <c r="K2043" t="s">
        <v>127</v>
      </c>
      <c r="L2043" t="s">
        <v>2297</v>
      </c>
      <c r="M2043" t="s">
        <v>2310</v>
      </c>
      <c r="N2043">
        <v>0</v>
      </c>
      <c r="O2043">
        <v>2020</v>
      </c>
      <c r="P2043">
        <v>9846.3245281564559</v>
      </c>
      <c r="Q2043">
        <v>4.0624899480159886</v>
      </c>
      <c r="R2043" t="s">
        <v>109</v>
      </c>
      <c r="S2043">
        <v>2423.7166501704551</v>
      </c>
      <c r="T2043">
        <v>17.100000000000001</v>
      </c>
      <c r="U2043" t="s">
        <v>329</v>
      </c>
      <c r="V2043">
        <v>5.0146627565982396</v>
      </c>
      <c r="W2043">
        <v>8</v>
      </c>
      <c r="X2043">
        <v>20.8</v>
      </c>
      <c r="Y2043">
        <v>15</v>
      </c>
      <c r="Z2043">
        <v>9.7022787788124412E-2</v>
      </c>
      <c r="AA2043">
        <v>31.536000000000001</v>
      </c>
    </row>
    <row r="2044" spans="1:27" x14ac:dyDescent="0.25">
      <c r="A2044" t="s">
        <v>98</v>
      </c>
      <c r="B2044" t="s">
        <v>519</v>
      </c>
      <c r="C2044" t="s">
        <v>689</v>
      </c>
      <c r="D2044" t="s">
        <v>1707</v>
      </c>
      <c r="E2044" t="s">
        <v>304</v>
      </c>
      <c r="F2044" t="s">
        <v>201</v>
      </c>
      <c r="G2044" t="s">
        <v>114</v>
      </c>
      <c r="H2044" t="s">
        <v>125</v>
      </c>
      <c r="I2044">
        <v>2020</v>
      </c>
      <c r="J2044" t="s">
        <v>334</v>
      </c>
      <c r="K2044" t="s">
        <v>127</v>
      </c>
      <c r="L2044" t="s">
        <v>2297</v>
      </c>
      <c r="M2044" t="s">
        <v>2310</v>
      </c>
      <c r="N2044">
        <v>1</v>
      </c>
      <c r="O2044">
        <v>2020</v>
      </c>
      <c r="P2044">
        <v>9846.3245281564559</v>
      </c>
      <c r="Q2044">
        <v>4.0624899480159886</v>
      </c>
      <c r="R2044" t="s">
        <v>109</v>
      </c>
      <c r="S2044">
        <v>2423.7166501704551</v>
      </c>
      <c r="T2044">
        <v>17.100000000000001</v>
      </c>
      <c r="U2044" t="s">
        <v>329</v>
      </c>
      <c r="V2044">
        <v>5.0146627565982396</v>
      </c>
      <c r="W2044">
        <v>8</v>
      </c>
      <c r="X2044">
        <v>20.8</v>
      </c>
      <c r="Y2044">
        <v>15</v>
      </c>
      <c r="Z2044">
        <v>9.7022787788124412E-2</v>
      </c>
      <c r="AA2044">
        <v>31.536000000000001</v>
      </c>
    </row>
    <row r="2045" spans="1:27" x14ac:dyDescent="0.25">
      <c r="A2045" t="s">
        <v>98</v>
      </c>
      <c r="B2045" t="s">
        <v>519</v>
      </c>
      <c r="C2045" t="s">
        <v>689</v>
      </c>
      <c r="D2045" t="s">
        <v>1707</v>
      </c>
      <c r="E2045" t="s">
        <v>304</v>
      </c>
      <c r="F2045" t="s">
        <v>201</v>
      </c>
      <c r="G2045" t="s">
        <v>114</v>
      </c>
      <c r="H2045" t="s">
        <v>125</v>
      </c>
      <c r="I2045">
        <v>2022</v>
      </c>
      <c r="J2045" t="s">
        <v>335</v>
      </c>
      <c r="K2045" t="s">
        <v>127</v>
      </c>
      <c r="L2045" t="s">
        <v>2297</v>
      </c>
      <c r="M2045" t="s">
        <v>2311</v>
      </c>
      <c r="N2045">
        <v>1</v>
      </c>
      <c r="O2045">
        <v>2022</v>
      </c>
      <c r="P2045">
        <v>9846.3245281564559</v>
      </c>
      <c r="Q2045">
        <v>4.0624899480159886</v>
      </c>
      <c r="R2045" t="s">
        <v>109</v>
      </c>
      <c r="S2045">
        <v>2423.7166501704551</v>
      </c>
      <c r="T2045">
        <v>17.100000000000001</v>
      </c>
      <c r="U2045" t="s">
        <v>329</v>
      </c>
      <c r="V2045">
        <v>5.0146627565982396</v>
      </c>
      <c r="W2045">
        <v>8</v>
      </c>
      <c r="X2045">
        <v>20.8</v>
      </c>
      <c r="Y2045">
        <v>15</v>
      </c>
      <c r="Z2045">
        <v>9.7022787788124412E-2</v>
      </c>
      <c r="AA2045">
        <v>31.536000000000001</v>
      </c>
    </row>
    <row r="2046" spans="1:27" x14ac:dyDescent="0.25">
      <c r="A2046" t="s">
        <v>98</v>
      </c>
      <c r="B2046" t="s">
        <v>519</v>
      </c>
      <c r="C2046" t="s">
        <v>689</v>
      </c>
      <c r="D2046" t="s">
        <v>1707</v>
      </c>
      <c r="E2046" t="s">
        <v>304</v>
      </c>
      <c r="F2046" t="s">
        <v>201</v>
      </c>
      <c r="G2046" t="s">
        <v>114</v>
      </c>
      <c r="H2046" t="s">
        <v>125</v>
      </c>
      <c r="I2046">
        <v>2023</v>
      </c>
      <c r="J2046" t="s">
        <v>337</v>
      </c>
      <c r="K2046" t="s">
        <v>127</v>
      </c>
      <c r="L2046" t="s">
        <v>2297</v>
      </c>
      <c r="M2046" t="s">
        <v>2312</v>
      </c>
      <c r="N2046">
        <v>1</v>
      </c>
      <c r="O2046">
        <v>2023</v>
      </c>
      <c r="P2046">
        <v>9846.3245281564559</v>
      </c>
      <c r="Q2046">
        <v>4.0624899480159886</v>
      </c>
      <c r="R2046" t="s">
        <v>109</v>
      </c>
      <c r="S2046">
        <v>2423.7166501704551</v>
      </c>
      <c r="T2046">
        <v>17.100000000000001</v>
      </c>
      <c r="U2046" t="s">
        <v>329</v>
      </c>
      <c r="V2046">
        <v>5.0146627565982396</v>
      </c>
      <c r="W2046">
        <v>8</v>
      </c>
      <c r="X2046">
        <v>20.8</v>
      </c>
      <c r="Y2046">
        <v>15</v>
      </c>
      <c r="Z2046">
        <v>9.7022787788124412E-2</v>
      </c>
      <c r="AA2046">
        <v>31.536000000000001</v>
      </c>
    </row>
    <row r="2047" spans="1:27" x14ac:dyDescent="0.25">
      <c r="A2047" t="s">
        <v>98</v>
      </c>
      <c r="B2047" t="s">
        <v>519</v>
      </c>
      <c r="C2047" t="s">
        <v>689</v>
      </c>
      <c r="D2047" t="s">
        <v>1707</v>
      </c>
      <c r="E2047" t="s">
        <v>304</v>
      </c>
      <c r="F2047" t="s">
        <v>201</v>
      </c>
      <c r="G2047" t="s">
        <v>114</v>
      </c>
      <c r="H2047" t="s">
        <v>125</v>
      </c>
      <c r="I2047">
        <v>2024</v>
      </c>
      <c r="J2047" t="s">
        <v>339</v>
      </c>
      <c r="K2047" t="s">
        <v>127</v>
      </c>
      <c r="L2047" t="s">
        <v>2297</v>
      </c>
      <c r="M2047" t="s">
        <v>2313</v>
      </c>
      <c r="N2047">
        <v>1</v>
      </c>
      <c r="O2047">
        <v>2024</v>
      </c>
      <c r="P2047">
        <v>9846.3245281564559</v>
      </c>
      <c r="Q2047">
        <v>4.0624899480159886</v>
      </c>
      <c r="R2047" t="s">
        <v>109</v>
      </c>
      <c r="S2047">
        <v>2423.7166501704551</v>
      </c>
      <c r="T2047">
        <v>17.100000000000001</v>
      </c>
      <c r="U2047" t="s">
        <v>329</v>
      </c>
      <c r="V2047">
        <v>5.0146627565982396</v>
      </c>
      <c r="W2047">
        <v>8</v>
      </c>
      <c r="X2047">
        <v>20.8</v>
      </c>
      <c r="Y2047">
        <v>15</v>
      </c>
      <c r="Z2047">
        <v>9.7022787788124412E-2</v>
      </c>
      <c r="AA2047">
        <v>31.536000000000001</v>
      </c>
    </row>
    <row r="2048" spans="1:27" x14ac:dyDescent="0.25">
      <c r="A2048" t="s">
        <v>98</v>
      </c>
      <c r="B2048" t="s">
        <v>519</v>
      </c>
      <c r="C2048" t="s">
        <v>689</v>
      </c>
      <c r="D2048" t="s">
        <v>1707</v>
      </c>
      <c r="E2048" t="s">
        <v>304</v>
      </c>
      <c r="F2048" t="s">
        <v>201</v>
      </c>
      <c r="G2048" t="s">
        <v>119</v>
      </c>
      <c r="H2048" t="s">
        <v>125</v>
      </c>
      <c r="I2048">
        <v>2016</v>
      </c>
      <c r="J2048" t="s">
        <v>341</v>
      </c>
      <c r="K2048" t="s">
        <v>127</v>
      </c>
      <c r="L2048" t="s">
        <v>2297</v>
      </c>
      <c r="M2048" t="s">
        <v>2314</v>
      </c>
      <c r="N2048">
        <v>0</v>
      </c>
      <c r="O2048">
        <v>2020</v>
      </c>
      <c r="P2048">
        <v>10395.03611176889</v>
      </c>
      <c r="Q2048">
        <v>4.0624899480159886</v>
      </c>
      <c r="R2048" t="s">
        <v>109</v>
      </c>
      <c r="S2048">
        <v>2558.784451108746</v>
      </c>
      <c r="T2048">
        <v>22.4</v>
      </c>
      <c r="U2048" t="s">
        <v>329</v>
      </c>
      <c r="V2048">
        <v>6.5689149560117297</v>
      </c>
      <c r="W2048">
        <v>8</v>
      </c>
      <c r="X2048">
        <v>20.8</v>
      </c>
      <c r="Y2048">
        <v>15</v>
      </c>
      <c r="Z2048">
        <v>9.7022787788124412E-2</v>
      </c>
      <c r="AA2048">
        <v>31.536000000000001</v>
      </c>
    </row>
    <row r="2049" spans="1:27" x14ac:dyDescent="0.25">
      <c r="A2049" t="s">
        <v>98</v>
      </c>
      <c r="B2049" t="s">
        <v>519</v>
      </c>
      <c r="C2049" t="s">
        <v>689</v>
      </c>
      <c r="D2049" t="s">
        <v>1707</v>
      </c>
      <c r="E2049" t="s">
        <v>304</v>
      </c>
      <c r="F2049" t="s">
        <v>201</v>
      </c>
      <c r="G2049" t="s">
        <v>119</v>
      </c>
      <c r="H2049" t="s">
        <v>125</v>
      </c>
      <c r="I2049">
        <v>2020</v>
      </c>
      <c r="J2049" t="s">
        <v>343</v>
      </c>
      <c r="K2049" t="s">
        <v>127</v>
      </c>
      <c r="L2049" t="s">
        <v>2297</v>
      </c>
      <c r="M2049" t="s">
        <v>2314</v>
      </c>
      <c r="N2049">
        <v>1</v>
      </c>
      <c r="O2049">
        <v>2020</v>
      </c>
      <c r="P2049">
        <v>10395.03611176889</v>
      </c>
      <c r="Q2049">
        <v>4.0624899480159886</v>
      </c>
      <c r="R2049" t="s">
        <v>109</v>
      </c>
      <c r="S2049">
        <v>2558.784451108746</v>
      </c>
      <c r="T2049">
        <v>22.4</v>
      </c>
      <c r="U2049" t="s">
        <v>329</v>
      </c>
      <c r="V2049">
        <v>6.5689149560117297</v>
      </c>
      <c r="W2049">
        <v>8</v>
      </c>
      <c r="X2049">
        <v>20.8</v>
      </c>
      <c r="Y2049">
        <v>15</v>
      </c>
      <c r="Z2049">
        <v>9.7022787788124412E-2</v>
      </c>
      <c r="AA2049">
        <v>31.536000000000001</v>
      </c>
    </row>
    <row r="2050" spans="1:27" x14ac:dyDescent="0.25">
      <c r="A2050" t="s">
        <v>98</v>
      </c>
      <c r="B2050" t="s">
        <v>519</v>
      </c>
      <c r="C2050" t="s">
        <v>689</v>
      </c>
      <c r="D2050" t="s">
        <v>1707</v>
      </c>
      <c r="E2050" t="s">
        <v>304</v>
      </c>
      <c r="F2050" t="s">
        <v>201</v>
      </c>
      <c r="G2050" t="s">
        <v>119</v>
      </c>
      <c r="H2050" t="s">
        <v>125</v>
      </c>
      <c r="I2050">
        <v>2022</v>
      </c>
      <c r="J2050" t="s">
        <v>344</v>
      </c>
      <c r="K2050" t="s">
        <v>127</v>
      </c>
      <c r="L2050" t="s">
        <v>2297</v>
      </c>
      <c r="M2050" t="s">
        <v>2315</v>
      </c>
      <c r="N2050">
        <v>1</v>
      </c>
      <c r="O2050">
        <v>2022</v>
      </c>
      <c r="P2050">
        <v>10395.03611176889</v>
      </c>
      <c r="Q2050">
        <v>4.0624899480159886</v>
      </c>
      <c r="R2050" t="s">
        <v>109</v>
      </c>
      <c r="S2050">
        <v>2558.784451108746</v>
      </c>
      <c r="T2050">
        <v>22.4</v>
      </c>
      <c r="U2050" t="s">
        <v>329</v>
      </c>
      <c r="V2050">
        <v>6.5689149560117297</v>
      </c>
      <c r="W2050">
        <v>8</v>
      </c>
      <c r="X2050">
        <v>20.8</v>
      </c>
      <c r="Y2050">
        <v>15</v>
      </c>
      <c r="Z2050">
        <v>9.7022787788124412E-2</v>
      </c>
      <c r="AA2050">
        <v>31.536000000000001</v>
      </c>
    </row>
    <row r="2051" spans="1:27" x14ac:dyDescent="0.25">
      <c r="A2051" t="s">
        <v>98</v>
      </c>
      <c r="B2051" t="s">
        <v>519</v>
      </c>
      <c r="C2051" t="s">
        <v>689</v>
      </c>
      <c r="D2051" t="s">
        <v>1707</v>
      </c>
      <c r="E2051" t="s">
        <v>304</v>
      </c>
      <c r="F2051" t="s">
        <v>201</v>
      </c>
      <c r="G2051" t="s">
        <v>119</v>
      </c>
      <c r="H2051" t="s">
        <v>125</v>
      </c>
      <c r="I2051">
        <v>2023</v>
      </c>
      <c r="J2051" t="s">
        <v>346</v>
      </c>
      <c r="K2051" t="s">
        <v>127</v>
      </c>
      <c r="L2051" t="s">
        <v>2297</v>
      </c>
      <c r="M2051" t="s">
        <v>2316</v>
      </c>
      <c r="N2051">
        <v>1</v>
      </c>
      <c r="O2051">
        <v>2023</v>
      </c>
      <c r="P2051">
        <v>10395.03611176889</v>
      </c>
      <c r="Q2051">
        <v>4.0624899480159886</v>
      </c>
      <c r="R2051" t="s">
        <v>109</v>
      </c>
      <c r="S2051">
        <v>2558.784451108746</v>
      </c>
      <c r="T2051">
        <v>22.4</v>
      </c>
      <c r="U2051" t="s">
        <v>329</v>
      </c>
      <c r="V2051">
        <v>6.5689149560117297</v>
      </c>
      <c r="W2051">
        <v>8</v>
      </c>
      <c r="X2051">
        <v>20.8</v>
      </c>
      <c r="Y2051">
        <v>15</v>
      </c>
      <c r="Z2051">
        <v>9.7022787788124412E-2</v>
      </c>
      <c r="AA2051">
        <v>31.536000000000001</v>
      </c>
    </row>
    <row r="2052" spans="1:27" x14ac:dyDescent="0.25">
      <c r="A2052" t="s">
        <v>98</v>
      </c>
      <c r="B2052" t="s">
        <v>519</v>
      </c>
      <c r="C2052" t="s">
        <v>689</v>
      </c>
      <c r="D2052" t="s">
        <v>1707</v>
      </c>
      <c r="E2052" t="s">
        <v>304</v>
      </c>
      <c r="F2052" t="s">
        <v>201</v>
      </c>
      <c r="G2052" t="s">
        <v>119</v>
      </c>
      <c r="H2052" t="s">
        <v>125</v>
      </c>
      <c r="I2052">
        <v>2024</v>
      </c>
      <c r="J2052" t="s">
        <v>348</v>
      </c>
      <c r="K2052" t="s">
        <v>127</v>
      </c>
      <c r="L2052" t="s">
        <v>2297</v>
      </c>
      <c r="M2052" t="s">
        <v>2317</v>
      </c>
      <c r="N2052">
        <v>1</v>
      </c>
      <c r="O2052">
        <v>2024</v>
      </c>
      <c r="P2052">
        <v>10395.03611176889</v>
      </c>
      <c r="Q2052">
        <v>4.0624899480159886</v>
      </c>
      <c r="R2052" t="s">
        <v>109</v>
      </c>
      <c r="S2052">
        <v>2558.784451108746</v>
      </c>
      <c r="T2052">
        <v>22.4</v>
      </c>
      <c r="U2052" t="s">
        <v>329</v>
      </c>
      <c r="V2052">
        <v>6.5689149560117297</v>
      </c>
      <c r="W2052">
        <v>8</v>
      </c>
      <c r="X2052">
        <v>20.8</v>
      </c>
      <c r="Y2052">
        <v>15</v>
      </c>
      <c r="Z2052">
        <v>9.7022787788124412E-2</v>
      </c>
      <c r="AA2052">
        <v>31.536000000000001</v>
      </c>
    </row>
    <row r="2053" spans="1:27" x14ac:dyDescent="0.25">
      <c r="A2053" t="s">
        <v>98</v>
      </c>
      <c r="B2053" t="s">
        <v>519</v>
      </c>
      <c r="C2053" t="s">
        <v>689</v>
      </c>
      <c r="D2053" t="s">
        <v>1707</v>
      </c>
      <c r="E2053" t="s">
        <v>304</v>
      </c>
      <c r="F2053" t="s">
        <v>350</v>
      </c>
      <c r="G2053" t="s">
        <v>103</v>
      </c>
      <c r="H2053" t="s">
        <v>125</v>
      </c>
      <c r="I2053">
        <v>2016</v>
      </c>
      <c r="J2053" t="s">
        <v>351</v>
      </c>
      <c r="K2053" t="s">
        <v>127</v>
      </c>
      <c r="L2053" t="s">
        <v>2297</v>
      </c>
      <c r="M2053" t="s">
        <v>2318</v>
      </c>
      <c r="N2053">
        <v>1</v>
      </c>
      <c r="O2053">
        <v>2020</v>
      </c>
      <c r="P2053">
        <v>756.00262631046473</v>
      </c>
      <c r="Q2053">
        <v>4.0624899480159886</v>
      </c>
      <c r="R2053" t="s">
        <v>109</v>
      </c>
      <c r="S2053">
        <v>186.09341462609061</v>
      </c>
      <c r="T2053">
        <v>3.1946072684642441</v>
      </c>
      <c r="U2053" t="s">
        <v>184</v>
      </c>
      <c r="V2053">
        <v>3.1946072684642441</v>
      </c>
      <c r="W2053">
        <v>6</v>
      </c>
      <c r="X2053">
        <v>13</v>
      </c>
      <c r="Y2053">
        <v>10</v>
      </c>
      <c r="Z2053">
        <v>9.7022787788124412E-2</v>
      </c>
      <c r="AA2053">
        <v>31.536000000000001</v>
      </c>
    </row>
    <row r="2054" spans="1:27" x14ac:dyDescent="0.25">
      <c r="A2054" t="s">
        <v>98</v>
      </c>
      <c r="B2054" t="s">
        <v>519</v>
      </c>
      <c r="C2054" t="s">
        <v>689</v>
      </c>
      <c r="D2054" t="s">
        <v>1707</v>
      </c>
      <c r="E2054" t="s">
        <v>304</v>
      </c>
      <c r="F2054" t="s">
        <v>350</v>
      </c>
      <c r="G2054" t="s">
        <v>111</v>
      </c>
      <c r="H2054" t="s">
        <v>125</v>
      </c>
      <c r="I2054">
        <v>2016</v>
      </c>
      <c r="J2054" t="s">
        <v>353</v>
      </c>
      <c r="K2054" t="s">
        <v>127</v>
      </c>
      <c r="L2054" t="s">
        <v>2297</v>
      </c>
      <c r="M2054" t="s">
        <v>2319</v>
      </c>
      <c r="N2054">
        <v>1</v>
      </c>
      <c r="O2054">
        <v>2020</v>
      </c>
      <c r="P2054">
        <v>780.38980780435065</v>
      </c>
      <c r="Q2054">
        <v>4.0624899480159886</v>
      </c>
      <c r="R2054" t="s">
        <v>109</v>
      </c>
      <c r="S2054">
        <v>192.09642800112579</v>
      </c>
      <c r="T2054">
        <v>3.5169988276670581</v>
      </c>
      <c r="U2054" t="s">
        <v>184</v>
      </c>
      <c r="V2054">
        <v>3.5169988276670581</v>
      </c>
      <c r="W2054">
        <v>6</v>
      </c>
      <c r="X2054">
        <v>13</v>
      </c>
      <c r="Y2054">
        <v>10</v>
      </c>
      <c r="Z2054">
        <v>9.7022787788124412E-2</v>
      </c>
      <c r="AA2054">
        <v>31.536000000000001</v>
      </c>
    </row>
    <row r="2055" spans="1:27" x14ac:dyDescent="0.25">
      <c r="A2055" t="s">
        <v>98</v>
      </c>
      <c r="B2055" t="s">
        <v>519</v>
      </c>
      <c r="C2055" t="s">
        <v>689</v>
      </c>
      <c r="D2055" t="s">
        <v>1707</v>
      </c>
      <c r="E2055" t="s">
        <v>304</v>
      </c>
      <c r="F2055" t="s">
        <v>350</v>
      </c>
      <c r="G2055" t="s">
        <v>111</v>
      </c>
      <c r="H2055" t="s">
        <v>125</v>
      </c>
      <c r="I2055">
        <v>2030</v>
      </c>
      <c r="J2055" t="s">
        <v>355</v>
      </c>
      <c r="K2055" t="s">
        <v>127</v>
      </c>
      <c r="L2055" t="s">
        <v>2297</v>
      </c>
      <c r="M2055" t="s">
        <v>2320</v>
      </c>
      <c r="N2055">
        <v>1</v>
      </c>
      <c r="O2055">
        <v>2030</v>
      </c>
      <c r="P2055">
        <v>780.38980780435065</v>
      </c>
      <c r="Q2055">
        <v>4.0624899480159886</v>
      </c>
      <c r="R2055" t="s">
        <v>109</v>
      </c>
      <c r="S2055">
        <v>192.09642800112579</v>
      </c>
      <c r="T2055">
        <v>3.5902696365767879</v>
      </c>
      <c r="U2055" t="s">
        <v>184</v>
      </c>
      <c r="V2055">
        <v>3.5902696365767879</v>
      </c>
      <c r="W2055">
        <v>6</v>
      </c>
      <c r="X2055">
        <v>13</v>
      </c>
      <c r="Y2055">
        <v>10</v>
      </c>
      <c r="Z2055">
        <v>9.7022787788124412E-2</v>
      </c>
      <c r="AA2055">
        <v>31.536000000000001</v>
      </c>
    </row>
    <row r="2056" spans="1:27" x14ac:dyDescent="0.25">
      <c r="A2056" t="s">
        <v>98</v>
      </c>
      <c r="B2056" t="s">
        <v>519</v>
      </c>
      <c r="C2056" t="s">
        <v>689</v>
      </c>
      <c r="D2056" t="s">
        <v>1707</v>
      </c>
      <c r="E2056" t="s">
        <v>304</v>
      </c>
      <c r="F2056" t="s">
        <v>350</v>
      </c>
      <c r="G2056" t="s">
        <v>111</v>
      </c>
      <c r="H2056" t="s">
        <v>125</v>
      </c>
      <c r="I2056">
        <v>2040</v>
      </c>
      <c r="J2056" t="s">
        <v>357</v>
      </c>
      <c r="K2056" t="s">
        <v>127</v>
      </c>
      <c r="L2056" t="s">
        <v>2297</v>
      </c>
      <c r="M2056" t="s">
        <v>2321</v>
      </c>
      <c r="N2056">
        <v>1</v>
      </c>
      <c r="O2056">
        <v>2040</v>
      </c>
      <c r="P2056">
        <v>780.38980780435065</v>
      </c>
      <c r="Q2056">
        <v>4.0624899480159886</v>
      </c>
      <c r="R2056" t="s">
        <v>109</v>
      </c>
      <c r="S2056">
        <v>192.09642800112579</v>
      </c>
      <c r="T2056">
        <v>3.6635404454865181</v>
      </c>
      <c r="U2056" t="s">
        <v>184</v>
      </c>
      <c r="V2056">
        <v>3.6635404454865181</v>
      </c>
      <c r="W2056">
        <v>6</v>
      </c>
      <c r="X2056">
        <v>13</v>
      </c>
      <c r="Y2056">
        <v>10</v>
      </c>
      <c r="Z2056">
        <v>9.7022787788124412E-2</v>
      </c>
      <c r="AA2056">
        <v>31.536000000000001</v>
      </c>
    </row>
    <row r="2057" spans="1:27" x14ac:dyDescent="0.25">
      <c r="A2057" t="s">
        <v>98</v>
      </c>
      <c r="B2057" t="s">
        <v>519</v>
      </c>
      <c r="C2057" t="s">
        <v>689</v>
      </c>
      <c r="D2057" t="s">
        <v>1707</v>
      </c>
      <c r="E2057" t="s">
        <v>304</v>
      </c>
      <c r="F2057" t="s">
        <v>350</v>
      </c>
      <c r="G2057" t="s">
        <v>114</v>
      </c>
      <c r="H2057" t="s">
        <v>125</v>
      </c>
      <c r="I2057">
        <v>2016</v>
      </c>
      <c r="J2057" t="s">
        <v>359</v>
      </c>
      <c r="K2057" t="s">
        <v>127</v>
      </c>
      <c r="L2057" t="s">
        <v>2297</v>
      </c>
      <c r="M2057" t="s">
        <v>2322</v>
      </c>
      <c r="N2057">
        <v>1</v>
      </c>
      <c r="O2057">
        <v>2020</v>
      </c>
      <c r="P2057">
        <v>780.38980780435065</v>
      </c>
      <c r="Q2057">
        <v>4.0624899480159886</v>
      </c>
      <c r="R2057" t="s">
        <v>109</v>
      </c>
      <c r="S2057">
        <v>192.09642800112579</v>
      </c>
      <c r="T2057">
        <v>3.5169988276670581</v>
      </c>
      <c r="U2057" t="s">
        <v>184</v>
      </c>
      <c r="V2057">
        <v>3.5169988276670581</v>
      </c>
      <c r="W2057">
        <v>6</v>
      </c>
      <c r="X2057">
        <v>13</v>
      </c>
      <c r="Y2057">
        <v>10</v>
      </c>
      <c r="Z2057">
        <v>9.7022787788124412E-2</v>
      </c>
      <c r="AA2057">
        <v>31.536000000000001</v>
      </c>
    </row>
    <row r="2058" spans="1:27" x14ac:dyDescent="0.25">
      <c r="A2058" t="s">
        <v>98</v>
      </c>
      <c r="B2058" t="s">
        <v>519</v>
      </c>
      <c r="C2058" t="s">
        <v>689</v>
      </c>
      <c r="D2058" t="s">
        <v>1707</v>
      </c>
      <c r="E2058" t="s">
        <v>304</v>
      </c>
      <c r="F2058" t="s">
        <v>350</v>
      </c>
      <c r="G2058" t="s">
        <v>119</v>
      </c>
      <c r="H2058" t="s">
        <v>125</v>
      </c>
      <c r="I2058">
        <v>2016</v>
      </c>
      <c r="J2058" t="s">
        <v>361</v>
      </c>
      <c r="K2058" t="s">
        <v>127</v>
      </c>
      <c r="L2058" t="s">
        <v>2297</v>
      </c>
      <c r="M2058" t="s">
        <v>2323</v>
      </c>
      <c r="N2058">
        <v>1</v>
      </c>
      <c r="O2058">
        <v>2020</v>
      </c>
      <c r="P2058">
        <v>859.64814765948006</v>
      </c>
      <c r="Q2058">
        <v>4.0624899480159886</v>
      </c>
      <c r="R2058" t="s">
        <v>109</v>
      </c>
      <c r="S2058">
        <v>211.60622146999009</v>
      </c>
      <c r="T2058">
        <v>3.6049237983587341</v>
      </c>
      <c r="U2058" t="s">
        <v>184</v>
      </c>
      <c r="V2058">
        <v>3.6049237983587341</v>
      </c>
      <c r="W2058">
        <v>6</v>
      </c>
      <c r="X2058">
        <v>13</v>
      </c>
      <c r="Y2058">
        <v>10</v>
      </c>
      <c r="Z2058">
        <v>9.7022787788124412E-2</v>
      </c>
      <c r="AA2058">
        <v>31.536000000000001</v>
      </c>
    </row>
    <row r="2059" spans="1:27" x14ac:dyDescent="0.25">
      <c r="A2059" t="s">
        <v>98</v>
      </c>
      <c r="B2059" t="s">
        <v>519</v>
      </c>
      <c r="C2059" t="s">
        <v>689</v>
      </c>
      <c r="D2059" t="s">
        <v>1707</v>
      </c>
      <c r="E2059" t="s">
        <v>304</v>
      </c>
      <c r="F2059" t="s">
        <v>350</v>
      </c>
      <c r="G2059" t="s">
        <v>119</v>
      </c>
      <c r="H2059" t="s">
        <v>125</v>
      </c>
      <c r="I2059">
        <v>2022</v>
      </c>
      <c r="J2059" t="s">
        <v>363</v>
      </c>
      <c r="K2059" t="s">
        <v>127</v>
      </c>
      <c r="L2059" t="s">
        <v>2297</v>
      </c>
      <c r="M2059" t="s">
        <v>2324</v>
      </c>
      <c r="N2059">
        <v>1</v>
      </c>
      <c r="O2059">
        <v>2022</v>
      </c>
      <c r="P2059">
        <v>859.64814765948006</v>
      </c>
      <c r="Q2059">
        <v>4.0624899480159886</v>
      </c>
      <c r="R2059" t="s">
        <v>109</v>
      </c>
      <c r="S2059">
        <v>211.60622146999009</v>
      </c>
      <c r="T2059">
        <v>3.6635404454865181</v>
      </c>
      <c r="U2059" t="s">
        <v>184</v>
      </c>
      <c r="V2059">
        <v>3.6635404454865181</v>
      </c>
      <c r="W2059">
        <v>6</v>
      </c>
      <c r="X2059">
        <v>13</v>
      </c>
      <c r="Y2059">
        <v>10</v>
      </c>
      <c r="Z2059">
        <v>9.7022787788124412E-2</v>
      </c>
      <c r="AA2059">
        <v>31.536000000000001</v>
      </c>
    </row>
    <row r="2060" spans="1:27" x14ac:dyDescent="0.25">
      <c r="A2060" t="s">
        <v>98</v>
      </c>
      <c r="B2060" t="s">
        <v>519</v>
      </c>
      <c r="C2060" t="s">
        <v>689</v>
      </c>
      <c r="D2060" t="s">
        <v>1707</v>
      </c>
      <c r="E2060" t="s">
        <v>304</v>
      </c>
      <c r="F2060" t="s">
        <v>350</v>
      </c>
      <c r="G2060" t="s">
        <v>119</v>
      </c>
      <c r="H2060" t="s">
        <v>125</v>
      </c>
      <c r="I2060">
        <v>2030</v>
      </c>
      <c r="J2060" t="s">
        <v>365</v>
      </c>
      <c r="K2060" t="s">
        <v>127</v>
      </c>
      <c r="L2060" t="s">
        <v>2297</v>
      </c>
      <c r="M2060" t="s">
        <v>2325</v>
      </c>
      <c r="N2060">
        <v>1</v>
      </c>
      <c r="O2060">
        <v>2030</v>
      </c>
      <c r="P2060">
        <v>859.64814765948006</v>
      </c>
      <c r="Q2060">
        <v>4.0624899480159886</v>
      </c>
      <c r="R2060" t="s">
        <v>109</v>
      </c>
      <c r="S2060">
        <v>211.60622146999009</v>
      </c>
      <c r="T2060">
        <v>3.8100820633059791</v>
      </c>
      <c r="U2060" t="s">
        <v>184</v>
      </c>
      <c r="V2060">
        <v>3.8100820633059791</v>
      </c>
      <c r="W2060">
        <v>6</v>
      </c>
      <c r="X2060">
        <v>13</v>
      </c>
      <c r="Y2060">
        <v>10</v>
      </c>
      <c r="Z2060">
        <v>9.7022787788124412E-2</v>
      </c>
      <c r="AA2060">
        <v>31.536000000000001</v>
      </c>
    </row>
    <row r="2061" spans="1:27" x14ac:dyDescent="0.25">
      <c r="A2061" t="s">
        <v>98</v>
      </c>
      <c r="B2061" t="s">
        <v>519</v>
      </c>
      <c r="C2061" t="s">
        <v>689</v>
      </c>
      <c r="D2061" t="s">
        <v>1707</v>
      </c>
      <c r="E2061" t="s">
        <v>304</v>
      </c>
      <c r="F2061" t="s">
        <v>350</v>
      </c>
      <c r="G2061" t="s">
        <v>119</v>
      </c>
      <c r="H2061" t="s">
        <v>125</v>
      </c>
      <c r="I2061">
        <v>2040</v>
      </c>
      <c r="J2061" t="s">
        <v>367</v>
      </c>
      <c r="K2061" t="s">
        <v>127</v>
      </c>
      <c r="L2061" t="s">
        <v>2297</v>
      </c>
      <c r="M2061" t="s">
        <v>2326</v>
      </c>
      <c r="N2061">
        <v>1</v>
      </c>
      <c r="O2061">
        <v>2040</v>
      </c>
      <c r="P2061">
        <v>859.64814765948006</v>
      </c>
      <c r="Q2061">
        <v>4.0624899480159886</v>
      </c>
      <c r="R2061" t="s">
        <v>109</v>
      </c>
      <c r="S2061">
        <v>211.60622146999009</v>
      </c>
      <c r="T2061">
        <v>3.9566236811254401</v>
      </c>
      <c r="U2061" t="s">
        <v>184</v>
      </c>
      <c r="V2061">
        <v>3.9566236811254401</v>
      </c>
      <c r="W2061">
        <v>6</v>
      </c>
      <c r="X2061">
        <v>13</v>
      </c>
      <c r="Y2061">
        <v>10</v>
      </c>
      <c r="Z2061">
        <v>9.7022787788124412E-2</v>
      </c>
      <c r="AA2061">
        <v>31.536000000000001</v>
      </c>
    </row>
    <row r="2062" spans="1:27" x14ac:dyDescent="0.25">
      <c r="A2062" t="s">
        <v>98</v>
      </c>
      <c r="B2062" t="s">
        <v>519</v>
      </c>
      <c r="C2062" t="s">
        <v>689</v>
      </c>
      <c r="D2062" t="s">
        <v>1707</v>
      </c>
      <c r="E2062" t="s">
        <v>304</v>
      </c>
      <c r="F2062" t="s">
        <v>369</v>
      </c>
      <c r="G2062" t="s">
        <v>103</v>
      </c>
      <c r="H2062" t="s">
        <v>125</v>
      </c>
      <c r="I2062">
        <v>2016</v>
      </c>
      <c r="J2062" t="s">
        <v>370</v>
      </c>
      <c r="K2062" t="s">
        <v>127</v>
      </c>
      <c r="L2062" t="s">
        <v>2297</v>
      </c>
      <c r="M2062" t="s">
        <v>2327</v>
      </c>
      <c r="N2062">
        <v>1</v>
      </c>
      <c r="O2062">
        <v>2020</v>
      </c>
      <c r="P2062">
        <v>4328.724715164758</v>
      </c>
      <c r="Q2062">
        <v>4.0624899480159886</v>
      </c>
      <c r="R2062" t="s">
        <v>109</v>
      </c>
      <c r="S2062">
        <v>1065.534874068745</v>
      </c>
      <c r="T2062">
        <v>3.8100820633059791</v>
      </c>
      <c r="U2062" t="s">
        <v>184</v>
      </c>
      <c r="V2062">
        <v>3.8100820633059791</v>
      </c>
      <c r="W2062">
        <v>11</v>
      </c>
      <c r="X2062">
        <v>25</v>
      </c>
      <c r="Y2062">
        <v>19</v>
      </c>
      <c r="Z2062">
        <v>9.7022787788124412E-2</v>
      </c>
      <c r="AA2062">
        <v>31.536000000000001</v>
      </c>
    </row>
    <row r="2063" spans="1:27" x14ac:dyDescent="0.25">
      <c r="A2063" t="s">
        <v>98</v>
      </c>
      <c r="B2063" t="s">
        <v>519</v>
      </c>
      <c r="C2063" t="s">
        <v>689</v>
      </c>
      <c r="D2063" t="s">
        <v>1707</v>
      </c>
      <c r="E2063" t="s">
        <v>304</v>
      </c>
      <c r="F2063" t="s">
        <v>369</v>
      </c>
      <c r="G2063" t="s">
        <v>103</v>
      </c>
      <c r="H2063" t="s">
        <v>125</v>
      </c>
      <c r="I2063">
        <v>2023</v>
      </c>
      <c r="J2063" t="s">
        <v>372</v>
      </c>
      <c r="K2063" t="s">
        <v>127</v>
      </c>
      <c r="L2063" t="s">
        <v>2297</v>
      </c>
      <c r="M2063" t="s">
        <v>2328</v>
      </c>
      <c r="N2063">
        <v>1</v>
      </c>
      <c r="O2063">
        <v>2023</v>
      </c>
      <c r="P2063">
        <v>4328.724715164758</v>
      </c>
      <c r="Q2063">
        <v>4.0624899480159886</v>
      </c>
      <c r="R2063" t="s">
        <v>109</v>
      </c>
      <c r="S2063">
        <v>1065.534874068745</v>
      </c>
      <c r="T2063">
        <v>3.8100820633059791</v>
      </c>
      <c r="U2063" t="s">
        <v>184</v>
      </c>
      <c r="V2063">
        <v>3.8100820633059791</v>
      </c>
      <c r="W2063">
        <v>11</v>
      </c>
      <c r="X2063">
        <v>25</v>
      </c>
      <c r="Y2063">
        <v>19</v>
      </c>
      <c r="Z2063">
        <v>9.7022787788124412E-2</v>
      </c>
      <c r="AA2063">
        <v>31.536000000000001</v>
      </c>
    </row>
    <row r="2064" spans="1:27" x14ac:dyDescent="0.25">
      <c r="A2064" t="s">
        <v>98</v>
      </c>
      <c r="B2064" t="s">
        <v>519</v>
      </c>
      <c r="C2064" t="s">
        <v>689</v>
      </c>
      <c r="D2064" t="s">
        <v>1707</v>
      </c>
      <c r="E2064" t="s">
        <v>304</v>
      </c>
      <c r="F2064" t="s">
        <v>369</v>
      </c>
      <c r="G2064" t="s">
        <v>111</v>
      </c>
      <c r="H2064" t="s">
        <v>125</v>
      </c>
      <c r="I2064">
        <v>2016</v>
      </c>
      <c r="J2064" t="s">
        <v>374</v>
      </c>
      <c r="K2064" t="s">
        <v>127</v>
      </c>
      <c r="L2064" t="s">
        <v>2297</v>
      </c>
      <c r="M2064" t="s">
        <v>2329</v>
      </c>
      <c r="N2064">
        <v>1</v>
      </c>
      <c r="O2064">
        <v>2020</v>
      </c>
      <c r="P2064">
        <v>4450.6606226341873</v>
      </c>
      <c r="Q2064">
        <v>4.0624899480159886</v>
      </c>
      <c r="R2064" t="s">
        <v>109</v>
      </c>
      <c r="S2064">
        <v>1095.549940943921</v>
      </c>
      <c r="T2064">
        <v>4.0738569753810081</v>
      </c>
      <c r="U2064" t="s">
        <v>184</v>
      </c>
      <c r="V2064">
        <v>4.0738569753810081</v>
      </c>
      <c r="W2064">
        <v>11</v>
      </c>
      <c r="X2064">
        <v>25</v>
      </c>
      <c r="Y2064">
        <v>19</v>
      </c>
      <c r="Z2064">
        <v>9.7022787788124412E-2</v>
      </c>
      <c r="AA2064">
        <v>31.536000000000001</v>
      </c>
    </row>
    <row r="2065" spans="1:27" x14ac:dyDescent="0.25">
      <c r="A2065" t="s">
        <v>98</v>
      </c>
      <c r="B2065" t="s">
        <v>519</v>
      </c>
      <c r="C2065" t="s">
        <v>689</v>
      </c>
      <c r="D2065" t="s">
        <v>1707</v>
      </c>
      <c r="E2065" t="s">
        <v>304</v>
      </c>
      <c r="F2065" t="s">
        <v>369</v>
      </c>
      <c r="G2065" t="s">
        <v>111</v>
      </c>
      <c r="H2065" t="s">
        <v>125</v>
      </c>
      <c r="I2065">
        <v>2023</v>
      </c>
      <c r="J2065" t="s">
        <v>376</v>
      </c>
      <c r="K2065" t="s">
        <v>127</v>
      </c>
      <c r="L2065" t="s">
        <v>2297</v>
      </c>
      <c r="M2065" t="s">
        <v>2330</v>
      </c>
      <c r="N2065">
        <v>1</v>
      </c>
      <c r="O2065">
        <v>2023</v>
      </c>
      <c r="P2065">
        <v>4511.628576368902</v>
      </c>
      <c r="Q2065">
        <v>4.0624899480159886</v>
      </c>
      <c r="R2065" t="s">
        <v>109</v>
      </c>
      <c r="S2065">
        <v>1110.557474381508</v>
      </c>
      <c r="T2065">
        <v>4.2203985932004704</v>
      </c>
      <c r="U2065" t="s">
        <v>184</v>
      </c>
      <c r="V2065">
        <v>4.2203985932004704</v>
      </c>
      <c r="W2065">
        <v>11</v>
      </c>
      <c r="X2065">
        <v>25</v>
      </c>
      <c r="Y2065">
        <v>19</v>
      </c>
      <c r="Z2065">
        <v>9.7022787788124412E-2</v>
      </c>
      <c r="AA2065">
        <v>31.536000000000001</v>
      </c>
    </row>
    <row r="2066" spans="1:27" x14ac:dyDescent="0.25">
      <c r="A2066" t="s">
        <v>98</v>
      </c>
      <c r="B2066" t="s">
        <v>519</v>
      </c>
      <c r="C2066" t="s">
        <v>689</v>
      </c>
      <c r="D2066" t="s">
        <v>1707</v>
      </c>
      <c r="E2066" t="s">
        <v>304</v>
      </c>
      <c r="F2066" t="s">
        <v>369</v>
      </c>
      <c r="G2066" t="s">
        <v>114</v>
      </c>
      <c r="H2066" t="s">
        <v>125</v>
      </c>
      <c r="I2066">
        <v>2016</v>
      </c>
      <c r="J2066" t="s">
        <v>378</v>
      </c>
      <c r="K2066" t="s">
        <v>127</v>
      </c>
      <c r="L2066" t="s">
        <v>2297</v>
      </c>
      <c r="M2066" t="s">
        <v>2331</v>
      </c>
      <c r="N2066">
        <v>1</v>
      </c>
      <c r="O2066">
        <v>2020</v>
      </c>
      <c r="P2066">
        <v>4877.436298777192</v>
      </c>
      <c r="Q2066">
        <v>4.0624899480159886</v>
      </c>
      <c r="R2066" t="s">
        <v>109</v>
      </c>
      <c r="S2066">
        <v>1200.6026750070359</v>
      </c>
      <c r="T2066">
        <v>4.3962485345838216</v>
      </c>
      <c r="U2066" t="s">
        <v>184</v>
      </c>
      <c r="V2066">
        <v>4.3962485345838216</v>
      </c>
      <c r="W2066">
        <v>11</v>
      </c>
      <c r="X2066">
        <v>25</v>
      </c>
      <c r="Y2066">
        <v>19</v>
      </c>
      <c r="Z2066">
        <v>9.7022787788124412E-2</v>
      </c>
      <c r="AA2066">
        <v>31.536000000000001</v>
      </c>
    </row>
    <row r="2067" spans="1:27" x14ac:dyDescent="0.25">
      <c r="A2067" t="s">
        <v>98</v>
      </c>
      <c r="B2067" t="s">
        <v>519</v>
      </c>
      <c r="C2067" t="s">
        <v>689</v>
      </c>
      <c r="D2067" t="s">
        <v>1707</v>
      </c>
      <c r="E2067" t="s">
        <v>304</v>
      </c>
      <c r="F2067" t="s">
        <v>369</v>
      </c>
      <c r="G2067" t="s">
        <v>114</v>
      </c>
      <c r="H2067" t="s">
        <v>125</v>
      </c>
      <c r="I2067">
        <v>2023</v>
      </c>
      <c r="J2067" t="s">
        <v>380</v>
      </c>
      <c r="K2067" t="s">
        <v>127</v>
      </c>
      <c r="L2067" t="s">
        <v>2297</v>
      </c>
      <c r="M2067" t="s">
        <v>2332</v>
      </c>
      <c r="N2067">
        <v>1</v>
      </c>
      <c r="O2067">
        <v>2023</v>
      </c>
      <c r="P2067">
        <v>5202.5987186956727</v>
      </c>
      <c r="Q2067">
        <v>4.0624899480159886</v>
      </c>
      <c r="R2067" t="s">
        <v>109</v>
      </c>
      <c r="S2067">
        <v>1280.6428533408391</v>
      </c>
      <c r="T2067">
        <v>4.6893317702227444</v>
      </c>
      <c r="U2067" t="s">
        <v>184</v>
      </c>
      <c r="V2067">
        <v>4.6893317702227444</v>
      </c>
      <c r="W2067">
        <v>11</v>
      </c>
      <c r="X2067">
        <v>25</v>
      </c>
      <c r="Y2067">
        <v>19</v>
      </c>
      <c r="Z2067">
        <v>9.7022787788124412E-2</v>
      </c>
      <c r="AA2067">
        <v>31.536000000000001</v>
      </c>
    </row>
    <row r="2068" spans="1:27" x14ac:dyDescent="0.25">
      <c r="A2068" t="s">
        <v>98</v>
      </c>
      <c r="B2068" t="s">
        <v>519</v>
      </c>
      <c r="C2068" t="s">
        <v>689</v>
      </c>
      <c r="D2068" t="s">
        <v>1707</v>
      </c>
      <c r="E2068" t="s">
        <v>304</v>
      </c>
      <c r="F2068" t="s">
        <v>369</v>
      </c>
      <c r="G2068" t="s">
        <v>119</v>
      </c>
      <c r="H2068" t="s">
        <v>125</v>
      </c>
      <c r="I2068">
        <v>2016</v>
      </c>
      <c r="J2068" t="s">
        <v>382</v>
      </c>
      <c r="K2068" t="s">
        <v>127</v>
      </c>
      <c r="L2068" t="s">
        <v>2297</v>
      </c>
      <c r="M2068" t="s">
        <v>2333</v>
      </c>
      <c r="N2068">
        <v>1</v>
      </c>
      <c r="O2068">
        <v>2020</v>
      </c>
      <c r="P2068">
        <v>5670.0196973284856</v>
      </c>
      <c r="Q2068">
        <v>4.0624899480159886</v>
      </c>
      <c r="R2068" t="s">
        <v>109</v>
      </c>
      <c r="S2068">
        <v>1395.70060969568</v>
      </c>
      <c r="T2068">
        <v>4.835873388042204</v>
      </c>
      <c r="U2068" t="s">
        <v>184</v>
      </c>
      <c r="V2068">
        <v>4.835873388042204</v>
      </c>
      <c r="W2068">
        <v>11</v>
      </c>
      <c r="X2068">
        <v>25</v>
      </c>
      <c r="Y2068">
        <v>19</v>
      </c>
      <c r="Z2068">
        <v>9.7022787788124412E-2</v>
      </c>
      <c r="AA2068">
        <v>31.536000000000001</v>
      </c>
    </row>
    <row r="2069" spans="1:27" x14ac:dyDescent="0.25">
      <c r="A2069" t="s">
        <v>98</v>
      </c>
      <c r="B2069" t="s">
        <v>519</v>
      </c>
      <c r="C2069" t="s">
        <v>689</v>
      </c>
      <c r="D2069" t="s">
        <v>1707</v>
      </c>
      <c r="E2069" t="s">
        <v>304</v>
      </c>
      <c r="F2069" t="s">
        <v>369</v>
      </c>
      <c r="G2069" t="s">
        <v>119</v>
      </c>
      <c r="H2069" t="s">
        <v>125</v>
      </c>
      <c r="I2069">
        <v>2022</v>
      </c>
      <c r="J2069" t="s">
        <v>384</v>
      </c>
      <c r="K2069" t="s">
        <v>127</v>
      </c>
      <c r="L2069" t="s">
        <v>2297</v>
      </c>
      <c r="M2069" t="s">
        <v>2334</v>
      </c>
      <c r="N2069">
        <v>1</v>
      </c>
      <c r="O2069">
        <v>2022</v>
      </c>
      <c r="P2069">
        <v>5670.0196973284856</v>
      </c>
      <c r="Q2069">
        <v>4.0624899480159886</v>
      </c>
      <c r="R2069" t="s">
        <v>109</v>
      </c>
      <c r="S2069">
        <v>1395.70060969568</v>
      </c>
      <c r="T2069">
        <v>4.835873388042204</v>
      </c>
      <c r="U2069" t="s">
        <v>184</v>
      </c>
      <c r="V2069">
        <v>4.835873388042204</v>
      </c>
      <c r="W2069">
        <v>11</v>
      </c>
      <c r="X2069">
        <v>25</v>
      </c>
      <c r="Y2069">
        <v>19</v>
      </c>
      <c r="Z2069">
        <v>9.7022787788124412E-2</v>
      </c>
      <c r="AA2069">
        <v>31.536000000000001</v>
      </c>
    </row>
    <row r="2070" spans="1:27" x14ac:dyDescent="0.25">
      <c r="A2070" t="s">
        <v>98</v>
      </c>
      <c r="B2070" t="s">
        <v>519</v>
      </c>
      <c r="C2070" t="s">
        <v>689</v>
      </c>
      <c r="D2070" t="s">
        <v>1707</v>
      </c>
      <c r="E2070" t="s">
        <v>386</v>
      </c>
      <c r="G2070" t="s">
        <v>387</v>
      </c>
      <c r="H2070" t="s">
        <v>125</v>
      </c>
      <c r="I2070">
        <v>2016</v>
      </c>
      <c r="J2070" t="s">
        <v>388</v>
      </c>
      <c r="K2070" t="s">
        <v>127</v>
      </c>
      <c r="L2070" t="s">
        <v>2335</v>
      </c>
      <c r="M2070" t="s">
        <v>2336</v>
      </c>
      <c r="N2070">
        <v>1</v>
      </c>
      <c r="O2070">
        <v>2020</v>
      </c>
      <c r="P2070">
        <v>853.55135228600852</v>
      </c>
      <c r="Q2070">
        <v>3.9469660594818738</v>
      </c>
      <c r="R2070" t="s">
        <v>391</v>
      </c>
      <c r="S2070">
        <v>216.2550524688464</v>
      </c>
      <c r="T2070">
        <v>404.78399999999999</v>
      </c>
      <c r="U2070" t="s">
        <v>392</v>
      </c>
      <c r="V2070">
        <v>1.1306815642458099</v>
      </c>
      <c r="W2070">
        <v>11.625999787885601</v>
      </c>
      <c r="X2070">
        <v>21.895260974855479</v>
      </c>
      <c r="Y2070">
        <v>17</v>
      </c>
      <c r="Z2070">
        <v>0.65</v>
      </c>
      <c r="AA2070">
        <v>1</v>
      </c>
    </row>
    <row r="2071" spans="1:27" x14ac:dyDescent="0.25">
      <c r="A2071" t="s">
        <v>98</v>
      </c>
      <c r="B2071" t="s">
        <v>519</v>
      </c>
      <c r="C2071" t="s">
        <v>689</v>
      </c>
      <c r="D2071" t="s">
        <v>1707</v>
      </c>
      <c r="E2071" t="s">
        <v>386</v>
      </c>
      <c r="G2071" t="s">
        <v>393</v>
      </c>
      <c r="H2071" t="s">
        <v>125</v>
      </c>
      <c r="I2071">
        <v>2016</v>
      </c>
      <c r="J2071" t="s">
        <v>394</v>
      </c>
      <c r="K2071" t="s">
        <v>127</v>
      </c>
      <c r="L2071" t="s">
        <v>2335</v>
      </c>
      <c r="M2071" t="s">
        <v>2337</v>
      </c>
      <c r="N2071">
        <v>1</v>
      </c>
      <c r="O2071">
        <v>2020</v>
      </c>
      <c r="P2071">
        <v>914.51930602072343</v>
      </c>
      <c r="Q2071">
        <v>3.9469660594818738</v>
      </c>
      <c r="R2071" t="s">
        <v>391</v>
      </c>
      <c r="S2071">
        <v>231.7018419309068</v>
      </c>
      <c r="T2071">
        <v>389</v>
      </c>
      <c r="U2071" t="s">
        <v>392</v>
      </c>
      <c r="V2071">
        <v>1.08659217877095</v>
      </c>
      <c r="W2071">
        <v>11.625999787885601</v>
      </c>
      <c r="X2071">
        <v>21.895260974855479</v>
      </c>
      <c r="Y2071">
        <v>17</v>
      </c>
      <c r="Z2071">
        <v>0.65</v>
      </c>
      <c r="AA2071">
        <v>1</v>
      </c>
    </row>
    <row r="2072" spans="1:27" x14ac:dyDescent="0.25">
      <c r="A2072" t="s">
        <v>98</v>
      </c>
      <c r="B2072" t="s">
        <v>519</v>
      </c>
      <c r="C2072" t="s">
        <v>689</v>
      </c>
      <c r="D2072" t="s">
        <v>1707</v>
      </c>
      <c r="E2072" t="s">
        <v>386</v>
      </c>
      <c r="G2072" t="s">
        <v>396</v>
      </c>
      <c r="H2072" t="s">
        <v>125</v>
      </c>
      <c r="I2072">
        <v>2016</v>
      </c>
      <c r="J2072" t="s">
        <v>397</v>
      </c>
      <c r="K2072" t="s">
        <v>127</v>
      </c>
      <c r="L2072" t="s">
        <v>2335</v>
      </c>
      <c r="M2072" t="s">
        <v>2338</v>
      </c>
      <c r="N2072">
        <v>1</v>
      </c>
      <c r="O2072">
        <v>2020</v>
      </c>
      <c r="P2072">
        <v>1036.455213490153</v>
      </c>
      <c r="Q2072">
        <v>3.9469660594818738</v>
      </c>
      <c r="R2072" t="s">
        <v>391</v>
      </c>
      <c r="S2072">
        <v>262.59542085502773</v>
      </c>
      <c r="T2072">
        <v>364.30560000000003</v>
      </c>
      <c r="U2072" t="s">
        <v>392</v>
      </c>
      <c r="V2072">
        <v>1.0176134078212291</v>
      </c>
      <c r="W2072">
        <v>11.625999787885601</v>
      </c>
      <c r="X2072">
        <v>21.895260974855479</v>
      </c>
      <c r="Y2072">
        <v>17</v>
      </c>
      <c r="Z2072">
        <v>0.65</v>
      </c>
      <c r="AA2072">
        <v>1</v>
      </c>
    </row>
    <row r="2073" spans="1:27" x14ac:dyDescent="0.25">
      <c r="A2073" t="s">
        <v>98</v>
      </c>
      <c r="B2073" t="s">
        <v>519</v>
      </c>
      <c r="C2073" t="s">
        <v>689</v>
      </c>
      <c r="D2073" t="s">
        <v>1707</v>
      </c>
      <c r="E2073" t="s">
        <v>386</v>
      </c>
      <c r="G2073" t="s">
        <v>399</v>
      </c>
      <c r="H2073" t="s">
        <v>125</v>
      </c>
      <c r="I2073">
        <v>2016</v>
      </c>
      <c r="J2073" t="s">
        <v>400</v>
      </c>
      <c r="K2073" t="s">
        <v>127</v>
      </c>
      <c r="L2073" t="s">
        <v>2335</v>
      </c>
      <c r="M2073" t="s">
        <v>2339</v>
      </c>
      <c r="N2073">
        <v>1</v>
      </c>
      <c r="O2073">
        <v>2020</v>
      </c>
      <c r="P2073">
        <v>1073.035985730982</v>
      </c>
      <c r="Q2073">
        <v>3.9469660594818738</v>
      </c>
      <c r="R2073" t="s">
        <v>391</v>
      </c>
      <c r="S2073">
        <v>271.86349453226399</v>
      </c>
      <c r="T2073">
        <v>358</v>
      </c>
      <c r="U2073" t="s">
        <v>392</v>
      </c>
      <c r="V2073">
        <v>1</v>
      </c>
      <c r="W2073">
        <v>11.625999787885601</v>
      </c>
      <c r="X2073">
        <v>21.895260974855479</v>
      </c>
      <c r="Y2073">
        <v>17</v>
      </c>
      <c r="Z2073">
        <v>0.65</v>
      </c>
      <c r="AA2073">
        <v>1</v>
      </c>
    </row>
    <row r="2074" spans="1:27" x14ac:dyDescent="0.25">
      <c r="A2074" t="s">
        <v>98</v>
      </c>
      <c r="B2074" t="s">
        <v>519</v>
      </c>
      <c r="C2074" t="s">
        <v>689</v>
      </c>
      <c r="D2074" t="s">
        <v>1707</v>
      </c>
      <c r="E2074" t="s">
        <v>386</v>
      </c>
      <c r="G2074" t="s">
        <v>402</v>
      </c>
      <c r="H2074" t="s">
        <v>125</v>
      </c>
      <c r="I2074">
        <v>2016</v>
      </c>
      <c r="J2074" t="s">
        <v>403</v>
      </c>
      <c r="K2074" t="s">
        <v>127</v>
      </c>
      <c r="L2074" t="s">
        <v>2335</v>
      </c>
      <c r="M2074" t="s">
        <v>2340</v>
      </c>
      <c r="N2074">
        <v>1</v>
      </c>
      <c r="O2074">
        <v>2020</v>
      </c>
      <c r="P2074">
        <v>1597.3603878495301</v>
      </c>
      <c r="Q2074">
        <v>3.9469660594818738</v>
      </c>
      <c r="R2074" t="s">
        <v>391</v>
      </c>
      <c r="S2074">
        <v>404.70588390598391</v>
      </c>
      <c r="T2074">
        <v>705.226</v>
      </c>
      <c r="U2074" t="s">
        <v>392</v>
      </c>
      <c r="V2074">
        <v>1.9699050279329611</v>
      </c>
      <c r="W2074">
        <v>11.625999787885601</v>
      </c>
      <c r="X2074">
        <v>21.895260974855479</v>
      </c>
      <c r="Y2074">
        <v>17</v>
      </c>
      <c r="Z2074">
        <v>0.65</v>
      </c>
      <c r="AA2074">
        <v>1</v>
      </c>
    </row>
    <row r="2075" spans="1:27" x14ac:dyDescent="0.25">
      <c r="A2075" t="s">
        <v>98</v>
      </c>
      <c r="B2075" t="s">
        <v>519</v>
      </c>
      <c r="C2075" t="s">
        <v>689</v>
      </c>
      <c r="D2075" t="s">
        <v>1707</v>
      </c>
      <c r="E2075" t="s">
        <v>386</v>
      </c>
      <c r="G2075" t="s">
        <v>405</v>
      </c>
      <c r="H2075" t="s">
        <v>125</v>
      </c>
      <c r="I2075">
        <v>2016</v>
      </c>
      <c r="J2075" t="s">
        <v>406</v>
      </c>
      <c r="K2075" t="s">
        <v>127</v>
      </c>
      <c r="L2075" t="s">
        <v>2335</v>
      </c>
      <c r="M2075" t="s">
        <v>2341</v>
      </c>
      <c r="N2075">
        <v>1</v>
      </c>
      <c r="O2075">
        <v>2020</v>
      </c>
      <c r="P2075">
        <v>1731.489886065903</v>
      </c>
      <c r="Q2075">
        <v>3.9469660594818738</v>
      </c>
      <c r="R2075" t="s">
        <v>391</v>
      </c>
      <c r="S2075">
        <v>438.68882072251688</v>
      </c>
      <c r="T2075">
        <v>671</v>
      </c>
      <c r="U2075" t="s">
        <v>392</v>
      </c>
      <c r="V2075">
        <v>1.8743016759776541</v>
      </c>
      <c r="W2075">
        <v>11.625999787885601</v>
      </c>
      <c r="X2075">
        <v>21.895260974855479</v>
      </c>
      <c r="Y2075">
        <v>17</v>
      </c>
      <c r="Z2075">
        <v>0.65</v>
      </c>
      <c r="AA2075">
        <v>1</v>
      </c>
    </row>
    <row r="2076" spans="1:27" x14ac:dyDescent="0.25">
      <c r="A2076" t="s">
        <v>98</v>
      </c>
      <c r="B2076" t="s">
        <v>519</v>
      </c>
      <c r="C2076" t="s">
        <v>689</v>
      </c>
      <c r="D2076" t="s">
        <v>1707</v>
      </c>
      <c r="E2076" t="s">
        <v>386</v>
      </c>
      <c r="G2076" t="s">
        <v>408</v>
      </c>
      <c r="H2076" t="s">
        <v>125</v>
      </c>
      <c r="I2076">
        <v>2016</v>
      </c>
      <c r="J2076" t="s">
        <v>409</v>
      </c>
      <c r="K2076" t="s">
        <v>127</v>
      </c>
      <c r="L2076" t="s">
        <v>2335</v>
      </c>
      <c r="M2076" t="s">
        <v>2342</v>
      </c>
      <c r="N2076">
        <v>1</v>
      </c>
      <c r="O2076">
        <v>2020</v>
      </c>
      <c r="P2076">
        <v>1890.006565776162</v>
      </c>
      <c r="Q2076">
        <v>3.9469660594818738</v>
      </c>
      <c r="R2076" t="s">
        <v>391</v>
      </c>
      <c r="S2076">
        <v>478.8504733238741</v>
      </c>
      <c r="T2076">
        <v>634.70339999999999</v>
      </c>
      <c r="U2076" t="s">
        <v>392</v>
      </c>
      <c r="V2076">
        <v>1.772914525139665</v>
      </c>
      <c r="W2076">
        <v>11.625999787885601</v>
      </c>
      <c r="X2076">
        <v>21.895260974855479</v>
      </c>
      <c r="Y2076">
        <v>17</v>
      </c>
      <c r="Z2076">
        <v>0.65</v>
      </c>
      <c r="AA2076">
        <v>1</v>
      </c>
    </row>
    <row r="2077" spans="1:27" x14ac:dyDescent="0.25">
      <c r="A2077" t="s">
        <v>98</v>
      </c>
      <c r="B2077" t="s">
        <v>519</v>
      </c>
      <c r="C2077" t="s">
        <v>689</v>
      </c>
      <c r="D2077" t="s">
        <v>1707</v>
      </c>
      <c r="E2077" t="s">
        <v>386</v>
      </c>
      <c r="G2077" t="s">
        <v>411</v>
      </c>
      <c r="H2077" t="s">
        <v>125</v>
      </c>
      <c r="I2077">
        <v>2016</v>
      </c>
      <c r="J2077" t="s">
        <v>412</v>
      </c>
      <c r="K2077" t="s">
        <v>127</v>
      </c>
      <c r="L2077" t="s">
        <v>2335</v>
      </c>
      <c r="M2077" t="s">
        <v>2343</v>
      </c>
      <c r="N2077">
        <v>1</v>
      </c>
      <c r="O2077">
        <v>2020</v>
      </c>
      <c r="P2077">
        <v>2414.3309678947098</v>
      </c>
      <c r="Q2077">
        <v>3.9469660594818738</v>
      </c>
      <c r="R2077" t="s">
        <v>391</v>
      </c>
      <c r="S2077">
        <v>611.69286269759402</v>
      </c>
      <c r="T2077">
        <v>509</v>
      </c>
      <c r="U2077" t="s">
        <v>392</v>
      </c>
      <c r="V2077">
        <v>1.4217877094972069</v>
      </c>
      <c r="W2077">
        <v>11.625999787885601</v>
      </c>
      <c r="X2077">
        <v>21.895260974855479</v>
      </c>
      <c r="Y2077">
        <v>17</v>
      </c>
      <c r="Z2077">
        <v>0.65</v>
      </c>
      <c r="AA2077">
        <v>1</v>
      </c>
    </row>
    <row r="2078" spans="1:27" x14ac:dyDescent="0.25">
      <c r="A2078" t="s">
        <v>98</v>
      </c>
      <c r="B2078" t="s">
        <v>519</v>
      </c>
      <c r="C2078" t="s">
        <v>689</v>
      </c>
      <c r="D2078" t="s">
        <v>1707</v>
      </c>
      <c r="E2078" t="s">
        <v>386</v>
      </c>
      <c r="G2078" t="s">
        <v>414</v>
      </c>
      <c r="H2078" t="s">
        <v>125</v>
      </c>
      <c r="I2078">
        <v>2016</v>
      </c>
      <c r="J2078" t="s">
        <v>415</v>
      </c>
      <c r="K2078" t="s">
        <v>127</v>
      </c>
      <c r="L2078" t="s">
        <v>2335</v>
      </c>
      <c r="M2078" t="s">
        <v>2344</v>
      </c>
      <c r="N2078">
        <v>1</v>
      </c>
      <c r="O2078">
        <v>2020</v>
      </c>
      <c r="P2078">
        <v>1255.939846935127</v>
      </c>
      <c r="Q2078">
        <v>3.9469660594818738</v>
      </c>
      <c r="R2078" t="s">
        <v>391</v>
      </c>
      <c r="S2078">
        <v>318.2038629184454</v>
      </c>
      <c r="T2078">
        <v>520.54999999999995</v>
      </c>
      <c r="U2078" t="s">
        <v>392</v>
      </c>
      <c r="V2078">
        <v>1.4540502793296091</v>
      </c>
      <c r="W2078">
        <v>11.625999787885601</v>
      </c>
      <c r="X2078">
        <v>21.895260974855479</v>
      </c>
      <c r="Y2078">
        <v>17</v>
      </c>
      <c r="Z2078">
        <v>0.65</v>
      </c>
      <c r="AA2078">
        <v>1</v>
      </c>
    </row>
    <row r="2079" spans="1:27" x14ac:dyDescent="0.25">
      <c r="A2079" t="s">
        <v>98</v>
      </c>
      <c r="B2079" t="s">
        <v>519</v>
      </c>
      <c r="C2079" t="s">
        <v>689</v>
      </c>
      <c r="D2079" t="s">
        <v>1707</v>
      </c>
      <c r="E2079" t="s">
        <v>386</v>
      </c>
      <c r="G2079" t="s">
        <v>417</v>
      </c>
      <c r="H2079" t="s">
        <v>125</v>
      </c>
      <c r="I2079">
        <v>2016</v>
      </c>
      <c r="J2079" t="s">
        <v>418</v>
      </c>
      <c r="K2079" t="s">
        <v>127</v>
      </c>
      <c r="L2079" t="s">
        <v>2335</v>
      </c>
      <c r="M2079" t="s">
        <v>2345</v>
      </c>
      <c r="N2079">
        <v>1</v>
      </c>
      <c r="O2079">
        <v>2020</v>
      </c>
      <c r="P2079">
        <v>1365.682163657614</v>
      </c>
      <c r="Q2079">
        <v>3.9469660594818738</v>
      </c>
      <c r="R2079" t="s">
        <v>391</v>
      </c>
      <c r="S2079">
        <v>346.00808395015417</v>
      </c>
      <c r="T2079">
        <v>480</v>
      </c>
      <c r="U2079" t="s">
        <v>392</v>
      </c>
      <c r="V2079">
        <v>1.3407821229050281</v>
      </c>
      <c r="W2079">
        <v>11.625999787885601</v>
      </c>
      <c r="X2079">
        <v>21.895260974855479</v>
      </c>
      <c r="Y2079">
        <v>17</v>
      </c>
      <c r="Z2079">
        <v>0.65</v>
      </c>
      <c r="AA2079">
        <v>1</v>
      </c>
    </row>
    <row r="2080" spans="1:27" x14ac:dyDescent="0.25">
      <c r="A2080" t="s">
        <v>98</v>
      </c>
      <c r="B2080" t="s">
        <v>519</v>
      </c>
      <c r="C2080" t="s">
        <v>689</v>
      </c>
      <c r="D2080" t="s">
        <v>1707</v>
      </c>
      <c r="E2080" t="s">
        <v>386</v>
      </c>
      <c r="G2080" t="s">
        <v>420</v>
      </c>
      <c r="H2080" t="s">
        <v>125</v>
      </c>
      <c r="I2080">
        <v>2016</v>
      </c>
      <c r="J2080" t="s">
        <v>421</v>
      </c>
      <c r="K2080" t="s">
        <v>127</v>
      </c>
      <c r="L2080" t="s">
        <v>2335</v>
      </c>
      <c r="M2080" t="s">
        <v>2346</v>
      </c>
      <c r="N2080">
        <v>1</v>
      </c>
      <c r="O2080">
        <v>2020</v>
      </c>
      <c r="P2080">
        <v>1414.456526645386</v>
      </c>
      <c r="Q2080">
        <v>3.9469660594818738</v>
      </c>
      <c r="R2080" t="s">
        <v>391</v>
      </c>
      <c r="S2080">
        <v>358.36551551980261</v>
      </c>
      <c r="T2080">
        <v>469</v>
      </c>
      <c r="U2080" t="s">
        <v>392</v>
      </c>
      <c r="V2080">
        <v>1.310055865921788</v>
      </c>
      <c r="W2080">
        <v>11.625999787885601</v>
      </c>
      <c r="X2080">
        <v>21.895260974855479</v>
      </c>
      <c r="Y2080">
        <v>17</v>
      </c>
      <c r="Z2080">
        <v>0.65</v>
      </c>
      <c r="AA2080">
        <v>1</v>
      </c>
    </row>
    <row r="2081" spans="1:27" x14ac:dyDescent="0.25">
      <c r="A2081" t="s">
        <v>98</v>
      </c>
      <c r="B2081" t="s">
        <v>519</v>
      </c>
      <c r="C2081" t="s">
        <v>689</v>
      </c>
      <c r="D2081" t="s">
        <v>1707</v>
      </c>
      <c r="E2081" t="s">
        <v>386</v>
      </c>
      <c r="G2081" t="s">
        <v>423</v>
      </c>
      <c r="H2081" t="s">
        <v>125</v>
      </c>
      <c r="I2081">
        <v>2016</v>
      </c>
      <c r="J2081" t="s">
        <v>424</v>
      </c>
      <c r="K2081" t="s">
        <v>127</v>
      </c>
      <c r="L2081" t="s">
        <v>2335</v>
      </c>
      <c r="M2081" t="s">
        <v>2347</v>
      </c>
      <c r="N2081">
        <v>1</v>
      </c>
      <c r="O2081">
        <v>2020</v>
      </c>
      <c r="P2081">
        <v>1414.456526645386</v>
      </c>
      <c r="Q2081">
        <v>3.9469660594818738</v>
      </c>
      <c r="R2081" t="s">
        <v>391</v>
      </c>
      <c r="S2081">
        <v>358.36551551980261</v>
      </c>
      <c r="T2081">
        <v>469</v>
      </c>
      <c r="U2081" t="s">
        <v>392</v>
      </c>
      <c r="V2081">
        <v>1.310055865921788</v>
      </c>
      <c r="W2081">
        <v>11.625999787885601</v>
      </c>
      <c r="X2081">
        <v>21.895260974855479</v>
      </c>
      <c r="Y2081">
        <v>17</v>
      </c>
      <c r="Z2081">
        <v>0.65</v>
      </c>
      <c r="AA2081">
        <v>1</v>
      </c>
    </row>
    <row r="2082" spans="1:27" x14ac:dyDescent="0.25">
      <c r="A2082" t="s">
        <v>98</v>
      </c>
      <c r="B2082" t="s">
        <v>519</v>
      </c>
      <c r="C2082" t="s">
        <v>689</v>
      </c>
      <c r="D2082" t="s">
        <v>1707</v>
      </c>
      <c r="E2082" t="s">
        <v>426</v>
      </c>
      <c r="G2082" t="s">
        <v>427</v>
      </c>
      <c r="H2082" t="s">
        <v>125</v>
      </c>
      <c r="I2082">
        <v>2016</v>
      </c>
      <c r="J2082" t="s">
        <v>428</v>
      </c>
      <c r="K2082" t="s">
        <v>127</v>
      </c>
      <c r="L2082" t="s">
        <v>2348</v>
      </c>
      <c r="M2082" t="s">
        <v>2349</v>
      </c>
      <c r="N2082">
        <v>1</v>
      </c>
      <c r="O2082">
        <v>2020</v>
      </c>
      <c r="P2082">
        <v>609.67953734714899</v>
      </c>
      <c r="Q2082">
        <v>0.6008265752713503</v>
      </c>
      <c r="R2082" t="s">
        <v>391</v>
      </c>
      <c r="S2082">
        <v>1014.734637980686</v>
      </c>
      <c r="T2082">
        <v>300.25599999999997</v>
      </c>
      <c r="U2082" t="s">
        <v>392</v>
      </c>
      <c r="V2082">
        <v>1.0918399999999999</v>
      </c>
      <c r="W2082">
        <v>16.5973520403479</v>
      </c>
      <c r="X2082">
        <v>27.331519839424129</v>
      </c>
      <c r="Y2082">
        <v>22</v>
      </c>
      <c r="Z2082">
        <v>0.65</v>
      </c>
      <c r="AA2082">
        <v>1</v>
      </c>
    </row>
    <row r="2083" spans="1:27" x14ac:dyDescent="0.25">
      <c r="A2083" t="s">
        <v>98</v>
      </c>
      <c r="B2083" t="s">
        <v>519</v>
      </c>
      <c r="C2083" t="s">
        <v>689</v>
      </c>
      <c r="D2083" t="s">
        <v>1707</v>
      </c>
      <c r="E2083" t="s">
        <v>426</v>
      </c>
      <c r="G2083" t="s">
        <v>431</v>
      </c>
      <c r="H2083" t="s">
        <v>125</v>
      </c>
      <c r="I2083">
        <v>2016</v>
      </c>
      <c r="J2083" t="s">
        <v>432</v>
      </c>
      <c r="K2083" t="s">
        <v>127</v>
      </c>
      <c r="L2083" t="s">
        <v>2348</v>
      </c>
      <c r="M2083" t="s">
        <v>2350</v>
      </c>
      <c r="N2083">
        <v>1</v>
      </c>
      <c r="O2083">
        <v>2020</v>
      </c>
      <c r="P2083">
        <v>609.67953734714899</v>
      </c>
      <c r="Q2083">
        <v>0.6008265752713503</v>
      </c>
      <c r="R2083" t="s">
        <v>391</v>
      </c>
      <c r="S2083">
        <v>1014.734637980686</v>
      </c>
      <c r="T2083">
        <v>297</v>
      </c>
      <c r="U2083" t="s">
        <v>392</v>
      </c>
      <c r="V2083">
        <v>1.08</v>
      </c>
      <c r="W2083">
        <v>16.5973520403479</v>
      </c>
      <c r="X2083">
        <v>27.331519839424129</v>
      </c>
      <c r="Y2083">
        <v>22</v>
      </c>
      <c r="Z2083">
        <v>0.65</v>
      </c>
      <c r="AA2083">
        <v>1</v>
      </c>
    </row>
    <row r="2084" spans="1:27" x14ac:dyDescent="0.25">
      <c r="A2084" t="s">
        <v>98</v>
      </c>
      <c r="B2084" t="s">
        <v>519</v>
      </c>
      <c r="C2084" t="s">
        <v>689</v>
      </c>
      <c r="D2084" t="s">
        <v>1707</v>
      </c>
      <c r="E2084" t="s">
        <v>426</v>
      </c>
      <c r="G2084" t="s">
        <v>434</v>
      </c>
      <c r="H2084" t="s">
        <v>125</v>
      </c>
      <c r="I2084">
        <v>2016</v>
      </c>
      <c r="J2084" t="s">
        <v>435</v>
      </c>
      <c r="K2084" t="s">
        <v>127</v>
      </c>
      <c r="L2084" t="s">
        <v>2348</v>
      </c>
      <c r="M2084" t="s">
        <v>2351</v>
      </c>
      <c r="N2084">
        <v>1</v>
      </c>
      <c r="O2084">
        <v>2020</v>
      </c>
      <c r="P2084">
        <v>670.6474910818639</v>
      </c>
      <c r="Q2084">
        <v>0.6008265752713503</v>
      </c>
      <c r="R2084" t="s">
        <v>391</v>
      </c>
      <c r="S2084">
        <v>1116.208101778755</v>
      </c>
      <c r="T2084">
        <v>277</v>
      </c>
      <c r="U2084" t="s">
        <v>392</v>
      </c>
      <c r="V2084">
        <v>1.0072727272727271</v>
      </c>
      <c r="W2084">
        <v>16.5973520403479</v>
      </c>
      <c r="X2084">
        <v>27.331519839424129</v>
      </c>
      <c r="Y2084">
        <v>22</v>
      </c>
      <c r="Z2084">
        <v>0.65</v>
      </c>
      <c r="AA2084">
        <v>1</v>
      </c>
    </row>
    <row r="2085" spans="1:27" x14ac:dyDescent="0.25">
      <c r="A2085" t="s">
        <v>98</v>
      </c>
      <c r="B2085" t="s">
        <v>519</v>
      </c>
      <c r="C2085" t="s">
        <v>689</v>
      </c>
      <c r="D2085" t="s">
        <v>1707</v>
      </c>
      <c r="E2085" t="s">
        <v>426</v>
      </c>
      <c r="G2085" t="s">
        <v>437</v>
      </c>
      <c r="H2085" t="s">
        <v>125</v>
      </c>
      <c r="I2085">
        <v>2016</v>
      </c>
      <c r="J2085" t="s">
        <v>438</v>
      </c>
      <c r="K2085" t="s">
        <v>127</v>
      </c>
      <c r="L2085" t="s">
        <v>2348</v>
      </c>
      <c r="M2085" t="s">
        <v>2352</v>
      </c>
      <c r="N2085">
        <v>1</v>
      </c>
      <c r="O2085">
        <v>2020</v>
      </c>
      <c r="P2085">
        <v>658.45390033492083</v>
      </c>
      <c r="Q2085">
        <v>0.6008265752713503</v>
      </c>
      <c r="R2085" t="s">
        <v>391</v>
      </c>
      <c r="S2085">
        <v>1095.913409019141</v>
      </c>
      <c r="T2085">
        <v>275</v>
      </c>
      <c r="U2085" t="s">
        <v>392</v>
      </c>
      <c r="V2085">
        <v>1</v>
      </c>
      <c r="W2085">
        <v>16.5973520403479</v>
      </c>
      <c r="X2085">
        <v>27.331519839424129</v>
      </c>
      <c r="Y2085">
        <v>22</v>
      </c>
      <c r="Z2085">
        <v>0.65</v>
      </c>
      <c r="AA2085">
        <v>1</v>
      </c>
    </row>
    <row r="2086" spans="1:27" x14ac:dyDescent="0.25">
      <c r="A2086" t="s">
        <v>98</v>
      </c>
      <c r="B2086" t="s">
        <v>519</v>
      </c>
      <c r="C2086" t="s">
        <v>689</v>
      </c>
      <c r="D2086" t="s">
        <v>1707</v>
      </c>
      <c r="E2086" t="s">
        <v>426</v>
      </c>
      <c r="G2086" t="s">
        <v>440</v>
      </c>
      <c r="H2086" t="s">
        <v>125</v>
      </c>
      <c r="I2086">
        <v>2016</v>
      </c>
      <c r="J2086" t="s">
        <v>441</v>
      </c>
      <c r="K2086" t="s">
        <v>127</v>
      </c>
      <c r="L2086" t="s">
        <v>2348</v>
      </c>
      <c r="M2086" t="s">
        <v>2353</v>
      </c>
      <c r="N2086">
        <v>1</v>
      </c>
      <c r="O2086">
        <v>2020</v>
      </c>
      <c r="P2086">
        <v>841.35776153906556</v>
      </c>
      <c r="Q2086">
        <v>0.6008265752713503</v>
      </c>
      <c r="R2086" t="s">
        <v>391</v>
      </c>
      <c r="S2086">
        <v>1400.333800413347</v>
      </c>
      <c r="T2086">
        <v>477.41800000000001</v>
      </c>
      <c r="U2086" t="s">
        <v>392</v>
      </c>
      <c r="V2086">
        <v>1.736065454545455</v>
      </c>
      <c r="W2086">
        <v>16.5973520403479</v>
      </c>
      <c r="X2086">
        <v>27.331519839424129</v>
      </c>
      <c r="Y2086">
        <v>22</v>
      </c>
      <c r="Z2086">
        <v>0.65</v>
      </c>
      <c r="AA2086">
        <v>1</v>
      </c>
    </row>
    <row r="2087" spans="1:27" x14ac:dyDescent="0.25">
      <c r="A2087" t="s">
        <v>98</v>
      </c>
      <c r="B2087" t="s">
        <v>519</v>
      </c>
      <c r="C2087" t="s">
        <v>689</v>
      </c>
      <c r="D2087" t="s">
        <v>1707</v>
      </c>
      <c r="E2087" t="s">
        <v>426</v>
      </c>
      <c r="G2087" t="s">
        <v>443</v>
      </c>
      <c r="H2087" t="s">
        <v>125</v>
      </c>
      <c r="I2087">
        <v>2016</v>
      </c>
      <c r="J2087" t="s">
        <v>444</v>
      </c>
      <c r="K2087" t="s">
        <v>127</v>
      </c>
      <c r="L2087" t="s">
        <v>2348</v>
      </c>
      <c r="M2087" t="s">
        <v>2354</v>
      </c>
      <c r="N2087">
        <v>1</v>
      </c>
      <c r="O2087">
        <v>2020</v>
      </c>
      <c r="P2087">
        <v>914.51930602072343</v>
      </c>
      <c r="Q2087">
        <v>0.6008265752713503</v>
      </c>
      <c r="R2087" t="s">
        <v>391</v>
      </c>
      <c r="S2087">
        <v>1522.101956971029</v>
      </c>
      <c r="T2087">
        <v>446</v>
      </c>
      <c r="U2087" t="s">
        <v>392</v>
      </c>
      <c r="V2087">
        <v>1.621818181818182</v>
      </c>
      <c r="W2087">
        <v>16.5973520403479</v>
      </c>
      <c r="X2087">
        <v>27.331519839424129</v>
      </c>
      <c r="Y2087">
        <v>22</v>
      </c>
      <c r="Z2087">
        <v>0.65</v>
      </c>
      <c r="AA2087">
        <v>1</v>
      </c>
    </row>
    <row r="2088" spans="1:27" x14ac:dyDescent="0.25">
      <c r="A2088" t="s">
        <v>98</v>
      </c>
      <c r="B2088" t="s">
        <v>519</v>
      </c>
      <c r="C2088" t="s">
        <v>689</v>
      </c>
      <c r="D2088" t="s">
        <v>1707</v>
      </c>
      <c r="E2088" t="s">
        <v>426</v>
      </c>
      <c r="G2088" t="s">
        <v>446</v>
      </c>
      <c r="H2088" t="s">
        <v>125</v>
      </c>
      <c r="I2088">
        <v>2016</v>
      </c>
      <c r="J2088" t="s">
        <v>447</v>
      </c>
      <c r="K2088" t="s">
        <v>127</v>
      </c>
      <c r="L2088" t="s">
        <v>2348</v>
      </c>
      <c r="M2088" t="s">
        <v>2355</v>
      </c>
      <c r="N2088">
        <v>1</v>
      </c>
      <c r="O2088">
        <v>2020</v>
      </c>
      <c r="P2088">
        <v>963.29366900849539</v>
      </c>
      <c r="Q2088">
        <v>0.6008265752713503</v>
      </c>
      <c r="R2088" t="s">
        <v>391</v>
      </c>
      <c r="S2088">
        <v>1603.2807280094839</v>
      </c>
      <c r="T2088">
        <v>429.67619999999999</v>
      </c>
      <c r="U2088" t="s">
        <v>392</v>
      </c>
      <c r="V2088">
        <v>1.5624589090909089</v>
      </c>
      <c r="W2088">
        <v>16.5973520403479</v>
      </c>
      <c r="X2088">
        <v>27.331519839424129</v>
      </c>
      <c r="Y2088">
        <v>22</v>
      </c>
      <c r="Z2088">
        <v>0.65</v>
      </c>
      <c r="AA2088">
        <v>1</v>
      </c>
    </row>
    <row r="2089" spans="1:27" x14ac:dyDescent="0.25">
      <c r="A2089" t="s">
        <v>98</v>
      </c>
      <c r="B2089" t="s">
        <v>519</v>
      </c>
      <c r="C2089" t="s">
        <v>689</v>
      </c>
      <c r="D2089" t="s">
        <v>1707</v>
      </c>
      <c r="E2089" t="s">
        <v>426</v>
      </c>
      <c r="G2089" t="s">
        <v>449</v>
      </c>
      <c r="H2089" t="s">
        <v>125</v>
      </c>
      <c r="I2089">
        <v>2016</v>
      </c>
      <c r="J2089" t="s">
        <v>450</v>
      </c>
      <c r="K2089" t="s">
        <v>127</v>
      </c>
      <c r="L2089" t="s">
        <v>2348</v>
      </c>
      <c r="M2089" t="s">
        <v>2356</v>
      </c>
      <c r="N2089">
        <v>1</v>
      </c>
      <c r="O2089">
        <v>2020</v>
      </c>
      <c r="P2089">
        <v>987.6808505023813</v>
      </c>
      <c r="Q2089">
        <v>0.6008265752713503</v>
      </c>
      <c r="R2089" t="s">
        <v>391</v>
      </c>
      <c r="S2089">
        <v>1643.870113528711</v>
      </c>
      <c r="T2089">
        <v>419</v>
      </c>
      <c r="U2089" t="s">
        <v>392</v>
      </c>
      <c r="V2089">
        <v>1.5236363636363639</v>
      </c>
      <c r="W2089">
        <v>16.5973520403479</v>
      </c>
      <c r="X2089">
        <v>27.331519839424129</v>
      </c>
      <c r="Y2089">
        <v>22</v>
      </c>
      <c r="Z2089">
        <v>0.65</v>
      </c>
      <c r="AA2089">
        <v>1</v>
      </c>
    </row>
    <row r="2090" spans="1:27" x14ac:dyDescent="0.25">
      <c r="A2090" t="s">
        <v>98</v>
      </c>
      <c r="B2090" t="s">
        <v>519</v>
      </c>
      <c r="C2090" t="s">
        <v>689</v>
      </c>
      <c r="D2090" t="s">
        <v>1707</v>
      </c>
      <c r="E2090" t="s">
        <v>452</v>
      </c>
      <c r="G2090" t="s">
        <v>111</v>
      </c>
      <c r="H2090" t="s">
        <v>104</v>
      </c>
      <c r="I2090">
        <v>2016</v>
      </c>
      <c r="J2090" t="s">
        <v>453</v>
      </c>
      <c r="K2090" t="s">
        <v>106</v>
      </c>
      <c r="L2090" t="s">
        <v>2357</v>
      </c>
      <c r="M2090" t="s">
        <v>2358</v>
      </c>
      <c r="N2090">
        <v>1</v>
      </c>
      <c r="O2090">
        <v>2020</v>
      </c>
      <c r="P2090">
        <v>451.16285763689018</v>
      </c>
      <c r="Q2090">
        <v>15.28769439442075</v>
      </c>
      <c r="R2090" t="s">
        <v>391</v>
      </c>
      <c r="S2090">
        <v>29.511504220122461</v>
      </c>
      <c r="T2090">
        <v>0.45</v>
      </c>
      <c r="U2090" t="s">
        <v>456</v>
      </c>
      <c r="V2090">
        <v>0.45</v>
      </c>
      <c r="W2090">
        <v>9</v>
      </c>
      <c r="X2090">
        <v>15</v>
      </c>
      <c r="Y2090">
        <v>13</v>
      </c>
      <c r="Z2090">
        <v>9.0000000000000011E-2</v>
      </c>
      <c r="AA2090">
        <v>1</v>
      </c>
    </row>
    <row r="2091" spans="1:27" x14ac:dyDescent="0.25">
      <c r="A2091" t="s">
        <v>98</v>
      </c>
      <c r="B2091" t="s">
        <v>519</v>
      </c>
      <c r="C2091" t="s">
        <v>689</v>
      </c>
      <c r="D2091" t="s">
        <v>1707</v>
      </c>
      <c r="E2091" t="s">
        <v>452</v>
      </c>
      <c r="G2091" t="s">
        <v>119</v>
      </c>
      <c r="H2091" t="s">
        <v>104</v>
      </c>
      <c r="I2091">
        <v>2016</v>
      </c>
      <c r="J2091" t="s">
        <v>457</v>
      </c>
      <c r="K2091" t="s">
        <v>106</v>
      </c>
      <c r="L2091" t="s">
        <v>2357</v>
      </c>
      <c r="M2091" t="s">
        <v>2359</v>
      </c>
      <c r="N2091">
        <v>1</v>
      </c>
      <c r="O2091">
        <v>2020</v>
      </c>
      <c r="P2091">
        <v>521.3437466026287</v>
      </c>
      <c r="Q2091">
        <v>15.28769439442075</v>
      </c>
      <c r="R2091" t="s">
        <v>391</v>
      </c>
      <c r="S2091">
        <v>34.102182654363723</v>
      </c>
      <c r="T2091">
        <v>0.52</v>
      </c>
      <c r="U2091" t="s">
        <v>456</v>
      </c>
      <c r="V2091">
        <v>0.52</v>
      </c>
      <c r="W2091">
        <v>9</v>
      </c>
      <c r="X2091">
        <v>15</v>
      </c>
      <c r="Y2091">
        <v>13</v>
      </c>
      <c r="Z2091">
        <v>9.0000000000000011E-2</v>
      </c>
      <c r="AA2091">
        <v>1</v>
      </c>
    </row>
    <row r="2092" spans="1:27" x14ac:dyDescent="0.25">
      <c r="A2092" t="s">
        <v>98</v>
      </c>
      <c r="B2092" t="s">
        <v>519</v>
      </c>
      <c r="C2092" t="s">
        <v>689</v>
      </c>
      <c r="D2092" t="s">
        <v>1707</v>
      </c>
      <c r="E2092" t="s">
        <v>452</v>
      </c>
      <c r="G2092" t="s">
        <v>111</v>
      </c>
      <c r="H2092" t="s">
        <v>156</v>
      </c>
      <c r="I2092">
        <v>2016</v>
      </c>
      <c r="J2092" t="s">
        <v>459</v>
      </c>
      <c r="K2092" t="s">
        <v>158</v>
      </c>
      <c r="L2092" t="s">
        <v>2357</v>
      </c>
      <c r="M2092" t="s">
        <v>2360</v>
      </c>
      <c r="N2092">
        <v>1</v>
      </c>
      <c r="O2092">
        <v>2020</v>
      </c>
      <c r="P2092">
        <v>451.16285763689018</v>
      </c>
      <c r="Q2092">
        <v>15.28769439442075</v>
      </c>
      <c r="R2092" t="s">
        <v>391</v>
      </c>
      <c r="S2092">
        <v>29.511504220122461</v>
      </c>
      <c r="T2092">
        <v>0.45</v>
      </c>
      <c r="U2092" t="s">
        <v>456</v>
      </c>
      <c r="V2092">
        <v>0.45</v>
      </c>
      <c r="W2092">
        <v>9</v>
      </c>
      <c r="X2092">
        <v>15</v>
      </c>
      <c r="Y2092">
        <v>13</v>
      </c>
      <c r="Z2092">
        <v>9.0000000000000011E-2</v>
      </c>
      <c r="AA2092">
        <v>1</v>
      </c>
    </row>
    <row r="2093" spans="1:27" x14ac:dyDescent="0.25">
      <c r="A2093" t="s">
        <v>98</v>
      </c>
      <c r="B2093" t="s">
        <v>519</v>
      </c>
      <c r="C2093" t="s">
        <v>689</v>
      </c>
      <c r="D2093" t="s">
        <v>1707</v>
      </c>
      <c r="E2093" t="s">
        <v>452</v>
      </c>
      <c r="G2093" t="s">
        <v>119</v>
      </c>
      <c r="H2093" t="s">
        <v>156</v>
      </c>
      <c r="I2093">
        <v>2016</v>
      </c>
      <c r="J2093" t="s">
        <v>461</v>
      </c>
      <c r="K2093" t="s">
        <v>158</v>
      </c>
      <c r="L2093" t="s">
        <v>2357</v>
      </c>
      <c r="M2093" t="s">
        <v>2361</v>
      </c>
      <c r="N2093">
        <v>1</v>
      </c>
      <c r="O2093">
        <v>2020</v>
      </c>
      <c r="P2093">
        <v>521.3437466026287</v>
      </c>
      <c r="Q2093">
        <v>15.28769439442075</v>
      </c>
      <c r="R2093" t="s">
        <v>391</v>
      </c>
      <c r="S2093">
        <v>34.102182654363723</v>
      </c>
      <c r="T2093">
        <v>0.52</v>
      </c>
      <c r="U2093" t="s">
        <v>456</v>
      </c>
      <c r="V2093">
        <v>0.52</v>
      </c>
      <c r="W2093">
        <v>9</v>
      </c>
      <c r="X2093">
        <v>15</v>
      </c>
      <c r="Y2093">
        <v>13</v>
      </c>
      <c r="Z2093">
        <v>9.0000000000000011E-2</v>
      </c>
      <c r="AA2093">
        <v>1</v>
      </c>
    </row>
    <row r="2094" spans="1:27" x14ac:dyDescent="0.25">
      <c r="A2094" t="s">
        <v>98</v>
      </c>
      <c r="B2094" t="s">
        <v>519</v>
      </c>
      <c r="C2094" t="s">
        <v>689</v>
      </c>
      <c r="D2094" t="s">
        <v>1707</v>
      </c>
      <c r="E2094" t="s">
        <v>452</v>
      </c>
      <c r="G2094" t="s">
        <v>111</v>
      </c>
      <c r="H2094" t="s">
        <v>125</v>
      </c>
      <c r="I2094">
        <v>2016</v>
      </c>
      <c r="J2094" t="s">
        <v>463</v>
      </c>
      <c r="K2094" t="s">
        <v>127</v>
      </c>
      <c r="L2094" t="s">
        <v>2357</v>
      </c>
      <c r="M2094" t="s">
        <v>2362</v>
      </c>
      <c r="N2094">
        <v>1</v>
      </c>
      <c r="O2094">
        <v>2020</v>
      </c>
      <c r="P2094">
        <v>938.90648751460947</v>
      </c>
      <c r="Q2094">
        <v>15.28769439442075</v>
      </c>
      <c r="R2094" t="s">
        <v>391</v>
      </c>
      <c r="S2094">
        <v>61.415833106741331</v>
      </c>
      <c r="T2094">
        <v>228.0913607809874</v>
      </c>
      <c r="U2094" t="s">
        <v>392</v>
      </c>
      <c r="V2094">
        <v>0.9</v>
      </c>
      <c r="W2094">
        <v>10</v>
      </c>
      <c r="X2094">
        <v>20</v>
      </c>
      <c r="Y2094">
        <v>16</v>
      </c>
      <c r="Z2094">
        <v>9.0000000000000011E-2</v>
      </c>
      <c r="AA2094">
        <v>1</v>
      </c>
    </row>
    <row r="2095" spans="1:27" x14ac:dyDescent="0.25">
      <c r="A2095" t="s">
        <v>98</v>
      </c>
      <c r="B2095" t="s">
        <v>519</v>
      </c>
      <c r="C2095" t="s">
        <v>689</v>
      </c>
      <c r="D2095" t="s">
        <v>1707</v>
      </c>
      <c r="E2095" t="s">
        <v>465</v>
      </c>
      <c r="G2095" t="s">
        <v>466</v>
      </c>
      <c r="H2095" t="s">
        <v>125</v>
      </c>
      <c r="I2095">
        <v>2030</v>
      </c>
      <c r="J2095" t="s">
        <v>467</v>
      </c>
      <c r="K2095" t="s">
        <v>127</v>
      </c>
      <c r="L2095" t="s">
        <v>2363</v>
      </c>
      <c r="M2095" t="s">
        <v>2364</v>
      </c>
      <c r="N2095">
        <v>1</v>
      </c>
      <c r="O2095">
        <v>2030</v>
      </c>
      <c r="P2095">
        <v>1646.1347508373019</v>
      </c>
      <c r="Q2095">
        <v>8.95099346900877</v>
      </c>
      <c r="R2095" t="s">
        <v>391</v>
      </c>
      <c r="S2095">
        <v>183.90525661053741</v>
      </c>
      <c r="T2095">
        <v>0.28000000000000003</v>
      </c>
      <c r="U2095" t="s">
        <v>470</v>
      </c>
      <c r="V2095">
        <v>2.333333333333333</v>
      </c>
      <c r="W2095">
        <v>6</v>
      </c>
      <c r="X2095">
        <v>17</v>
      </c>
      <c r="Y2095">
        <v>12</v>
      </c>
      <c r="Z2095">
        <v>0.02</v>
      </c>
      <c r="AA2095">
        <v>1</v>
      </c>
    </row>
    <row r="2096" spans="1:27" x14ac:dyDescent="0.25">
      <c r="A2096" t="s">
        <v>98</v>
      </c>
      <c r="B2096" t="s">
        <v>519</v>
      </c>
      <c r="C2096" t="s">
        <v>689</v>
      </c>
      <c r="D2096" t="s">
        <v>1707</v>
      </c>
      <c r="E2096" t="s">
        <v>465</v>
      </c>
      <c r="G2096" t="s">
        <v>471</v>
      </c>
      <c r="H2096" t="s">
        <v>125</v>
      </c>
      <c r="I2096">
        <v>2016</v>
      </c>
      <c r="J2096" t="s">
        <v>472</v>
      </c>
      <c r="K2096" t="s">
        <v>127</v>
      </c>
      <c r="L2096" t="s">
        <v>2363</v>
      </c>
      <c r="M2096" t="s">
        <v>2365</v>
      </c>
      <c r="N2096">
        <v>1</v>
      </c>
      <c r="O2096">
        <v>2020</v>
      </c>
      <c r="P2096">
        <v>792.58339855129361</v>
      </c>
      <c r="Q2096">
        <v>8.95099346900877</v>
      </c>
      <c r="R2096" t="s">
        <v>391</v>
      </c>
      <c r="S2096">
        <v>88.546975405073553</v>
      </c>
      <c r="T2096">
        <v>0.26</v>
      </c>
      <c r="U2096" t="s">
        <v>470</v>
      </c>
      <c r="V2096">
        <v>2.166666666666667</v>
      </c>
      <c r="W2096">
        <v>6</v>
      </c>
      <c r="X2096">
        <v>17</v>
      </c>
      <c r="Y2096">
        <v>12</v>
      </c>
      <c r="Z2096">
        <v>0.02</v>
      </c>
      <c r="AA2096">
        <v>1</v>
      </c>
    </row>
    <row r="2097" spans="1:27" x14ac:dyDescent="0.25">
      <c r="A2097" t="s">
        <v>98</v>
      </c>
      <c r="B2097" t="s">
        <v>519</v>
      </c>
      <c r="C2097" t="s">
        <v>689</v>
      </c>
      <c r="D2097" t="s">
        <v>1707</v>
      </c>
      <c r="E2097" t="s">
        <v>465</v>
      </c>
      <c r="G2097" t="s">
        <v>474</v>
      </c>
      <c r="H2097" t="s">
        <v>125</v>
      </c>
      <c r="I2097">
        <v>2016</v>
      </c>
      <c r="J2097" t="s">
        <v>475</v>
      </c>
      <c r="K2097" t="s">
        <v>127</v>
      </c>
      <c r="L2097" t="s">
        <v>2363</v>
      </c>
      <c r="M2097" t="s">
        <v>2366</v>
      </c>
      <c r="N2097">
        <v>0</v>
      </c>
      <c r="O2097">
        <v>2020</v>
      </c>
      <c r="P2097">
        <v>792.58339855129361</v>
      </c>
      <c r="Q2097">
        <v>8.95099346900877</v>
      </c>
      <c r="R2097" t="s">
        <v>391</v>
      </c>
      <c r="S2097">
        <v>88.546975405073553</v>
      </c>
      <c r="T2097">
        <v>0.26</v>
      </c>
      <c r="U2097" t="s">
        <v>470</v>
      </c>
      <c r="V2097">
        <v>2.166666666666667</v>
      </c>
      <c r="W2097">
        <v>6</v>
      </c>
      <c r="X2097">
        <v>17</v>
      </c>
      <c r="Y2097">
        <v>12</v>
      </c>
      <c r="Z2097">
        <v>0.02</v>
      </c>
      <c r="AA2097">
        <v>1</v>
      </c>
    </row>
    <row r="2098" spans="1:27" x14ac:dyDescent="0.25">
      <c r="A2098" t="s">
        <v>98</v>
      </c>
      <c r="B2098" t="s">
        <v>519</v>
      </c>
      <c r="C2098" t="s">
        <v>689</v>
      </c>
      <c r="D2098" t="s">
        <v>1707</v>
      </c>
      <c r="E2098" t="s">
        <v>465</v>
      </c>
      <c r="G2098" t="s">
        <v>474</v>
      </c>
      <c r="H2098" t="s">
        <v>125</v>
      </c>
      <c r="I2098">
        <v>2020</v>
      </c>
      <c r="J2098" t="s">
        <v>477</v>
      </c>
      <c r="K2098" t="s">
        <v>127</v>
      </c>
      <c r="L2098" t="s">
        <v>2363</v>
      </c>
      <c r="M2098" t="s">
        <v>2366</v>
      </c>
      <c r="N2098">
        <v>1</v>
      </c>
      <c r="O2098">
        <v>2020</v>
      </c>
      <c r="P2098">
        <v>914.51930602072343</v>
      </c>
      <c r="Q2098">
        <v>8.95099346900877</v>
      </c>
      <c r="R2098" t="s">
        <v>391</v>
      </c>
      <c r="S2098">
        <v>102.1695870058541</v>
      </c>
      <c r="T2098">
        <v>0.24</v>
      </c>
      <c r="U2098" t="s">
        <v>470</v>
      </c>
      <c r="V2098">
        <v>2</v>
      </c>
      <c r="W2098">
        <v>6</v>
      </c>
      <c r="X2098">
        <v>17</v>
      </c>
      <c r="Y2098">
        <v>12</v>
      </c>
      <c r="Z2098">
        <v>0.02</v>
      </c>
      <c r="AA2098">
        <v>1</v>
      </c>
    </row>
    <row r="2099" spans="1:27" x14ac:dyDescent="0.25">
      <c r="A2099" t="s">
        <v>98</v>
      </c>
      <c r="B2099" t="s">
        <v>519</v>
      </c>
      <c r="C2099" t="s">
        <v>689</v>
      </c>
      <c r="D2099" t="s">
        <v>1707</v>
      </c>
      <c r="E2099" t="s">
        <v>465</v>
      </c>
      <c r="G2099" t="s">
        <v>478</v>
      </c>
      <c r="H2099" t="s">
        <v>125</v>
      </c>
      <c r="I2099">
        <v>2016</v>
      </c>
      <c r="J2099" t="s">
        <v>479</v>
      </c>
      <c r="K2099" t="s">
        <v>127</v>
      </c>
      <c r="L2099" t="s">
        <v>2363</v>
      </c>
      <c r="M2099" t="s">
        <v>2367</v>
      </c>
      <c r="N2099">
        <v>1</v>
      </c>
      <c r="O2099">
        <v>2020</v>
      </c>
      <c r="P2099">
        <v>1158.3911209595831</v>
      </c>
      <c r="Q2099">
        <v>8.95099346900877</v>
      </c>
      <c r="R2099" t="s">
        <v>391</v>
      </c>
      <c r="S2099">
        <v>129.4148102074152</v>
      </c>
      <c r="T2099">
        <v>0.15</v>
      </c>
      <c r="U2099" t="s">
        <v>470</v>
      </c>
      <c r="V2099">
        <v>1.25</v>
      </c>
      <c r="W2099">
        <v>6</v>
      </c>
      <c r="X2099">
        <v>17</v>
      </c>
      <c r="Y2099">
        <v>12</v>
      </c>
      <c r="Z2099">
        <v>0.02</v>
      </c>
      <c r="AA2099">
        <v>1</v>
      </c>
    </row>
    <row r="2100" spans="1:27" x14ac:dyDescent="0.25">
      <c r="A2100" t="s">
        <v>98</v>
      </c>
      <c r="B2100" t="s">
        <v>519</v>
      </c>
      <c r="C2100" t="s">
        <v>689</v>
      </c>
      <c r="D2100" t="s">
        <v>1707</v>
      </c>
      <c r="E2100" t="s">
        <v>465</v>
      </c>
      <c r="G2100" t="s">
        <v>481</v>
      </c>
      <c r="H2100" t="s">
        <v>125</v>
      </c>
      <c r="I2100">
        <v>2016</v>
      </c>
      <c r="J2100" t="s">
        <v>482</v>
      </c>
      <c r="K2100" t="s">
        <v>127</v>
      </c>
      <c r="L2100" t="s">
        <v>2363</v>
      </c>
      <c r="M2100" t="s">
        <v>2368</v>
      </c>
      <c r="N2100">
        <v>1</v>
      </c>
      <c r="O2100">
        <v>2020</v>
      </c>
      <c r="P2100">
        <v>1371.7789590310849</v>
      </c>
      <c r="Q2100">
        <v>8.95099346900877</v>
      </c>
      <c r="R2100" t="s">
        <v>391</v>
      </c>
      <c r="S2100">
        <v>153.2543805087812</v>
      </c>
      <c r="T2100">
        <v>0.12</v>
      </c>
      <c r="U2100" t="s">
        <v>470</v>
      </c>
      <c r="V2100">
        <v>1</v>
      </c>
      <c r="W2100">
        <v>6</v>
      </c>
      <c r="X2100">
        <v>17</v>
      </c>
      <c r="Y2100">
        <v>12</v>
      </c>
      <c r="Z2100">
        <v>0.02</v>
      </c>
      <c r="AA2100">
        <v>1</v>
      </c>
    </row>
    <row r="2101" spans="1:27" x14ac:dyDescent="0.25">
      <c r="A2101" t="s">
        <v>98</v>
      </c>
      <c r="B2101" t="s">
        <v>519</v>
      </c>
      <c r="C2101" t="s">
        <v>689</v>
      </c>
      <c r="D2101" t="s">
        <v>1707</v>
      </c>
      <c r="E2101" t="s">
        <v>465</v>
      </c>
      <c r="G2101" t="s">
        <v>484</v>
      </c>
      <c r="H2101" t="s">
        <v>125</v>
      </c>
      <c r="I2101">
        <v>2016</v>
      </c>
      <c r="J2101" t="s">
        <v>485</v>
      </c>
      <c r="K2101" t="s">
        <v>127</v>
      </c>
      <c r="L2101" t="s">
        <v>2363</v>
      </c>
      <c r="M2101" t="s">
        <v>2369</v>
      </c>
      <c r="N2101">
        <v>1</v>
      </c>
      <c r="O2101">
        <v>2020</v>
      </c>
      <c r="P2101">
        <v>1158.3911209595831</v>
      </c>
      <c r="Q2101">
        <v>8.95099346900877</v>
      </c>
      <c r="R2101" t="s">
        <v>391</v>
      </c>
      <c r="S2101">
        <v>129.4148102074152</v>
      </c>
      <c r="T2101">
        <v>0.15</v>
      </c>
      <c r="U2101" t="s">
        <v>470</v>
      </c>
      <c r="V2101">
        <v>1.25</v>
      </c>
      <c r="W2101">
        <v>6</v>
      </c>
      <c r="X2101">
        <v>17</v>
      </c>
      <c r="Y2101">
        <v>12</v>
      </c>
      <c r="Z2101">
        <v>0.02</v>
      </c>
      <c r="AA2101">
        <v>1</v>
      </c>
    </row>
    <row r="2102" spans="1:27" x14ac:dyDescent="0.25">
      <c r="A2102" t="s">
        <v>98</v>
      </c>
      <c r="B2102" t="s">
        <v>519</v>
      </c>
      <c r="C2102" t="s">
        <v>689</v>
      </c>
      <c r="D2102" t="s">
        <v>1707</v>
      </c>
      <c r="E2102" t="s">
        <v>465</v>
      </c>
      <c r="G2102" t="s">
        <v>487</v>
      </c>
      <c r="H2102" t="s">
        <v>125</v>
      </c>
      <c r="I2102">
        <v>2016</v>
      </c>
      <c r="J2102" t="s">
        <v>488</v>
      </c>
      <c r="K2102" t="s">
        <v>127</v>
      </c>
      <c r="L2102" t="s">
        <v>2363</v>
      </c>
      <c r="M2102" t="s">
        <v>2370</v>
      </c>
      <c r="N2102">
        <v>1</v>
      </c>
      <c r="O2102">
        <v>2020</v>
      </c>
      <c r="P2102">
        <v>1219.359074694298</v>
      </c>
      <c r="Q2102">
        <v>8.95099346900877</v>
      </c>
      <c r="R2102" t="s">
        <v>391</v>
      </c>
      <c r="S2102">
        <v>136.2261160078055</v>
      </c>
      <c r="T2102">
        <v>0.21</v>
      </c>
      <c r="U2102" t="s">
        <v>470</v>
      </c>
      <c r="V2102">
        <v>1.75</v>
      </c>
      <c r="W2102">
        <v>6</v>
      </c>
      <c r="X2102">
        <v>17</v>
      </c>
      <c r="Y2102">
        <v>12</v>
      </c>
      <c r="Z2102">
        <v>0.02</v>
      </c>
      <c r="AA2102">
        <v>1</v>
      </c>
    </row>
    <row r="2103" spans="1:27" x14ac:dyDescent="0.25">
      <c r="A2103" t="s">
        <v>98</v>
      </c>
      <c r="B2103" t="s">
        <v>519</v>
      </c>
      <c r="C2103" t="s">
        <v>689</v>
      </c>
      <c r="D2103" t="s">
        <v>1707</v>
      </c>
      <c r="E2103" t="s">
        <v>465</v>
      </c>
      <c r="G2103" t="s">
        <v>487</v>
      </c>
      <c r="H2103" t="s">
        <v>125</v>
      </c>
      <c r="I2103">
        <v>2030</v>
      </c>
      <c r="J2103" t="s">
        <v>490</v>
      </c>
      <c r="K2103" t="s">
        <v>127</v>
      </c>
      <c r="L2103" t="s">
        <v>2363</v>
      </c>
      <c r="M2103" t="s">
        <v>2371</v>
      </c>
      <c r="N2103">
        <v>1</v>
      </c>
      <c r="O2103">
        <v>2030</v>
      </c>
      <c r="P2103">
        <v>1280.3270284290129</v>
      </c>
      <c r="Q2103">
        <v>8.95099346900877</v>
      </c>
      <c r="R2103" t="s">
        <v>391</v>
      </c>
      <c r="S2103">
        <v>143.0374218081958</v>
      </c>
      <c r="T2103">
        <v>0.17</v>
      </c>
      <c r="U2103" t="s">
        <v>470</v>
      </c>
      <c r="V2103">
        <v>1.416666666666667</v>
      </c>
      <c r="W2103">
        <v>6</v>
      </c>
      <c r="X2103">
        <v>17</v>
      </c>
      <c r="Y2103">
        <v>12</v>
      </c>
      <c r="Z2103">
        <v>0.02</v>
      </c>
      <c r="AA2103">
        <v>1</v>
      </c>
    </row>
    <row r="2104" spans="1:27" x14ac:dyDescent="0.25">
      <c r="A2104" t="s">
        <v>98</v>
      </c>
      <c r="B2104" t="s">
        <v>519</v>
      </c>
      <c r="C2104" t="s">
        <v>689</v>
      </c>
      <c r="D2104" t="s">
        <v>1707</v>
      </c>
      <c r="E2104" t="s">
        <v>465</v>
      </c>
      <c r="G2104" t="s">
        <v>492</v>
      </c>
      <c r="H2104" t="s">
        <v>125</v>
      </c>
      <c r="I2104">
        <v>2016</v>
      </c>
      <c r="J2104" t="s">
        <v>493</v>
      </c>
      <c r="K2104" t="s">
        <v>127</v>
      </c>
      <c r="L2104" t="s">
        <v>2363</v>
      </c>
      <c r="M2104" t="s">
        <v>2372</v>
      </c>
      <c r="N2104">
        <v>1</v>
      </c>
      <c r="O2104">
        <v>2020</v>
      </c>
      <c r="P2104">
        <v>1158.3911209595831</v>
      </c>
      <c r="Q2104">
        <v>8.95099346900877</v>
      </c>
      <c r="R2104" t="s">
        <v>391</v>
      </c>
      <c r="S2104">
        <v>129.4148102074152</v>
      </c>
      <c r="T2104">
        <v>0.28999999999999998</v>
      </c>
      <c r="U2104" t="s">
        <v>470</v>
      </c>
      <c r="V2104">
        <v>2.416666666666667</v>
      </c>
      <c r="W2104">
        <v>6</v>
      </c>
      <c r="X2104">
        <v>17</v>
      </c>
      <c r="Y2104">
        <v>12</v>
      </c>
      <c r="Z2104">
        <v>0.02</v>
      </c>
      <c r="AA2104">
        <v>1</v>
      </c>
    </row>
    <row r="2105" spans="1:27" x14ac:dyDescent="0.25">
      <c r="A2105" t="s">
        <v>98</v>
      </c>
      <c r="B2105" t="s">
        <v>519</v>
      </c>
      <c r="C2105" t="s">
        <v>689</v>
      </c>
      <c r="D2105" t="s">
        <v>1707</v>
      </c>
      <c r="E2105" t="s">
        <v>465</v>
      </c>
      <c r="G2105" t="s">
        <v>466</v>
      </c>
      <c r="H2105" t="s">
        <v>125</v>
      </c>
      <c r="I2105">
        <v>2016</v>
      </c>
      <c r="J2105" t="s">
        <v>495</v>
      </c>
      <c r="K2105" t="s">
        <v>127</v>
      </c>
      <c r="L2105" t="s">
        <v>2363</v>
      </c>
      <c r="M2105" t="s">
        <v>2373</v>
      </c>
      <c r="N2105">
        <v>0</v>
      </c>
      <c r="O2105">
        <v>2020</v>
      </c>
      <c r="P2105">
        <v>1280.3270284290129</v>
      </c>
      <c r="Q2105">
        <v>8.95099346900877</v>
      </c>
      <c r="R2105" t="s">
        <v>391</v>
      </c>
      <c r="S2105">
        <v>143.0374218081958</v>
      </c>
      <c r="T2105">
        <v>0.17</v>
      </c>
      <c r="U2105" t="s">
        <v>470</v>
      </c>
      <c r="V2105">
        <v>1.416666666666667</v>
      </c>
      <c r="W2105">
        <v>6</v>
      </c>
      <c r="X2105">
        <v>17</v>
      </c>
      <c r="Y2105">
        <v>12</v>
      </c>
      <c r="Z2105">
        <v>0.02</v>
      </c>
      <c r="AA2105">
        <v>1</v>
      </c>
    </row>
    <row r="2106" spans="1:27" x14ac:dyDescent="0.25">
      <c r="A2106" t="s">
        <v>98</v>
      </c>
      <c r="B2106" t="s">
        <v>519</v>
      </c>
      <c r="C2106" t="s">
        <v>689</v>
      </c>
      <c r="D2106" t="s">
        <v>1707</v>
      </c>
      <c r="E2106" t="s">
        <v>465</v>
      </c>
      <c r="G2106" t="s">
        <v>466</v>
      </c>
      <c r="H2106" t="s">
        <v>125</v>
      </c>
      <c r="I2106">
        <v>2020</v>
      </c>
      <c r="J2106" t="s">
        <v>497</v>
      </c>
      <c r="K2106" t="s">
        <v>127</v>
      </c>
      <c r="L2106" t="s">
        <v>2363</v>
      </c>
      <c r="M2106" t="s">
        <v>2373</v>
      </c>
      <c r="N2106">
        <v>1</v>
      </c>
      <c r="O2106">
        <v>2020</v>
      </c>
      <c r="P2106">
        <v>1646.1347508373019</v>
      </c>
      <c r="Q2106">
        <v>8.95099346900877</v>
      </c>
      <c r="R2106" t="s">
        <v>391</v>
      </c>
      <c r="S2106">
        <v>183.90525661053741</v>
      </c>
      <c r="T2106">
        <v>0.28000000000000003</v>
      </c>
      <c r="U2106" t="s">
        <v>470</v>
      </c>
      <c r="V2106">
        <v>2.333333333333333</v>
      </c>
      <c r="W2106">
        <v>6</v>
      </c>
      <c r="X2106">
        <v>17</v>
      </c>
      <c r="Y2106">
        <v>12</v>
      </c>
      <c r="Z2106">
        <v>0.02</v>
      </c>
      <c r="AA2106">
        <v>1</v>
      </c>
    </row>
    <row r="2107" spans="1:27" x14ac:dyDescent="0.25">
      <c r="A2107" t="s">
        <v>98</v>
      </c>
      <c r="B2107" t="s">
        <v>519</v>
      </c>
      <c r="C2107" t="s">
        <v>689</v>
      </c>
      <c r="D2107" t="s">
        <v>1707</v>
      </c>
      <c r="E2107" t="s">
        <v>498</v>
      </c>
      <c r="G2107" t="s">
        <v>103</v>
      </c>
      <c r="H2107" t="s">
        <v>104</v>
      </c>
      <c r="I2107">
        <v>2016</v>
      </c>
      <c r="J2107" t="s">
        <v>499</v>
      </c>
      <c r="K2107" t="s">
        <v>106</v>
      </c>
      <c r="L2107" t="s">
        <v>2374</v>
      </c>
      <c r="M2107" t="s">
        <v>2375</v>
      </c>
      <c r="N2107">
        <v>1</v>
      </c>
      <c r="O2107">
        <v>2020</v>
      </c>
      <c r="P2107">
        <v>792.58339855129361</v>
      </c>
      <c r="Q2107">
        <v>85.393302426154932</v>
      </c>
      <c r="R2107" t="s">
        <v>391</v>
      </c>
      <c r="S2107">
        <v>9.2815639638330101</v>
      </c>
      <c r="T2107">
        <v>3.3</v>
      </c>
      <c r="U2107" t="s">
        <v>502</v>
      </c>
      <c r="V2107">
        <v>1</v>
      </c>
      <c r="W2107">
        <v>8</v>
      </c>
      <c r="X2107">
        <v>18</v>
      </c>
      <c r="Y2107">
        <v>14</v>
      </c>
      <c r="Z2107">
        <v>0.02</v>
      </c>
      <c r="AA2107">
        <v>1</v>
      </c>
    </row>
    <row r="2108" spans="1:27" x14ac:dyDescent="0.25">
      <c r="A2108" t="s">
        <v>98</v>
      </c>
      <c r="B2108" t="s">
        <v>519</v>
      </c>
      <c r="C2108" t="s">
        <v>689</v>
      </c>
      <c r="D2108" t="s">
        <v>1707</v>
      </c>
      <c r="E2108" t="s">
        <v>498</v>
      </c>
      <c r="G2108" t="s">
        <v>111</v>
      </c>
      <c r="H2108" t="s">
        <v>104</v>
      </c>
      <c r="I2108">
        <v>2016</v>
      </c>
      <c r="J2108" t="s">
        <v>503</v>
      </c>
      <c r="K2108" t="s">
        <v>106</v>
      </c>
      <c r="L2108" t="s">
        <v>2374</v>
      </c>
      <c r="M2108" t="s">
        <v>2376</v>
      </c>
      <c r="N2108">
        <v>1</v>
      </c>
      <c r="O2108">
        <v>2020</v>
      </c>
      <c r="P2108">
        <v>804.77698929823669</v>
      </c>
      <c r="Q2108">
        <v>85.393302426154932</v>
      </c>
      <c r="R2108" t="s">
        <v>391</v>
      </c>
      <c r="S2108">
        <v>9.4243572555842885</v>
      </c>
      <c r="T2108">
        <v>3.32</v>
      </c>
      <c r="U2108" t="s">
        <v>502</v>
      </c>
      <c r="V2108">
        <v>1.0060606060606061</v>
      </c>
      <c r="W2108">
        <v>8</v>
      </c>
      <c r="X2108">
        <v>18</v>
      </c>
      <c r="Y2108">
        <v>14</v>
      </c>
      <c r="Z2108">
        <v>0.02</v>
      </c>
      <c r="AA2108">
        <v>1</v>
      </c>
    </row>
    <row r="2109" spans="1:27" x14ac:dyDescent="0.25">
      <c r="A2109" t="s">
        <v>98</v>
      </c>
      <c r="B2109" t="s">
        <v>519</v>
      </c>
      <c r="C2109" t="s">
        <v>689</v>
      </c>
      <c r="D2109" t="s">
        <v>1707</v>
      </c>
      <c r="E2109" t="s">
        <v>498</v>
      </c>
      <c r="G2109" t="s">
        <v>114</v>
      </c>
      <c r="H2109" t="s">
        <v>104</v>
      </c>
      <c r="I2109">
        <v>2016</v>
      </c>
      <c r="J2109" t="s">
        <v>505</v>
      </c>
      <c r="K2109" t="s">
        <v>106</v>
      </c>
      <c r="L2109" t="s">
        <v>2374</v>
      </c>
      <c r="M2109" t="s">
        <v>2377</v>
      </c>
      <c r="N2109">
        <v>1</v>
      </c>
      <c r="O2109">
        <v>2020</v>
      </c>
      <c r="P2109">
        <v>843.56142251742892</v>
      </c>
      <c r="Q2109">
        <v>85.393302426154932</v>
      </c>
      <c r="R2109" t="s">
        <v>391</v>
      </c>
      <c r="S2109">
        <v>9.878543147419677</v>
      </c>
      <c r="T2109">
        <v>3.48</v>
      </c>
      <c r="U2109" t="s">
        <v>502</v>
      </c>
      <c r="V2109">
        <v>1.0545454545454549</v>
      </c>
      <c r="W2109">
        <v>8</v>
      </c>
      <c r="X2109">
        <v>18</v>
      </c>
      <c r="Y2109">
        <v>14</v>
      </c>
      <c r="Z2109">
        <v>0.02</v>
      </c>
      <c r="AA2109">
        <v>1</v>
      </c>
    </row>
    <row r="2110" spans="1:27" x14ac:dyDescent="0.25">
      <c r="A2110" t="s">
        <v>98</v>
      </c>
      <c r="B2110" t="s">
        <v>519</v>
      </c>
      <c r="C2110" t="s">
        <v>689</v>
      </c>
      <c r="D2110" t="s">
        <v>1707</v>
      </c>
      <c r="E2110" t="s">
        <v>498</v>
      </c>
      <c r="G2110" t="s">
        <v>119</v>
      </c>
      <c r="H2110" t="s">
        <v>104</v>
      </c>
      <c r="I2110">
        <v>2016</v>
      </c>
      <c r="J2110" t="s">
        <v>507</v>
      </c>
      <c r="K2110" t="s">
        <v>106</v>
      </c>
      <c r="L2110" t="s">
        <v>2374</v>
      </c>
      <c r="M2110" t="s">
        <v>2378</v>
      </c>
      <c r="N2110">
        <v>1</v>
      </c>
      <c r="O2110">
        <v>2020</v>
      </c>
      <c r="P2110">
        <v>938.90648751460947</v>
      </c>
      <c r="Q2110">
        <v>85.393302426154932</v>
      </c>
      <c r="R2110" t="s">
        <v>391</v>
      </c>
      <c r="S2110">
        <v>10.99508346484834</v>
      </c>
      <c r="T2110">
        <v>3.49</v>
      </c>
      <c r="U2110" t="s">
        <v>502</v>
      </c>
      <c r="V2110">
        <v>1.0575757575757581</v>
      </c>
      <c r="W2110">
        <v>8</v>
      </c>
      <c r="X2110">
        <v>18</v>
      </c>
      <c r="Y2110">
        <v>14</v>
      </c>
      <c r="Z2110">
        <v>0.02</v>
      </c>
      <c r="AA2110">
        <v>1</v>
      </c>
    </row>
    <row r="2111" spans="1:27" x14ac:dyDescent="0.25">
      <c r="A2111" t="s">
        <v>98</v>
      </c>
      <c r="B2111" t="s">
        <v>519</v>
      </c>
      <c r="C2111" t="s">
        <v>689</v>
      </c>
      <c r="D2111" t="s">
        <v>1707</v>
      </c>
      <c r="E2111" t="s">
        <v>498</v>
      </c>
      <c r="G2111" t="s">
        <v>119</v>
      </c>
      <c r="H2111" t="s">
        <v>104</v>
      </c>
      <c r="I2111">
        <v>2030</v>
      </c>
      <c r="J2111" t="s">
        <v>509</v>
      </c>
      <c r="K2111" t="s">
        <v>106</v>
      </c>
      <c r="L2111" t="s">
        <v>2374</v>
      </c>
      <c r="M2111" t="s">
        <v>2379</v>
      </c>
      <c r="N2111">
        <v>1</v>
      </c>
      <c r="O2111">
        <v>2030</v>
      </c>
      <c r="P2111">
        <v>987.6808505023813</v>
      </c>
      <c r="Q2111">
        <v>85.393302426154932</v>
      </c>
      <c r="R2111" t="s">
        <v>391</v>
      </c>
      <c r="S2111">
        <v>11.566256631853451</v>
      </c>
      <c r="T2111">
        <v>3.61</v>
      </c>
      <c r="U2111" t="s">
        <v>502</v>
      </c>
      <c r="V2111">
        <v>1.093939393939394</v>
      </c>
      <c r="W2111">
        <v>8</v>
      </c>
      <c r="X2111">
        <v>18</v>
      </c>
      <c r="Y2111">
        <v>14</v>
      </c>
      <c r="Z2111">
        <v>0.02</v>
      </c>
      <c r="AA2111">
        <v>1</v>
      </c>
    </row>
    <row r="2112" spans="1:27" x14ac:dyDescent="0.25">
      <c r="A2112" t="s">
        <v>98</v>
      </c>
      <c r="B2112" t="s">
        <v>519</v>
      </c>
      <c r="C2112" t="s">
        <v>689</v>
      </c>
      <c r="D2112" t="s">
        <v>1707</v>
      </c>
      <c r="E2112" t="s">
        <v>498</v>
      </c>
      <c r="G2112" t="s">
        <v>103</v>
      </c>
      <c r="H2112" t="s">
        <v>125</v>
      </c>
      <c r="I2112">
        <v>2016</v>
      </c>
      <c r="J2112" t="s">
        <v>511</v>
      </c>
      <c r="K2112" t="s">
        <v>127</v>
      </c>
      <c r="L2112" t="s">
        <v>2374</v>
      </c>
      <c r="M2112" t="s">
        <v>2380</v>
      </c>
      <c r="N2112">
        <v>1</v>
      </c>
      <c r="O2112">
        <v>2020</v>
      </c>
      <c r="P2112">
        <v>646.26030958797787</v>
      </c>
      <c r="Q2112">
        <v>85.393302426154932</v>
      </c>
      <c r="R2112" t="s">
        <v>391</v>
      </c>
      <c r="S2112">
        <v>7.5680444628176859</v>
      </c>
      <c r="T2112">
        <v>3.73</v>
      </c>
      <c r="U2112" t="s">
        <v>502</v>
      </c>
      <c r="V2112">
        <v>1.1303030303030299</v>
      </c>
      <c r="W2112">
        <v>8</v>
      </c>
      <c r="X2112">
        <v>18</v>
      </c>
      <c r="Y2112">
        <v>14</v>
      </c>
      <c r="Z2112">
        <v>0.02</v>
      </c>
      <c r="AA2112">
        <v>1</v>
      </c>
    </row>
    <row r="2113" spans="1:27" x14ac:dyDescent="0.25">
      <c r="A2113" t="s">
        <v>98</v>
      </c>
      <c r="B2113" t="s">
        <v>519</v>
      </c>
      <c r="C2113" t="s">
        <v>689</v>
      </c>
      <c r="D2113" t="s">
        <v>1707</v>
      </c>
      <c r="E2113" t="s">
        <v>498</v>
      </c>
      <c r="G2113" t="s">
        <v>111</v>
      </c>
      <c r="H2113" t="s">
        <v>125</v>
      </c>
      <c r="I2113">
        <v>2016</v>
      </c>
      <c r="J2113" t="s">
        <v>513</v>
      </c>
      <c r="K2113" t="s">
        <v>127</v>
      </c>
      <c r="L2113" t="s">
        <v>2374</v>
      </c>
      <c r="M2113" t="s">
        <v>2381</v>
      </c>
      <c r="N2113">
        <v>1</v>
      </c>
      <c r="O2113">
        <v>2020</v>
      </c>
      <c r="P2113">
        <v>658.45390033492083</v>
      </c>
      <c r="Q2113">
        <v>85.393302426154932</v>
      </c>
      <c r="R2113" t="s">
        <v>391</v>
      </c>
      <c r="S2113">
        <v>7.7108377545689626</v>
      </c>
      <c r="T2113">
        <v>3.74</v>
      </c>
      <c r="U2113" t="s">
        <v>502</v>
      </c>
      <c r="V2113">
        <v>1.133333333333334</v>
      </c>
      <c r="W2113">
        <v>8</v>
      </c>
      <c r="X2113">
        <v>18</v>
      </c>
      <c r="Y2113">
        <v>14</v>
      </c>
      <c r="Z2113">
        <v>0.02</v>
      </c>
      <c r="AA2113">
        <v>1</v>
      </c>
    </row>
    <row r="2114" spans="1:27" x14ac:dyDescent="0.25">
      <c r="A2114" t="s">
        <v>98</v>
      </c>
      <c r="B2114" t="s">
        <v>519</v>
      </c>
      <c r="C2114" t="s">
        <v>689</v>
      </c>
      <c r="D2114" t="s">
        <v>1707</v>
      </c>
      <c r="E2114" t="s">
        <v>498</v>
      </c>
      <c r="G2114" t="s">
        <v>114</v>
      </c>
      <c r="H2114" t="s">
        <v>125</v>
      </c>
      <c r="I2114">
        <v>2016</v>
      </c>
      <c r="J2114" t="s">
        <v>515</v>
      </c>
      <c r="K2114" t="s">
        <v>127</v>
      </c>
      <c r="L2114" t="s">
        <v>2374</v>
      </c>
      <c r="M2114" t="s">
        <v>2382</v>
      </c>
      <c r="N2114">
        <v>1</v>
      </c>
      <c r="O2114">
        <v>2020</v>
      </c>
      <c r="P2114">
        <v>691.90476692947561</v>
      </c>
      <c r="Q2114">
        <v>85.393302426154932</v>
      </c>
      <c r="R2114" t="s">
        <v>391</v>
      </c>
      <c r="S2114">
        <v>8.1025648062716638</v>
      </c>
      <c r="T2114">
        <v>3.93</v>
      </c>
      <c r="U2114" t="s">
        <v>502</v>
      </c>
      <c r="V2114">
        <v>1.1909090909090909</v>
      </c>
      <c r="W2114">
        <v>8</v>
      </c>
      <c r="X2114">
        <v>18</v>
      </c>
      <c r="Y2114">
        <v>14</v>
      </c>
      <c r="Z2114">
        <v>0.02</v>
      </c>
      <c r="AA2114">
        <v>1</v>
      </c>
    </row>
    <row r="2115" spans="1:27" x14ac:dyDescent="0.25">
      <c r="A2115" t="s">
        <v>98</v>
      </c>
      <c r="B2115" t="s">
        <v>519</v>
      </c>
      <c r="C2115" t="s">
        <v>689</v>
      </c>
      <c r="D2115" t="s">
        <v>1707</v>
      </c>
      <c r="E2115" t="s">
        <v>498</v>
      </c>
      <c r="G2115" t="s">
        <v>119</v>
      </c>
      <c r="H2115" t="s">
        <v>125</v>
      </c>
      <c r="I2115">
        <v>2016</v>
      </c>
      <c r="J2115" t="s">
        <v>517</v>
      </c>
      <c r="K2115" t="s">
        <v>127</v>
      </c>
      <c r="L2115" t="s">
        <v>2374</v>
      </c>
      <c r="M2115" t="s">
        <v>2383</v>
      </c>
      <c r="N2115">
        <v>1</v>
      </c>
      <c r="O2115">
        <v>2020</v>
      </c>
      <c r="P2115">
        <v>938.90648751460947</v>
      </c>
      <c r="Q2115">
        <v>85.393302426154932</v>
      </c>
      <c r="R2115" t="s">
        <v>391</v>
      </c>
      <c r="S2115">
        <v>10.99508346484834</v>
      </c>
      <c r="T2115">
        <v>4.5</v>
      </c>
      <c r="U2115" t="s">
        <v>502</v>
      </c>
      <c r="V2115">
        <v>1.363636363636364</v>
      </c>
      <c r="W2115">
        <v>8</v>
      </c>
      <c r="X2115">
        <v>18</v>
      </c>
      <c r="Y2115">
        <v>14</v>
      </c>
      <c r="Z2115">
        <v>0.02</v>
      </c>
      <c r="AA2115">
        <v>1</v>
      </c>
    </row>
    <row r="2116" spans="1:27" x14ac:dyDescent="0.25">
      <c r="A2116" t="s">
        <v>98</v>
      </c>
      <c r="B2116" t="s">
        <v>99</v>
      </c>
      <c r="C2116" t="s">
        <v>1028</v>
      </c>
      <c r="D2116" t="s">
        <v>1707</v>
      </c>
      <c r="E2116" t="s">
        <v>102</v>
      </c>
      <c r="G2116" t="s">
        <v>103</v>
      </c>
      <c r="H2116" t="s">
        <v>104</v>
      </c>
      <c r="I2116">
        <v>2016</v>
      </c>
      <c r="J2116" t="s">
        <v>105</v>
      </c>
      <c r="K2116" t="s">
        <v>106</v>
      </c>
      <c r="L2116" t="s">
        <v>2384</v>
      </c>
      <c r="M2116" t="s">
        <v>2385</v>
      </c>
      <c r="N2116">
        <v>1</v>
      </c>
      <c r="O2116">
        <v>2020</v>
      </c>
      <c r="P2116">
        <v>2225.3303113170941</v>
      </c>
      <c r="Q2116">
        <v>1.414295330294598</v>
      </c>
      <c r="R2116" t="s">
        <v>109</v>
      </c>
      <c r="S2116">
        <v>1573.4551784552359</v>
      </c>
      <c r="T2116">
        <v>0.61014999999999997</v>
      </c>
      <c r="U2116" t="s">
        <v>110</v>
      </c>
      <c r="V2116">
        <v>0.61014999999999997</v>
      </c>
      <c r="W2116">
        <v>6</v>
      </c>
      <c r="X2116">
        <v>20</v>
      </c>
      <c r="Y2116">
        <v>14</v>
      </c>
      <c r="Z2116">
        <v>0.24</v>
      </c>
      <c r="AA2116">
        <v>31.536000000000001</v>
      </c>
    </row>
    <row r="2117" spans="1:27" x14ac:dyDescent="0.25">
      <c r="A2117" t="s">
        <v>98</v>
      </c>
      <c r="B2117" t="s">
        <v>99</v>
      </c>
      <c r="C2117" t="s">
        <v>1028</v>
      </c>
      <c r="D2117" t="s">
        <v>1707</v>
      </c>
      <c r="E2117" t="s">
        <v>102</v>
      </c>
      <c r="G2117" t="s">
        <v>111</v>
      </c>
      <c r="H2117" t="s">
        <v>104</v>
      </c>
      <c r="I2117">
        <v>2016</v>
      </c>
      <c r="J2117" t="s">
        <v>112</v>
      </c>
      <c r="K2117" t="s">
        <v>106</v>
      </c>
      <c r="L2117" t="s">
        <v>2384</v>
      </c>
      <c r="M2117" t="s">
        <v>2386</v>
      </c>
      <c r="N2117">
        <v>1</v>
      </c>
      <c r="O2117">
        <v>2020</v>
      </c>
      <c r="P2117">
        <v>2347.266218786523</v>
      </c>
      <c r="Q2117">
        <v>1.414295330294598</v>
      </c>
      <c r="R2117" t="s">
        <v>109</v>
      </c>
      <c r="S2117">
        <v>1659.671900562372</v>
      </c>
      <c r="T2117">
        <v>0.63</v>
      </c>
      <c r="U2117" t="s">
        <v>110</v>
      </c>
      <c r="V2117">
        <v>0.63</v>
      </c>
      <c r="W2117">
        <v>6</v>
      </c>
      <c r="X2117">
        <v>20</v>
      </c>
      <c r="Y2117">
        <v>14</v>
      </c>
      <c r="Z2117">
        <v>0.24</v>
      </c>
      <c r="AA2117">
        <v>31.536000000000001</v>
      </c>
    </row>
    <row r="2118" spans="1:27" x14ac:dyDescent="0.25">
      <c r="A2118" t="s">
        <v>98</v>
      </c>
      <c r="B2118" t="s">
        <v>99</v>
      </c>
      <c r="C2118" t="s">
        <v>1028</v>
      </c>
      <c r="D2118" t="s">
        <v>1707</v>
      </c>
      <c r="E2118" t="s">
        <v>102</v>
      </c>
      <c r="G2118" t="s">
        <v>114</v>
      </c>
      <c r="H2118" t="s">
        <v>104</v>
      </c>
      <c r="I2118">
        <v>2016</v>
      </c>
      <c r="J2118" t="s">
        <v>115</v>
      </c>
      <c r="K2118" t="s">
        <v>106</v>
      </c>
      <c r="L2118" t="s">
        <v>2384</v>
      </c>
      <c r="M2118" t="s">
        <v>2387</v>
      </c>
      <c r="N2118">
        <v>1</v>
      </c>
      <c r="O2118">
        <v>2020</v>
      </c>
      <c r="P2118">
        <v>2469.2021262559529</v>
      </c>
      <c r="Q2118">
        <v>1.414295330294598</v>
      </c>
      <c r="R2118" t="s">
        <v>109</v>
      </c>
      <c r="S2118">
        <v>1745.8886226695081</v>
      </c>
      <c r="T2118">
        <v>0.66</v>
      </c>
      <c r="U2118" t="s">
        <v>110</v>
      </c>
      <c r="V2118">
        <v>0.66</v>
      </c>
      <c r="W2118">
        <v>6</v>
      </c>
      <c r="X2118">
        <v>20</v>
      </c>
      <c r="Y2118">
        <v>14</v>
      </c>
      <c r="Z2118">
        <v>0.24</v>
      </c>
      <c r="AA2118">
        <v>31.536000000000001</v>
      </c>
    </row>
    <row r="2119" spans="1:27" x14ac:dyDescent="0.25">
      <c r="A2119" t="s">
        <v>98</v>
      </c>
      <c r="B2119" t="s">
        <v>99</v>
      </c>
      <c r="C2119" t="s">
        <v>1028</v>
      </c>
      <c r="D2119" t="s">
        <v>1707</v>
      </c>
      <c r="E2119" t="s">
        <v>102</v>
      </c>
      <c r="G2119" t="s">
        <v>114</v>
      </c>
      <c r="H2119" t="s">
        <v>104</v>
      </c>
      <c r="I2119">
        <v>2023</v>
      </c>
      <c r="J2119" t="s">
        <v>117</v>
      </c>
      <c r="K2119" t="s">
        <v>106</v>
      </c>
      <c r="L2119" t="s">
        <v>2384</v>
      </c>
      <c r="M2119" t="s">
        <v>2388</v>
      </c>
      <c r="N2119">
        <v>1</v>
      </c>
      <c r="O2119">
        <v>2023</v>
      </c>
      <c r="P2119">
        <v>3865.2553631628971</v>
      </c>
      <c r="Q2119">
        <v>1.414295330294598</v>
      </c>
      <c r="R2119" t="s">
        <v>109</v>
      </c>
      <c r="S2119">
        <v>2732.9902604979711</v>
      </c>
      <c r="T2119">
        <v>0.83499999999999996</v>
      </c>
      <c r="U2119" t="s">
        <v>110</v>
      </c>
      <c r="V2119">
        <v>0.83499999999999996</v>
      </c>
      <c r="W2119">
        <v>6</v>
      </c>
      <c r="X2119">
        <v>20</v>
      </c>
      <c r="Y2119">
        <v>14</v>
      </c>
      <c r="Z2119">
        <v>0.24</v>
      </c>
      <c r="AA2119">
        <v>31.536000000000001</v>
      </c>
    </row>
    <row r="2120" spans="1:27" x14ac:dyDescent="0.25">
      <c r="A2120" t="s">
        <v>98</v>
      </c>
      <c r="B2120" t="s">
        <v>99</v>
      </c>
      <c r="C2120" t="s">
        <v>1028</v>
      </c>
      <c r="D2120" t="s">
        <v>1707</v>
      </c>
      <c r="E2120" t="s">
        <v>102</v>
      </c>
      <c r="G2120" t="s">
        <v>119</v>
      </c>
      <c r="H2120" t="s">
        <v>104</v>
      </c>
      <c r="I2120">
        <v>2016</v>
      </c>
      <c r="J2120" t="s">
        <v>120</v>
      </c>
      <c r="K2120" t="s">
        <v>106</v>
      </c>
      <c r="L2120" t="s">
        <v>2384</v>
      </c>
      <c r="M2120" t="s">
        <v>2389</v>
      </c>
      <c r="N2120">
        <v>0</v>
      </c>
      <c r="O2120">
        <v>2020</v>
      </c>
      <c r="P2120">
        <v>3749.5291546849662</v>
      </c>
      <c r="Q2120">
        <v>1.414295330294598</v>
      </c>
      <c r="R2120" t="s">
        <v>109</v>
      </c>
      <c r="S2120">
        <v>2651.1642047944379</v>
      </c>
      <c r="T2120">
        <v>0.81</v>
      </c>
      <c r="U2120" t="s">
        <v>110</v>
      </c>
      <c r="V2120">
        <v>0.81</v>
      </c>
      <c r="W2120">
        <v>6</v>
      </c>
      <c r="X2120">
        <v>20</v>
      </c>
      <c r="Y2120">
        <v>14</v>
      </c>
      <c r="Z2120">
        <v>0.24</v>
      </c>
      <c r="AA2120">
        <v>31.536000000000001</v>
      </c>
    </row>
    <row r="2121" spans="1:27" x14ac:dyDescent="0.25">
      <c r="A2121" t="s">
        <v>98</v>
      </c>
      <c r="B2121" t="s">
        <v>99</v>
      </c>
      <c r="C2121" t="s">
        <v>1028</v>
      </c>
      <c r="D2121" t="s">
        <v>1707</v>
      </c>
      <c r="E2121" t="s">
        <v>102</v>
      </c>
      <c r="G2121" t="s">
        <v>119</v>
      </c>
      <c r="H2121" t="s">
        <v>104</v>
      </c>
      <c r="I2121">
        <v>2018</v>
      </c>
      <c r="J2121" t="s">
        <v>122</v>
      </c>
      <c r="K2121" t="s">
        <v>106</v>
      </c>
      <c r="L2121" t="s">
        <v>2384</v>
      </c>
      <c r="M2121" t="s">
        <v>2389</v>
      </c>
      <c r="N2121">
        <v>1</v>
      </c>
      <c r="O2121">
        <v>2020</v>
      </c>
      <c r="P2121">
        <v>3749.5291546849662</v>
      </c>
      <c r="Q2121">
        <v>1.414295330294598</v>
      </c>
      <c r="R2121" t="s">
        <v>109</v>
      </c>
      <c r="S2121">
        <v>2651.1642047944379</v>
      </c>
      <c r="T2121">
        <v>0.81</v>
      </c>
      <c r="U2121" t="s">
        <v>110</v>
      </c>
      <c r="V2121">
        <v>0.81</v>
      </c>
      <c r="W2121">
        <v>6</v>
      </c>
      <c r="X2121">
        <v>20</v>
      </c>
      <c r="Y2121">
        <v>14</v>
      </c>
      <c r="Z2121">
        <v>0.24</v>
      </c>
      <c r="AA2121">
        <v>31.536000000000001</v>
      </c>
    </row>
    <row r="2122" spans="1:27" x14ac:dyDescent="0.25">
      <c r="A2122" t="s">
        <v>98</v>
      </c>
      <c r="B2122" t="s">
        <v>99</v>
      </c>
      <c r="C2122" t="s">
        <v>1028</v>
      </c>
      <c r="D2122" t="s">
        <v>1707</v>
      </c>
      <c r="E2122" t="s">
        <v>102</v>
      </c>
      <c r="G2122" t="s">
        <v>119</v>
      </c>
      <c r="H2122" t="s">
        <v>104</v>
      </c>
      <c r="I2122">
        <v>2022</v>
      </c>
      <c r="J2122" t="s">
        <v>123</v>
      </c>
      <c r="K2122" t="s">
        <v>106</v>
      </c>
      <c r="L2122" t="s">
        <v>2384</v>
      </c>
      <c r="M2122" t="s">
        <v>2390</v>
      </c>
      <c r="N2122">
        <v>1</v>
      </c>
      <c r="O2122">
        <v>2022</v>
      </c>
      <c r="P2122">
        <v>3749.5291546849662</v>
      </c>
      <c r="Q2122">
        <v>1.414295330294598</v>
      </c>
      <c r="R2122" t="s">
        <v>109</v>
      </c>
      <c r="S2122">
        <v>2651.1642047944379</v>
      </c>
      <c r="T2122">
        <v>0.81</v>
      </c>
      <c r="U2122" t="s">
        <v>110</v>
      </c>
      <c r="V2122">
        <v>0.81</v>
      </c>
      <c r="W2122">
        <v>6</v>
      </c>
      <c r="X2122">
        <v>20</v>
      </c>
      <c r="Y2122">
        <v>14</v>
      </c>
      <c r="Z2122">
        <v>0.24</v>
      </c>
      <c r="AA2122">
        <v>31.536000000000001</v>
      </c>
    </row>
    <row r="2123" spans="1:27" x14ac:dyDescent="0.25">
      <c r="A2123" t="s">
        <v>98</v>
      </c>
      <c r="B2123" t="s">
        <v>99</v>
      </c>
      <c r="C2123" t="s">
        <v>1028</v>
      </c>
      <c r="D2123" t="s">
        <v>1707</v>
      </c>
      <c r="E2123" t="s">
        <v>102</v>
      </c>
      <c r="G2123" t="s">
        <v>103</v>
      </c>
      <c r="H2123" t="s">
        <v>125</v>
      </c>
      <c r="I2123">
        <v>2016</v>
      </c>
      <c r="J2123" t="s">
        <v>126</v>
      </c>
      <c r="K2123" t="s">
        <v>127</v>
      </c>
      <c r="L2123" t="s">
        <v>2384</v>
      </c>
      <c r="M2123" t="s">
        <v>2391</v>
      </c>
      <c r="N2123">
        <v>1</v>
      </c>
      <c r="O2123">
        <v>2020</v>
      </c>
      <c r="P2123">
        <v>945.00328288808089</v>
      </c>
      <c r="Q2123">
        <v>1.414295330294598</v>
      </c>
      <c r="R2123" t="s">
        <v>109</v>
      </c>
      <c r="S2123">
        <v>668.17959633030557</v>
      </c>
      <c r="T2123">
        <v>0.91554999999999997</v>
      </c>
      <c r="U2123" t="s">
        <v>110</v>
      </c>
      <c r="V2123">
        <v>0.91554999999999997</v>
      </c>
      <c r="W2123">
        <v>6</v>
      </c>
      <c r="X2123">
        <v>20</v>
      </c>
      <c r="Y2123">
        <v>14</v>
      </c>
      <c r="Z2123">
        <v>0.24</v>
      </c>
      <c r="AA2123">
        <v>31.536000000000001</v>
      </c>
    </row>
    <row r="2124" spans="1:27" x14ac:dyDescent="0.25">
      <c r="A2124" t="s">
        <v>98</v>
      </c>
      <c r="B2124" t="s">
        <v>99</v>
      </c>
      <c r="C2124" t="s">
        <v>1028</v>
      </c>
      <c r="D2124" t="s">
        <v>1707</v>
      </c>
      <c r="E2124" t="s">
        <v>102</v>
      </c>
      <c r="G2124" t="s">
        <v>111</v>
      </c>
      <c r="H2124" t="s">
        <v>125</v>
      </c>
      <c r="I2124">
        <v>2016</v>
      </c>
      <c r="J2124" t="s">
        <v>129</v>
      </c>
      <c r="K2124" t="s">
        <v>127</v>
      </c>
      <c r="L2124" t="s">
        <v>2384</v>
      </c>
      <c r="M2124" t="s">
        <v>2392</v>
      </c>
      <c r="N2124">
        <v>1</v>
      </c>
      <c r="O2124">
        <v>2020</v>
      </c>
      <c r="P2124">
        <v>1036.455213490153</v>
      </c>
      <c r="Q2124">
        <v>1.414295330294598</v>
      </c>
      <c r="R2124" t="s">
        <v>109</v>
      </c>
      <c r="S2124">
        <v>732.84213791065781</v>
      </c>
      <c r="T2124">
        <v>0.93</v>
      </c>
      <c r="U2124" t="s">
        <v>110</v>
      </c>
      <c r="V2124">
        <v>0.93</v>
      </c>
      <c r="W2124">
        <v>6</v>
      </c>
      <c r="X2124">
        <v>20</v>
      </c>
      <c r="Y2124">
        <v>14</v>
      </c>
      <c r="Z2124">
        <v>0.24</v>
      </c>
      <c r="AA2124">
        <v>31.536000000000001</v>
      </c>
    </row>
    <row r="2125" spans="1:27" x14ac:dyDescent="0.25">
      <c r="A2125" t="s">
        <v>98</v>
      </c>
      <c r="B2125" t="s">
        <v>99</v>
      </c>
      <c r="C2125" t="s">
        <v>1028</v>
      </c>
      <c r="D2125" t="s">
        <v>1707</v>
      </c>
      <c r="E2125" t="s">
        <v>102</v>
      </c>
      <c r="G2125" t="s">
        <v>119</v>
      </c>
      <c r="H2125" t="s">
        <v>125</v>
      </c>
      <c r="I2125">
        <v>2016</v>
      </c>
      <c r="J2125" t="s">
        <v>131</v>
      </c>
      <c r="K2125" t="s">
        <v>127</v>
      </c>
      <c r="L2125" t="s">
        <v>2384</v>
      </c>
      <c r="M2125" t="s">
        <v>2393</v>
      </c>
      <c r="N2125">
        <v>1</v>
      </c>
      <c r="O2125">
        <v>2020</v>
      </c>
      <c r="P2125">
        <v>1493.714866500515</v>
      </c>
      <c r="Q2125">
        <v>1.414295330294598</v>
      </c>
      <c r="R2125" t="s">
        <v>109</v>
      </c>
      <c r="S2125">
        <v>1056.1548458124189</v>
      </c>
      <c r="T2125">
        <v>0.95</v>
      </c>
      <c r="U2125" t="s">
        <v>110</v>
      </c>
      <c r="V2125">
        <v>0.95</v>
      </c>
      <c r="W2125">
        <v>6</v>
      </c>
      <c r="X2125">
        <v>20</v>
      </c>
      <c r="Y2125">
        <v>14</v>
      </c>
      <c r="Z2125">
        <v>0.24</v>
      </c>
      <c r="AA2125">
        <v>31.536000000000001</v>
      </c>
    </row>
    <row r="2126" spans="1:27" x14ac:dyDescent="0.25">
      <c r="A2126" t="s">
        <v>98</v>
      </c>
      <c r="B2126" t="s">
        <v>99</v>
      </c>
      <c r="C2126" t="s">
        <v>1028</v>
      </c>
      <c r="D2126" t="s">
        <v>1707</v>
      </c>
      <c r="E2126" t="s">
        <v>102</v>
      </c>
      <c r="G2126" t="s">
        <v>133</v>
      </c>
      <c r="H2126" t="s">
        <v>125</v>
      </c>
      <c r="I2126">
        <v>2016</v>
      </c>
      <c r="J2126" t="s">
        <v>134</v>
      </c>
      <c r="K2126" t="s">
        <v>127</v>
      </c>
      <c r="L2126" t="s">
        <v>2384</v>
      </c>
      <c r="M2126" t="s">
        <v>2394</v>
      </c>
      <c r="N2126">
        <v>1</v>
      </c>
      <c r="O2126">
        <v>2020</v>
      </c>
      <c r="P2126">
        <v>2530.170079990668</v>
      </c>
      <c r="Q2126">
        <v>1.414295330294598</v>
      </c>
      <c r="R2126" t="s">
        <v>109</v>
      </c>
      <c r="S2126">
        <v>1788.996983723076</v>
      </c>
      <c r="T2126">
        <v>3.28</v>
      </c>
      <c r="U2126" t="s">
        <v>110</v>
      </c>
      <c r="V2126">
        <v>3.28</v>
      </c>
      <c r="W2126">
        <v>6</v>
      </c>
      <c r="X2126">
        <v>20</v>
      </c>
      <c r="Y2126">
        <v>14</v>
      </c>
      <c r="Z2126">
        <v>0.24</v>
      </c>
      <c r="AA2126">
        <v>31.536000000000001</v>
      </c>
    </row>
    <row r="2127" spans="1:27" x14ac:dyDescent="0.25">
      <c r="A2127" t="s">
        <v>98</v>
      </c>
      <c r="B2127" t="s">
        <v>99</v>
      </c>
      <c r="C2127" t="s">
        <v>1028</v>
      </c>
      <c r="D2127" t="s">
        <v>1707</v>
      </c>
      <c r="E2127" t="s">
        <v>102</v>
      </c>
      <c r="G2127" t="s">
        <v>133</v>
      </c>
      <c r="H2127" t="s">
        <v>125</v>
      </c>
      <c r="I2127">
        <v>2022</v>
      </c>
      <c r="J2127" t="s">
        <v>136</v>
      </c>
      <c r="K2127" t="s">
        <v>127</v>
      </c>
      <c r="L2127" t="s">
        <v>2384</v>
      </c>
      <c r="M2127" t="s">
        <v>2395</v>
      </c>
      <c r="N2127">
        <v>1</v>
      </c>
      <c r="O2127">
        <v>2022</v>
      </c>
      <c r="P2127">
        <v>2530.170079990668</v>
      </c>
      <c r="Q2127">
        <v>1.414295330294598</v>
      </c>
      <c r="R2127" t="s">
        <v>109</v>
      </c>
      <c r="S2127">
        <v>1788.996983723076</v>
      </c>
      <c r="T2127">
        <v>3.28</v>
      </c>
      <c r="U2127" t="s">
        <v>110</v>
      </c>
      <c r="V2127">
        <v>3.28</v>
      </c>
      <c r="W2127">
        <v>6</v>
      </c>
      <c r="X2127">
        <v>20</v>
      </c>
      <c r="Y2127">
        <v>14</v>
      </c>
      <c r="Z2127">
        <v>0.24</v>
      </c>
      <c r="AA2127">
        <v>31.536000000000001</v>
      </c>
    </row>
    <row r="2128" spans="1:27" x14ac:dyDescent="0.25">
      <c r="A2128" t="s">
        <v>98</v>
      </c>
      <c r="B2128" t="s">
        <v>99</v>
      </c>
      <c r="C2128" t="s">
        <v>1028</v>
      </c>
      <c r="D2128" t="s">
        <v>1707</v>
      </c>
      <c r="E2128" t="s">
        <v>102</v>
      </c>
      <c r="G2128" t="s">
        <v>138</v>
      </c>
      <c r="H2128" t="s">
        <v>125</v>
      </c>
      <c r="I2128">
        <v>2016</v>
      </c>
      <c r="J2128" t="s">
        <v>139</v>
      </c>
      <c r="K2128" t="s">
        <v>127</v>
      </c>
      <c r="L2128" t="s">
        <v>2384</v>
      </c>
      <c r="M2128" t="s">
        <v>2396</v>
      </c>
      <c r="N2128">
        <v>1</v>
      </c>
      <c r="O2128">
        <v>2020</v>
      </c>
      <c r="P2128">
        <v>2316.7822419191662</v>
      </c>
      <c r="Q2128">
        <v>1.414295330294598</v>
      </c>
      <c r="R2128" t="s">
        <v>109</v>
      </c>
      <c r="S2128">
        <v>1638.117720035588</v>
      </c>
      <c r="T2128">
        <v>2</v>
      </c>
      <c r="U2128" t="s">
        <v>110</v>
      </c>
      <c r="V2128">
        <v>2</v>
      </c>
      <c r="W2128">
        <v>6</v>
      </c>
      <c r="X2128">
        <v>20</v>
      </c>
      <c r="Y2128">
        <v>14</v>
      </c>
      <c r="Z2128">
        <v>0.24</v>
      </c>
      <c r="AA2128">
        <v>31.536000000000001</v>
      </c>
    </row>
    <row r="2129" spans="1:27" x14ac:dyDescent="0.25">
      <c r="A2129" t="s">
        <v>98</v>
      </c>
      <c r="B2129" t="s">
        <v>99</v>
      </c>
      <c r="C2129" t="s">
        <v>1028</v>
      </c>
      <c r="D2129" t="s">
        <v>1707</v>
      </c>
      <c r="E2129" t="s">
        <v>102</v>
      </c>
      <c r="G2129" t="s">
        <v>138</v>
      </c>
      <c r="H2129" t="s">
        <v>125</v>
      </c>
      <c r="I2129">
        <v>2022</v>
      </c>
      <c r="J2129" t="s">
        <v>141</v>
      </c>
      <c r="K2129" t="s">
        <v>127</v>
      </c>
      <c r="L2129" t="s">
        <v>2384</v>
      </c>
      <c r="M2129" t="s">
        <v>2397</v>
      </c>
      <c r="N2129">
        <v>1</v>
      </c>
      <c r="O2129">
        <v>2022</v>
      </c>
      <c r="P2129">
        <v>2805.3845753706141</v>
      </c>
      <c r="Q2129">
        <v>1.414295330294598</v>
      </c>
      <c r="R2129" t="s">
        <v>109</v>
      </c>
      <c r="S2129">
        <v>1983.591768478972</v>
      </c>
      <c r="T2129">
        <v>3.3</v>
      </c>
      <c r="U2129" t="s">
        <v>110</v>
      </c>
      <c r="V2129">
        <v>3.3</v>
      </c>
      <c r="W2129">
        <v>6</v>
      </c>
      <c r="X2129">
        <v>20</v>
      </c>
      <c r="Y2129">
        <v>14</v>
      </c>
      <c r="Z2129">
        <v>0.24</v>
      </c>
      <c r="AA2129">
        <v>31.536000000000001</v>
      </c>
    </row>
    <row r="2130" spans="1:27" x14ac:dyDescent="0.25">
      <c r="A2130" t="s">
        <v>98</v>
      </c>
      <c r="B2130" t="s">
        <v>99</v>
      </c>
      <c r="C2130" t="s">
        <v>1028</v>
      </c>
      <c r="D2130" t="s">
        <v>1707</v>
      </c>
      <c r="E2130" t="s">
        <v>102</v>
      </c>
      <c r="G2130" t="s">
        <v>143</v>
      </c>
      <c r="H2130" t="s">
        <v>125</v>
      </c>
      <c r="I2130">
        <v>2016</v>
      </c>
      <c r="J2130" t="s">
        <v>144</v>
      </c>
      <c r="K2130" t="s">
        <v>127</v>
      </c>
      <c r="L2130" t="s">
        <v>2384</v>
      </c>
      <c r="M2130" t="s">
        <v>2398</v>
      </c>
      <c r="N2130">
        <v>1</v>
      </c>
      <c r="O2130">
        <v>2020</v>
      </c>
      <c r="P2130">
        <v>3017.9137098683868</v>
      </c>
      <c r="Q2130">
        <v>1.414295330294598</v>
      </c>
      <c r="R2130" t="s">
        <v>109</v>
      </c>
      <c r="S2130">
        <v>2133.8638721516209</v>
      </c>
      <c r="T2130">
        <v>3.55</v>
      </c>
      <c r="U2130" t="s">
        <v>110</v>
      </c>
      <c r="V2130">
        <v>3.55</v>
      </c>
      <c r="W2130">
        <v>6</v>
      </c>
      <c r="X2130">
        <v>20</v>
      </c>
      <c r="Y2130">
        <v>14</v>
      </c>
      <c r="Z2130">
        <v>0.24</v>
      </c>
      <c r="AA2130">
        <v>31.536000000000001</v>
      </c>
    </row>
    <row r="2131" spans="1:27" x14ac:dyDescent="0.25">
      <c r="A2131" t="s">
        <v>98</v>
      </c>
      <c r="B2131" t="s">
        <v>99</v>
      </c>
      <c r="C2131" t="s">
        <v>1028</v>
      </c>
      <c r="D2131" t="s">
        <v>1707</v>
      </c>
      <c r="E2131" t="s">
        <v>102</v>
      </c>
      <c r="G2131" t="s">
        <v>143</v>
      </c>
      <c r="H2131" t="s">
        <v>125</v>
      </c>
      <c r="I2131">
        <v>2022</v>
      </c>
      <c r="J2131" t="s">
        <v>146</v>
      </c>
      <c r="K2131" t="s">
        <v>127</v>
      </c>
      <c r="L2131" t="s">
        <v>2384</v>
      </c>
      <c r="M2131" t="s">
        <v>2399</v>
      </c>
      <c r="N2131">
        <v>1</v>
      </c>
      <c r="O2131">
        <v>2022</v>
      </c>
      <c r="P2131">
        <v>3017.9137098683868</v>
      </c>
      <c r="Q2131">
        <v>1.414295330294598</v>
      </c>
      <c r="R2131" t="s">
        <v>109</v>
      </c>
      <c r="S2131">
        <v>2133.8638721516209</v>
      </c>
      <c r="T2131">
        <v>3.55</v>
      </c>
      <c r="U2131" t="s">
        <v>110</v>
      </c>
      <c r="V2131">
        <v>3.55</v>
      </c>
      <c r="W2131">
        <v>6</v>
      </c>
      <c r="X2131">
        <v>20</v>
      </c>
      <c r="Y2131">
        <v>14</v>
      </c>
      <c r="Z2131">
        <v>0.24</v>
      </c>
      <c r="AA2131">
        <v>31.536000000000001</v>
      </c>
    </row>
    <row r="2132" spans="1:27" x14ac:dyDescent="0.25">
      <c r="A2132" t="s">
        <v>98</v>
      </c>
      <c r="B2132" t="s">
        <v>99</v>
      </c>
      <c r="C2132" t="s">
        <v>1028</v>
      </c>
      <c r="D2132" t="s">
        <v>1707</v>
      </c>
      <c r="E2132" t="s">
        <v>102</v>
      </c>
      <c r="G2132" t="s">
        <v>103</v>
      </c>
      <c r="H2132" t="s">
        <v>148</v>
      </c>
      <c r="I2132">
        <v>2016</v>
      </c>
      <c r="J2132" t="s">
        <v>149</v>
      </c>
      <c r="K2132" t="s">
        <v>150</v>
      </c>
      <c r="L2132" t="s">
        <v>2384</v>
      </c>
      <c r="M2132" t="s">
        <v>2400</v>
      </c>
      <c r="N2132">
        <v>1</v>
      </c>
      <c r="O2132">
        <v>2020</v>
      </c>
      <c r="P2132">
        <v>2926.4617792663148</v>
      </c>
      <c r="Q2132">
        <v>1.414295330294598</v>
      </c>
      <c r="R2132" t="s">
        <v>109</v>
      </c>
      <c r="S2132">
        <v>2069.201330571269</v>
      </c>
      <c r="T2132">
        <v>0.63670000000000004</v>
      </c>
      <c r="U2132" t="s">
        <v>110</v>
      </c>
      <c r="V2132">
        <v>0.63670000000000004</v>
      </c>
      <c r="W2132">
        <v>6</v>
      </c>
      <c r="X2132">
        <v>20</v>
      </c>
      <c r="Y2132">
        <v>14</v>
      </c>
      <c r="Z2132">
        <v>0.24</v>
      </c>
      <c r="AA2132">
        <v>31.536000000000001</v>
      </c>
    </row>
    <row r="2133" spans="1:27" x14ac:dyDescent="0.25">
      <c r="A2133" t="s">
        <v>98</v>
      </c>
      <c r="B2133" t="s">
        <v>99</v>
      </c>
      <c r="C2133" t="s">
        <v>1028</v>
      </c>
      <c r="D2133" t="s">
        <v>1707</v>
      </c>
      <c r="E2133" t="s">
        <v>102</v>
      </c>
      <c r="G2133" t="s">
        <v>111</v>
      </c>
      <c r="H2133" t="s">
        <v>148</v>
      </c>
      <c r="I2133">
        <v>2016</v>
      </c>
      <c r="J2133" t="s">
        <v>152</v>
      </c>
      <c r="K2133" t="s">
        <v>150</v>
      </c>
      <c r="L2133" t="s">
        <v>2384</v>
      </c>
      <c r="M2133" t="s">
        <v>2401</v>
      </c>
      <c r="N2133">
        <v>1</v>
      </c>
      <c r="O2133">
        <v>2020</v>
      </c>
      <c r="P2133">
        <v>3109.3656404704602</v>
      </c>
      <c r="Q2133">
        <v>1.414295330294598</v>
      </c>
      <c r="R2133" t="s">
        <v>109</v>
      </c>
      <c r="S2133">
        <v>2198.5264137319732</v>
      </c>
      <c r="T2133">
        <v>0.67</v>
      </c>
      <c r="U2133" t="s">
        <v>110</v>
      </c>
      <c r="V2133">
        <v>0.67</v>
      </c>
      <c r="W2133">
        <v>6</v>
      </c>
      <c r="X2133">
        <v>20</v>
      </c>
      <c r="Y2133">
        <v>14</v>
      </c>
      <c r="Z2133">
        <v>0.24</v>
      </c>
      <c r="AA2133">
        <v>31.536000000000001</v>
      </c>
    </row>
    <row r="2134" spans="1:27" x14ac:dyDescent="0.25">
      <c r="A2134" t="s">
        <v>98</v>
      </c>
      <c r="B2134" t="s">
        <v>99</v>
      </c>
      <c r="C2134" t="s">
        <v>1028</v>
      </c>
      <c r="D2134" t="s">
        <v>1707</v>
      </c>
      <c r="E2134" t="s">
        <v>102</v>
      </c>
      <c r="G2134" t="s">
        <v>119</v>
      </c>
      <c r="H2134" t="s">
        <v>148</v>
      </c>
      <c r="I2134">
        <v>2016</v>
      </c>
      <c r="J2134" t="s">
        <v>154</v>
      </c>
      <c r="K2134" t="s">
        <v>150</v>
      </c>
      <c r="L2134" t="s">
        <v>2384</v>
      </c>
      <c r="M2134" t="s">
        <v>2402</v>
      </c>
      <c r="N2134">
        <v>1</v>
      </c>
      <c r="O2134">
        <v>2020</v>
      </c>
      <c r="P2134">
        <v>3078.881663603102</v>
      </c>
      <c r="Q2134">
        <v>1.414295330294598</v>
      </c>
      <c r="R2134" t="s">
        <v>109</v>
      </c>
      <c r="S2134">
        <v>2176.9722332051888</v>
      </c>
      <c r="T2134">
        <v>0.69</v>
      </c>
      <c r="U2134" t="s">
        <v>110</v>
      </c>
      <c r="V2134">
        <v>0.69</v>
      </c>
      <c r="W2134">
        <v>6</v>
      </c>
      <c r="X2134">
        <v>20</v>
      </c>
      <c r="Y2134">
        <v>14</v>
      </c>
      <c r="Z2134">
        <v>0.24</v>
      </c>
      <c r="AA2134">
        <v>31.536000000000001</v>
      </c>
    </row>
    <row r="2135" spans="1:27" x14ac:dyDescent="0.25">
      <c r="A2135" t="s">
        <v>98</v>
      </c>
      <c r="B2135" t="s">
        <v>99</v>
      </c>
      <c r="C2135" t="s">
        <v>1028</v>
      </c>
      <c r="D2135" t="s">
        <v>1707</v>
      </c>
      <c r="E2135" t="s">
        <v>102</v>
      </c>
      <c r="G2135" t="s">
        <v>103</v>
      </c>
      <c r="H2135" t="s">
        <v>156</v>
      </c>
      <c r="I2135">
        <v>2016</v>
      </c>
      <c r="J2135" t="s">
        <v>157</v>
      </c>
      <c r="K2135" t="s">
        <v>158</v>
      </c>
      <c r="L2135" t="s">
        <v>2384</v>
      </c>
      <c r="M2135" t="s">
        <v>2403</v>
      </c>
      <c r="N2135">
        <v>1</v>
      </c>
      <c r="O2135">
        <v>2020</v>
      </c>
      <c r="P2135">
        <v>2225.3303113170941</v>
      </c>
      <c r="Q2135">
        <v>1.414295330294598</v>
      </c>
      <c r="R2135" t="s">
        <v>109</v>
      </c>
      <c r="S2135">
        <v>1573.4551784552359</v>
      </c>
      <c r="T2135">
        <v>0.61014999999999997</v>
      </c>
      <c r="U2135" t="s">
        <v>110</v>
      </c>
      <c r="V2135">
        <v>0.61014999999999997</v>
      </c>
      <c r="W2135">
        <v>6</v>
      </c>
      <c r="X2135">
        <v>20</v>
      </c>
      <c r="Y2135">
        <v>14</v>
      </c>
      <c r="Z2135">
        <v>0.24</v>
      </c>
      <c r="AA2135">
        <v>31.536000000000001</v>
      </c>
    </row>
    <row r="2136" spans="1:27" x14ac:dyDescent="0.25">
      <c r="A2136" t="s">
        <v>98</v>
      </c>
      <c r="B2136" t="s">
        <v>99</v>
      </c>
      <c r="C2136" t="s">
        <v>1028</v>
      </c>
      <c r="D2136" t="s">
        <v>1707</v>
      </c>
      <c r="E2136" t="s">
        <v>102</v>
      </c>
      <c r="G2136" t="s">
        <v>111</v>
      </c>
      <c r="H2136" t="s">
        <v>156</v>
      </c>
      <c r="I2136">
        <v>2016</v>
      </c>
      <c r="J2136" t="s">
        <v>160</v>
      </c>
      <c r="K2136" t="s">
        <v>158</v>
      </c>
      <c r="L2136" t="s">
        <v>2384</v>
      </c>
      <c r="M2136" t="s">
        <v>2404</v>
      </c>
      <c r="N2136">
        <v>1</v>
      </c>
      <c r="O2136">
        <v>2020</v>
      </c>
      <c r="P2136">
        <v>2347.266218786523</v>
      </c>
      <c r="Q2136">
        <v>1.414295330294598</v>
      </c>
      <c r="R2136" t="s">
        <v>109</v>
      </c>
      <c r="S2136">
        <v>1659.671900562372</v>
      </c>
      <c r="T2136">
        <v>0.63</v>
      </c>
      <c r="U2136" t="s">
        <v>110</v>
      </c>
      <c r="V2136">
        <v>0.63</v>
      </c>
      <c r="W2136">
        <v>6</v>
      </c>
      <c r="X2136">
        <v>20</v>
      </c>
      <c r="Y2136">
        <v>14</v>
      </c>
      <c r="Z2136">
        <v>0.24</v>
      </c>
      <c r="AA2136">
        <v>31.536000000000001</v>
      </c>
    </row>
    <row r="2137" spans="1:27" x14ac:dyDescent="0.25">
      <c r="A2137" t="s">
        <v>98</v>
      </c>
      <c r="B2137" t="s">
        <v>99</v>
      </c>
      <c r="C2137" t="s">
        <v>1028</v>
      </c>
      <c r="D2137" t="s">
        <v>1707</v>
      </c>
      <c r="E2137" t="s">
        <v>102</v>
      </c>
      <c r="G2137" t="s">
        <v>114</v>
      </c>
      <c r="H2137" t="s">
        <v>156</v>
      </c>
      <c r="I2137">
        <v>2016</v>
      </c>
      <c r="J2137" t="s">
        <v>162</v>
      </c>
      <c r="K2137" t="s">
        <v>158</v>
      </c>
      <c r="L2137" t="s">
        <v>2384</v>
      </c>
      <c r="M2137" t="s">
        <v>2405</v>
      </c>
      <c r="N2137">
        <v>1</v>
      </c>
      <c r="O2137">
        <v>2020</v>
      </c>
      <c r="P2137">
        <v>2469.2021262559529</v>
      </c>
      <c r="Q2137">
        <v>1.414295330294598</v>
      </c>
      <c r="R2137" t="s">
        <v>109</v>
      </c>
      <c r="S2137">
        <v>1745.8886226695081</v>
      </c>
      <c r="T2137">
        <v>0.66</v>
      </c>
      <c r="U2137" t="s">
        <v>110</v>
      </c>
      <c r="V2137">
        <v>0.66</v>
      </c>
      <c r="W2137">
        <v>6</v>
      </c>
      <c r="X2137">
        <v>20</v>
      </c>
      <c r="Y2137">
        <v>14</v>
      </c>
      <c r="Z2137">
        <v>0.24</v>
      </c>
      <c r="AA2137">
        <v>31.536000000000001</v>
      </c>
    </row>
    <row r="2138" spans="1:27" x14ac:dyDescent="0.25">
      <c r="A2138" t="s">
        <v>98</v>
      </c>
      <c r="B2138" t="s">
        <v>99</v>
      </c>
      <c r="C2138" t="s">
        <v>1028</v>
      </c>
      <c r="D2138" t="s">
        <v>1707</v>
      </c>
      <c r="E2138" t="s">
        <v>102</v>
      </c>
      <c r="G2138" t="s">
        <v>114</v>
      </c>
      <c r="H2138" t="s">
        <v>156</v>
      </c>
      <c r="I2138">
        <v>2023</v>
      </c>
      <c r="J2138" t="s">
        <v>164</v>
      </c>
      <c r="K2138" t="s">
        <v>158</v>
      </c>
      <c r="L2138" t="s">
        <v>2384</v>
      </c>
      <c r="M2138" t="s">
        <v>2406</v>
      </c>
      <c r="N2138">
        <v>1</v>
      </c>
      <c r="O2138">
        <v>2023</v>
      </c>
      <c r="P2138">
        <v>3865.2553631628971</v>
      </c>
      <c r="Q2138">
        <v>1.414295330294598</v>
      </c>
      <c r="R2138" t="s">
        <v>109</v>
      </c>
      <c r="S2138">
        <v>2732.9902604979711</v>
      </c>
      <c r="T2138">
        <v>0.83499999999999996</v>
      </c>
      <c r="U2138" t="s">
        <v>110</v>
      </c>
      <c r="V2138">
        <v>0.83499999999999996</v>
      </c>
      <c r="W2138">
        <v>6</v>
      </c>
      <c r="X2138">
        <v>20</v>
      </c>
      <c r="Y2138">
        <v>14</v>
      </c>
      <c r="Z2138">
        <v>0.24</v>
      </c>
      <c r="AA2138">
        <v>31.536000000000001</v>
      </c>
    </row>
    <row r="2139" spans="1:27" x14ac:dyDescent="0.25">
      <c r="A2139" t="s">
        <v>98</v>
      </c>
      <c r="B2139" t="s">
        <v>99</v>
      </c>
      <c r="C2139" t="s">
        <v>1028</v>
      </c>
      <c r="D2139" t="s">
        <v>1707</v>
      </c>
      <c r="E2139" t="s">
        <v>102</v>
      </c>
      <c r="G2139" t="s">
        <v>119</v>
      </c>
      <c r="H2139" t="s">
        <v>156</v>
      </c>
      <c r="I2139">
        <v>2016</v>
      </c>
      <c r="J2139" t="s">
        <v>166</v>
      </c>
      <c r="K2139" t="s">
        <v>158</v>
      </c>
      <c r="L2139" t="s">
        <v>2384</v>
      </c>
      <c r="M2139" t="s">
        <v>2407</v>
      </c>
      <c r="N2139">
        <v>0</v>
      </c>
      <c r="O2139">
        <v>2020</v>
      </c>
      <c r="P2139">
        <v>3749.5291546849662</v>
      </c>
      <c r="Q2139">
        <v>1.414295330294598</v>
      </c>
      <c r="R2139" t="s">
        <v>109</v>
      </c>
      <c r="S2139">
        <v>2651.1642047944379</v>
      </c>
      <c r="T2139">
        <v>0.81</v>
      </c>
      <c r="U2139" t="s">
        <v>110</v>
      </c>
      <c r="V2139">
        <v>0.81</v>
      </c>
      <c r="W2139">
        <v>6</v>
      </c>
      <c r="X2139">
        <v>20</v>
      </c>
      <c r="Y2139">
        <v>14</v>
      </c>
      <c r="Z2139">
        <v>0.24</v>
      </c>
      <c r="AA2139">
        <v>31.536000000000001</v>
      </c>
    </row>
    <row r="2140" spans="1:27" x14ac:dyDescent="0.25">
      <c r="A2140" t="s">
        <v>98</v>
      </c>
      <c r="B2140" t="s">
        <v>99</v>
      </c>
      <c r="C2140" t="s">
        <v>1028</v>
      </c>
      <c r="D2140" t="s">
        <v>1707</v>
      </c>
      <c r="E2140" t="s">
        <v>102</v>
      </c>
      <c r="G2140" t="s">
        <v>119</v>
      </c>
      <c r="H2140" t="s">
        <v>156</v>
      </c>
      <c r="I2140">
        <v>2018</v>
      </c>
      <c r="J2140" t="s">
        <v>168</v>
      </c>
      <c r="K2140" t="s">
        <v>158</v>
      </c>
      <c r="L2140" t="s">
        <v>2384</v>
      </c>
      <c r="M2140" t="s">
        <v>2407</v>
      </c>
      <c r="N2140">
        <v>1</v>
      </c>
      <c r="O2140">
        <v>2020</v>
      </c>
      <c r="P2140">
        <v>3749.5291546849662</v>
      </c>
      <c r="Q2140">
        <v>1.414295330294598</v>
      </c>
      <c r="R2140" t="s">
        <v>109</v>
      </c>
      <c r="S2140">
        <v>2651.1642047944379</v>
      </c>
      <c r="T2140">
        <v>0.81</v>
      </c>
      <c r="U2140" t="s">
        <v>110</v>
      </c>
      <c r="V2140">
        <v>0.81</v>
      </c>
      <c r="W2140">
        <v>6</v>
      </c>
      <c r="X2140">
        <v>20</v>
      </c>
      <c r="Y2140">
        <v>14</v>
      </c>
      <c r="Z2140">
        <v>0.24</v>
      </c>
      <c r="AA2140">
        <v>31.536000000000001</v>
      </c>
    </row>
    <row r="2141" spans="1:27" x14ac:dyDescent="0.25">
      <c r="A2141" t="s">
        <v>98</v>
      </c>
      <c r="B2141" t="s">
        <v>99</v>
      </c>
      <c r="C2141" t="s">
        <v>1028</v>
      </c>
      <c r="D2141" t="s">
        <v>1707</v>
      </c>
      <c r="E2141" t="s">
        <v>102</v>
      </c>
      <c r="G2141" t="s">
        <v>111</v>
      </c>
      <c r="H2141" t="s">
        <v>169</v>
      </c>
      <c r="I2141">
        <v>2016</v>
      </c>
      <c r="J2141" t="s">
        <v>170</v>
      </c>
      <c r="K2141" t="s">
        <v>171</v>
      </c>
      <c r="L2141" t="s">
        <v>2384</v>
      </c>
      <c r="M2141" t="s">
        <v>2408</v>
      </c>
      <c r="N2141">
        <v>0</v>
      </c>
      <c r="O2141">
        <v>2020</v>
      </c>
      <c r="P2141">
        <v>13412.949821637279</v>
      </c>
      <c r="Q2141">
        <v>1.414295330294598</v>
      </c>
      <c r="R2141" t="s">
        <v>109</v>
      </c>
      <c r="S2141">
        <v>9483.8394317849834</v>
      </c>
      <c r="T2141">
        <v>1</v>
      </c>
      <c r="U2141" t="s">
        <v>173</v>
      </c>
      <c r="V2141">
        <v>1</v>
      </c>
      <c r="W2141">
        <v>15</v>
      </c>
      <c r="X2141">
        <v>30</v>
      </c>
      <c r="Y2141">
        <v>23</v>
      </c>
      <c r="Z2141">
        <v>0.24</v>
      </c>
      <c r="AA2141">
        <v>31.536000000000001</v>
      </c>
    </row>
    <row r="2142" spans="1:27" x14ac:dyDescent="0.25">
      <c r="A2142" t="s">
        <v>98</v>
      </c>
      <c r="B2142" t="s">
        <v>99</v>
      </c>
      <c r="C2142" t="s">
        <v>1028</v>
      </c>
      <c r="D2142" t="s">
        <v>1707</v>
      </c>
      <c r="E2142" t="s">
        <v>102</v>
      </c>
      <c r="G2142" t="s">
        <v>111</v>
      </c>
      <c r="H2142" t="s">
        <v>169</v>
      </c>
      <c r="I2142">
        <v>2020</v>
      </c>
      <c r="J2142" t="s">
        <v>174</v>
      </c>
      <c r="K2142" t="s">
        <v>171</v>
      </c>
      <c r="L2142" t="s">
        <v>2384</v>
      </c>
      <c r="M2142" t="s">
        <v>2408</v>
      </c>
      <c r="N2142">
        <v>1</v>
      </c>
      <c r="O2142">
        <v>2020</v>
      </c>
      <c r="P2142">
        <v>13412.949821637279</v>
      </c>
      <c r="Q2142">
        <v>1.414295330294598</v>
      </c>
      <c r="R2142" t="s">
        <v>109</v>
      </c>
      <c r="S2142">
        <v>9483.8394317849834</v>
      </c>
      <c r="T2142">
        <v>1</v>
      </c>
      <c r="U2142" t="s">
        <v>173</v>
      </c>
      <c r="V2142">
        <v>1</v>
      </c>
      <c r="W2142">
        <v>15</v>
      </c>
      <c r="X2142">
        <v>30</v>
      </c>
      <c r="Y2142">
        <v>23</v>
      </c>
      <c r="Z2142">
        <v>0.24</v>
      </c>
      <c r="AA2142">
        <v>31.536000000000001</v>
      </c>
    </row>
    <row r="2143" spans="1:27" x14ac:dyDescent="0.25">
      <c r="A2143" t="s">
        <v>98</v>
      </c>
      <c r="B2143" t="s">
        <v>99</v>
      </c>
      <c r="C2143" t="s">
        <v>1028</v>
      </c>
      <c r="D2143" t="s">
        <v>1707</v>
      </c>
      <c r="E2143" t="s">
        <v>102</v>
      </c>
      <c r="G2143" t="s">
        <v>111</v>
      </c>
      <c r="H2143" t="s">
        <v>169</v>
      </c>
      <c r="I2143">
        <v>2023</v>
      </c>
      <c r="J2143" t="s">
        <v>175</v>
      </c>
      <c r="K2143" t="s">
        <v>171</v>
      </c>
      <c r="L2143" t="s">
        <v>2384</v>
      </c>
      <c r="M2143" t="s">
        <v>2409</v>
      </c>
      <c r="N2143">
        <v>1</v>
      </c>
      <c r="O2143">
        <v>2023</v>
      </c>
      <c r="P2143">
        <v>13412.949821637279</v>
      </c>
      <c r="Q2143">
        <v>1.414295330294598</v>
      </c>
      <c r="R2143" t="s">
        <v>109</v>
      </c>
      <c r="S2143">
        <v>9483.8394317849834</v>
      </c>
      <c r="T2143">
        <v>1</v>
      </c>
      <c r="U2143" t="s">
        <v>173</v>
      </c>
      <c r="V2143">
        <v>1</v>
      </c>
      <c r="W2143">
        <v>15</v>
      </c>
      <c r="X2143">
        <v>30</v>
      </c>
      <c r="Y2143">
        <v>23</v>
      </c>
      <c r="Z2143">
        <v>0.24</v>
      </c>
      <c r="AA2143">
        <v>31.536000000000001</v>
      </c>
    </row>
    <row r="2144" spans="1:27" x14ac:dyDescent="0.25">
      <c r="A2144" t="s">
        <v>98</v>
      </c>
      <c r="B2144" t="s">
        <v>99</v>
      </c>
      <c r="C2144" t="s">
        <v>1028</v>
      </c>
      <c r="D2144" t="s">
        <v>1707</v>
      </c>
      <c r="E2144" t="s">
        <v>102</v>
      </c>
      <c r="G2144" t="s">
        <v>111</v>
      </c>
      <c r="H2144" t="s">
        <v>169</v>
      </c>
      <c r="I2144">
        <v>2024</v>
      </c>
      <c r="J2144" t="s">
        <v>177</v>
      </c>
      <c r="K2144" t="s">
        <v>171</v>
      </c>
      <c r="L2144" t="s">
        <v>2384</v>
      </c>
      <c r="M2144" t="s">
        <v>2410</v>
      </c>
      <c r="N2144">
        <v>1</v>
      </c>
      <c r="O2144">
        <v>2024</v>
      </c>
      <c r="P2144">
        <v>13412.949821637279</v>
      </c>
      <c r="Q2144">
        <v>1.414295330294598</v>
      </c>
      <c r="R2144" t="s">
        <v>109</v>
      </c>
      <c r="S2144">
        <v>9483.8394317849834</v>
      </c>
      <c r="T2144">
        <v>1</v>
      </c>
      <c r="U2144" t="s">
        <v>173</v>
      </c>
      <c r="V2144">
        <v>1</v>
      </c>
      <c r="W2144">
        <v>15</v>
      </c>
      <c r="X2144">
        <v>30</v>
      </c>
      <c r="Y2144">
        <v>23</v>
      </c>
      <c r="Z2144">
        <v>0.24</v>
      </c>
      <c r="AA2144">
        <v>31.536000000000001</v>
      </c>
    </row>
    <row r="2145" spans="1:27" x14ac:dyDescent="0.25">
      <c r="A2145" t="s">
        <v>98</v>
      </c>
      <c r="B2145" t="s">
        <v>99</v>
      </c>
      <c r="C2145" t="s">
        <v>1028</v>
      </c>
      <c r="D2145" t="s">
        <v>1707</v>
      </c>
      <c r="E2145" t="s">
        <v>179</v>
      </c>
      <c r="F2145" t="s">
        <v>180</v>
      </c>
      <c r="G2145" t="s">
        <v>103</v>
      </c>
      <c r="H2145" t="s">
        <v>125</v>
      </c>
      <c r="I2145">
        <v>2016</v>
      </c>
      <c r="J2145" t="s">
        <v>181</v>
      </c>
      <c r="K2145" t="s">
        <v>127</v>
      </c>
      <c r="L2145" t="s">
        <v>2411</v>
      </c>
      <c r="M2145" t="s">
        <v>2412</v>
      </c>
      <c r="N2145">
        <v>1</v>
      </c>
      <c r="O2145">
        <v>2020</v>
      </c>
      <c r="P2145">
        <v>2956.9457561336731</v>
      </c>
      <c r="Q2145">
        <v>3.956165386225861</v>
      </c>
      <c r="R2145" t="s">
        <v>109</v>
      </c>
      <c r="S2145">
        <v>747.42723507688515</v>
      </c>
      <c r="T2145">
        <v>2.4032825322391562</v>
      </c>
      <c r="U2145" t="s">
        <v>184</v>
      </c>
      <c r="V2145">
        <v>2.4032825322391562</v>
      </c>
      <c r="W2145">
        <v>9</v>
      </c>
      <c r="X2145">
        <v>22</v>
      </c>
      <c r="Y2145">
        <v>16</v>
      </c>
      <c r="Z2145">
        <v>8.7856310855373987E-2</v>
      </c>
      <c r="AA2145">
        <v>31.536000000000001</v>
      </c>
    </row>
    <row r="2146" spans="1:27" x14ac:dyDescent="0.25">
      <c r="A2146" t="s">
        <v>98</v>
      </c>
      <c r="B2146" t="s">
        <v>99</v>
      </c>
      <c r="C2146" t="s">
        <v>1028</v>
      </c>
      <c r="D2146" t="s">
        <v>1707</v>
      </c>
      <c r="E2146" t="s">
        <v>179</v>
      </c>
      <c r="F2146" t="s">
        <v>180</v>
      </c>
      <c r="G2146" t="s">
        <v>103</v>
      </c>
      <c r="H2146" t="s">
        <v>125</v>
      </c>
      <c r="I2146">
        <v>2023</v>
      </c>
      <c r="J2146" t="s">
        <v>185</v>
      </c>
      <c r="K2146" t="s">
        <v>127</v>
      </c>
      <c r="L2146" t="s">
        <v>2411</v>
      </c>
      <c r="M2146" t="s">
        <v>2413</v>
      </c>
      <c r="N2146">
        <v>1</v>
      </c>
      <c r="O2146">
        <v>2023</v>
      </c>
      <c r="P2146">
        <v>2956.9457561336731</v>
      </c>
      <c r="Q2146">
        <v>3.956165386225861</v>
      </c>
      <c r="R2146" t="s">
        <v>109</v>
      </c>
      <c r="S2146">
        <v>747.42723507688515</v>
      </c>
      <c r="T2146">
        <v>2.4032825322391562</v>
      </c>
      <c r="U2146" t="s">
        <v>184</v>
      </c>
      <c r="V2146">
        <v>2.4032825322391562</v>
      </c>
      <c r="W2146">
        <v>9</v>
      </c>
      <c r="X2146">
        <v>22</v>
      </c>
      <c r="Y2146">
        <v>16</v>
      </c>
      <c r="Z2146">
        <v>8.7856310855373987E-2</v>
      </c>
      <c r="AA2146">
        <v>31.536000000000001</v>
      </c>
    </row>
    <row r="2147" spans="1:27" x14ac:dyDescent="0.25">
      <c r="A2147" t="s">
        <v>98</v>
      </c>
      <c r="B2147" t="s">
        <v>99</v>
      </c>
      <c r="C2147" t="s">
        <v>1028</v>
      </c>
      <c r="D2147" t="s">
        <v>1707</v>
      </c>
      <c r="E2147" t="s">
        <v>179</v>
      </c>
      <c r="F2147" t="s">
        <v>180</v>
      </c>
      <c r="G2147" t="s">
        <v>111</v>
      </c>
      <c r="H2147" t="s">
        <v>125</v>
      </c>
      <c r="I2147">
        <v>2016</v>
      </c>
      <c r="J2147" t="s">
        <v>187</v>
      </c>
      <c r="K2147" t="s">
        <v>127</v>
      </c>
      <c r="L2147" t="s">
        <v>2411</v>
      </c>
      <c r="M2147" t="s">
        <v>2414</v>
      </c>
      <c r="N2147">
        <v>1</v>
      </c>
      <c r="O2147">
        <v>2020</v>
      </c>
      <c r="P2147">
        <v>3109.3656404704602</v>
      </c>
      <c r="Q2147">
        <v>3.956165386225861</v>
      </c>
      <c r="R2147" t="s">
        <v>109</v>
      </c>
      <c r="S2147">
        <v>785.95441214270397</v>
      </c>
      <c r="T2147">
        <v>2.5205158264947238</v>
      </c>
      <c r="U2147" t="s">
        <v>184</v>
      </c>
      <c r="V2147">
        <v>2.5205158264947238</v>
      </c>
      <c r="W2147">
        <v>9</v>
      </c>
      <c r="X2147">
        <v>22</v>
      </c>
      <c r="Y2147">
        <v>16</v>
      </c>
      <c r="Z2147">
        <v>8.7856310855373987E-2</v>
      </c>
      <c r="AA2147">
        <v>31.536000000000001</v>
      </c>
    </row>
    <row r="2148" spans="1:27" x14ac:dyDescent="0.25">
      <c r="A2148" t="s">
        <v>98</v>
      </c>
      <c r="B2148" t="s">
        <v>99</v>
      </c>
      <c r="C2148" t="s">
        <v>1028</v>
      </c>
      <c r="D2148" t="s">
        <v>1707</v>
      </c>
      <c r="E2148" t="s">
        <v>179</v>
      </c>
      <c r="F2148" t="s">
        <v>180</v>
      </c>
      <c r="G2148" t="s">
        <v>111</v>
      </c>
      <c r="H2148" t="s">
        <v>125</v>
      </c>
      <c r="I2148">
        <v>2023</v>
      </c>
      <c r="J2148" t="s">
        <v>189</v>
      </c>
      <c r="K2148" t="s">
        <v>127</v>
      </c>
      <c r="L2148" t="s">
        <v>2411</v>
      </c>
      <c r="M2148" t="s">
        <v>2415</v>
      </c>
      <c r="N2148">
        <v>1</v>
      </c>
      <c r="O2148">
        <v>2023</v>
      </c>
      <c r="P2148">
        <v>3139.8496173378171</v>
      </c>
      <c r="Q2148">
        <v>3.956165386225861</v>
      </c>
      <c r="R2148" t="s">
        <v>109</v>
      </c>
      <c r="S2148">
        <v>793.65984755586771</v>
      </c>
      <c r="T2148">
        <v>2.5791324736225092</v>
      </c>
      <c r="U2148" t="s">
        <v>184</v>
      </c>
      <c r="V2148">
        <v>2.5791324736225092</v>
      </c>
      <c r="W2148">
        <v>9</v>
      </c>
      <c r="X2148">
        <v>22</v>
      </c>
      <c r="Y2148">
        <v>16</v>
      </c>
      <c r="Z2148">
        <v>8.7856310855373987E-2</v>
      </c>
      <c r="AA2148">
        <v>31.536000000000001</v>
      </c>
    </row>
    <row r="2149" spans="1:27" x14ac:dyDescent="0.25">
      <c r="A2149" t="s">
        <v>98</v>
      </c>
      <c r="B2149" t="s">
        <v>99</v>
      </c>
      <c r="C2149" t="s">
        <v>1028</v>
      </c>
      <c r="D2149" t="s">
        <v>1707</v>
      </c>
      <c r="E2149" t="s">
        <v>179</v>
      </c>
      <c r="F2149" t="s">
        <v>180</v>
      </c>
      <c r="G2149" t="s">
        <v>114</v>
      </c>
      <c r="H2149" t="s">
        <v>125</v>
      </c>
      <c r="I2149">
        <v>2016</v>
      </c>
      <c r="J2149" t="s">
        <v>191</v>
      </c>
      <c r="K2149" t="s">
        <v>127</v>
      </c>
      <c r="L2149" t="s">
        <v>2411</v>
      </c>
      <c r="M2149" t="s">
        <v>2416</v>
      </c>
      <c r="N2149">
        <v>1</v>
      </c>
      <c r="O2149">
        <v>2020</v>
      </c>
      <c r="P2149">
        <v>3017.9137098683868</v>
      </c>
      <c r="Q2149">
        <v>3.956165386225861</v>
      </c>
      <c r="R2149" t="s">
        <v>109</v>
      </c>
      <c r="S2149">
        <v>762.83810590321264</v>
      </c>
      <c r="T2149">
        <v>2.4912075029308318</v>
      </c>
      <c r="U2149" t="s">
        <v>184</v>
      </c>
      <c r="V2149">
        <v>2.4912075029308318</v>
      </c>
      <c r="W2149">
        <v>9</v>
      </c>
      <c r="X2149">
        <v>22</v>
      </c>
      <c r="Y2149">
        <v>16</v>
      </c>
      <c r="Z2149">
        <v>8.7856310855373987E-2</v>
      </c>
      <c r="AA2149">
        <v>31.536000000000001</v>
      </c>
    </row>
    <row r="2150" spans="1:27" x14ac:dyDescent="0.25">
      <c r="A2150" t="s">
        <v>98</v>
      </c>
      <c r="B2150" t="s">
        <v>99</v>
      </c>
      <c r="C2150" t="s">
        <v>1028</v>
      </c>
      <c r="D2150" t="s">
        <v>1707</v>
      </c>
      <c r="E2150" t="s">
        <v>179</v>
      </c>
      <c r="F2150" t="s">
        <v>180</v>
      </c>
      <c r="G2150" t="s">
        <v>114</v>
      </c>
      <c r="H2150" t="s">
        <v>125</v>
      </c>
      <c r="I2150">
        <v>2022</v>
      </c>
      <c r="J2150" t="s">
        <v>193</v>
      </c>
      <c r="K2150" t="s">
        <v>127</v>
      </c>
      <c r="L2150" t="s">
        <v>2411</v>
      </c>
      <c r="M2150" t="s">
        <v>2417</v>
      </c>
      <c r="N2150">
        <v>1</v>
      </c>
      <c r="O2150">
        <v>2022</v>
      </c>
      <c r="P2150">
        <v>3017.9137098683868</v>
      </c>
      <c r="Q2150">
        <v>3.956165386225861</v>
      </c>
      <c r="R2150" t="s">
        <v>109</v>
      </c>
      <c r="S2150">
        <v>762.83810590321264</v>
      </c>
      <c r="T2150">
        <v>2.4912075029308318</v>
      </c>
      <c r="U2150" t="s">
        <v>184</v>
      </c>
      <c r="V2150">
        <v>2.4912075029308318</v>
      </c>
      <c r="W2150">
        <v>9</v>
      </c>
      <c r="X2150">
        <v>22</v>
      </c>
      <c r="Y2150">
        <v>16</v>
      </c>
      <c r="Z2150">
        <v>8.7856310855373987E-2</v>
      </c>
      <c r="AA2150">
        <v>31.536000000000001</v>
      </c>
    </row>
    <row r="2151" spans="1:27" x14ac:dyDescent="0.25">
      <c r="A2151" t="s">
        <v>98</v>
      </c>
      <c r="B2151" t="s">
        <v>99</v>
      </c>
      <c r="C2151" t="s">
        <v>1028</v>
      </c>
      <c r="D2151" t="s">
        <v>1707</v>
      </c>
      <c r="E2151" t="s">
        <v>179</v>
      </c>
      <c r="F2151" t="s">
        <v>180</v>
      </c>
      <c r="G2151" t="s">
        <v>114</v>
      </c>
      <c r="H2151" t="s">
        <v>125</v>
      </c>
      <c r="I2151">
        <v>2023</v>
      </c>
      <c r="J2151" t="s">
        <v>195</v>
      </c>
      <c r="K2151" t="s">
        <v>127</v>
      </c>
      <c r="L2151" t="s">
        <v>2411</v>
      </c>
      <c r="M2151" t="s">
        <v>2418</v>
      </c>
      <c r="N2151">
        <v>1</v>
      </c>
      <c r="O2151">
        <v>2023</v>
      </c>
      <c r="P2151">
        <v>3266.447780092843</v>
      </c>
      <c r="Q2151">
        <v>3.956165386225861</v>
      </c>
      <c r="R2151" t="s">
        <v>109</v>
      </c>
      <c r="S2151">
        <v>825.6600675658301</v>
      </c>
      <c r="T2151">
        <v>2.6963657678780768</v>
      </c>
      <c r="U2151" t="s">
        <v>184</v>
      </c>
      <c r="V2151">
        <v>2.6963657678780768</v>
      </c>
      <c r="W2151">
        <v>9</v>
      </c>
      <c r="X2151">
        <v>22</v>
      </c>
      <c r="Y2151">
        <v>16</v>
      </c>
      <c r="Z2151">
        <v>8.7856310855373987E-2</v>
      </c>
      <c r="AA2151">
        <v>31.536000000000001</v>
      </c>
    </row>
    <row r="2152" spans="1:27" x14ac:dyDescent="0.25">
      <c r="A2152" t="s">
        <v>98</v>
      </c>
      <c r="B2152" t="s">
        <v>99</v>
      </c>
      <c r="C2152" t="s">
        <v>1028</v>
      </c>
      <c r="D2152" t="s">
        <v>1707</v>
      </c>
      <c r="E2152" t="s">
        <v>179</v>
      </c>
      <c r="F2152" t="s">
        <v>180</v>
      </c>
      <c r="G2152" t="s">
        <v>119</v>
      </c>
      <c r="H2152" t="s">
        <v>125</v>
      </c>
      <c r="I2152">
        <v>2016</v>
      </c>
      <c r="J2152" t="s">
        <v>197</v>
      </c>
      <c r="K2152" t="s">
        <v>127</v>
      </c>
      <c r="L2152" t="s">
        <v>2411</v>
      </c>
      <c r="M2152" t="s">
        <v>2419</v>
      </c>
      <c r="N2152">
        <v>1</v>
      </c>
      <c r="O2152">
        <v>2020</v>
      </c>
      <c r="P2152">
        <v>3719.0451778176089</v>
      </c>
      <c r="Q2152">
        <v>3.956165386225861</v>
      </c>
      <c r="R2152" t="s">
        <v>109</v>
      </c>
      <c r="S2152">
        <v>940.06312040597936</v>
      </c>
      <c r="T2152">
        <v>2.6377491207502932</v>
      </c>
      <c r="U2152" t="s">
        <v>184</v>
      </c>
      <c r="V2152">
        <v>2.6377491207502932</v>
      </c>
      <c r="W2152">
        <v>9</v>
      </c>
      <c r="X2152">
        <v>22</v>
      </c>
      <c r="Y2152">
        <v>16</v>
      </c>
      <c r="Z2152">
        <v>8.7856310855373987E-2</v>
      </c>
      <c r="AA2152">
        <v>31.536000000000001</v>
      </c>
    </row>
    <row r="2153" spans="1:27" x14ac:dyDescent="0.25">
      <c r="A2153" t="s">
        <v>98</v>
      </c>
      <c r="B2153" t="s">
        <v>99</v>
      </c>
      <c r="C2153" t="s">
        <v>1028</v>
      </c>
      <c r="D2153" t="s">
        <v>1707</v>
      </c>
      <c r="E2153" t="s">
        <v>179</v>
      </c>
      <c r="F2153" t="s">
        <v>180</v>
      </c>
      <c r="G2153" t="s">
        <v>119</v>
      </c>
      <c r="H2153" t="s">
        <v>125</v>
      </c>
      <c r="I2153">
        <v>2022</v>
      </c>
      <c r="J2153" t="s">
        <v>199</v>
      </c>
      <c r="K2153" t="s">
        <v>127</v>
      </c>
      <c r="L2153" t="s">
        <v>2411</v>
      </c>
      <c r="M2153" t="s">
        <v>2420</v>
      </c>
      <c r="N2153">
        <v>1</v>
      </c>
      <c r="O2153">
        <v>2022</v>
      </c>
      <c r="P2153">
        <v>3914.784397702746</v>
      </c>
      <c r="Q2153">
        <v>3.956165386225861</v>
      </c>
      <c r="R2153" t="s">
        <v>109</v>
      </c>
      <c r="S2153">
        <v>989.54012674313606</v>
      </c>
      <c r="T2153">
        <v>2.9308323563892151</v>
      </c>
      <c r="U2153" t="s">
        <v>184</v>
      </c>
      <c r="V2153">
        <v>2.9308323563892151</v>
      </c>
      <c r="W2153">
        <v>9</v>
      </c>
      <c r="X2153">
        <v>22</v>
      </c>
      <c r="Y2153">
        <v>16</v>
      </c>
      <c r="Z2153">
        <v>8.7856310855373987E-2</v>
      </c>
      <c r="AA2153">
        <v>31.536000000000001</v>
      </c>
    </row>
    <row r="2154" spans="1:27" x14ac:dyDescent="0.25">
      <c r="A2154" t="s">
        <v>98</v>
      </c>
      <c r="B2154" t="s">
        <v>99</v>
      </c>
      <c r="C2154" t="s">
        <v>1028</v>
      </c>
      <c r="D2154" t="s">
        <v>1707</v>
      </c>
      <c r="E2154" t="s">
        <v>179</v>
      </c>
      <c r="F2154" t="s">
        <v>201</v>
      </c>
      <c r="G2154" t="s">
        <v>103</v>
      </c>
      <c r="H2154" t="s">
        <v>125</v>
      </c>
      <c r="I2154">
        <v>2016</v>
      </c>
      <c r="J2154" t="s">
        <v>202</v>
      </c>
      <c r="K2154" t="s">
        <v>127</v>
      </c>
      <c r="L2154" t="s">
        <v>2411</v>
      </c>
      <c r="M2154" t="s">
        <v>2421</v>
      </c>
      <c r="N2154">
        <v>1</v>
      </c>
      <c r="O2154">
        <v>2020</v>
      </c>
      <c r="P2154">
        <v>9511.0007826155233</v>
      </c>
      <c r="Q2154">
        <v>3.956165386225861</v>
      </c>
      <c r="R2154" t="s">
        <v>109</v>
      </c>
      <c r="S2154">
        <v>2404.095848907094</v>
      </c>
      <c r="T2154">
        <v>3.2</v>
      </c>
      <c r="U2154" t="s">
        <v>184</v>
      </c>
      <c r="V2154">
        <v>3.2</v>
      </c>
      <c r="W2154">
        <v>8</v>
      </c>
      <c r="X2154">
        <v>20.8</v>
      </c>
      <c r="Y2154">
        <v>15</v>
      </c>
      <c r="Z2154">
        <v>8.7856310855373987E-2</v>
      </c>
      <c r="AA2154">
        <v>31.536000000000001</v>
      </c>
    </row>
    <row r="2155" spans="1:27" x14ac:dyDescent="0.25">
      <c r="A2155" t="s">
        <v>98</v>
      </c>
      <c r="B2155" t="s">
        <v>99</v>
      </c>
      <c r="C2155" t="s">
        <v>1028</v>
      </c>
      <c r="D2155" t="s">
        <v>1707</v>
      </c>
      <c r="E2155" t="s">
        <v>179</v>
      </c>
      <c r="F2155" t="s">
        <v>201</v>
      </c>
      <c r="G2155" t="s">
        <v>111</v>
      </c>
      <c r="H2155" t="s">
        <v>125</v>
      </c>
      <c r="I2155">
        <v>2016</v>
      </c>
      <c r="J2155" t="s">
        <v>204</v>
      </c>
      <c r="K2155" t="s">
        <v>127</v>
      </c>
      <c r="L2155" t="s">
        <v>2411</v>
      </c>
      <c r="M2155" t="s">
        <v>2422</v>
      </c>
      <c r="N2155">
        <v>1</v>
      </c>
      <c r="O2155">
        <v>2020</v>
      </c>
      <c r="P2155">
        <v>9846.3245281564559</v>
      </c>
      <c r="Q2155">
        <v>3.956165386225861</v>
      </c>
      <c r="R2155" t="s">
        <v>109</v>
      </c>
      <c r="S2155">
        <v>2488.8556384518961</v>
      </c>
      <c r="T2155">
        <v>3.7</v>
      </c>
      <c r="U2155" t="s">
        <v>184</v>
      </c>
      <c r="V2155">
        <v>3.7</v>
      </c>
      <c r="W2155">
        <v>8</v>
      </c>
      <c r="X2155">
        <v>20.8</v>
      </c>
      <c r="Y2155">
        <v>15</v>
      </c>
      <c r="Z2155">
        <v>8.7856310855373987E-2</v>
      </c>
      <c r="AA2155">
        <v>31.536000000000001</v>
      </c>
    </row>
    <row r="2156" spans="1:27" x14ac:dyDescent="0.25">
      <c r="A2156" t="s">
        <v>98</v>
      </c>
      <c r="B2156" t="s">
        <v>99</v>
      </c>
      <c r="C2156" t="s">
        <v>1028</v>
      </c>
      <c r="D2156" t="s">
        <v>1707</v>
      </c>
      <c r="E2156" t="s">
        <v>179</v>
      </c>
      <c r="F2156" t="s">
        <v>201</v>
      </c>
      <c r="G2156" t="s">
        <v>114</v>
      </c>
      <c r="H2156" t="s">
        <v>125</v>
      </c>
      <c r="I2156">
        <v>2016</v>
      </c>
      <c r="J2156" t="s">
        <v>206</v>
      </c>
      <c r="K2156" t="s">
        <v>127</v>
      </c>
      <c r="L2156" t="s">
        <v>2411</v>
      </c>
      <c r="M2156" t="s">
        <v>2423</v>
      </c>
      <c r="N2156">
        <v>0</v>
      </c>
      <c r="O2156">
        <v>2020</v>
      </c>
      <c r="P2156">
        <v>9846.3245281564559</v>
      </c>
      <c r="Q2156">
        <v>3.956165386225861</v>
      </c>
      <c r="R2156" t="s">
        <v>109</v>
      </c>
      <c r="S2156">
        <v>2488.8556384518961</v>
      </c>
      <c r="T2156">
        <v>3.6</v>
      </c>
      <c r="U2156" t="s">
        <v>184</v>
      </c>
      <c r="V2156">
        <v>3.6</v>
      </c>
      <c r="W2156">
        <v>8</v>
      </c>
      <c r="X2156">
        <v>20.8</v>
      </c>
      <c r="Y2156">
        <v>15</v>
      </c>
      <c r="Z2156">
        <v>8.7856310855373987E-2</v>
      </c>
      <c r="AA2156">
        <v>31.536000000000001</v>
      </c>
    </row>
    <row r="2157" spans="1:27" x14ac:dyDescent="0.25">
      <c r="A2157" t="s">
        <v>98</v>
      </c>
      <c r="B2157" t="s">
        <v>99</v>
      </c>
      <c r="C2157" t="s">
        <v>1028</v>
      </c>
      <c r="D2157" t="s">
        <v>1707</v>
      </c>
      <c r="E2157" t="s">
        <v>179</v>
      </c>
      <c r="F2157" t="s">
        <v>201</v>
      </c>
      <c r="G2157" t="s">
        <v>114</v>
      </c>
      <c r="H2157" t="s">
        <v>125</v>
      </c>
      <c r="I2157">
        <v>2020</v>
      </c>
      <c r="J2157" t="s">
        <v>208</v>
      </c>
      <c r="K2157" t="s">
        <v>127</v>
      </c>
      <c r="L2157" t="s">
        <v>2411</v>
      </c>
      <c r="M2157" t="s">
        <v>2423</v>
      </c>
      <c r="N2157">
        <v>1</v>
      </c>
      <c r="O2157">
        <v>2020</v>
      </c>
      <c r="P2157">
        <v>9846.3245281564559</v>
      </c>
      <c r="Q2157">
        <v>3.956165386225861</v>
      </c>
      <c r="R2157" t="s">
        <v>109</v>
      </c>
      <c r="S2157">
        <v>2488.8556384518961</v>
      </c>
      <c r="T2157">
        <v>3.6</v>
      </c>
      <c r="U2157" t="s">
        <v>184</v>
      </c>
      <c r="V2157">
        <v>3.6</v>
      </c>
      <c r="W2157">
        <v>8</v>
      </c>
      <c r="X2157">
        <v>20.8</v>
      </c>
      <c r="Y2157">
        <v>15</v>
      </c>
      <c r="Z2157">
        <v>8.7856310855373987E-2</v>
      </c>
      <c r="AA2157">
        <v>31.536000000000001</v>
      </c>
    </row>
    <row r="2158" spans="1:27" x14ac:dyDescent="0.25">
      <c r="A2158" t="s">
        <v>98</v>
      </c>
      <c r="B2158" t="s">
        <v>99</v>
      </c>
      <c r="C2158" t="s">
        <v>1028</v>
      </c>
      <c r="D2158" t="s">
        <v>1707</v>
      </c>
      <c r="E2158" t="s">
        <v>179</v>
      </c>
      <c r="F2158" t="s">
        <v>201</v>
      </c>
      <c r="G2158" t="s">
        <v>114</v>
      </c>
      <c r="H2158" t="s">
        <v>125</v>
      </c>
      <c r="I2158">
        <v>2022</v>
      </c>
      <c r="J2158" t="s">
        <v>209</v>
      </c>
      <c r="K2158" t="s">
        <v>127</v>
      </c>
      <c r="L2158" t="s">
        <v>2411</v>
      </c>
      <c r="M2158" t="s">
        <v>2424</v>
      </c>
      <c r="N2158">
        <v>1</v>
      </c>
      <c r="O2158">
        <v>2022</v>
      </c>
      <c r="P2158">
        <v>9846.3245281564559</v>
      </c>
      <c r="Q2158">
        <v>3.956165386225861</v>
      </c>
      <c r="R2158" t="s">
        <v>109</v>
      </c>
      <c r="S2158">
        <v>2488.8556384518961</v>
      </c>
      <c r="T2158">
        <v>3.6</v>
      </c>
      <c r="U2158" t="s">
        <v>184</v>
      </c>
      <c r="V2158">
        <v>3.6</v>
      </c>
      <c r="W2158">
        <v>8</v>
      </c>
      <c r="X2158">
        <v>20.8</v>
      </c>
      <c r="Y2158">
        <v>15</v>
      </c>
      <c r="Z2158">
        <v>8.7856310855373987E-2</v>
      </c>
      <c r="AA2158">
        <v>31.536000000000001</v>
      </c>
    </row>
    <row r="2159" spans="1:27" x14ac:dyDescent="0.25">
      <c r="A2159" t="s">
        <v>98</v>
      </c>
      <c r="B2159" t="s">
        <v>99</v>
      </c>
      <c r="C2159" t="s">
        <v>1028</v>
      </c>
      <c r="D2159" t="s">
        <v>1707</v>
      </c>
      <c r="E2159" t="s">
        <v>179</v>
      </c>
      <c r="F2159" t="s">
        <v>201</v>
      </c>
      <c r="G2159" t="s">
        <v>114</v>
      </c>
      <c r="H2159" t="s">
        <v>125</v>
      </c>
      <c r="I2159">
        <v>2023</v>
      </c>
      <c r="J2159" t="s">
        <v>211</v>
      </c>
      <c r="K2159" t="s">
        <v>127</v>
      </c>
      <c r="L2159" t="s">
        <v>2411</v>
      </c>
      <c r="M2159" t="s">
        <v>2425</v>
      </c>
      <c r="N2159">
        <v>1</v>
      </c>
      <c r="O2159">
        <v>2023</v>
      </c>
      <c r="P2159">
        <v>9846.3245281564559</v>
      </c>
      <c r="Q2159">
        <v>3.956165386225861</v>
      </c>
      <c r="R2159" t="s">
        <v>109</v>
      </c>
      <c r="S2159">
        <v>2488.8556384518961</v>
      </c>
      <c r="T2159">
        <v>3.6</v>
      </c>
      <c r="U2159" t="s">
        <v>184</v>
      </c>
      <c r="V2159">
        <v>3.6</v>
      </c>
      <c r="W2159">
        <v>8</v>
      </c>
      <c r="X2159">
        <v>20.8</v>
      </c>
      <c r="Y2159">
        <v>15</v>
      </c>
      <c r="Z2159">
        <v>8.7856310855373987E-2</v>
      </c>
      <c r="AA2159">
        <v>31.536000000000001</v>
      </c>
    </row>
    <row r="2160" spans="1:27" x14ac:dyDescent="0.25">
      <c r="A2160" t="s">
        <v>98</v>
      </c>
      <c r="B2160" t="s">
        <v>99</v>
      </c>
      <c r="C2160" t="s">
        <v>1028</v>
      </c>
      <c r="D2160" t="s">
        <v>1707</v>
      </c>
      <c r="E2160" t="s">
        <v>179</v>
      </c>
      <c r="F2160" t="s">
        <v>201</v>
      </c>
      <c r="G2160" t="s">
        <v>114</v>
      </c>
      <c r="H2160" t="s">
        <v>125</v>
      </c>
      <c r="I2160">
        <v>2024</v>
      </c>
      <c r="J2160" t="s">
        <v>213</v>
      </c>
      <c r="K2160" t="s">
        <v>127</v>
      </c>
      <c r="L2160" t="s">
        <v>2411</v>
      </c>
      <c r="M2160" t="s">
        <v>2426</v>
      </c>
      <c r="N2160">
        <v>1</v>
      </c>
      <c r="O2160">
        <v>2024</v>
      </c>
      <c r="P2160">
        <v>9846.3245281564559</v>
      </c>
      <c r="Q2160">
        <v>3.956165386225861</v>
      </c>
      <c r="R2160" t="s">
        <v>109</v>
      </c>
      <c r="S2160">
        <v>2488.8556384518961</v>
      </c>
      <c r="T2160">
        <v>3.6</v>
      </c>
      <c r="U2160" t="s">
        <v>184</v>
      </c>
      <c r="V2160">
        <v>3.6</v>
      </c>
      <c r="W2160">
        <v>8</v>
      </c>
      <c r="X2160">
        <v>20.8</v>
      </c>
      <c r="Y2160">
        <v>15</v>
      </c>
      <c r="Z2160">
        <v>8.7856310855373987E-2</v>
      </c>
      <c r="AA2160">
        <v>31.536000000000001</v>
      </c>
    </row>
    <row r="2161" spans="1:27" x14ac:dyDescent="0.25">
      <c r="A2161" t="s">
        <v>98</v>
      </c>
      <c r="B2161" t="s">
        <v>99</v>
      </c>
      <c r="C2161" t="s">
        <v>1028</v>
      </c>
      <c r="D2161" t="s">
        <v>1707</v>
      </c>
      <c r="E2161" t="s">
        <v>179</v>
      </c>
      <c r="F2161" t="s">
        <v>201</v>
      </c>
      <c r="G2161" t="s">
        <v>119</v>
      </c>
      <c r="H2161" t="s">
        <v>125</v>
      </c>
      <c r="I2161">
        <v>2016</v>
      </c>
      <c r="J2161" t="s">
        <v>215</v>
      </c>
      <c r="K2161" t="s">
        <v>127</v>
      </c>
      <c r="L2161" t="s">
        <v>2411</v>
      </c>
      <c r="M2161" t="s">
        <v>2427</v>
      </c>
      <c r="N2161">
        <v>0</v>
      </c>
      <c r="O2161">
        <v>2020</v>
      </c>
      <c r="P2161">
        <v>10395.03611176889</v>
      </c>
      <c r="Q2161">
        <v>3.956165386225861</v>
      </c>
      <c r="R2161" t="s">
        <v>109</v>
      </c>
      <c r="S2161">
        <v>2627.5534758888439</v>
      </c>
      <c r="T2161">
        <v>4.5</v>
      </c>
      <c r="U2161" t="s">
        <v>184</v>
      </c>
      <c r="V2161">
        <v>4.5</v>
      </c>
      <c r="W2161">
        <v>8</v>
      </c>
      <c r="X2161">
        <v>20.8</v>
      </c>
      <c r="Y2161">
        <v>15</v>
      </c>
      <c r="Z2161">
        <v>8.7856310855373987E-2</v>
      </c>
      <c r="AA2161">
        <v>31.536000000000001</v>
      </c>
    </row>
    <row r="2162" spans="1:27" x14ac:dyDescent="0.25">
      <c r="A2162" t="s">
        <v>98</v>
      </c>
      <c r="B2162" t="s">
        <v>99</v>
      </c>
      <c r="C2162" t="s">
        <v>1028</v>
      </c>
      <c r="D2162" t="s">
        <v>1707</v>
      </c>
      <c r="E2162" t="s">
        <v>179</v>
      </c>
      <c r="F2162" t="s">
        <v>201</v>
      </c>
      <c r="G2162" t="s">
        <v>119</v>
      </c>
      <c r="H2162" t="s">
        <v>125</v>
      </c>
      <c r="I2162">
        <v>2020</v>
      </c>
      <c r="J2162" t="s">
        <v>217</v>
      </c>
      <c r="K2162" t="s">
        <v>127</v>
      </c>
      <c r="L2162" t="s">
        <v>2411</v>
      </c>
      <c r="M2162" t="s">
        <v>2427</v>
      </c>
      <c r="N2162">
        <v>1</v>
      </c>
      <c r="O2162">
        <v>2020</v>
      </c>
      <c r="P2162">
        <v>10395.03611176889</v>
      </c>
      <c r="Q2162">
        <v>3.956165386225861</v>
      </c>
      <c r="R2162" t="s">
        <v>109</v>
      </c>
      <c r="S2162">
        <v>2627.5534758888439</v>
      </c>
      <c r="T2162">
        <v>4.5</v>
      </c>
      <c r="U2162" t="s">
        <v>184</v>
      </c>
      <c r="V2162">
        <v>4.5</v>
      </c>
      <c r="W2162">
        <v>8</v>
      </c>
      <c r="X2162">
        <v>20.8</v>
      </c>
      <c r="Y2162">
        <v>15</v>
      </c>
      <c r="Z2162">
        <v>8.7856310855373987E-2</v>
      </c>
      <c r="AA2162">
        <v>31.536000000000001</v>
      </c>
    </row>
    <row r="2163" spans="1:27" x14ac:dyDescent="0.25">
      <c r="A2163" t="s">
        <v>98</v>
      </c>
      <c r="B2163" t="s">
        <v>99</v>
      </c>
      <c r="C2163" t="s">
        <v>1028</v>
      </c>
      <c r="D2163" t="s">
        <v>1707</v>
      </c>
      <c r="E2163" t="s">
        <v>179</v>
      </c>
      <c r="F2163" t="s">
        <v>201</v>
      </c>
      <c r="G2163" t="s">
        <v>119</v>
      </c>
      <c r="H2163" t="s">
        <v>125</v>
      </c>
      <c r="I2163">
        <v>2022</v>
      </c>
      <c r="J2163" t="s">
        <v>218</v>
      </c>
      <c r="K2163" t="s">
        <v>127</v>
      </c>
      <c r="L2163" t="s">
        <v>2411</v>
      </c>
      <c r="M2163" t="s">
        <v>2428</v>
      </c>
      <c r="N2163">
        <v>1</v>
      </c>
      <c r="O2163">
        <v>2022</v>
      </c>
      <c r="P2163">
        <v>10395.03611176889</v>
      </c>
      <c r="Q2163">
        <v>3.956165386225861</v>
      </c>
      <c r="R2163" t="s">
        <v>109</v>
      </c>
      <c r="S2163">
        <v>2627.5534758888439</v>
      </c>
      <c r="T2163">
        <v>4.5</v>
      </c>
      <c r="U2163" t="s">
        <v>184</v>
      </c>
      <c r="V2163">
        <v>4.5</v>
      </c>
      <c r="W2163">
        <v>8</v>
      </c>
      <c r="X2163">
        <v>20.8</v>
      </c>
      <c r="Y2163">
        <v>15</v>
      </c>
      <c r="Z2163">
        <v>8.7856310855373987E-2</v>
      </c>
      <c r="AA2163">
        <v>31.536000000000001</v>
      </c>
    </row>
    <row r="2164" spans="1:27" x14ac:dyDescent="0.25">
      <c r="A2164" t="s">
        <v>98</v>
      </c>
      <c r="B2164" t="s">
        <v>99</v>
      </c>
      <c r="C2164" t="s">
        <v>1028</v>
      </c>
      <c r="D2164" t="s">
        <v>1707</v>
      </c>
      <c r="E2164" t="s">
        <v>179</v>
      </c>
      <c r="F2164" t="s">
        <v>201</v>
      </c>
      <c r="G2164" t="s">
        <v>119</v>
      </c>
      <c r="H2164" t="s">
        <v>125</v>
      </c>
      <c r="I2164">
        <v>2023</v>
      </c>
      <c r="J2164" t="s">
        <v>220</v>
      </c>
      <c r="K2164" t="s">
        <v>127</v>
      </c>
      <c r="L2164" t="s">
        <v>2411</v>
      </c>
      <c r="M2164" t="s">
        <v>2429</v>
      </c>
      <c r="N2164">
        <v>1</v>
      </c>
      <c r="O2164">
        <v>2023</v>
      </c>
      <c r="P2164">
        <v>10395.03611176889</v>
      </c>
      <c r="Q2164">
        <v>3.956165386225861</v>
      </c>
      <c r="R2164" t="s">
        <v>109</v>
      </c>
      <c r="S2164">
        <v>2627.5534758888439</v>
      </c>
      <c r="T2164">
        <v>4.5</v>
      </c>
      <c r="U2164" t="s">
        <v>184</v>
      </c>
      <c r="V2164">
        <v>4.5</v>
      </c>
      <c r="W2164">
        <v>8</v>
      </c>
      <c r="X2164">
        <v>20.8</v>
      </c>
      <c r="Y2164">
        <v>15</v>
      </c>
      <c r="Z2164">
        <v>8.7856310855373987E-2</v>
      </c>
      <c r="AA2164">
        <v>31.536000000000001</v>
      </c>
    </row>
    <row r="2165" spans="1:27" x14ac:dyDescent="0.25">
      <c r="A2165" t="s">
        <v>98</v>
      </c>
      <c r="B2165" t="s">
        <v>99</v>
      </c>
      <c r="C2165" t="s">
        <v>1028</v>
      </c>
      <c r="D2165" t="s">
        <v>1707</v>
      </c>
      <c r="E2165" t="s">
        <v>179</v>
      </c>
      <c r="F2165" t="s">
        <v>201</v>
      </c>
      <c r="G2165" t="s">
        <v>119</v>
      </c>
      <c r="H2165" t="s">
        <v>125</v>
      </c>
      <c r="I2165">
        <v>2024</v>
      </c>
      <c r="J2165" t="s">
        <v>222</v>
      </c>
      <c r="K2165" t="s">
        <v>127</v>
      </c>
      <c r="L2165" t="s">
        <v>2411</v>
      </c>
      <c r="M2165" t="s">
        <v>2430</v>
      </c>
      <c r="N2165">
        <v>1</v>
      </c>
      <c r="O2165">
        <v>2024</v>
      </c>
      <c r="P2165">
        <v>10395.03611176889</v>
      </c>
      <c r="Q2165">
        <v>3.956165386225861</v>
      </c>
      <c r="R2165" t="s">
        <v>109</v>
      </c>
      <c r="S2165">
        <v>2627.5534758888439</v>
      </c>
      <c r="T2165">
        <v>4.5</v>
      </c>
      <c r="U2165" t="s">
        <v>184</v>
      </c>
      <c r="V2165">
        <v>4.5</v>
      </c>
      <c r="W2165">
        <v>8</v>
      </c>
      <c r="X2165">
        <v>20.8</v>
      </c>
      <c r="Y2165">
        <v>15</v>
      </c>
      <c r="Z2165">
        <v>8.7856310855373987E-2</v>
      </c>
      <c r="AA2165">
        <v>31.536000000000001</v>
      </c>
    </row>
    <row r="2166" spans="1:27" x14ac:dyDescent="0.25">
      <c r="A2166" t="s">
        <v>98</v>
      </c>
      <c r="B2166" t="s">
        <v>99</v>
      </c>
      <c r="C2166" t="s">
        <v>1028</v>
      </c>
      <c r="D2166" t="s">
        <v>1707</v>
      </c>
      <c r="E2166" t="s">
        <v>179</v>
      </c>
      <c r="F2166" t="s">
        <v>224</v>
      </c>
      <c r="G2166" t="s">
        <v>111</v>
      </c>
      <c r="H2166" t="s">
        <v>125</v>
      </c>
      <c r="I2166">
        <v>2016</v>
      </c>
      <c r="J2166" t="s">
        <v>225</v>
      </c>
      <c r="K2166" t="s">
        <v>127</v>
      </c>
      <c r="L2166" t="s">
        <v>2411</v>
      </c>
      <c r="M2166" t="s">
        <v>2431</v>
      </c>
      <c r="N2166">
        <v>1</v>
      </c>
      <c r="O2166">
        <v>2020</v>
      </c>
      <c r="P2166">
        <v>1341.294982163728</v>
      </c>
      <c r="Q2166">
        <v>3.956165386225861</v>
      </c>
      <c r="R2166" t="s">
        <v>109</v>
      </c>
      <c r="S2166">
        <v>339.03915817920569</v>
      </c>
      <c r="T2166">
        <v>0.98</v>
      </c>
      <c r="U2166" t="s">
        <v>227</v>
      </c>
      <c r="V2166">
        <v>0.98</v>
      </c>
      <c r="W2166">
        <v>15</v>
      </c>
      <c r="X2166">
        <v>30</v>
      </c>
      <c r="Y2166">
        <v>23</v>
      </c>
      <c r="Z2166">
        <v>8.7856310855373987E-2</v>
      </c>
      <c r="AA2166">
        <v>31.536000000000001</v>
      </c>
    </row>
    <row r="2167" spans="1:27" x14ac:dyDescent="0.25">
      <c r="A2167" t="s">
        <v>98</v>
      </c>
      <c r="B2167" t="s">
        <v>99</v>
      </c>
      <c r="C2167" t="s">
        <v>1028</v>
      </c>
      <c r="D2167" t="s">
        <v>1707</v>
      </c>
      <c r="E2167" t="s">
        <v>179</v>
      </c>
      <c r="F2167" t="s">
        <v>228</v>
      </c>
      <c r="G2167" t="s">
        <v>103</v>
      </c>
      <c r="H2167" t="s">
        <v>104</v>
      </c>
      <c r="I2167">
        <v>2016</v>
      </c>
      <c r="J2167" t="s">
        <v>229</v>
      </c>
      <c r="K2167" t="s">
        <v>106</v>
      </c>
      <c r="L2167" t="s">
        <v>2411</v>
      </c>
      <c r="M2167" t="s">
        <v>2432</v>
      </c>
      <c r="N2167">
        <v>1</v>
      </c>
      <c r="O2167">
        <v>2020</v>
      </c>
      <c r="P2167">
        <v>2499.6861031233111</v>
      </c>
      <c r="Q2167">
        <v>3.956165386225861</v>
      </c>
      <c r="R2167" t="s">
        <v>109</v>
      </c>
      <c r="S2167">
        <v>631.8457038794287</v>
      </c>
      <c r="T2167">
        <v>0.8</v>
      </c>
      <c r="U2167" t="s">
        <v>227</v>
      </c>
      <c r="V2167">
        <v>0.8</v>
      </c>
      <c r="W2167">
        <v>16</v>
      </c>
      <c r="X2167">
        <v>27</v>
      </c>
      <c r="Y2167">
        <v>22</v>
      </c>
      <c r="Z2167">
        <v>8.7856310855373987E-2</v>
      </c>
      <c r="AA2167">
        <v>31.536000000000001</v>
      </c>
    </row>
    <row r="2168" spans="1:27" x14ac:dyDescent="0.25">
      <c r="A2168" t="s">
        <v>98</v>
      </c>
      <c r="B2168" t="s">
        <v>99</v>
      </c>
      <c r="C2168" t="s">
        <v>1028</v>
      </c>
      <c r="D2168" t="s">
        <v>1707</v>
      </c>
      <c r="E2168" t="s">
        <v>179</v>
      </c>
      <c r="F2168" t="s">
        <v>228</v>
      </c>
      <c r="G2168" t="s">
        <v>111</v>
      </c>
      <c r="H2168" t="s">
        <v>104</v>
      </c>
      <c r="I2168">
        <v>2016</v>
      </c>
      <c r="J2168" t="s">
        <v>231</v>
      </c>
      <c r="K2168" t="s">
        <v>106</v>
      </c>
      <c r="L2168" t="s">
        <v>2411</v>
      </c>
      <c r="M2168" t="s">
        <v>2433</v>
      </c>
      <c r="N2168">
        <v>0</v>
      </c>
      <c r="O2168">
        <v>2020</v>
      </c>
      <c r="P2168">
        <v>3182.5271849521182</v>
      </c>
      <c r="Q2168">
        <v>3.956165386225861</v>
      </c>
      <c r="R2168" t="s">
        <v>109</v>
      </c>
      <c r="S2168">
        <v>804.44745713429711</v>
      </c>
      <c r="T2168">
        <v>0.92</v>
      </c>
      <c r="U2168" t="s">
        <v>227</v>
      </c>
      <c r="V2168">
        <v>0.92</v>
      </c>
      <c r="W2168">
        <v>16</v>
      </c>
      <c r="X2168">
        <v>27</v>
      </c>
      <c r="Y2168">
        <v>22</v>
      </c>
      <c r="Z2168">
        <v>8.7856310855373987E-2</v>
      </c>
      <c r="AA2168">
        <v>31.536000000000001</v>
      </c>
    </row>
    <row r="2169" spans="1:27" x14ac:dyDescent="0.25">
      <c r="A2169" t="s">
        <v>98</v>
      </c>
      <c r="B2169" t="s">
        <v>99</v>
      </c>
      <c r="C2169" t="s">
        <v>1028</v>
      </c>
      <c r="D2169" t="s">
        <v>1707</v>
      </c>
      <c r="E2169" t="s">
        <v>179</v>
      </c>
      <c r="F2169" t="s">
        <v>228</v>
      </c>
      <c r="G2169" t="s">
        <v>111</v>
      </c>
      <c r="H2169" t="s">
        <v>104</v>
      </c>
      <c r="I2169">
        <v>2020</v>
      </c>
      <c r="J2169" t="s">
        <v>233</v>
      </c>
      <c r="K2169" t="s">
        <v>106</v>
      </c>
      <c r="L2169" t="s">
        <v>2411</v>
      </c>
      <c r="M2169" t="s">
        <v>2433</v>
      </c>
      <c r="N2169">
        <v>1</v>
      </c>
      <c r="O2169">
        <v>2020</v>
      </c>
      <c r="P2169">
        <v>3365.4310461562618</v>
      </c>
      <c r="Q2169">
        <v>3.956165386225861</v>
      </c>
      <c r="R2169" t="s">
        <v>109</v>
      </c>
      <c r="S2169">
        <v>850.68006961327956</v>
      </c>
      <c r="T2169">
        <v>0.92</v>
      </c>
      <c r="U2169" t="s">
        <v>227</v>
      </c>
      <c r="V2169">
        <v>0.92</v>
      </c>
      <c r="W2169">
        <v>16</v>
      </c>
      <c r="X2169">
        <v>27</v>
      </c>
      <c r="Y2169">
        <v>22</v>
      </c>
      <c r="Z2169">
        <v>8.7856310855373987E-2</v>
      </c>
      <c r="AA2169">
        <v>31.536000000000001</v>
      </c>
    </row>
    <row r="2170" spans="1:27" x14ac:dyDescent="0.25">
      <c r="A2170" t="s">
        <v>98</v>
      </c>
      <c r="B2170" t="s">
        <v>99</v>
      </c>
      <c r="C2170" t="s">
        <v>1028</v>
      </c>
      <c r="D2170" t="s">
        <v>1707</v>
      </c>
      <c r="E2170" t="s">
        <v>179</v>
      </c>
      <c r="F2170" t="s">
        <v>228</v>
      </c>
      <c r="G2170" t="s">
        <v>114</v>
      </c>
      <c r="H2170" t="s">
        <v>104</v>
      </c>
      <c r="I2170">
        <v>2016</v>
      </c>
      <c r="J2170" t="s">
        <v>234</v>
      </c>
      <c r="K2170" t="s">
        <v>106</v>
      </c>
      <c r="L2170" t="s">
        <v>2411</v>
      </c>
      <c r="M2170" t="s">
        <v>2434</v>
      </c>
      <c r="N2170">
        <v>1</v>
      </c>
      <c r="O2170">
        <v>2020</v>
      </c>
      <c r="P2170">
        <v>3341.043864662377</v>
      </c>
      <c r="Q2170">
        <v>3.956165386225861</v>
      </c>
      <c r="R2170" t="s">
        <v>109</v>
      </c>
      <c r="S2170">
        <v>844.5157212827487</v>
      </c>
      <c r="T2170">
        <v>0.95</v>
      </c>
      <c r="U2170" t="s">
        <v>227</v>
      </c>
      <c r="V2170">
        <v>0.95</v>
      </c>
      <c r="W2170">
        <v>16</v>
      </c>
      <c r="X2170">
        <v>27</v>
      </c>
      <c r="Y2170">
        <v>22</v>
      </c>
      <c r="Z2170">
        <v>8.7856310855373987E-2</v>
      </c>
      <c r="AA2170">
        <v>31.536000000000001</v>
      </c>
    </row>
    <row r="2171" spans="1:27" x14ac:dyDescent="0.25">
      <c r="A2171" t="s">
        <v>98</v>
      </c>
      <c r="B2171" t="s">
        <v>99</v>
      </c>
      <c r="C2171" t="s">
        <v>1028</v>
      </c>
      <c r="D2171" t="s">
        <v>1707</v>
      </c>
      <c r="E2171" t="s">
        <v>179</v>
      </c>
      <c r="F2171" t="s">
        <v>228</v>
      </c>
      <c r="G2171" t="s">
        <v>114</v>
      </c>
      <c r="H2171" t="s">
        <v>104</v>
      </c>
      <c r="I2171">
        <v>2022</v>
      </c>
      <c r="J2171" t="s">
        <v>236</v>
      </c>
      <c r="K2171" t="s">
        <v>106</v>
      </c>
      <c r="L2171" t="s">
        <v>2411</v>
      </c>
      <c r="M2171" t="s">
        <v>2435</v>
      </c>
      <c r="N2171">
        <v>1</v>
      </c>
      <c r="O2171">
        <v>2022</v>
      </c>
      <c r="P2171">
        <v>3341.043864662377</v>
      </c>
      <c r="Q2171">
        <v>3.956165386225861</v>
      </c>
      <c r="R2171" t="s">
        <v>109</v>
      </c>
      <c r="S2171">
        <v>844.5157212827487</v>
      </c>
      <c r="T2171">
        <v>0.95</v>
      </c>
      <c r="U2171" t="s">
        <v>227</v>
      </c>
      <c r="V2171">
        <v>0.95</v>
      </c>
      <c r="W2171">
        <v>16</v>
      </c>
      <c r="X2171">
        <v>27</v>
      </c>
      <c r="Y2171">
        <v>22</v>
      </c>
      <c r="Z2171">
        <v>8.7856310855373987E-2</v>
      </c>
      <c r="AA2171">
        <v>31.536000000000001</v>
      </c>
    </row>
    <row r="2172" spans="1:27" x14ac:dyDescent="0.25">
      <c r="A2172" t="s">
        <v>98</v>
      </c>
      <c r="B2172" t="s">
        <v>99</v>
      </c>
      <c r="C2172" t="s">
        <v>1028</v>
      </c>
      <c r="D2172" t="s">
        <v>1707</v>
      </c>
      <c r="E2172" t="s">
        <v>179</v>
      </c>
      <c r="F2172" t="s">
        <v>228</v>
      </c>
      <c r="G2172" t="s">
        <v>119</v>
      </c>
      <c r="H2172" t="s">
        <v>104</v>
      </c>
      <c r="I2172">
        <v>2016</v>
      </c>
      <c r="J2172" t="s">
        <v>238</v>
      </c>
      <c r="K2172" t="s">
        <v>106</v>
      </c>
      <c r="L2172" t="s">
        <v>2411</v>
      </c>
      <c r="M2172" t="s">
        <v>2436</v>
      </c>
      <c r="N2172">
        <v>1</v>
      </c>
      <c r="O2172">
        <v>2020</v>
      </c>
      <c r="P2172">
        <v>3706.851587070666</v>
      </c>
      <c r="Q2172">
        <v>3.956165386225861</v>
      </c>
      <c r="R2172" t="s">
        <v>109</v>
      </c>
      <c r="S2172">
        <v>936.98094624071371</v>
      </c>
      <c r="T2172">
        <v>0.99</v>
      </c>
      <c r="U2172" t="s">
        <v>227</v>
      </c>
      <c r="V2172">
        <v>0.99</v>
      </c>
      <c r="W2172">
        <v>16</v>
      </c>
      <c r="X2172">
        <v>27</v>
      </c>
      <c r="Y2172">
        <v>22</v>
      </c>
      <c r="Z2172">
        <v>8.7856310855373987E-2</v>
      </c>
      <c r="AA2172">
        <v>31.536000000000001</v>
      </c>
    </row>
    <row r="2173" spans="1:27" x14ac:dyDescent="0.25">
      <c r="A2173" t="s">
        <v>98</v>
      </c>
      <c r="B2173" t="s">
        <v>99</v>
      </c>
      <c r="C2173" t="s">
        <v>1028</v>
      </c>
      <c r="D2173" t="s">
        <v>1707</v>
      </c>
      <c r="E2173" t="s">
        <v>179</v>
      </c>
      <c r="F2173" t="s">
        <v>228</v>
      </c>
      <c r="G2173" t="s">
        <v>119</v>
      </c>
      <c r="H2173" t="s">
        <v>104</v>
      </c>
      <c r="I2173">
        <v>2022</v>
      </c>
      <c r="J2173" t="s">
        <v>240</v>
      </c>
      <c r="K2173" t="s">
        <v>106</v>
      </c>
      <c r="L2173" t="s">
        <v>2411</v>
      </c>
      <c r="M2173" t="s">
        <v>2437</v>
      </c>
      <c r="N2173">
        <v>1</v>
      </c>
      <c r="O2173">
        <v>2022</v>
      </c>
      <c r="P2173">
        <v>3706.851587070666</v>
      </c>
      <c r="Q2173">
        <v>3.956165386225861</v>
      </c>
      <c r="R2173" t="s">
        <v>109</v>
      </c>
      <c r="S2173">
        <v>936.98094624071371</v>
      </c>
      <c r="T2173">
        <v>0.99</v>
      </c>
      <c r="U2173" t="s">
        <v>227</v>
      </c>
      <c r="V2173">
        <v>0.99</v>
      </c>
      <c r="W2173">
        <v>16</v>
      </c>
      <c r="X2173">
        <v>27</v>
      </c>
      <c r="Y2173">
        <v>22</v>
      </c>
      <c r="Z2173">
        <v>8.7856310855373987E-2</v>
      </c>
      <c r="AA2173">
        <v>31.536000000000001</v>
      </c>
    </row>
    <row r="2174" spans="1:27" x14ac:dyDescent="0.25">
      <c r="A2174" t="s">
        <v>98</v>
      </c>
      <c r="B2174" t="s">
        <v>99</v>
      </c>
      <c r="C2174" t="s">
        <v>1028</v>
      </c>
      <c r="D2174" t="s">
        <v>1707</v>
      </c>
      <c r="E2174" t="s">
        <v>179</v>
      </c>
      <c r="F2174" t="s">
        <v>224</v>
      </c>
      <c r="G2174" t="s">
        <v>103</v>
      </c>
      <c r="H2174" t="s">
        <v>104</v>
      </c>
      <c r="I2174">
        <v>2016</v>
      </c>
      <c r="J2174" t="s">
        <v>242</v>
      </c>
      <c r="K2174" t="s">
        <v>106</v>
      </c>
      <c r="L2174" t="s">
        <v>2411</v>
      </c>
      <c r="M2174" t="s">
        <v>2438</v>
      </c>
      <c r="N2174">
        <v>1</v>
      </c>
      <c r="O2174">
        <v>2020</v>
      </c>
      <c r="P2174">
        <v>8748.901360931588</v>
      </c>
      <c r="Q2174">
        <v>3.956165386225861</v>
      </c>
      <c r="R2174" t="s">
        <v>109</v>
      </c>
      <c r="S2174">
        <v>2211.459963578</v>
      </c>
      <c r="T2174">
        <v>0.82</v>
      </c>
      <c r="U2174" t="s">
        <v>227</v>
      </c>
      <c r="V2174">
        <v>0.82</v>
      </c>
      <c r="W2174">
        <v>20</v>
      </c>
      <c r="X2174">
        <v>30</v>
      </c>
      <c r="Y2174">
        <v>26</v>
      </c>
      <c r="Z2174">
        <v>8.7856310855373987E-2</v>
      </c>
      <c r="AA2174">
        <v>31.536000000000001</v>
      </c>
    </row>
    <row r="2175" spans="1:27" x14ac:dyDescent="0.25">
      <c r="A2175" t="s">
        <v>98</v>
      </c>
      <c r="B2175" t="s">
        <v>99</v>
      </c>
      <c r="C2175" t="s">
        <v>1028</v>
      </c>
      <c r="D2175" t="s">
        <v>1707</v>
      </c>
      <c r="E2175" t="s">
        <v>179</v>
      </c>
      <c r="F2175" t="s">
        <v>224</v>
      </c>
      <c r="G2175" t="s">
        <v>103</v>
      </c>
      <c r="H2175" t="s">
        <v>104</v>
      </c>
      <c r="I2175">
        <v>2021</v>
      </c>
      <c r="J2175" t="s">
        <v>244</v>
      </c>
      <c r="K2175" t="s">
        <v>106</v>
      </c>
      <c r="L2175" t="s">
        <v>2411</v>
      </c>
      <c r="M2175" t="s">
        <v>2439</v>
      </c>
      <c r="N2175">
        <v>1</v>
      </c>
      <c r="O2175">
        <v>2021</v>
      </c>
      <c r="P2175">
        <v>8962.2891990030894</v>
      </c>
      <c r="Q2175">
        <v>3.956165386225861</v>
      </c>
      <c r="R2175" t="s">
        <v>109</v>
      </c>
      <c r="S2175">
        <v>2265.3980114701471</v>
      </c>
      <c r="T2175">
        <v>0.84</v>
      </c>
      <c r="U2175" t="s">
        <v>227</v>
      </c>
      <c r="V2175">
        <v>0.84</v>
      </c>
      <c r="W2175">
        <v>20</v>
      </c>
      <c r="X2175">
        <v>30</v>
      </c>
      <c r="Y2175">
        <v>26</v>
      </c>
      <c r="Z2175">
        <v>8.7856310855373987E-2</v>
      </c>
      <c r="AA2175">
        <v>31.536000000000001</v>
      </c>
    </row>
    <row r="2176" spans="1:27" x14ac:dyDescent="0.25">
      <c r="A2176" t="s">
        <v>98</v>
      </c>
      <c r="B2176" t="s">
        <v>99</v>
      </c>
      <c r="C2176" t="s">
        <v>1028</v>
      </c>
      <c r="D2176" t="s">
        <v>1707</v>
      </c>
      <c r="E2176" t="s">
        <v>179</v>
      </c>
      <c r="F2176" t="s">
        <v>224</v>
      </c>
      <c r="G2176" t="s">
        <v>111</v>
      </c>
      <c r="H2176" t="s">
        <v>104</v>
      </c>
      <c r="I2176">
        <v>2016</v>
      </c>
      <c r="J2176" t="s">
        <v>246</v>
      </c>
      <c r="K2176" t="s">
        <v>106</v>
      </c>
      <c r="L2176" t="s">
        <v>2411</v>
      </c>
      <c r="M2176" t="s">
        <v>2440</v>
      </c>
      <c r="N2176">
        <v>0</v>
      </c>
      <c r="O2176">
        <v>2020</v>
      </c>
      <c r="P2176">
        <v>8748.901360931588</v>
      </c>
      <c r="Q2176">
        <v>3.956165386225861</v>
      </c>
      <c r="R2176" t="s">
        <v>109</v>
      </c>
      <c r="S2176">
        <v>2211.459963578</v>
      </c>
      <c r="T2176">
        <v>0.82</v>
      </c>
      <c r="U2176" t="s">
        <v>227</v>
      </c>
      <c r="V2176">
        <v>0.82</v>
      </c>
      <c r="W2176">
        <v>20</v>
      </c>
      <c r="X2176">
        <v>30</v>
      </c>
      <c r="Y2176">
        <v>26</v>
      </c>
      <c r="Z2176">
        <v>8.7856310855373987E-2</v>
      </c>
      <c r="AA2176">
        <v>31.536000000000001</v>
      </c>
    </row>
    <row r="2177" spans="1:27" x14ac:dyDescent="0.25">
      <c r="A2177" t="s">
        <v>98</v>
      </c>
      <c r="B2177" t="s">
        <v>99</v>
      </c>
      <c r="C2177" t="s">
        <v>1028</v>
      </c>
      <c r="D2177" t="s">
        <v>1707</v>
      </c>
      <c r="E2177" t="s">
        <v>179</v>
      </c>
      <c r="F2177" t="s">
        <v>224</v>
      </c>
      <c r="G2177" t="s">
        <v>111</v>
      </c>
      <c r="H2177" t="s">
        <v>104</v>
      </c>
      <c r="I2177">
        <v>2020</v>
      </c>
      <c r="J2177" t="s">
        <v>248</v>
      </c>
      <c r="K2177" t="s">
        <v>106</v>
      </c>
      <c r="L2177" t="s">
        <v>2411</v>
      </c>
      <c r="M2177" t="s">
        <v>2440</v>
      </c>
      <c r="N2177">
        <v>1</v>
      </c>
      <c r="O2177">
        <v>2020</v>
      </c>
      <c r="P2177">
        <v>9602.4527132175954</v>
      </c>
      <c r="Q2177">
        <v>3.956165386225861</v>
      </c>
      <c r="R2177" t="s">
        <v>109</v>
      </c>
      <c r="S2177">
        <v>2427.2121551465862</v>
      </c>
      <c r="T2177">
        <v>0.9</v>
      </c>
      <c r="U2177" t="s">
        <v>227</v>
      </c>
      <c r="V2177">
        <v>0.9</v>
      </c>
      <c r="W2177">
        <v>20</v>
      </c>
      <c r="X2177">
        <v>30</v>
      </c>
      <c r="Y2177">
        <v>26</v>
      </c>
      <c r="Z2177">
        <v>8.7856310855373987E-2</v>
      </c>
      <c r="AA2177">
        <v>31.536000000000001</v>
      </c>
    </row>
    <row r="2178" spans="1:27" x14ac:dyDescent="0.25">
      <c r="A2178" t="s">
        <v>98</v>
      </c>
      <c r="B2178" t="s">
        <v>99</v>
      </c>
      <c r="C2178" t="s">
        <v>1028</v>
      </c>
      <c r="D2178" t="s">
        <v>1707</v>
      </c>
      <c r="E2178" t="s">
        <v>179</v>
      </c>
      <c r="F2178" t="s">
        <v>224</v>
      </c>
      <c r="G2178" t="s">
        <v>114</v>
      </c>
      <c r="H2178" t="s">
        <v>104</v>
      </c>
      <c r="I2178">
        <v>2016</v>
      </c>
      <c r="J2178" t="s">
        <v>249</v>
      </c>
      <c r="K2178" t="s">
        <v>106</v>
      </c>
      <c r="L2178" t="s">
        <v>2411</v>
      </c>
      <c r="M2178" t="s">
        <v>2441</v>
      </c>
      <c r="N2178">
        <v>1</v>
      </c>
      <c r="O2178">
        <v>2020</v>
      </c>
      <c r="P2178">
        <v>9602.4527132175954</v>
      </c>
      <c r="Q2178">
        <v>3.956165386225861</v>
      </c>
      <c r="R2178" t="s">
        <v>109</v>
      </c>
      <c r="S2178">
        <v>2427.2121551465862</v>
      </c>
      <c r="T2178">
        <v>0.9</v>
      </c>
      <c r="U2178" t="s">
        <v>227</v>
      </c>
      <c r="V2178">
        <v>0.9</v>
      </c>
      <c r="W2178">
        <v>20</v>
      </c>
      <c r="X2178">
        <v>30</v>
      </c>
      <c r="Y2178">
        <v>26</v>
      </c>
      <c r="Z2178">
        <v>8.7856310855373987E-2</v>
      </c>
      <c r="AA2178">
        <v>31.536000000000001</v>
      </c>
    </row>
    <row r="2179" spans="1:27" x14ac:dyDescent="0.25">
      <c r="A2179" t="s">
        <v>98</v>
      </c>
      <c r="B2179" t="s">
        <v>99</v>
      </c>
      <c r="C2179" t="s">
        <v>1028</v>
      </c>
      <c r="D2179" t="s">
        <v>1707</v>
      </c>
      <c r="E2179" t="s">
        <v>179</v>
      </c>
      <c r="F2179" t="s">
        <v>224</v>
      </c>
      <c r="G2179" t="s">
        <v>119</v>
      </c>
      <c r="H2179" t="s">
        <v>104</v>
      </c>
      <c r="I2179">
        <v>2016</v>
      </c>
      <c r="J2179" t="s">
        <v>251</v>
      </c>
      <c r="K2179" t="s">
        <v>106</v>
      </c>
      <c r="L2179" t="s">
        <v>2411</v>
      </c>
      <c r="M2179" t="s">
        <v>2442</v>
      </c>
      <c r="N2179">
        <v>1</v>
      </c>
      <c r="O2179">
        <v>2020</v>
      </c>
      <c r="P2179">
        <v>10882.779741646609</v>
      </c>
      <c r="Q2179">
        <v>3.956165386225861</v>
      </c>
      <c r="R2179" t="s">
        <v>109</v>
      </c>
      <c r="S2179">
        <v>2750.8404424994642</v>
      </c>
      <c r="T2179">
        <v>0.97</v>
      </c>
      <c r="U2179" t="s">
        <v>227</v>
      </c>
      <c r="V2179">
        <v>0.97</v>
      </c>
      <c r="W2179">
        <v>20</v>
      </c>
      <c r="X2179">
        <v>30</v>
      </c>
      <c r="Y2179">
        <v>26</v>
      </c>
      <c r="Z2179">
        <v>8.7856310855373987E-2</v>
      </c>
      <c r="AA2179">
        <v>31.536000000000001</v>
      </c>
    </row>
    <row r="2180" spans="1:27" x14ac:dyDescent="0.25">
      <c r="A2180" t="s">
        <v>98</v>
      </c>
      <c r="B2180" t="s">
        <v>99</v>
      </c>
      <c r="C2180" t="s">
        <v>1028</v>
      </c>
      <c r="D2180" t="s">
        <v>1707</v>
      </c>
      <c r="E2180" t="s">
        <v>179</v>
      </c>
      <c r="F2180" t="s">
        <v>224</v>
      </c>
      <c r="G2180" t="s">
        <v>119</v>
      </c>
      <c r="H2180" t="s">
        <v>104</v>
      </c>
      <c r="I2180">
        <v>2022</v>
      </c>
      <c r="J2180" t="s">
        <v>253</v>
      </c>
      <c r="K2180" t="s">
        <v>106</v>
      </c>
      <c r="L2180" t="s">
        <v>2411</v>
      </c>
      <c r="M2180" t="s">
        <v>2443</v>
      </c>
      <c r="N2180">
        <v>1</v>
      </c>
      <c r="O2180">
        <v>2022</v>
      </c>
      <c r="P2180">
        <v>10882.779741646609</v>
      </c>
      <c r="Q2180">
        <v>3.956165386225861</v>
      </c>
      <c r="R2180" t="s">
        <v>109</v>
      </c>
      <c r="S2180">
        <v>2750.8404424994642</v>
      </c>
      <c r="T2180">
        <v>0.97</v>
      </c>
      <c r="U2180" t="s">
        <v>227</v>
      </c>
      <c r="V2180">
        <v>0.97</v>
      </c>
      <c r="W2180">
        <v>20</v>
      </c>
      <c r="X2180">
        <v>30</v>
      </c>
      <c r="Y2180">
        <v>26</v>
      </c>
      <c r="Z2180">
        <v>8.7856310855373987E-2</v>
      </c>
      <c r="AA2180">
        <v>31.536000000000001</v>
      </c>
    </row>
    <row r="2181" spans="1:27" x14ac:dyDescent="0.25">
      <c r="A2181" t="s">
        <v>98</v>
      </c>
      <c r="B2181" t="s">
        <v>99</v>
      </c>
      <c r="C2181" t="s">
        <v>1028</v>
      </c>
      <c r="D2181" t="s">
        <v>1707</v>
      </c>
      <c r="E2181" t="s">
        <v>179</v>
      </c>
      <c r="F2181" t="s">
        <v>228</v>
      </c>
      <c r="G2181" t="s">
        <v>103</v>
      </c>
      <c r="H2181" t="s">
        <v>255</v>
      </c>
      <c r="I2181">
        <v>2016</v>
      </c>
      <c r="J2181" t="s">
        <v>256</v>
      </c>
      <c r="K2181" t="s">
        <v>257</v>
      </c>
      <c r="L2181" t="s">
        <v>2411</v>
      </c>
      <c r="M2181" t="s">
        <v>2444</v>
      </c>
      <c r="N2181">
        <v>1</v>
      </c>
      <c r="O2181">
        <v>2020</v>
      </c>
      <c r="P2181">
        <v>5029.8561831139787</v>
      </c>
      <c r="Q2181">
        <v>3.956165386225861</v>
      </c>
      <c r="R2181" t="s">
        <v>109</v>
      </c>
      <c r="S2181">
        <v>1271.3968431720209</v>
      </c>
      <c r="T2181">
        <v>0.83</v>
      </c>
      <c r="U2181" t="s">
        <v>227</v>
      </c>
      <c r="V2181">
        <v>0.83</v>
      </c>
      <c r="W2181">
        <v>19.7</v>
      </c>
      <c r="X2181">
        <v>33.1</v>
      </c>
      <c r="Y2181">
        <v>27</v>
      </c>
      <c r="Z2181">
        <v>8.7856310855373987E-2</v>
      </c>
      <c r="AA2181">
        <v>31.536000000000001</v>
      </c>
    </row>
    <row r="2182" spans="1:27" x14ac:dyDescent="0.25">
      <c r="A2182" t="s">
        <v>98</v>
      </c>
      <c r="B2182" t="s">
        <v>99</v>
      </c>
      <c r="C2182" t="s">
        <v>1028</v>
      </c>
      <c r="D2182" t="s">
        <v>1707</v>
      </c>
      <c r="E2182" t="s">
        <v>179</v>
      </c>
      <c r="F2182" t="s">
        <v>228</v>
      </c>
      <c r="G2182" t="s">
        <v>111</v>
      </c>
      <c r="H2182" t="s">
        <v>255</v>
      </c>
      <c r="I2182">
        <v>2016</v>
      </c>
      <c r="J2182" t="s">
        <v>259</v>
      </c>
      <c r="K2182" t="s">
        <v>257</v>
      </c>
      <c r="L2182" t="s">
        <v>2411</v>
      </c>
      <c r="M2182" t="s">
        <v>2445</v>
      </c>
      <c r="N2182">
        <v>0</v>
      </c>
      <c r="O2182">
        <v>2020</v>
      </c>
      <c r="P2182">
        <v>5029.8561831139787</v>
      </c>
      <c r="Q2182">
        <v>3.956165386225861</v>
      </c>
      <c r="R2182" t="s">
        <v>109</v>
      </c>
      <c r="S2182">
        <v>1271.3968431720209</v>
      </c>
      <c r="T2182">
        <v>0.83</v>
      </c>
      <c r="U2182" t="s">
        <v>227</v>
      </c>
      <c r="V2182">
        <v>0.83</v>
      </c>
      <c r="W2182">
        <v>19.7</v>
      </c>
      <c r="X2182">
        <v>33.1</v>
      </c>
      <c r="Y2182">
        <v>27</v>
      </c>
      <c r="Z2182">
        <v>8.7856310855373987E-2</v>
      </c>
      <c r="AA2182">
        <v>31.536000000000001</v>
      </c>
    </row>
    <row r="2183" spans="1:27" x14ac:dyDescent="0.25">
      <c r="A2183" t="s">
        <v>98</v>
      </c>
      <c r="B2183" t="s">
        <v>99</v>
      </c>
      <c r="C2183" t="s">
        <v>1028</v>
      </c>
      <c r="D2183" t="s">
        <v>1707</v>
      </c>
      <c r="E2183" t="s">
        <v>179</v>
      </c>
      <c r="F2183" t="s">
        <v>228</v>
      </c>
      <c r="G2183" t="s">
        <v>111</v>
      </c>
      <c r="H2183" t="s">
        <v>255</v>
      </c>
      <c r="I2183">
        <v>2020</v>
      </c>
      <c r="J2183" t="s">
        <v>261</v>
      </c>
      <c r="K2183" t="s">
        <v>257</v>
      </c>
      <c r="L2183" t="s">
        <v>2411</v>
      </c>
      <c r="M2183" t="s">
        <v>2445</v>
      </c>
      <c r="N2183">
        <v>1</v>
      </c>
      <c r="O2183">
        <v>2020</v>
      </c>
      <c r="P2183">
        <v>5151.7920905834089</v>
      </c>
      <c r="Q2183">
        <v>3.956165386225861</v>
      </c>
      <c r="R2183" t="s">
        <v>109</v>
      </c>
      <c r="S2183">
        <v>1302.2185848246761</v>
      </c>
      <c r="T2183">
        <v>0.84</v>
      </c>
      <c r="U2183" t="s">
        <v>227</v>
      </c>
      <c r="V2183">
        <v>0.84</v>
      </c>
      <c r="W2183">
        <v>19.7</v>
      </c>
      <c r="X2183">
        <v>33.1</v>
      </c>
      <c r="Y2183">
        <v>27</v>
      </c>
      <c r="Z2183">
        <v>8.7856310855373987E-2</v>
      </c>
      <c r="AA2183">
        <v>31.536000000000001</v>
      </c>
    </row>
    <row r="2184" spans="1:27" x14ac:dyDescent="0.25">
      <c r="A2184" t="s">
        <v>98</v>
      </c>
      <c r="B2184" t="s">
        <v>99</v>
      </c>
      <c r="C2184" t="s">
        <v>1028</v>
      </c>
      <c r="D2184" t="s">
        <v>1707</v>
      </c>
      <c r="E2184" t="s">
        <v>179</v>
      </c>
      <c r="F2184" t="s">
        <v>228</v>
      </c>
      <c r="G2184" t="s">
        <v>114</v>
      </c>
      <c r="H2184" t="s">
        <v>255</v>
      </c>
      <c r="I2184">
        <v>2016</v>
      </c>
      <c r="J2184" t="s">
        <v>262</v>
      </c>
      <c r="K2184" t="s">
        <v>257</v>
      </c>
      <c r="L2184" t="s">
        <v>2411</v>
      </c>
      <c r="M2184" t="s">
        <v>2446</v>
      </c>
      <c r="N2184">
        <v>1</v>
      </c>
      <c r="O2184">
        <v>2020</v>
      </c>
      <c r="P2184">
        <v>5304.2119749201956</v>
      </c>
      <c r="Q2184">
        <v>3.956165386225861</v>
      </c>
      <c r="R2184" t="s">
        <v>109</v>
      </c>
      <c r="S2184">
        <v>1340.745761890495</v>
      </c>
      <c r="T2184">
        <v>0.85</v>
      </c>
      <c r="U2184" t="s">
        <v>227</v>
      </c>
      <c r="V2184">
        <v>0.85</v>
      </c>
      <c r="W2184">
        <v>19.7</v>
      </c>
      <c r="X2184">
        <v>33.1</v>
      </c>
      <c r="Y2184">
        <v>27</v>
      </c>
      <c r="Z2184">
        <v>8.7856310855373987E-2</v>
      </c>
      <c r="AA2184">
        <v>31.536000000000001</v>
      </c>
    </row>
    <row r="2185" spans="1:27" x14ac:dyDescent="0.25">
      <c r="A2185" t="s">
        <v>98</v>
      </c>
      <c r="B2185" t="s">
        <v>99</v>
      </c>
      <c r="C2185" t="s">
        <v>1028</v>
      </c>
      <c r="D2185" t="s">
        <v>1707</v>
      </c>
      <c r="E2185" t="s">
        <v>179</v>
      </c>
      <c r="F2185" t="s">
        <v>228</v>
      </c>
      <c r="G2185" t="s">
        <v>119</v>
      </c>
      <c r="H2185" t="s">
        <v>255</v>
      </c>
      <c r="I2185">
        <v>2016</v>
      </c>
      <c r="J2185" t="s">
        <v>264</v>
      </c>
      <c r="K2185" t="s">
        <v>257</v>
      </c>
      <c r="L2185" t="s">
        <v>2411</v>
      </c>
      <c r="M2185" t="s">
        <v>2447</v>
      </c>
      <c r="N2185">
        <v>0</v>
      </c>
      <c r="O2185">
        <v>2020</v>
      </c>
      <c r="P2185">
        <v>7864.8660317782214</v>
      </c>
      <c r="Q2185">
        <v>3.956165386225861</v>
      </c>
      <c r="R2185" t="s">
        <v>109</v>
      </c>
      <c r="S2185">
        <v>1988.0023365962511</v>
      </c>
      <c r="T2185">
        <v>0.97</v>
      </c>
      <c r="U2185" t="s">
        <v>227</v>
      </c>
      <c r="V2185">
        <v>0.97</v>
      </c>
      <c r="W2185">
        <v>19.7</v>
      </c>
      <c r="X2185">
        <v>33.1</v>
      </c>
      <c r="Y2185">
        <v>27</v>
      </c>
      <c r="Z2185">
        <v>8.7856310855373987E-2</v>
      </c>
      <c r="AA2185">
        <v>31.536000000000001</v>
      </c>
    </row>
    <row r="2186" spans="1:27" x14ac:dyDescent="0.25">
      <c r="A2186" t="s">
        <v>98</v>
      </c>
      <c r="B2186" t="s">
        <v>99</v>
      </c>
      <c r="C2186" t="s">
        <v>1028</v>
      </c>
      <c r="D2186" t="s">
        <v>1707</v>
      </c>
      <c r="E2186" t="s">
        <v>179</v>
      </c>
      <c r="F2186" t="s">
        <v>228</v>
      </c>
      <c r="G2186" t="s">
        <v>119</v>
      </c>
      <c r="H2186" t="s">
        <v>255</v>
      </c>
      <c r="I2186">
        <v>2020</v>
      </c>
      <c r="J2186" t="s">
        <v>266</v>
      </c>
      <c r="K2186" t="s">
        <v>257</v>
      </c>
      <c r="L2186" t="s">
        <v>2411</v>
      </c>
      <c r="M2186" t="s">
        <v>2447</v>
      </c>
      <c r="N2186">
        <v>1</v>
      </c>
      <c r="O2186">
        <v>2020</v>
      </c>
      <c r="P2186">
        <v>7864.8660317782214</v>
      </c>
      <c r="Q2186">
        <v>3.956165386225861</v>
      </c>
      <c r="R2186" t="s">
        <v>109</v>
      </c>
      <c r="S2186">
        <v>1988.0023365962511</v>
      </c>
      <c r="T2186">
        <v>0.97</v>
      </c>
      <c r="U2186" t="s">
        <v>227</v>
      </c>
      <c r="V2186">
        <v>0.97</v>
      </c>
      <c r="W2186">
        <v>19.7</v>
      </c>
      <c r="X2186">
        <v>33.1</v>
      </c>
      <c r="Y2186">
        <v>27</v>
      </c>
      <c r="Z2186">
        <v>8.7856310855373987E-2</v>
      </c>
      <c r="AA2186">
        <v>31.536000000000001</v>
      </c>
    </row>
    <row r="2187" spans="1:27" x14ac:dyDescent="0.25">
      <c r="A2187" t="s">
        <v>98</v>
      </c>
      <c r="B2187" t="s">
        <v>99</v>
      </c>
      <c r="C2187" t="s">
        <v>1028</v>
      </c>
      <c r="D2187" t="s">
        <v>1707</v>
      </c>
      <c r="E2187" t="s">
        <v>179</v>
      </c>
      <c r="F2187" t="s">
        <v>228</v>
      </c>
      <c r="G2187" t="s">
        <v>103</v>
      </c>
      <c r="H2187" t="s">
        <v>156</v>
      </c>
      <c r="I2187">
        <v>2016</v>
      </c>
      <c r="J2187" t="s">
        <v>267</v>
      </c>
      <c r="K2187" t="s">
        <v>158</v>
      </c>
      <c r="L2187" t="s">
        <v>2411</v>
      </c>
      <c r="M2187" t="s">
        <v>2448</v>
      </c>
      <c r="N2187">
        <v>1</v>
      </c>
      <c r="O2187">
        <v>2020</v>
      </c>
      <c r="P2187">
        <v>2499.6861031233111</v>
      </c>
      <c r="Q2187">
        <v>3.956165386225861</v>
      </c>
      <c r="R2187" t="s">
        <v>109</v>
      </c>
      <c r="S2187">
        <v>631.8457038794287</v>
      </c>
      <c r="T2187">
        <v>0.8</v>
      </c>
      <c r="U2187" t="s">
        <v>227</v>
      </c>
      <c r="V2187">
        <v>0.8</v>
      </c>
      <c r="W2187">
        <v>16</v>
      </c>
      <c r="X2187">
        <v>27</v>
      </c>
      <c r="Y2187">
        <v>22</v>
      </c>
      <c r="Z2187">
        <v>8.7856310855373987E-2</v>
      </c>
      <c r="AA2187">
        <v>31.536000000000001</v>
      </c>
    </row>
    <row r="2188" spans="1:27" x14ac:dyDescent="0.25">
      <c r="A2188" t="s">
        <v>98</v>
      </c>
      <c r="B2188" t="s">
        <v>99</v>
      </c>
      <c r="C2188" t="s">
        <v>1028</v>
      </c>
      <c r="D2188" t="s">
        <v>1707</v>
      </c>
      <c r="E2188" t="s">
        <v>179</v>
      </c>
      <c r="F2188" t="s">
        <v>228</v>
      </c>
      <c r="G2188" t="s">
        <v>111</v>
      </c>
      <c r="H2188" t="s">
        <v>156</v>
      </c>
      <c r="I2188">
        <v>2016</v>
      </c>
      <c r="J2188" t="s">
        <v>269</v>
      </c>
      <c r="K2188" t="s">
        <v>158</v>
      </c>
      <c r="L2188" t="s">
        <v>2411</v>
      </c>
      <c r="M2188" t="s">
        <v>2449</v>
      </c>
      <c r="N2188">
        <v>0</v>
      </c>
      <c r="O2188">
        <v>2020</v>
      </c>
      <c r="P2188">
        <v>3182.5271849521182</v>
      </c>
      <c r="Q2188">
        <v>3.956165386225861</v>
      </c>
      <c r="R2188" t="s">
        <v>109</v>
      </c>
      <c r="S2188">
        <v>804.44745713429711</v>
      </c>
      <c r="T2188">
        <v>0.92</v>
      </c>
      <c r="U2188" t="s">
        <v>227</v>
      </c>
      <c r="V2188">
        <v>0.92</v>
      </c>
      <c r="W2188">
        <v>16</v>
      </c>
      <c r="X2188">
        <v>27</v>
      </c>
      <c r="Y2188">
        <v>22</v>
      </c>
      <c r="Z2188">
        <v>8.7856310855373987E-2</v>
      </c>
      <c r="AA2188">
        <v>31.536000000000001</v>
      </c>
    </row>
    <row r="2189" spans="1:27" x14ac:dyDescent="0.25">
      <c r="A2189" t="s">
        <v>98</v>
      </c>
      <c r="B2189" t="s">
        <v>99</v>
      </c>
      <c r="C2189" t="s">
        <v>1028</v>
      </c>
      <c r="D2189" t="s">
        <v>1707</v>
      </c>
      <c r="E2189" t="s">
        <v>179</v>
      </c>
      <c r="F2189" t="s">
        <v>228</v>
      </c>
      <c r="G2189" t="s">
        <v>111</v>
      </c>
      <c r="H2189" t="s">
        <v>156</v>
      </c>
      <c r="I2189">
        <v>2020</v>
      </c>
      <c r="J2189" t="s">
        <v>271</v>
      </c>
      <c r="K2189" t="s">
        <v>158</v>
      </c>
      <c r="L2189" t="s">
        <v>2411</v>
      </c>
      <c r="M2189" t="s">
        <v>2449</v>
      </c>
      <c r="N2189">
        <v>1</v>
      </c>
      <c r="O2189">
        <v>2020</v>
      </c>
      <c r="P2189">
        <v>3365.4310461562618</v>
      </c>
      <c r="Q2189">
        <v>3.956165386225861</v>
      </c>
      <c r="R2189" t="s">
        <v>109</v>
      </c>
      <c r="S2189">
        <v>850.68006961327956</v>
      </c>
      <c r="T2189">
        <v>0.92</v>
      </c>
      <c r="U2189" t="s">
        <v>227</v>
      </c>
      <c r="V2189">
        <v>0.92</v>
      </c>
      <c r="W2189">
        <v>16</v>
      </c>
      <c r="X2189">
        <v>27</v>
      </c>
      <c r="Y2189">
        <v>22</v>
      </c>
      <c r="Z2189">
        <v>8.7856310855373987E-2</v>
      </c>
      <c r="AA2189">
        <v>31.536000000000001</v>
      </c>
    </row>
    <row r="2190" spans="1:27" x14ac:dyDescent="0.25">
      <c r="A2190" t="s">
        <v>98</v>
      </c>
      <c r="B2190" t="s">
        <v>99</v>
      </c>
      <c r="C2190" t="s">
        <v>1028</v>
      </c>
      <c r="D2190" t="s">
        <v>1707</v>
      </c>
      <c r="E2190" t="s">
        <v>179</v>
      </c>
      <c r="F2190" t="s">
        <v>228</v>
      </c>
      <c r="G2190" t="s">
        <v>114</v>
      </c>
      <c r="H2190" t="s">
        <v>156</v>
      </c>
      <c r="I2190">
        <v>2016</v>
      </c>
      <c r="J2190" t="s">
        <v>272</v>
      </c>
      <c r="K2190" t="s">
        <v>158</v>
      </c>
      <c r="L2190" t="s">
        <v>2411</v>
      </c>
      <c r="M2190" t="s">
        <v>2450</v>
      </c>
      <c r="N2190">
        <v>1</v>
      </c>
      <c r="O2190">
        <v>2020</v>
      </c>
      <c r="P2190">
        <v>3341.043864662377</v>
      </c>
      <c r="Q2190">
        <v>3.956165386225861</v>
      </c>
      <c r="R2190" t="s">
        <v>109</v>
      </c>
      <c r="S2190">
        <v>844.5157212827487</v>
      </c>
      <c r="T2190">
        <v>0.95</v>
      </c>
      <c r="U2190" t="s">
        <v>227</v>
      </c>
      <c r="V2190">
        <v>0.95</v>
      </c>
      <c r="W2190">
        <v>16</v>
      </c>
      <c r="X2190">
        <v>27</v>
      </c>
      <c r="Y2190">
        <v>22</v>
      </c>
      <c r="Z2190">
        <v>8.7856310855373987E-2</v>
      </c>
      <c r="AA2190">
        <v>31.536000000000001</v>
      </c>
    </row>
    <row r="2191" spans="1:27" x14ac:dyDescent="0.25">
      <c r="A2191" t="s">
        <v>98</v>
      </c>
      <c r="B2191" t="s">
        <v>99</v>
      </c>
      <c r="C2191" t="s">
        <v>1028</v>
      </c>
      <c r="D2191" t="s">
        <v>1707</v>
      </c>
      <c r="E2191" t="s">
        <v>179</v>
      </c>
      <c r="F2191" t="s">
        <v>228</v>
      </c>
      <c r="G2191" t="s">
        <v>114</v>
      </c>
      <c r="H2191" t="s">
        <v>156</v>
      </c>
      <c r="I2191">
        <v>2022</v>
      </c>
      <c r="J2191" t="s">
        <v>274</v>
      </c>
      <c r="K2191" t="s">
        <v>158</v>
      </c>
      <c r="L2191" t="s">
        <v>2411</v>
      </c>
      <c r="M2191" t="s">
        <v>2451</v>
      </c>
      <c r="N2191">
        <v>1</v>
      </c>
      <c r="O2191">
        <v>2022</v>
      </c>
      <c r="P2191">
        <v>3341.043864662377</v>
      </c>
      <c r="Q2191">
        <v>3.956165386225861</v>
      </c>
      <c r="R2191" t="s">
        <v>109</v>
      </c>
      <c r="S2191">
        <v>844.5157212827487</v>
      </c>
      <c r="T2191">
        <v>0.95</v>
      </c>
      <c r="U2191" t="s">
        <v>227</v>
      </c>
      <c r="V2191">
        <v>0.95</v>
      </c>
      <c r="W2191">
        <v>16</v>
      </c>
      <c r="X2191">
        <v>27</v>
      </c>
      <c r="Y2191">
        <v>22</v>
      </c>
      <c r="Z2191">
        <v>8.7856310855373987E-2</v>
      </c>
      <c r="AA2191">
        <v>31.536000000000001</v>
      </c>
    </row>
    <row r="2192" spans="1:27" x14ac:dyDescent="0.25">
      <c r="A2192" t="s">
        <v>98</v>
      </c>
      <c r="B2192" t="s">
        <v>99</v>
      </c>
      <c r="C2192" t="s">
        <v>1028</v>
      </c>
      <c r="D2192" t="s">
        <v>1707</v>
      </c>
      <c r="E2192" t="s">
        <v>179</v>
      </c>
      <c r="F2192" t="s">
        <v>228</v>
      </c>
      <c r="G2192" t="s">
        <v>119</v>
      </c>
      <c r="H2192" t="s">
        <v>156</v>
      </c>
      <c r="I2192">
        <v>2016</v>
      </c>
      <c r="J2192" t="s">
        <v>276</v>
      </c>
      <c r="K2192" t="s">
        <v>158</v>
      </c>
      <c r="L2192" t="s">
        <v>2411</v>
      </c>
      <c r="M2192" t="s">
        <v>2452</v>
      </c>
      <c r="N2192">
        <v>1</v>
      </c>
      <c r="O2192">
        <v>2020</v>
      </c>
      <c r="P2192">
        <v>3706.851587070666</v>
      </c>
      <c r="Q2192">
        <v>3.956165386225861</v>
      </c>
      <c r="R2192" t="s">
        <v>109</v>
      </c>
      <c r="S2192">
        <v>936.98094624071371</v>
      </c>
      <c r="T2192">
        <v>0.99</v>
      </c>
      <c r="U2192" t="s">
        <v>227</v>
      </c>
      <c r="V2192">
        <v>0.99</v>
      </c>
      <c r="W2192">
        <v>16</v>
      </c>
      <c r="X2192">
        <v>27</v>
      </c>
      <c r="Y2192">
        <v>22</v>
      </c>
      <c r="Z2192">
        <v>8.7856310855373987E-2</v>
      </c>
      <c r="AA2192">
        <v>31.536000000000001</v>
      </c>
    </row>
    <row r="2193" spans="1:27" x14ac:dyDescent="0.25">
      <c r="A2193" t="s">
        <v>98</v>
      </c>
      <c r="B2193" t="s">
        <v>99</v>
      </c>
      <c r="C2193" t="s">
        <v>1028</v>
      </c>
      <c r="D2193" t="s">
        <v>1707</v>
      </c>
      <c r="E2193" t="s">
        <v>179</v>
      </c>
      <c r="F2193" t="s">
        <v>228</v>
      </c>
      <c r="G2193" t="s">
        <v>119</v>
      </c>
      <c r="H2193" t="s">
        <v>156</v>
      </c>
      <c r="I2193">
        <v>2022</v>
      </c>
      <c r="J2193" t="s">
        <v>278</v>
      </c>
      <c r="K2193" t="s">
        <v>158</v>
      </c>
      <c r="L2193" t="s">
        <v>2411</v>
      </c>
      <c r="M2193" t="s">
        <v>2453</v>
      </c>
      <c r="N2193">
        <v>1</v>
      </c>
      <c r="O2193">
        <v>2022</v>
      </c>
      <c r="P2193">
        <v>3706.851587070666</v>
      </c>
      <c r="Q2193">
        <v>3.956165386225861</v>
      </c>
      <c r="R2193" t="s">
        <v>109</v>
      </c>
      <c r="S2193">
        <v>936.98094624071371</v>
      </c>
      <c r="T2193">
        <v>0.99</v>
      </c>
      <c r="U2193" t="s">
        <v>227</v>
      </c>
      <c r="V2193">
        <v>0.99</v>
      </c>
      <c r="W2193">
        <v>16</v>
      </c>
      <c r="X2193">
        <v>27</v>
      </c>
      <c r="Y2193">
        <v>22</v>
      </c>
      <c r="Z2193">
        <v>8.7856310855373987E-2</v>
      </c>
      <c r="AA2193">
        <v>31.536000000000001</v>
      </c>
    </row>
    <row r="2194" spans="1:27" x14ac:dyDescent="0.25">
      <c r="A2194" t="s">
        <v>98</v>
      </c>
      <c r="B2194" t="s">
        <v>99</v>
      </c>
      <c r="C2194" t="s">
        <v>1028</v>
      </c>
      <c r="D2194" t="s">
        <v>1707</v>
      </c>
      <c r="E2194" t="s">
        <v>179</v>
      </c>
      <c r="F2194" t="s">
        <v>228</v>
      </c>
      <c r="G2194" t="s">
        <v>103</v>
      </c>
      <c r="H2194" t="s">
        <v>148</v>
      </c>
      <c r="I2194">
        <v>2016</v>
      </c>
      <c r="J2194" t="s">
        <v>280</v>
      </c>
      <c r="K2194" t="s">
        <v>150</v>
      </c>
      <c r="L2194" t="s">
        <v>2411</v>
      </c>
      <c r="M2194" t="s">
        <v>2454</v>
      </c>
      <c r="N2194">
        <v>1</v>
      </c>
      <c r="O2194">
        <v>2020</v>
      </c>
      <c r="P2194">
        <v>5029.8561831139787</v>
      </c>
      <c r="Q2194">
        <v>3.956165386225861</v>
      </c>
      <c r="R2194" t="s">
        <v>109</v>
      </c>
      <c r="S2194">
        <v>1271.3968431720209</v>
      </c>
      <c r="T2194">
        <v>0.83</v>
      </c>
      <c r="U2194" t="s">
        <v>227</v>
      </c>
      <c r="V2194">
        <v>0.83</v>
      </c>
      <c r="W2194">
        <v>19.7</v>
      </c>
      <c r="X2194">
        <v>33.1</v>
      </c>
      <c r="Y2194">
        <v>27</v>
      </c>
      <c r="Z2194">
        <v>8.7856310855373987E-2</v>
      </c>
      <c r="AA2194">
        <v>31.536000000000001</v>
      </c>
    </row>
    <row r="2195" spans="1:27" x14ac:dyDescent="0.25">
      <c r="A2195" t="s">
        <v>98</v>
      </c>
      <c r="B2195" t="s">
        <v>99</v>
      </c>
      <c r="C2195" t="s">
        <v>1028</v>
      </c>
      <c r="D2195" t="s">
        <v>1707</v>
      </c>
      <c r="E2195" t="s">
        <v>179</v>
      </c>
      <c r="F2195" t="s">
        <v>228</v>
      </c>
      <c r="G2195" t="s">
        <v>111</v>
      </c>
      <c r="H2195" t="s">
        <v>148</v>
      </c>
      <c r="I2195">
        <v>2016</v>
      </c>
      <c r="J2195" t="s">
        <v>282</v>
      </c>
      <c r="K2195" t="s">
        <v>150</v>
      </c>
      <c r="L2195" t="s">
        <v>2411</v>
      </c>
      <c r="M2195" t="s">
        <v>2455</v>
      </c>
      <c r="N2195">
        <v>1</v>
      </c>
      <c r="O2195">
        <v>2020</v>
      </c>
      <c r="P2195">
        <v>5029.8561831139787</v>
      </c>
      <c r="Q2195">
        <v>3.956165386225861</v>
      </c>
      <c r="R2195" t="s">
        <v>109</v>
      </c>
      <c r="S2195">
        <v>1271.3968431720209</v>
      </c>
      <c r="T2195">
        <v>0.83</v>
      </c>
      <c r="U2195" t="s">
        <v>227</v>
      </c>
      <c r="V2195">
        <v>0.83</v>
      </c>
      <c r="W2195">
        <v>19.7</v>
      </c>
      <c r="X2195">
        <v>33.1</v>
      </c>
      <c r="Y2195">
        <v>27</v>
      </c>
      <c r="Z2195">
        <v>8.7856310855373987E-2</v>
      </c>
      <c r="AA2195">
        <v>31.536000000000001</v>
      </c>
    </row>
    <row r="2196" spans="1:27" x14ac:dyDescent="0.25">
      <c r="A2196" t="s">
        <v>98</v>
      </c>
      <c r="B2196" t="s">
        <v>99</v>
      </c>
      <c r="C2196" t="s">
        <v>1028</v>
      </c>
      <c r="D2196" t="s">
        <v>1707</v>
      </c>
      <c r="E2196" t="s">
        <v>179</v>
      </c>
      <c r="F2196" t="s">
        <v>228</v>
      </c>
      <c r="G2196" t="s">
        <v>111</v>
      </c>
      <c r="H2196" t="s">
        <v>148</v>
      </c>
      <c r="I2196">
        <v>2022</v>
      </c>
      <c r="J2196" t="s">
        <v>284</v>
      </c>
      <c r="K2196" t="s">
        <v>150</v>
      </c>
      <c r="L2196" t="s">
        <v>2411</v>
      </c>
      <c r="M2196" t="s">
        <v>2456</v>
      </c>
      <c r="N2196">
        <v>1</v>
      </c>
      <c r="O2196">
        <v>2022</v>
      </c>
      <c r="P2196">
        <v>5151.7920905834089</v>
      </c>
      <c r="Q2196">
        <v>3.956165386225861</v>
      </c>
      <c r="R2196" t="s">
        <v>109</v>
      </c>
      <c r="S2196">
        <v>1302.2185848246761</v>
      </c>
      <c r="T2196">
        <v>0.84</v>
      </c>
      <c r="U2196" t="s">
        <v>227</v>
      </c>
      <c r="V2196">
        <v>0.84</v>
      </c>
      <c r="W2196">
        <v>19.7</v>
      </c>
      <c r="X2196">
        <v>33.1</v>
      </c>
      <c r="Y2196">
        <v>27</v>
      </c>
      <c r="Z2196">
        <v>8.7856310855373987E-2</v>
      </c>
      <c r="AA2196">
        <v>31.536000000000001</v>
      </c>
    </row>
    <row r="2197" spans="1:27" x14ac:dyDescent="0.25">
      <c r="A2197" t="s">
        <v>98</v>
      </c>
      <c r="B2197" t="s">
        <v>99</v>
      </c>
      <c r="C2197" t="s">
        <v>1028</v>
      </c>
      <c r="D2197" t="s">
        <v>1707</v>
      </c>
      <c r="E2197" t="s">
        <v>179</v>
      </c>
      <c r="F2197" t="s">
        <v>228</v>
      </c>
      <c r="G2197" t="s">
        <v>114</v>
      </c>
      <c r="H2197" t="s">
        <v>148</v>
      </c>
      <c r="I2197">
        <v>2016</v>
      </c>
      <c r="J2197" t="s">
        <v>286</v>
      </c>
      <c r="K2197" t="s">
        <v>150</v>
      </c>
      <c r="L2197" t="s">
        <v>2411</v>
      </c>
      <c r="M2197" t="s">
        <v>2457</v>
      </c>
      <c r="N2197">
        <v>1</v>
      </c>
      <c r="O2197">
        <v>2020</v>
      </c>
      <c r="P2197">
        <v>5304.2119749201956</v>
      </c>
      <c r="Q2197">
        <v>3.956165386225861</v>
      </c>
      <c r="R2197" t="s">
        <v>109</v>
      </c>
      <c r="S2197">
        <v>1340.745761890495</v>
      </c>
      <c r="T2197">
        <v>0.85</v>
      </c>
      <c r="U2197" t="s">
        <v>227</v>
      </c>
      <c r="V2197">
        <v>0.85</v>
      </c>
      <c r="W2197">
        <v>19.7</v>
      </c>
      <c r="X2197">
        <v>33.1</v>
      </c>
      <c r="Y2197">
        <v>27</v>
      </c>
      <c r="Z2197">
        <v>8.7856310855373987E-2</v>
      </c>
      <c r="AA2197">
        <v>31.536000000000001</v>
      </c>
    </row>
    <row r="2198" spans="1:27" x14ac:dyDescent="0.25">
      <c r="A2198" t="s">
        <v>98</v>
      </c>
      <c r="B2198" t="s">
        <v>99</v>
      </c>
      <c r="C2198" t="s">
        <v>1028</v>
      </c>
      <c r="D2198" t="s">
        <v>1707</v>
      </c>
      <c r="E2198" t="s">
        <v>179</v>
      </c>
      <c r="F2198" t="s">
        <v>228</v>
      </c>
      <c r="G2198" t="s">
        <v>119</v>
      </c>
      <c r="H2198" t="s">
        <v>148</v>
      </c>
      <c r="I2198">
        <v>2016</v>
      </c>
      <c r="J2198" t="s">
        <v>288</v>
      </c>
      <c r="K2198" t="s">
        <v>150</v>
      </c>
      <c r="L2198" t="s">
        <v>2411</v>
      </c>
      <c r="M2198" t="s">
        <v>2458</v>
      </c>
      <c r="N2198">
        <v>1</v>
      </c>
      <c r="O2198">
        <v>2020</v>
      </c>
      <c r="P2198">
        <v>7864.8660317782214</v>
      </c>
      <c r="Q2198">
        <v>3.956165386225861</v>
      </c>
      <c r="R2198" t="s">
        <v>109</v>
      </c>
      <c r="S2198">
        <v>1988.0023365962511</v>
      </c>
      <c r="T2198">
        <v>0.97</v>
      </c>
      <c r="U2198" t="s">
        <v>227</v>
      </c>
      <c r="V2198">
        <v>0.97</v>
      </c>
      <c r="W2198">
        <v>19.7</v>
      </c>
      <c r="X2198">
        <v>33.1</v>
      </c>
      <c r="Y2198">
        <v>27</v>
      </c>
      <c r="Z2198">
        <v>8.7856310855373987E-2</v>
      </c>
      <c r="AA2198">
        <v>31.536000000000001</v>
      </c>
    </row>
    <row r="2199" spans="1:27" x14ac:dyDescent="0.25">
      <c r="A2199" t="s">
        <v>98</v>
      </c>
      <c r="B2199" t="s">
        <v>99</v>
      </c>
      <c r="C2199" t="s">
        <v>1028</v>
      </c>
      <c r="D2199" t="s">
        <v>1707</v>
      </c>
      <c r="E2199" t="s">
        <v>179</v>
      </c>
      <c r="F2199" t="s">
        <v>228</v>
      </c>
      <c r="G2199" t="s">
        <v>119</v>
      </c>
      <c r="H2199" t="s">
        <v>148</v>
      </c>
      <c r="I2199">
        <v>2022</v>
      </c>
      <c r="J2199" t="s">
        <v>290</v>
      </c>
      <c r="K2199" t="s">
        <v>150</v>
      </c>
      <c r="L2199" t="s">
        <v>2411</v>
      </c>
      <c r="M2199" t="s">
        <v>2459</v>
      </c>
      <c r="N2199">
        <v>1</v>
      </c>
      <c r="O2199">
        <v>2022</v>
      </c>
      <c r="P2199">
        <v>7864.8660317782214</v>
      </c>
      <c r="Q2199">
        <v>3.956165386225861</v>
      </c>
      <c r="R2199" t="s">
        <v>109</v>
      </c>
      <c r="S2199">
        <v>1988.0023365962511</v>
      </c>
      <c r="T2199">
        <v>0.97</v>
      </c>
      <c r="U2199" t="s">
        <v>227</v>
      </c>
      <c r="V2199">
        <v>0.97</v>
      </c>
      <c r="W2199">
        <v>19.7</v>
      </c>
      <c r="X2199">
        <v>33.1</v>
      </c>
      <c r="Y2199">
        <v>27</v>
      </c>
      <c r="Z2199">
        <v>8.7856310855373987E-2</v>
      </c>
      <c r="AA2199">
        <v>31.536000000000001</v>
      </c>
    </row>
    <row r="2200" spans="1:27" x14ac:dyDescent="0.25">
      <c r="A2200" t="s">
        <v>98</v>
      </c>
      <c r="B2200" t="s">
        <v>99</v>
      </c>
      <c r="C2200" t="s">
        <v>1028</v>
      </c>
      <c r="D2200" t="s">
        <v>1707</v>
      </c>
      <c r="E2200" t="s">
        <v>179</v>
      </c>
      <c r="F2200" t="s">
        <v>224</v>
      </c>
      <c r="G2200" t="s">
        <v>103</v>
      </c>
      <c r="H2200" t="s">
        <v>148</v>
      </c>
      <c r="I2200">
        <v>2016</v>
      </c>
      <c r="J2200" t="s">
        <v>292</v>
      </c>
      <c r="K2200" t="s">
        <v>150</v>
      </c>
      <c r="L2200" t="s">
        <v>2411</v>
      </c>
      <c r="M2200" t="s">
        <v>2460</v>
      </c>
      <c r="N2200">
        <v>1</v>
      </c>
      <c r="O2200">
        <v>2020</v>
      </c>
      <c r="P2200">
        <v>11126.65155658547</v>
      </c>
      <c r="Q2200">
        <v>3.956165386225861</v>
      </c>
      <c r="R2200" t="s">
        <v>109</v>
      </c>
      <c r="S2200">
        <v>2812.4839258047741</v>
      </c>
      <c r="T2200">
        <v>0.84</v>
      </c>
      <c r="U2200" t="s">
        <v>227</v>
      </c>
      <c r="V2200">
        <v>0.84</v>
      </c>
      <c r="W2200">
        <v>18</v>
      </c>
      <c r="X2200">
        <v>28</v>
      </c>
      <c r="Y2200">
        <v>24</v>
      </c>
      <c r="Z2200">
        <v>8.7856310855373987E-2</v>
      </c>
      <c r="AA2200">
        <v>31.536000000000001</v>
      </c>
    </row>
    <row r="2201" spans="1:27" x14ac:dyDescent="0.25">
      <c r="A2201" t="s">
        <v>98</v>
      </c>
      <c r="B2201" t="s">
        <v>99</v>
      </c>
      <c r="C2201" t="s">
        <v>1028</v>
      </c>
      <c r="D2201" t="s">
        <v>1707</v>
      </c>
      <c r="E2201" t="s">
        <v>179</v>
      </c>
      <c r="F2201" t="s">
        <v>224</v>
      </c>
      <c r="G2201" t="s">
        <v>103</v>
      </c>
      <c r="H2201" t="s">
        <v>148</v>
      </c>
      <c r="I2201">
        <v>2022</v>
      </c>
      <c r="J2201" t="s">
        <v>294</v>
      </c>
      <c r="K2201" t="s">
        <v>150</v>
      </c>
      <c r="L2201" t="s">
        <v>2411</v>
      </c>
      <c r="M2201" t="s">
        <v>2461</v>
      </c>
      <c r="N2201">
        <v>1</v>
      </c>
      <c r="O2201">
        <v>2022</v>
      </c>
      <c r="P2201">
        <v>11492.45927899376</v>
      </c>
      <c r="Q2201">
        <v>3.956165386225861</v>
      </c>
      <c r="R2201" t="s">
        <v>109</v>
      </c>
      <c r="S2201">
        <v>2904.949150762739</v>
      </c>
      <c r="T2201">
        <v>0.86</v>
      </c>
      <c r="U2201" t="s">
        <v>227</v>
      </c>
      <c r="V2201">
        <v>0.86</v>
      </c>
      <c r="W2201">
        <v>18</v>
      </c>
      <c r="X2201">
        <v>28</v>
      </c>
      <c r="Y2201">
        <v>24</v>
      </c>
      <c r="Z2201">
        <v>8.7856310855373987E-2</v>
      </c>
      <c r="AA2201">
        <v>31.536000000000001</v>
      </c>
    </row>
    <row r="2202" spans="1:27" x14ac:dyDescent="0.25">
      <c r="A2202" t="s">
        <v>98</v>
      </c>
      <c r="B2202" t="s">
        <v>99</v>
      </c>
      <c r="C2202" t="s">
        <v>1028</v>
      </c>
      <c r="D2202" t="s">
        <v>1707</v>
      </c>
      <c r="E2202" t="s">
        <v>179</v>
      </c>
      <c r="F2202" t="s">
        <v>224</v>
      </c>
      <c r="G2202" t="s">
        <v>111</v>
      </c>
      <c r="H2202" t="s">
        <v>148</v>
      </c>
      <c r="I2202">
        <v>2016</v>
      </c>
      <c r="J2202" t="s">
        <v>296</v>
      </c>
      <c r="K2202" t="s">
        <v>150</v>
      </c>
      <c r="L2202" t="s">
        <v>2411</v>
      </c>
      <c r="M2202" t="s">
        <v>2462</v>
      </c>
      <c r="N2202">
        <v>1</v>
      </c>
      <c r="O2202">
        <v>2020</v>
      </c>
      <c r="P2202">
        <v>11126.65155658547</v>
      </c>
      <c r="Q2202">
        <v>3.956165386225861</v>
      </c>
      <c r="R2202" t="s">
        <v>109</v>
      </c>
      <c r="S2202">
        <v>2812.4839258047741</v>
      </c>
      <c r="T2202">
        <v>0.84</v>
      </c>
      <c r="U2202" t="s">
        <v>227</v>
      </c>
      <c r="V2202">
        <v>0.84</v>
      </c>
      <c r="W2202">
        <v>18</v>
      </c>
      <c r="X2202">
        <v>28</v>
      </c>
      <c r="Y2202">
        <v>24</v>
      </c>
      <c r="Z2202">
        <v>8.7856310855373987E-2</v>
      </c>
      <c r="AA2202">
        <v>31.536000000000001</v>
      </c>
    </row>
    <row r="2203" spans="1:27" x14ac:dyDescent="0.25">
      <c r="A2203" t="s">
        <v>98</v>
      </c>
      <c r="B2203" t="s">
        <v>99</v>
      </c>
      <c r="C2203" t="s">
        <v>1028</v>
      </c>
      <c r="D2203" t="s">
        <v>1707</v>
      </c>
      <c r="E2203" t="s">
        <v>179</v>
      </c>
      <c r="F2203" t="s">
        <v>224</v>
      </c>
      <c r="G2203" t="s">
        <v>111</v>
      </c>
      <c r="H2203" t="s">
        <v>148</v>
      </c>
      <c r="I2203">
        <v>2022</v>
      </c>
      <c r="J2203" t="s">
        <v>298</v>
      </c>
      <c r="K2203" t="s">
        <v>150</v>
      </c>
      <c r="L2203" t="s">
        <v>2411</v>
      </c>
      <c r="M2203" t="s">
        <v>2463</v>
      </c>
      <c r="N2203">
        <v>1</v>
      </c>
      <c r="O2203">
        <v>2022</v>
      </c>
      <c r="P2203">
        <v>11492.45927899376</v>
      </c>
      <c r="Q2203">
        <v>3.956165386225861</v>
      </c>
      <c r="R2203" t="s">
        <v>109</v>
      </c>
      <c r="S2203">
        <v>2904.949150762739</v>
      </c>
      <c r="T2203">
        <v>0.86</v>
      </c>
      <c r="U2203" t="s">
        <v>227</v>
      </c>
      <c r="V2203">
        <v>0.86</v>
      </c>
      <c r="W2203">
        <v>18</v>
      </c>
      <c r="X2203">
        <v>28</v>
      </c>
      <c r="Y2203">
        <v>24</v>
      </c>
      <c r="Z2203">
        <v>8.7856310855373987E-2</v>
      </c>
      <c r="AA2203">
        <v>31.536000000000001</v>
      </c>
    </row>
    <row r="2204" spans="1:27" x14ac:dyDescent="0.25">
      <c r="A2204" t="s">
        <v>98</v>
      </c>
      <c r="B2204" t="s">
        <v>99</v>
      </c>
      <c r="C2204" t="s">
        <v>1028</v>
      </c>
      <c r="D2204" t="s">
        <v>1707</v>
      </c>
      <c r="E2204" t="s">
        <v>179</v>
      </c>
      <c r="F2204" t="s">
        <v>224</v>
      </c>
      <c r="G2204" t="s">
        <v>114</v>
      </c>
      <c r="H2204" t="s">
        <v>148</v>
      </c>
      <c r="I2204">
        <v>2016</v>
      </c>
      <c r="J2204" t="s">
        <v>300</v>
      </c>
      <c r="K2204" t="s">
        <v>150</v>
      </c>
      <c r="L2204" t="s">
        <v>2411</v>
      </c>
      <c r="M2204" t="s">
        <v>2464</v>
      </c>
      <c r="N2204">
        <v>1</v>
      </c>
      <c r="O2204">
        <v>2020</v>
      </c>
      <c r="P2204">
        <v>11492.45927899376</v>
      </c>
      <c r="Q2204">
        <v>3.956165386225861</v>
      </c>
      <c r="R2204" t="s">
        <v>109</v>
      </c>
      <c r="S2204">
        <v>2904.949150762739</v>
      </c>
      <c r="T2204">
        <v>0.87</v>
      </c>
      <c r="U2204" t="s">
        <v>227</v>
      </c>
      <c r="V2204">
        <v>0.87</v>
      </c>
      <c r="W2204">
        <v>18</v>
      </c>
      <c r="X2204">
        <v>28</v>
      </c>
      <c r="Y2204">
        <v>24</v>
      </c>
      <c r="Z2204">
        <v>8.7856310855373987E-2</v>
      </c>
      <c r="AA2204">
        <v>31.536000000000001</v>
      </c>
    </row>
    <row r="2205" spans="1:27" x14ac:dyDescent="0.25">
      <c r="A2205" t="s">
        <v>98</v>
      </c>
      <c r="B2205" t="s">
        <v>99</v>
      </c>
      <c r="C2205" t="s">
        <v>1028</v>
      </c>
      <c r="D2205" t="s">
        <v>1707</v>
      </c>
      <c r="E2205" t="s">
        <v>179</v>
      </c>
      <c r="F2205" t="s">
        <v>224</v>
      </c>
      <c r="G2205" t="s">
        <v>119</v>
      </c>
      <c r="H2205" t="s">
        <v>148</v>
      </c>
      <c r="I2205">
        <v>2016</v>
      </c>
      <c r="J2205" t="s">
        <v>302</v>
      </c>
      <c r="K2205" t="s">
        <v>150</v>
      </c>
      <c r="L2205" t="s">
        <v>2411</v>
      </c>
      <c r="M2205" t="s">
        <v>2465</v>
      </c>
      <c r="N2205">
        <v>1</v>
      </c>
      <c r="O2205">
        <v>2020</v>
      </c>
      <c r="P2205">
        <v>13961.66140524971</v>
      </c>
      <c r="Q2205">
        <v>3.956165386225861</v>
      </c>
      <c r="R2205" t="s">
        <v>109</v>
      </c>
      <c r="S2205">
        <v>3529.0894192290039</v>
      </c>
      <c r="T2205">
        <v>0.9</v>
      </c>
      <c r="U2205" t="s">
        <v>227</v>
      </c>
      <c r="V2205">
        <v>0.9</v>
      </c>
      <c r="W2205">
        <v>18</v>
      </c>
      <c r="X2205">
        <v>28</v>
      </c>
      <c r="Y2205">
        <v>24</v>
      </c>
      <c r="Z2205">
        <v>8.7856310855373987E-2</v>
      </c>
      <c r="AA2205">
        <v>31.536000000000001</v>
      </c>
    </row>
    <row r="2206" spans="1:27" x14ac:dyDescent="0.25">
      <c r="A2206" t="s">
        <v>98</v>
      </c>
      <c r="B2206" t="s">
        <v>99</v>
      </c>
      <c r="C2206" t="s">
        <v>1028</v>
      </c>
      <c r="D2206" t="s">
        <v>1707</v>
      </c>
      <c r="E2206" t="s">
        <v>304</v>
      </c>
      <c r="F2206" t="s">
        <v>180</v>
      </c>
      <c r="G2206" t="s">
        <v>111</v>
      </c>
      <c r="H2206" t="s">
        <v>104</v>
      </c>
      <c r="I2206">
        <v>2016</v>
      </c>
      <c r="J2206" t="s">
        <v>305</v>
      </c>
      <c r="K2206" t="s">
        <v>106</v>
      </c>
      <c r="L2206" t="s">
        <v>2466</v>
      </c>
      <c r="M2206" t="s">
        <v>2467</v>
      </c>
      <c r="N2206">
        <v>0</v>
      </c>
      <c r="O2206">
        <v>2020</v>
      </c>
      <c r="P2206">
        <v>8291.641707921226</v>
      </c>
      <c r="Q2206">
        <v>2.0129588576131381</v>
      </c>
      <c r="R2206" t="s">
        <v>109</v>
      </c>
      <c r="S2206">
        <v>4119.1312363696416</v>
      </c>
      <c r="T2206">
        <v>0.6</v>
      </c>
      <c r="U2206" t="s">
        <v>184</v>
      </c>
      <c r="V2206">
        <v>0.6</v>
      </c>
      <c r="W2206">
        <v>12</v>
      </c>
      <c r="X2206">
        <v>18</v>
      </c>
      <c r="Y2206">
        <v>16</v>
      </c>
      <c r="Z2206">
        <v>9.606602748064616E-2</v>
      </c>
      <c r="AA2206">
        <v>31.536000000000001</v>
      </c>
    </row>
    <row r="2207" spans="1:27" x14ac:dyDescent="0.25">
      <c r="A2207" t="s">
        <v>98</v>
      </c>
      <c r="B2207" t="s">
        <v>99</v>
      </c>
      <c r="C2207" t="s">
        <v>1028</v>
      </c>
      <c r="D2207" t="s">
        <v>1707</v>
      </c>
      <c r="E2207" t="s">
        <v>304</v>
      </c>
      <c r="F2207" t="s">
        <v>180</v>
      </c>
      <c r="G2207" t="s">
        <v>111</v>
      </c>
      <c r="H2207" t="s">
        <v>104</v>
      </c>
      <c r="I2207">
        <v>2020</v>
      </c>
      <c r="J2207" t="s">
        <v>308</v>
      </c>
      <c r="K2207" t="s">
        <v>106</v>
      </c>
      <c r="L2207" t="s">
        <v>2466</v>
      </c>
      <c r="M2207" t="s">
        <v>2467</v>
      </c>
      <c r="N2207">
        <v>1</v>
      </c>
      <c r="O2207">
        <v>2020</v>
      </c>
      <c r="P2207">
        <v>8291.641707921226</v>
      </c>
      <c r="Q2207">
        <v>2.0129588576131381</v>
      </c>
      <c r="R2207" t="s">
        <v>109</v>
      </c>
      <c r="S2207">
        <v>4119.1312363696416</v>
      </c>
      <c r="T2207">
        <v>0.7</v>
      </c>
      <c r="U2207" t="s">
        <v>184</v>
      </c>
      <c r="V2207">
        <v>0.7</v>
      </c>
      <c r="W2207">
        <v>12</v>
      </c>
      <c r="X2207">
        <v>18</v>
      </c>
      <c r="Y2207">
        <v>16</v>
      </c>
      <c r="Z2207">
        <v>9.606602748064616E-2</v>
      </c>
      <c r="AA2207">
        <v>31.536000000000001</v>
      </c>
    </row>
    <row r="2208" spans="1:27" x14ac:dyDescent="0.25">
      <c r="A2208" t="s">
        <v>98</v>
      </c>
      <c r="B2208" t="s">
        <v>99</v>
      </c>
      <c r="C2208" t="s">
        <v>1028</v>
      </c>
      <c r="D2208" t="s">
        <v>1707</v>
      </c>
      <c r="E2208" t="s">
        <v>304</v>
      </c>
      <c r="F2208" t="s">
        <v>180</v>
      </c>
      <c r="G2208" t="s">
        <v>103</v>
      </c>
      <c r="H2208" t="s">
        <v>125</v>
      </c>
      <c r="I2208">
        <v>2016</v>
      </c>
      <c r="J2208" t="s">
        <v>309</v>
      </c>
      <c r="K2208" t="s">
        <v>127</v>
      </c>
      <c r="L2208" t="s">
        <v>2466</v>
      </c>
      <c r="M2208" t="s">
        <v>2468</v>
      </c>
      <c r="N2208">
        <v>1</v>
      </c>
      <c r="O2208">
        <v>2020</v>
      </c>
      <c r="P2208">
        <v>2956.9457561336731</v>
      </c>
      <c r="Q2208">
        <v>2.0129588576131381</v>
      </c>
      <c r="R2208" t="s">
        <v>109</v>
      </c>
      <c r="S2208">
        <v>1468.9548894406439</v>
      </c>
      <c r="T2208">
        <v>4.1031652989449006</v>
      </c>
      <c r="U2208" t="s">
        <v>184</v>
      </c>
      <c r="V2208">
        <v>4.1031652989449006</v>
      </c>
      <c r="W2208">
        <v>9</v>
      </c>
      <c r="X2208">
        <v>22</v>
      </c>
      <c r="Y2208">
        <v>16</v>
      </c>
      <c r="Z2208">
        <v>9.606602748064616E-2</v>
      </c>
      <c r="AA2208">
        <v>31.536000000000001</v>
      </c>
    </row>
    <row r="2209" spans="1:27" x14ac:dyDescent="0.25">
      <c r="A2209" t="s">
        <v>98</v>
      </c>
      <c r="B2209" t="s">
        <v>99</v>
      </c>
      <c r="C2209" t="s">
        <v>1028</v>
      </c>
      <c r="D2209" t="s">
        <v>1707</v>
      </c>
      <c r="E2209" t="s">
        <v>304</v>
      </c>
      <c r="F2209" t="s">
        <v>180</v>
      </c>
      <c r="G2209" t="s">
        <v>103</v>
      </c>
      <c r="H2209" t="s">
        <v>125</v>
      </c>
      <c r="I2209">
        <v>2023</v>
      </c>
      <c r="J2209" t="s">
        <v>311</v>
      </c>
      <c r="K2209" t="s">
        <v>127</v>
      </c>
      <c r="L2209" t="s">
        <v>2466</v>
      </c>
      <c r="M2209" t="s">
        <v>2469</v>
      </c>
      <c r="N2209">
        <v>1</v>
      </c>
      <c r="O2209">
        <v>2023</v>
      </c>
      <c r="P2209">
        <v>2956.9457561336731</v>
      </c>
      <c r="Q2209">
        <v>2.0129588576131381</v>
      </c>
      <c r="R2209" t="s">
        <v>109</v>
      </c>
      <c r="S2209">
        <v>1468.9548894406439</v>
      </c>
      <c r="T2209">
        <v>4.1031652989449006</v>
      </c>
      <c r="U2209" t="s">
        <v>184</v>
      </c>
      <c r="V2209">
        <v>4.1031652989449006</v>
      </c>
      <c r="W2209">
        <v>9</v>
      </c>
      <c r="X2209">
        <v>22</v>
      </c>
      <c r="Y2209">
        <v>16</v>
      </c>
      <c r="Z2209">
        <v>9.606602748064616E-2</v>
      </c>
      <c r="AA2209">
        <v>31.536000000000001</v>
      </c>
    </row>
    <row r="2210" spans="1:27" x14ac:dyDescent="0.25">
      <c r="A2210" t="s">
        <v>98</v>
      </c>
      <c r="B2210" t="s">
        <v>99</v>
      </c>
      <c r="C2210" t="s">
        <v>1028</v>
      </c>
      <c r="D2210" t="s">
        <v>1707</v>
      </c>
      <c r="E2210" t="s">
        <v>304</v>
      </c>
      <c r="F2210" t="s">
        <v>180</v>
      </c>
      <c r="G2210" t="s">
        <v>111</v>
      </c>
      <c r="H2210" t="s">
        <v>125</v>
      </c>
      <c r="I2210">
        <v>2016</v>
      </c>
      <c r="J2210" t="s">
        <v>313</v>
      </c>
      <c r="K2210" t="s">
        <v>127</v>
      </c>
      <c r="L2210" t="s">
        <v>2466</v>
      </c>
      <c r="M2210" t="s">
        <v>2470</v>
      </c>
      <c r="N2210">
        <v>1</v>
      </c>
      <c r="O2210">
        <v>2020</v>
      </c>
      <c r="P2210">
        <v>3109.3656404704602</v>
      </c>
      <c r="Q2210">
        <v>2.0129588576131381</v>
      </c>
      <c r="R2210" t="s">
        <v>109</v>
      </c>
      <c r="S2210">
        <v>1544.6742136386149</v>
      </c>
      <c r="T2210">
        <v>4.484173505275499</v>
      </c>
      <c r="U2210" t="s">
        <v>184</v>
      </c>
      <c r="V2210">
        <v>4.484173505275499</v>
      </c>
      <c r="W2210">
        <v>9</v>
      </c>
      <c r="X2210">
        <v>22</v>
      </c>
      <c r="Y2210">
        <v>16</v>
      </c>
      <c r="Z2210">
        <v>9.606602748064616E-2</v>
      </c>
      <c r="AA2210">
        <v>31.536000000000001</v>
      </c>
    </row>
    <row r="2211" spans="1:27" x14ac:dyDescent="0.25">
      <c r="A2211" t="s">
        <v>98</v>
      </c>
      <c r="B2211" t="s">
        <v>99</v>
      </c>
      <c r="C2211" t="s">
        <v>1028</v>
      </c>
      <c r="D2211" t="s">
        <v>1707</v>
      </c>
      <c r="E2211" t="s">
        <v>304</v>
      </c>
      <c r="F2211" t="s">
        <v>180</v>
      </c>
      <c r="G2211" t="s">
        <v>111</v>
      </c>
      <c r="H2211" t="s">
        <v>125</v>
      </c>
      <c r="I2211">
        <v>2023</v>
      </c>
      <c r="J2211" t="s">
        <v>315</v>
      </c>
      <c r="K2211" t="s">
        <v>127</v>
      </c>
      <c r="L2211" t="s">
        <v>2466</v>
      </c>
      <c r="M2211" t="s">
        <v>2471</v>
      </c>
      <c r="N2211">
        <v>1</v>
      </c>
      <c r="O2211">
        <v>2023</v>
      </c>
      <c r="P2211">
        <v>3139.8496173378171</v>
      </c>
      <c r="Q2211">
        <v>2.0129588576131381</v>
      </c>
      <c r="R2211" t="s">
        <v>109</v>
      </c>
      <c r="S2211">
        <v>1559.8180784782101</v>
      </c>
      <c r="T2211">
        <v>4.6307151230949586</v>
      </c>
      <c r="U2211" t="s">
        <v>184</v>
      </c>
      <c r="V2211">
        <v>4.6307151230949586</v>
      </c>
      <c r="W2211">
        <v>9</v>
      </c>
      <c r="X2211">
        <v>22</v>
      </c>
      <c r="Y2211">
        <v>16</v>
      </c>
      <c r="Z2211">
        <v>9.606602748064616E-2</v>
      </c>
      <c r="AA2211">
        <v>31.536000000000001</v>
      </c>
    </row>
    <row r="2212" spans="1:27" x14ac:dyDescent="0.25">
      <c r="A2212" t="s">
        <v>98</v>
      </c>
      <c r="B2212" t="s">
        <v>99</v>
      </c>
      <c r="C2212" t="s">
        <v>1028</v>
      </c>
      <c r="D2212" t="s">
        <v>1707</v>
      </c>
      <c r="E2212" t="s">
        <v>304</v>
      </c>
      <c r="F2212" t="s">
        <v>180</v>
      </c>
      <c r="G2212" t="s">
        <v>114</v>
      </c>
      <c r="H2212" t="s">
        <v>125</v>
      </c>
      <c r="I2212">
        <v>2016</v>
      </c>
      <c r="J2212" t="s">
        <v>317</v>
      </c>
      <c r="K2212" t="s">
        <v>127</v>
      </c>
      <c r="L2212" t="s">
        <v>2466</v>
      </c>
      <c r="M2212" t="s">
        <v>2472</v>
      </c>
      <c r="N2212">
        <v>1</v>
      </c>
      <c r="O2212">
        <v>2020</v>
      </c>
      <c r="P2212">
        <v>3017.9137098683868</v>
      </c>
      <c r="Q2212">
        <v>2.0129588576131381</v>
      </c>
      <c r="R2212" t="s">
        <v>109</v>
      </c>
      <c r="S2212">
        <v>1499.2426191198331</v>
      </c>
      <c r="T2212">
        <v>4.3962485345838216</v>
      </c>
      <c r="U2212" t="s">
        <v>184</v>
      </c>
      <c r="V2212">
        <v>4.3962485345838216</v>
      </c>
      <c r="W2212">
        <v>9</v>
      </c>
      <c r="X2212">
        <v>22</v>
      </c>
      <c r="Y2212">
        <v>16</v>
      </c>
      <c r="Z2212">
        <v>9.606602748064616E-2</v>
      </c>
      <c r="AA2212">
        <v>31.536000000000001</v>
      </c>
    </row>
    <row r="2213" spans="1:27" x14ac:dyDescent="0.25">
      <c r="A2213" t="s">
        <v>98</v>
      </c>
      <c r="B2213" t="s">
        <v>99</v>
      </c>
      <c r="C2213" t="s">
        <v>1028</v>
      </c>
      <c r="D2213" t="s">
        <v>1707</v>
      </c>
      <c r="E2213" t="s">
        <v>304</v>
      </c>
      <c r="F2213" t="s">
        <v>180</v>
      </c>
      <c r="G2213" t="s">
        <v>114</v>
      </c>
      <c r="H2213" t="s">
        <v>125</v>
      </c>
      <c r="I2213">
        <v>2022</v>
      </c>
      <c r="J2213" t="s">
        <v>319</v>
      </c>
      <c r="K2213" t="s">
        <v>127</v>
      </c>
      <c r="L2213" t="s">
        <v>2466</v>
      </c>
      <c r="M2213" t="s">
        <v>2473</v>
      </c>
      <c r="N2213">
        <v>1</v>
      </c>
      <c r="O2213">
        <v>2022</v>
      </c>
      <c r="P2213">
        <v>3017.9137098683868</v>
      </c>
      <c r="Q2213">
        <v>2.0129588576131381</v>
      </c>
      <c r="R2213" t="s">
        <v>109</v>
      </c>
      <c r="S2213">
        <v>1499.2426191198331</v>
      </c>
      <c r="T2213">
        <v>4.3962485345838216</v>
      </c>
      <c r="U2213" t="s">
        <v>184</v>
      </c>
      <c r="V2213">
        <v>4.3962485345838216</v>
      </c>
      <c r="W2213">
        <v>9</v>
      </c>
      <c r="X2213">
        <v>22</v>
      </c>
      <c r="Y2213">
        <v>16</v>
      </c>
      <c r="Z2213">
        <v>9.606602748064616E-2</v>
      </c>
      <c r="AA2213">
        <v>31.536000000000001</v>
      </c>
    </row>
    <row r="2214" spans="1:27" x14ac:dyDescent="0.25">
      <c r="A2214" t="s">
        <v>98</v>
      </c>
      <c r="B2214" t="s">
        <v>99</v>
      </c>
      <c r="C2214" t="s">
        <v>1028</v>
      </c>
      <c r="D2214" t="s">
        <v>1707</v>
      </c>
      <c r="E2214" t="s">
        <v>304</v>
      </c>
      <c r="F2214" t="s">
        <v>180</v>
      </c>
      <c r="G2214" t="s">
        <v>114</v>
      </c>
      <c r="H2214" t="s">
        <v>125</v>
      </c>
      <c r="I2214">
        <v>2023</v>
      </c>
      <c r="J2214" t="s">
        <v>321</v>
      </c>
      <c r="K2214" t="s">
        <v>127</v>
      </c>
      <c r="L2214" t="s">
        <v>2466</v>
      </c>
      <c r="M2214" t="s">
        <v>2474</v>
      </c>
      <c r="N2214">
        <v>1</v>
      </c>
      <c r="O2214">
        <v>2023</v>
      </c>
      <c r="P2214">
        <v>3266.447780092843</v>
      </c>
      <c r="Q2214">
        <v>2.0129588576131381</v>
      </c>
      <c r="R2214" t="s">
        <v>109</v>
      </c>
      <c r="S2214">
        <v>1622.7096583414659</v>
      </c>
      <c r="T2214">
        <v>4.6893317702227444</v>
      </c>
      <c r="U2214" t="s">
        <v>184</v>
      </c>
      <c r="V2214">
        <v>4.6893317702227444</v>
      </c>
      <c r="W2214">
        <v>9</v>
      </c>
      <c r="X2214">
        <v>22</v>
      </c>
      <c r="Y2214">
        <v>16</v>
      </c>
      <c r="Z2214">
        <v>9.606602748064616E-2</v>
      </c>
      <c r="AA2214">
        <v>31.536000000000001</v>
      </c>
    </row>
    <row r="2215" spans="1:27" x14ac:dyDescent="0.25">
      <c r="A2215" t="s">
        <v>98</v>
      </c>
      <c r="B2215" t="s">
        <v>99</v>
      </c>
      <c r="C2215" t="s">
        <v>1028</v>
      </c>
      <c r="D2215" t="s">
        <v>1707</v>
      </c>
      <c r="E2215" t="s">
        <v>304</v>
      </c>
      <c r="F2215" t="s">
        <v>180</v>
      </c>
      <c r="G2215" t="s">
        <v>119</v>
      </c>
      <c r="H2215" t="s">
        <v>125</v>
      </c>
      <c r="I2215">
        <v>2016</v>
      </c>
      <c r="J2215" t="s">
        <v>323</v>
      </c>
      <c r="K2215" t="s">
        <v>127</v>
      </c>
      <c r="L2215" t="s">
        <v>2466</v>
      </c>
      <c r="M2215" t="s">
        <v>2475</v>
      </c>
      <c r="N2215">
        <v>1</v>
      </c>
      <c r="O2215">
        <v>2020</v>
      </c>
      <c r="P2215">
        <v>3719.0451778176089</v>
      </c>
      <c r="Q2215">
        <v>2.0129588576131381</v>
      </c>
      <c r="R2215" t="s">
        <v>109</v>
      </c>
      <c r="S2215">
        <v>1847.5515104305009</v>
      </c>
      <c r="T2215">
        <v>5.5685814771395066</v>
      </c>
      <c r="U2215" t="s">
        <v>184</v>
      </c>
      <c r="V2215">
        <v>5.5685814771395066</v>
      </c>
      <c r="W2215">
        <v>9</v>
      </c>
      <c r="X2215">
        <v>22</v>
      </c>
      <c r="Y2215">
        <v>16</v>
      </c>
      <c r="Z2215">
        <v>9.606602748064616E-2</v>
      </c>
      <c r="AA2215">
        <v>31.536000000000001</v>
      </c>
    </row>
    <row r="2216" spans="1:27" x14ac:dyDescent="0.25">
      <c r="A2216" t="s">
        <v>98</v>
      </c>
      <c r="B2216" t="s">
        <v>99</v>
      </c>
      <c r="C2216" t="s">
        <v>1028</v>
      </c>
      <c r="D2216" t="s">
        <v>1707</v>
      </c>
      <c r="E2216" t="s">
        <v>304</v>
      </c>
      <c r="F2216" t="s">
        <v>180</v>
      </c>
      <c r="G2216" t="s">
        <v>119</v>
      </c>
      <c r="H2216" t="s">
        <v>125</v>
      </c>
      <c r="I2216">
        <v>2022</v>
      </c>
      <c r="J2216" t="s">
        <v>325</v>
      </c>
      <c r="K2216" t="s">
        <v>127</v>
      </c>
      <c r="L2216" t="s">
        <v>2466</v>
      </c>
      <c r="M2216" t="s">
        <v>2476</v>
      </c>
      <c r="N2216">
        <v>1</v>
      </c>
      <c r="O2216">
        <v>2022</v>
      </c>
      <c r="P2216">
        <v>3914.784397702746</v>
      </c>
      <c r="Q2216">
        <v>2.0129588576131381</v>
      </c>
      <c r="R2216" t="s">
        <v>109</v>
      </c>
      <c r="S2216">
        <v>1944.791063611053</v>
      </c>
      <c r="T2216">
        <v>5.8616647127784294</v>
      </c>
      <c r="U2216" t="s">
        <v>184</v>
      </c>
      <c r="V2216">
        <v>5.8616647127784294</v>
      </c>
      <c r="W2216">
        <v>9</v>
      </c>
      <c r="X2216">
        <v>22</v>
      </c>
      <c r="Y2216">
        <v>16</v>
      </c>
      <c r="Z2216">
        <v>9.606602748064616E-2</v>
      </c>
      <c r="AA2216">
        <v>31.536000000000001</v>
      </c>
    </row>
    <row r="2217" spans="1:27" x14ac:dyDescent="0.25">
      <c r="A2217" t="s">
        <v>98</v>
      </c>
      <c r="B2217" t="s">
        <v>99</v>
      </c>
      <c r="C2217" t="s">
        <v>1028</v>
      </c>
      <c r="D2217" t="s">
        <v>1707</v>
      </c>
      <c r="E2217" t="s">
        <v>304</v>
      </c>
      <c r="F2217" t="s">
        <v>201</v>
      </c>
      <c r="G2217" t="s">
        <v>103</v>
      </c>
      <c r="H2217" t="s">
        <v>125</v>
      </c>
      <c r="I2217">
        <v>2016</v>
      </c>
      <c r="J2217" t="s">
        <v>327</v>
      </c>
      <c r="K2217" t="s">
        <v>127</v>
      </c>
      <c r="L2217" t="s">
        <v>2466</v>
      </c>
      <c r="M2217" t="s">
        <v>2477</v>
      </c>
      <c r="N2217">
        <v>1</v>
      </c>
      <c r="O2217">
        <v>2020</v>
      </c>
      <c r="P2217">
        <v>9511.0007826155233</v>
      </c>
      <c r="Q2217">
        <v>2.0129588576131381</v>
      </c>
      <c r="R2217" t="s">
        <v>109</v>
      </c>
      <c r="S2217">
        <v>4724.8858299534113</v>
      </c>
      <c r="T2217">
        <v>14.1</v>
      </c>
      <c r="U2217" t="s">
        <v>329</v>
      </c>
      <c r="V2217">
        <v>4.1348973607038122</v>
      </c>
      <c r="W2217">
        <v>8</v>
      </c>
      <c r="X2217">
        <v>20.8</v>
      </c>
      <c r="Y2217">
        <v>15</v>
      </c>
      <c r="Z2217">
        <v>9.606602748064616E-2</v>
      </c>
      <c r="AA2217">
        <v>31.536000000000001</v>
      </c>
    </row>
    <row r="2218" spans="1:27" x14ac:dyDescent="0.25">
      <c r="A2218" t="s">
        <v>98</v>
      </c>
      <c r="B2218" t="s">
        <v>99</v>
      </c>
      <c r="C2218" t="s">
        <v>1028</v>
      </c>
      <c r="D2218" t="s">
        <v>1707</v>
      </c>
      <c r="E2218" t="s">
        <v>304</v>
      </c>
      <c r="F2218" t="s">
        <v>201</v>
      </c>
      <c r="G2218" t="s">
        <v>111</v>
      </c>
      <c r="H2218" t="s">
        <v>125</v>
      </c>
      <c r="I2218">
        <v>2016</v>
      </c>
      <c r="J2218" t="s">
        <v>330</v>
      </c>
      <c r="K2218" t="s">
        <v>127</v>
      </c>
      <c r="L2218" t="s">
        <v>2466</v>
      </c>
      <c r="M2218" t="s">
        <v>2478</v>
      </c>
      <c r="N2218">
        <v>1</v>
      </c>
      <c r="O2218">
        <v>2020</v>
      </c>
      <c r="P2218">
        <v>9846.3245281564559</v>
      </c>
      <c r="Q2218">
        <v>2.0129588576131381</v>
      </c>
      <c r="R2218" t="s">
        <v>109</v>
      </c>
      <c r="S2218">
        <v>4891.4683431889489</v>
      </c>
      <c r="T2218">
        <v>17.3</v>
      </c>
      <c r="U2218" t="s">
        <v>329</v>
      </c>
      <c r="V2218">
        <v>5.0733137829912023</v>
      </c>
      <c r="W2218">
        <v>8</v>
      </c>
      <c r="X2218">
        <v>20.8</v>
      </c>
      <c r="Y2218">
        <v>15</v>
      </c>
      <c r="Z2218">
        <v>9.606602748064616E-2</v>
      </c>
      <c r="AA2218">
        <v>31.536000000000001</v>
      </c>
    </row>
    <row r="2219" spans="1:27" x14ac:dyDescent="0.25">
      <c r="A2219" t="s">
        <v>98</v>
      </c>
      <c r="B2219" t="s">
        <v>99</v>
      </c>
      <c r="C2219" t="s">
        <v>1028</v>
      </c>
      <c r="D2219" t="s">
        <v>1707</v>
      </c>
      <c r="E2219" t="s">
        <v>304</v>
      </c>
      <c r="F2219" t="s">
        <v>201</v>
      </c>
      <c r="G2219" t="s">
        <v>114</v>
      </c>
      <c r="H2219" t="s">
        <v>125</v>
      </c>
      <c r="I2219">
        <v>2016</v>
      </c>
      <c r="J2219" t="s">
        <v>332</v>
      </c>
      <c r="K2219" t="s">
        <v>127</v>
      </c>
      <c r="L2219" t="s">
        <v>2466</v>
      </c>
      <c r="M2219" t="s">
        <v>2479</v>
      </c>
      <c r="N2219">
        <v>0</v>
      </c>
      <c r="O2219">
        <v>2020</v>
      </c>
      <c r="P2219">
        <v>9846.3245281564559</v>
      </c>
      <c r="Q2219">
        <v>2.0129588576131381</v>
      </c>
      <c r="R2219" t="s">
        <v>109</v>
      </c>
      <c r="S2219">
        <v>4891.4683431889489</v>
      </c>
      <c r="T2219">
        <v>17.100000000000001</v>
      </c>
      <c r="U2219" t="s">
        <v>329</v>
      </c>
      <c r="V2219">
        <v>5.0146627565982396</v>
      </c>
      <c r="W2219">
        <v>8</v>
      </c>
      <c r="X2219">
        <v>20.8</v>
      </c>
      <c r="Y2219">
        <v>15</v>
      </c>
      <c r="Z2219">
        <v>9.606602748064616E-2</v>
      </c>
      <c r="AA2219">
        <v>31.536000000000001</v>
      </c>
    </row>
    <row r="2220" spans="1:27" x14ac:dyDescent="0.25">
      <c r="A2220" t="s">
        <v>98</v>
      </c>
      <c r="B2220" t="s">
        <v>99</v>
      </c>
      <c r="C2220" t="s">
        <v>1028</v>
      </c>
      <c r="D2220" t="s">
        <v>1707</v>
      </c>
      <c r="E2220" t="s">
        <v>304</v>
      </c>
      <c r="F2220" t="s">
        <v>201</v>
      </c>
      <c r="G2220" t="s">
        <v>114</v>
      </c>
      <c r="H2220" t="s">
        <v>125</v>
      </c>
      <c r="I2220">
        <v>2020</v>
      </c>
      <c r="J2220" t="s">
        <v>334</v>
      </c>
      <c r="K2220" t="s">
        <v>127</v>
      </c>
      <c r="L2220" t="s">
        <v>2466</v>
      </c>
      <c r="M2220" t="s">
        <v>2479</v>
      </c>
      <c r="N2220">
        <v>1</v>
      </c>
      <c r="O2220">
        <v>2020</v>
      </c>
      <c r="P2220">
        <v>9846.3245281564559</v>
      </c>
      <c r="Q2220">
        <v>2.0129588576131381</v>
      </c>
      <c r="R2220" t="s">
        <v>109</v>
      </c>
      <c r="S2220">
        <v>4891.4683431889489</v>
      </c>
      <c r="T2220">
        <v>17.100000000000001</v>
      </c>
      <c r="U2220" t="s">
        <v>329</v>
      </c>
      <c r="V2220">
        <v>5.0146627565982396</v>
      </c>
      <c r="W2220">
        <v>8</v>
      </c>
      <c r="X2220">
        <v>20.8</v>
      </c>
      <c r="Y2220">
        <v>15</v>
      </c>
      <c r="Z2220">
        <v>9.606602748064616E-2</v>
      </c>
      <c r="AA2220">
        <v>31.536000000000001</v>
      </c>
    </row>
    <row r="2221" spans="1:27" x14ac:dyDescent="0.25">
      <c r="A2221" t="s">
        <v>98</v>
      </c>
      <c r="B2221" t="s">
        <v>99</v>
      </c>
      <c r="C2221" t="s">
        <v>1028</v>
      </c>
      <c r="D2221" t="s">
        <v>1707</v>
      </c>
      <c r="E2221" t="s">
        <v>304</v>
      </c>
      <c r="F2221" t="s">
        <v>201</v>
      </c>
      <c r="G2221" t="s">
        <v>114</v>
      </c>
      <c r="H2221" t="s">
        <v>125</v>
      </c>
      <c r="I2221">
        <v>2022</v>
      </c>
      <c r="J2221" t="s">
        <v>335</v>
      </c>
      <c r="K2221" t="s">
        <v>127</v>
      </c>
      <c r="L2221" t="s">
        <v>2466</v>
      </c>
      <c r="M2221" t="s">
        <v>2480</v>
      </c>
      <c r="N2221">
        <v>1</v>
      </c>
      <c r="O2221">
        <v>2022</v>
      </c>
      <c r="P2221">
        <v>9846.3245281564559</v>
      </c>
      <c r="Q2221">
        <v>2.0129588576131381</v>
      </c>
      <c r="R2221" t="s">
        <v>109</v>
      </c>
      <c r="S2221">
        <v>4891.4683431889489</v>
      </c>
      <c r="T2221">
        <v>17.100000000000001</v>
      </c>
      <c r="U2221" t="s">
        <v>329</v>
      </c>
      <c r="V2221">
        <v>5.0146627565982396</v>
      </c>
      <c r="W2221">
        <v>8</v>
      </c>
      <c r="X2221">
        <v>20.8</v>
      </c>
      <c r="Y2221">
        <v>15</v>
      </c>
      <c r="Z2221">
        <v>9.606602748064616E-2</v>
      </c>
      <c r="AA2221">
        <v>31.536000000000001</v>
      </c>
    </row>
    <row r="2222" spans="1:27" x14ac:dyDescent="0.25">
      <c r="A2222" t="s">
        <v>98</v>
      </c>
      <c r="B2222" t="s">
        <v>99</v>
      </c>
      <c r="C2222" t="s">
        <v>1028</v>
      </c>
      <c r="D2222" t="s">
        <v>1707</v>
      </c>
      <c r="E2222" t="s">
        <v>304</v>
      </c>
      <c r="F2222" t="s">
        <v>201</v>
      </c>
      <c r="G2222" t="s">
        <v>114</v>
      </c>
      <c r="H2222" t="s">
        <v>125</v>
      </c>
      <c r="I2222">
        <v>2023</v>
      </c>
      <c r="J2222" t="s">
        <v>337</v>
      </c>
      <c r="K2222" t="s">
        <v>127</v>
      </c>
      <c r="L2222" t="s">
        <v>2466</v>
      </c>
      <c r="M2222" t="s">
        <v>2481</v>
      </c>
      <c r="N2222">
        <v>1</v>
      </c>
      <c r="O2222">
        <v>2023</v>
      </c>
      <c r="P2222">
        <v>9846.3245281564559</v>
      </c>
      <c r="Q2222">
        <v>2.0129588576131381</v>
      </c>
      <c r="R2222" t="s">
        <v>109</v>
      </c>
      <c r="S2222">
        <v>4891.4683431889489</v>
      </c>
      <c r="T2222">
        <v>17.100000000000001</v>
      </c>
      <c r="U2222" t="s">
        <v>329</v>
      </c>
      <c r="V2222">
        <v>5.0146627565982396</v>
      </c>
      <c r="W2222">
        <v>8</v>
      </c>
      <c r="X2222">
        <v>20.8</v>
      </c>
      <c r="Y2222">
        <v>15</v>
      </c>
      <c r="Z2222">
        <v>9.606602748064616E-2</v>
      </c>
      <c r="AA2222">
        <v>31.536000000000001</v>
      </c>
    </row>
    <row r="2223" spans="1:27" x14ac:dyDescent="0.25">
      <c r="A2223" t="s">
        <v>98</v>
      </c>
      <c r="B2223" t="s">
        <v>99</v>
      </c>
      <c r="C2223" t="s">
        <v>1028</v>
      </c>
      <c r="D2223" t="s">
        <v>1707</v>
      </c>
      <c r="E2223" t="s">
        <v>304</v>
      </c>
      <c r="F2223" t="s">
        <v>201</v>
      </c>
      <c r="G2223" t="s">
        <v>114</v>
      </c>
      <c r="H2223" t="s">
        <v>125</v>
      </c>
      <c r="I2223">
        <v>2024</v>
      </c>
      <c r="J2223" t="s">
        <v>339</v>
      </c>
      <c r="K2223" t="s">
        <v>127</v>
      </c>
      <c r="L2223" t="s">
        <v>2466</v>
      </c>
      <c r="M2223" t="s">
        <v>2482</v>
      </c>
      <c r="N2223">
        <v>1</v>
      </c>
      <c r="O2223">
        <v>2024</v>
      </c>
      <c r="P2223">
        <v>9846.3245281564559</v>
      </c>
      <c r="Q2223">
        <v>2.0129588576131381</v>
      </c>
      <c r="R2223" t="s">
        <v>109</v>
      </c>
      <c r="S2223">
        <v>4891.4683431889489</v>
      </c>
      <c r="T2223">
        <v>17.100000000000001</v>
      </c>
      <c r="U2223" t="s">
        <v>329</v>
      </c>
      <c r="V2223">
        <v>5.0146627565982396</v>
      </c>
      <c r="W2223">
        <v>8</v>
      </c>
      <c r="X2223">
        <v>20.8</v>
      </c>
      <c r="Y2223">
        <v>15</v>
      </c>
      <c r="Z2223">
        <v>9.606602748064616E-2</v>
      </c>
      <c r="AA2223">
        <v>31.536000000000001</v>
      </c>
    </row>
    <row r="2224" spans="1:27" x14ac:dyDescent="0.25">
      <c r="A2224" t="s">
        <v>98</v>
      </c>
      <c r="B2224" t="s">
        <v>99</v>
      </c>
      <c r="C2224" t="s">
        <v>1028</v>
      </c>
      <c r="D2224" t="s">
        <v>1707</v>
      </c>
      <c r="E2224" t="s">
        <v>304</v>
      </c>
      <c r="F2224" t="s">
        <v>201</v>
      </c>
      <c r="G2224" t="s">
        <v>119</v>
      </c>
      <c r="H2224" t="s">
        <v>125</v>
      </c>
      <c r="I2224">
        <v>2016</v>
      </c>
      <c r="J2224" t="s">
        <v>341</v>
      </c>
      <c r="K2224" t="s">
        <v>127</v>
      </c>
      <c r="L2224" t="s">
        <v>2466</v>
      </c>
      <c r="M2224" t="s">
        <v>2483</v>
      </c>
      <c r="N2224">
        <v>0</v>
      </c>
      <c r="O2224">
        <v>2020</v>
      </c>
      <c r="P2224">
        <v>10395.03611176889</v>
      </c>
      <c r="Q2224">
        <v>2.0129588576131381</v>
      </c>
      <c r="R2224" t="s">
        <v>109</v>
      </c>
      <c r="S2224">
        <v>5164.0579103016453</v>
      </c>
      <c r="T2224">
        <v>22.4</v>
      </c>
      <c r="U2224" t="s">
        <v>329</v>
      </c>
      <c r="V2224">
        <v>6.5689149560117297</v>
      </c>
      <c r="W2224">
        <v>8</v>
      </c>
      <c r="X2224">
        <v>20.8</v>
      </c>
      <c r="Y2224">
        <v>15</v>
      </c>
      <c r="Z2224">
        <v>9.606602748064616E-2</v>
      </c>
      <c r="AA2224">
        <v>31.536000000000001</v>
      </c>
    </row>
    <row r="2225" spans="1:27" x14ac:dyDescent="0.25">
      <c r="A2225" t="s">
        <v>98</v>
      </c>
      <c r="B2225" t="s">
        <v>99</v>
      </c>
      <c r="C2225" t="s">
        <v>1028</v>
      </c>
      <c r="D2225" t="s">
        <v>1707</v>
      </c>
      <c r="E2225" t="s">
        <v>304</v>
      </c>
      <c r="F2225" t="s">
        <v>201</v>
      </c>
      <c r="G2225" t="s">
        <v>119</v>
      </c>
      <c r="H2225" t="s">
        <v>125</v>
      </c>
      <c r="I2225">
        <v>2020</v>
      </c>
      <c r="J2225" t="s">
        <v>343</v>
      </c>
      <c r="K2225" t="s">
        <v>127</v>
      </c>
      <c r="L2225" t="s">
        <v>2466</v>
      </c>
      <c r="M2225" t="s">
        <v>2483</v>
      </c>
      <c r="N2225">
        <v>1</v>
      </c>
      <c r="O2225">
        <v>2020</v>
      </c>
      <c r="P2225">
        <v>10395.03611176889</v>
      </c>
      <c r="Q2225">
        <v>2.0129588576131381</v>
      </c>
      <c r="R2225" t="s">
        <v>109</v>
      </c>
      <c r="S2225">
        <v>5164.0579103016453</v>
      </c>
      <c r="T2225">
        <v>22.4</v>
      </c>
      <c r="U2225" t="s">
        <v>329</v>
      </c>
      <c r="V2225">
        <v>6.5689149560117297</v>
      </c>
      <c r="W2225">
        <v>8</v>
      </c>
      <c r="X2225">
        <v>20.8</v>
      </c>
      <c r="Y2225">
        <v>15</v>
      </c>
      <c r="Z2225">
        <v>9.606602748064616E-2</v>
      </c>
      <c r="AA2225">
        <v>31.536000000000001</v>
      </c>
    </row>
    <row r="2226" spans="1:27" x14ac:dyDescent="0.25">
      <c r="A2226" t="s">
        <v>98</v>
      </c>
      <c r="B2226" t="s">
        <v>99</v>
      </c>
      <c r="C2226" t="s">
        <v>1028</v>
      </c>
      <c r="D2226" t="s">
        <v>1707</v>
      </c>
      <c r="E2226" t="s">
        <v>304</v>
      </c>
      <c r="F2226" t="s">
        <v>201</v>
      </c>
      <c r="G2226" t="s">
        <v>119</v>
      </c>
      <c r="H2226" t="s">
        <v>125</v>
      </c>
      <c r="I2226">
        <v>2022</v>
      </c>
      <c r="J2226" t="s">
        <v>344</v>
      </c>
      <c r="K2226" t="s">
        <v>127</v>
      </c>
      <c r="L2226" t="s">
        <v>2466</v>
      </c>
      <c r="M2226" t="s">
        <v>2484</v>
      </c>
      <c r="N2226">
        <v>1</v>
      </c>
      <c r="O2226">
        <v>2022</v>
      </c>
      <c r="P2226">
        <v>10395.03611176889</v>
      </c>
      <c r="Q2226">
        <v>2.0129588576131381</v>
      </c>
      <c r="R2226" t="s">
        <v>109</v>
      </c>
      <c r="S2226">
        <v>5164.0579103016453</v>
      </c>
      <c r="T2226">
        <v>22.4</v>
      </c>
      <c r="U2226" t="s">
        <v>329</v>
      </c>
      <c r="V2226">
        <v>6.5689149560117297</v>
      </c>
      <c r="W2226">
        <v>8</v>
      </c>
      <c r="X2226">
        <v>20.8</v>
      </c>
      <c r="Y2226">
        <v>15</v>
      </c>
      <c r="Z2226">
        <v>9.606602748064616E-2</v>
      </c>
      <c r="AA2226">
        <v>31.536000000000001</v>
      </c>
    </row>
    <row r="2227" spans="1:27" x14ac:dyDescent="0.25">
      <c r="A2227" t="s">
        <v>98</v>
      </c>
      <c r="B2227" t="s">
        <v>99</v>
      </c>
      <c r="C2227" t="s">
        <v>1028</v>
      </c>
      <c r="D2227" t="s">
        <v>1707</v>
      </c>
      <c r="E2227" t="s">
        <v>304</v>
      </c>
      <c r="F2227" t="s">
        <v>201</v>
      </c>
      <c r="G2227" t="s">
        <v>119</v>
      </c>
      <c r="H2227" t="s">
        <v>125</v>
      </c>
      <c r="I2227">
        <v>2023</v>
      </c>
      <c r="J2227" t="s">
        <v>346</v>
      </c>
      <c r="K2227" t="s">
        <v>127</v>
      </c>
      <c r="L2227" t="s">
        <v>2466</v>
      </c>
      <c r="M2227" t="s">
        <v>2485</v>
      </c>
      <c r="N2227">
        <v>1</v>
      </c>
      <c r="O2227">
        <v>2023</v>
      </c>
      <c r="P2227">
        <v>10395.03611176889</v>
      </c>
      <c r="Q2227">
        <v>2.0129588576131381</v>
      </c>
      <c r="R2227" t="s">
        <v>109</v>
      </c>
      <c r="S2227">
        <v>5164.0579103016453</v>
      </c>
      <c r="T2227">
        <v>22.4</v>
      </c>
      <c r="U2227" t="s">
        <v>329</v>
      </c>
      <c r="V2227">
        <v>6.5689149560117297</v>
      </c>
      <c r="W2227">
        <v>8</v>
      </c>
      <c r="X2227">
        <v>20.8</v>
      </c>
      <c r="Y2227">
        <v>15</v>
      </c>
      <c r="Z2227">
        <v>9.606602748064616E-2</v>
      </c>
      <c r="AA2227">
        <v>31.536000000000001</v>
      </c>
    </row>
    <row r="2228" spans="1:27" x14ac:dyDescent="0.25">
      <c r="A2228" t="s">
        <v>98</v>
      </c>
      <c r="B2228" t="s">
        <v>99</v>
      </c>
      <c r="C2228" t="s">
        <v>1028</v>
      </c>
      <c r="D2228" t="s">
        <v>1707</v>
      </c>
      <c r="E2228" t="s">
        <v>304</v>
      </c>
      <c r="F2228" t="s">
        <v>201</v>
      </c>
      <c r="G2228" t="s">
        <v>119</v>
      </c>
      <c r="H2228" t="s">
        <v>125</v>
      </c>
      <c r="I2228">
        <v>2024</v>
      </c>
      <c r="J2228" t="s">
        <v>348</v>
      </c>
      <c r="K2228" t="s">
        <v>127</v>
      </c>
      <c r="L2228" t="s">
        <v>2466</v>
      </c>
      <c r="M2228" t="s">
        <v>2486</v>
      </c>
      <c r="N2228">
        <v>1</v>
      </c>
      <c r="O2228">
        <v>2024</v>
      </c>
      <c r="P2228">
        <v>10395.03611176889</v>
      </c>
      <c r="Q2228">
        <v>2.0129588576131381</v>
      </c>
      <c r="R2228" t="s">
        <v>109</v>
      </c>
      <c r="S2228">
        <v>5164.0579103016453</v>
      </c>
      <c r="T2228">
        <v>22.4</v>
      </c>
      <c r="U2228" t="s">
        <v>329</v>
      </c>
      <c r="V2228">
        <v>6.5689149560117297</v>
      </c>
      <c r="W2228">
        <v>8</v>
      </c>
      <c r="X2228">
        <v>20.8</v>
      </c>
      <c r="Y2228">
        <v>15</v>
      </c>
      <c r="Z2228">
        <v>9.606602748064616E-2</v>
      </c>
      <c r="AA2228">
        <v>31.536000000000001</v>
      </c>
    </row>
    <row r="2229" spans="1:27" x14ac:dyDescent="0.25">
      <c r="A2229" t="s">
        <v>98</v>
      </c>
      <c r="B2229" t="s">
        <v>99</v>
      </c>
      <c r="C2229" t="s">
        <v>1028</v>
      </c>
      <c r="D2229" t="s">
        <v>1707</v>
      </c>
      <c r="E2229" t="s">
        <v>304</v>
      </c>
      <c r="F2229" t="s">
        <v>350</v>
      </c>
      <c r="G2229" t="s">
        <v>103</v>
      </c>
      <c r="H2229" t="s">
        <v>125</v>
      </c>
      <c r="I2229">
        <v>2016</v>
      </c>
      <c r="J2229" t="s">
        <v>351</v>
      </c>
      <c r="K2229" t="s">
        <v>127</v>
      </c>
      <c r="L2229" t="s">
        <v>2466</v>
      </c>
      <c r="M2229" t="s">
        <v>2487</v>
      </c>
      <c r="N2229">
        <v>1</v>
      </c>
      <c r="O2229">
        <v>2020</v>
      </c>
      <c r="P2229">
        <v>756.00262631046473</v>
      </c>
      <c r="Q2229">
        <v>2.0129588576131381</v>
      </c>
      <c r="R2229" t="s">
        <v>109</v>
      </c>
      <c r="S2229">
        <v>375.56784802193789</v>
      </c>
      <c r="T2229">
        <v>3.1946072684642441</v>
      </c>
      <c r="U2229" t="s">
        <v>184</v>
      </c>
      <c r="V2229">
        <v>3.1946072684642441</v>
      </c>
      <c r="W2229">
        <v>6</v>
      </c>
      <c r="X2229">
        <v>13</v>
      </c>
      <c r="Y2229">
        <v>10</v>
      </c>
      <c r="Z2229">
        <v>9.606602748064616E-2</v>
      </c>
      <c r="AA2229">
        <v>31.536000000000001</v>
      </c>
    </row>
    <row r="2230" spans="1:27" x14ac:dyDescent="0.25">
      <c r="A2230" t="s">
        <v>98</v>
      </c>
      <c r="B2230" t="s">
        <v>99</v>
      </c>
      <c r="C2230" t="s">
        <v>1028</v>
      </c>
      <c r="D2230" t="s">
        <v>1707</v>
      </c>
      <c r="E2230" t="s">
        <v>304</v>
      </c>
      <c r="F2230" t="s">
        <v>350</v>
      </c>
      <c r="G2230" t="s">
        <v>111</v>
      </c>
      <c r="H2230" t="s">
        <v>125</v>
      </c>
      <c r="I2230">
        <v>2016</v>
      </c>
      <c r="J2230" t="s">
        <v>353</v>
      </c>
      <c r="K2230" t="s">
        <v>127</v>
      </c>
      <c r="L2230" t="s">
        <v>2466</v>
      </c>
      <c r="M2230" t="s">
        <v>2488</v>
      </c>
      <c r="N2230">
        <v>1</v>
      </c>
      <c r="O2230">
        <v>2020</v>
      </c>
      <c r="P2230">
        <v>780.38980780435065</v>
      </c>
      <c r="Q2230">
        <v>2.0129588576131381</v>
      </c>
      <c r="R2230" t="s">
        <v>109</v>
      </c>
      <c r="S2230">
        <v>387.68293989361331</v>
      </c>
      <c r="T2230">
        <v>3.5169988276670581</v>
      </c>
      <c r="U2230" t="s">
        <v>184</v>
      </c>
      <c r="V2230">
        <v>3.5169988276670581</v>
      </c>
      <c r="W2230">
        <v>6</v>
      </c>
      <c r="X2230">
        <v>13</v>
      </c>
      <c r="Y2230">
        <v>10</v>
      </c>
      <c r="Z2230">
        <v>9.606602748064616E-2</v>
      </c>
      <c r="AA2230">
        <v>31.536000000000001</v>
      </c>
    </row>
    <row r="2231" spans="1:27" x14ac:dyDescent="0.25">
      <c r="A2231" t="s">
        <v>98</v>
      </c>
      <c r="B2231" t="s">
        <v>99</v>
      </c>
      <c r="C2231" t="s">
        <v>1028</v>
      </c>
      <c r="D2231" t="s">
        <v>1707</v>
      </c>
      <c r="E2231" t="s">
        <v>304</v>
      </c>
      <c r="F2231" t="s">
        <v>350</v>
      </c>
      <c r="G2231" t="s">
        <v>111</v>
      </c>
      <c r="H2231" t="s">
        <v>125</v>
      </c>
      <c r="I2231">
        <v>2030</v>
      </c>
      <c r="J2231" t="s">
        <v>355</v>
      </c>
      <c r="K2231" t="s">
        <v>127</v>
      </c>
      <c r="L2231" t="s">
        <v>2466</v>
      </c>
      <c r="M2231" t="s">
        <v>2489</v>
      </c>
      <c r="N2231">
        <v>1</v>
      </c>
      <c r="O2231">
        <v>2030</v>
      </c>
      <c r="P2231">
        <v>780.38980780435065</v>
      </c>
      <c r="Q2231">
        <v>2.0129588576131381</v>
      </c>
      <c r="R2231" t="s">
        <v>109</v>
      </c>
      <c r="S2231">
        <v>387.68293989361331</v>
      </c>
      <c r="T2231">
        <v>3.5902696365767879</v>
      </c>
      <c r="U2231" t="s">
        <v>184</v>
      </c>
      <c r="V2231">
        <v>3.5902696365767879</v>
      </c>
      <c r="W2231">
        <v>6</v>
      </c>
      <c r="X2231">
        <v>13</v>
      </c>
      <c r="Y2231">
        <v>10</v>
      </c>
      <c r="Z2231">
        <v>9.606602748064616E-2</v>
      </c>
      <c r="AA2231">
        <v>31.536000000000001</v>
      </c>
    </row>
    <row r="2232" spans="1:27" x14ac:dyDescent="0.25">
      <c r="A2232" t="s">
        <v>98</v>
      </c>
      <c r="B2232" t="s">
        <v>99</v>
      </c>
      <c r="C2232" t="s">
        <v>1028</v>
      </c>
      <c r="D2232" t="s">
        <v>1707</v>
      </c>
      <c r="E2232" t="s">
        <v>304</v>
      </c>
      <c r="F2232" t="s">
        <v>350</v>
      </c>
      <c r="G2232" t="s">
        <v>111</v>
      </c>
      <c r="H2232" t="s">
        <v>125</v>
      </c>
      <c r="I2232">
        <v>2040</v>
      </c>
      <c r="J2232" t="s">
        <v>357</v>
      </c>
      <c r="K2232" t="s">
        <v>127</v>
      </c>
      <c r="L2232" t="s">
        <v>2466</v>
      </c>
      <c r="M2232" t="s">
        <v>2490</v>
      </c>
      <c r="N2232">
        <v>1</v>
      </c>
      <c r="O2232">
        <v>2040</v>
      </c>
      <c r="P2232">
        <v>780.38980780435065</v>
      </c>
      <c r="Q2232">
        <v>2.0129588576131381</v>
      </c>
      <c r="R2232" t="s">
        <v>109</v>
      </c>
      <c r="S2232">
        <v>387.68293989361331</v>
      </c>
      <c r="T2232">
        <v>3.6635404454865181</v>
      </c>
      <c r="U2232" t="s">
        <v>184</v>
      </c>
      <c r="V2232">
        <v>3.6635404454865181</v>
      </c>
      <c r="W2232">
        <v>6</v>
      </c>
      <c r="X2232">
        <v>13</v>
      </c>
      <c r="Y2232">
        <v>10</v>
      </c>
      <c r="Z2232">
        <v>9.606602748064616E-2</v>
      </c>
      <c r="AA2232">
        <v>31.536000000000001</v>
      </c>
    </row>
    <row r="2233" spans="1:27" x14ac:dyDescent="0.25">
      <c r="A2233" t="s">
        <v>98</v>
      </c>
      <c r="B2233" t="s">
        <v>99</v>
      </c>
      <c r="C2233" t="s">
        <v>1028</v>
      </c>
      <c r="D2233" t="s">
        <v>1707</v>
      </c>
      <c r="E2233" t="s">
        <v>304</v>
      </c>
      <c r="F2233" t="s">
        <v>350</v>
      </c>
      <c r="G2233" t="s">
        <v>114</v>
      </c>
      <c r="H2233" t="s">
        <v>125</v>
      </c>
      <c r="I2233">
        <v>2016</v>
      </c>
      <c r="J2233" t="s">
        <v>359</v>
      </c>
      <c r="K2233" t="s">
        <v>127</v>
      </c>
      <c r="L2233" t="s">
        <v>2466</v>
      </c>
      <c r="M2233" t="s">
        <v>2491</v>
      </c>
      <c r="N2233">
        <v>1</v>
      </c>
      <c r="O2233">
        <v>2020</v>
      </c>
      <c r="P2233">
        <v>780.38980780435065</v>
      </c>
      <c r="Q2233">
        <v>2.0129588576131381</v>
      </c>
      <c r="R2233" t="s">
        <v>109</v>
      </c>
      <c r="S2233">
        <v>387.68293989361331</v>
      </c>
      <c r="T2233">
        <v>3.5169988276670581</v>
      </c>
      <c r="U2233" t="s">
        <v>184</v>
      </c>
      <c r="V2233">
        <v>3.5169988276670581</v>
      </c>
      <c r="W2233">
        <v>6</v>
      </c>
      <c r="X2233">
        <v>13</v>
      </c>
      <c r="Y2233">
        <v>10</v>
      </c>
      <c r="Z2233">
        <v>9.606602748064616E-2</v>
      </c>
      <c r="AA2233">
        <v>31.536000000000001</v>
      </c>
    </row>
    <row r="2234" spans="1:27" x14ac:dyDescent="0.25">
      <c r="A2234" t="s">
        <v>98</v>
      </c>
      <c r="B2234" t="s">
        <v>99</v>
      </c>
      <c r="C2234" t="s">
        <v>1028</v>
      </c>
      <c r="D2234" t="s">
        <v>1707</v>
      </c>
      <c r="E2234" t="s">
        <v>304</v>
      </c>
      <c r="F2234" t="s">
        <v>350</v>
      </c>
      <c r="G2234" t="s">
        <v>119</v>
      </c>
      <c r="H2234" t="s">
        <v>125</v>
      </c>
      <c r="I2234">
        <v>2016</v>
      </c>
      <c r="J2234" t="s">
        <v>361</v>
      </c>
      <c r="K2234" t="s">
        <v>127</v>
      </c>
      <c r="L2234" t="s">
        <v>2466</v>
      </c>
      <c r="M2234" t="s">
        <v>2492</v>
      </c>
      <c r="N2234">
        <v>1</v>
      </c>
      <c r="O2234">
        <v>2020</v>
      </c>
      <c r="P2234">
        <v>859.64814765948006</v>
      </c>
      <c r="Q2234">
        <v>2.0129588576131381</v>
      </c>
      <c r="R2234" t="s">
        <v>109</v>
      </c>
      <c r="S2234">
        <v>427.05698847655839</v>
      </c>
      <c r="T2234">
        <v>3.6049237983587341</v>
      </c>
      <c r="U2234" t="s">
        <v>184</v>
      </c>
      <c r="V2234">
        <v>3.6049237983587341</v>
      </c>
      <c r="W2234">
        <v>6</v>
      </c>
      <c r="X2234">
        <v>13</v>
      </c>
      <c r="Y2234">
        <v>10</v>
      </c>
      <c r="Z2234">
        <v>9.606602748064616E-2</v>
      </c>
      <c r="AA2234">
        <v>31.536000000000001</v>
      </c>
    </row>
    <row r="2235" spans="1:27" x14ac:dyDescent="0.25">
      <c r="A2235" t="s">
        <v>98</v>
      </c>
      <c r="B2235" t="s">
        <v>99</v>
      </c>
      <c r="C2235" t="s">
        <v>1028</v>
      </c>
      <c r="D2235" t="s">
        <v>1707</v>
      </c>
      <c r="E2235" t="s">
        <v>304</v>
      </c>
      <c r="F2235" t="s">
        <v>350</v>
      </c>
      <c r="G2235" t="s">
        <v>119</v>
      </c>
      <c r="H2235" t="s">
        <v>125</v>
      </c>
      <c r="I2235">
        <v>2022</v>
      </c>
      <c r="J2235" t="s">
        <v>363</v>
      </c>
      <c r="K2235" t="s">
        <v>127</v>
      </c>
      <c r="L2235" t="s">
        <v>2466</v>
      </c>
      <c r="M2235" t="s">
        <v>2493</v>
      </c>
      <c r="N2235">
        <v>1</v>
      </c>
      <c r="O2235">
        <v>2022</v>
      </c>
      <c r="P2235">
        <v>859.64814765948006</v>
      </c>
      <c r="Q2235">
        <v>2.0129588576131381</v>
      </c>
      <c r="R2235" t="s">
        <v>109</v>
      </c>
      <c r="S2235">
        <v>427.05698847655839</v>
      </c>
      <c r="T2235">
        <v>3.6635404454865181</v>
      </c>
      <c r="U2235" t="s">
        <v>184</v>
      </c>
      <c r="V2235">
        <v>3.6635404454865181</v>
      </c>
      <c r="W2235">
        <v>6</v>
      </c>
      <c r="X2235">
        <v>13</v>
      </c>
      <c r="Y2235">
        <v>10</v>
      </c>
      <c r="Z2235">
        <v>9.606602748064616E-2</v>
      </c>
      <c r="AA2235">
        <v>31.536000000000001</v>
      </c>
    </row>
    <row r="2236" spans="1:27" x14ac:dyDescent="0.25">
      <c r="A2236" t="s">
        <v>98</v>
      </c>
      <c r="B2236" t="s">
        <v>99</v>
      </c>
      <c r="C2236" t="s">
        <v>1028</v>
      </c>
      <c r="D2236" t="s">
        <v>1707</v>
      </c>
      <c r="E2236" t="s">
        <v>304</v>
      </c>
      <c r="F2236" t="s">
        <v>350</v>
      </c>
      <c r="G2236" t="s">
        <v>119</v>
      </c>
      <c r="H2236" t="s">
        <v>125</v>
      </c>
      <c r="I2236">
        <v>2030</v>
      </c>
      <c r="J2236" t="s">
        <v>365</v>
      </c>
      <c r="K2236" t="s">
        <v>127</v>
      </c>
      <c r="L2236" t="s">
        <v>2466</v>
      </c>
      <c r="M2236" t="s">
        <v>2494</v>
      </c>
      <c r="N2236">
        <v>1</v>
      </c>
      <c r="O2236">
        <v>2030</v>
      </c>
      <c r="P2236">
        <v>859.64814765948006</v>
      </c>
      <c r="Q2236">
        <v>2.0129588576131381</v>
      </c>
      <c r="R2236" t="s">
        <v>109</v>
      </c>
      <c r="S2236">
        <v>427.05698847655839</v>
      </c>
      <c r="T2236">
        <v>3.8100820633059791</v>
      </c>
      <c r="U2236" t="s">
        <v>184</v>
      </c>
      <c r="V2236">
        <v>3.8100820633059791</v>
      </c>
      <c r="W2236">
        <v>6</v>
      </c>
      <c r="X2236">
        <v>13</v>
      </c>
      <c r="Y2236">
        <v>10</v>
      </c>
      <c r="Z2236">
        <v>9.606602748064616E-2</v>
      </c>
      <c r="AA2236">
        <v>31.536000000000001</v>
      </c>
    </row>
    <row r="2237" spans="1:27" x14ac:dyDescent="0.25">
      <c r="A2237" t="s">
        <v>98</v>
      </c>
      <c r="B2237" t="s">
        <v>99</v>
      </c>
      <c r="C2237" t="s">
        <v>1028</v>
      </c>
      <c r="D2237" t="s">
        <v>1707</v>
      </c>
      <c r="E2237" t="s">
        <v>304</v>
      </c>
      <c r="F2237" t="s">
        <v>350</v>
      </c>
      <c r="G2237" t="s">
        <v>119</v>
      </c>
      <c r="H2237" t="s">
        <v>125</v>
      </c>
      <c r="I2237">
        <v>2040</v>
      </c>
      <c r="J2237" t="s">
        <v>367</v>
      </c>
      <c r="K2237" t="s">
        <v>127</v>
      </c>
      <c r="L2237" t="s">
        <v>2466</v>
      </c>
      <c r="M2237" t="s">
        <v>2495</v>
      </c>
      <c r="N2237">
        <v>1</v>
      </c>
      <c r="O2237">
        <v>2040</v>
      </c>
      <c r="P2237">
        <v>859.64814765948006</v>
      </c>
      <c r="Q2237">
        <v>2.0129588576131381</v>
      </c>
      <c r="R2237" t="s">
        <v>109</v>
      </c>
      <c r="S2237">
        <v>427.05698847655839</v>
      </c>
      <c r="T2237">
        <v>3.9566236811254401</v>
      </c>
      <c r="U2237" t="s">
        <v>184</v>
      </c>
      <c r="V2237">
        <v>3.9566236811254401</v>
      </c>
      <c r="W2237">
        <v>6</v>
      </c>
      <c r="X2237">
        <v>13</v>
      </c>
      <c r="Y2237">
        <v>10</v>
      </c>
      <c r="Z2237">
        <v>9.606602748064616E-2</v>
      </c>
      <c r="AA2237">
        <v>31.536000000000001</v>
      </c>
    </row>
    <row r="2238" spans="1:27" x14ac:dyDescent="0.25">
      <c r="A2238" t="s">
        <v>98</v>
      </c>
      <c r="B2238" t="s">
        <v>99</v>
      </c>
      <c r="C2238" t="s">
        <v>1028</v>
      </c>
      <c r="D2238" t="s">
        <v>1707</v>
      </c>
      <c r="E2238" t="s">
        <v>304</v>
      </c>
      <c r="F2238" t="s">
        <v>369</v>
      </c>
      <c r="G2238" t="s">
        <v>103</v>
      </c>
      <c r="H2238" t="s">
        <v>125</v>
      </c>
      <c r="I2238">
        <v>2016</v>
      </c>
      <c r="J2238" t="s">
        <v>370</v>
      </c>
      <c r="K2238" t="s">
        <v>127</v>
      </c>
      <c r="L2238" t="s">
        <v>2466</v>
      </c>
      <c r="M2238" t="s">
        <v>2496</v>
      </c>
      <c r="N2238">
        <v>1</v>
      </c>
      <c r="O2238">
        <v>2020</v>
      </c>
      <c r="P2238">
        <v>4328.724715164758</v>
      </c>
      <c r="Q2238">
        <v>2.0129588576131381</v>
      </c>
      <c r="R2238" t="s">
        <v>109</v>
      </c>
      <c r="S2238">
        <v>2150.4288072223858</v>
      </c>
      <c r="T2238">
        <v>3.8100820633059791</v>
      </c>
      <c r="U2238" t="s">
        <v>184</v>
      </c>
      <c r="V2238">
        <v>3.8100820633059791</v>
      </c>
      <c r="W2238">
        <v>11</v>
      </c>
      <c r="X2238">
        <v>25</v>
      </c>
      <c r="Y2238">
        <v>19</v>
      </c>
      <c r="Z2238">
        <v>9.606602748064616E-2</v>
      </c>
      <c r="AA2238">
        <v>31.536000000000001</v>
      </c>
    </row>
    <row r="2239" spans="1:27" x14ac:dyDescent="0.25">
      <c r="A2239" t="s">
        <v>98</v>
      </c>
      <c r="B2239" t="s">
        <v>99</v>
      </c>
      <c r="C2239" t="s">
        <v>1028</v>
      </c>
      <c r="D2239" t="s">
        <v>1707</v>
      </c>
      <c r="E2239" t="s">
        <v>304</v>
      </c>
      <c r="F2239" t="s">
        <v>369</v>
      </c>
      <c r="G2239" t="s">
        <v>103</v>
      </c>
      <c r="H2239" t="s">
        <v>125</v>
      </c>
      <c r="I2239">
        <v>2023</v>
      </c>
      <c r="J2239" t="s">
        <v>372</v>
      </c>
      <c r="K2239" t="s">
        <v>127</v>
      </c>
      <c r="L2239" t="s">
        <v>2466</v>
      </c>
      <c r="M2239" t="s">
        <v>2497</v>
      </c>
      <c r="N2239">
        <v>1</v>
      </c>
      <c r="O2239">
        <v>2023</v>
      </c>
      <c r="P2239">
        <v>4328.724715164758</v>
      </c>
      <c r="Q2239">
        <v>2.0129588576131381</v>
      </c>
      <c r="R2239" t="s">
        <v>109</v>
      </c>
      <c r="S2239">
        <v>2150.4288072223858</v>
      </c>
      <c r="T2239">
        <v>3.8100820633059791</v>
      </c>
      <c r="U2239" t="s">
        <v>184</v>
      </c>
      <c r="V2239">
        <v>3.8100820633059791</v>
      </c>
      <c r="W2239">
        <v>11</v>
      </c>
      <c r="X2239">
        <v>25</v>
      </c>
      <c r="Y2239">
        <v>19</v>
      </c>
      <c r="Z2239">
        <v>9.606602748064616E-2</v>
      </c>
      <c r="AA2239">
        <v>31.536000000000001</v>
      </c>
    </row>
    <row r="2240" spans="1:27" x14ac:dyDescent="0.25">
      <c r="A2240" t="s">
        <v>98</v>
      </c>
      <c r="B2240" t="s">
        <v>99</v>
      </c>
      <c r="C2240" t="s">
        <v>1028</v>
      </c>
      <c r="D2240" t="s">
        <v>1707</v>
      </c>
      <c r="E2240" t="s">
        <v>304</v>
      </c>
      <c r="F2240" t="s">
        <v>369</v>
      </c>
      <c r="G2240" t="s">
        <v>111</v>
      </c>
      <c r="H2240" t="s">
        <v>125</v>
      </c>
      <c r="I2240">
        <v>2016</v>
      </c>
      <c r="J2240" t="s">
        <v>374</v>
      </c>
      <c r="K2240" t="s">
        <v>127</v>
      </c>
      <c r="L2240" t="s">
        <v>2466</v>
      </c>
      <c r="M2240" t="s">
        <v>2498</v>
      </c>
      <c r="N2240">
        <v>1</v>
      </c>
      <c r="O2240">
        <v>2020</v>
      </c>
      <c r="P2240">
        <v>4450.6606226341873</v>
      </c>
      <c r="Q2240">
        <v>2.0129588576131381</v>
      </c>
      <c r="R2240" t="s">
        <v>109</v>
      </c>
      <c r="S2240">
        <v>2211.0042665807632</v>
      </c>
      <c r="T2240">
        <v>4.0738569753810081</v>
      </c>
      <c r="U2240" t="s">
        <v>184</v>
      </c>
      <c r="V2240">
        <v>4.0738569753810081</v>
      </c>
      <c r="W2240">
        <v>11</v>
      </c>
      <c r="X2240">
        <v>25</v>
      </c>
      <c r="Y2240">
        <v>19</v>
      </c>
      <c r="Z2240">
        <v>9.606602748064616E-2</v>
      </c>
      <c r="AA2240">
        <v>31.536000000000001</v>
      </c>
    </row>
    <row r="2241" spans="1:27" x14ac:dyDescent="0.25">
      <c r="A2241" t="s">
        <v>98</v>
      </c>
      <c r="B2241" t="s">
        <v>99</v>
      </c>
      <c r="C2241" t="s">
        <v>1028</v>
      </c>
      <c r="D2241" t="s">
        <v>1707</v>
      </c>
      <c r="E2241" t="s">
        <v>304</v>
      </c>
      <c r="F2241" t="s">
        <v>369</v>
      </c>
      <c r="G2241" t="s">
        <v>111</v>
      </c>
      <c r="H2241" t="s">
        <v>125</v>
      </c>
      <c r="I2241">
        <v>2023</v>
      </c>
      <c r="J2241" t="s">
        <v>376</v>
      </c>
      <c r="K2241" t="s">
        <v>127</v>
      </c>
      <c r="L2241" t="s">
        <v>2466</v>
      </c>
      <c r="M2241" t="s">
        <v>2499</v>
      </c>
      <c r="N2241">
        <v>1</v>
      </c>
      <c r="O2241">
        <v>2023</v>
      </c>
      <c r="P2241">
        <v>4511.628576368902</v>
      </c>
      <c r="Q2241">
        <v>2.0129588576131381</v>
      </c>
      <c r="R2241" t="s">
        <v>109</v>
      </c>
      <c r="S2241">
        <v>2241.2919962599522</v>
      </c>
      <c r="T2241">
        <v>4.2203985932004704</v>
      </c>
      <c r="U2241" t="s">
        <v>184</v>
      </c>
      <c r="V2241">
        <v>4.2203985932004704</v>
      </c>
      <c r="W2241">
        <v>11</v>
      </c>
      <c r="X2241">
        <v>25</v>
      </c>
      <c r="Y2241">
        <v>19</v>
      </c>
      <c r="Z2241">
        <v>9.606602748064616E-2</v>
      </c>
      <c r="AA2241">
        <v>31.536000000000001</v>
      </c>
    </row>
    <row r="2242" spans="1:27" x14ac:dyDescent="0.25">
      <c r="A2242" t="s">
        <v>98</v>
      </c>
      <c r="B2242" t="s">
        <v>99</v>
      </c>
      <c r="C2242" t="s">
        <v>1028</v>
      </c>
      <c r="D2242" t="s">
        <v>1707</v>
      </c>
      <c r="E2242" t="s">
        <v>304</v>
      </c>
      <c r="F2242" t="s">
        <v>369</v>
      </c>
      <c r="G2242" t="s">
        <v>114</v>
      </c>
      <c r="H2242" t="s">
        <v>125</v>
      </c>
      <c r="I2242">
        <v>2016</v>
      </c>
      <c r="J2242" t="s">
        <v>378</v>
      </c>
      <c r="K2242" t="s">
        <v>127</v>
      </c>
      <c r="L2242" t="s">
        <v>2466</v>
      </c>
      <c r="M2242" t="s">
        <v>2500</v>
      </c>
      <c r="N2242">
        <v>1</v>
      </c>
      <c r="O2242">
        <v>2020</v>
      </c>
      <c r="P2242">
        <v>4877.436298777192</v>
      </c>
      <c r="Q2242">
        <v>2.0129588576131381</v>
      </c>
      <c r="R2242" t="s">
        <v>109</v>
      </c>
      <c r="S2242">
        <v>2423.0183743350831</v>
      </c>
      <c r="T2242">
        <v>4.3962485345838216</v>
      </c>
      <c r="U2242" t="s">
        <v>184</v>
      </c>
      <c r="V2242">
        <v>4.3962485345838216</v>
      </c>
      <c r="W2242">
        <v>11</v>
      </c>
      <c r="X2242">
        <v>25</v>
      </c>
      <c r="Y2242">
        <v>19</v>
      </c>
      <c r="Z2242">
        <v>9.606602748064616E-2</v>
      </c>
      <c r="AA2242">
        <v>31.536000000000001</v>
      </c>
    </row>
    <row r="2243" spans="1:27" x14ac:dyDescent="0.25">
      <c r="A2243" t="s">
        <v>98</v>
      </c>
      <c r="B2243" t="s">
        <v>99</v>
      </c>
      <c r="C2243" t="s">
        <v>1028</v>
      </c>
      <c r="D2243" t="s">
        <v>1707</v>
      </c>
      <c r="E2243" t="s">
        <v>304</v>
      </c>
      <c r="F2243" t="s">
        <v>369</v>
      </c>
      <c r="G2243" t="s">
        <v>114</v>
      </c>
      <c r="H2243" t="s">
        <v>125</v>
      </c>
      <c r="I2243">
        <v>2023</v>
      </c>
      <c r="J2243" t="s">
        <v>380</v>
      </c>
      <c r="K2243" t="s">
        <v>127</v>
      </c>
      <c r="L2243" t="s">
        <v>2466</v>
      </c>
      <c r="M2243" t="s">
        <v>2501</v>
      </c>
      <c r="N2243">
        <v>1</v>
      </c>
      <c r="O2243">
        <v>2023</v>
      </c>
      <c r="P2243">
        <v>5202.5987186956727</v>
      </c>
      <c r="Q2243">
        <v>2.0129588576131381</v>
      </c>
      <c r="R2243" t="s">
        <v>109</v>
      </c>
      <c r="S2243">
        <v>2584.552932624089</v>
      </c>
      <c r="T2243">
        <v>4.6893317702227444</v>
      </c>
      <c r="U2243" t="s">
        <v>184</v>
      </c>
      <c r="V2243">
        <v>4.6893317702227444</v>
      </c>
      <c r="W2243">
        <v>11</v>
      </c>
      <c r="X2243">
        <v>25</v>
      </c>
      <c r="Y2243">
        <v>19</v>
      </c>
      <c r="Z2243">
        <v>9.606602748064616E-2</v>
      </c>
      <c r="AA2243">
        <v>31.536000000000001</v>
      </c>
    </row>
    <row r="2244" spans="1:27" x14ac:dyDescent="0.25">
      <c r="A2244" t="s">
        <v>98</v>
      </c>
      <c r="B2244" t="s">
        <v>99</v>
      </c>
      <c r="C2244" t="s">
        <v>1028</v>
      </c>
      <c r="D2244" t="s">
        <v>1707</v>
      </c>
      <c r="E2244" t="s">
        <v>304</v>
      </c>
      <c r="F2244" t="s">
        <v>369</v>
      </c>
      <c r="G2244" t="s">
        <v>119</v>
      </c>
      <c r="H2244" t="s">
        <v>125</v>
      </c>
      <c r="I2244">
        <v>2016</v>
      </c>
      <c r="J2244" t="s">
        <v>382</v>
      </c>
      <c r="K2244" t="s">
        <v>127</v>
      </c>
      <c r="L2244" t="s">
        <v>2466</v>
      </c>
      <c r="M2244" t="s">
        <v>2502</v>
      </c>
      <c r="N2244">
        <v>1</v>
      </c>
      <c r="O2244">
        <v>2020</v>
      </c>
      <c r="P2244">
        <v>5670.0196973284856</v>
      </c>
      <c r="Q2244">
        <v>2.0129588576131381</v>
      </c>
      <c r="R2244" t="s">
        <v>109</v>
      </c>
      <c r="S2244">
        <v>2816.7588601645339</v>
      </c>
      <c r="T2244">
        <v>4.835873388042204</v>
      </c>
      <c r="U2244" t="s">
        <v>184</v>
      </c>
      <c r="V2244">
        <v>4.835873388042204</v>
      </c>
      <c r="W2244">
        <v>11</v>
      </c>
      <c r="X2244">
        <v>25</v>
      </c>
      <c r="Y2244">
        <v>19</v>
      </c>
      <c r="Z2244">
        <v>9.606602748064616E-2</v>
      </c>
      <c r="AA2244">
        <v>31.536000000000001</v>
      </c>
    </row>
    <row r="2245" spans="1:27" x14ac:dyDescent="0.25">
      <c r="A2245" t="s">
        <v>98</v>
      </c>
      <c r="B2245" t="s">
        <v>99</v>
      </c>
      <c r="C2245" t="s">
        <v>1028</v>
      </c>
      <c r="D2245" t="s">
        <v>1707</v>
      </c>
      <c r="E2245" t="s">
        <v>304</v>
      </c>
      <c r="F2245" t="s">
        <v>369</v>
      </c>
      <c r="G2245" t="s">
        <v>119</v>
      </c>
      <c r="H2245" t="s">
        <v>125</v>
      </c>
      <c r="I2245">
        <v>2022</v>
      </c>
      <c r="J2245" t="s">
        <v>384</v>
      </c>
      <c r="K2245" t="s">
        <v>127</v>
      </c>
      <c r="L2245" t="s">
        <v>2466</v>
      </c>
      <c r="M2245" t="s">
        <v>2503</v>
      </c>
      <c r="N2245">
        <v>1</v>
      </c>
      <c r="O2245">
        <v>2022</v>
      </c>
      <c r="P2245">
        <v>5670.0196973284856</v>
      </c>
      <c r="Q2245">
        <v>2.0129588576131381</v>
      </c>
      <c r="R2245" t="s">
        <v>109</v>
      </c>
      <c r="S2245">
        <v>2816.7588601645339</v>
      </c>
      <c r="T2245">
        <v>4.835873388042204</v>
      </c>
      <c r="U2245" t="s">
        <v>184</v>
      </c>
      <c r="V2245">
        <v>4.835873388042204</v>
      </c>
      <c r="W2245">
        <v>11</v>
      </c>
      <c r="X2245">
        <v>25</v>
      </c>
      <c r="Y2245">
        <v>19</v>
      </c>
      <c r="Z2245">
        <v>9.606602748064616E-2</v>
      </c>
      <c r="AA2245">
        <v>31.536000000000001</v>
      </c>
    </row>
    <row r="2246" spans="1:27" x14ac:dyDescent="0.25">
      <c r="A2246" t="s">
        <v>98</v>
      </c>
      <c r="B2246" t="s">
        <v>99</v>
      </c>
      <c r="C2246" t="s">
        <v>1028</v>
      </c>
      <c r="D2246" t="s">
        <v>1707</v>
      </c>
      <c r="E2246" t="s">
        <v>386</v>
      </c>
      <c r="G2246" t="s">
        <v>387</v>
      </c>
      <c r="H2246" t="s">
        <v>125</v>
      </c>
      <c r="I2246">
        <v>2016</v>
      </c>
      <c r="J2246" t="s">
        <v>388</v>
      </c>
      <c r="K2246" t="s">
        <v>127</v>
      </c>
      <c r="L2246" t="s">
        <v>2504</v>
      </c>
      <c r="M2246" t="s">
        <v>2505</v>
      </c>
      <c r="N2246">
        <v>1</v>
      </c>
      <c r="O2246">
        <v>2020</v>
      </c>
      <c r="P2246">
        <v>853.55135228600852</v>
      </c>
      <c r="Q2246">
        <v>1.662261447689525</v>
      </c>
      <c r="R2246" t="s">
        <v>391</v>
      </c>
      <c r="S2246">
        <v>513.48802769408508</v>
      </c>
      <c r="T2246">
        <v>404.78399999999999</v>
      </c>
      <c r="U2246" t="s">
        <v>392</v>
      </c>
      <c r="V2246">
        <v>1.1306815642458099</v>
      </c>
      <c r="W2246">
        <v>11.625999787885601</v>
      </c>
      <c r="X2246">
        <v>21.895260974855479</v>
      </c>
      <c r="Y2246">
        <v>17</v>
      </c>
      <c r="Z2246">
        <v>0.65</v>
      </c>
      <c r="AA2246">
        <v>1</v>
      </c>
    </row>
    <row r="2247" spans="1:27" x14ac:dyDescent="0.25">
      <c r="A2247" t="s">
        <v>98</v>
      </c>
      <c r="B2247" t="s">
        <v>99</v>
      </c>
      <c r="C2247" t="s">
        <v>1028</v>
      </c>
      <c r="D2247" t="s">
        <v>1707</v>
      </c>
      <c r="E2247" t="s">
        <v>386</v>
      </c>
      <c r="G2247" t="s">
        <v>393</v>
      </c>
      <c r="H2247" t="s">
        <v>125</v>
      </c>
      <c r="I2247">
        <v>2016</v>
      </c>
      <c r="J2247" t="s">
        <v>394</v>
      </c>
      <c r="K2247" t="s">
        <v>127</v>
      </c>
      <c r="L2247" t="s">
        <v>2504</v>
      </c>
      <c r="M2247" t="s">
        <v>2506</v>
      </c>
      <c r="N2247">
        <v>1</v>
      </c>
      <c r="O2247">
        <v>2020</v>
      </c>
      <c r="P2247">
        <v>914.51930602072343</v>
      </c>
      <c r="Q2247">
        <v>1.662261447689525</v>
      </c>
      <c r="R2247" t="s">
        <v>391</v>
      </c>
      <c r="S2247">
        <v>550.16574395794828</v>
      </c>
      <c r="T2247">
        <v>389</v>
      </c>
      <c r="U2247" t="s">
        <v>392</v>
      </c>
      <c r="V2247">
        <v>1.08659217877095</v>
      </c>
      <c r="W2247">
        <v>11.625999787885601</v>
      </c>
      <c r="X2247">
        <v>21.895260974855479</v>
      </c>
      <c r="Y2247">
        <v>17</v>
      </c>
      <c r="Z2247">
        <v>0.65</v>
      </c>
      <c r="AA2247">
        <v>1</v>
      </c>
    </row>
    <row r="2248" spans="1:27" x14ac:dyDescent="0.25">
      <c r="A2248" t="s">
        <v>98</v>
      </c>
      <c r="B2248" t="s">
        <v>99</v>
      </c>
      <c r="C2248" t="s">
        <v>1028</v>
      </c>
      <c r="D2248" t="s">
        <v>1707</v>
      </c>
      <c r="E2248" t="s">
        <v>386</v>
      </c>
      <c r="G2248" t="s">
        <v>396</v>
      </c>
      <c r="H2248" t="s">
        <v>125</v>
      </c>
      <c r="I2248">
        <v>2016</v>
      </c>
      <c r="J2248" t="s">
        <v>397</v>
      </c>
      <c r="K2248" t="s">
        <v>127</v>
      </c>
      <c r="L2248" t="s">
        <v>2504</v>
      </c>
      <c r="M2248" t="s">
        <v>2507</v>
      </c>
      <c r="N2248">
        <v>1</v>
      </c>
      <c r="O2248">
        <v>2020</v>
      </c>
      <c r="P2248">
        <v>1036.455213490153</v>
      </c>
      <c r="Q2248">
        <v>1.662261447689525</v>
      </c>
      <c r="R2248" t="s">
        <v>391</v>
      </c>
      <c r="S2248">
        <v>623.5211764856748</v>
      </c>
      <c r="T2248">
        <v>364.30560000000003</v>
      </c>
      <c r="U2248" t="s">
        <v>392</v>
      </c>
      <c r="V2248">
        <v>1.0176134078212291</v>
      </c>
      <c r="W2248">
        <v>11.625999787885601</v>
      </c>
      <c r="X2248">
        <v>21.895260974855479</v>
      </c>
      <c r="Y2248">
        <v>17</v>
      </c>
      <c r="Z2248">
        <v>0.65</v>
      </c>
      <c r="AA2248">
        <v>1</v>
      </c>
    </row>
    <row r="2249" spans="1:27" x14ac:dyDescent="0.25">
      <c r="A2249" t="s">
        <v>98</v>
      </c>
      <c r="B2249" t="s">
        <v>99</v>
      </c>
      <c r="C2249" t="s">
        <v>1028</v>
      </c>
      <c r="D2249" t="s">
        <v>1707</v>
      </c>
      <c r="E2249" t="s">
        <v>386</v>
      </c>
      <c r="G2249" t="s">
        <v>399</v>
      </c>
      <c r="H2249" t="s">
        <v>125</v>
      </c>
      <c r="I2249">
        <v>2016</v>
      </c>
      <c r="J2249" t="s">
        <v>400</v>
      </c>
      <c r="K2249" t="s">
        <v>127</v>
      </c>
      <c r="L2249" t="s">
        <v>2504</v>
      </c>
      <c r="M2249" t="s">
        <v>2508</v>
      </c>
      <c r="N2249">
        <v>1</v>
      </c>
      <c r="O2249">
        <v>2020</v>
      </c>
      <c r="P2249">
        <v>1073.035985730982</v>
      </c>
      <c r="Q2249">
        <v>1.662261447689525</v>
      </c>
      <c r="R2249" t="s">
        <v>391</v>
      </c>
      <c r="S2249">
        <v>645.5278062439927</v>
      </c>
      <c r="T2249">
        <v>358</v>
      </c>
      <c r="U2249" t="s">
        <v>392</v>
      </c>
      <c r="V2249">
        <v>1</v>
      </c>
      <c r="W2249">
        <v>11.625999787885601</v>
      </c>
      <c r="X2249">
        <v>21.895260974855479</v>
      </c>
      <c r="Y2249">
        <v>17</v>
      </c>
      <c r="Z2249">
        <v>0.65</v>
      </c>
      <c r="AA2249">
        <v>1</v>
      </c>
    </row>
    <row r="2250" spans="1:27" x14ac:dyDescent="0.25">
      <c r="A2250" t="s">
        <v>98</v>
      </c>
      <c r="B2250" t="s">
        <v>99</v>
      </c>
      <c r="C2250" t="s">
        <v>1028</v>
      </c>
      <c r="D2250" t="s">
        <v>1707</v>
      </c>
      <c r="E2250" t="s">
        <v>386</v>
      </c>
      <c r="G2250" t="s">
        <v>402</v>
      </c>
      <c r="H2250" t="s">
        <v>125</v>
      </c>
      <c r="I2250">
        <v>2016</v>
      </c>
      <c r="J2250" t="s">
        <v>403</v>
      </c>
      <c r="K2250" t="s">
        <v>127</v>
      </c>
      <c r="L2250" t="s">
        <v>2504</v>
      </c>
      <c r="M2250" t="s">
        <v>2509</v>
      </c>
      <c r="N2250">
        <v>1</v>
      </c>
      <c r="O2250">
        <v>2020</v>
      </c>
      <c r="P2250">
        <v>1597.3603878495301</v>
      </c>
      <c r="Q2250">
        <v>1.662261447689525</v>
      </c>
      <c r="R2250" t="s">
        <v>391</v>
      </c>
      <c r="S2250">
        <v>960.95616611321634</v>
      </c>
      <c r="T2250">
        <v>705.226</v>
      </c>
      <c r="U2250" t="s">
        <v>392</v>
      </c>
      <c r="V2250">
        <v>1.9699050279329611</v>
      </c>
      <c r="W2250">
        <v>11.625999787885601</v>
      </c>
      <c r="X2250">
        <v>21.895260974855479</v>
      </c>
      <c r="Y2250">
        <v>17</v>
      </c>
      <c r="Z2250">
        <v>0.65</v>
      </c>
      <c r="AA2250">
        <v>1</v>
      </c>
    </row>
    <row r="2251" spans="1:27" x14ac:dyDescent="0.25">
      <c r="A2251" t="s">
        <v>98</v>
      </c>
      <c r="B2251" t="s">
        <v>99</v>
      </c>
      <c r="C2251" t="s">
        <v>1028</v>
      </c>
      <c r="D2251" t="s">
        <v>1707</v>
      </c>
      <c r="E2251" t="s">
        <v>386</v>
      </c>
      <c r="G2251" t="s">
        <v>405</v>
      </c>
      <c r="H2251" t="s">
        <v>125</v>
      </c>
      <c r="I2251">
        <v>2016</v>
      </c>
      <c r="J2251" t="s">
        <v>406</v>
      </c>
      <c r="K2251" t="s">
        <v>127</v>
      </c>
      <c r="L2251" t="s">
        <v>2504</v>
      </c>
      <c r="M2251" t="s">
        <v>2510</v>
      </c>
      <c r="N2251">
        <v>1</v>
      </c>
      <c r="O2251">
        <v>2020</v>
      </c>
      <c r="P2251">
        <v>1731.489886065903</v>
      </c>
      <c r="Q2251">
        <v>1.662261447689525</v>
      </c>
      <c r="R2251" t="s">
        <v>391</v>
      </c>
      <c r="S2251">
        <v>1041.6471418937149</v>
      </c>
      <c r="T2251">
        <v>671</v>
      </c>
      <c r="U2251" t="s">
        <v>392</v>
      </c>
      <c r="V2251">
        <v>1.8743016759776541</v>
      </c>
      <c r="W2251">
        <v>11.625999787885601</v>
      </c>
      <c r="X2251">
        <v>21.895260974855479</v>
      </c>
      <c r="Y2251">
        <v>17</v>
      </c>
      <c r="Z2251">
        <v>0.65</v>
      </c>
      <c r="AA2251">
        <v>1</v>
      </c>
    </row>
    <row r="2252" spans="1:27" x14ac:dyDescent="0.25">
      <c r="A2252" t="s">
        <v>98</v>
      </c>
      <c r="B2252" t="s">
        <v>99</v>
      </c>
      <c r="C2252" t="s">
        <v>1028</v>
      </c>
      <c r="D2252" t="s">
        <v>1707</v>
      </c>
      <c r="E2252" t="s">
        <v>386</v>
      </c>
      <c r="G2252" t="s">
        <v>408</v>
      </c>
      <c r="H2252" t="s">
        <v>125</v>
      </c>
      <c r="I2252">
        <v>2016</v>
      </c>
      <c r="J2252" t="s">
        <v>409</v>
      </c>
      <c r="K2252" t="s">
        <v>127</v>
      </c>
      <c r="L2252" t="s">
        <v>2504</v>
      </c>
      <c r="M2252" t="s">
        <v>2511</v>
      </c>
      <c r="N2252">
        <v>1</v>
      </c>
      <c r="O2252">
        <v>2020</v>
      </c>
      <c r="P2252">
        <v>1890.006565776162</v>
      </c>
      <c r="Q2252">
        <v>1.662261447689525</v>
      </c>
      <c r="R2252" t="s">
        <v>391</v>
      </c>
      <c r="S2252">
        <v>1137.00920417976</v>
      </c>
      <c r="T2252">
        <v>634.70339999999999</v>
      </c>
      <c r="U2252" t="s">
        <v>392</v>
      </c>
      <c r="V2252">
        <v>1.772914525139665</v>
      </c>
      <c r="W2252">
        <v>11.625999787885601</v>
      </c>
      <c r="X2252">
        <v>21.895260974855479</v>
      </c>
      <c r="Y2252">
        <v>17</v>
      </c>
      <c r="Z2252">
        <v>0.65</v>
      </c>
      <c r="AA2252">
        <v>1</v>
      </c>
    </row>
    <row r="2253" spans="1:27" x14ac:dyDescent="0.25">
      <c r="A2253" t="s">
        <v>98</v>
      </c>
      <c r="B2253" t="s">
        <v>99</v>
      </c>
      <c r="C2253" t="s">
        <v>1028</v>
      </c>
      <c r="D2253" t="s">
        <v>1707</v>
      </c>
      <c r="E2253" t="s">
        <v>386</v>
      </c>
      <c r="G2253" t="s">
        <v>411</v>
      </c>
      <c r="H2253" t="s">
        <v>125</v>
      </c>
      <c r="I2253">
        <v>2016</v>
      </c>
      <c r="J2253" t="s">
        <v>412</v>
      </c>
      <c r="K2253" t="s">
        <v>127</v>
      </c>
      <c r="L2253" t="s">
        <v>2504</v>
      </c>
      <c r="M2253" t="s">
        <v>2512</v>
      </c>
      <c r="N2253">
        <v>1</v>
      </c>
      <c r="O2253">
        <v>2020</v>
      </c>
      <c r="P2253">
        <v>2414.3309678947098</v>
      </c>
      <c r="Q2253">
        <v>1.662261447689525</v>
      </c>
      <c r="R2253" t="s">
        <v>391</v>
      </c>
      <c r="S2253">
        <v>1452.4375640489829</v>
      </c>
      <c r="T2253">
        <v>509</v>
      </c>
      <c r="U2253" t="s">
        <v>392</v>
      </c>
      <c r="V2253">
        <v>1.4217877094972069</v>
      </c>
      <c r="W2253">
        <v>11.625999787885601</v>
      </c>
      <c r="X2253">
        <v>21.895260974855479</v>
      </c>
      <c r="Y2253">
        <v>17</v>
      </c>
      <c r="Z2253">
        <v>0.65</v>
      </c>
      <c r="AA2253">
        <v>1</v>
      </c>
    </row>
    <row r="2254" spans="1:27" x14ac:dyDescent="0.25">
      <c r="A2254" t="s">
        <v>98</v>
      </c>
      <c r="B2254" t="s">
        <v>99</v>
      </c>
      <c r="C2254" t="s">
        <v>1028</v>
      </c>
      <c r="D2254" t="s">
        <v>1707</v>
      </c>
      <c r="E2254" t="s">
        <v>386</v>
      </c>
      <c r="G2254" t="s">
        <v>414</v>
      </c>
      <c r="H2254" t="s">
        <v>125</v>
      </c>
      <c r="I2254">
        <v>2016</v>
      </c>
      <c r="J2254" t="s">
        <v>415</v>
      </c>
      <c r="K2254" t="s">
        <v>127</v>
      </c>
      <c r="L2254" t="s">
        <v>2504</v>
      </c>
      <c r="M2254" t="s">
        <v>2513</v>
      </c>
      <c r="N2254">
        <v>1</v>
      </c>
      <c r="O2254">
        <v>2020</v>
      </c>
      <c r="P2254">
        <v>1255.939846935127</v>
      </c>
      <c r="Q2254">
        <v>1.662261447689525</v>
      </c>
      <c r="R2254" t="s">
        <v>391</v>
      </c>
      <c r="S2254">
        <v>755.56095503558242</v>
      </c>
      <c r="T2254">
        <v>520.54999999999995</v>
      </c>
      <c r="U2254" t="s">
        <v>392</v>
      </c>
      <c r="V2254">
        <v>1.4540502793296091</v>
      </c>
      <c r="W2254">
        <v>11.625999787885601</v>
      </c>
      <c r="X2254">
        <v>21.895260974855479</v>
      </c>
      <c r="Y2254">
        <v>17</v>
      </c>
      <c r="Z2254">
        <v>0.65</v>
      </c>
      <c r="AA2254">
        <v>1</v>
      </c>
    </row>
    <row r="2255" spans="1:27" x14ac:dyDescent="0.25">
      <c r="A2255" t="s">
        <v>98</v>
      </c>
      <c r="B2255" t="s">
        <v>99</v>
      </c>
      <c r="C2255" t="s">
        <v>1028</v>
      </c>
      <c r="D2255" t="s">
        <v>1707</v>
      </c>
      <c r="E2255" t="s">
        <v>386</v>
      </c>
      <c r="G2255" t="s">
        <v>417</v>
      </c>
      <c r="H2255" t="s">
        <v>125</v>
      </c>
      <c r="I2255">
        <v>2016</v>
      </c>
      <c r="J2255" t="s">
        <v>418</v>
      </c>
      <c r="K2255" t="s">
        <v>127</v>
      </c>
      <c r="L2255" t="s">
        <v>2504</v>
      </c>
      <c r="M2255" t="s">
        <v>2514</v>
      </c>
      <c r="N2255">
        <v>1</v>
      </c>
      <c r="O2255">
        <v>2020</v>
      </c>
      <c r="P2255">
        <v>1365.682163657614</v>
      </c>
      <c r="Q2255">
        <v>1.662261447689525</v>
      </c>
      <c r="R2255" t="s">
        <v>391</v>
      </c>
      <c r="S2255">
        <v>821.58084431053612</v>
      </c>
      <c r="T2255">
        <v>480</v>
      </c>
      <c r="U2255" t="s">
        <v>392</v>
      </c>
      <c r="V2255">
        <v>1.3407821229050281</v>
      </c>
      <c r="W2255">
        <v>11.625999787885601</v>
      </c>
      <c r="X2255">
        <v>21.895260974855479</v>
      </c>
      <c r="Y2255">
        <v>17</v>
      </c>
      <c r="Z2255">
        <v>0.65</v>
      </c>
      <c r="AA2255">
        <v>1</v>
      </c>
    </row>
    <row r="2256" spans="1:27" x14ac:dyDescent="0.25">
      <c r="A2256" t="s">
        <v>98</v>
      </c>
      <c r="B2256" t="s">
        <v>99</v>
      </c>
      <c r="C2256" t="s">
        <v>1028</v>
      </c>
      <c r="D2256" t="s">
        <v>1707</v>
      </c>
      <c r="E2256" t="s">
        <v>386</v>
      </c>
      <c r="G2256" t="s">
        <v>420</v>
      </c>
      <c r="H2256" t="s">
        <v>125</v>
      </c>
      <c r="I2256">
        <v>2016</v>
      </c>
      <c r="J2256" t="s">
        <v>421</v>
      </c>
      <c r="K2256" t="s">
        <v>127</v>
      </c>
      <c r="L2256" t="s">
        <v>2504</v>
      </c>
      <c r="M2256" t="s">
        <v>2515</v>
      </c>
      <c r="N2256">
        <v>1</v>
      </c>
      <c r="O2256">
        <v>2020</v>
      </c>
      <c r="P2256">
        <v>1414.456526645386</v>
      </c>
      <c r="Q2256">
        <v>1.662261447689525</v>
      </c>
      <c r="R2256" t="s">
        <v>391</v>
      </c>
      <c r="S2256">
        <v>850.92301732162673</v>
      </c>
      <c r="T2256">
        <v>469</v>
      </c>
      <c r="U2256" t="s">
        <v>392</v>
      </c>
      <c r="V2256">
        <v>1.310055865921788</v>
      </c>
      <c r="W2256">
        <v>11.625999787885601</v>
      </c>
      <c r="X2256">
        <v>21.895260974855479</v>
      </c>
      <c r="Y2256">
        <v>17</v>
      </c>
      <c r="Z2256">
        <v>0.65</v>
      </c>
      <c r="AA2256">
        <v>1</v>
      </c>
    </row>
    <row r="2257" spans="1:27" x14ac:dyDescent="0.25">
      <c r="A2257" t="s">
        <v>98</v>
      </c>
      <c r="B2257" t="s">
        <v>99</v>
      </c>
      <c r="C2257" t="s">
        <v>1028</v>
      </c>
      <c r="D2257" t="s">
        <v>1707</v>
      </c>
      <c r="E2257" t="s">
        <v>386</v>
      </c>
      <c r="G2257" t="s">
        <v>423</v>
      </c>
      <c r="H2257" t="s">
        <v>125</v>
      </c>
      <c r="I2257">
        <v>2016</v>
      </c>
      <c r="J2257" t="s">
        <v>424</v>
      </c>
      <c r="K2257" t="s">
        <v>127</v>
      </c>
      <c r="L2257" t="s">
        <v>2504</v>
      </c>
      <c r="M2257" t="s">
        <v>2516</v>
      </c>
      <c r="N2257">
        <v>1</v>
      </c>
      <c r="O2257">
        <v>2020</v>
      </c>
      <c r="P2257">
        <v>1414.456526645386</v>
      </c>
      <c r="Q2257">
        <v>1.662261447689525</v>
      </c>
      <c r="R2257" t="s">
        <v>391</v>
      </c>
      <c r="S2257">
        <v>850.92301732162673</v>
      </c>
      <c r="T2257">
        <v>469</v>
      </c>
      <c r="U2257" t="s">
        <v>392</v>
      </c>
      <c r="V2257">
        <v>1.310055865921788</v>
      </c>
      <c r="W2257">
        <v>11.625999787885601</v>
      </c>
      <c r="X2257">
        <v>21.895260974855479</v>
      </c>
      <c r="Y2257">
        <v>17</v>
      </c>
      <c r="Z2257">
        <v>0.65</v>
      </c>
      <c r="AA2257">
        <v>1</v>
      </c>
    </row>
    <row r="2258" spans="1:27" x14ac:dyDescent="0.25">
      <c r="A2258" t="s">
        <v>98</v>
      </c>
      <c r="B2258" t="s">
        <v>99</v>
      </c>
      <c r="C2258" t="s">
        <v>1028</v>
      </c>
      <c r="D2258" t="s">
        <v>1707</v>
      </c>
      <c r="E2258" t="s">
        <v>426</v>
      </c>
      <c r="G2258" t="s">
        <v>427</v>
      </c>
      <c r="H2258" t="s">
        <v>125</v>
      </c>
      <c r="I2258">
        <v>2016</v>
      </c>
      <c r="J2258" t="s">
        <v>428</v>
      </c>
      <c r="K2258" t="s">
        <v>127</v>
      </c>
      <c r="L2258" t="s">
        <v>2517</v>
      </c>
      <c r="M2258" t="s">
        <v>2518</v>
      </c>
      <c r="N2258">
        <v>1</v>
      </c>
      <c r="O2258">
        <v>2020</v>
      </c>
      <c r="P2258">
        <v>609.67953734714899</v>
      </c>
      <c r="Q2258">
        <v>9.1750986966314119E-2</v>
      </c>
      <c r="R2258" t="s">
        <v>391</v>
      </c>
      <c r="S2258">
        <v>6644.9371010143959</v>
      </c>
      <c r="T2258">
        <v>300.25599999999997</v>
      </c>
      <c r="U2258" t="s">
        <v>392</v>
      </c>
      <c r="V2258">
        <v>1.0918399999999999</v>
      </c>
      <c r="W2258">
        <v>16.5973520403479</v>
      </c>
      <c r="X2258">
        <v>27.331519839424129</v>
      </c>
      <c r="Y2258">
        <v>22</v>
      </c>
      <c r="Z2258">
        <v>0.65</v>
      </c>
      <c r="AA2258">
        <v>1</v>
      </c>
    </row>
    <row r="2259" spans="1:27" x14ac:dyDescent="0.25">
      <c r="A2259" t="s">
        <v>98</v>
      </c>
      <c r="B2259" t="s">
        <v>99</v>
      </c>
      <c r="C2259" t="s">
        <v>1028</v>
      </c>
      <c r="D2259" t="s">
        <v>1707</v>
      </c>
      <c r="E2259" t="s">
        <v>426</v>
      </c>
      <c r="G2259" t="s">
        <v>431</v>
      </c>
      <c r="H2259" t="s">
        <v>125</v>
      </c>
      <c r="I2259">
        <v>2016</v>
      </c>
      <c r="J2259" t="s">
        <v>432</v>
      </c>
      <c r="K2259" t="s">
        <v>127</v>
      </c>
      <c r="L2259" t="s">
        <v>2517</v>
      </c>
      <c r="M2259" t="s">
        <v>2519</v>
      </c>
      <c r="N2259">
        <v>1</v>
      </c>
      <c r="O2259">
        <v>2020</v>
      </c>
      <c r="P2259">
        <v>609.67953734714899</v>
      </c>
      <c r="Q2259">
        <v>9.1750986966314119E-2</v>
      </c>
      <c r="R2259" t="s">
        <v>391</v>
      </c>
      <c r="S2259">
        <v>6644.9371010143959</v>
      </c>
      <c r="T2259">
        <v>297</v>
      </c>
      <c r="U2259" t="s">
        <v>392</v>
      </c>
      <c r="V2259">
        <v>1.08</v>
      </c>
      <c r="W2259">
        <v>16.5973520403479</v>
      </c>
      <c r="X2259">
        <v>27.331519839424129</v>
      </c>
      <c r="Y2259">
        <v>22</v>
      </c>
      <c r="Z2259">
        <v>0.65</v>
      </c>
      <c r="AA2259">
        <v>1</v>
      </c>
    </row>
    <row r="2260" spans="1:27" x14ac:dyDescent="0.25">
      <c r="A2260" t="s">
        <v>98</v>
      </c>
      <c r="B2260" t="s">
        <v>99</v>
      </c>
      <c r="C2260" t="s">
        <v>1028</v>
      </c>
      <c r="D2260" t="s">
        <v>1707</v>
      </c>
      <c r="E2260" t="s">
        <v>426</v>
      </c>
      <c r="G2260" t="s">
        <v>434</v>
      </c>
      <c r="H2260" t="s">
        <v>125</v>
      </c>
      <c r="I2260">
        <v>2016</v>
      </c>
      <c r="J2260" t="s">
        <v>435</v>
      </c>
      <c r="K2260" t="s">
        <v>127</v>
      </c>
      <c r="L2260" t="s">
        <v>2517</v>
      </c>
      <c r="M2260" t="s">
        <v>2520</v>
      </c>
      <c r="N2260">
        <v>1</v>
      </c>
      <c r="O2260">
        <v>2020</v>
      </c>
      <c r="P2260">
        <v>670.6474910818639</v>
      </c>
      <c r="Q2260">
        <v>9.1750986966314119E-2</v>
      </c>
      <c r="R2260" t="s">
        <v>391</v>
      </c>
      <c r="S2260">
        <v>7309.4308111158361</v>
      </c>
      <c r="T2260">
        <v>277</v>
      </c>
      <c r="U2260" t="s">
        <v>392</v>
      </c>
      <c r="V2260">
        <v>1.0072727272727271</v>
      </c>
      <c r="W2260">
        <v>16.5973520403479</v>
      </c>
      <c r="X2260">
        <v>27.331519839424129</v>
      </c>
      <c r="Y2260">
        <v>22</v>
      </c>
      <c r="Z2260">
        <v>0.65</v>
      </c>
      <c r="AA2260">
        <v>1</v>
      </c>
    </row>
    <row r="2261" spans="1:27" x14ac:dyDescent="0.25">
      <c r="A2261" t="s">
        <v>98</v>
      </c>
      <c r="B2261" t="s">
        <v>99</v>
      </c>
      <c r="C2261" t="s">
        <v>1028</v>
      </c>
      <c r="D2261" t="s">
        <v>1707</v>
      </c>
      <c r="E2261" t="s">
        <v>426</v>
      </c>
      <c r="G2261" t="s">
        <v>437</v>
      </c>
      <c r="H2261" t="s">
        <v>125</v>
      </c>
      <c r="I2261">
        <v>2016</v>
      </c>
      <c r="J2261" t="s">
        <v>438</v>
      </c>
      <c r="K2261" t="s">
        <v>127</v>
      </c>
      <c r="L2261" t="s">
        <v>2517</v>
      </c>
      <c r="M2261" t="s">
        <v>2521</v>
      </c>
      <c r="N2261">
        <v>1</v>
      </c>
      <c r="O2261">
        <v>2020</v>
      </c>
      <c r="P2261">
        <v>658.45390033492083</v>
      </c>
      <c r="Q2261">
        <v>9.1750986966314119E-2</v>
      </c>
      <c r="R2261" t="s">
        <v>391</v>
      </c>
      <c r="S2261">
        <v>7176.5320690955468</v>
      </c>
      <c r="T2261">
        <v>275</v>
      </c>
      <c r="U2261" t="s">
        <v>392</v>
      </c>
      <c r="V2261">
        <v>1</v>
      </c>
      <c r="W2261">
        <v>16.5973520403479</v>
      </c>
      <c r="X2261">
        <v>27.331519839424129</v>
      </c>
      <c r="Y2261">
        <v>22</v>
      </c>
      <c r="Z2261">
        <v>0.65</v>
      </c>
      <c r="AA2261">
        <v>1</v>
      </c>
    </row>
    <row r="2262" spans="1:27" x14ac:dyDescent="0.25">
      <c r="A2262" t="s">
        <v>98</v>
      </c>
      <c r="B2262" t="s">
        <v>99</v>
      </c>
      <c r="C2262" t="s">
        <v>1028</v>
      </c>
      <c r="D2262" t="s">
        <v>1707</v>
      </c>
      <c r="E2262" t="s">
        <v>426</v>
      </c>
      <c r="G2262" t="s">
        <v>440</v>
      </c>
      <c r="H2262" t="s">
        <v>125</v>
      </c>
      <c r="I2262">
        <v>2016</v>
      </c>
      <c r="J2262" t="s">
        <v>441</v>
      </c>
      <c r="K2262" t="s">
        <v>127</v>
      </c>
      <c r="L2262" t="s">
        <v>2517</v>
      </c>
      <c r="M2262" t="s">
        <v>2522</v>
      </c>
      <c r="N2262">
        <v>1</v>
      </c>
      <c r="O2262">
        <v>2020</v>
      </c>
      <c r="P2262">
        <v>841.35776153906556</v>
      </c>
      <c r="Q2262">
        <v>9.1750986966314119E-2</v>
      </c>
      <c r="R2262" t="s">
        <v>391</v>
      </c>
      <c r="S2262">
        <v>9170.0131993998657</v>
      </c>
      <c r="T2262">
        <v>477.41800000000001</v>
      </c>
      <c r="U2262" t="s">
        <v>392</v>
      </c>
      <c r="V2262">
        <v>1.736065454545455</v>
      </c>
      <c r="W2262">
        <v>16.5973520403479</v>
      </c>
      <c r="X2262">
        <v>27.331519839424129</v>
      </c>
      <c r="Y2262">
        <v>22</v>
      </c>
      <c r="Z2262">
        <v>0.65</v>
      </c>
      <c r="AA2262">
        <v>1</v>
      </c>
    </row>
    <row r="2263" spans="1:27" x14ac:dyDescent="0.25">
      <c r="A2263" t="s">
        <v>98</v>
      </c>
      <c r="B2263" t="s">
        <v>99</v>
      </c>
      <c r="C2263" t="s">
        <v>1028</v>
      </c>
      <c r="D2263" t="s">
        <v>1707</v>
      </c>
      <c r="E2263" t="s">
        <v>426</v>
      </c>
      <c r="G2263" t="s">
        <v>443</v>
      </c>
      <c r="H2263" t="s">
        <v>125</v>
      </c>
      <c r="I2263">
        <v>2016</v>
      </c>
      <c r="J2263" t="s">
        <v>444</v>
      </c>
      <c r="K2263" t="s">
        <v>127</v>
      </c>
      <c r="L2263" t="s">
        <v>2517</v>
      </c>
      <c r="M2263" t="s">
        <v>2523</v>
      </c>
      <c r="N2263">
        <v>1</v>
      </c>
      <c r="O2263">
        <v>2020</v>
      </c>
      <c r="P2263">
        <v>914.51930602072343</v>
      </c>
      <c r="Q2263">
        <v>9.1750986966314119E-2</v>
      </c>
      <c r="R2263" t="s">
        <v>391</v>
      </c>
      <c r="S2263">
        <v>9967.4056515215943</v>
      </c>
      <c r="T2263">
        <v>446</v>
      </c>
      <c r="U2263" t="s">
        <v>392</v>
      </c>
      <c r="V2263">
        <v>1.621818181818182</v>
      </c>
      <c r="W2263">
        <v>16.5973520403479</v>
      </c>
      <c r="X2263">
        <v>27.331519839424129</v>
      </c>
      <c r="Y2263">
        <v>22</v>
      </c>
      <c r="Z2263">
        <v>0.65</v>
      </c>
      <c r="AA2263">
        <v>1</v>
      </c>
    </row>
    <row r="2264" spans="1:27" x14ac:dyDescent="0.25">
      <c r="A2264" t="s">
        <v>98</v>
      </c>
      <c r="B2264" t="s">
        <v>99</v>
      </c>
      <c r="C2264" t="s">
        <v>1028</v>
      </c>
      <c r="D2264" t="s">
        <v>1707</v>
      </c>
      <c r="E2264" t="s">
        <v>426</v>
      </c>
      <c r="G2264" t="s">
        <v>446</v>
      </c>
      <c r="H2264" t="s">
        <v>125</v>
      </c>
      <c r="I2264">
        <v>2016</v>
      </c>
      <c r="J2264" t="s">
        <v>447</v>
      </c>
      <c r="K2264" t="s">
        <v>127</v>
      </c>
      <c r="L2264" t="s">
        <v>2517</v>
      </c>
      <c r="M2264" t="s">
        <v>2524</v>
      </c>
      <c r="N2264">
        <v>1</v>
      </c>
      <c r="O2264">
        <v>2020</v>
      </c>
      <c r="P2264">
        <v>963.29366900849539</v>
      </c>
      <c r="Q2264">
        <v>9.1750986966314119E-2</v>
      </c>
      <c r="R2264" t="s">
        <v>391</v>
      </c>
      <c r="S2264">
        <v>10499.00061960275</v>
      </c>
      <c r="T2264">
        <v>429.67619999999999</v>
      </c>
      <c r="U2264" t="s">
        <v>392</v>
      </c>
      <c r="V2264">
        <v>1.5624589090909089</v>
      </c>
      <c r="W2264">
        <v>16.5973520403479</v>
      </c>
      <c r="X2264">
        <v>27.331519839424129</v>
      </c>
      <c r="Y2264">
        <v>22</v>
      </c>
      <c r="Z2264">
        <v>0.65</v>
      </c>
      <c r="AA2264">
        <v>1</v>
      </c>
    </row>
    <row r="2265" spans="1:27" x14ac:dyDescent="0.25">
      <c r="A2265" t="s">
        <v>98</v>
      </c>
      <c r="B2265" t="s">
        <v>99</v>
      </c>
      <c r="C2265" t="s">
        <v>1028</v>
      </c>
      <c r="D2265" t="s">
        <v>1707</v>
      </c>
      <c r="E2265" t="s">
        <v>426</v>
      </c>
      <c r="G2265" t="s">
        <v>449</v>
      </c>
      <c r="H2265" t="s">
        <v>125</v>
      </c>
      <c r="I2265">
        <v>2016</v>
      </c>
      <c r="J2265" t="s">
        <v>450</v>
      </c>
      <c r="K2265" t="s">
        <v>127</v>
      </c>
      <c r="L2265" t="s">
        <v>2517</v>
      </c>
      <c r="M2265" t="s">
        <v>2525</v>
      </c>
      <c r="N2265">
        <v>1</v>
      </c>
      <c r="O2265">
        <v>2020</v>
      </c>
      <c r="P2265">
        <v>987.6808505023813</v>
      </c>
      <c r="Q2265">
        <v>9.1750986966314119E-2</v>
      </c>
      <c r="R2265" t="s">
        <v>391</v>
      </c>
      <c r="S2265">
        <v>10764.798103643319</v>
      </c>
      <c r="T2265">
        <v>419</v>
      </c>
      <c r="U2265" t="s">
        <v>392</v>
      </c>
      <c r="V2265">
        <v>1.5236363636363639</v>
      </c>
      <c r="W2265">
        <v>16.5973520403479</v>
      </c>
      <c r="X2265">
        <v>27.331519839424129</v>
      </c>
      <c r="Y2265">
        <v>22</v>
      </c>
      <c r="Z2265">
        <v>0.65</v>
      </c>
      <c r="AA2265">
        <v>1</v>
      </c>
    </row>
    <row r="2266" spans="1:27" x14ac:dyDescent="0.25">
      <c r="A2266" t="s">
        <v>98</v>
      </c>
      <c r="B2266" t="s">
        <v>99</v>
      </c>
      <c r="C2266" t="s">
        <v>1028</v>
      </c>
      <c r="D2266" t="s">
        <v>1707</v>
      </c>
      <c r="E2266" t="s">
        <v>452</v>
      </c>
      <c r="G2266" t="s">
        <v>111</v>
      </c>
      <c r="H2266" t="s">
        <v>104</v>
      </c>
      <c r="I2266">
        <v>2016</v>
      </c>
      <c r="J2266" t="s">
        <v>453</v>
      </c>
      <c r="K2266" t="s">
        <v>106</v>
      </c>
      <c r="L2266" t="s">
        <v>2526</v>
      </c>
      <c r="M2266" t="s">
        <v>2527</v>
      </c>
      <c r="N2266">
        <v>1</v>
      </c>
      <c r="O2266">
        <v>2020</v>
      </c>
      <c r="P2266">
        <v>451.16285763689018</v>
      </c>
      <c r="Q2266">
        <v>15.381322890595991</v>
      </c>
      <c r="R2266" t="s">
        <v>391</v>
      </c>
      <c r="S2266">
        <v>29.33186312035145</v>
      </c>
      <c r="T2266">
        <v>0.45</v>
      </c>
      <c r="U2266" t="s">
        <v>456</v>
      </c>
      <c r="V2266">
        <v>0.45</v>
      </c>
      <c r="W2266">
        <v>9</v>
      </c>
      <c r="X2266">
        <v>15</v>
      </c>
      <c r="Y2266">
        <v>13</v>
      </c>
      <c r="Z2266">
        <v>9.0000000000000011E-2</v>
      </c>
      <c r="AA2266">
        <v>1</v>
      </c>
    </row>
    <row r="2267" spans="1:27" x14ac:dyDescent="0.25">
      <c r="A2267" t="s">
        <v>98</v>
      </c>
      <c r="B2267" t="s">
        <v>99</v>
      </c>
      <c r="C2267" t="s">
        <v>1028</v>
      </c>
      <c r="D2267" t="s">
        <v>1707</v>
      </c>
      <c r="E2267" t="s">
        <v>452</v>
      </c>
      <c r="G2267" t="s">
        <v>119</v>
      </c>
      <c r="H2267" t="s">
        <v>104</v>
      </c>
      <c r="I2267">
        <v>2016</v>
      </c>
      <c r="J2267" t="s">
        <v>457</v>
      </c>
      <c r="K2267" t="s">
        <v>106</v>
      </c>
      <c r="L2267" t="s">
        <v>2526</v>
      </c>
      <c r="M2267" t="s">
        <v>2528</v>
      </c>
      <c r="N2267">
        <v>1</v>
      </c>
      <c r="O2267">
        <v>2020</v>
      </c>
      <c r="P2267">
        <v>521.3437466026287</v>
      </c>
      <c r="Q2267">
        <v>15.381322890595991</v>
      </c>
      <c r="R2267" t="s">
        <v>391</v>
      </c>
      <c r="S2267">
        <v>33.89459738351723</v>
      </c>
      <c r="T2267">
        <v>0.52</v>
      </c>
      <c r="U2267" t="s">
        <v>456</v>
      </c>
      <c r="V2267">
        <v>0.52</v>
      </c>
      <c r="W2267">
        <v>9</v>
      </c>
      <c r="X2267">
        <v>15</v>
      </c>
      <c r="Y2267">
        <v>13</v>
      </c>
      <c r="Z2267">
        <v>9.0000000000000011E-2</v>
      </c>
      <c r="AA2267">
        <v>1</v>
      </c>
    </row>
    <row r="2268" spans="1:27" x14ac:dyDescent="0.25">
      <c r="A2268" t="s">
        <v>98</v>
      </c>
      <c r="B2268" t="s">
        <v>99</v>
      </c>
      <c r="C2268" t="s">
        <v>1028</v>
      </c>
      <c r="D2268" t="s">
        <v>1707</v>
      </c>
      <c r="E2268" t="s">
        <v>452</v>
      </c>
      <c r="G2268" t="s">
        <v>111</v>
      </c>
      <c r="H2268" t="s">
        <v>156</v>
      </c>
      <c r="I2268">
        <v>2016</v>
      </c>
      <c r="J2268" t="s">
        <v>459</v>
      </c>
      <c r="K2268" t="s">
        <v>158</v>
      </c>
      <c r="L2268" t="s">
        <v>2526</v>
      </c>
      <c r="M2268" t="s">
        <v>2529</v>
      </c>
      <c r="N2268">
        <v>1</v>
      </c>
      <c r="O2268">
        <v>2020</v>
      </c>
      <c r="P2268">
        <v>451.16285763689018</v>
      </c>
      <c r="Q2268">
        <v>15.381322890595991</v>
      </c>
      <c r="R2268" t="s">
        <v>391</v>
      </c>
      <c r="S2268">
        <v>29.33186312035145</v>
      </c>
      <c r="T2268">
        <v>0.45</v>
      </c>
      <c r="U2268" t="s">
        <v>456</v>
      </c>
      <c r="V2268">
        <v>0.45</v>
      </c>
      <c r="W2268">
        <v>9</v>
      </c>
      <c r="X2268">
        <v>15</v>
      </c>
      <c r="Y2268">
        <v>13</v>
      </c>
      <c r="Z2268">
        <v>9.0000000000000011E-2</v>
      </c>
      <c r="AA2268">
        <v>1</v>
      </c>
    </row>
    <row r="2269" spans="1:27" x14ac:dyDescent="0.25">
      <c r="A2269" t="s">
        <v>98</v>
      </c>
      <c r="B2269" t="s">
        <v>99</v>
      </c>
      <c r="C2269" t="s">
        <v>1028</v>
      </c>
      <c r="D2269" t="s">
        <v>1707</v>
      </c>
      <c r="E2269" t="s">
        <v>452</v>
      </c>
      <c r="G2269" t="s">
        <v>119</v>
      </c>
      <c r="H2269" t="s">
        <v>156</v>
      </c>
      <c r="I2269">
        <v>2016</v>
      </c>
      <c r="J2269" t="s">
        <v>461</v>
      </c>
      <c r="K2269" t="s">
        <v>158</v>
      </c>
      <c r="L2269" t="s">
        <v>2526</v>
      </c>
      <c r="M2269" t="s">
        <v>2530</v>
      </c>
      <c r="N2269">
        <v>1</v>
      </c>
      <c r="O2269">
        <v>2020</v>
      </c>
      <c r="P2269">
        <v>521.3437466026287</v>
      </c>
      <c r="Q2269">
        <v>15.381322890595991</v>
      </c>
      <c r="R2269" t="s">
        <v>391</v>
      </c>
      <c r="S2269">
        <v>33.89459738351723</v>
      </c>
      <c r="T2269">
        <v>0.52</v>
      </c>
      <c r="U2269" t="s">
        <v>456</v>
      </c>
      <c r="V2269">
        <v>0.52</v>
      </c>
      <c r="W2269">
        <v>9</v>
      </c>
      <c r="X2269">
        <v>15</v>
      </c>
      <c r="Y2269">
        <v>13</v>
      </c>
      <c r="Z2269">
        <v>9.0000000000000011E-2</v>
      </c>
      <c r="AA2269">
        <v>1</v>
      </c>
    </row>
    <row r="2270" spans="1:27" x14ac:dyDescent="0.25">
      <c r="A2270" t="s">
        <v>98</v>
      </c>
      <c r="B2270" t="s">
        <v>99</v>
      </c>
      <c r="C2270" t="s">
        <v>1028</v>
      </c>
      <c r="D2270" t="s">
        <v>1707</v>
      </c>
      <c r="E2270" t="s">
        <v>452</v>
      </c>
      <c r="G2270" t="s">
        <v>111</v>
      </c>
      <c r="H2270" t="s">
        <v>125</v>
      </c>
      <c r="I2270">
        <v>2016</v>
      </c>
      <c r="J2270" t="s">
        <v>463</v>
      </c>
      <c r="K2270" t="s">
        <v>127</v>
      </c>
      <c r="L2270" t="s">
        <v>2526</v>
      </c>
      <c r="M2270" t="s">
        <v>2531</v>
      </c>
      <c r="N2270">
        <v>1</v>
      </c>
      <c r="O2270">
        <v>2020</v>
      </c>
      <c r="P2270">
        <v>938.90648751460947</v>
      </c>
      <c r="Q2270">
        <v>15.381322890595991</v>
      </c>
      <c r="R2270" t="s">
        <v>391</v>
      </c>
      <c r="S2270">
        <v>61.041985412623298</v>
      </c>
      <c r="T2270">
        <v>228.0913607809874</v>
      </c>
      <c r="U2270" t="s">
        <v>392</v>
      </c>
      <c r="V2270">
        <v>0.9</v>
      </c>
      <c r="W2270">
        <v>10</v>
      </c>
      <c r="X2270">
        <v>20</v>
      </c>
      <c r="Y2270">
        <v>16</v>
      </c>
      <c r="Z2270">
        <v>9.0000000000000011E-2</v>
      </c>
      <c r="AA2270">
        <v>1</v>
      </c>
    </row>
    <row r="2271" spans="1:27" x14ac:dyDescent="0.25">
      <c r="A2271" t="s">
        <v>98</v>
      </c>
      <c r="B2271" t="s">
        <v>99</v>
      </c>
      <c r="C2271" t="s">
        <v>1028</v>
      </c>
      <c r="D2271" t="s">
        <v>1707</v>
      </c>
      <c r="E2271" t="s">
        <v>465</v>
      </c>
      <c r="G2271" t="s">
        <v>466</v>
      </c>
      <c r="H2271" t="s">
        <v>125</v>
      </c>
      <c r="I2271">
        <v>2030</v>
      </c>
      <c r="J2271" t="s">
        <v>467</v>
      </c>
      <c r="K2271" t="s">
        <v>127</v>
      </c>
      <c r="L2271" t="s">
        <v>2532</v>
      </c>
      <c r="M2271" t="s">
        <v>2533</v>
      </c>
      <c r="N2271">
        <v>1</v>
      </c>
      <c r="O2271">
        <v>2030</v>
      </c>
      <c r="P2271">
        <v>1646.1347508373019</v>
      </c>
      <c r="Q2271">
        <v>1.242076820996882</v>
      </c>
      <c r="R2271" t="s">
        <v>391</v>
      </c>
      <c r="S2271">
        <v>1325.3083247428499</v>
      </c>
      <c r="T2271">
        <v>0.28000000000000003</v>
      </c>
      <c r="U2271" t="s">
        <v>470</v>
      </c>
      <c r="V2271">
        <v>2.333333333333333</v>
      </c>
      <c r="W2271">
        <v>6</v>
      </c>
      <c r="X2271">
        <v>17</v>
      </c>
      <c r="Y2271">
        <v>12</v>
      </c>
      <c r="Z2271">
        <v>0.02</v>
      </c>
      <c r="AA2271">
        <v>1</v>
      </c>
    </row>
    <row r="2272" spans="1:27" x14ac:dyDescent="0.25">
      <c r="A2272" t="s">
        <v>98</v>
      </c>
      <c r="B2272" t="s">
        <v>99</v>
      </c>
      <c r="C2272" t="s">
        <v>1028</v>
      </c>
      <c r="D2272" t="s">
        <v>1707</v>
      </c>
      <c r="E2272" t="s">
        <v>465</v>
      </c>
      <c r="G2272" t="s">
        <v>471</v>
      </c>
      <c r="H2272" t="s">
        <v>125</v>
      </c>
      <c r="I2272">
        <v>2016</v>
      </c>
      <c r="J2272" t="s">
        <v>472</v>
      </c>
      <c r="K2272" t="s">
        <v>127</v>
      </c>
      <c r="L2272" t="s">
        <v>2532</v>
      </c>
      <c r="M2272" t="s">
        <v>2534</v>
      </c>
      <c r="N2272">
        <v>1</v>
      </c>
      <c r="O2272">
        <v>2020</v>
      </c>
      <c r="P2272">
        <v>792.58339855129361</v>
      </c>
      <c r="Q2272">
        <v>1.242076820996882</v>
      </c>
      <c r="R2272" t="s">
        <v>391</v>
      </c>
      <c r="S2272">
        <v>638.11141561692773</v>
      </c>
      <c r="T2272">
        <v>0.26</v>
      </c>
      <c r="U2272" t="s">
        <v>470</v>
      </c>
      <c r="V2272">
        <v>2.166666666666667</v>
      </c>
      <c r="W2272">
        <v>6</v>
      </c>
      <c r="X2272">
        <v>17</v>
      </c>
      <c r="Y2272">
        <v>12</v>
      </c>
      <c r="Z2272">
        <v>0.02</v>
      </c>
      <c r="AA2272">
        <v>1</v>
      </c>
    </row>
    <row r="2273" spans="1:27" x14ac:dyDescent="0.25">
      <c r="A2273" t="s">
        <v>98</v>
      </c>
      <c r="B2273" t="s">
        <v>99</v>
      </c>
      <c r="C2273" t="s">
        <v>1028</v>
      </c>
      <c r="D2273" t="s">
        <v>1707</v>
      </c>
      <c r="E2273" t="s">
        <v>465</v>
      </c>
      <c r="G2273" t="s">
        <v>474</v>
      </c>
      <c r="H2273" t="s">
        <v>125</v>
      </c>
      <c r="I2273">
        <v>2016</v>
      </c>
      <c r="J2273" t="s">
        <v>475</v>
      </c>
      <c r="K2273" t="s">
        <v>127</v>
      </c>
      <c r="L2273" t="s">
        <v>2532</v>
      </c>
      <c r="M2273" t="s">
        <v>2535</v>
      </c>
      <c r="N2273">
        <v>0</v>
      </c>
      <c r="O2273">
        <v>2020</v>
      </c>
      <c r="P2273">
        <v>792.58339855129361</v>
      </c>
      <c r="Q2273">
        <v>1.242076820996882</v>
      </c>
      <c r="R2273" t="s">
        <v>391</v>
      </c>
      <c r="S2273">
        <v>638.11141561692773</v>
      </c>
      <c r="T2273">
        <v>0.26</v>
      </c>
      <c r="U2273" t="s">
        <v>470</v>
      </c>
      <c r="V2273">
        <v>2.166666666666667</v>
      </c>
      <c r="W2273">
        <v>6</v>
      </c>
      <c r="X2273">
        <v>17</v>
      </c>
      <c r="Y2273">
        <v>12</v>
      </c>
      <c r="Z2273">
        <v>0.02</v>
      </c>
      <c r="AA2273">
        <v>1</v>
      </c>
    </row>
    <row r="2274" spans="1:27" x14ac:dyDescent="0.25">
      <c r="A2274" t="s">
        <v>98</v>
      </c>
      <c r="B2274" t="s">
        <v>99</v>
      </c>
      <c r="C2274" t="s">
        <v>1028</v>
      </c>
      <c r="D2274" t="s">
        <v>1707</v>
      </c>
      <c r="E2274" t="s">
        <v>465</v>
      </c>
      <c r="G2274" t="s">
        <v>474</v>
      </c>
      <c r="H2274" t="s">
        <v>125</v>
      </c>
      <c r="I2274">
        <v>2020</v>
      </c>
      <c r="J2274" t="s">
        <v>477</v>
      </c>
      <c r="K2274" t="s">
        <v>127</v>
      </c>
      <c r="L2274" t="s">
        <v>2532</v>
      </c>
      <c r="M2274" t="s">
        <v>2535</v>
      </c>
      <c r="N2274">
        <v>1</v>
      </c>
      <c r="O2274">
        <v>2020</v>
      </c>
      <c r="P2274">
        <v>914.51930602072343</v>
      </c>
      <c r="Q2274">
        <v>1.242076820996882</v>
      </c>
      <c r="R2274" t="s">
        <v>391</v>
      </c>
      <c r="S2274">
        <v>736.28240263491671</v>
      </c>
      <c r="T2274">
        <v>0.24</v>
      </c>
      <c r="U2274" t="s">
        <v>470</v>
      </c>
      <c r="V2274">
        <v>2</v>
      </c>
      <c r="W2274">
        <v>6</v>
      </c>
      <c r="X2274">
        <v>17</v>
      </c>
      <c r="Y2274">
        <v>12</v>
      </c>
      <c r="Z2274">
        <v>0.02</v>
      </c>
      <c r="AA2274">
        <v>1</v>
      </c>
    </row>
    <row r="2275" spans="1:27" x14ac:dyDescent="0.25">
      <c r="A2275" t="s">
        <v>98</v>
      </c>
      <c r="B2275" t="s">
        <v>99</v>
      </c>
      <c r="C2275" t="s">
        <v>1028</v>
      </c>
      <c r="D2275" t="s">
        <v>1707</v>
      </c>
      <c r="E2275" t="s">
        <v>465</v>
      </c>
      <c r="G2275" t="s">
        <v>478</v>
      </c>
      <c r="H2275" t="s">
        <v>125</v>
      </c>
      <c r="I2275">
        <v>2016</v>
      </c>
      <c r="J2275" t="s">
        <v>479</v>
      </c>
      <c r="K2275" t="s">
        <v>127</v>
      </c>
      <c r="L2275" t="s">
        <v>2532</v>
      </c>
      <c r="M2275" t="s">
        <v>2536</v>
      </c>
      <c r="N2275">
        <v>1</v>
      </c>
      <c r="O2275">
        <v>2020</v>
      </c>
      <c r="P2275">
        <v>1158.3911209595831</v>
      </c>
      <c r="Q2275">
        <v>1.242076820996882</v>
      </c>
      <c r="R2275" t="s">
        <v>391</v>
      </c>
      <c r="S2275">
        <v>932.62437667089455</v>
      </c>
      <c r="T2275">
        <v>0.15</v>
      </c>
      <c r="U2275" t="s">
        <v>470</v>
      </c>
      <c r="V2275">
        <v>1.25</v>
      </c>
      <c r="W2275">
        <v>6</v>
      </c>
      <c r="X2275">
        <v>17</v>
      </c>
      <c r="Y2275">
        <v>12</v>
      </c>
      <c r="Z2275">
        <v>0.02</v>
      </c>
      <c r="AA2275">
        <v>1</v>
      </c>
    </row>
    <row r="2276" spans="1:27" x14ac:dyDescent="0.25">
      <c r="A2276" t="s">
        <v>98</v>
      </c>
      <c r="B2276" t="s">
        <v>99</v>
      </c>
      <c r="C2276" t="s">
        <v>1028</v>
      </c>
      <c r="D2276" t="s">
        <v>1707</v>
      </c>
      <c r="E2276" t="s">
        <v>465</v>
      </c>
      <c r="G2276" t="s">
        <v>481</v>
      </c>
      <c r="H2276" t="s">
        <v>125</v>
      </c>
      <c r="I2276">
        <v>2016</v>
      </c>
      <c r="J2276" t="s">
        <v>482</v>
      </c>
      <c r="K2276" t="s">
        <v>127</v>
      </c>
      <c r="L2276" t="s">
        <v>2532</v>
      </c>
      <c r="M2276" t="s">
        <v>2537</v>
      </c>
      <c r="N2276">
        <v>1</v>
      </c>
      <c r="O2276">
        <v>2020</v>
      </c>
      <c r="P2276">
        <v>1371.7789590310849</v>
      </c>
      <c r="Q2276">
        <v>1.242076820996882</v>
      </c>
      <c r="R2276" t="s">
        <v>391</v>
      </c>
      <c r="S2276">
        <v>1104.4236039523751</v>
      </c>
      <c r="T2276">
        <v>0.12</v>
      </c>
      <c r="U2276" t="s">
        <v>470</v>
      </c>
      <c r="V2276">
        <v>1</v>
      </c>
      <c r="W2276">
        <v>6</v>
      </c>
      <c r="X2276">
        <v>17</v>
      </c>
      <c r="Y2276">
        <v>12</v>
      </c>
      <c r="Z2276">
        <v>0.02</v>
      </c>
      <c r="AA2276">
        <v>1</v>
      </c>
    </row>
    <row r="2277" spans="1:27" x14ac:dyDescent="0.25">
      <c r="A2277" t="s">
        <v>98</v>
      </c>
      <c r="B2277" t="s">
        <v>99</v>
      </c>
      <c r="C2277" t="s">
        <v>1028</v>
      </c>
      <c r="D2277" t="s">
        <v>1707</v>
      </c>
      <c r="E2277" t="s">
        <v>465</v>
      </c>
      <c r="G2277" t="s">
        <v>484</v>
      </c>
      <c r="H2277" t="s">
        <v>125</v>
      </c>
      <c r="I2277">
        <v>2016</v>
      </c>
      <c r="J2277" t="s">
        <v>485</v>
      </c>
      <c r="K2277" t="s">
        <v>127</v>
      </c>
      <c r="L2277" t="s">
        <v>2532</v>
      </c>
      <c r="M2277" t="s">
        <v>2538</v>
      </c>
      <c r="N2277">
        <v>1</v>
      </c>
      <c r="O2277">
        <v>2020</v>
      </c>
      <c r="P2277">
        <v>1158.3911209595831</v>
      </c>
      <c r="Q2277">
        <v>1.242076820996882</v>
      </c>
      <c r="R2277" t="s">
        <v>391</v>
      </c>
      <c r="S2277">
        <v>932.62437667089455</v>
      </c>
      <c r="T2277">
        <v>0.15</v>
      </c>
      <c r="U2277" t="s">
        <v>470</v>
      </c>
      <c r="V2277">
        <v>1.25</v>
      </c>
      <c r="W2277">
        <v>6</v>
      </c>
      <c r="X2277">
        <v>17</v>
      </c>
      <c r="Y2277">
        <v>12</v>
      </c>
      <c r="Z2277">
        <v>0.02</v>
      </c>
      <c r="AA2277">
        <v>1</v>
      </c>
    </row>
    <row r="2278" spans="1:27" x14ac:dyDescent="0.25">
      <c r="A2278" t="s">
        <v>98</v>
      </c>
      <c r="B2278" t="s">
        <v>99</v>
      </c>
      <c r="C2278" t="s">
        <v>1028</v>
      </c>
      <c r="D2278" t="s">
        <v>1707</v>
      </c>
      <c r="E2278" t="s">
        <v>465</v>
      </c>
      <c r="G2278" t="s">
        <v>487</v>
      </c>
      <c r="H2278" t="s">
        <v>125</v>
      </c>
      <c r="I2278">
        <v>2016</v>
      </c>
      <c r="J2278" t="s">
        <v>488</v>
      </c>
      <c r="K2278" t="s">
        <v>127</v>
      </c>
      <c r="L2278" t="s">
        <v>2532</v>
      </c>
      <c r="M2278" t="s">
        <v>2539</v>
      </c>
      <c r="N2278">
        <v>1</v>
      </c>
      <c r="O2278">
        <v>2020</v>
      </c>
      <c r="P2278">
        <v>1219.359074694298</v>
      </c>
      <c r="Q2278">
        <v>1.242076820996882</v>
      </c>
      <c r="R2278" t="s">
        <v>391</v>
      </c>
      <c r="S2278">
        <v>981.70987017988898</v>
      </c>
      <c r="T2278">
        <v>0.21</v>
      </c>
      <c r="U2278" t="s">
        <v>470</v>
      </c>
      <c r="V2278">
        <v>1.75</v>
      </c>
      <c r="W2278">
        <v>6</v>
      </c>
      <c r="X2278">
        <v>17</v>
      </c>
      <c r="Y2278">
        <v>12</v>
      </c>
      <c r="Z2278">
        <v>0.02</v>
      </c>
      <c r="AA2278">
        <v>1</v>
      </c>
    </row>
    <row r="2279" spans="1:27" x14ac:dyDescent="0.25">
      <c r="A2279" t="s">
        <v>98</v>
      </c>
      <c r="B2279" t="s">
        <v>99</v>
      </c>
      <c r="C2279" t="s">
        <v>1028</v>
      </c>
      <c r="D2279" t="s">
        <v>1707</v>
      </c>
      <c r="E2279" t="s">
        <v>465</v>
      </c>
      <c r="G2279" t="s">
        <v>487</v>
      </c>
      <c r="H2279" t="s">
        <v>125</v>
      </c>
      <c r="I2279">
        <v>2030</v>
      </c>
      <c r="J2279" t="s">
        <v>490</v>
      </c>
      <c r="K2279" t="s">
        <v>127</v>
      </c>
      <c r="L2279" t="s">
        <v>2532</v>
      </c>
      <c r="M2279" t="s">
        <v>2540</v>
      </c>
      <c r="N2279">
        <v>1</v>
      </c>
      <c r="O2279">
        <v>2030</v>
      </c>
      <c r="P2279">
        <v>1280.3270284290129</v>
      </c>
      <c r="Q2279">
        <v>1.242076820996882</v>
      </c>
      <c r="R2279" t="s">
        <v>391</v>
      </c>
      <c r="S2279">
        <v>1030.795363688884</v>
      </c>
      <c r="T2279">
        <v>0.17</v>
      </c>
      <c r="U2279" t="s">
        <v>470</v>
      </c>
      <c r="V2279">
        <v>1.416666666666667</v>
      </c>
      <c r="W2279">
        <v>6</v>
      </c>
      <c r="X2279">
        <v>17</v>
      </c>
      <c r="Y2279">
        <v>12</v>
      </c>
      <c r="Z2279">
        <v>0.02</v>
      </c>
      <c r="AA2279">
        <v>1</v>
      </c>
    </row>
    <row r="2280" spans="1:27" x14ac:dyDescent="0.25">
      <c r="A2280" t="s">
        <v>98</v>
      </c>
      <c r="B2280" t="s">
        <v>99</v>
      </c>
      <c r="C2280" t="s">
        <v>1028</v>
      </c>
      <c r="D2280" t="s">
        <v>1707</v>
      </c>
      <c r="E2280" t="s">
        <v>465</v>
      </c>
      <c r="G2280" t="s">
        <v>492</v>
      </c>
      <c r="H2280" t="s">
        <v>125</v>
      </c>
      <c r="I2280">
        <v>2016</v>
      </c>
      <c r="J2280" t="s">
        <v>493</v>
      </c>
      <c r="K2280" t="s">
        <v>127</v>
      </c>
      <c r="L2280" t="s">
        <v>2532</v>
      </c>
      <c r="M2280" t="s">
        <v>2541</v>
      </c>
      <c r="N2280">
        <v>1</v>
      </c>
      <c r="O2280">
        <v>2020</v>
      </c>
      <c r="P2280">
        <v>1158.3911209595831</v>
      </c>
      <c r="Q2280">
        <v>1.242076820996882</v>
      </c>
      <c r="R2280" t="s">
        <v>391</v>
      </c>
      <c r="S2280">
        <v>932.62437667089455</v>
      </c>
      <c r="T2280">
        <v>0.28999999999999998</v>
      </c>
      <c r="U2280" t="s">
        <v>470</v>
      </c>
      <c r="V2280">
        <v>2.416666666666667</v>
      </c>
      <c r="W2280">
        <v>6</v>
      </c>
      <c r="X2280">
        <v>17</v>
      </c>
      <c r="Y2280">
        <v>12</v>
      </c>
      <c r="Z2280">
        <v>0.02</v>
      </c>
      <c r="AA2280">
        <v>1</v>
      </c>
    </row>
    <row r="2281" spans="1:27" x14ac:dyDescent="0.25">
      <c r="A2281" t="s">
        <v>98</v>
      </c>
      <c r="B2281" t="s">
        <v>99</v>
      </c>
      <c r="C2281" t="s">
        <v>1028</v>
      </c>
      <c r="D2281" t="s">
        <v>1707</v>
      </c>
      <c r="E2281" t="s">
        <v>465</v>
      </c>
      <c r="G2281" t="s">
        <v>466</v>
      </c>
      <c r="H2281" t="s">
        <v>125</v>
      </c>
      <c r="I2281">
        <v>2016</v>
      </c>
      <c r="J2281" t="s">
        <v>495</v>
      </c>
      <c r="K2281" t="s">
        <v>127</v>
      </c>
      <c r="L2281" t="s">
        <v>2532</v>
      </c>
      <c r="M2281" t="s">
        <v>2542</v>
      </c>
      <c r="N2281">
        <v>0</v>
      </c>
      <c r="O2281">
        <v>2020</v>
      </c>
      <c r="P2281">
        <v>1280.3270284290129</v>
      </c>
      <c r="Q2281">
        <v>1.242076820996882</v>
      </c>
      <c r="R2281" t="s">
        <v>391</v>
      </c>
      <c r="S2281">
        <v>1030.795363688884</v>
      </c>
      <c r="T2281">
        <v>0.17</v>
      </c>
      <c r="U2281" t="s">
        <v>470</v>
      </c>
      <c r="V2281">
        <v>1.416666666666667</v>
      </c>
      <c r="W2281">
        <v>6</v>
      </c>
      <c r="X2281">
        <v>17</v>
      </c>
      <c r="Y2281">
        <v>12</v>
      </c>
      <c r="Z2281">
        <v>0.02</v>
      </c>
      <c r="AA2281">
        <v>1</v>
      </c>
    </row>
    <row r="2282" spans="1:27" x14ac:dyDescent="0.25">
      <c r="A2282" t="s">
        <v>98</v>
      </c>
      <c r="B2282" t="s">
        <v>99</v>
      </c>
      <c r="C2282" t="s">
        <v>1028</v>
      </c>
      <c r="D2282" t="s">
        <v>1707</v>
      </c>
      <c r="E2282" t="s">
        <v>465</v>
      </c>
      <c r="G2282" t="s">
        <v>466</v>
      </c>
      <c r="H2282" t="s">
        <v>125</v>
      </c>
      <c r="I2282">
        <v>2020</v>
      </c>
      <c r="J2282" t="s">
        <v>497</v>
      </c>
      <c r="K2282" t="s">
        <v>127</v>
      </c>
      <c r="L2282" t="s">
        <v>2532</v>
      </c>
      <c r="M2282" t="s">
        <v>2542</v>
      </c>
      <c r="N2282">
        <v>1</v>
      </c>
      <c r="O2282">
        <v>2020</v>
      </c>
      <c r="P2282">
        <v>1646.1347508373019</v>
      </c>
      <c r="Q2282">
        <v>1.242076820996882</v>
      </c>
      <c r="R2282" t="s">
        <v>391</v>
      </c>
      <c r="S2282">
        <v>1325.3083247428499</v>
      </c>
      <c r="T2282">
        <v>0.28000000000000003</v>
      </c>
      <c r="U2282" t="s">
        <v>470</v>
      </c>
      <c r="V2282">
        <v>2.333333333333333</v>
      </c>
      <c r="W2282">
        <v>6</v>
      </c>
      <c r="X2282">
        <v>17</v>
      </c>
      <c r="Y2282">
        <v>12</v>
      </c>
      <c r="Z2282">
        <v>0.02</v>
      </c>
      <c r="AA2282">
        <v>1</v>
      </c>
    </row>
    <row r="2283" spans="1:27" x14ac:dyDescent="0.25">
      <c r="A2283" t="s">
        <v>98</v>
      </c>
      <c r="B2283" t="s">
        <v>99</v>
      </c>
      <c r="C2283" t="s">
        <v>1028</v>
      </c>
      <c r="D2283" t="s">
        <v>1707</v>
      </c>
      <c r="E2283" t="s">
        <v>498</v>
      </c>
      <c r="G2283" t="s">
        <v>103</v>
      </c>
      <c r="H2283" t="s">
        <v>104</v>
      </c>
      <c r="I2283">
        <v>2016</v>
      </c>
      <c r="J2283" t="s">
        <v>499</v>
      </c>
      <c r="K2283" t="s">
        <v>106</v>
      </c>
      <c r="L2283" t="s">
        <v>2543</v>
      </c>
      <c r="M2283" t="s">
        <v>2544</v>
      </c>
      <c r="N2283">
        <v>1</v>
      </c>
      <c r="O2283">
        <v>2020</v>
      </c>
      <c r="P2283">
        <v>792.58339855129361</v>
      </c>
      <c r="Q2283">
        <v>25.171625566225039</v>
      </c>
      <c r="R2283" t="s">
        <v>391</v>
      </c>
      <c r="S2283">
        <v>31.487175767256439</v>
      </c>
      <c r="T2283">
        <v>3.3</v>
      </c>
      <c r="U2283" t="s">
        <v>502</v>
      </c>
      <c r="V2283">
        <v>1</v>
      </c>
      <c r="W2283">
        <v>8</v>
      </c>
      <c r="X2283">
        <v>18</v>
      </c>
      <c r="Y2283">
        <v>14</v>
      </c>
      <c r="Z2283">
        <v>0.02</v>
      </c>
      <c r="AA2283">
        <v>1</v>
      </c>
    </row>
    <row r="2284" spans="1:27" x14ac:dyDescent="0.25">
      <c r="A2284" t="s">
        <v>98</v>
      </c>
      <c r="B2284" t="s">
        <v>99</v>
      </c>
      <c r="C2284" t="s">
        <v>1028</v>
      </c>
      <c r="D2284" t="s">
        <v>1707</v>
      </c>
      <c r="E2284" t="s">
        <v>498</v>
      </c>
      <c r="G2284" t="s">
        <v>111</v>
      </c>
      <c r="H2284" t="s">
        <v>104</v>
      </c>
      <c r="I2284">
        <v>2016</v>
      </c>
      <c r="J2284" t="s">
        <v>503</v>
      </c>
      <c r="K2284" t="s">
        <v>106</v>
      </c>
      <c r="L2284" t="s">
        <v>2543</v>
      </c>
      <c r="M2284" t="s">
        <v>2545</v>
      </c>
      <c r="N2284">
        <v>1</v>
      </c>
      <c r="O2284">
        <v>2020</v>
      </c>
      <c r="P2284">
        <v>804.77698929823669</v>
      </c>
      <c r="Q2284">
        <v>25.171625566225039</v>
      </c>
      <c r="R2284" t="s">
        <v>391</v>
      </c>
      <c r="S2284">
        <v>31.971593855983471</v>
      </c>
      <c r="T2284">
        <v>3.32</v>
      </c>
      <c r="U2284" t="s">
        <v>502</v>
      </c>
      <c r="V2284">
        <v>1.0060606060606061</v>
      </c>
      <c r="W2284">
        <v>8</v>
      </c>
      <c r="X2284">
        <v>18</v>
      </c>
      <c r="Y2284">
        <v>14</v>
      </c>
      <c r="Z2284">
        <v>0.02</v>
      </c>
      <c r="AA2284">
        <v>1</v>
      </c>
    </row>
    <row r="2285" spans="1:27" x14ac:dyDescent="0.25">
      <c r="A2285" t="s">
        <v>98</v>
      </c>
      <c r="B2285" t="s">
        <v>99</v>
      </c>
      <c r="C2285" t="s">
        <v>1028</v>
      </c>
      <c r="D2285" t="s">
        <v>1707</v>
      </c>
      <c r="E2285" t="s">
        <v>498</v>
      </c>
      <c r="G2285" t="s">
        <v>114</v>
      </c>
      <c r="H2285" t="s">
        <v>104</v>
      </c>
      <c r="I2285">
        <v>2016</v>
      </c>
      <c r="J2285" t="s">
        <v>505</v>
      </c>
      <c r="K2285" t="s">
        <v>106</v>
      </c>
      <c r="L2285" t="s">
        <v>2543</v>
      </c>
      <c r="M2285" t="s">
        <v>2546</v>
      </c>
      <c r="N2285">
        <v>1</v>
      </c>
      <c r="O2285">
        <v>2020</v>
      </c>
      <c r="P2285">
        <v>843.56142251742892</v>
      </c>
      <c r="Q2285">
        <v>25.171625566225039</v>
      </c>
      <c r="R2285" t="s">
        <v>391</v>
      </c>
      <c r="S2285">
        <v>33.512393559886291</v>
      </c>
      <c r="T2285">
        <v>3.48</v>
      </c>
      <c r="U2285" t="s">
        <v>502</v>
      </c>
      <c r="V2285">
        <v>1.0545454545454549</v>
      </c>
      <c r="W2285">
        <v>8</v>
      </c>
      <c r="X2285">
        <v>18</v>
      </c>
      <c r="Y2285">
        <v>14</v>
      </c>
      <c r="Z2285">
        <v>0.02</v>
      </c>
      <c r="AA2285">
        <v>1</v>
      </c>
    </row>
    <row r="2286" spans="1:27" x14ac:dyDescent="0.25">
      <c r="A2286" t="s">
        <v>98</v>
      </c>
      <c r="B2286" t="s">
        <v>99</v>
      </c>
      <c r="C2286" t="s">
        <v>1028</v>
      </c>
      <c r="D2286" t="s">
        <v>1707</v>
      </c>
      <c r="E2286" t="s">
        <v>498</v>
      </c>
      <c r="G2286" t="s">
        <v>119</v>
      </c>
      <c r="H2286" t="s">
        <v>104</v>
      </c>
      <c r="I2286">
        <v>2016</v>
      </c>
      <c r="J2286" t="s">
        <v>507</v>
      </c>
      <c r="K2286" t="s">
        <v>106</v>
      </c>
      <c r="L2286" t="s">
        <v>2543</v>
      </c>
      <c r="M2286" t="s">
        <v>2547</v>
      </c>
      <c r="N2286">
        <v>1</v>
      </c>
      <c r="O2286">
        <v>2020</v>
      </c>
      <c r="P2286">
        <v>938.90648751460947</v>
      </c>
      <c r="Q2286">
        <v>25.171625566225039</v>
      </c>
      <c r="R2286" t="s">
        <v>391</v>
      </c>
      <c r="S2286">
        <v>37.300192831980709</v>
      </c>
      <c r="T2286">
        <v>3.49</v>
      </c>
      <c r="U2286" t="s">
        <v>502</v>
      </c>
      <c r="V2286">
        <v>1.0575757575757581</v>
      </c>
      <c r="W2286">
        <v>8</v>
      </c>
      <c r="X2286">
        <v>18</v>
      </c>
      <c r="Y2286">
        <v>14</v>
      </c>
      <c r="Z2286">
        <v>0.02</v>
      </c>
      <c r="AA2286">
        <v>1</v>
      </c>
    </row>
    <row r="2287" spans="1:27" x14ac:dyDescent="0.25">
      <c r="A2287" t="s">
        <v>98</v>
      </c>
      <c r="B2287" t="s">
        <v>99</v>
      </c>
      <c r="C2287" t="s">
        <v>1028</v>
      </c>
      <c r="D2287" t="s">
        <v>1707</v>
      </c>
      <c r="E2287" t="s">
        <v>498</v>
      </c>
      <c r="G2287" t="s">
        <v>119</v>
      </c>
      <c r="H2287" t="s">
        <v>104</v>
      </c>
      <c r="I2287">
        <v>2030</v>
      </c>
      <c r="J2287" t="s">
        <v>509</v>
      </c>
      <c r="K2287" t="s">
        <v>106</v>
      </c>
      <c r="L2287" t="s">
        <v>2543</v>
      </c>
      <c r="M2287" t="s">
        <v>2548</v>
      </c>
      <c r="N2287">
        <v>1</v>
      </c>
      <c r="O2287">
        <v>2030</v>
      </c>
      <c r="P2287">
        <v>987.6808505023813</v>
      </c>
      <c r="Q2287">
        <v>25.171625566225039</v>
      </c>
      <c r="R2287" t="s">
        <v>391</v>
      </c>
      <c r="S2287">
        <v>39.237865186888797</v>
      </c>
      <c r="T2287">
        <v>3.61</v>
      </c>
      <c r="U2287" t="s">
        <v>502</v>
      </c>
      <c r="V2287">
        <v>1.093939393939394</v>
      </c>
      <c r="W2287">
        <v>8</v>
      </c>
      <c r="X2287">
        <v>18</v>
      </c>
      <c r="Y2287">
        <v>14</v>
      </c>
      <c r="Z2287">
        <v>0.02</v>
      </c>
      <c r="AA2287">
        <v>1</v>
      </c>
    </row>
    <row r="2288" spans="1:27" x14ac:dyDescent="0.25">
      <c r="A2288" t="s">
        <v>98</v>
      </c>
      <c r="B2288" t="s">
        <v>99</v>
      </c>
      <c r="C2288" t="s">
        <v>1028</v>
      </c>
      <c r="D2288" t="s">
        <v>1707</v>
      </c>
      <c r="E2288" t="s">
        <v>498</v>
      </c>
      <c r="G2288" t="s">
        <v>103</v>
      </c>
      <c r="H2288" t="s">
        <v>125</v>
      </c>
      <c r="I2288">
        <v>2016</v>
      </c>
      <c r="J2288" t="s">
        <v>511</v>
      </c>
      <c r="K2288" t="s">
        <v>127</v>
      </c>
      <c r="L2288" t="s">
        <v>2543</v>
      </c>
      <c r="M2288" t="s">
        <v>2549</v>
      </c>
      <c r="N2288">
        <v>1</v>
      </c>
      <c r="O2288">
        <v>2020</v>
      </c>
      <c r="P2288">
        <v>646.26030958797787</v>
      </c>
      <c r="Q2288">
        <v>25.171625566225039</v>
      </c>
      <c r="R2288" t="s">
        <v>391</v>
      </c>
      <c r="S2288">
        <v>25.674158702532171</v>
      </c>
      <c r="T2288">
        <v>3.73</v>
      </c>
      <c r="U2288" t="s">
        <v>502</v>
      </c>
      <c r="V2288">
        <v>1.1303030303030299</v>
      </c>
      <c r="W2288">
        <v>8</v>
      </c>
      <c r="X2288">
        <v>18</v>
      </c>
      <c r="Y2288">
        <v>14</v>
      </c>
      <c r="Z2288">
        <v>0.02</v>
      </c>
      <c r="AA2288">
        <v>1</v>
      </c>
    </row>
    <row r="2289" spans="1:27" x14ac:dyDescent="0.25">
      <c r="A2289" t="s">
        <v>98</v>
      </c>
      <c r="B2289" t="s">
        <v>99</v>
      </c>
      <c r="C2289" t="s">
        <v>1028</v>
      </c>
      <c r="D2289" t="s">
        <v>1707</v>
      </c>
      <c r="E2289" t="s">
        <v>498</v>
      </c>
      <c r="G2289" t="s">
        <v>111</v>
      </c>
      <c r="H2289" t="s">
        <v>125</v>
      </c>
      <c r="I2289">
        <v>2016</v>
      </c>
      <c r="J2289" t="s">
        <v>513</v>
      </c>
      <c r="K2289" t="s">
        <v>127</v>
      </c>
      <c r="L2289" t="s">
        <v>2543</v>
      </c>
      <c r="M2289" t="s">
        <v>2550</v>
      </c>
      <c r="N2289">
        <v>1</v>
      </c>
      <c r="O2289">
        <v>2020</v>
      </c>
      <c r="P2289">
        <v>658.45390033492083</v>
      </c>
      <c r="Q2289">
        <v>25.171625566225039</v>
      </c>
      <c r="R2289" t="s">
        <v>391</v>
      </c>
      <c r="S2289">
        <v>26.1585767912592</v>
      </c>
      <c r="T2289">
        <v>3.74</v>
      </c>
      <c r="U2289" t="s">
        <v>502</v>
      </c>
      <c r="V2289">
        <v>1.133333333333334</v>
      </c>
      <c r="W2289">
        <v>8</v>
      </c>
      <c r="X2289">
        <v>18</v>
      </c>
      <c r="Y2289">
        <v>14</v>
      </c>
      <c r="Z2289">
        <v>0.02</v>
      </c>
      <c r="AA2289">
        <v>1</v>
      </c>
    </row>
    <row r="2290" spans="1:27" x14ac:dyDescent="0.25">
      <c r="A2290" t="s">
        <v>98</v>
      </c>
      <c r="B2290" t="s">
        <v>99</v>
      </c>
      <c r="C2290" t="s">
        <v>1028</v>
      </c>
      <c r="D2290" t="s">
        <v>1707</v>
      </c>
      <c r="E2290" t="s">
        <v>498</v>
      </c>
      <c r="G2290" t="s">
        <v>114</v>
      </c>
      <c r="H2290" t="s">
        <v>125</v>
      </c>
      <c r="I2290">
        <v>2016</v>
      </c>
      <c r="J2290" t="s">
        <v>515</v>
      </c>
      <c r="K2290" t="s">
        <v>127</v>
      </c>
      <c r="L2290" t="s">
        <v>2543</v>
      </c>
      <c r="M2290" t="s">
        <v>2551</v>
      </c>
      <c r="N2290">
        <v>1</v>
      </c>
      <c r="O2290">
        <v>2020</v>
      </c>
      <c r="P2290">
        <v>691.90476692947561</v>
      </c>
      <c r="Q2290">
        <v>25.171625566225039</v>
      </c>
      <c r="R2290" t="s">
        <v>391</v>
      </c>
      <c r="S2290">
        <v>27.48748844643012</v>
      </c>
      <c r="T2290">
        <v>3.93</v>
      </c>
      <c r="U2290" t="s">
        <v>502</v>
      </c>
      <c r="V2290">
        <v>1.1909090909090909</v>
      </c>
      <c r="W2290">
        <v>8</v>
      </c>
      <c r="X2290">
        <v>18</v>
      </c>
      <c r="Y2290">
        <v>14</v>
      </c>
      <c r="Z2290">
        <v>0.02</v>
      </c>
      <c r="AA2290">
        <v>1</v>
      </c>
    </row>
    <row r="2291" spans="1:27" x14ac:dyDescent="0.25">
      <c r="A2291" t="s">
        <v>98</v>
      </c>
      <c r="B2291" t="s">
        <v>99</v>
      </c>
      <c r="C2291" t="s">
        <v>1028</v>
      </c>
      <c r="D2291" t="s">
        <v>1707</v>
      </c>
      <c r="E2291" t="s">
        <v>498</v>
      </c>
      <c r="G2291" t="s">
        <v>119</v>
      </c>
      <c r="H2291" t="s">
        <v>125</v>
      </c>
      <c r="I2291">
        <v>2016</v>
      </c>
      <c r="J2291" t="s">
        <v>517</v>
      </c>
      <c r="K2291" t="s">
        <v>127</v>
      </c>
      <c r="L2291" t="s">
        <v>2543</v>
      </c>
      <c r="M2291" t="s">
        <v>2552</v>
      </c>
      <c r="N2291">
        <v>1</v>
      </c>
      <c r="O2291">
        <v>2020</v>
      </c>
      <c r="P2291">
        <v>938.90648751460947</v>
      </c>
      <c r="Q2291">
        <v>25.171625566225039</v>
      </c>
      <c r="R2291" t="s">
        <v>391</v>
      </c>
      <c r="S2291">
        <v>37.300192831980709</v>
      </c>
      <c r="T2291">
        <v>4.5</v>
      </c>
      <c r="U2291" t="s">
        <v>502</v>
      </c>
      <c r="V2291">
        <v>1.363636363636364</v>
      </c>
      <c r="W2291">
        <v>8</v>
      </c>
      <c r="X2291">
        <v>18</v>
      </c>
      <c r="Y2291">
        <v>14</v>
      </c>
      <c r="Z2291">
        <v>0.02</v>
      </c>
      <c r="AA2291">
        <v>1</v>
      </c>
    </row>
    <row r="2292" spans="1:27" x14ac:dyDescent="0.25">
      <c r="A2292" t="s">
        <v>98</v>
      </c>
      <c r="B2292" t="s">
        <v>519</v>
      </c>
      <c r="C2292" t="s">
        <v>1028</v>
      </c>
      <c r="D2292" t="s">
        <v>1707</v>
      </c>
      <c r="E2292" t="s">
        <v>102</v>
      </c>
      <c r="G2292" t="s">
        <v>103</v>
      </c>
      <c r="H2292" t="s">
        <v>104</v>
      </c>
      <c r="I2292">
        <v>2016</v>
      </c>
      <c r="J2292" t="s">
        <v>105</v>
      </c>
      <c r="K2292" t="s">
        <v>106</v>
      </c>
      <c r="L2292" t="s">
        <v>2553</v>
      </c>
      <c r="M2292" t="s">
        <v>2554</v>
      </c>
      <c r="N2292">
        <v>1</v>
      </c>
      <c r="O2292">
        <v>2020</v>
      </c>
      <c r="P2292">
        <v>2225.3303113170941</v>
      </c>
      <c r="Q2292">
        <v>2.210318051644093</v>
      </c>
      <c r="R2292" t="s">
        <v>109</v>
      </c>
      <c r="S2292">
        <v>1006.791900225324</v>
      </c>
      <c r="T2292">
        <v>0.61014999999999997</v>
      </c>
      <c r="U2292" t="s">
        <v>110</v>
      </c>
      <c r="V2292">
        <v>0.61014999999999997</v>
      </c>
      <c r="W2292">
        <v>6</v>
      </c>
      <c r="X2292">
        <v>20</v>
      </c>
      <c r="Y2292">
        <v>14</v>
      </c>
      <c r="Z2292">
        <v>0.24</v>
      </c>
      <c r="AA2292">
        <v>31.536000000000001</v>
      </c>
    </row>
    <row r="2293" spans="1:27" x14ac:dyDescent="0.25">
      <c r="A2293" t="s">
        <v>98</v>
      </c>
      <c r="B2293" t="s">
        <v>519</v>
      </c>
      <c r="C2293" t="s">
        <v>1028</v>
      </c>
      <c r="D2293" t="s">
        <v>1707</v>
      </c>
      <c r="E2293" t="s">
        <v>102</v>
      </c>
      <c r="G2293" t="s">
        <v>111</v>
      </c>
      <c r="H2293" t="s">
        <v>104</v>
      </c>
      <c r="I2293">
        <v>2016</v>
      </c>
      <c r="J2293" t="s">
        <v>112</v>
      </c>
      <c r="K2293" t="s">
        <v>106</v>
      </c>
      <c r="L2293" t="s">
        <v>2553</v>
      </c>
      <c r="M2293" t="s">
        <v>2555</v>
      </c>
      <c r="N2293">
        <v>1</v>
      </c>
      <c r="O2293">
        <v>2020</v>
      </c>
      <c r="P2293">
        <v>2347.266218786523</v>
      </c>
      <c r="Q2293">
        <v>2.210318051644093</v>
      </c>
      <c r="R2293" t="s">
        <v>109</v>
      </c>
      <c r="S2293">
        <v>1061.9585796897261</v>
      </c>
      <c r="T2293">
        <v>0.63</v>
      </c>
      <c r="U2293" t="s">
        <v>110</v>
      </c>
      <c r="V2293">
        <v>0.63</v>
      </c>
      <c r="W2293">
        <v>6</v>
      </c>
      <c r="X2293">
        <v>20</v>
      </c>
      <c r="Y2293">
        <v>14</v>
      </c>
      <c r="Z2293">
        <v>0.24</v>
      </c>
      <c r="AA2293">
        <v>31.536000000000001</v>
      </c>
    </row>
    <row r="2294" spans="1:27" x14ac:dyDescent="0.25">
      <c r="A2294" t="s">
        <v>98</v>
      </c>
      <c r="B2294" t="s">
        <v>519</v>
      </c>
      <c r="C2294" t="s">
        <v>1028</v>
      </c>
      <c r="D2294" t="s">
        <v>1707</v>
      </c>
      <c r="E2294" t="s">
        <v>102</v>
      </c>
      <c r="G2294" t="s">
        <v>114</v>
      </c>
      <c r="H2294" t="s">
        <v>104</v>
      </c>
      <c r="I2294">
        <v>2016</v>
      </c>
      <c r="J2294" t="s">
        <v>115</v>
      </c>
      <c r="K2294" t="s">
        <v>106</v>
      </c>
      <c r="L2294" t="s">
        <v>2553</v>
      </c>
      <c r="M2294" t="s">
        <v>2556</v>
      </c>
      <c r="N2294">
        <v>1</v>
      </c>
      <c r="O2294">
        <v>2020</v>
      </c>
      <c r="P2294">
        <v>2469.2021262559529</v>
      </c>
      <c r="Q2294">
        <v>2.210318051644093</v>
      </c>
      <c r="R2294" t="s">
        <v>109</v>
      </c>
      <c r="S2294">
        <v>1117.125259154127</v>
      </c>
      <c r="T2294">
        <v>0.66</v>
      </c>
      <c r="U2294" t="s">
        <v>110</v>
      </c>
      <c r="V2294">
        <v>0.66</v>
      </c>
      <c r="W2294">
        <v>6</v>
      </c>
      <c r="X2294">
        <v>20</v>
      </c>
      <c r="Y2294">
        <v>14</v>
      </c>
      <c r="Z2294">
        <v>0.24</v>
      </c>
      <c r="AA2294">
        <v>31.536000000000001</v>
      </c>
    </row>
    <row r="2295" spans="1:27" x14ac:dyDescent="0.25">
      <c r="A2295" t="s">
        <v>98</v>
      </c>
      <c r="B2295" t="s">
        <v>519</v>
      </c>
      <c r="C2295" t="s">
        <v>1028</v>
      </c>
      <c r="D2295" t="s">
        <v>1707</v>
      </c>
      <c r="E2295" t="s">
        <v>102</v>
      </c>
      <c r="G2295" t="s">
        <v>114</v>
      </c>
      <c r="H2295" t="s">
        <v>104</v>
      </c>
      <c r="I2295">
        <v>2023</v>
      </c>
      <c r="J2295" t="s">
        <v>117</v>
      </c>
      <c r="K2295" t="s">
        <v>106</v>
      </c>
      <c r="L2295" t="s">
        <v>2553</v>
      </c>
      <c r="M2295" t="s">
        <v>2557</v>
      </c>
      <c r="N2295">
        <v>1</v>
      </c>
      <c r="O2295">
        <v>2023</v>
      </c>
      <c r="P2295">
        <v>3865.2553631628971</v>
      </c>
      <c r="Q2295">
        <v>2.210318051644093</v>
      </c>
      <c r="R2295" t="s">
        <v>109</v>
      </c>
      <c r="S2295">
        <v>1748.732658762759</v>
      </c>
      <c r="T2295">
        <v>0.83499999999999996</v>
      </c>
      <c r="U2295" t="s">
        <v>110</v>
      </c>
      <c r="V2295">
        <v>0.83499999999999996</v>
      </c>
      <c r="W2295">
        <v>6</v>
      </c>
      <c r="X2295">
        <v>20</v>
      </c>
      <c r="Y2295">
        <v>14</v>
      </c>
      <c r="Z2295">
        <v>0.24</v>
      </c>
      <c r="AA2295">
        <v>31.536000000000001</v>
      </c>
    </row>
    <row r="2296" spans="1:27" x14ac:dyDescent="0.25">
      <c r="A2296" t="s">
        <v>98</v>
      </c>
      <c r="B2296" t="s">
        <v>519</v>
      </c>
      <c r="C2296" t="s">
        <v>1028</v>
      </c>
      <c r="D2296" t="s">
        <v>1707</v>
      </c>
      <c r="E2296" t="s">
        <v>102</v>
      </c>
      <c r="G2296" t="s">
        <v>119</v>
      </c>
      <c r="H2296" t="s">
        <v>104</v>
      </c>
      <c r="I2296">
        <v>2016</v>
      </c>
      <c r="J2296" t="s">
        <v>120</v>
      </c>
      <c r="K2296" t="s">
        <v>106</v>
      </c>
      <c r="L2296" t="s">
        <v>2553</v>
      </c>
      <c r="M2296" t="s">
        <v>2558</v>
      </c>
      <c r="N2296">
        <v>0</v>
      </c>
      <c r="O2296">
        <v>2020</v>
      </c>
      <c r="P2296">
        <v>3749.5291546849662</v>
      </c>
      <c r="Q2296">
        <v>2.210318051644093</v>
      </c>
      <c r="R2296" t="s">
        <v>109</v>
      </c>
      <c r="S2296">
        <v>1696.3753935303409</v>
      </c>
      <c r="T2296">
        <v>0.81</v>
      </c>
      <c r="U2296" t="s">
        <v>110</v>
      </c>
      <c r="V2296">
        <v>0.81</v>
      </c>
      <c r="W2296">
        <v>6</v>
      </c>
      <c r="X2296">
        <v>20</v>
      </c>
      <c r="Y2296">
        <v>14</v>
      </c>
      <c r="Z2296">
        <v>0.24</v>
      </c>
      <c r="AA2296">
        <v>31.536000000000001</v>
      </c>
    </row>
    <row r="2297" spans="1:27" x14ac:dyDescent="0.25">
      <c r="A2297" t="s">
        <v>98</v>
      </c>
      <c r="B2297" t="s">
        <v>519</v>
      </c>
      <c r="C2297" t="s">
        <v>1028</v>
      </c>
      <c r="D2297" t="s">
        <v>1707</v>
      </c>
      <c r="E2297" t="s">
        <v>102</v>
      </c>
      <c r="G2297" t="s">
        <v>119</v>
      </c>
      <c r="H2297" t="s">
        <v>104</v>
      </c>
      <c r="I2297">
        <v>2018</v>
      </c>
      <c r="J2297" t="s">
        <v>122</v>
      </c>
      <c r="K2297" t="s">
        <v>106</v>
      </c>
      <c r="L2297" t="s">
        <v>2553</v>
      </c>
      <c r="M2297" t="s">
        <v>2558</v>
      </c>
      <c r="N2297">
        <v>1</v>
      </c>
      <c r="O2297">
        <v>2020</v>
      </c>
      <c r="P2297">
        <v>3749.5291546849662</v>
      </c>
      <c r="Q2297">
        <v>2.210318051644093</v>
      </c>
      <c r="R2297" t="s">
        <v>109</v>
      </c>
      <c r="S2297">
        <v>1696.3753935303409</v>
      </c>
      <c r="T2297">
        <v>0.81</v>
      </c>
      <c r="U2297" t="s">
        <v>110</v>
      </c>
      <c r="V2297">
        <v>0.81</v>
      </c>
      <c r="W2297">
        <v>6</v>
      </c>
      <c r="X2297">
        <v>20</v>
      </c>
      <c r="Y2297">
        <v>14</v>
      </c>
      <c r="Z2297">
        <v>0.24</v>
      </c>
      <c r="AA2297">
        <v>31.536000000000001</v>
      </c>
    </row>
    <row r="2298" spans="1:27" x14ac:dyDescent="0.25">
      <c r="A2298" t="s">
        <v>98</v>
      </c>
      <c r="B2298" t="s">
        <v>519</v>
      </c>
      <c r="C2298" t="s">
        <v>1028</v>
      </c>
      <c r="D2298" t="s">
        <v>1707</v>
      </c>
      <c r="E2298" t="s">
        <v>102</v>
      </c>
      <c r="G2298" t="s">
        <v>119</v>
      </c>
      <c r="H2298" t="s">
        <v>104</v>
      </c>
      <c r="I2298">
        <v>2022</v>
      </c>
      <c r="J2298" t="s">
        <v>123</v>
      </c>
      <c r="K2298" t="s">
        <v>106</v>
      </c>
      <c r="L2298" t="s">
        <v>2553</v>
      </c>
      <c r="M2298" t="s">
        <v>2559</v>
      </c>
      <c r="N2298">
        <v>1</v>
      </c>
      <c r="O2298">
        <v>2022</v>
      </c>
      <c r="P2298">
        <v>3749.5291546849662</v>
      </c>
      <c r="Q2298">
        <v>2.210318051644093</v>
      </c>
      <c r="R2298" t="s">
        <v>109</v>
      </c>
      <c r="S2298">
        <v>1696.3753935303409</v>
      </c>
      <c r="T2298">
        <v>0.81</v>
      </c>
      <c r="U2298" t="s">
        <v>110</v>
      </c>
      <c r="V2298">
        <v>0.81</v>
      </c>
      <c r="W2298">
        <v>6</v>
      </c>
      <c r="X2298">
        <v>20</v>
      </c>
      <c r="Y2298">
        <v>14</v>
      </c>
      <c r="Z2298">
        <v>0.24</v>
      </c>
      <c r="AA2298">
        <v>31.536000000000001</v>
      </c>
    </row>
    <row r="2299" spans="1:27" x14ac:dyDescent="0.25">
      <c r="A2299" t="s">
        <v>98</v>
      </c>
      <c r="B2299" t="s">
        <v>519</v>
      </c>
      <c r="C2299" t="s">
        <v>1028</v>
      </c>
      <c r="D2299" t="s">
        <v>1707</v>
      </c>
      <c r="E2299" t="s">
        <v>102</v>
      </c>
      <c r="G2299" t="s">
        <v>103</v>
      </c>
      <c r="H2299" t="s">
        <v>125</v>
      </c>
      <c r="I2299">
        <v>2016</v>
      </c>
      <c r="J2299" t="s">
        <v>126</v>
      </c>
      <c r="K2299" t="s">
        <v>127</v>
      </c>
      <c r="L2299" t="s">
        <v>2553</v>
      </c>
      <c r="M2299" t="s">
        <v>2560</v>
      </c>
      <c r="N2299">
        <v>1</v>
      </c>
      <c r="O2299">
        <v>2020</v>
      </c>
      <c r="P2299">
        <v>945.00328288808089</v>
      </c>
      <c r="Q2299">
        <v>2.210318051644093</v>
      </c>
      <c r="R2299" t="s">
        <v>109</v>
      </c>
      <c r="S2299">
        <v>427.54176584911039</v>
      </c>
      <c r="T2299">
        <v>0.91554999999999997</v>
      </c>
      <c r="U2299" t="s">
        <v>110</v>
      </c>
      <c r="V2299">
        <v>0.91554999999999997</v>
      </c>
      <c r="W2299">
        <v>6</v>
      </c>
      <c r="X2299">
        <v>20</v>
      </c>
      <c r="Y2299">
        <v>14</v>
      </c>
      <c r="Z2299">
        <v>0.24</v>
      </c>
      <c r="AA2299">
        <v>31.536000000000001</v>
      </c>
    </row>
    <row r="2300" spans="1:27" x14ac:dyDescent="0.25">
      <c r="A2300" t="s">
        <v>98</v>
      </c>
      <c r="B2300" t="s">
        <v>519</v>
      </c>
      <c r="C2300" t="s">
        <v>1028</v>
      </c>
      <c r="D2300" t="s">
        <v>1707</v>
      </c>
      <c r="E2300" t="s">
        <v>102</v>
      </c>
      <c r="G2300" t="s">
        <v>111</v>
      </c>
      <c r="H2300" t="s">
        <v>125</v>
      </c>
      <c r="I2300">
        <v>2016</v>
      </c>
      <c r="J2300" t="s">
        <v>129</v>
      </c>
      <c r="K2300" t="s">
        <v>127</v>
      </c>
      <c r="L2300" t="s">
        <v>2553</v>
      </c>
      <c r="M2300" t="s">
        <v>2561</v>
      </c>
      <c r="N2300">
        <v>1</v>
      </c>
      <c r="O2300">
        <v>2020</v>
      </c>
      <c r="P2300">
        <v>1036.455213490153</v>
      </c>
      <c r="Q2300">
        <v>2.210318051644093</v>
      </c>
      <c r="R2300" t="s">
        <v>109</v>
      </c>
      <c r="S2300">
        <v>468.9167754474114</v>
      </c>
      <c r="T2300">
        <v>0.93</v>
      </c>
      <c r="U2300" t="s">
        <v>110</v>
      </c>
      <c r="V2300">
        <v>0.93</v>
      </c>
      <c r="W2300">
        <v>6</v>
      </c>
      <c r="X2300">
        <v>20</v>
      </c>
      <c r="Y2300">
        <v>14</v>
      </c>
      <c r="Z2300">
        <v>0.24</v>
      </c>
      <c r="AA2300">
        <v>31.536000000000001</v>
      </c>
    </row>
    <row r="2301" spans="1:27" x14ac:dyDescent="0.25">
      <c r="A2301" t="s">
        <v>98</v>
      </c>
      <c r="B2301" t="s">
        <v>519</v>
      </c>
      <c r="C2301" t="s">
        <v>1028</v>
      </c>
      <c r="D2301" t="s">
        <v>1707</v>
      </c>
      <c r="E2301" t="s">
        <v>102</v>
      </c>
      <c r="G2301" t="s">
        <v>119</v>
      </c>
      <c r="H2301" t="s">
        <v>125</v>
      </c>
      <c r="I2301">
        <v>2016</v>
      </c>
      <c r="J2301" t="s">
        <v>131</v>
      </c>
      <c r="K2301" t="s">
        <v>127</v>
      </c>
      <c r="L2301" t="s">
        <v>2553</v>
      </c>
      <c r="M2301" t="s">
        <v>2562</v>
      </c>
      <c r="N2301">
        <v>1</v>
      </c>
      <c r="O2301">
        <v>2020</v>
      </c>
      <c r="P2301">
        <v>1493.714866500515</v>
      </c>
      <c r="Q2301">
        <v>2.210318051644093</v>
      </c>
      <c r="R2301" t="s">
        <v>109</v>
      </c>
      <c r="S2301">
        <v>675.79182343891648</v>
      </c>
      <c r="T2301">
        <v>0.95</v>
      </c>
      <c r="U2301" t="s">
        <v>110</v>
      </c>
      <c r="V2301">
        <v>0.95</v>
      </c>
      <c r="W2301">
        <v>6</v>
      </c>
      <c r="X2301">
        <v>20</v>
      </c>
      <c r="Y2301">
        <v>14</v>
      </c>
      <c r="Z2301">
        <v>0.24</v>
      </c>
      <c r="AA2301">
        <v>31.536000000000001</v>
      </c>
    </row>
    <row r="2302" spans="1:27" x14ac:dyDescent="0.25">
      <c r="A2302" t="s">
        <v>98</v>
      </c>
      <c r="B2302" t="s">
        <v>519</v>
      </c>
      <c r="C2302" t="s">
        <v>1028</v>
      </c>
      <c r="D2302" t="s">
        <v>1707</v>
      </c>
      <c r="E2302" t="s">
        <v>102</v>
      </c>
      <c r="G2302" t="s">
        <v>133</v>
      </c>
      <c r="H2302" t="s">
        <v>125</v>
      </c>
      <c r="I2302">
        <v>2016</v>
      </c>
      <c r="J2302" t="s">
        <v>134</v>
      </c>
      <c r="K2302" t="s">
        <v>127</v>
      </c>
      <c r="L2302" t="s">
        <v>2553</v>
      </c>
      <c r="M2302" t="s">
        <v>2563</v>
      </c>
      <c r="N2302">
        <v>1</v>
      </c>
      <c r="O2302">
        <v>2020</v>
      </c>
      <c r="P2302">
        <v>2530.170079990668</v>
      </c>
      <c r="Q2302">
        <v>2.210318051644093</v>
      </c>
      <c r="R2302" t="s">
        <v>109</v>
      </c>
      <c r="S2302">
        <v>1144.708598886328</v>
      </c>
      <c r="T2302">
        <v>3.28</v>
      </c>
      <c r="U2302" t="s">
        <v>110</v>
      </c>
      <c r="V2302">
        <v>3.28</v>
      </c>
      <c r="W2302">
        <v>6</v>
      </c>
      <c r="X2302">
        <v>20</v>
      </c>
      <c r="Y2302">
        <v>14</v>
      </c>
      <c r="Z2302">
        <v>0.24</v>
      </c>
      <c r="AA2302">
        <v>31.536000000000001</v>
      </c>
    </row>
    <row r="2303" spans="1:27" x14ac:dyDescent="0.25">
      <c r="A2303" t="s">
        <v>98</v>
      </c>
      <c r="B2303" t="s">
        <v>519</v>
      </c>
      <c r="C2303" t="s">
        <v>1028</v>
      </c>
      <c r="D2303" t="s">
        <v>1707</v>
      </c>
      <c r="E2303" t="s">
        <v>102</v>
      </c>
      <c r="G2303" t="s">
        <v>133</v>
      </c>
      <c r="H2303" t="s">
        <v>125</v>
      </c>
      <c r="I2303">
        <v>2022</v>
      </c>
      <c r="J2303" t="s">
        <v>136</v>
      </c>
      <c r="K2303" t="s">
        <v>127</v>
      </c>
      <c r="L2303" t="s">
        <v>2553</v>
      </c>
      <c r="M2303" t="s">
        <v>2564</v>
      </c>
      <c r="N2303">
        <v>1</v>
      </c>
      <c r="O2303">
        <v>2022</v>
      </c>
      <c r="P2303">
        <v>2530.170079990668</v>
      </c>
      <c r="Q2303">
        <v>2.210318051644093</v>
      </c>
      <c r="R2303" t="s">
        <v>109</v>
      </c>
      <c r="S2303">
        <v>1144.708598886328</v>
      </c>
      <c r="T2303">
        <v>3.28</v>
      </c>
      <c r="U2303" t="s">
        <v>110</v>
      </c>
      <c r="V2303">
        <v>3.28</v>
      </c>
      <c r="W2303">
        <v>6</v>
      </c>
      <c r="X2303">
        <v>20</v>
      </c>
      <c r="Y2303">
        <v>14</v>
      </c>
      <c r="Z2303">
        <v>0.24</v>
      </c>
      <c r="AA2303">
        <v>31.536000000000001</v>
      </c>
    </row>
    <row r="2304" spans="1:27" x14ac:dyDescent="0.25">
      <c r="A2304" t="s">
        <v>98</v>
      </c>
      <c r="B2304" t="s">
        <v>519</v>
      </c>
      <c r="C2304" t="s">
        <v>1028</v>
      </c>
      <c r="D2304" t="s">
        <v>1707</v>
      </c>
      <c r="E2304" t="s">
        <v>102</v>
      </c>
      <c r="G2304" t="s">
        <v>138</v>
      </c>
      <c r="H2304" t="s">
        <v>125</v>
      </c>
      <c r="I2304">
        <v>2016</v>
      </c>
      <c r="J2304" t="s">
        <v>139</v>
      </c>
      <c r="K2304" t="s">
        <v>127</v>
      </c>
      <c r="L2304" t="s">
        <v>2553</v>
      </c>
      <c r="M2304" t="s">
        <v>2565</v>
      </c>
      <c r="N2304">
        <v>1</v>
      </c>
      <c r="O2304">
        <v>2020</v>
      </c>
      <c r="P2304">
        <v>2316.7822419191662</v>
      </c>
      <c r="Q2304">
        <v>2.210318051644093</v>
      </c>
      <c r="R2304" t="s">
        <v>109</v>
      </c>
      <c r="S2304">
        <v>1048.166909823625</v>
      </c>
      <c r="T2304">
        <v>2</v>
      </c>
      <c r="U2304" t="s">
        <v>110</v>
      </c>
      <c r="V2304">
        <v>2</v>
      </c>
      <c r="W2304">
        <v>6</v>
      </c>
      <c r="X2304">
        <v>20</v>
      </c>
      <c r="Y2304">
        <v>14</v>
      </c>
      <c r="Z2304">
        <v>0.24</v>
      </c>
      <c r="AA2304">
        <v>31.536000000000001</v>
      </c>
    </row>
    <row r="2305" spans="1:27" x14ac:dyDescent="0.25">
      <c r="A2305" t="s">
        <v>98</v>
      </c>
      <c r="B2305" t="s">
        <v>519</v>
      </c>
      <c r="C2305" t="s">
        <v>1028</v>
      </c>
      <c r="D2305" t="s">
        <v>1707</v>
      </c>
      <c r="E2305" t="s">
        <v>102</v>
      </c>
      <c r="G2305" t="s">
        <v>138</v>
      </c>
      <c r="H2305" t="s">
        <v>125</v>
      </c>
      <c r="I2305">
        <v>2022</v>
      </c>
      <c r="J2305" t="s">
        <v>141</v>
      </c>
      <c r="K2305" t="s">
        <v>127</v>
      </c>
      <c r="L2305" t="s">
        <v>2553</v>
      </c>
      <c r="M2305" t="s">
        <v>2566</v>
      </c>
      <c r="N2305">
        <v>1</v>
      </c>
      <c r="O2305">
        <v>2022</v>
      </c>
      <c r="P2305">
        <v>2805.3845753706141</v>
      </c>
      <c r="Q2305">
        <v>2.210318051644093</v>
      </c>
      <c r="R2305" t="s">
        <v>109</v>
      </c>
      <c r="S2305">
        <v>1269.222125423938</v>
      </c>
      <c r="T2305">
        <v>3.3</v>
      </c>
      <c r="U2305" t="s">
        <v>110</v>
      </c>
      <c r="V2305">
        <v>3.3</v>
      </c>
      <c r="W2305">
        <v>6</v>
      </c>
      <c r="X2305">
        <v>20</v>
      </c>
      <c r="Y2305">
        <v>14</v>
      </c>
      <c r="Z2305">
        <v>0.24</v>
      </c>
      <c r="AA2305">
        <v>31.536000000000001</v>
      </c>
    </row>
    <row r="2306" spans="1:27" x14ac:dyDescent="0.25">
      <c r="A2306" t="s">
        <v>98</v>
      </c>
      <c r="B2306" t="s">
        <v>519</v>
      </c>
      <c r="C2306" t="s">
        <v>1028</v>
      </c>
      <c r="D2306" t="s">
        <v>1707</v>
      </c>
      <c r="E2306" t="s">
        <v>102</v>
      </c>
      <c r="G2306" t="s">
        <v>143</v>
      </c>
      <c r="H2306" t="s">
        <v>125</v>
      </c>
      <c r="I2306">
        <v>2016</v>
      </c>
      <c r="J2306" t="s">
        <v>144</v>
      </c>
      <c r="K2306" t="s">
        <v>127</v>
      </c>
      <c r="L2306" t="s">
        <v>2553</v>
      </c>
      <c r="M2306" t="s">
        <v>2567</v>
      </c>
      <c r="N2306">
        <v>1</v>
      </c>
      <c r="O2306">
        <v>2020</v>
      </c>
      <c r="P2306">
        <v>3017.9137098683868</v>
      </c>
      <c r="Q2306">
        <v>2.210318051644093</v>
      </c>
      <c r="R2306" t="s">
        <v>109</v>
      </c>
      <c r="S2306">
        <v>1365.3753167439329</v>
      </c>
      <c r="T2306">
        <v>3.55</v>
      </c>
      <c r="U2306" t="s">
        <v>110</v>
      </c>
      <c r="V2306">
        <v>3.55</v>
      </c>
      <c r="W2306">
        <v>6</v>
      </c>
      <c r="X2306">
        <v>20</v>
      </c>
      <c r="Y2306">
        <v>14</v>
      </c>
      <c r="Z2306">
        <v>0.24</v>
      </c>
      <c r="AA2306">
        <v>31.536000000000001</v>
      </c>
    </row>
    <row r="2307" spans="1:27" x14ac:dyDescent="0.25">
      <c r="A2307" t="s">
        <v>98</v>
      </c>
      <c r="B2307" t="s">
        <v>519</v>
      </c>
      <c r="C2307" t="s">
        <v>1028</v>
      </c>
      <c r="D2307" t="s">
        <v>1707</v>
      </c>
      <c r="E2307" t="s">
        <v>102</v>
      </c>
      <c r="G2307" t="s">
        <v>143</v>
      </c>
      <c r="H2307" t="s">
        <v>125</v>
      </c>
      <c r="I2307">
        <v>2022</v>
      </c>
      <c r="J2307" t="s">
        <v>146</v>
      </c>
      <c r="K2307" t="s">
        <v>127</v>
      </c>
      <c r="L2307" t="s">
        <v>2553</v>
      </c>
      <c r="M2307" t="s">
        <v>2568</v>
      </c>
      <c r="N2307">
        <v>1</v>
      </c>
      <c r="O2307">
        <v>2022</v>
      </c>
      <c r="P2307">
        <v>3017.9137098683868</v>
      </c>
      <c r="Q2307">
        <v>2.210318051644093</v>
      </c>
      <c r="R2307" t="s">
        <v>109</v>
      </c>
      <c r="S2307">
        <v>1365.3753167439329</v>
      </c>
      <c r="T2307">
        <v>3.55</v>
      </c>
      <c r="U2307" t="s">
        <v>110</v>
      </c>
      <c r="V2307">
        <v>3.55</v>
      </c>
      <c r="W2307">
        <v>6</v>
      </c>
      <c r="X2307">
        <v>20</v>
      </c>
      <c r="Y2307">
        <v>14</v>
      </c>
      <c r="Z2307">
        <v>0.24</v>
      </c>
      <c r="AA2307">
        <v>31.536000000000001</v>
      </c>
    </row>
    <row r="2308" spans="1:27" x14ac:dyDescent="0.25">
      <c r="A2308" t="s">
        <v>98</v>
      </c>
      <c r="B2308" t="s">
        <v>519</v>
      </c>
      <c r="C2308" t="s">
        <v>1028</v>
      </c>
      <c r="D2308" t="s">
        <v>1707</v>
      </c>
      <c r="E2308" t="s">
        <v>102</v>
      </c>
      <c r="G2308" t="s">
        <v>103</v>
      </c>
      <c r="H2308" t="s">
        <v>148</v>
      </c>
      <c r="I2308">
        <v>2016</v>
      </c>
      <c r="J2308" t="s">
        <v>149</v>
      </c>
      <c r="K2308" t="s">
        <v>150</v>
      </c>
      <c r="L2308" t="s">
        <v>2553</v>
      </c>
      <c r="M2308" t="s">
        <v>2569</v>
      </c>
      <c r="N2308">
        <v>1</v>
      </c>
      <c r="O2308">
        <v>2020</v>
      </c>
      <c r="P2308">
        <v>2926.4617792663148</v>
      </c>
      <c r="Q2308">
        <v>2.210318051644093</v>
      </c>
      <c r="R2308" t="s">
        <v>109</v>
      </c>
      <c r="S2308">
        <v>1324.000307145632</v>
      </c>
      <c r="T2308">
        <v>0.63670000000000004</v>
      </c>
      <c r="U2308" t="s">
        <v>110</v>
      </c>
      <c r="V2308">
        <v>0.63670000000000004</v>
      </c>
      <c r="W2308">
        <v>6</v>
      </c>
      <c r="X2308">
        <v>20</v>
      </c>
      <c r="Y2308">
        <v>14</v>
      </c>
      <c r="Z2308">
        <v>0.24</v>
      </c>
      <c r="AA2308">
        <v>31.536000000000001</v>
      </c>
    </row>
    <row r="2309" spans="1:27" x14ac:dyDescent="0.25">
      <c r="A2309" t="s">
        <v>98</v>
      </c>
      <c r="B2309" t="s">
        <v>519</v>
      </c>
      <c r="C2309" t="s">
        <v>1028</v>
      </c>
      <c r="D2309" t="s">
        <v>1707</v>
      </c>
      <c r="E2309" t="s">
        <v>102</v>
      </c>
      <c r="G2309" t="s">
        <v>111</v>
      </c>
      <c r="H2309" t="s">
        <v>148</v>
      </c>
      <c r="I2309">
        <v>2016</v>
      </c>
      <c r="J2309" t="s">
        <v>152</v>
      </c>
      <c r="K2309" t="s">
        <v>150</v>
      </c>
      <c r="L2309" t="s">
        <v>2553</v>
      </c>
      <c r="M2309" t="s">
        <v>2570</v>
      </c>
      <c r="N2309">
        <v>1</v>
      </c>
      <c r="O2309">
        <v>2020</v>
      </c>
      <c r="P2309">
        <v>3109.3656404704602</v>
      </c>
      <c r="Q2309">
        <v>2.210318051644093</v>
      </c>
      <c r="R2309" t="s">
        <v>109</v>
      </c>
      <c r="S2309">
        <v>1406.7503263422341</v>
      </c>
      <c r="T2309">
        <v>0.67</v>
      </c>
      <c r="U2309" t="s">
        <v>110</v>
      </c>
      <c r="V2309">
        <v>0.67</v>
      </c>
      <c r="W2309">
        <v>6</v>
      </c>
      <c r="X2309">
        <v>20</v>
      </c>
      <c r="Y2309">
        <v>14</v>
      </c>
      <c r="Z2309">
        <v>0.24</v>
      </c>
      <c r="AA2309">
        <v>31.536000000000001</v>
      </c>
    </row>
    <row r="2310" spans="1:27" x14ac:dyDescent="0.25">
      <c r="A2310" t="s">
        <v>98</v>
      </c>
      <c r="B2310" t="s">
        <v>519</v>
      </c>
      <c r="C2310" t="s">
        <v>1028</v>
      </c>
      <c r="D2310" t="s">
        <v>1707</v>
      </c>
      <c r="E2310" t="s">
        <v>102</v>
      </c>
      <c r="G2310" t="s">
        <v>119</v>
      </c>
      <c r="H2310" t="s">
        <v>148</v>
      </c>
      <c r="I2310">
        <v>2016</v>
      </c>
      <c r="J2310" t="s">
        <v>154</v>
      </c>
      <c r="K2310" t="s">
        <v>150</v>
      </c>
      <c r="L2310" t="s">
        <v>2553</v>
      </c>
      <c r="M2310" t="s">
        <v>2571</v>
      </c>
      <c r="N2310">
        <v>1</v>
      </c>
      <c r="O2310">
        <v>2020</v>
      </c>
      <c r="P2310">
        <v>3078.881663603102</v>
      </c>
      <c r="Q2310">
        <v>2.210318051644093</v>
      </c>
      <c r="R2310" t="s">
        <v>109</v>
      </c>
      <c r="S2310">
        <v>1392.9586564761339</v>
      </c>
      <c r="T2310">
        <v>0.69</v>
      </c>
      <c r="U2310" t="s">
        <v>110</v>
      </c>
      <c r="V2310">
        <v>0.69</v>
      </c>
      <c r="W2310">
        <v>6</v>
      </c>
      <c r="X2310">
        <v>20</v>
      </c>
      <c r="Y2310">
        <v>14</v>
      </c>
      <c r="Z2310">
        <v>0.24</v>
      </c>
      <c r="AA2310">
        <v>31.536000000000001</v>
      </c>
    </row>
    <row r="2311" spans="1:27" x14ac:dyDescent="0.25">
      <c r="A2311" t="s">
        <v>98</v>
      </c>
      <c r="B2311" t="s">
        <v>519</v>
      </c>
      <c r="C2311" t="s">
        <v>1028</v>
      </c>
      <c r="D2311" t="s">
        <v>1707</v>
      </c>
      <c r="E2311" t="s">
        <v>102</v>
      </c>
      <c r="G2311" t="s">
        <v>103</v>
      </c>
      <c r="H2311" t="s">
        <v>156</v>
      </c>
      <c r="I2311">
        <v>2016</v>
      </c>
      <c r="J2311" t="s">
        <v>157</v>
      </c>
      <c r="K2311" t="s">
        <v>158</v>
      </c>
      <c r="L2311" t="s">
        <v>2553</v>
      </c>
      <c r="M2311" t="s">
        <v>2572</v>
      </c>
      <c r="N2311">
        <v>1</v>
      </c>
      <c r="O2311">
        <v>2020</v>
      </c>
      <c r="P2311">
        <v>2225.3303113170941</v>
      </c>
      <c r="Q2311">
        <v>2.210318051644093</v>
      </c>
      <c r="R2311" t="s">
        <v>109</v>
      </c>
      <c r="S2311">
        <v>1006.791900225324</v>
      </c>
      <c r="T2311">
        <v>0.61014999999999997</v>
      </c>
      <c r="U2311" t="s">
        <v>110</v>
      </c>
      <c r="V2311">
        <v>0.61014999999999997</v>
      </c>
      <c r="W2311">
        <v>6</v>
      </c>
      <c r="X2311">
        <v>20</v>
      </c>
      <c r="Y2311">
        <v>14</v>
      </c>
      <c r="Z2311">
        <v>0.24</v>
      </c>
      <c r="AA2311">
        <v>31.536000000000001</v>
      </c>
    </row>
    <row r="2312" spans="1:27" x14ac:dyDescent="0.25">
      <c r="A2312" t="s">
        <v>98</v>
      </c>
      <c r="B2312" t="s">
        <v>519</v>
      </c>
      <c r="C2312" t="s">
        <v>1028</v>
      </c>
      <c r="D2312" t="s">
        <v>1707</v>
      </c>
      <c r="E2312" t="s">
        <v>102</v>
      </c>
      <c r="G2312" t="s">
        <v>111</v>
      </c>
      <c r="H2312" t="s">
        <v>156</v>
      </c>
      <c r="I2312">
        <v>2016</v>
      </c>
      <c r="J2312" t="s">
        <v>160</v>
      </c>
      <c r="K2312" t="s">
        <v>158</v>
      </c>
      <c r="L2312" t="s">
        <v>2553</v>
      </c>
      <c r="M2312" t="s">
        <v>2573</v>
      </c>
      <c r="N2312">
        <v>1</v>
      </c>
      <c r="O2312">
        <v>2020</v>
      </c>
      <c r="P2312">
        <v>2347.266218786523</v>
      </c>
      <c r="Q2312">
        <v>2.210318051644093</v>
      </c>
      <c r="R2312" t="s">
        <v>109</v>
      </c>
      <c r="S2312">
        <v>1061.9585796897261</v>
      </c>
      <c r="T2312">
        <v>0.63</v>
      </c>
      <c r="U2312" t="s">
        <v>110</v>
      </c>
      <c r="V2312">
        <v>0.63</v>
      </c>
      <c r="W2312">
        <v>6</v>
      </c>
      <c r="X2312">
        <v>20</v>
      </c>
      <c r="Y2312">
        <v>14</v>
      </c>
      <c r="Z2312">
        <v>0.24</v>
      </c>
      <c r="AA2312">
        <v>31.536000000000001</v>
      </c>
    </row>
    <row r="2313" spans="1:27" x14ac:dyDescent="0.25">
      <c r="A2313" t="s">
        <v>98</v>
      </c>
      <c r="B2313" t="s">
        <v>519</v>
      </c>
      <c r="C2313" t="s">
        <v>1028</v>
      </c>
      <c r="D2313" t="s">
        <v>1707</v>
      </c>
      <c r="E2313" t="s">
        <v>102</v>
      </c>
      <c r="G2313" t="s">
        <v>114</v>
      </c>
      <c r="H2313" t="s">
        <v>156</v>
      </c>
      <c r="I2313">
        <v>2016</v>
      </c>
      <c r="J2313" t="s">
        <v>162</v>
      </c>
      <c r="K2313" t="s">
        <v>158</v>
      </c>
      <c r="L2313" t="s">
        <v>2553</v>
      </c>
      <c r="M2313" t="s">
        <v>2574</v>
      </c>
      <c r="N2313">
        <v>1</v>
      </c>
      <c r="O2313">
        <v>2020</v>
      </c>
      <c r="P2313">
        <v>2469.2021262559529</v>
      </c>
      <c r="Q2313">
        <v>2.210318051644093</v>
      </c>
      <c r="R2313" t="s">
        <v>109</v>
      </c>
      <c r="S2313">
        <v>1117.125259154127</v>
      </c>
      <c r="T2313">
        <v>0.66</v>
      </c>
      <c r="U2313" t="s">
        <v>110</v>
      </c>
      <c r="V2313">
        <v>0.66</v>
      </c>
      <c r="W2313">
        <v>6</v>
      </c>
      <c r="X2313">
        <v>20</v>
      </c>
      <c r="Y2313">
        <v>14</v>
      </c>
      <c r="Z2313">
        <v>0.24</v>
      </c>
      <c r="AA2313">
        <v>31.536000000000001</v>
      </c>
    </row>
    <row r="2314" spans="1:27" x14ac:dyDescent="0.25">
      <c r="A2314" t="s">
        <v>98</v>
      </c>
      <c r="B2314" t="s">
        <v>519</v>
      </c>
      <c r="C2314" t="s">
        <v>1028</v>
      </c>
      <c r="D2314" t="s">
        <v>1707</v>
      </c>
      <c r="E2314" t="s">
        <v>102</v>
      </c>
      <c r="G2314" t="s">
        <v>114</v>
      </c>
      <c r="H2314" t="s">
        <v>156</v>
      </c>
      <c r="I2314">
        <v>2023</v>
      </c>
      <c r="J2314" t="s">
        <v>164</v>
      </c>
      <c r="K2314" t="s">
        <v>158</v>
      </c>
      <c r="L2314" t="s">
        <v>2553</v>
      </c>
      <c r="M2314" t="s">
        <v>2575</v>
      </c>
      <c r="N2314">
        <v>1</v>
      </c>
      <c r="O2314">
        <v>2023</v>
      </c>
      <c r="P2314">
        <v>3865.2553631628971</v>
      </c>
      <c r="Q2314">
        <v>2.210318051644093</v>
      </c>
      <c r="R2314" t="s">
        <v>109</v>
      </c>
      <c r="S2314">
        <v>1748.732658762759</v>
      </c>
      <c r="T2314">
        <v>0.83499999999999996</v>
      </c>
      <c r="U2314" t="s">
        <v>110</v>
      </c>
      <c r="V2314">
        <v>0.83499999999999996</v>
      </c>
      <c r="W2314">
        <v>6</v>
      </c>
      <c r="X2314">
        <v>20</v>
      </c>
      <c r="Y2314">
        <v>14</v>
      </c>
      <c r="Z2314">
        <v>0.24</v>
      </c>
      <c r="AA2314">
        <v>31.536000000000001</v>
      </c>
    </row>
    <row r="2315" spans="1:27" x14ac:dyDescent="0.25">
      <c r="A2315" t="s">
        <v>98</v>
      </c>
      <c r="B2315" t="s">
        <v>519</v>
      </c>
      <c r="C2315" t="s">
        <v>1028</v>
      </c>
      <c r="D2315" t="s">
        <v>1707</v>
      </c>
      <c r="E2315" t="s">
        <v>102</v>
      </c>
      <c r="G2315" t="s">
        <v>119</v>
      </c>
      <c r="H2315" t="s">
        <v>156</v>
      </c>
      <c r="I2315">
        <v>2016</v>
      </c>
      <c r="J2315" t="s">
        <v>166</v>
      </c>
      <c r="K2315" t="s">
        <v>158</v>
      </c>
      <c r="L2315" t="s">
        <v>2553</v>
      </c>
      <c r="M2315" t="s">
        <v>2576</v>
      </c>
      <c r="N2315">
        <v>0</v>
      </c>
      <c r="O2315">
        <v>2020</v>
      </c>
      <c r="P2315">
        <v>3749.5291546849662</v>
      </c>
      <c r="Q2315">
        <v>2.210318051644093</v>
      </c>
      <c r="R2315" t="s">
        <v>109</v>
      </c>
      <c r="S2315">
        <v>1696.3753935303409</v>
      </c>
      <c r="T2315">
        <v>0.81</v>
      </c>
      <c r="U2315" t="s">
        <v>110</v>
      </c>
      <c r="V2315">
        <v>0.81</v>
      </c>
      <c r="W2315">
        <v>6</v>
      </c>
      <c r="X2315">
        <v>20</v>
      </c>
      <c r="Y2315">
        <v>14</v>
      </c>
      <c r="Z2315">
        <v>0.24</v>
      </c>
      <c r="AA2315">
        <v>31.536000000000001</v>
      </c>
    </row>
    <row r="2316" spans="1:27" x14ac:dyDescent="0.25">
      <c r="A2316" t="s">
        <v>98</v>
      </c>
      <c r="B2316" t="s">
        <v>519</v>
      </c>
      <c r="C2316" t="s">
        <v>1028</v>
      </c>
      <c r="D2316" t="s">
        <v>1707</v>
      </c>
      <c r="E2316" t="s">
        <v>102</v>
      </c>
      <c r="G2316" t="s">
        <v>119</v>
      </c>
      <c r="H2316" t="s">
        <v>156</v>
      </c>
      <c r="I2316">
        <v>2018</v>
      </c>
      <c r="J2316" t="s">
        <v>168</v>
      </c>
      <c r="K2316" t="s">
        <v>158</v>
      </c>
      <c r="L2316" t="s">
        <v>2553</v>
      </c>
      <c r="M2316" t="s">
        <v>2576</v>
      </c>
      <c r="N2316">
        <v>1</v>
      </c>
      <c r="O2316">
        <v>2020</v>
      </c>
      <c r="P2316">
        <v>3749.5291546849662</v>
      </c>
      <c r="Q2316">
        <v>2.210318051644093</v>
      </c>
      <c r="R2316" t="s">
        <v>109</v>
      </c>
      <c r="S2316">
        <v>1696.3753935303409</v>
      </c>
      <c r="T2316">
        <v>0.81</v>
      </c>
      <c r="U2316" t="s">
        <v>110</v>
      </c>
      <c r="V2316">
        <v>0.81</v>
      </c>
      <c r="W2316">
        <v>6</v>
      </c>
      <c r="X2316">
        <v>20</v>
      </c>
      <c r="Y2316">
        <v>14</v>
      </c>
      <c r="Z2316">
        <v>0.24</v>
      </c>
      <c r="AA2316">
        <v>31.536000000000001</v>
      </c>
    </row>
    <row r="2317" spans="1:27" x14ac:dyDescent="0.25">
      <c r="A2317" t="s">
        <v>98</v>
      </c>
      <c r="B2317" t="s">
        <v>519</v>
      </c>
      <c r="C2317" t="s">
        <v>1028</v>
      </c>
      <c r="D2317" t="s">
        <v>1707</v>
      </c>
      <c r="E2317" t="s">
        <v>102</v>
      </c>
      <c r="G2317" t="s">
        <v>111</v>
      </c>
      <c r="H2317" t="s">
        <v>169</v>
      </c>
      <c r="I2317">
        <v>2016</v>
      </c>
      <c r="J2317" t="s">
        <v>170</v>
      </c>
      <c r="K2317" t="s">
        <v>171</v>
      </c>
      <c r="L2317" t="s">
        <v>2553</v>
      </c>
      <c r="M2317" t="s">
        <v>2577</v>
      </c>
      <c r="N2317">
        <v>0</v>
      </c>
      <c r="O2317">
        <v>2020</v>
      </c>
      <c r="P2317">
        <v>13412.949821637279</v>
      </c>
      <c r="Q2317">
        <v>2.210318051644093</v>
      </c>
      <c r="R2317" t="s">
        <v>109</v>
      </c>
      <c r="S2317">
        <v>6068.3347410841479</v>
      </c>
      <c r="T2317">
        <v>1</v>
      </c>
      <c r="U2317" t="s">
        <v>173</v>
      </c>
      <c r="V2317">
        <v>1</v>
      </c>
      <c r="W2317">
        <v>15</v>
      </c>
      <c r="X2317">
        <v>30</v>
      </c>
      <c r="Y2317">
        <v>23</v>
      </c>
      <c r="Z2317">
        <v>0.24</v>
      </c>
      <c r="AA2317">
        <v>31.536000000000001</v>
      </c>
    </row>
    <row r="2318" spans="1:27" x14ac:dyDescent="0.25">
      <c r="A2318" t="s">
        <v>98</v>
      </c>
      <c r="B2318" t="s">
        <v>519</v>
      </c>
      <c r="C2318" t="s">
        <v>1028</v>
      </c>
      <c r="D2318" t="s">
        <v>1707</v>
      </c>
      <c r="E2318" t="s">
        <v>102</v>
      </c>
      <c r="G2318" t="s">
        <v>111</v>
      </c>
      <c r="H2318" t="s">
        <v>169</v>
      </c>
      <c r="I2318">
        <v>2020</v>
      </c>
      <c r="J2318" t="s">
        <v>174</v>
      </c>
      <c r="K2318" t="s">
        <v>171</v>
      </c>
      <c r="L2318" t="s">
        <v>2553</v>
      </c>
      <c r="M2318" t="s">
        <v>2577</v>
      </c>
      <c r="N2318">
        <v>1</v>
      </c>
      <c r="O2318">
        <v>2020</v>
      </c>
      <c r="P2318">
        <v>13412.949821637279</v>
      </c>
      <c r="Q2318">
        <v>2.210318051644093</v>
      </c>
      <c r="R2318" t="s">
        <v>109</v>
      </c>
      <c r="S2318">
        <v>6068.3347410841479</v>
      </c>
      <c r="T2318">
        <v>1</v>
      </c>
      <c r="U2318" t="s">
        <v>173</v>
      </c>
      <c r="V2318">
        <v>1</v>
      </c>
      <c r="W2318">
        <v>15</v>
      </c>
      <c r="X2318">
        <v>30</v>
      </c>
      <c r="Y2318">
        <v>23</v>
      </c>
      <c r="Z2318">
        <v>0.24</v>
      </c>
      <c r="AA2318">
        <v>31.536000000000001</v>
      </c>
    </row>
    <row r="2319" spans="1:27" x14ac:dyDescent="0.25">
      <c r="A2319" t="s">
        <v>98</v>
      </c>
      <c r="B2319" t="s">
        <v>519</v>
      </c>
      <c r="C2319" t="s">
        <v>1028</v>
      </c>
      <c r="D2319" t="s">
        <v>1707</v>
      </c>
      <c r="E2319" t="s">
        <v>102</v>
      </c>
      <c r="G2319" t="s">
        <v>111</v>
      </c>
      <c r="H2319" t="s">
        <v>169</v>
      </c>
      <c r="I2319">
        <v>2023</v>
      </c>
      <c r="J2319" t="s">
        <v>175</v>
      </c>
      <c r="K2319" t="s">
        <v>171</v>
      </c>
      <c r="L2319" t="s">
        <v>2553</v>
      </c>
      <c r="M2319" t="s">
        <v>2578</v>
      </c>
      <c r="N2319">
        <v>1</v>
      </c>
      <c r="O2319">
        <v>2023</v>
      </c>
      <c r="P2319">
        <v>13412.949821637279</v>
      </c>
      <c r="Q2319">
        <v>2.210318051644093</v>
      </c>
      <c r="R2319" t="s">
        <v>109</v>
      </c>
      <c r="S2319">
        <v>6068.3347410841479</v>
      </c>
      <c r="T2319">
        <v>1</v>
      </c>
      <c r="U2319" t="s">
        <v>173</v>
      </c>
      <c r="V2319">
        <v>1</v>
      </c>
      <c r="W2319">
        <v>15</v>
      </c>
      <c r="X2319">
        <v>30</v>
      </c>
      <c r="Y2319">
        <v>23</v>
      </c>
      <c r="Z2319">
        <v>0.24</v>
      </c>
      <c r="AA2319">
        <v>31.536000000000001</v>
      </c>
    </row>
    <row r="2320" spans="1:27" x14ac:dyDescent="0.25">
      <c r="A2320" t="s">
        <v>98</v>
      </c>
      <c r="B2320" t="s">
        <v>519</v>
      </c>
      <c r="C2320" t="s">
        <v>1028</v>
      </c>
      <c r="D2320" t="s">
        <v>1707</v>
      </c>
      <c r="E2320" t="s">
        <v>102</v>
      </c>
      <c r="G2320" t="s">
        <v>111</v>
      </c>
      <c r="H2320" t="s">
        <v>169</v>
      </c>
      <c r="I2320">
        <v>2024</v>
      </c>
      <c r="J2320" t="s">
        <v>177</v>
      </c>
      <c r="K2320" t="s">
        <v>171</v>
      </c>
      <c r="L2320" t="s">
        <v>2553</v>
      </c>
      <c r="M2320" t="s">
        <v>2579</v>
      </c>
      <c r="N2320">
        <v>1</v>
      </c>
      <c r="O2320">
        <v>2024</v>
      </c>
      <c r="P2320">
        <v>13412.949821637279</v>
      </c>
      <c r="Q2320">
        <v>2.210318051644093</v>
      </c>
      <c r="R2320" t="s">
        <v>109</v>
      </c>
      <c r="S2320">
        <v>6068.3347410841479</v>
      </c>
      <c r="T2320">
        <v>1</v>
      </c>
      <c r="U2320" t="s">
        <v>173</v>
      </c>
      <c r="V2320">
        <v>1</v>
      </c>
      <c r="W2320">
        <v>15</v>
      </c>
      <c r="X2320">
        <v>30</v>
      </c>
      <c r="Y2320">
        <v>23</v>
      </c>
      <c r="Z2320">
        <v>0.24</v>
      </c>
      <c r="AA2320">
        <v>31.536000000000001</v>
      </c>
    </row>
    <row r="2321" spans="1:27" x14ac:dyDescent="0.25">
      <c r="A2321" t="s">
        <v>98</v>
      </c>
      <c r="B2321" t="s">
        <v>519</v>
      </c>
      <c r="C2321" t="s">
        <v>1028</v>
      </c>
      <c r="D2321" t="s">
        <v>1707</v>
      </c>
      <c r="E2321" t="s">
        <v>179</v>
      </c>
      <c r="F2321" t="s">
        <v>180</v>
      </c>
      <c r="G2321" t="s">
        <v>103</v>
      </c>
      <c r="H2321" t="s">
        <v>125</v>
      </c>
      <c r="I2321">
        <v>2016</v>
      </c>
      <c r="J2321" t="s">
        <v>181</v>
      </c>
      <c r="K2321" t="s">
        <v>127</v>
      </c>
      <c r="L2321" t="s">
        <v>2580</v>
      </c>
      <c r="M2321" t="s">
        <v>2581</v>
      </c>
      <c r="N2321">
        <v>1</v>
      </c>
      <c r="O2321">
        <v>2020</v>
      </c>
      <c r="P2321">
        <v>2956.9457561336731</v>
      </c>
      <c r="Q2321">
        <v>17.168943682756151</v>
      </c>
      <c r="R2321" t="s">
        <v>109</v>
      </c>
      <c r="S2321">
        <v>172.22642293966629</v>
      </c>
      <c r="T2321">
        <v>2.4032825322391562</v>
      </c>
      <c r="U2321" t="s">
        <v>184</v>
      </c>
      <c r="V2321">
        <v>2.4032825322391562</v>
      </c>
      <c r="W2321">
        <v>9</v>
      </c>
      <c r="X2321">
        <v>22</v>
      </c>
      <c r="Y2321">
        <v>16</v>
      </c>
      <c r="Z2321">
        <v>9.1249964693936397E-2</v>
      </c>
      <c r="AA2321">
        <v>31.536000000000001</v>
      </c>
    </row>
    <row r="2322" spans="1:27" x14ac:dyDescent="0.25">
      <c r="A2322" t="s">
        <v>98</v>
      </c>
      <c r="B2322" t="s">
        <v>519</v>
      </c>
      <c r="C2322" t="s">
        <v>1028</v>
      </c>
      <c r="D2322" t="s">
        <v>1707</v>
      </c>
      <c r="E2322" t="s">
        <v>179</v>
      </c>
      <c r="F2322" t="s">
        <v>180</v>
      </c>
      <c r="G2322" t="s">
        <v>103</v>
      </c>
      <c r="H2322" t="s">
        <v>125</v>
      </c>
      <c r="I2322">
        <v>2023</v>
      </c>
      <c r="J2322" t="s">
        <v>185</v>
      </c>
      <c r="K2322" t="s">
        <v>127</v>
      </c>
      <c r="L2322" t="s">
        <v>2580</v>
      </c>
      <c r="M2322" t="s">
        <v>2582</v>
      </c>
      <c r="N2322">
        <v>1</v>
      </c>
      <c r="O2322">
        <v>2023</v>
      </c>
      <c r="P2322">
        <v>2956.9457561336731</v>
      </c>
      <c r="Q2322">
        <v>17.168943682756151</v>
      </c>
      <c r="R2322" t="s">
        <v>109</v>
      </c>
      <c r="S2322">
        <v>172.22642293966629</v>
      </c>
      <c r="T2322">
        <v>2.4032825322391562</v>
      </c>
      <c r="U2322" t="s">
        <v>184</v>
      </c>
      <c r="V2322">
        <v>2.4032825322391562</v>
      </c>
      <c r="W2322">
        <v>9</v>
      </c>
      <c r="X2322">
        <v>22</v>
      </c>
      <c r="Y2322">
        <v>16</v>
      </c>
      <c r="Z2322">
        <v>9.1249964693936397E-2</v>
      </c>
      <c r="AA2322">
        <v>31.536000000000001</v>
      </c>
    </row>
    <row r="2323" spans="1:27" x14ac:dyDescent="0.25">
      <c r="A2323" t="s">
        <v>98</v>
      </c>
      <c r="B2323" t="s">
        <v>519</v>
      </c>
      <c r="C2323" t="s">
        <v>1028</v>
      </c>
      <c r="D2323" t="s">
        <v>1707</v>
      </c>
      <c r="E2323" t="s">
        <v>179</v>
      </c>
      <c r="F2323" t="s">
        <v>180</v>
      </c>
      <c r="G2323" t="s">
        <v>111</v>
      </c>
      <c r="H2323" t="s">
        <v>125</v>
      </c>
      <c r="I2323">
        <v>2016</v>
      </c>
      <c r="J2323" t="s">
        <v>187</v>
      </c>
      <c r="K2323" t="s">
        <v>127</v>
      </c>
      <c r="L2323" t="s">
        <v>2580</v>
      </c>
      <c r="M2323" t="s">
        <v>2583</v>
      </c>
      <c r="N2323">
        <v>1</v>
      </c>
      <c r="O2323">
        <v>2020</v>
      </c>
      <c r="P2323">
        <v>3109.3656404704602</v>
      </c>
      <c r="Q2323">
        <v>17.168943682756151</v>
      </c>
      <c r="R2323" t="s">
        <v>109</v>
      </c>
      <c r="S2323">
        <v>181.1040736066594</v>
      </c>
      <c r="T2323">
        <v>2.5205158264947238</v>
      </c>
      <c r="U2323" t="s">
        <v>184</v>
      </c>
      <c r="V2323">
        <v>2.5205158264947238</v>
      </c>
      <c r="W2323">
        <v>9</v>
      </c>
      <c r="X2323">
        <v>22</v>
      </c>
      <c r="Y2323">
        <v>16</v>
      </c>
      <c r="Z2323">
        <v>9.1249964693936397E-2</v>
      </c>
      <c r="AA2323">
        <v>31.536000000000001</v>
      </c>
    </row>
    <row r="2324" spans="1:27" x14ac:dyDescent="0.25">
      <c r="A2324" t="s">
        <v>98</v>
      </c>
      <c r="B2324" t="s">
        <v>519</v>
      </c>
      <c r="C2324" t="s">
        <v>1028</v>
      </c>
      <c r="D2324" t="s">
        <v>1707</v>
      </c>
      <c r="E2324" t="s">
        <v>179</v>
      </c>
      <c r="F2324" t="s">
        <v>180</v>
      </c>
      <c r="G2324" t="s">
        <v>111</v>
      </c>
      <c r="H2324" t="s">
        <v>125</v>
      </c>
      <c r="I2324">
        <v>2023</v>
      </c>
      <c r="J2324" t="s">
        <v>189</v>
      </c>
      <c r="K2324" t="s">
        <v>127</v>
      </c>
      <c r="L2324" t="s">
        <v>2580</v>
      </c>
      <c r="M2324" t="s">
        <v>2584</v>
      </c>
      <c r="N2324">
        <v>1</v>
      </c>
      <c r="O2324">
        <v>2023</v>
      </c>
      <c r="P2324">
        <v>3139.8496173378171</v>
      </c>
      <c r="Q2324">
        <v>17.168943682756151</v>
      </c>
      <c r="R2324" t="s">
        <v>109</v>
      </c>
      <c r="S2324">
        <v>182.879603740058</v>
      </c>
      <c r="T2324">
        <v>2.5791324736225092</v>
      </c>
      <c r="U2324" t="s">
        <v>184</v>
      </c>
      <c r="V2324">
        <v>2.5791324736225092</v>
      </c>
      <c r="W2324">
        <v>9</v>
      </c>
      <c r="X2324">
        <v>22</v>
      </c>
      <c r="Y2324">
        <v>16</v>
      </c>
      <c r="Z2324">
        <v>9.1249964693936397E-2</v>
      </c>
      <c r="AA2324">
        <v>31.536000000000001</v>
      </c>
    </row>
    <row r="2325" spans="1:27" x14ac:dyDescent="0.25">
      <c r="A2325" t="s">
        <v>98</v>
      </c>
      <c r="B2325" t="s">
        <v>519</v>
      </c>
      <c r="C2325" t="s">
        <v>1028</v>
      </c>
      <c r="D2325" t="s">
        <v>1707</v>
      </c>
      <c r="E2325" t="s">
        <v>179</v>
      </c>
      <c r="F2325" t="s">
        <v>180</v>
      </c>
      <c r="G2325" t="s">
        <v>114</v>
      </c>
      <c r="H2325" t="s">
        <v>125</v>
      </c>
      <c r="I2325">
        <v>2016</v>
      </c>
      <c r="J2325" t="s">
        <v>191</v>
      </c>
      <c r="K2325" t="s">
        <v>127</v>
      </c>
      <c r="L2325" t="s">
        <v>2580</v>
      </c>
      <c r="M2325" t="s">
        <v>2585</v>
      </c>
      <c r="N2325">
        <v>1</v>
      </c>
      <c r="O2325">
        <v>2020</v>
      </c>
      <c r="P2325">
        <v>3017.9137098683868</v>
      </c>
      <c r="Q2325">
        <v>17.168943682756151</v>
      </c>
      <c r="R2325" t="s">
        <v>109</v>
      </c>
      <c r="S2325">
        <v>175.7774832064635</v>
      </c>
      <c r="T2325">
        <v>2.4912075029308318</v>
      </c>
      <c r="U2325" t="s">
        <v>184</v>
      </c>
      <c r="V2325">
        <v>2.4912075029308318</v>
      </c>
      <c r="W2325">
        <v>9</v>
      </c>
      <c r="X2325">
        <v>22</v>
      </c>
      <c r="Y2325">
        <v>16</v>
      </c>
      <c r="Z2325">
        <v>9.1249964693936397E-2</v>
      </c>
      <c r="AA2325">
        <v>31.536000000000001</v>
      </c>
    </row>
    <row r="2326" spans="1:27" x14ac:dyDescent="0.25">
      <c r="A2326" t="s">
        <v>98</v>
      </c>
      <c r="B2326" t="s">
        <v>519</v>
      </c>
      <c r="C2326" t="s">
        <v>1028</v>
      </c>
      <c r="D2326" t="s">
        <v>1707</v>
      </c>
      <c r="E2326" t="s">
        <v>179</v>
      </c>
      <c r="F2326" t="s">
        <v>180</v>
      </c>
      <c r="G2326" t="s">
        <v>114</v>
      </c>
      <c r="H2326" t="s">
        <v>125</v>
      </c>
      <c r="I2326">
        <v>2022</v>
      </c>
      <c r="J2326" t="s">
        <v>193</v>
      </c>
      <c r="K2326" t="s">
        <v>127</v>
      </c>
      <c r="L2326" t="s">
        <v>2580</v>
      </c>
      <c r="M2326" t="s">
        <v>2586</v>
      </c>
      <c r="N2326">
        <v>1</v>
      </c>
      <c r="O2326">
        <v>2022</v>
      </c>
      <c r="P2326">
        <v>3017.9137098683868</v>
      </c>
      <c r="Q2326">
        <v>17.168943682756151</v>
      </c>
      <c r="R2326" t="s">
        <v>109</v>
      </c>
      <c r="S2326">
        <v>175.7774832064635</v>
      </c>
      <c r="T2326">
        <v>2.4912075029308318</v>
      </c>
      <c r="U2326" t="s">
        <v>184</v>
      </c>
      <c r="V2326">
        <v>2.4912075029308318</v>
      </c>
      <c r="W2326">
        <v>9</v>
      </c>
      <c r="X2326">
        <v>22</v>
      </c>
      <c r="Y2326">
        <v>16</v>
      </c>
      <c r="Z2326">
        <v>9.1249964693936397E-2</v>
      </c>
      <c r="AA2326">
        <v>31.536000000000001</v>
      </c>
    </row>
    <row r="2327" spans="1:27" x14ac:dyDescent="0.25">
      <c r="A2327" t="s">
        <v>98</v>
      </c>
      <c r="B2327" t="s">
        <v>519</v>
      </c>
      <c r="C2327" t="s">
        <v>1028</v>
      </c>
      <c r="D2327" t="s">
        <v>1707</v>
      </c>
      <c r="E2327" t="s">
        <v>179</v>
      </c>
      <c r="F2327" t="s">
        <v>180</v>
      </c>
      <c r="G2327" t="s">
        <v>114</v>
      </c>
      <c r="H2327" t="s">
        <v>125</v>
      </c>
      <c r="I2327">
        <v>2023</v>
      </c>
      <c r="J2327" t="s">
        <v>195</v>
      </c>
      <c r="K2327" t="s">
        <v>127</v>
      </c>
      <c r="L2327" t="s">
        <v>2580</v>
      </c>
      <c r="M2327" t="s">
        <v>2587</v>
      </c>
      <c r="N2327">
        <v>1</v>
      </c>
      <c r="O2327">
        <v>2023</v>
      </c>
      <c r="P2327">
        <v>3266.447780092843</v>
      </c>
      <c r="Q2327">
        <v>17.168943682756151</v>
      </c>
      <c r="R2327" t="s">
        <v>109</v>
      </c>
      <c r="S2327">
        <v>190.2532759411134</v>
      </c>
      <c r="T2327">
        <v>2.6963657678780768</v>
      </c>
      <c r="U2327" t="s">
        <v>184</v>
      </c>
      <c r="V2327">
        <v>2.6963657678780768</v>
      </c>
      <c r="W2327">
        <v>9</v>
      </c>
      <c r="X2327">
        <v>22</v>
      </c>
      <c r="Y2327">
        <v>16</v>
      </c>
      <c r="Z2327">
        <v>9.1249964693936397E-2</v>
      </c>
      <c r="AA2327">
        <v>31.536000000000001</v>
      </c>
    </row>
    <row r="2328" spans="1:27" x14ac:dyDescent="0.25">
      <c r="A2328" t="s">
        <v>98</v>
      </c>
      <c r="B2328" t="s">
        <v>519</v>
      </c>
      <c r="C2328" t="s">
        <v>1028</v>
      </c>
      <c r="D2328" t="s">
        <v>1707</v>
      </c>
      <c r="E2328" t="s">
        <v>179</v>
      </c>
      <c r="F2328" t="s">
        <v>180</v>
      </c>
      <c r="G2328" t="s">
        <v>119</v>
      </c>
      <c r="H2328" t="s">
        <v>125</v>
      </c>
      <c r="I2328">
        <v>2016</v>
      </c>
      <c r="J2328" t="s">
        <v>197</v>
      </c>
      <c r="K2328" t="s">
        <v>127</v>
      </c>
      <c r="L2328" t="s">
        <v>2580</v>
      </c>
      <c r="M2328" t="s">
        <v>2588</v>
      </c>
      <c r="N2328">
        <v>1</v>
      </c>
      <c r="O2328">
        <v>2020</v>
      </c>
      <c r="P2328">
        <v>3719.0451778176089</v>
      </c>
      <c r="Q2328">
        <v>17.168943682756151</v>
      </c>
      <c r="R2328" t="s">
        <v>109</v>
      </c>
      <c r="S2328">
        <v>216.61467627463179</v>
      </c>
      <c r="T2328">
        <v>2.6377491207502932</v>
      </c>
      <c r="U2328" t="s">
        <v>184</v>
      </c>
      <c r="V2328">
        <v>2.6377491207502932</v>
      </c>
      <c r="W2328">
        <v>9</v>
      </c>
      <c r="X2328">
        <v>22</v>
      </c>
      <c r="Y2328">
        <v>16</v>
      </c>
      <c r="Z2328">
        <v>9.1249964693936397E-2</v>
      </c>
      <c r="AA2328">
        <v>31.536000000000001</v>
      </c>
    </row>
    <row r="2329" spans="1:27" x14ac:dyDescent="0.25">
      <c r="A2329" t="s">
        <v>98</v>
      </c>
      <c r="B2329" t="s">
        <v>519</v>
      </c>
      <c r="C2329" t="s">
        <v>1028</v>
      </c>
      <c r="D2329" t="s">
        <v>1707</v>
      </c>
      <c r="E2329" t="s">
        <v>179</v>
      </c>
      <c r="F2329" t="s">
        <v>180</v>
      </c>
      <c r="G2329" t="s">
        <v>119</v>
      </c>
      <c r="H2329" t="s">
        <v>125</v>
      </c>
      <c r="I2329">
        <v>2022</v>
      </c>
      <c r="J2329" t="s">
        <v>199</v>
      </c>
      <c r="K2329" t="s">
        <v>127</v>
      </c>
      <c r="L2329" t="s">
        <v>2580</v>
      </c>
      <c r="M2329" t="s">
        <v>2589</v>
      </c>
      <c r="N2329">
        <v>1</v>
      </c>
      <c r="O2329">
        <v>2022</v>
      </c>
      <c r="P2329">
        <v>3914.784397702746</v>
      </c>
      <c r="Q2329">
        <v>17.168943682756151</v>
      </c>
      <c r="R2329" t="s">
        <v>109</v>
      </c>
      <c r="S2329">
        <v>228.01544871013871</v>
      </c>
      <c r="T2329">
        <v>2.9308323563892151</v>
      </c>
      <c r="U2329" t="s">
        <v>184</v>
      </c>
      <c r="V2329">
        <v>2.9308323563892151</v>
      </c>
      <c r="W2329">
        <v>9</v>
      </c>
      <c r="X2329">
        <v>22</v>
      </c>
      <c r="Y2329">
        <v>16</v>
      </c>
      <c r="Z2329">
        <v>9.1249964693936397E-2</v>
      </c>
      <c r="AA2329">
        <v>31.536000000000001</v>
      </c>
    </row>
    <row r="2330" spans="1:27" x14ac:dyDescent="0.25">
      <c r="A2330" t="s">
        <v>98</v>
      </c>
      <c r="B2330" t="s">
        <v>519</v>
      </c>
      <c r="C2330" t="s">
        <v>1028</v>
      </c>
      <c r="D2330" t="s">
        <v>1707</v>
      </c>
      <c r="E2330" t="s">
        <v>179</v>
      </c>
      <c r="F2330" t="s">
        <v>201</v>
      </c>
      <c r="G2330" t="s">
        <v>103</v>
      </c>
      <c r="H2330" t="s">
        <v>125</v>
      </c>
      <c r="I2330">
        <v>2016</v>
      </c>
      <c r="J2330" t="s">
        <v>202</v>
      </c>
      <c r="K2330" t="s">
        <v>127</v>
      </c>
      <c r="L2330" t="s">
        <v>2580</v>
      </c>
      <c r="M2330" t="s">
        <v>2590</v>
      </c>
      <c r="N2330">
        <v>1</v>
      </c>
      <c r="O2330">
        <v>2020</v>
      </c>
      <c r="P2330">
        <v>9511.0007826155233</v>
      </c>
      <c r="Q2330">
        <v>17.168943682756151</v>
      </c>
      <c r="R2330" t="s">
        <v>109</v>
      </c>
      <c r="S2330">
        <v>553.96540162036979</v>
      </c>
      <c r="T2330">
        <v>3.2</v>
      </c>
      <c r="U2330" t="s">
        <v>184</v>
      </c>
      <c r="V2330">
        <v>3.2</v>
      </c>
      <c r="W2330">
        <v>8</v>
      </c>
      <c r="X2330">
        <v>20.8</v>
      </c>
      <c r="Y2330">
        <v>15</v>
      </c>
      <c r="Z2330">
        <v>9.1249964693936397E-2</v>
      </c>
      <c r="AA2330">
        <v>31.536000000000001</v>
      </c>
    </row>
    <row r="2331" spans="1:27" x14ac:dyDescent="0.25">
      <c r="A2331" t="s">
        <v>98</v>
      </c>
      <c r="B2331" t="s">
        <v>519</v>
      </c>
      <c r="C2331" t="s">
        <v>1028</v>
      </c>
      <c r="D2331" t="s">
        <v>1707</v>
      </c>
      <c r="E2331" t="s">
        <v>179</v>
      </c>
      <c r="F2331" t="s">
        <v>201</v>
      </c>
      <c r="G2331" t="s">
        <v>111</v>
      </c>
      <c r="H2331" t="s">
        <v>125</v>
      </c>
      <c r="I2331">
        <v>2016</v>
      </c>
      <c r="J2331" t="s">
        <v>204</v>
      </c>
      <c r="K2331" t="s">
        <v>127</v>
      </c>
      <c r="L2331" t="s">
        <v>2580</v>
      </c>
      <c r="M2331" t="s">
        <v>2591</v>
      </c>
      <c r="N2331">
        <v>1</v>
      </c>
      <c r="O2331">
        <v>2020</v>
      </c>
      <c r="P2331">
        <v>9846.3245281564559</v>
      </c>
      <c r="Q2331">
        <v>17.168943682756151</v>
      </c>
      <c r="R2331" t="s">
        <v>109</v>
      </c>
      <c r="S2331">
        <v>573.4962330877546</v>
      </c>
      <c r="T2331">
        <v>3.7</v>
      </c>
      <c r="U2331" t="s">
        <v>184</v>
      </c>
      <c r="V2331">
        <v>3.7</v>
      </c>
      <c r="W2331">
        <v>8</v>
      </c>
      <c r="X2331">
        <v>20.8</v>
      </c>
      <c r="Y2331">
        <v>15</v>
      </c>
      <c r="Z2331">
        <v>9.1249964693936397E-2</v>
      </c>
      <c r="AA2331">
        <v>31.536000000000001</v>
      </c>
    </row>
    <row r="2332" spans="1:27" x14ac:dyDescent="0.25">
      <c r="A2332" t="s">
        <v>98</v>
      </c>
      <c r="B2332" t="s">
        <v>519</v>
      </c>
      <c r="C2332" t="s">
        <v>1028</v>
      </c>
      <c r="D2332" t="s">
        <v>1707</v>
      </c>
      <c r="E2332" t="s">
        <v>179</v>
      </c>
      <c r="F2332" t="s">
        <v>201</v>
      </c>
      <c r="G2332" t="s">
        <v>114</v>
      </c>
      <c r="H2332" t="s">
        <v>125</v>
      </c>
      <c r="I2332">
        <v>2016</v>
      </c>
      <c r="J2332" t="s">
        <v>206</v>
      </c>
      <c r="K2332" t="s">
        <v>127</v>
      </c>
      <c r="L2332" t="s">
        <v>2580</v>
      </c>
      <c r="M2332" t="s">
        <v>2592</v>
      </c>
      <c r="N2332">
        <v>0</v>
      </c>
      <c r="O2332">
        <v>2020</v>
      </c>
      <c r="P2332">
        <v>9846.3245281564559</v>
      </c>
      <c r="Q2332">
        <v>17.168943682756151</v>
      </c>
      <c r="R2332" t="s">
        <v>109</v>
      </c>
      <c r="S2332">
        <v>573.4962330877546</v>
      </c>
      <c r="T2332">
        <v>3.6</v>
      </c>
      <c r="U2332" t="s">
        <v>184</v>
      </c>
      <c r="V2332">
        <v>3.6</v>
      </c>
      <c r="W2332">
        <v>8</v>
      </c>
      <c r="X2332">
        <v>20.8</v>
      </c>
      <c r="Y2332">
        <v>15</v>
      </c>
      <c r="Z2332">
        <v>9.1249964693936397E-2</v>
      </c>
      <c r="AA2332">
        <v>31.536000000000001</v>
      </c>
    </row>
    <row r="2333" spans="1:27" x14ac:dyDescent="0.25">
      <c r="A2333" t="s">
        <v>98</v>
      </c>
      <c r="B2333" t="s">
        <v>519</v>
      </c>
      <c r="C2333" t="s">
        <v>1028</v>
      </c>
      <c r="D2333" t="s">
        <v>1707</v>
      </c>
      <c r="E2333" t="s">
        <v>179</v>
      </c>
      <c r="F2333" t="s">
        <v>201</v>
      </c>
      <c r="G2333" t="s">
        <v>114</v>
      </c>
      <c r="H2333" t="s">
        <v>125</v>
      </c>
      <c r="I2333">
        <v>2020</v>
      </c>
      <c r="J2333" t="s">
        <v>208</v>
      </c>
      <c r="K2333" t="s">
        <v>127</v>
      </c>
      <c r="L2333" t="s">
        <v>2580</v>
      </c>
      <c r="M2333" t="s">
        <v>2592</v>
      </c>
      <c r="N2333">
        <v>1</v>
      </c>
      <c r="O2333">
        <v>2020</v>
      </c>
      <c r="P2333">
        <v>9846.3245281564559</v>
      </c>
      <c r="Q2333">
        <v>17.168943682756151</v>
      </c>
      <c r="R2333" t="s">
        <v>109</v>
      </c>
      <c r="S2333">
        <v>573.4962330877546</v>
      </c>
      <c r="T2333">
        <v>3.6</v>
      </c>
      <c r="U2333" t="s">
        <v>184</v>
      </c>
      <c r="V2333">
        <v>3.6</v>
      </c>
      <c r="W2333">
        <v>8</v>
      </c>
      <c r="X2333">
        <v>20.8</v>
      </c>
      <c r="Y2333">
        <v>15</v>
      </c>
      <c r="Z2333">
        <v>9.1249964693936397E-2</v>
      </c>
      <c r="AA2333">
        <v>31.536000000000001</v>
      </c>
    </row>
    <row r="2334" spans="1:27" x14ac:dyDescent="0.25">
      <c r="A2334" t="s">
        <v>98</v>
      </c>
      <c r="B2334" t="s">
        <v>519</v>
      </c>
      <c r="C2334" t="s">
        <v>1028</v>
      </c>
      <c r="D2334" t="s">
        <v>1707</v>
      </c>
      <c r="E2334" t="s">
        <v>179</v>
      </c>
      <c r="F2334" t="s">
        <v>201</v>
      </c>
      <c r="G2334" t="s">
        <v>114</v>
      </c>
      <c r="H2334" t="s">
        <v>125</v>
      </c>
      <c r="I2334">
        <v>2022</v>
      </c>
      <c r="J2334" t="s">
        <v>209</v>
      </c>
      <c r="K2334" t="s">
        <v>127</v>
      </c>
      <c r="L2334" t="s">
        <v>2580</v>
      </c>
      <c r="M2334" t="s">
        <v>2593</v>
      </c>
      <c r="N2334">
        <v>1</v>
      </c>
      <c r="O2334">
        <v>2022</v>
      </c>
      <c r="P2334">
        <v>9846.3245281564559</v>
      </c>
      <c r="Q2334">
        <v>17.168943682756151</v>
      </c>
      <c r="R2334" t="s">
        <v>109</v>
      </c>
      <c r="S2334">
        <v>573.4962330877546</v>
      </c>
      <c r="T2334">
        <v>3.6</v>
      </c>
      <c r="U2334" t="s">
        <v>184</v>
      </c>
      <c r="V2334">
        <v>3.6</v>
      </c>
      <c r="W2334">
        <v>8</v>
      </c>
      <c r="X2334">
        <v>20.8</v>
      </c>
      <c r="Y2334">
        <v>15</v>
      </c>
      <c r="Z2334">
        <v>9.1249964693936397E-2</v>
      </c>
      <c r="AA2334">
        <v>31.536000000000001</v>
      </c>
    </row>
    <row r="2335" spans="1:27" x14ac:dyDescent="0.25">
      <c r="A2335" t="s">
        <v>98</v>
      </c>
      <c r="B2335" t="s">
        <v>519</v>
      </c>
      <c r="C2335" t="s">
        <v>1028</v>
      </c>
      <c r="D2335" t="s">
        <v>1707</v>
      </c>
      <c r="E2335" t="s">
        <v>179</v>
      </c>
      <c r="F2335" t="s">
        <v>201</v>
      </c>
      <c r="G2335" t="s">
        <v>114</v>
      </c>
      <c r="H2335" t="s">
        <v>125</v>
      </c>
      <c r="I2335">
        <v>2023</v>
      </c>
      <c r="J2335" t="s">
        <v>211</v>
      </c>
      <c r="K2335" t="s">
        <v>127</v>
      </c>
      <c r="L2335" t="s">
        <v>2580</v>
      </c>
      <c r="M2335" t="s">
        <v>2594</v>
      </c>
      <c r="N2335">
        <v>1</v>
      </c>
      <c r="O2335">
        <v>2023</v>
      </c>
      <c r="P2335">
        <v>9846.3245281564559</v>
      </c>
      <c r="Q2335">
        <v>17.168943682756151</v>
      </c>
      <c r="R2335" t="s">
        <v>109</v>
      </c>
      <c r="S2335">
        <v>573.4962330877546</v>
      </c>
      <c r="T2335">
        <v>3.6</v>
      </c>
      <c r="U2335" t="s">
        <v>184</v>
      </c>
      <c r="V2335">
        <v>3.6</v>
      </c>
      <c r="W2335">
        <v>8</v>
      </c>
      <c r="X2335">
        <v>20.8</v>
      </c>
      <c r="Y2335">
        <v>15</v>
      </c>
      <c r="Z2335">
        <v>9.1249964693936397E-2</v>
      </c>
      <c r="AA2335">
        <v>31.536000000000001</v>
      </c>
    </row>
    <row r="2336" spans="1:27" x14ac:dyDescent="0.25">
      <c r="A2336" t="s">
        <v>98</v>
      </c>
      <c r="B2336" t="s">
        <v>519</v>
      </c>
      <c r="C2336" t="s">
        <v>1028</v>
      </c>
      <c r="D2336" t="s">
        <v>1707</v>
      </c>
      <c r="E2336" t="s">
        <v>179</v>
      </c>
      <c r="F2336" t="s">
        <v>201</v>
      </c>
      <c r="G2336" t="s">
        <v>114</v>
      </c>
      <c r="H2336" t="s">
        <v>125</v>
      </c>
      <c r="I2336">
        <v>2024</v>
      </c>
      <c r="J2336" t="s">
        <v>213</v>
      </c>
      <c r="K2336" t="s">
        <v>127</v>
      </c>
      <c r="L2336" t="s">
        <v>2580</v>
      </c>
      <c r="M2336" t="s">
        <v>2595</v>
      </c>
      <c r="N2336">
        <v>1</v>
      </c>
      <c r="O2336">
        <v>2024</v>
      </c>
      <c r="P2336">
        <v>9846.3245281564559</v>
      </c>
      <c r="Q2336">
        <v>17.168943682756151</v>
      </c>
      <c r="R2336" t="s">
        <v>109</v>
      </c>
      <c r="S2336">
        <v>573.4962330877546</v>
      </c>
      <c r="T2336">
        <v>3.6</v>
      </c>
      <c r="U2336" t="s">
        <v>184</v>
      </c>
      <c r="V2336">
        <v>3.6</v>
      </c>
      <c r="W2336">
        <v>8</v>
      </c>
      <c r="X2336">
        <v>20.8</v>
      </c>
      <c r="Y2336">
        <v>15</v>
      </c>
      <c r="Z2336">
        <v>9.1249964693936397E-2</v>
      </c>
      <c r="AA2336">
        <v>31.536000000000001</v>
      </c>
    </row>
    <row r="2337" spans="1:27" x14ac:dyDescent="0.25">
      <c r="A2337" t="s">
        <v>98</v>
      </c>
      <c r="B2337" t="s">
        <v>519</v>
      </c>
      <c r="C2337" t="s">
        <v>1028</v>
      </c>
      <c r="D2337" t="s">
        <v>1707</v>
      </c>
      <c r="E2337" t="s">
        <v>179</v>
      </c>
      <c r="F2337" t="s">
        <v>201</v>
      </c>
      <c r="G2337" t="s">
        <v>119</v>
      </c>
      <c r="H2337" t="s">
        <v>125</v>
      </c>
      <c r="I2337">
        <v>2016</v>
      </c>
      <c r="J2337" t="s">
        <v>215</v>
      </c>
      <c r="K2337" t="s">
        <v>127</v>
      </c>
      <c r="L2337" t="s">
        <v>2580</v>
      </c>
      <c r="M2337" t="s">
        <v>2596</v>
      </c>
      <c r="N2337">
        <v>0</v>
      </c>
      <c r="O2337">
        <v>2020</v>
      </c>
      <c r="P2337">
        <v>10395.03611176889</v>
      </c>
      <c r="Q2337">
        <v>17.168943682756151</v>
      </c>
      <c r="R2337" t="s">
        <v>109</v>
      </c>
      <c r="S2337">
        <v>605.45577548892982</v>
      </c>
      <c r="T2337">
        <v>4.5</v>
      </c>
      <c r="U2337" t="s">
        <v>184</v>
      </c>
      <c r="V2337">
        <v>4.5</v>
      </c>
      <c r="W2337">
        <v>8</v>
      </c>
      <c r="X2337">
        <v>20.8</v>
      </c>
      <c r="Y2337">
        <v>15</v>
      </c>
      <c r="Z2337">
        <v>9.1249964693936397E-2</v>
      </c>
      <c r="AA2337">
        <v>31.536000000000001</v>
      </c>
    </row>
    <row r="2338" spans="1:27" x14ac:dyDescent="0.25">
      <c r="A2338" t="s">
        <v>98</v>
      </c>
      <c r="B2338" t="s">
        <v>519</v>
      </c>
      <c r="C2338" t="s">
        <v>1028</v>
      </c>
      <c r="D2338" t="s">
        <v>1707</v>
      </c>
      <c r="E2338" t="s">
        <v>179</v>
      </c>
      <c r="F2338" t="s">
        <v>201</v>
      </c>
      <c r="G2338" t="s">
        <v>119</v>
      </c>
      <c r="H2338" t="s">
        <v>125</v>
      </c>
      <c r="I2338">
        <v>2020</v>
      </c>
      <c r="J2338" t="s">
        <v>217</v>
      </c>
      <c r="K2338" t="s">
        <v>127</v>
      </c>
      <c r="L2338" t="s">
        <v>2580</v>
      </c>
      <c r="M2338" t="s">
        <v>2596</v>
      </c>
      <c r="N2338">
        <v>1</v>
      </c>
      <c r="O2338">
        <v>2020</v>
      </c>
      <c r="P2338">
        <v>10395.03611176889</v>
      </c>
      <c r="Q2338">
        <v>17.168943682756151</v>
      </c>
      <c r="R2338" t="s">
        <v>109</v>
      </c>
      <c r="S2338">
        <v>605.45577548892982</v>
      </c>
      <c r="T2338">
        <v>4.5</v>
      </c>
      <c r="U2338" t="s">
        <v>184</v>
      </c>
      <c r="V2338">
        <v>4.5</v>
      </c>
      <c r="W2338">
        <v>8</v>
      </c>
      <c r="X2338">
        <v>20.8</v>
      </c>
      <c r="Y2338">
        <v>15</v>
      </c>
      <c r="Z2338">
        <v>9.1249964693936397E-2</v>
      </c>
      <c r="AA2338">
        <v>31.536000000000001</v>
      </c>
    </row>
    <row r="2339" spans="1:27" x14ac:dyDescent="0.25">
      <c r="A2339" t="s">
        <v>98</v>
      </c>
      <c r="B2339" t="s">
        <v>519</v>
      </c>
      <c r="C2339" t="s">
        <v>1028</v>
      </c>
      <c r="D2339" t="s">
        <v>1707</v>
      </c>
      <c r="E2339" t="s">
        <v>179</v>
      </c>
      <c r="F2339" t="s">
        <v>201</v>
      </c>
      <c r="G2339" t="s">
        <v>119</v>
      </c>
      <c r="H2339" t="s">
        <v>125</v>
      </c>
      <c r="I2339">
        <v>2022</v>
      </c>
      <c r="J2339" t="s">
        <v>218</v>
      </c>
      <c r="K2339" t="s">
        <v>127</v>
      </c>
      <c r="L2339" t="s">
        <v>2580</v>
      </c>
      <c r="M2339" t="s">
        <v>2597</v>
      </c>
      <c r="N2339">
        <v>1</v>
      </c>
      <c r="O2339">
        <v>2022</v>
      </c>
      <c r="P2339">
        <v>10395.03611176889</v>
      </c>
      <c r="Q2339">
        <v>17.168943682756151</v>
      </c>
      <c r="R2339" t="s">
        <v>109</v>
      </c>
      <c r="S2339">
        <v>605.45577548892982</v>
      </c>
      <c r="T2339">
        <v>4.5</v>
      </c>
      <c r="U2339" t="s">
        <v>184</v>
      </c>
      <c r="V2339">
        <v>4.5</v>
      </c>
      <c r="W2339">
        <v>8</v>
      </c>
      <c r="X2339">
        <v>20.8</v>
      </c>
      <c r="Y2339">
        <v>15</v>
      </c>
      <c r="Z2339">
        <v>9.1249964693936397E-2</v>
      </c>
      <c r="AA2339">
        <v>31.536000000000001</v>
      </c>
    </row>
    <row r="2340" spans="1:27" x14ac:dyDescent="0.25">
      <c r="A2340" t="s">
        <v>98</v>
      </c>
      <c r="B2340" t="s">
        <v>519</v>
      </c>
      <c r="C2340" t="s">
        <v>1028</v>
      </c>
      <c r="D2340" t="s">
        <v>1707</v>
      </c>
      <c r="E2340" t="s">
        <v>179</v>
      </c>
      <c r="F2340" t="s">
        <v>201</v>
      </c>
      <c r="G2340" t="s">
        <v>119</v>
      </c>
      <c r="H2340" t="s">
        <v>125</v>
      </c>
      <c r="I2340">
        <v>2023</v>
      </c>
      <c r="J2340" t="s">
        <v>220</v>
      </c>
      <c r="K2340" t="s">
        <v>127</v>
      </c>
      <c r="L2340" t="s">
        <v>2580</v>
      </c>
      <c r="M2340" t="s">
        <v>2598</v>
      </c>
      <c r="N2340">
        <v>1</v>
      </c>
      <c r="O2340">
        <v>2023</v>
      </c>
      <c r="P2340">
        <v>10395.03611176889</v>
      </c>
      <c r="Q2340">
        <v>17.168943682756151</v>
      </c>
      <c r="R2340" t="s">
        <v>109</v>
      </c>
      <c r="S2340">
        <v>605.45577548892982</v>
      </c>
      <c r="T2340">
        <v>4.5</v>
      </c>
      <c r="U2340" t="s">
        <v>184</v>
      </c>
      <c r="V2340">
        <v>4.5</v>
      </c>
      <c r="W2340">
        <v>8</v>
      </c>
      <c r="X2340">
        <v>20.8</v>
      </c>
      <c r="Y2340">
        <v>15</v>
      </c>
      <c r="Z2340">
        <v>9.1249964693936397E-2</v>
      </c>
      <c r="AA2340">
        <v>31.536000000000001</v>
      </c>
    </row>
    <row r="2341" spans="1:27" x14ac:dyDescent="0.25">
      <c r="A2341" t="s">
        <v>98</v>
      </c>
      <c r="B2341" t="s">
        <v>519</v>
      </c>
      <c r="C2341" t="s">
        <v>1028</v>
      </c>
      <c r="D2341" t="s">
        <v>1707</v>
      </c>
      <c r="E2341" t="s">
        <v>179</v>
      </c>
      <c r="F2341" t="s">
        <v>201</v>
      </c>
      <c r="G2341" t="s">
        <v>119</v>
      </c>
      <c r="H2341" t="s">
        <v>125</v>
      </c>
      <c r="I2341">
        <v>2024</v>
      </c>
      <c r="J2341" t="s">
        <v>222</v>
      </c>
      <c r="K2341" t="s">
        <v>127</v>
      </c>
      <c r="L2341" t="s">
        <v>2580</v>
      </c>
      <c r="M2341" t="s">
        <v>2599</v>
      </c>
      <c r="N2341">
        <v>1</v>
      </c>
      <c r="O2341">
        <v>2024</v>
      </c>
      <c r="P2341">
        <v>10395.03611176889</v>
      </c>
      <c r="Q2341">
        <v>17.168943682756151</v>
      </c>
      <c r="R2341" t="s">
        <v>109</v>
      </c>
      <c r="S2341">
        <v>605.45577548892982</v>
      </c>
      <c r="T2341">
        <v>4.5</v>
      </c>
      <c r="U2341" t="s">
        <v>184</v>
      </c>
      <c r="V2341">
        <v>4.5</v>
      </c>
      <c r="W2341">
        <v>8</v>
      </c>
      <c r="X2341">
        <v>20.8</v>
      </c>
      <c r="Y2341">
        <v>15</v>
      </c>
      <c r="Z2341">
        <v>9.1249964693936397E-2</v>
      </c>
      <c r="AA2341">
        <v>31.536000000000001</v>
      </c>
    </row>
    <row r="2342" spans="1:27" x14ac:dyDescent="0.25">
      <c r="A2342" t="s">
        <v>98</v>
      </c>
      <c r="B2342" t="s">
        <v>519</v>
      </c>
      <c r="C2342" t="s">
        <v>1028</v>
      </c>
      <c r="D2342" t="s">
        <v>1707</v>
      </c>
      <c r="E2342" t="s">
        <v>179</v>
      </c>
      <c r="F2342" t="s">
        <v>224</v>
      </c>
      <c r="G2342" t="s">
        <v>111</v>
      </c>
      <c r="H2342" t="s">
        <v>125</v>
      </c>
      <c r="I2342">
        <v>2016</v>
      </c>
      <c r="J2342" t="s">
        <v>225</v>
      </c>
      <c r="K2342" t="s">
        <v>127</v>
      </c>
      <c r="L2342" t="s">
        <v>2580</v>
      </c>
      <c r="M2342" t="s">
        <v>2600</v>
      </c>
      <c r="N2342">
        <v>1</v>
      </c>
      <c r="O2342">
        <v>2020</v>
      </c>
      <c r="P2342">
        <v>1341.294982163728</v>
      </c>
      <c r="Q2342">
        <v>17.168943682756151</v>
      </c>
      <c r="R2342" t="s">
        <v>109</v>
      </c>
      <c r="S2342">
        <v>78.123325869539329</v>
      </c>
      <c r="T2342">
        <v>0.98</v>
      </c>
      <c r="U2342" t="s">
        <v>227</v>
      </c>
      <c r="V2342">
        <v>0.98</v>
      </c>
      <c r="W2342">
        <v>15</v>
      </c>
      <c r="X2342">
        <v>30</v>
      </c>
      <c r="Y2342">
        <v>23</v>
      </c>
      <c r="Z2342">
        <v>9.1249964693936397E-2</v>
      </c>
      <c r="AA2342">
        <v>31.536000000000001</v>
      </c>
    </row>
    <row r="2343" spans="1:27" x14ac:dyDescent="0.25">
      <c r="A2343" t="s">
        <v>98</v>
      </c>
      <c r="B2343" t="s">
        <v>519</v>
      </c>
      <c r="C2343" t="s">
        <v>1028</v>
      </c>
      <c r="D2343" t="s">
        <v>1707</v>
      </c>
      <c r="E2343" t="s">
        <v>179</v>
      </c>
      <c r="F2343" t="s">
        <v>228</v>
      </c>
      <c r="G2343" t="s">
        <v>103</v>
      </c>
      <c r="H2343" t="s">
        <v>104</v>
      </c>
      <c r="I2343">
        <v>2016</v>
      </c>
      <c r="J2343" t="s">
        <v>229</v>
      </c>
      <c r="K2343" t="s">
        <v>106</v>
      </c>
      <c r="L2343" t="s">
        <v>2580</v>
      </c>
      <c r="M2343" t="s">
        <v>2601</v>
      </c>
      <c r="N2343">
        <v>1</v>
      </c>
      <c r="O2343">
        <v>2020</v>
      </c>
      <c r="P2343">
        <v>2499.6861031233111</v>
      </c>
      <c r="Q2343">
        <v>17.168943682756151</v>
      </c>
      <c r="R2343" t="s">
        <v>109</v>
      </c>
      <c r="S2343">
        <v>145.59347093868689</v>
      </c>
      <c r="T2343">
        <v>0.8</v>
      </c>
      <c r="U2343" t="s">
        <v>227</v>
      </c>
      <c r="V2343">
        <v>0.8</v>
      </c>
      <c r="W2343">
        <v>16</v>
      </c>
      <c r="X2343">
        <v>27</v>
      </c>
      <c r="Y2343">
        <v>22</v>
      </c>
      <c r="Z2343">
        <v>9.1249964693936397E-2</v>
      </c>
      <c r="AA2343">
        <v>31.536000000000001</v>
      </c>
    </row>
    <row r="2344" spans="1:27" x14ac:dyDescent="0.25">
      <c r="A2344" t="s">
        <v>98</v>
      </c>
      <c r="B2344" t="s">
        <v>519</v>
      </c>
      <c r="C2344" t="s">
        <v>1028</v>
      </c>
      <c r="D2344" t="s">
        <v>1707</v>
      </c>
      <c r="E2344" t="s">
        <v>179</v>
      </c>
      <c r="F2344" t="s">
        <v>228</v>
      </c>
      <c r="G2344" t="s">
        <v>111</v>
      </c>
      <c r="H2344" t="s">
        <v>104</v>
      </c>
      <c r="I2344">
        <v>2016</v>
      </c>
      <c r="J2344" t="s">
        <v>231</v>
      </c>
      <c r="K2344" t="s">
        <v>106</v>
      </c>
      <c r="L2344" t="s">
        <v>2580</v>
      </c>
      <c r="M2344" t="s">
        <v>2602</v>
      </c>
      <c r="N2344">
        <v>0</v>
      </c>
      <c r="O2344">
        <v>2020</v>
      </c>
      <c r="P2344">
        <v>3182.5271849521182</v>
      </c>
      <c r="Q2344">
        <v>17.168943682756151</v>
      </c>
      <c r="R2344" t="s">
        <v>109</v>
      </c>
      <c r="S2344">
        <v>185.36534592681599</v>
      </c>
      <c r="T2344">
        <v>0.92</v>
      </c>
      <c r="U2344" t="s">
        <v>227</v>
      </c>
      <c r="V2344">
        <v>0.92</v>
      </c>
      <c r="W2344">
        <v>16</v>
      </c>
      <c r="X2344">
        <v>27</v>
      </c>
      <c r="Y2344">
        <v>22</v>
      </c>
      <c r="Z2344">
        <v>9.1249964693936397E-2</v>
      </c>
      <c r="AA2344">
        <v>31.536000000000001</v>
      </c>
    </row>
    <row r="2345" spans="1:27" x14ac:dyDescent="0.25">
      <c r="A2345" t="s">
        <v>98</v>
      </c>
      <c r="B2345" t="s">
        <v>519</v>
      </c>
      <c r="C2345" t="s">
        <v>1028</v>
      </c>
      <c r="D2345" t="s">
        <v>1707</v>
      </c>
      <c r="E2345" t="s">
        <v>179</v>
      </c>
      <c r="F2345" t="s">
        <v>228</v>
      </c>
      <c r="G2345" t="s">
        <v>111</v>
      </c>
      <c r="H2345" t="s">
        <v>104</v>
      </c>
      <c r="I2345">
        <v>2020</v>
      </c>
      <c r="J2345" t="s">
        <v>233</v>
      </c>
      <c r="K2345" t="s">
        <v>106</v>
      </c>
      <c r="L2345" t="s">
        <v>2580</v>
      </c>
      <c r="M2345" t="s">
        <v>2602</v>
      </c>
      <c r="N2345">
        <v>1</v>
      </c>
      <c r="O2345">
        <v>2020</v>
      </c>
      <c r="P2345">
        <v>3365.4310461562618</v>
      </c>
      <c r="Q2345">
        <v>17.168943682756151</v>
      </c>
      <c r="R2345" t="s">
        <v>109</v>
      </c>
      <c r="S2345">
        <v>196.01852672720781</v>
      </c>
      <c r="T2345">
        <v>0.92</v>
      </c>
      <c r="U2345" t="s">
        <v>227</v>
      </c>
      <c r="V2345">
        <v>0.92</v>
      </c>
      <c r="W2345">
        <v>16</v>
      </c>
      <c r="X2345">
        <v>27</v>
      </c>
      <c r="Y2345">
        <v>22</v>
      </c>
      <c r="Z2345">
        <v>9.1249964693936397E-2</v>
      </c>
      <c r="AA2345">
        <v>31.536000000000001</v>
      </c>
    </row>
    <row r="2346" spans="1:27" x14ac:dyDescent="0.25">
      <c r="A2346" t="s">
        <v>98</v>
      </c>
      <c r="B2346" t="s">
        <v>519</v>
      </c>
      <c r="C2346" t="s">
        <v>1028</v>
      </c>
      <c r="D2346" t="s">
        <v>1707</v>
      </c>
      <c r="E2346" t="s">
        <v>179</v>
      </c>
      <c r="F2346" t="s">
        <v>228</v>
      </c>
      <c r="G2346" t="s">
        <v>114</v>
      </c>
      <c r="H2346" t="s">
        <v>104</v>
      </c>
      <c r="I2346">
        <v>2016</v>
      </c>
      <c r="J2346" t="s">
        <v>234</v>
      </c>
      <c r="K2346" t="s">
        <v>106</v>
      </c>
      <c r="L2346" t="s">
        <v>2580</v>
      </c>
      <c r="M2346" t="s">
        <v>2603</v>
      </c>
      <c r="N2346">
        <v>1</v>
      </c>
      <c r="O2346">
        <v>2020</v>
      </c>
      <c r="P2346">
        <v>3341.043864662377</v>
      </c>
      <c r="Q2346">
        <v>17.168943682756151</v>
      </c>
      <c r="R2346" t="s">
        <v>109</v>
      </c>
      <c r="S2346">
        <v>194.5981026204889</v>
      </c>
      <c r="T2346">
        <v>0.95</v>
      </c>
      <c r="U2346" t="s">
        <v>227</v>
      </c>
      <c r="V2346">
        <v>0.95</v>
      </c>
      <c r="W2346">
        <v>16</v>
      </c>
      <c r="X2346">
        <v>27</v>
      </c>
      <c r="Y2346">
        <v>22</v>
      </c>
      <c r="Z2346">
        <v>9.1249964693936397E-2</v>
      </c>
      <c r="AA2346">
        <v>31.536000000000001</v>
      </c>
    </row>
    <row r="2347" spans="1:27" x14ac:dyDescent="0.25">
      <c r="A2347" t="s">
        <v>98</v>
      </c>
      <c r="B2347" t="s">
        <v>519</v>
      </c>
      <c r="C2347" t="s">
        <v>1028</v>
      </c>
      <c r="D2347" t="s">
        <v>1707</v>
      </c>
      <c r="E2347" t="s">
        <v>179</v>
      </c>
      <c r="F2347" t="s">
        <v>228</v>
      </c>
      <c r="G2347" t="s">
        <v>114</v>
      </c>
      <c r="H2347" t="s">
        <v>104</v>
      </c>
      <c r="I2347">
        <v>2022</v>
      </c>
      <c r="J2347" t="s">
        <v>236</v>
      </c>
      <c r="K2347" t="s">
        <v>106</v>
      </c>
      <c r="L2347" t="s">
        <v>2580</v>
      </c>
      <c r="M2347" t="s">
        <v>2604</v>
      </c>
      <c r="N2347">
        <v>1</v>
      </c>
      <c r="O2347">
        <v>2022</v>
      </c>
      <c r="P2347">
        <v>3341.043864662377</v>
      </c>
      <c r="Q2347">
        <v>17.168943682756151</v>
      </c>
      <c r="R2347" t="s">
        <v>109</v>
      </c>
      <c r="S2347">
        <v>194.5981026204889</v>
      </c>
      <c r="T2347">
        <v>0.95</v>
      </c>
      <c r="U2347" t="s">
        <v>227</v>
      </c>
      <c r="V2347">
        <v>0.95</v>
      </c>
      <c r="W2347">
        <v>16</v>
      </c>
      <c r="X2347">
        <v>27</v>
      </c>
      <c r="Y2347">
        <v>22</v>
      </c>
      <c r="Z2347">
        <v>9.1249964693936397E-2</v>
      </c>
      <c r="AA2347">
        <v>31.536000000000001</v>
      </c>
    </row>
    <row r="2348" spans="1:27" x14ac:dyDescent="0.25">
      <c r="A2348" t="s">
        <v>98</v>
      </c>
      <c r="B2348" t="s">
        <v>519</v>
      </c>
      <c r="C2348" t="s">
        <v>1028</v>
      </c>
      <c r="D2348" t="s">
        <v>1707</v>
      </c>
      <c r="E2348" t="s">
        <v>179</v>
      </c>
      <c r="F2348" t="s">
        <v>228</v>
      </c>
      <c r="G2348" t="s">
        <v>119</v>
      </c>
      <c r="H2348" t="s">
        <v>104</v>
      </c>
      <c r="I2348">
        <v>2016</v>
      </c>
      <c r="J2348" t="s">
        <v>238</v>
      </c>
      <c r="K2348" t="s">
        <v>106</v>
      </c>
      <c r="L2348" t="s">
        <v>2580</v>
      </c>
      <c r="M2348" t="s">
        <v>2605</v>
      </c>
      <c r="N2348">
        <v>1</v>
      </c>
      <c r="O2348">
        <v>2020</v>
      </c>
      <c r="P2348">
        <v>3706.851587070666</v>
      </c>
      <c r="Q2348">
        <v>17.168943682756151</v>
      </c>
      <c r="R2348" t="s">
        <v>109</v>
      </c>
      <c r="S2348">
        <v>215.90446422127229</v>
      </c>
      <c r="T2348">
        <v>0.99</v>
      </c>
      <c r="U2348" t="s">
        <v>227</v>
      </c>
      <c r="V2348">
        <v>0.99</v>
      </c>
      <c r="W2348">
        <v>16</v>
      </c>
      <c r="X2348">
        <v>27</v>
      </c>
      <c r="Y2348">
        <v>22</v>
      </c>
      <c r="Z2348">
        <v>9.1249964693936397E-2</v>
      </c>
      <c r="AA2348">
        <v>31.536000000000001</v>
      </c>
    </row>
    <row r="2349" spans="1:27" x14ac:dyDescent="0.25">
      <c r="A2349" t="s">
        <v>98</v>
      </c>
      <c r="B2349" t="s">
        <v>519</v>
      </c>
      <c r="C2349" t="s">
        <v>1028</v>
      </c>
      <c r="D2349" t="s">
        <v>1707</v>
      </c>
      <c r="E2349" t="s">
        <v>179</v>
      </c>
      <c r="F2349" t="s">
        <v>228</v>
      </c>
      <c r="G2349" t="s">
        <v>119</v>
      </c>
      <c r="H2349" t="s">
        <v>104</v>
      </c>
      <c r="I2349">
        <v>2022</v>
      </c>
      <c r="J2349" t="s">
        <v>240</v>
      </c>
      <c r="K2349" t="s">
        <v>106</v>
      </c>
      <c r="L2349" t="s">
        <v>2580</v>
      </c>
      <c r="M2349" t="s">
        <v>2606</v>
      </c>
      <c r="N2349">
        <v>1</v>
      </c>
      <c r="O2349">
        <v>2022</v>
      </c>
      <c r="P2349">
        <v>3706.851587070666</v>
      </c>
      <c r="Q2349">
        <v>17.168943682756151</v>
      </c>
      <c r="R2349" t="s">
        <v>109</v>
      </c>
      <c r="S2349">
        <v>215.90446422127229</v>
      </c>
      <c r="T2349">
        <v>0.99</v>
      </c>
      <c r="U2349" t="s">
        <v>227</v>
      </c>
      <c r="V2349">
        <v>0.99</v>
      </c>
      <c r="W2349">
        <v>16</v>
      </c>
      <c r="X2349">
        <v>27</v>
      </c>
      <c r="Y2349">
        <v>22</v>
      </c>
      <c r="Z2349">
        <v>9.1249964693936397E-2</v>
      </c>
      <c r="AA2349">
        <v>31.536000000000001</v>
      </c>
    </row>
    <row r="2350" spans="1:27" x14ac:dyDescent="0.25">
      <c r="A2350" t="s">
        <v>98</v>
      </c>
      <c r="B2350" t="s">
        <v>519</v>
      </c>
      <c r="C2350" t="s">
        <v>1028</v>
      </c>
      <c r="D2350" t="s">
        <v>1707</v>
      </c>
      <c r="E2350" t="s">
        <v>179</v>
      </c>
      <c r="F2350" t="s">
        <v>224</v>
      </c>
      <c r="G2350" t="s">
        <v>103</v>
      </c>
      <c r="H2350" t="s">
        <v>104</v>
      </c>
      <c r="I2350">
        <v>2016</v>
      </c>
      <c r="J2350" t="s">
        <v>242</v>
      </c>
      <c r="K2350" t="s">
        <v>106</v>
      </c>
      <c r="L2350" t="s">
        <v>2580</v>
      </c>
      <c r="M2350" t="s">
        <v>2607</v>
      </c>
      <c r="N2350">
        <v>1</v>
      </c>
      <c r="O2350">
        <v>2020</v>
      </c>
      <c r="P2350">
        <v>8748.901360931588</v>
      </c>
      <c r="Q2350">
        <v>17.168943682756151</v>
      </c>
      <c r="R2350" t="s">
        <v>109</v>
      </c>
      <c r="S2350">
        <v>509.57714828540429</v>
      </c>
      <c r="T2350">
        <v>0.82</v>
      </c>
      <c r="U2350" t="s">
        <v>227</v>
      </c>
      <c r="V2350">
        <v>0.82</v>
      </c>
      <c r="W2350">
        <v>20</v>
      </c>
      <c r="X2350">
        <v>30</v>
      </c>
      <c r="Y2350">
        <v>26</v>
      </c>
      <c r="Z2350">
        <v>9.1249964693936397E-2</v>
      </c>
      <c r="AA2350">
        <v>31.536000000000001</v>
      </c>
    </row>
    <row r="2351" spans="1:27" x14ac:dyDescent="0.25">
      <c r="A2351" t="s">
        <v>98</v>
      </c>
      <c r="B2351" t="s">
        <v>519</v>
      </c>
      <c r="C2351" t="s">
        <v>1028</v>
      </c>
      <c r="D2351" t="s">
        <v>1707</v>
      </c>
      <c r="E2351" t="s">
        <v>179</v>
      </c>
      <c r="F2351" t="s">
        <v>224</v>
      </c>
      <c r="G2351" t="s">
        <v>103</v>
      </c>
      <c r="H2351" t="s">
        <v>104</v>
      </c>
      <c r="I2351">
        <v>2021</v>
      </c>
      <c r="J2351" t="s">
        <v>244</v>
      </c>
      <c r="K2351" t="s">
        <v>106</v>
      </c>
      <c r="L2351" t="s">
        <v>2580</v>
      </c>
      <c r="M2351" t="s">
        <v>2608</v>
      </c>
      <c r="N2351">
        <v>1</v>
      </c>
      <c r="O2351">
        <v>2021</v>
      </c>
      <c r="P2351">
        <v>8962.2891990030894</v>
      </c>
      <c r="Q2351">
        <v>17.168943682756151</v>
      </c>
      <c r="R2351" t="s">
        <v>109</v>
      </c>
      <c r="S2351">
        <v>522.00585921919458</v>
      </c>
      <c r="T2351">
        <v>0.84</v>
      </c>
      <c r="U2351" t="s">
        <v>227</v>
      </c>
      <c r="V2351">
        <v>0.84</v>
      </c>
      <c r="W2351">
        <v>20</v>
      </c>
      <c r="X2351">
        <v>30</v>
      </c>
      <c r="Y2351">
        <v>26</v>
      </c>
      <c r="Z2351">
        <v>9.1249964693936397E-2</v>
      </c>
      <c r="AA2351">
        <v>31.536000000000001</v>
      </c>
    </row>
    <row r="2352" spans="1:27" x14ac:dyDescent="0.25">
      <c r="A2352" t="s">
        <v>98</v>
      </c>
      <c r="B2352" t="s">
        <v>519</v>
      </c>
      <c r="C2352" t="s">
        <v>1028</v>
      </c>
      <c r="D2352" t="s">
        <v>1707</v>
      </c>
      <c r="E2352" t="s">
        <v>179</v>
      </c>
      <c r="F2352" t="s">
        <v>224</v>
      </c>
      <c r="G2352" t="s">
        <v>111</v>
      </c>
      <c r="H2352" t="s">
        <v>104</v>
      </c>
      <c r="I2352">
        <v>2016</v>
      </c>
      <c r="J2352" t="s">
        <v>246</v>
      </c>
      <c r="K2352" t="s">
        <v>106</v>
      </c>
      <c r="L2352" t="s">
        <v>2580</v>
      </c>
      <c r="M2352" t="s">
        <v>2609</v>
      </c>
      <c r="N2352">
        <v>0</v>
      </c>
      <c r="O2352">
        <v>2020</v>
      </c>
      <c r="P2352">
        <v>8748.901360931588</v>
      </c>
      <c r="Q2352">
        <v>17.168943682756151</v>
      </c>
      <c r="R2352" t="s">
        <v>109</v>
      </c>
      <c r="S2352">
        <v>509.57714828540429</v>
      </c>
      <c r="T2352">
        <v>0.82</v>
      </c>
      <c r="U2352" t="s">
        <v>227</v>
      </c>
      <c r="V2352">
        <v>0.82</v>
      </c>
      <c r="W2352">
        <v>20</v>
      </c>
      <c r="X2352">
        <v>30</v>
      </c>
      <c r="Y2352">
        <v>26</v>
      </c>
      <c r="Z2352">
        <v>9.1249964693936397E-2</v>
      </c>
      <c r="AA2352">
        <v>31.536000000000001</v>
      </c>
    </row>
    <row r="2353" spans="1:27" x14ac:dyDescent="0.25">
      <c r="A2353" t="s">
        <v>98</v>
      </c>
      <c r="B2353" t="s">
        <v>519</v>
      </c>
      <c r="C2353" t="s">
        <v>1028</v>
      </c>
      <c r="D2353" t="s">
        <v>1707</v>
      </c>
      <c r="E2353" t="s">
        <v>179</v>
      </c>
      <c r="F2353" t="s">
        <v>224</v>
      </c>
      <c r="G2353" t="s">
        <v>111</v>
      </c>
      <c r="H2353" t="s">
        <v>104</v>
      </c>
      <c r="I2353">
        <v>2020</v>
      </c>
      <c r="J2353" t="s">
        <v>248</v>
      </c>
      <c r="K2353" t="s">
        <v>106</v>
      </c>
      <c r="L2353" t="s">
        <v>2580</v>
      </c>
      <c r="M2353" t="s">
        <v>2609</v>
      </c>
      <c r="N2353">
        <v>1</v>
      </c>
      <c r="O2353">
        <v>2020</v>
      </c>
      <c r="P2353">
        <v>9602.4527132175954</v>
      </c>
      <c r="Q2353">
        <v>17.168943682756151</v>
      </c>
      <c r="R2353" t="s">
        <v>109</v>
      </c>
      <c r="S2353">
        <v>559.29199202056566</v>
      </c>
      <c r="T2353">
        <v>0.9</v>
      </c>
      <c r="U2353" t="s">
        <v>227</v>
      </c>
      <c r="V2353">
        <v>0.9</v>
      </c>
      <c r="W2353">
        <v>20</v>
      </c>
      <c r="X2353">
        <v>30</v>
      </c>
      <c r="Y2353">
        <v>26</v>
      </c>
      <c r="Z2353">
        <v>9.1249964693936397E-2</v>
      </c>
      <c r="AA2353">
        <v>31.536000000000001</v>
      </c>
    </row>
    <row r="2354" spans="1:27" x14ac:dyDescent="0.25">
      <c r="A2354" t="s">
        <v>98</v>
      </c>
      <c r="B2354" t="s">
        <v>519</v>
      </c>
      <c r="C2354" t="s">
        <v>1028</v>
      </c>
      <c r="D2354" t="s">
        <v>1707</v>
      </c>
      <c r="E2354" t="s">
        <v>179</v>
      </c>
      <c r="F2354" t="s">
        <v>224</v>
      </c>
      <c r="G2354" t="s">
        <v>114</v>
      </c>
      <c r="H2354" t="s">
        <v>104</v>
      </c>
      <c r="I2354">
        <v>2016</v>
      </c>
      <c r="J2354" t="s">
        <v>249</v>
      </c>
      <c r="K2354" t="s">
        <v>106</v>
      </c>
      <c r="L2354" t="s">
        <v>2580</v>
      </c>
      <c r="M2354" t="s">
        <v>2610</v>
      </c>
      <c r="N2354">
        <v>1</v>
      </c>
      <c r="O2354">
        <v>2020</v>
      </c>
      <c r="P2354">
        <v>9602.4527132175954</v>
      </c>
      <c r="Q2354">
        <v>17.168943682756151</v>
      </c>
      <c r="R2354" t="s">
        <v>109</v>
      </c>
      <c r="S2354">
        <v>559.29199202056566</v>
      </c>
      <c r="T2354">
        <v>0.9</v>
      </c>
      <c r="U2354" t="s">
        <v>227</v>
      </c>
      <c r="V2354">
        <v>0.9</v>
      </c>
      <c r="W2354">
        <v>20</v>
      </c>
      <c r="X2354">
        <v>30</v>
      </c>
      <c r="Y2354">
        <v>26</v>
      </c>
      <c r="Z2354">
        <v>9.1249964693936397E-2</v>
      </c>
      <c r="AA2354">
        <v>31.536000000000001</v>
      </c>
    </row>
    <row r="2355" spans="1:27" x14ac:dyDescent="0.25">
      <c r="A2355" t="s">
        <v>98</v>
      </c>
      <c r="B2355" t="s">
        <v>519</v>
      </c>
      <c r="C2355" t="s">
        <v>1028</v>
      </c>
      <c r="D2355" t="s">
        <v>1707</v>
      </c>
      <c r="E2355" t="s">
        <v>179</v>
      </c>
      <c r="F2355" t="s">
        <v>224</v>
      </c>
      <c r="G2355" t="s">
        <v>119</v>
      </c>
      <c r="H2355" t="s">
        <v>104</v>
      </c>
      <c r="I2355">
        <v>2016</v>
      </c>
      <c r="J2355" t="s">
        <v>251</v>
      </c>
      <c r="K2355" t="s">
        <v>106</v>
      </c>
      <c r="L2355" t="s">
        <v>2580</v>
      </c>
      <c r="M2355" t="s">
        <v>2611</v>
      </c>
      <c r="N2355">
        <v>1</v>
      </c>
      <c r="O2355">
        <v>2020</v>
      </c>
      <c r="P2355">
        <v>10882.779741646609</v>
      </c>
      <c r="Q2355">
        <v>17.168943682756151</v>
      </c>
      <c r="R2355" t="s">
        <v>109</v>
      </c>
      <c r="S2355">
        <v>633.86425762330771</v>
      </c>
      <c r="T2355">
        <v>0.97</v>
      </c>
      <c r="U2355" t="s">
        <v>227</v>
      </c>
      <c r="V2355">
        <v>0.97</v>
      </c>
      <c r="W2355">
        <v>20</v>
      </c>
      <c r="X2355">
        <v>30</v>
      </c>
      <c r="Y2355">
        <v>26</v>
      </c>
      <c r="Z2355">
        <v>9.1249964693936397E-2</v>
      </c>
      <c r="AA2355">
        <v>31.536000000000001</v>
      </c>
    </row>
    <row r="2356" spans="1:27" x14ac:dyDescent="0.25">
      <c r="A2356" t="s">
        <v>98</v>
      </c>
      <c r="B2356" t="s">
        <v>519</v>
      </c>
      <c r="C2356" t="s">
        <v>1028</v>
      </c>
      <c r="D2356" t="s">
        <v>1707</v>
      </c>
      <c r="E2356" t="s">
        <v>179</v>
      </c>
      <c r="F2356" t="s">
        <v>224</v>
      </c>
      <c r="G2356" t="s">
        <v>119</v>
      </c>
      <c r="H2356" t="s">
        <v>104</v>
      </c>
      <c r="I2356">
        <v>2022</v>
      </c>
      <c r="J2356" t="s">
        <v>253</v>
      </c>
      <c r="K2356" t="s">
        <v>106</v>
      </c>
      <c r="L2356" t="s">
        <v>2580</v>
      </c>
      <c r="M2356" t="s">
        <v>2612</v>
      </c>
      <c r="N2356">
        <v>1</v>
      </c>
      <c r="O2356">
        <v>2022</v>
      </c>
      <c r="P2356">
        <v>10882.779741646609</v>
      </c>
      <c r="Q2356">
        <v>17.168943682756151</v>
      </c>
      <c r="R2356" t="s">
        <v>109</v>
      </c>
      <c r="S2356">
        <v>633.86425762330771</v>
      </c>
      <c r="T2356">
        <v>0.97</v>
      </c>
      <c r="U2356" t="s">
        <v>227</v>
      </c>
      <c r="V2356">
        <v>0.97</v>
      </c>
      <c r="W2356">
        <v>20</v>
      </c>
      <c r="X2356">
        <v>30</v>
      </c>
      <c r="Y2356">
        <v>26</v>
      </c>
      <c r="Z2356">
        <v>9.1249964693936397E-2</v>
      </c>
      <c r="AA2356">
        <v>31.536000000000001</v>
      </c>
    </row>
    <row r="2357" spans="1:27" x14ac:dyDescent="0.25">
      <c r="A2357" t="s">
        <v>98</v>
      </c>
      <c r="B2357" t="s">
        <v>519</v>
      </c>
      <c r="C2357" t="s">
        <v>1028</v>
      </c>
      <c r="D2357" t="s">
        <v>1707</v>
      </c>
      <c r="E2357" t="s">
        <v>179</v>
      </c>
      <c r="F2357" t="s">
        <v>228</v>
      </c>
      <c r="G2357" t="s">
        <v>103</v>
      </c>
      <c r="H2357" t="s">
        <v>255</v>
      </c>
      <c r="I2357">
        <v>2016</v>
      </c>
      <c r="J2357" t="s">
        <v>256</v>
      </c>
      <c r="K2357" t="s">
        <v>257</v>
      </c>
      <c r="L2357" t="s">
        <v>2580</v>
      </c>
      <c r="M2357" t="s">
        <v>2613</v>
      </c>
      <c r="N2357">
        <v>1</v>
      </c>
      <c r="O2357">
        <v>2020</v>
      </c>
      <c r="P2357">
        <v>5029.8561831139787</v>
      </c>
      <c r="Q2357">
        <v>17.168943682756151</v>
      </c>
      <c r="R2357" t="s">
        <v>109</v>
      </c>
      <c r="S2357">
        <v>292.96247201077239</v>
      </c>
      <c r="T2357">
        <v>0.83</v>
      </c>
      <c r="U2357" t="s">
        <v>227</v>
      </c>
      <c r="V2357">
        <v>0.83</v>
      </c>
      <c r="W2357">
        <v>19.7</v>
      </c>
      <c r="X2357">
        <v>33.1</v>
      </c>
      <c r="Y2357">
        <v>27</v>
      </c>
      <c r="Z2357">
        <v>9.1249964693936397E-2</v>
      </c>
      <c r="AA2357">
        <v>31.536000000000001</v>
      </c>
    </row>
    <row r="2358" spans="1:27" x14ac:dyDescent="0.25">
      <c r="A2358" t="s">
        <v>98</v>
      </c>
      <c r="B2358" t="s">
        <v>519</v>
      </c>
      <c r="C2358" t="s">
        <v>1028</v>
      </c>
      <c r="D2358" t="s">
        <v>1707</v>
      </c>
      <c r="E2358" t="s">
        <v>179</v>
      </c>
      <c r="F2358" t="s">
        <v>228</v>
      </c>
      <c r="G2358" t="s">
        <v>111</v>
      </c>
      <c r="H2358" t="s">
        <v>255</v>
      </c>
      <c r="I2358">
        <v>2016</v>
      </c>
      <c r="J2358" t="s">
        <v>259</v>
      </c>
      <c r="K2358" t="s">
        <v>257</v>
      </c>
      <c r="L2358" t="s">
        <v>2580</v>
      </c>
      <c r="M2358" t="s">
        <v>2614</v>
      </c>
      <c r="N2358">
        <v>0</v>
      </c>
      <c r="O2358">
        <v>2020</v>
      </c>
      <c r="P2358">
        <v>5029.8561831139787</v>
      </c>
      <c r="Q2358">
        <v>17.168943682756151</v>
      </c>
      <c r="R2358" t="s">
        <v>109</v>
      </c>
      <c r="S2358">
        <v>292.96247201077239</v>
      </c>
      <c r="T2358">
        <v>0.83</v>
      </c>
      <c r="U2358" t="s">
        <v>227</v>
      </c>
      <c r="V2358">
        <v>0.83</v>
      </c>
      <c r="W2358">
        <v>19.7</v>
      </c>
      <c r="X2358">
        <v>33.1</v>
      </c>
      <c r="Y2358">
        <v>27</v>
      </c>
      <c r="Z2358">
        <v>9.1249964693936397E-2</v>
      </c>
      <c r="AA2358">
        <v>31.536000000000001</v>
      </c>
    </row>
    <row r="2359" spans="1:27" x14ac:dyDescent="0.25">
      <c r="A2359" t="s">
        <v>98</v>
      </c>
      <c r="B2359" t="s">
        <v>519</v>
      </c>
      <c r="C2359" t="s">
        <v>1028</v>
      </c>
      <c r="D2359" t="s">
        <v>1707</v>
      </c>
      <c r="E2359" t="s">
        <v>179</v>
      </c>
      <c r="F2359" t="s">
        <v>228</v>
      </c>
      <c r="G2359" t="s">
        <v>111</v>
      </c>
      <c r="H2359" t="s">
        <v>255</v>
      </c>
      <c r="I2359">
        <v>2020</v>
      </c>
      <c r="J2359" t="s">
        <v>261</v>
      </c>
      <c r="K2359" t="s">
        <v>257</v>
      </c>
      <c r="L2359" t="s">
        <v>2580</v>
      </c>
      <c r="M2359" t="s">
        <v>2614</v>
      </c>
      <c r="N2359">
        <v>1</v>
      </c>
      <c r="O2359">
        <v>2020</v>
      </c>
      <c r="P2359">
        <v>5151.7920905834089</v>
      </c>
      <c r="Q2359">
        <v>17.168943682756151</v>
      </c>
      <c r="R2359" t="s">
        <v>109</v>
      </c>
      <c r="S2359">
        <v>300.06459254436697</v>
      </c>
      <c r="T2359">
        <v>0.84</v>
      </c>
      <c r="U2359" t="s">
        <v>227</v>
      </c>
      <c r="V2359">
        <v>0.84</v>
      </c>
      <c r="W2359">
        <v>19.7</v>
      </c>
      <c r="X2359">
        <v>33.1</v>
      </c>
      <c r="Y2359">
        <v>27</v>
      </c>
      <c r="Z2359">
        <v>9.1249964693936397E-2</v>
      </c>
      <c r="AA2359">
        <v>31.536000000000001</v>
      </c>
    </row>
    <row r="2360" spans="1:27" x14ac:dyDescent="0.25">
      <c r="A2360" t="s">
        <v>98</v>
      </c>
      <c r="B2360" t="s">
        <v>519</v>
      </c>
      <c r="C2360" t="s">
        <v>1028</v>
      </c>
      <c r="D2360" t="s">
        <v>1707</v>
      </c>
      <c r="E2360" t="s">
        <v>179</v>
      </c>
      <c r="F2360" t="s">
        <v>228</v>
      </c>
      <c r="G2360" t="s">
        <v>114</v>
      </c>
      <c r="H2360" t="s">
        <v>255</v>
      </c>
      <c r="I2360">
        <v>2016</v>
      </c>
      <c r="J2360" t="s">
        <v>262</v>
      </c>
      <c r="K2360" t="s">
        <v>257</v>
      </c>
      <c r="L2360" t="s">
        <v>2580</v>
      </c>
      <c r="M2360" t="s">
        <v>2615</v>
      </c>
      <c r="N2360">
        <v>1</v>
      </c>
      <c r="O2360">
        <v>2020</v>
      </c>
      <c r="P2360">
        <v>5304.2119749201956</v>
      </c>
      <c r="Q2360">
        <v>17.168943682756151</v>
      </c>
      <c r="R2360" t="s">
        <v>109</v>
      </c>
      <c r="S2360">
        <v>308.94224321136011</v>
      </c>
      <c r="T2360">
        <v>0.85</v>
      </c>
      <c r="U2360" t="s">
        <v>227</v>
      </c>
      <c r="V2360">
        <v>0.85</v>
      </c>
      <c r="W2360">
        <v>19.7</v>
      </c>
      <c r="X2360">
        <v>33.1</v>
      </c>
      <c r="Y2360">
        <v>27</v>
      </c>
      <c r="Z2360">
        <v>9.1249964693936397E-2</v>
      </c>
      <c r="AA2360">
        <v>31.536000000000001</v>
      </c>
    </row>
    <row r="2361" spans="1:27" x14ac:dyDescent="0.25">
      <c r="A2361" t="s">
        <v>98</v>
      </c>
      <c r="B2361" t="s">
        <v>519</v>
      </c>
      <c r="C2361" t="s">
        <v>1028</v>
      </c>
      <c r="D2361" t="s">
        <v>1707</v>
      </c>
      <c r="E2361" t="s">
        <v>179</v>
      </c>
      <c r="F2361" t="s">
        <v>228</v>
      </c>
      <c r="G2361" t="s">
        <v>119</v>
      </c>
      <c r="H2361" t="s">
        <v>255</v>
      </c>
      <c r="I2361">
        <v>2016</v>
      </c>
      <c r="J2361" t="s">
        <v>264</v>
      </c>
      <c r="K2361" t="s">
        <v>257</v>
      </c>
      <c r="L2361" t="s">
        <v>2580</v>
      </c>
      <c r="M2361" t="s">
        <v>2616</v>
      </c>
      <c r="N2361">
        <v>0</v>
      </c>
      <c r="O2361">
        <v>2020</v>
      </c>
      <c r="P2361">
        <v>7864.8660317782214</v>
      </c>
      <c r="Q2361">
        <v>17.168943682756151</v>
      </c>
      <c r="R2361" t="s">
        <v>109</v>
      </c>
      <c r="S2361">
        <v>458.08677441684432</v>
      </c>
      <c r="T2361">
        <v>0.97</v>
      </c>
      <c r="U2361" t="s">
        <v>227</v>
      </c>
      <c r="V2361">
        <v>0.97</v>
      </c>
      <c r="W2361">
        <v>19.7</v>
      </c>
      <c r="X2361">
        <v>33.1</v>
      </c>
      <c r="Y2361">
        <v>27</v>
      </c>
      <c r="Z2361">
        <v>9.1249964693936397E-2</v>
      </c>
      <c r="AA2361">
        <v>31.536000000000001</v>
      </c>
    </row>
    <row r="2362" spans="1:27" x14ac:dyDescent="0.25">
      <c r="A2362" t="s">
        <v>98</v>
      </c>
      <c r="B2362" t="s">
        <v>519</v>
      </c>
      <c r="C2362" t="s">
        <v>1028</v>
      </c>
      <c r="D2362" t="s">
        <v>1707</v>
      </c>
      <c r="E2362" t="s">
        <v>179</v>
      </c>
      <c r="F2362" t="s">
        <v>228</v>
      </c>
      <c r="G2362" t="s">
        <v>119</v>
      </c>
      <c r="H2362" t="s">
        <v>255</v>
      </c>
      <c r="I2362">
        <v>2020</v>
      </c>
      <c r="J2362" t="s">
        <v>266</v>
      </c>
      <c r="K2362" t="s">
        <v>257</v>
      </c>
      <c r="L2362" t="s">
        <v>2580</v>
      </c>
      <c r="M2362" t="s">
        <v>2616</v>
      </c>
      <c r="N2362">
        <v>1</v>
      </c>
      <c r="O2362">
        <v>2020</v>
      </c>
      <c r="P2362">
        <v>7864.8660317782214</v>
      </c>
      <c r="Q2362">
        <v>17.168943682756151</v>
      </c>
      <c r="R2362" t="s">
        <v>109</v>
      </c>
      <c r="S2362">
        <v>458.08677441684432</v>
      </c>
      <c r="T2362">
        <v>0.97</v>
      </c>
      <c r="U2362" t="s">
        <v>227</v>
      </c>
      <c r="V2362">
        <v>0.97</v>
      </c>
      <c r="W2362">
        <v>19.7</v>
      </c>
      <c r="X2362">
        <v>33.1</v>
      </c>
      <c r="Y2362">
        <v>27</v>
      </c>
      <c r="Z2362">
        <v>9.1249964693936397E-2</v>
      </c>
      <c r="AA2362">
        <v>31.536000000000001</v>
      </c>
    </row>
    <row r="2363" spans="1:27" x14ac:dyDescent="0.25">
      <c r="A2363" t="s">
        <v>98</v>
      </c>
      <c r="B2363" t="s">
        <v>519</v>
      </c>
      <c r="C2363" t="s">
        <v>1028</v>
      </c>
      <c r="D2363" t="s">
        <v>1707</v>
      </c>
      <c r="E2363" t="s">
        <v>179</v>
      </c>
      <c r="F2363" t="s">
        <v>228</v>
      </c>
      <c r="G2363" t="s">
        <v>103</v>
      </c>
      <c r="H2363" t="s">
        <v>156</v>
      </c>
      <c r="I2363">
        <v>2016</v>
      </c>
      <c r="J2363" t="s">
        <v>267</v>
      </c>
      <c r="K2363" t="s">
        <v>158</v>
      </c>
      <c r="L2363" t="s">
        <v>2580</v>
      </c>
      <c r="M2363" t="s">
        <v>2617</v>
      </c>
      <c r="N2363">
        <v>1</v>
      </c>
      <c r="O2363">
        <v>2020</v>
      </c>
      <c r="P2363">
        <v>2499.6861031233111</v>
      </c>
      <c r="Q2363">
        <v>17.168943682756151</v>
      </c>
      <c r="R2363" t="s">
        <v>109</v>
      </c>
      <c r="S2363">
        <v>145.59347093868689</v>
      </c>
      <c r="T2363">
        <v>0.8</v>
      </c>
      <c r="U2363" t="s">
        <v>227</v>
      </c>
      <c r="V2363">
        <v>0.8</v>
      </c>
      <c r="W2363">
        <v>16</v>
      </c>
      <c r="X2363">
        <v>27</v>
      </c>
      <c r="Y2363">
        <v>22</v>
      </c>
      <c r="Z2363">
        <v>9.1249964693936397E-2</v>
      </c>
      <c r="AA2363">
        <v>31.536000000000001</v>
      </c>
    </row>
    <row r="2364" spans="1:27" x14ac:dyDescent="0.25">
      <c r="A2364" t="s">
        <v>98</v>
      </c>
      <c r="B2364" t="s">
        <v>519</v>
      </c>
      <c r="C2364" t="s">
        <v>1028</v>
      </c>
      <c r="D2364" t="s">
        <v>1707</v>
      </c>
      <c r="E2364" t="s">
        <v>179</v>
      </c>
      <c r="F2364" t="s">
        <v>228</v>
      </c>
      <c r="G2364" t="s">
        <v>111</v>
      </c>
      <c r="H2364" t="s">
        <v>156</v>
      </c>
      <c r="I2364">
        <v>2016</v>
      </c>
      <c r="J2364" t="s">
        <v>269</v>
      </c>
      <c r="K2364" t="s">
        <v>158</v>
      </c>
      <c r="L2364" t="s">
        <v>2580</v>
      </c>
      <c r="M2364" t="s">
        <v>2618</v>
      </c>
      <c r="N2364">
        <v>0</v>
      </c>
      <c r="O2364">
        <v>2020</v>
      </c>
      <c r="P2364">
        <v>3182.5271849521182</v>
      </c>
      <c r="Q2364">
        <v>17.168943682756151</v>
      </c>
      <c r="R2364" t="s">
        <v>109</v>
      </c>
      <c r="S2364">
        <v>185.36534592681599</v>
      </c>
      <c r="T2364">
        <v>0.92</v>
      </c>
      <c r="U2364" t="s">
        <v>227</v>
      </c>
      <c r="V2364">
        <v>0.92</v>
      </c>
      <c r="W2364">
        <v>16</v>
      </c>
      <c r="X2364">
        <v>27</v>
      </c>
      <c r="Y2364">
        <v>22</v>
      </c>
      <c r="Z2364">
        <v>9.1249964693936397E-2</v>
      </c>
      <c r="AA2364">
        <v>31.536000000000001</v>
      </c>
    </row>
    <row r="2365" spans="1:27" x14ac:dyDescent="0.25">
      <c r="A2365" t="s">
        <v>98</v>
      </c>
      <c r="B2365" t="s">
        <v>519</v>
      </c>
      <c r="C2365" t="s">
        <v>1028</v>
      </c>
      <c r="D2365" t="s">
        <v>1707</v>
      </c>
      <c r="E2365" t="s">
        <v>179</v>
      </c>
      <c r="F2365" t="s">
        <v>228</v>
      </c>
      <c r="G2365" t="s">
        <v>111</v>
      </c>
      <c r="H2365" t="s">
        <v>156</v>
      </c>
      <c r="I2365">
        <v>2020</v>
      </c>
      <c r="J2365" t="s">
        <v>271</v>
      </c>
      <c r="K2365" t="s">
        <v>158</v>
      </c>
      <c r="L2365" t="s">
        <v>2580</v>
      </c>
      <c r="M2365" t="s">
        <v>2618</v>
      </c>
      <c r="N2365">
        <v>1</v>
      </c>
      <c r="O2365">
        <v>2020</v>
      </c>
      <c r="P2365">
        <v>3365.4310461562618</v>
      </c>
      <c r="Q2365">
        <v>17.168943682756151</v>
      </c>
      <c r="R2365" t="s">
        <v>109</v>
      </c>
      <c r="S2365">
        <v>196.01852672720781</v>
      </c>
      <c r="T2365">
        <v>0.92</v>
      </c>
      <c r="U2365" t="s">
        <v>227</v>
      </c>
      <c r="V2365">
        <v>0.92</v>
      </c>
      <c r="W2365">
        <v>16</v>
      </c>
      <c r="X2365">
        <v>27</v>
      </c>
      <c r="Y2365">
        <v>22</v>
      </c>
      <c r="Z2365">
        <v>9.1249964693936397E-2</v>
      </c>
      <c r="AA2365">
        <v>31.536000000000001</v>
      </c>
    </row>
    <row r="2366" spans="1:27" x14ac:dyDescent="0.25">
      <c r="A2366" t="s">
        <v>98</v>
      </c>
      <c r="B2366" t="s">
        <v>519</v>
      </c>
      <c r="C2366" t="s">
        <v>1028</v>
      </c>
      <c r="D2366" t="s">
        <v>1707</v>
      </c>
      <c r="E2366" t="s">
        <v>179</v>
      </c>
      <c r="F2366" t="s">
        <v>228</v>
      </c>
      <c r="G2366" t="s">
        <v>114</v>
      </c>
      <c r="H2366" t="s">
        <v>156</v>
      </c>
      <c r="I2366">
        <v>2016</v>
      </c>
      <c r="J2366" t="s">
        <v>272</v>
      </c>
      <c r="K2366" t="s">
        <v>158</v>
      </c>
      <c r="L2366" t="s">
        <v>2580</v>
      </c>
      <c r="M2366" t="s">
        <v>2619</v>
      </c>
      <c r="N2366">
        <v>1</v>
      </c>
      <c r="O2366">
        <v>2020</v>
      </c>
      <c r="P2366">
        <v>3341.043864662377</v>
      </c>
      <c r="Q2366">
        <v>17.168943682756151</v>
      </c>
      <c r="R2366" t="s">
        <v>109</v>
      </c>
      <c r="S2366">
        <v>194.5981026204889</v>
      </c>
      <c r="T2366">
        <v>0.95</v>
      </c>
      <c r="U2366" t="s">
        <v>227</v>
      </c>
      <c r="V2366">
        <v>0.95</v>
      </c>
      <c r="W2366">
        <v>16</v>
      </c>
      <c r="X2366">
        <v>27</v>
      </c>
      <c r="Y2366">
        <v>22</v>
      </c>
      <c r="Z2366">
        <v>9.1249964693936397E-2</v>
      </c>
      <c r="AA2366">
        <v>31.536000000000001</v>
      </c>
    </row>
    <row r="2367" spans="1:27" x14ac:dyDescent="0.25">
      <c r="A2367" t="s">
        <v>98</v>
      </c>
      <c r="B2367" t="s">
        <v>519</v>
      </c>
      <c r="C2367" t="s">
        <v>1028</v>
      </c>
      <c r="D2367" t="s">
        <v>1707</v>
      </c>
      <c r="E2367" t="s">
        <v>179</v>
      </c>
      <c r="F2367" t="s">
        <v>228</v>
      </c>
      <c r="G2367" t="s">
        <v>114</v>
      </c>
      <c r="H2367" t="s">
        <v>156</v>
      </c>
      <c r="I2367">
        <v>2022</v>
      </c>
      <c r="J2367" t="s">
        <v>274</v>
      </c>
      <c r="K2367" t="s">
        <v>158</v>
      </c>
      <c r="L2367" t="s">
        <v>2580</v>
      </c>
      <c r="M2367" t="s">
        <v>2620</v>
      </c>
      <c r="N2367">
        <v>1</v>
      </c>
      <c r="O2367">
        <v>2022</v>
      </c>
      <c r="P2367">
        <v>3341.043864662377</v>
      </c>
      <c r="Q2367">
        <v>17.168943682756151</v>
      </c>
      <c r="R2367" t="s">
        <v>109</v>
      </c>
      <c r="S2367">
        <v>194.5981026204889</v>
      </c>
      <c r="T2367">
        <v>0.95</v>
      </c>
      <c r="U2367" t="s">
        <v>227</v>
      </c>
      <c r="V2367">
        <v>0.95</v>
      </c>
      <c r="W2367">
        <v>16</v>
      </c>
      <c r="X2367">
        <v>27</v>
      </c>
      <c r="Y2367">
        <v>22</v>
      </c>
      <c r="Z2367">
        <v>9.1249964693936397E-2</v>
      </c>
      <c r="AA2367">
        <v>31.536000000000001</v>
      </c>
    </row>
    <row r="2368" spans="1:27" x14ac:dyDescent="0.25">
      <c r="A2368" t="s">
        <v>98</v>
      </c>
      <c r="B2368" t="s">
        <v>519</v>
      </c>
      <c r="C2368" t="s">
        <v>1028</v>
      </c>
      <c r="D2368" t="s">
        <v>1707</v>
      </c>
      <c r="E2368" t="s">
        <v>179</v>
      </c>
      <c r="F2368" t="s">
        <v>228</v>
      </c>
      <c r="G2368" t="s">
        <v>119</v>
      </c>
      <c r="H2368" t="s">
        <v>156</v>
      </c>
      <c r="I2368">
        <v>2016</v>
      </c>
      <c r="J2368" t="s">
        <v>276</v>
      </c>
      <c r="K2368" t="s">
        <v>158</v>
      </c>
      <c r="L2368" t="s">
        <v>2580</v>
      </c>
      <c r="M2368" t="s">
        <v>2621</v>
      </c>
      <c r="N2368">
        <v>1</v>
      </c>
      <c r="O2368">
        <v>2020</v>
      </c>
      <c r="P2368">
        <v>3706.851587070666</v>
      </c>
      <c r="Q2368">
        <v>17.168943682756151</v>
      </c>
      <c r="R2368" t="s">
        <v>109</v>
      </c>
      <c r="S2368">
        <v>215.90446422127229</v>
      </c>
      <c r="T2368">
        <v>0.99</v>
      </c>
      <c r="U2368" t="s">
        <v>227</v>
      </c>
      <c r="V2368">
        <v>0.99</v>
      </c>
      <c r="W2368">
        <v>16</v>
      </c>
      <c r="X2368">
        <v>27</v>
      </c>
      <c r="Y2368">
        <v>22</v>
      </c>
      <c r="Z2368">
        <v>9.1249964693936397E-2</v>
      </c>
      <c r="AA2368">
        <v>31.536000000000001</v>
      </c>
    </row>
    <row r="2369" spans="1:27" x14ac:dyDescent="0.25">
      <c r="A2369" t="s">
        <v>98</v>
      </c>
      <c r="B2369" t="s">
        <v>519</v>
      </c>
      <c r="C2369" t="s">
        <v>1028</v>
      </c>
      <c r="D2369" t="s">
        <v>1707</v>
      </c>
      <c r="E2369" t="s">
        <v>179</v>
      </c>
      <c r="F2369" t="s">
        <v>228</v>
      </c>
      <c r="G2369" t="s">
        <v>119</v>
      </c>
      <c r="H2369" t="s">
        <v>156</v>
      </c>
      <c r="I2369">
        <v>2022</v>
      </c>
      <c r="J2369" t="s">
        <v>278</v>
      </c>
      <c r="K2369" t="s">
        <v>158</v>
      </c>
      <c r="L2369" t="s">
        <v>2580</v>
      </c>
      <c r="M2369" t="s">
        <v>2622</v>
      </c>
      <c r="N2369">
        <v>1</v>
      </c>
      <c r="O2369">
        <v>2022</v>
      </c>
      <c r="P2369">
        <v>3706.851587070666</v>
      </c>
      <c r="Q2369">
        <v>17.168943682756151</v>
      </c>
      <c r="R2369" t="s">
        <v>109</v>
      </c>
      <c r="S2369">
        <v>215.90446422127229</v>
      </c>
      <c r="T2369">
        <v>0.99</v>
      </c>
      <c r="U2369" t="s">
        <v>227</v>
      </c>
      <c r="V2369">
        <v>0.99</v>
      </c>
      <c r="W2369">
        <v>16</v>
      </c>
      <c r="X2369">
        <v>27</v>
      </c>
      <c r="Y2369">
        <v>22</v>
      </c>
      <c r="Z2369">
        <v>9.1249964693936397E-2</v>
      </c>
      <c r="AA2369">
        <v>31.536000000000001</v>
      </c>
    </row>
    <row r="2370" spans="1:27" x14ac:dyDescent="0.25">
      <c r="A2370" t="s">
        <v>98</v>
      </c>
      <c r="B2370" t="s">
        <v>519</v>
      </c>
      <c r="C2370" t="s">
        <v>1028</v>
      </c>
      <c r="D2370" t="s">
        <v>1707</v>
      </c>
      <c r="E2370" t="s">
        <v>179</v>
      </c>
      <c r="F2370" t="s">
        <v>228</v>
      </c>
      <c r="G2370" t="s">
        <v>103</v>
      </c>
      <c r="H2370" t="s">
        <v>148</v>
      </c>
      <c r="I2370">
        <v>2016</v>
      </c>
      <c r="J2370" t="s">
        <v>280</v>
      </c>
      <c r="K2370" t="s">
        <v>150</v>
      </c>
      <c r="L2370" t="s">
        <v>2580</v>
      </c>
      <c r="M2370" t="s">
        <v>2623</v>
      </c>
      <c r="N2370">
        <v>1</v>
      </c>
      <c r="O2370">
        <v>2020</v>
      </c>
      <c r="P2370">
        <v>5029.8561831139787</v>
      </c>
      <c r="Q2370">
        <v>17.168943682756151</v>
      </c>
      <c r="R2370" t="s">
        <v>109</v>
      </c>
      <c r="S2370">
        <v>292.96247201077239</v>
      </c>
      <c r="T2370">
        <v>0.83</v>
      </c>
      <c r="U2370" t="s">
        <v>227</v>
      </c>
      <c r="V2370">
        <v>0.83</v>
      </c>
      <c r="W2370">
        <v>19.7</v>
      </c>
      <c r="X2370">
        <v>33.1</v>
      </c>
      <c r="Y2370">
        <v>27</v>
      </c>
      <c r="Z2370">
        <v>9.1249964693936397E-2</v>
      </c>
      <c r="AA2370">
        <v>31.536000000000001</v>
      </c>
    </row>
    <row r="2371" spans="1:27" x14ac:dyDescent="0.25">
      <c r="A2371" t="s">
        <v>98</v>
      </c>
      <c r="B2371" t="s">
        <v>519</v>
      </c>
      <c r="C2371" t="s">
        <v>1028</v>
      </c>
      <c r="D2371" t="s">
        <v>1707</v>
      </c>
      <c r="E2371" t="s">
        <v>179</v>
      </c>
      <c r="F2371" t="s">
        <v>228</v>
      </c>
      <c r="G2371" t="s">
        <v>111</v>
      </c>
      <c r="H2371" t="s">
        <v>148</v>
      </c>
      <c r="I2371">
        <v>2016</v>
      </c>
      <c r="J2371" t="s">
        <v>282</v>
      </c>
      <c r="K2371" t="s">
        <v>150</v>
      </c>
      <c r="L2371" t="s">
        <v>2580</v>
      </c>
      <c r="M2371" t="s">
        <v>2624</v>
      </c>
      <c r="N2371">
        <v>1</v>
      </c>
      <c r="O2371">
        <v>2020</v>
      </c>
      <c r="P2371">
        <v>5029.8561831139787</v>
      </c>
      <c r="Q2371">
        <v>17.168943682756151</v>
      </c>
      <c r="R2371" t="s">
        <v>109</v>
      </c>
      <c r="S2371">
        <v>292.96247201077239</v>
      </c>
      <c r="T2371">
        <v>0.83</v>
      </c>
      <c r="U2371" t="s">
        <v>227</v>
      </c>
      <c r="V2371">
        <v>0.83</v>
      </c>
      <c r="W2371">
        <v>19.7</v>
      </c>
      <c r="X2371">
        <v>33.1</v>
      </c>
      <c r="Y2371">
        <v>27</v>
      </c>
      <c r="Z2371">
        <v>9.1249964693936397E-2</v>
      </c>
      <c r="AA2371">
        <v>31.536000000000001</v>
      </c>
    </row>
    <row r="2372" spans="1:27" x14ac:dyDescent="0.25">
      <c r="A2372" t="s">
        <v>98</v>
      </c>
      <c r="B2372" t="s">
        <v>519</v>
      </c>
      <c r="C2372" t="s">
        <v>1028</v>
      </c>
      <c r="D2372" t="s">
        <v>1707</v>
      </c>
      <c r="E2372" t="s">
        <v>179</v>
      </c>
      <c r="F2372" t="s">
        <v>228</v>
      </c>
      <c r="G2372" t="s">
        <v>111</v>
      </c>
      <c r="H2372" t="s">
        <v>148</v>
      </c>
      <c r="I2372">
        <v>2022</v>
      </c>
      <c r="J2372" t="s">
        <v>284</v>
      </c>
      <c r="K2372" t="s">
        <v>150</v>
      </c>
      <c r="L2372" t="s">
        <v>2580</v>
      </c>
      <c r="M2372" t="s">
        <v>2625</v>
      </c>
      <c r="N2372">
        <v>1</v>
      </c>
      <c r="O2372">
        <v>2022</v>
      </c>
      <c r="P2372">
        <v>5151.7920905834089</v>
      </c>
      <c r="Q2372">
        <v>17.168943682756151</v>
      </c>
      <c r="R2372" t="s">
        <v>109</v>
      </c>
      <c r="S2372">
        <v>300.06459254436697</v>
      </c>
      <c r="T2372">
        <v>0.84</v>
      </c>
      <c r="U2372" t="s">
        <v>227</v>
      </c>
      <c r="V2372">
        <v>0.84</v>
      </c>
      <c r="W2372">
        <v>19.7</v>
      </c>
      <c r="X2372">
        <v>33.1</v>
      </c>
      <c r="Y2372">
        <v>27</v>
      </c>
      <c r="Z2372">
        <v>9.1249964693936397E-2</v>
      </c>
      <c r="AA2372">
        <v>31.536000000000001</v>
      </c>
    </row>
    <row r="2373" spans="1:27" x14ac:dyDescent="0.25">
      <c r="A2373" t="s">
        <v>98</v>
      </c>
      <c r="B2373" t="s">
        <v>519</v>
      </c>
      <c r="C2373" t="s">
        <v>1028</v>
      </c>
      <c r="D2373" t="s">
        <v>1707</v>
      </c>
      <c r="E2373" t="s">
        <v>179</v>
      </c>
      <c r="F2373" t="s">
        <v>228</v>
      </c>
      <c r="G2373" t="s">
        <v>114</v>
      </c>
      <c r="H2373" t="s">
        <v>148</v>
      </c>
      <c r="I2373">
        <v>2016</v>
      </c>
      <c r="J2373" t="s">
        <v>286</v>
      </c>
      <c r="K2373" t="s">
        <v>150</v>
      </c>
      <c r="L2373" t="s">
        <v>2580</v>
      </c>
      <c r="M2373" t="s">
        <v>2626</v>
      </c>
      <c r="N2373">
        <v>1</v>
      </c>
      <c r="O2373">
        <v>2020</v>
      </c>
      <c r="P2373">
        <v>5304.2119749201956</v>
      </c>
      <c r="Q2373">
        <v>17.168943682756151</v>
      </c>
      <c r="R2373" t="s">
        <v>109</v>
      </c>
      <c r="S2373">
        <v>308.94224321136011</v>
      </c>
      <c r="T2373">
        <v>0.85</v>
      </c>
      <c r="U2373" t="s">
        <v>227</v>
      </c>
      <c r="V2373">
        <v>0.85</v>
      </c>
      <c r="W2373">
        <v>19.7</v>
      </c>
      <c r="X2373">
        <v>33.1</v>
      </c>
      <c r="Y2373">
        <v>27</v>
      </c>
      <c r="Z2373">
        <v>9.1249964693936397E-2</v>
      </c>
      <c r="AA2373">
        <v>31.536000000000001</v>
      </c>
    </row>
    <row r="2374" spans="1:27" x14ac:dyDescent="0.25">
      <c r="A2374" t="s">
        <v>98</v>
      </c>
      <c r="B2374" t="s">
        <v>519</v>
      </c>
      <c r="C2374" t="s">
        <v>1028</v>
      </c>
      <c r="D2374" t="s">
        <v>1707</v>
      </c>
      <c r="E2374" t="s">
        <v>179</v>
      </c>
      <c r="F2374" t="s">
        <v>228</v>
      </c>
      <c r="G2374" t="s">
        <v>119</v>
      </c>
      <c r="H2374" t="s">
        <v>148</v>
      </c>
      <c r="I2374">
        <v>2016</v>
      </c>
      <c r="J2374" t="s">
        <v>288</v>
      </c>
      <c r="K2374" t="s">
        <v>150</v>
      </c>
      <c r="L2374" t="s">
        <v>2580</v>
      </c>
      <c r="M2374" t="s">
        <v>2627</v>
      </c>
      <c r="N2374">
        <v>1</v>
      </c>
      <c r="O2374">
        <v>2020</v>
      </c>
      <c r="P2374">
        <v>7864.8660317782214</v>
      </c>
      <c r="Q2374">
        <v>17.168943682756151</v>
      </c>
      <c r="R2374" t="s">
        <v>109</v>
      </c>
      <c r="S2374">
        <v>458.08677441684432</v>
      </c>
      <c r="T2374">
        <v>0.97</v>
      </c>
      <c r="U2374" t="s">
        <v>227</v>
      </c>
      <c r="V2374">
        <v>0.97</v>
      </c>
      <c r="W2374">
        <v>19.7</v>
      </c>
      <c r="X2374">
        <v>33.1</v>
      </c>
      <c r="Y2374">
        <v>27</v>
      </c>
      <c r="Z2374">
        <v>9.1249964693936397E-2</v>
      </c>
      <c r="AA2374">
        <v>31.536000000000001</v>
      </c>
    </row>
    <row r="2375" spans="1:27" x14ac:dyDescent="0.25">
      <c r="A2375" t="s">
        <v>98</v>
      </c>
      <c r="B2375" t="s">
        <v>519</v>
      </c>
      <c r="C2375" t="s">
        <v>1028</v>
      </c>
      <c r="D2375" t="s">
        <v>1707</v>
      </c>
      <c r="E2375" t="s">
        <v>179</v>
      </c>
      <c r="F2375" t="s">
        <v>228</v>
      </c>
      <c r="G2375" t="s">
        <v>119</v>
      </c>
      <c r="H2375" t="s">
        <v>148</v>
      </c>
      <c r="I2375">
        <v>2022</v>
      </c>
      <c r="J2375" t="s">
        <v>290</v>
      </c>
      <c r="K2375" t="s">
        <v>150</v>
      </c>
      <c r="L2375" t="s">
        <v>2580</v>
      </c>
      <c r="M2375" t="s">
        <v>2628</v>
      </c>
      <c r="N2375">
        <v>1</v>
      </c>
      <c r="O2375">
        <v>2022</v>
      </c>
      <c r="P2375">
        <v>7864.8660317782214</v>
      </c>
      <c r="Q2375">
        <v>17.168943682756151</v>
      </c>
      <c r="R2375" t="s">
        <v>109</v>
      </c>
      <c r="S2375">
        <v>458.08677441684432</v>
      </c>
      <c r="T2375">
        <v>0.97</v>
      </c>
      <c r="U2375" t="s">
        <v>227</v>
      </c>
      <c r="V2375">
        <v>0.97</v>
      </c>
      <c r="W2375">
        <v>19.7</v>
      </c>
      <c r="X2375">
        <v>33.1</v>
      </c>
      <c r="Y2375">
        <v>27</v>
      </c>
      <c r="Z2375">
        <v>9.1249964693936397E-2</v>
      </c>
      <c r="AA2375">
        <v>31.536000000000001</v>
      </c>
    </row>
    <row r="2376" spans="1:27" x14ac:dyDescent="0.25">
      <c r="A2376" t="s">
        <v>98</v>
      </c>
      <c r="B2376" t="s">
        <v>519</v>
      </c>
      <c r="C2376" t="s">
        <v>1028</v>
      </c>
      <c r="D2376" t="s">
        <v>1707</v>
      </c>
      <c r="E2376" t="s">
        <v>179</v>
      </c>
      <c r="F2376" t="s">
        <v>224</v>
      </c>
      <c r="G2376" t="s">
        <v>103</v>
      </c>
      <c r="H2376" t="s">
        <v>148</v>
      </c>
      <c r="I2376">
        <v>2016</v>
      </c>
      <c r="J2376" t="s">
        <v>292</v>
      </c>
      <c r="K2376" t="s">
        <v>150</v>
      </c>
      <c r="L2376" t="s">
        <v>2580</v>
      </c>
      <c r="M2376" t="s">
        <v>2629</v>
      </c>
      <c r="N2376">
        <v>1</v>
      </c>
      <c r="O2376">
        <v>2020</v>
      </c>
      <c r="P2376">
        <v>11126.65155658547</v>
      </c>
      <c r="Q2376">
        <v>17.168943682756151</v>
      </c>
      <c r="R2376" t="s">
        <v>109</v>
      </c>
      <c r="S2376">
        <v>648.06849869049665</v>
      </c>
      <c r="T2376">
        <v>0.84</v>
      </c>
      <c r="U2376" t="s">
        <v>227</v>
      </c>
      <c r="V2376">
        <v>0.84</v>
      </c>
      <c r="W2376">
        <v>18</v>
      </c>
      <c r="X2376">
        <v>28</v>
      </c>
      <c r="Y2376">
        <v>24</v>
      </c>
      <c r="Z2376">
        <v>9.1249964693936397E-2</v>
      </c>
      <c r="AA2376">
        <v>31.536000000000001</v>
      </c>
    </row>
    <row r="2377" spans="1:27" x14ac:dyDescent="0.25">
      <c r="A2377" t="s">
        <v>98</v>
      </c>
      <c r="B2377" t="s">
        <v>519</v>
      </c>
      <c r="C2377" t="s">
        <v>1028</v>
      </c>
      <c r="D2377" t="s">
        <v>1707</v>
      </c>
      <c r="E2377" t="s">
        <v>179</v>
      </c>
      <c r="F2377" t="s">
        <v>224</v>
      </c>
      <c r="G2377" t="s">
        <v>103</v>
      </c>
      <c r="H2377" t="s">
        <v>148</v>
      </c>
      <c r="I2377">
        <v>2022</v>
      </c>
      <c r="J2377" t="s">
        <v>294</v>
      </c>
      <c r="K2377" t="s">
        <v>150</v>
      </c>
      <c r="L2377" t="s">
        <v>2580</v>
      </c>
      <c r="M2377" t="s">
        <v>2630</v>
      </c>
      <c r="N2377">
        <v>1</v>
      </c>
      <c r="O2377">
        <v>2022</v>
      </c>
      <c r="P2377">
        <v>11492.45927899376</v>
      </c>
      <c r="Q2377">
        <v>17.168943682756151</v>
      </c>
      <c r="R2377" t="s">
        <v>109</v>
      </c>
      <c r="S2377">
        <v>669.37486029128013</v>
      </c>
      <c r="T2377">
        <v>0.86</v>
      </c>
      <c r="U2377" t="s">
        <v>227</v>
      </c>
      <c r="V2377">
        <v>0.86</v>
      </c>
      <c r="W2377">
        <v>18</v>
      </c>
      <c r="X2377">
        <v>28</v>
      </c>
      <c r="Y2377">
        <v>24</v>
      </c>
      <c r="Z2377">
        <v>9.1249964693936397E-2</v>
      </c>
      <c r="AA2377">
        <v>31.536000000000001</v>
      </c>
    </row>
    <row r="2378" spans="1:27" x14ac:dyDescent="0.25">
      <c r="A2378" t="s">
        <v>98</v>
      </c>
      <c r="B2378" t="s">
        <v>519</v>
      </c>
      <c r="C2378" t="s">
        <v>1028</v>
      </c>
      <c r="D2378" t="s">
        <v>1707</v>
      </c>
      <c r="E2378" t="s">
        <v>179</v>
      </c>
      <c r="F2378" t="s">
        <v>224</v>
      </c>
      <c r="G2378" t="s">
        <v>111</v>
      </c>
      <c r="H2378" t="s">
        <v>148</v>
      </c>
      <c r="I2378">
        <v>2016</v>
      </c>
      <c r="J2378" t="s">
        <v>296</v>
      </c>
      <c r="K2378" t="s">
        <v>150</v>
      </c>
      <c r="L2378" t="s">
        <v>2580</v>
      </c>
      <c r="M2378" t="s">
        <v>2631</v>
      </c>
      <c r="N2378">
        <v>1</v>
      </c>
      <c r="O2378">
        <v>2020</v>
      </c>
      <c r="P2378">
        <v>11126.65155658547</v>
      </c>
      <c r="Q2378">
        <v>17.168943682756151</v>
      </c>
      <c r="R2378" t="s">
        <v>109</v>
      </c>
      <c r="S2378">
        <v>648.06849869049665</v>
      </c>
      <c r="T2378">
        <v>0.84</v>
      </c>
      <c r="U2378" t="s">
        <v>227</v>
      </c>
      <c r="V2378">
        <v>0.84</v>
      </c>
      <c r="W2378">
        <v>18</v>
      </c>
      <c r="X2378">
        <v>28</v>
      </c>
      <c r="Y2378">
        <v>24</v>
      </c>
      <c r="Z2378">
        <v>9.1249964693936397E-2</v>
      </c>
      <c r="AA2378">
        <v>31.536000000000001</v>
      </c>
    </row>
    <row r="2379" spans="1:27" x14ac:dyDescent="0.25">
      <c r="A2379" t="s">
        <v>98</v>
      </c>
      <c r="B2379" t="s">
        <v>519</v>
      </c>
      <c r="C2379" t="s">
        <v>1028</v>
      </c>
      <c r="D2379" t="s">
        <v>1707</v>
      </c>
      <c r="E2379" t="s">
        <v>179</v>
      </c>
      <c r="F2379" t="s">
        <v>224</v>
      </c>
      <c r="G2379" t="s">
        <v>111</v>
      </c>
      <c r="H2379" t="s">
        <v>148</v>
      </c>
      <c r="I2379">
        <v>2022</v>
      </c>
      <c r="J2379" t="s">
        <v>298</v>
      </c>
      <c r="K2379" t="s">
        <v>150</v>
      </c>
      <c r="L2379" t="s">
        <v>2580</v>
      </c>
      <c r="M2379" t="s">
        <v>2632</v>
      </c>
      <c r="N2379">
        <v>1</v>
      </c>
      <c r="O2379">
        <v>2022</v>
      </c>
      <c r="P2379">
        <v>11492.45927899376</v>
      </c>
      <c r="Q2379">
        <v>17.168943682756151</v>
      </c>
      <c r="R2379" t="s">
        <v>109</v>
      </c>
      <c r="S2379">
        <v>669.37486029128013</v>
      </c>
      <c r="T2379">
        <v>0.86</v>
      </c>
      <c r="U2379" t="s">
        <v>227</v>
      </c>
      <c r="V2379">
        <v>0.86</v>
      </c>
      <c r="W2379">
        <v>18</v>
      </c>
      <c r="X2379">
        <v>28</v>
      </c>
      <c r="Y2379">
        <v>24</v>
      </c>
      <c r="Z2379">
        <v>9.1249964693936397E-2</v>
      </c>
      <c r="AA2379">
        <v>31.536000000000001</v>
      </c>
    </row>
    <row r="2380" spans="1:27" x14ac:dyDescent="0.25">
      <c r="A2380" t="s">
        <v>98</v>
      </c>
      <c r="B2380" t="s">
        <v>519</v>
      </c>
      <c r="C2380" t="s">
        <v>1028</v>
      </c>
      <c r="D2380" t="s">
        <v>1707</v>
      </c>
      <c r="E2380" t="s">
        <v>179</v>
      </c>
      <c r="F2380" t="s">
        <v>224</v>
      </c>
      <c r="G2380" t="s">
        <v>114</v>
      </c>
      <c r="H2380" t="s">
        <v>148</v>
      </c>
      <c r="I2380">
        <v>2016</v>
      </c>
      <c r="J2380" t="s">
        <v>300</v>
      </c>
      <c r="K2380" t="s">
        <v>150</v>
      </c>
      <c r="L2380" t="s">
        <v>2580</v>
      </c>
      <c r="M2380" t="s">
        <v>2633</v>
      </c>
      <c r="N2380">
        <v>1</v>
      </c>
      <c r="O2380">
        <v>2020</v>
      </c>
      <c r="P2380">
        <v>11492.45927899376</v>
      </c>
      <c r="Q2380">
        <v>17.168943682756151</v>
      </c>
      <c r="R2380" t="s">
        <v>109</v>
      </c>
      <c r="S2380">
        <v>669.37486029128013</v>
      </c>
      <c r="T2380">
        <v>0.87</v>
      </c>
      <c r="U2380" t="s">
        <v>227</v>
      </c>
      <c r="V2380">
        <v>0.87</v>
      </c>
      <c r="W2380">
        <v>18</v>
      </c>
      <c r="X2380">
        <v>28</v>
      </c>
      <c r="Y2380">
        <v>24</v>
      </c>
      <c r="Z2380">
        <v>9.1249964693936397E-2</v>
      </c>
      <c r="AA2380">
        <v>31.536000000000001</v>
      </c>
    </row>
    <row r="2381" spans="1:27" x14ac:dyDescent="0.25">
      <c r="A2381" t="s">
        <v>98</v>
      </c>
      <c r="B2381" t="s">
        <v>519</v>
      </c>
      <c r="C2381" t="s">
        <v>1028</v>
      </c>
      <c r="D2381" t="s">
        <v>1707</v>
      </c>
      <c r="E2381" t="s">
        <v>179</v>
      </c>
      <c r="F2381" t="s">
        <v>224</v>
      </c>
      <c r="G2381" t="s">
        <v>119</v>
      </c>
      <c r="H2381" t="s">
        <v>148</v>
      </c>
      <c r="I2381">
        <v>2016</v>
      </c>
      <c r="J2381" t="s">
        <v>302</v>
      </c>
      <c r="K2381" t="s">
        <v>150</v>
      </c>
      <c r="L2381" t="s">
        <v>2580</v>
      </c>
      <c r="M2381" t="s">
        <v>2634</v>
      </c>
      <c r="N2381">
        <v>1</v>
      </c>
      <c r="O2381">
        <v>2020</v>
      </c>
      <c r="P2381">
        <v>13961.66140524971</v>
      </c>
      <c r="Q2381">
        <v>17.168943682756151</v>
      </c>
      <c r="R2381" t="s">
        <v>109</v>
      </c>
      <c r="S2381">
        <v>813.19280109656847</v>
      </c>
      <c r="T2381">
        <v>0.9</v>
      </c>
      <c r="U2381" t="s">
        <v>227</v>
      </c>
      <c r="V2381">
        <v>0.9</v>
      </c>
      <c r="W2381">
        <v>18</v>
      </c>
      <c r="X2381">
        <v>28</v>
      </c>
      <c r="Y2381">
        <v>24</v>
      </c>
      <c r="Z2381">
        <v>9.1249964693936397E-2</v>
      </c>
      <c r="AA2381">
        <v>31.536000000000001</v>
      </c>
    </row>
    <row r="2382" spans="1:27" x14ac:dyDescent="0.25">
      <c r="A2382" t="s">
        <v>98</v>
      </c>
      <c r="B2382" t="s">
        <v>519</v>
      </c>
      <c r="C2382" t="s">
        <v>1028</v>
      </c>
      <c r="D2382" t="s">
        <v>1707</v>
      </c>
      <c r="E2382" t="s">
        <v>304</v>
      </c>
      <c r="F2382" t="s">
        <v>180</v>
      </c>
      <c r="G2382" t="s">
        <v>111</v>
      </c>
      <c r="H2382" t="s">
        <v>104</v>
      </c>
      <c r="I2382">
        <v>2016</v>
      </c>
      <c r="J2382" t="s">
        <v>305</v>
      </c>
      <c r="K2382" t="s">
        <v>106</v>
      </c>
      <c r="L2382" t="s">
        <v>2635</v>
      </c>
      <c r="M2382" t="s">
        <v>2636</v>
      </c>
      <c r="N2382">
        <v>0</v>
      </c>
      <c r="O2382">
        <v>2020</v>
      </c>
      <c r="P2382">
        <v>8291.641707921226</v>
      </c>
      <c r="Q2382">
        <v>5.1641446916145979</v>
      </c>
      <c r="R2382" t="s">
        <v>109</v>
      </c>
      <c r="S2382">
        <v>1605.617619774476</v>
      </c>
      <c r="T2382">
        <v>0.6</v>
      </c>
      <c r="U2382" t="s">
        <v>184</v>
      </c>
      <c r="V2382">
        <v>0.6</v>
      </c>
      <c r="W2382">
        <v>12</v>
      </c>
      <c r="X2382">
        <v>18</v>
      </c>
      <c r="Y2382">
        <v>16</v>
      </c>
      <c r="Z2382">
        <v>5.8273038403982118E-2</v>
      </c>
      <c r="AA2382">
        <v>31.536000000000001</v>
      </c>
    </row>
    <row r="2383" spans="1:27" x14ac:dyDescent="0.25">
      <c r="A2383" t="s">
        <v>98</v>
      </c>
      <c r="B2383" t="s">
        <v>519</v>
      </c>
      <c r="C2383" t="s">
        <v>1028</v>
      </c>
      <c r="D2383" t="s">
        <v>1707</v>
      </c>
      <c r="E2383" t="s">
        <v>304</v>
      </c>
      <c r="F2383" t="s">
        <v>180</v>
      </c>
      <c r="G2383" t="s">
        <v>111</v>
      </c>
      <c r="H2383" t="s">
        <v>104</v>
      </c>
      <c r="I2383">
        <v>2020</v>
      </c>
      <c r="J2383" t="s">
        <v>308</v>
      </c>
      <c r="K2383" t="s">
        <v>106</v>
      </c>
      <c r="L2383" t="s">
        <v>2635</v>
      </c>
      <c r="M2383" t="s">
        <v>2636</v>
      </c>
      <c r="N2383">
        <v>1</v>
      </c>
      <c r="O2383">
        <v>2020</v>
      </c>
      <c r="P2383">
        <v>8291.641707921226</v>
      </c>
      <c r="Q2383">
        <v>5.1641446916145979</v>
      </c>
      <c r="R2383" t="s">
        <v>109</v>
      </c>
      <c r="S2383">
        <v>1605.617619774476</v>
      </c>
      <c r="T2383">
        <v>0.7</v>
      </c>
      <c r="U2383" t="s">
        <v>184</v>
      </c>
      <c r="V2383">
        <v>0.7</v>
      </c>
      <c r="W2383">
        <v>12</v>
      </c>
      <c r="X2383">
        <v>18</v>
      </c>
      <c r="Y2383">
        <v>16</v>
      </c>
      <c r="Z2383">
        <v>5.8273038403982118E-2</v>
      </c>
      <c r="AA2383">
        <v>31.536000000000001</v>
      </c>
    </row>
    <row r="2384" spans="1:27" x14ac:dyDescent="0.25">
      <c r="A2384" t="s">
        <v>98</v>
      </c>
      <c r="B2384" t="s">
        <v>519</v>
      </c>
      <c r="C2384" t="s">
        <v>1028</v>
      </c>
      <c r="D2384" t="s">
        <v>1707</v>
      </c>
      <c r="E2384" t="s">
        <v>304</v>
      </c>
      <c r="F2384" t="s">
        <v>180</v>
      </c>
      <c r="G2384" t="s">
        <v>103</v>
      </c>
      <c r="H2384" t="s">
        <v>125</v>
      </c>
      <c r="I2384">
        <v>2016</v>
      </c>
      <c r="J2384" t="s">
        <v>309</v>
      </c>
      <c r="K2384" t="s">
        <v>127</v>
      </c>
      <c r="L2384" t="s">
        <v>2635</v>
      </c>
      <c r="M2384" t="s">
        <v>2637</v>
      </c>
      <c r="N2384">
        <v>1</v>
      </c>
      <c r="O2384">
        <v>2020</v>
      </c>
      <c r="P2384">
        <v>2956.9457561336731</v>
      </c>
      <c r="Q2384">
        <v>5.1641446916145979</v>
      </c>
      <c r="R2384" t="s">
        <v>109</v>
      </c>
      <c r="S2384">
        <v>572.59157764016243</v>
      </c>
      <c r="T2384">
        <v>4.1031652989449006</v>
      </c>
      <c r="U2384" t="s">
        <v>184</v>
      </c>
      <c r="V2384">
        <v>4.1031652989449006</v>
      </c>
      <c r="W2384">
        <v>9</v>
      </c>
      <c r="X2384">
        <v>22</v>
      </c>
      <c r="Y2384">
        <v>16</v>
      </c>
      <c r="Z2384">
        <v>5.8273038403982118E-2</v>
      </c>
      <c r="AA2384">
        <v>31.536000000000001</v>
      </c>
    </row>
    <row r="2385" spans="1:27" x14ac:dyDescent="0.25">
      <c r="A2385" t="s">
        <v>98</v>
      </c>
      <c r="B2385" t="s">
        <v>519</v>
      </c>
      <c r="C2385" t="s">
        <v>1028</v>
      </c>
      <c r="D2385" t="s">
        <v>1707</v>
      </c>
      <c r="E2385" t="s">
        <v>304</v>
      </c>
      <c r="F2385" t="s">
        <v>180</v>
      </c>
      <c r="G2385" t="s">
        <v>103</v>
      </c>
      <c r="H2385" t="s">
        <v>125</v>
      </c>
      <c r="I2385">
        <v>2023</v>
      </c>
      <c r="J2385" t="s">
        <v>311</v>
      </c>
      <c r="K2385" t="s">
        <v>127</v>
      </c>
      <c r="L2385" t="s">
        <v>2635</v>
      </c>
      <c r="M2385" t="s">
        <v>2638</v>
      </c>
      <c r="N2385">
        <v>1</v>
      </c>
      <c r="O2385">
        <v>2023</v>
      </c>
      <c r="P2385">
        <v>2956.9457561336731</v>
      </c>
      <c r="Q2385">
        <v>5.1641446916145979</v>
      </c>
      <c r="R2385" t="s">
        <v>109</v>
      </c>
      <c r="S2385">
        <v>572.59157764016243</v>
      </c>
      <c r="T2385">
        <v>4.1031652989449006</v>
      </c>
      <c r="U2385" t="s">
        <v>184</v>
      </c>
      <c r="V2385">
        <v>4.1031652989449006</v>
      </c>
      <c r="W2385">
        <v>9</v>
      </c>
      <c r="X2385">
        <v>22</v>
      </c>
      <c r="Y2385">
        <v>16</v>
      </c>
      <c r="Z2385">
        <v>5.8273038403982118E-2</v>
      </c>
      <c r="AA2385">
        <v>31.536000000000001</v>
      </c>
    </row>
    <row r="2386" spans="1:27" x14ac:dyDescent="0.25">
      <c r="A2386" t="s">
        <v>98</v>
      </c>
      <c r="B2386" t="s">
        <v>519</v>
      </c>
      <c r="C2386" t="s">
        <v>1028</v>
      </c>
      <c r="D2386" t="s">
        <v>1707</v>
      </c>
      <c r="E2386" t="s">
        <v>304</v>
      </c>
      <c r="F2386" t="s">
        <v>180</v>
      </c>
      <c r="G2386" t="s">
        <v>111</v>
      </c>
      <c r="H2386" t="s">
        <v>125</v>
      </c>
      <c r="I2386">
        <v>2016</v>
      </c>
      <c r="J2386" t="s">
        <v>313</v>
      </c>
      <c r="K2386" t="s">
        <v>127</v>
      </c>
      <c r="L2386" t="s">
        <v>2635</v>
      </c>
      <c r="M2386" t="s">
        <v>2639</v>
      </c>
      <c r="N2386">
        <v>1</v>
      </c>
      <c r="O2386">
        <v>2020</v>
      </c>
      <c r="P2386">
        <v>3109.3656404704602</v>
      </c>
      <c r="Q2386">
        <v>5.1641446916145979</v>
      </c>
      <c r="R2386" t="s">
        <v>109</v>
      </c>
      <c r="S2386">
        <v>602.10660741542847</v>
      </c>
      <c r="T2386">
        <v>4.484173505275499</v>
      </c>
      <c r="U2386" t="s">
        <v>184</v>
      </c>
      <c r="V2386">
        <v>4.484173505275499</v>
      </c>
      <c r="W2386">
        <v>9</v>
      </c>
      <c r="X2386">
        <v>22</v>
      </c>
      <c r="Y2386">
        <v>16</v>
      </c>
      <c r="Z2386">
        <v>5.8273038403982118E-2</v>
      </c>
      <c r="AA2386">
        <v>31.536000000000001</v>
      </c>
    </row>
    <row r="2387" spans="1:27" x14ac:dyDescent="0.25">
      <c r="A2387" t="s">
        <v>98</v>
      </c>
      <c r="B2387" t="s">
        <v>519</v>
      </c>
      <c r="C2387" t="s">
        <v>1028</v>
      </c>
      <c r="D2387" t="s">
        <v>1707</v>
      </c>
      <c r="E2387" t="s">
        <v>304</v>
      </c>
      <c r="F2387" t="s">
        <v>180</v>
      </c>
      <c r="G2387" t="s">
        <v>111</v>
      </c>
      <c r="H2387" t="s">
        <v>125</v>
      </c>
      <c r="I2387">
        <v>2023</v>
      </c>
      <c r="J2387" t="s">
        <v>315</v>
      </c>
      <c r="K2387" t="s">
        <v>127</v>
      </c>
      <c r="L2387" t="s">
        <v>2635</v>
      </c>
      <c r="M2387" t="s">
        <v>2640</v>
      </c>
      <c r="N2387">
        <v>1</v>
      </c>
      <c r="O2387">
        <v>2023</v>
      </c>
      <c r="P2387">
        <v>3139.8496173378171</v>
      </c>
      <c r="Q2387">
        <v>5.1641446916145979</v>
      </c>
      <c r="R2387" t="s">
        <v>109</v>
      </c>
      <c r="S2387">
        <v>608.0096133704817</v>
      </c>
      <c r="T2387">
        <v>4.6307151230949586</v>
      </c>
      <c r="U2387" t="s">
        <v>184</v>
      </c>
      <c r="V2387">
        <v>4.6307151230949586</v>
      </c>
      <c r="W2387">
        <v>9</v>
      </c>
      <c r="X2387">
        <v>22</v>
      </c>
      <c r="Y2387">
        <v>16</v>
      </c>
      <c r="Z2387">
        <v>5.8273038403982118E-2</v>
      </c>
      <c r="AA2387">
        <v>31.536000000000001</v>
      </c>
    </row>
    <row r="2388" spans="1:27" x14ac:dyDescent="0.25">
      <c r="A2388" t="s">
        <v>98</v>
      </c>
      <c r="B2388" t="s">
        <v>519</v>
      </c>
      <c r="C2388" t="s">
        <v>1028</v>
      </c>
      <c r="D2388" t="s">
        <v>1707</v>
      </c>
      <c r="E2388" t="s">
        <v>304</v>
      </c>
      <c r="F2388" t="s">
        <v>180</v>
      </c>
      <c r="G2388" t="s">
        <v>114</v>
      </c>
      <c r="H2388" t="s">
        <v>125</v>
      </c>
      <c r="I2388">
        <v>2016</v>
      </c>
      <c r="J2388" t="s">
        <v>317</v>
      </c>
      <c r="K2388" t="s">
        <v>127</v>
      </c>
      <c r="L2388" t="s">
        <v>2635</v>
      </c>
      <c r="M2388" t="s">
        <v>2641</v>
      </c>
      <c r="N2388">
        <v>1</v>
      </c>
      <c r="O2388">
        <v>2020</v>
      </c>
      <c r="P2388">
        <v>3017.9137098683868</v>
      </c>
      <c r="Q2388">
        <v>5.1641446916145979</v>
      </c>
      <c r="R2388" t="s">
        <v>109</v>
      </c>
      <c r="S2388">
        <v>584.39758955026878</v>
      </c>
      <c r="T2388">
        <v>4.3962485345838216</v>
      </c>
      <c r="U2388" t="s">
        <v>184</v>
      </c>
      <c r="V2388">
        <v>4.3962485345838216</v>
      </c>
      <c r="W2388">
        <v>9</v>
      </c>
      <c r="X2388">
        <v>22</v>
      </c>
      <c r="Y2388">
        <v>16</v>
      </c>
      <c r="Z2388">
        <v>5.8273038403982118E-2</v>
      </c>
      <c r="AA2388">
        <v>31.536000000000001</v>
      </c>
    </row>
    <row r="2389" spans="1:27" x14ac:dyDescent="0.25">
      <c r="A2389" t="s">
        <v>98</v>
      </c>
      <c r="B2389" t="s">
        <v>519</v>
      </c>
      <c r="C2389" t="s">
        <v>1028</v>
      </c>
      <c r="D2389" t="s">
        <v>1707</v>
      </c>
      <c r="E2389" t="s">
        <v>304</v>
      </c>
      <c r="F2389" t="s">
        <v>180</v>
      </c>
      <c r="G2389" t="s">
        <v>114</v>
      </c>
      <c r="H2389" t="s">
        <v>125</v>
      </c>
      <c r="I2389">
        <v>2022</v>
      </c>
      <c r="J2389" t="s">
        <v>319</v>
      </c>
      <c r="K2389" t="s">
        <v>127</v>
      </c>
      <c r="L2389" t="s">
        <v>2635</v>
      </c>
      <c r="M2389" t="s">
        <v>2642</v>
      </c>
      <c r="N2389">
        <v>1</v>
      </c>
      <c r="O2389">
        <v>2022</v>
      </c>
      <c r="P2389">
        <v>3017.9137098683868</v>
      </c>
      <c r="Q2389">
        <v>5.1641446916145979</v>
      </c>
      <c r="R2389" t="s">
        <v>109</v>
      </c>
      <c r="S2389">
        <v>584.39758955026878</v>
      </c>
      <c r="T2389">
        <v>4.3962485345838216</v>
      </c>
      <c r="U2389" t="s">
        <v>184</v>
      </c>
      <c r="V2389">
        <v>4.3962485345838216</v>
      </c>
      <c r="W2389">
        <v>9</v>
      </c>
      <c r="X2389">
        <v>22</v>
      </c>
      <c r="Y2389">
        <v>16</v>
      </c>
      <c r="Z2389">
        <v>5.8273038403982118E-2</v>
      </c>
      <c r="AA2389">
        <v>31.536000000000001</v>
      </c>
    </row>
    <row r="2390" spans="1:27" x14ac:dyDescent="0.25">
      <c r="A2390" t="s">
        <v>98</v>
      </c>
      <c r="B2390" t="s">
        <v>519</v>
      </c>
      <c r="C2390" t="s">
        <v>1028</v>
      </c>
      <c r="D2390" t="s">
        <v>1707</v>
      </c>
      <c r="E2390" t="s">
        <v>304</v>
      </c>
      <c r="F2390" t="s">
        <v>180</v>
      </c>
      <c r="G2390" t="s">
        <v>114</v>
      </c>
      <c r="H2390" t="s">
        <v>125</v>
      </c>
      <c r="I2390">
        <v>2023</v>
      </c>
      <c r="J2390" t="s">
        <v>321</v>
      </c>
      <c r="K2390" t="s">
        <v>127</v>
      </c>
      <c r="L2390" t="s">
        <v>2635</v>
      </c>
      <c r="M2390" t="s">
        <v>2643</v>
      </c>
      <c r="N2390">
        <v>1</v>
      </c>
      <c r="O2390">
        <v>2023</v>
      </c>
      <c r="P2390">
        <v>3266.447780092843</v>
      </c>
      <c r="Q2390">
        <v>5.1641446916145979</v>
      </c>
      <c r="R2390" t="s">
        <v>109</v>
      </c>
      <c r="S2390">
        <v>632.52444986617331</v>
      </c>
      <c r="T2390">
        <v>4.6893317702227444</v>
      </c>
      <c r="U2390" t="s">
        <v>184</v>
      </c>
      <c r="V2390">
        <v>4.6893317702227444</v>
      </c>
      <c r="W2390">
        <v>9</v>
      </c>
      <c r="X2390">
        <v>22</v>
      </c>
      <c r="Y2390">
        <v>16</v>
      </c>
      <c r="Z2390">
        <v>5.8273038403982118E-2</v>
      </c>
      <c r="AA2390">
        <v>31.536000000000001</v>
      </c>
    </row>
    <row r="2391" spans="1:27" x14ac:dyDescent="0.25">
      <c r="A2391" t="s">
        <v>98</v>
      </c>
      <c r="B2391" t="s">
        <v>519</v>
      </c>
      <c r="C2391" t="s">
        <v>1028</v>
      </c>
      <c r="D2391" t="s">
        <v>1707</v>
      </c>
      <c r="E2391" t="s">
        <v>304</v>
      </c>
      <c r="F2391" t="s">
        <v>180</v>
      </c>
      <c r="G2391" t="s">
        <v>119</v>
      </c>
      <c r="H2391" t="s">
        <v>125</v>
      </c>
      <c r="I2391">
        <v>2016</v>
      </c>
      <c r="J2391" t="s">
        <v>323</v>
      </c>
      <c r="K2391" t="s">
        <v>127</v>
      </c>
      <c r="L2391" t="s">
        <v>2635</v>
      </c>
      <c r="M2391" t="s">
        <v>2644</v>
      </c>
      <c r="N2391">
        <v>1</v>
      </c>
      <c r="O2391">
        <v>2020</v>
      </c>
      <c r="P2391">
        <v>3719.0451778176089</v>
      </c>
      <c r="Q2391">
        <v>5.1641446916145979</v>
      </c>
      <c r="R2391" t="s">
        <v>109</v>
      </c>
      <c r="S2391">
        <v>720.16672651649299</v>
      </c>
      <c r="T2391">
        <v>5.5685814771395066</v>
      </c>
      <c r="U2391" t="s">
        <v>184</v>
      </c>
      <c r="V2391">
        <v>5.5685814771395066</v>
      </c>
      <c r="W2391">
        <v>9</v>
      </c>
      <c r="X2391">
        <v>22</v>
      </c>
      <c r="Y2391">
        <v>16</v>
      </c>
      <c r="Z2391">
        <v>5.8273038403982118E-2</v>
      </c>
      <c r="AA2391">
        <v>31.536000000000001</v>
      </c>
    </row>
    <row r="2392" spans="1:27" x14ac:dyDescent="0.25">
      <c r="A2392" t="s">
        <v>98</v>
      </c>
      <c r="B2392" t="s">
        <v>519</v>
      </c>
      <c r="C2392" t="s">
        <v>1028</v>
      </c>
      <c r="D2392" t="s">
        <v>1707</v>
      </c>
      <c r="E2392" t="s">
        <v>304</v>
      </c>
      <c r="F2392" t="s">
        <v>180</v>
      </c>
      <c r="G2392" t="s">
        <v>119</v>
      </c>
      <c r="H2392" t="s">
        <v>125</v>
      </c>
      <c r="I2392">
        <v>2022</v>
      </c>
      <c r="J2392" t="s">
        <v>325</v>
      </c>
      <c r="K2392" t="s">
        <v>127</v>
      </c>
      <c r="L2392" t="s">
        <v>2635</v>
      </c>
      <c r="M2392" t="s">
        <v>2645</v>
      </c>
      <c r="N2392">
        <v>1</v>
      </c>
      <c r="O2392">
        <v>2022</v>
      </c>
      <c r="P2392">
        <v>3914.784397702746</v>
      </c>
      <c r="Q2392">
        <v>5.1641446916145979</v>
      </c>
      <c r="R2392" t="s">
        <v>109</v>
      </c>
      <c r="S2392">
        <v>758.07023843841353</v>
      </c>
      <c r="T2392">
        <v>5.8616647127784294</v>
      </c>
      <c r="U2392" t="s">
        <v>184</v>
      </c>
      <c r="V2392">
        <v>5.8616647127784294</v>
      </c>
      <c r="W2392">
        <v>9</v>
      </c>
      <c r="X2392">
        <v>22</v>
      </c>
      <c r="Y2392">
        <v>16</v>
      </c>
      <c r="Z2392">
        <v>5.8273038403982118E-2</v>
      </c>
      <c r="AA2392">
        <v>31.536000000000001</v>
      </c>
    </row>
    <row r="2393" spans="1:27" x14ac:dyDescent="0.25">
      <c r="A2393" t="s">
        <v>98</v>
      </c>
      <c r="B2393" t="s">
        <v>519</v>
      </c>
      <c r="C2393" t="s">
        <v>1028</v>
      </c>
      <c r="D2393" t="s">
        <v>1707</v>
      </c>
      <c r="E2393" t="s">
        <v>304</v>
      </c>
      <c r="F2393" t="s">
        <v>201</v>
      </c>
      <c r="G2393" t="s">
        <v>103</v>
      </c>
      <c r="H2393" t="s">
        <v>125</v>
      </c>
      <c r="I2393">
        <v>2016</v>
      </c>
      <c r="J2393" t="s">
        <v>327</v>
      </c>
      <c r="K2393" t="s">
        <v>127</v>
      </c>
      <c r="L2393" t="s">
        <v>2635</v>
      </c>
      <c r="M2393" t="s">
        <v>2646</v>
      </c>
      <c r="N2393">
        <v>1</v>
      </c>
      <c r="O2393">
        <v>2020</v>
      </c>
      <c r="P2393">
        <v>9511.0007826155233</v>
      </c>
      <c r="Q2393">
        <v>5.1641446916145979</v>
      </c>
      <c r="R2393" t="s">
        <v>109</v>
      </c>
      <c r="S2393">
        <v>1841.737857976605</v>
      </c>
      <c r="T2393">
        <v>14.1</v>
      </c>
      <c r="U2393" t="s">
        <v>329</v>
      </c>
      <c r="V2393">
        <v>4.1348973607038122</v>
      </c>
      <c r="W2393">
        <v>8</v>
      </c>
      <c r="X2393">
        <v>20.8</v>
      </c>
      <c r="Y2393">
        <v>15</v>
      </c>
      <c r="Z2393">
        <v>5.8273038403982118E-2</v>
      </c>
      <c r="AA2393">
        <v>31.536000000000001</v>
      </c>
    </row>
    <row r="2394" spans="1:27" x14ac:dyDescent="0.25">
      <c r="A2394" t="s">
        <v>98</v>
      </c>
      <c r="B2394" t="s">
        <v>519</v>
      </c>
      <c r="C2394" t="s">
        <v>1028</v>
      </c>
      <c r="D2394" t="s">
        <v>1707</v>
      </c>
      <c r="E2394" t="s">
        <v>304</v>
      </c>
      <c r="F2394" t="s">
        <v>201</v>
      </c>
      <c r="G2394" t="s">
        <v>111</v>
      </c>
      <c r="H2394" t="s">
        <v>125</v>
      </c>
      <c r="I2394">
        <v>2016</v>
      </c>
      <c r="J2394" t="s">
        <v>330</v>
      </c>
      <c r="K2394" t="s">
        <v>127</v>
      </c>
      <c r="L2394" t="s">
        <v>2635</v>
      </c>
      <c r="M2394" t="s">
        <v>2647</v>
      </c>
      <c r="N2394">
        <v>1</v>
      </c>
      <c r="O2394">
        <v>2020</v>
      </c>
      <c r="P2394">
        <v>9846.3245281564559</v>
      </c>
      <c r="Q2394">
        <v>5.1641446916145979</v>
      </c>
      <c r="R2394" t="s">
        <v>109</v>
      </c>
      <c r="S2394">
        <v>1906.6709234821899</v>
      </c>
      <c r="T2394">
        <v>17.3</v>
      </c>
      <c r="U2394" t="s">
        <v>329</v>
      </c>
      <c r="V2394">
        <v>5.0733137829912023</v>
      </c>
      <c r="W2394">
        <v>8</v>
      </c>
      <c r="X2394">
        <v>20.8</v>
      </c>
      <c r="Y2394">
        <v>15</v>
      </c>
      <c r="Z2394">
        <v>5.8273038403982118E-2</v>
      </c>
      <c r="AA2394">
        <v>31.536000000000001</v>
      </c>
    </row>
    <row r="2395" spans="1:27" x14ac:dyDescent="0.25">
      <c r="A2395" t="s">
        <v>98</v>
      </c>
      <c r="B2395" t="s">
        <v>519</v>
      </c>
      <c r="C2395" t="s">
        <v>1028</v>
      </c>
      <c r="D2395" t="s">
        <v>1707</v>
      </c>
      <c r="E2395" t="s">
        <v>304</v>
      </c>
      <c r="F2395" t="s">
        <v>201</v>
      </c>
      <c r="G2395" t="s">
        <v>114</v>
      </c>
      <c r="H2395" t="s">
        <v>125</v>
      </c>
      <c r="I2395">
        <v>2016</v>
      </c>
      <c r="J2395" t="s">
        <v>332</v>
      </c>
      <c r="K2395" t="s">
        <v>127</v>
      </c>
      <c r="L2395" t="s">
        <v>2635</v>
      </c>
      <c r="M2395" t="s">
        <v>2648</v>
      </c>
      <c r="N2395">
        <v>0</v>
      </c>
      <c r="O2395">
        <v>2020</v>
      </c>
      <c r="P2395">
        <v>9846.3245281564559</v>
      </c>
      <c r="Q2395">
        <v>5.1641446916145979</v>
      </c>
      <c r="R2395" t="s">
        <v>109</v>
      </c>
      <c r="S2395">
        <v>1906.6709234821899</v>
      </c>
      <c r="T2395">
        <v>17.100000000000001</v>
      </c>
      <c r="U2395" t="s">
        <v>329</v>
      </c>
      <c r="V2395">
        <v>5.0146627565982396</v>
      </c>
      <c r="W2395">
        <v>8</v>
      </c>
      <c r="X2395">
        <v>20.8</v>
      </c>
      <c r="Y2395">
        <v>15</v>
      </c>
      <c r="Z2395">
        <v>5.8273038403982118E-2</v>
      </c>
      <c r="AA2395">
        <v>31.536000000000001</v>
      </c>
    </row>
    <row r="2396" spans="1:27" x14ac:dyDescent="0.25">
      <c r="A2396" t="s">
        <v>98</v>
      </c>
      <c r="B2396" t="s">
        <v>519</v>
      </c>
      <c r="C2396" t="s">
        <v>1028</v>
      </c>
      <c r="D2396" t="s">
        <v>1707</v>
      </c>
      <c r="E2396" t="s">
        <v>304</v>
      </c>
      <c r="F2396" t="s">
        <v>201</v>
      </c>
      <c r="G2396" t="s">
        <v>114</v>
      </c>
      <c r="H2396" t="s">
        <v>125</v>
      </c>
      <c r="I2396">
        <v>2020</v>
      </c>
      <c r="J2396" t="s">
        <v>334</v>
      </c>
      <c r="K2396" t="s">
        <v>127</v>
      </c>
      <c r="L2396" t="s">
        <v>2635</v>
      </c>
      <c r="M2396" t="s">
        <v>2648</v>
      </c>
      <c r="N2396">
        <v>1</v>
      </c>
      <c r="O2396">
        <v>2020</v>
      </c>
      <c r="P2396">
        <v>9846.3245281564559</v>
      </c>
      <c r="Q2396">
        <v>5.1641446916145979</v>
      </c>
      <c r="R2396" t="s">
        <v>109</v>
      </c>
      <c r="S2396">
        <v>1906.6709234821899</v>
      </c>
      <c r="T2396">
        <v>17.100000000000001</v>
      </c>
      <c r="U2396" t="s">
        <v>329</v>
      </c>
      <c r="V2396">
        <v>5.0146627565982396</v>
      </c>
      <c r="W2396">
        <v>8</v>
      </c>
      <c r="X2396">
        <v>20.8</v>
      </c>
      <c r="Y2396">
        <v>15</v>
      </c>
      <c r="Z2396">
        <v>5.8273038403982118E-2</v>
      </c>
      <c r="AA2396">
        <v>31.536000000000001</v>
      </c>
    </row>
    <row r="2397" spans="1:27" x14ac:dyDescent="0.25">
      <c r="A2397" t="s">
        <v>98</v>
      </c>
      <c r="B2397" t="s">
        <v>519</v>
      </c>
      <c r="C2397" t="s">
        <v>1028</v>
      </c>
      <c r="D2397" t="s">
        <v>1707</v>
      </c>
      <c r="E2397" t="s">
        <v>304</v>
      </c>
      <c r="F2397" t="s">
        <v>201</v>
      </c>
      <c r="G2397" t="s">
        <v>114</v>
      </c>
      <c r="H2397" t="s">
        <v>125</v>
      </c>
      <c r="I2397">
        <v>2022</v>
      </c>
      <c r="J2397" t="s">
        <v>335</v>
      </c>
      <c r="K2397" t="s">
        <v>127</v>
      </c>
      <c r="L2397" t="s">
        <v>2635</v>
      </c>
      <c r="M2397" t="s">
        <v>2649</v>
      </c>
      <c r="N2397">
        <v>1</v>
      </c>
      <c r="O2397">
        <v>2022</v>
      </c>
      <c r="P2397">
        <v>9846.3245281564559</v>
      </c>
      <c r="Q2397">
        <v>5.1641446916145979</v>
      </c>
      <c r="R2397" t="s">
        <v>109</v>
      </c>
      <c r="S2397">
        <v>1906.6709234821899</v>
      </c>
      <c r="T2397">
        <v>17.100000000000001</v>
      </c>
      <c r="U2397" t="s">
        <v>329</v>
      </c>
      <c r="V2397">
        <v>5.0146627565982396</v>
      </c>
      <c r="W2397">
        <v>8</v>
      </c>
      <c r="X2397">
        <v>20.8</v>
      </c>
      <c r="Y2397">
        <v>15</v>
      </c>
      <c r="Z2397">
        <v>5.8273038403982118E-2</v>
      </c>
      <c r="AA2397">
        <v>31.536000000000001</v>
      </c>
    </row>
    <row r="2398" spans="1:27" x14ac:dyDescent="0.25">
      <c r="A2398" t="s">
        <v>98</v>
      </c>
      <c r="B2398" t="s">
        <v>519</v>
      </c>
      <c r="C2398" t="s">
        <v>1028</v>
      </c>
      <c r="D2398" t="s">
        <v>1707</v>
      </c>
      <c r="E2398" t="s">
        <v>304</v>
      </c>
      <c r="F2398" t="s">
        <v>201</v>
      </c>
      <c r="G2398" t="s">
        <v>114</v>
      </c>
      <c r="H2398" t="s">
        <v>125</v>
      </c>
      <c r="I2398">
        <v>2023</v>
      </c>
      <c r="J2398" t="s">
        <v>337</v>
      </c>
      <c r="K2398" t="s">
        <v>127</v>
      </c>
      <c r="L2398" t="s">
        <v>2635</v>
      </c>
      <c r="M2398" t="s">
        <v>2650</v>
      </c>
      <c r="N2398">
        <v>1</v>
      </c>
      <c r="O2398">
        <v>2023</v>
      </c>
      <c r="P2398">
        <v>9846.3245281564559</v>
      </c>
      <c r="Q2398">
        <v>5.1641446916145979</v>
      </c>
      <c r="R2398" t="s">
        <v>109</v>
      </c>
      <c r="S2398">
        <v>1906.6709234821899</v>
      </c>
      <c r="T2398">
        <v>17.100000000000001</v>
      </c>
      <c r="U2398" t="s">
        <v>329</v>
      </c>
      <c r="V2398">
        <v>5.0146627565982396</v>
      </c>
      <c r="W2398">
        <v>8</v>
      </c>
      <c r="X2398">
        <v>20.8</v>
      </c>
      <c r="Y2398">
        <v>15</v>
      </c>
      <c r="Z2398">
        <v>5.8273038403982118E-2</v>
      </c>
      <c r="AA2398">
        <v>31.536000000000001</v>
      </c>
    </row>
    <row r="2399" spans="1:27" x14ac:dyDescent="0.25">
      <c r="A2399" t="s">
        <v>98</v>
      </c>
      <c r="B2399" t="s">
        <v>519</v>
      </c>
      <c r="C2399" t="s">
        <v>1028</v>
      </c>
      <c r="D2399" t="s">
        <v>1707</v>
      </c>
      <c r="E2399" t="s">
        <v>304</v>
      </c>
      <c r="F2399" t="s">
        <v>201</v>
      </c>
      <c r="G2399" t="s">
        <v>114</v>
      </c>
      <c r="H2399" t="s">
        <v>125</v>
      </c>
      <c r="I2399">
        <v>2024</v>
      </c>
      <c r="J2399" t="s">
        <v>339</v>
      </c>
      <c r="K2399" t="s">
        <v>127</v>
      </c>
      <c r="L2399" t="s">
        <v>2635</v>
      </c>
      <c r="M2399" t="s">
        <v>2651</v>
      </c>
      <c r="N2399">
        <v>1</v>
      </c>
      <c r="O2399">
        <v>2024</v>
      </c>
      <c r="P2399">
        <v>9846.3245281564559</v>
      </c>
      <c r="Q2399">
        <v>5.1641446916145979</v>
      </c>
      <c r="R2399" t="s">
        <v>109</v>
      </c>
      <c r="S2399">
        <v>1906.6709234821899</v>
      </c>
      <c r="T2399">
        <v>17.100000000000001</v>
      </c>
      <c r="U2399" t="s">
        <v>329</v>
      </c>
      <c r="V2399">
        <v>5.0146627565982396</v>
      </c>
      <c r="W2399">
        <v>8</v>
      </c>
      <c r="X2399">
        <v>20.8</v>
      </c>
      <c r="Y2399">
        <v>15</v>
      </c>
      <c r="Z2399">
        <v>5.8273038403982118E-2</v>
      </c>
      <c r="AA2399">
        <v>31.536000000000001</v>
      </c>
    </row>
    <row r="2400" spans="1:27" x14ac:dyDescent="0.25">
      <c r="A2400" t="s">
        <v>98</v>
      </c>
      <c r="B2400" t="s">
        <v>519</v>
      </c>
      <c r="C2400" t="s">
        <v>1028</v>
      </c>
      <c r="D2400" t="s">
        <v>1707</v>
      </c>
      <c r="E2400" t="s">
        <v>304</v>
      </c>
      <c r="F2400" t="s">
        <v>201</v>
      </c>
      <c r="G2400" t="s">
        <v>119</v>
      </c>
      <c r="H2400" t="s">
        <v>125</v>
      </c>
      <c r="I2400">
        <v>2016</v>
      </c>
      <c r="J2400" t="s">
        <v>341</v>
      </c>
      <c r="K2400" t="s">
        <v>127</v>
      </c>
      <c r="L2400" t="s">
        <v>2635</v>
      </c>
      <c r="M2400" t="s">
        <v>2652</v>
      </c>
      <c r="N2400">
        <v>0</v>
      </c>
      <c r="O2400">
        <v>2020</v>
      </c>
      <c r="P2400">
        <v>10395.03611176889</v>
      </c>
      <c r="Q2400">
        <v>5.1641446916145979</v>
      </c>
      <c r="R2400" t="s">
        <v>109</v>
      </c>
      <c r="S2400">
        <v>2012.9250306731481</v>
      </c>
      <c r="T2400">
        <v>22.4</v>
      </c>
      <c r="U2400" t="s">
        <v>329</v>
      </c>
      <c r="V2400">
        <v>6.5689149560117297</v>
      </c>
      <c r="W2400">
        <v>8</v>
      </c>
      <c r="X2400">
        <v>20.8</v>
      </c>
      <c r="Y2400">
        <v>15</v>
      </c>
      <c r="Z2400">
        <v>5.8273038403982118E-2</v>
      </c>
      <c r="AA2400">
        <v>31.536000000000001</v>
      </c>
    </row>
    <row r="2401" spans="1:27" x14ac:dyDescent="0.25">
      <c r="A2401" t="s">
        <v>98</v>
      </c>
      <c r="B2401" t="s">
        <v>519</v>
      </c>
      <c r="C2401" t="s">
        <v>1028</v>
      </c>
      <c r="D2401" t="s">
        <v>1707</v>
      </c>
      <c r="E2401" t="s">
        <v>304</v>
      </c>
      <c r="F2401" t="s">
        <v>201</v>
      </c>
      <c r="G2401" t="s">
        <v>119</v>
      </c>
      <c r="H2401" t="s">
        <v>125</v>
      </c>
      <c r="I2401">
        <v>2020</v>
      </c>
      <c r="J2401" t="s">
        <v>343</v>
      </c>
      <c r="K2401" t="s">
        <v>127</v>
      </c>
      <c r="L2401" t="s">
        <v>2635</v>
      </c>
      <c r="M2401" t="s">
        <v>2652</v>
      </c>
      <c r="N2401">
        <v>1</v>
      </c>
      <c r="O2401">
        <v>2020</v>
      </c>
      <c r="P2401">
        <v>10395.03611176889</v>
      </c>
      <c r="Q2401">
        <v>5.1641446916145979</v>
      </c>
      <c r="R2401" t="s">
        <v>109</v>
      </c>
      <c r="S2401">
        <v>2012.9250306731481</v>
      </c>
      <c r="T2401">
        <v>22.4</v>
      </c>
      <c r="U2401" t="s">
        <v>329</v>
      </c>
      <c r="V2401">
        <v>6.5689149560117297</v>
      </c>
      <c r="W2401">
        <v>8</v>
      </c>
      <c r="X2401">
        <v>20.8</v>
      </c>
      <c r="Y2401">
        <v>15</v>
      </c>
      <c r="Z2401">
        <v>5.8273038403982118E-2</v>
      </c>
      <c r="AA2401">
        <v>31.536000000000001</v>
      </c>
    </row>
    <row r="2402" spans="1:27" x14ac:dyDescent="0.25">
      <c r="A2402" t="s">
        <v>98</v>
      </c>
      <c r="B2402" t="s">
        <v>519</v>
      </c>
      <c r="C2402" t="s">
        <v>1028</v>
      </c>
      <c r="D2402" t="s">
        <v>1707</v>
      </c>
      <c r="E2402" t="s">
        <v>304</v>
      </c>
      <c r="F2402" t="s">
        <v>201</v>
      </c>
      <c r="G2402" t="s">
        <v>119</v>
      </c>
      <c r="H2402" t="s">
        <v>125</v>
      </c>
      <c r="I2402">
        <v>2022</v>
      </c>
      <c r="J2402" t="s">
        <v>344</v>
      </c>
      <c r="K2402" t="s">
        <v>127</v>
      </c>
      <c r="L2402" t="s">
        <v>2635</v>
      </c>
      <c r="M2402" t="s">
        <v>2653</v>
      </c>
      <c r="N2402">
        <v>1</v>
      </c>
      <c r="O2402">
        <v>2022</v>
      </c>
      <c r="P2402">
        <v>10395.03611176889</v>
      </c>
      <c r="Q2402">
        <v>5.1641446916145979</v>
      </c>
      <c r="R2402" t="s">
        <v>109</v>
      </c>
      <c r="S2402">
        <v>2012.9250306731481</v>
      </c>
      <c r="T2402">
        <v>22.4</v>
      </c>
      <c r="U2402" t="s">
        <v>329</v>
      </c>
      <c r="V2402">
        <v>6.5689149560117297</v>
      </c>
      <c r="W2402">
        <v>8</v>
      </c>
      <c r="X2402">
        <v>20.8</v>
      </c>
      <c r="Y2402">
        <v>15</v>
      </c>
      <c r="Z2402">
        <v>5.8273038403982118E-2</v>
      </c>
      <c r="AA2402">
        <v>31.536000000000001</v>
      </c>
    </row>
    <row r="2403" spans="1:27" x14ac:dyDescent="0.25">
      <c r="A2403" t="s">
        <v>98</v>
      </c>
      <c r="B2403" t="s">
        <v>519</v>
      </c>
      <c r="C2403" t="s">
        <v>1028</v>
      </c>
      <c r="D2403" t="s">
        <v>1707</v>
      </c>
      <c r="E2403" t="s">
        <v>304</v>
      </c>
      <c r="F2403" t="s">
        <v>201</v>
      </c>
      <c r="G2403" t="s">
        <v>119</v>
      </c>
      <c r="H2403" t="s">
        <v>125</v>
      </c>
      <c r="I2403">
        <v>2023</v>
      </c>
      <c r="J2403" t="s">
        <v>346</v>
      </c>
      <c r="K2403" t="s">
        <v>127</v>
      </c>
      <c r="L2403" t="s">
        <v>2635</v>
      </c>
      <c r="M2403" t="s">
        <v>2654</v>
      </c>
      <c r="N2403">
        <v>1</v>
      </c>
      <c r="O2403">
        <v>2023</v>
      </c>
      <c r="P2403">
        <v>10395.03611176889</v>
      </c>
      <c r="Q2403">
        <v>5.1641446916145979</v>
      </c>
      <c r="R2403" t="s">
        <v>109</v>
      </c>
      <c r="S2403">
        <v>2012.9250306731481</v>
      </c>
      <c r="T2403">
        <v>22.4</v>
      </c>
      <c r="U2403" t="s">
        <v>329</v>
      </c>
      <c r="V2403">
        <v>6.5689149560117297</v>
      </c>
      <c r="W2403">
        <v>8</v>
      </c>
      <c r="X2403">
        <v>20.8</v>
      </c>
      <c r="Y2403">
        <v>15</v>
      </c>
      <c r="Z2403">
        <v>5.8273038403982118E-2</v>
      </c>
      <c r="AA2403">
        <v>31.536000000000001</v>
      </c>
    </row>
    <row r="2404" spans="1:27" x14ac:dyDescent="0.25">
      <c r="A2404" t="s">
        <v>98</v>
      </c>
      <c r="B2404" t="s">
        <v>519</v>
      </c>
      <c r="C2404" t="s">
        <v>1028</v>
      </c>
      <c r="D2404" t="s">
        <v>1707</v>
      </c>
      <c r="E2404" t="s">
        <v>304</v>
      </c>
      <c r="F2404" t="s">
        <v>201</v>
      </c>
      <c r="G2404" t="s">
        <v>119</v>
      </c>
      <c r="H2404" t="s">
        <v>125</v>
      </c>
      <c r="I2404">
        <v>2024</v>
      </c>
      <c r="J2404" t="s">
        <v>348</v>
      </c>
      <c r="K2404" t="s">
        <v>127</v>
      </c>
      <c r="L2404" t="s">
        <v>2635</v>
      </c>
      <c r="M2404" t="s">
        <v>2655</v>
      </c>
      <c r="N2404">
        <v>1</v>
      </c>
      <c r="O2404">
        <v>2024</v>
      </c>
      <c r="P2404">
        <v>10395.03611176889</v>
      </c>
      <c r="Q2404">
        <v>5.1641446916145979</v>
      </c>
      <c r="R2404" t="s">
        <v>109</v>
      </c>
      <c r="S2404">
        <v>2012.9250306731481</v>
      </c>
      <c r="T2404">
        <v>22.4</v>
      </c>
      <c r="U2404" t="s">
        <v>329</v>
      </c>
      <c r="V2404">
        <v>6.5689149560117297</v>
      </c>
      <c r="W2404">
        <v>8</v>
      </c>
      <c r="X2404">
        <v>20.8</v>
      </c>
      <c r="Y2404">
        <v>15</v>
      </c>
      <c r="Z2404">
        <v>5.8273038403982118E-2</v>
      </c>
      <c r="AA2404">
        <v>31.536000000000001</v>
      </c>
    </row>
    <row r="2405" spans="1:27" x14ac:dyDescent="0.25">
      <c r="A2405" t="s">
        <v>98</v>
      </c>
      <c r="B2405" t="s">
        <v>519</v>
      </c>
      <c r="C2405" t="s">
        <v>1028</v>
      </c>
      <c r="D2405" t="s">
        <v>1707</v>
      </c>
      <c r="E2405" t="s">
        <v>304</v>
      </c>
      <c r="F2405" t="s">
        <v>350</v>
      </c>
      <c r="G2405" t="s">
        <v>103</v>
      </c>
      <c r="H2405" t="s">
        <v>125</v>
      </c>
      <c r="I2405">
        <v>2016</v>
      </c>
      <c r="J2405" t="s">
        <v>351</v>
      </c>
      <c r="K2405" t="s">
        <v>127</v>
      </c>
      <c r="L2405" t="s">
        <v>2635</v>
      </c>
      <c r="M2405" t="s">
        <v>2656</v>
      </c>
      <c r="N2405">
        <v>1</v>
      </c>
      <c r="O2405">
        <v>2020</v>
      </c>
      <c r="P2405">
        <v>756.00262631046473</v>
      </c>
      <c r="Q2405">
        <v>5.1641446916145979</v>
      </c>
      <c r="R2405" t="s">
        <v>109</v>
      </c>
      <c r="S2405">
        <v>146.39454768531991</v>
      </c>
      <c r="T2405">
        <v>3.1946072684642441</v>
      </c>
      <c r="U2405" t="s">
        <v>184</v>
      </c>
      <c r="V2405">
        <v>3.1946072684642441</v>
      </c>
      <c r="W2405">
        <v>6</v>
      </c>
      <c r="X2405">
        <v>13</v>
      </c>
      <c r="Y2405">
        <v>10</v>
      </c>
      <c r="Z2405">
        <v>5.8273038403982118E-2</v>
      </c>
      <c r="AA2405">
        <v>31.536000000000001</v>
      </c>
    </row>
    <row r="2406" spans="1:27" x14ac:dyDescent="0.25">
      <c r="A2406" t="s">
        <v>98</v>
      </c>
      <c r="B2406" t="s">
        <v>519</v>
      </c>
      <c r="C2406" t="s">
        <v>1028</v>
      </c>
      <c r="D2406" t="s">
        <v>1707</v>
      </c>
      <c r="E2406" t="s">
        <v>304</v>
      </c>
      <c r="F2406" t="s">
        <v>350</v>
      </c>
      <c r="G2406" t="s">
        <v>111</v>
      </c>
      <c r="H2406" t="s">
        <v>125</v>
      </c>
      <c r="I2406">
        <v>2016</v>
      </c>
      <c r="J2406" t="s">
        <v>353</v>
      </c>
      <c r="K2406" t="s">
        <v>127</v>
      </c>
      <c r="L2406" t="s">
        <v>2635</v>
      </c>
      <c r="M2406" t="s">
        <v>2657</v>
      </c>
      <c r="N2406">
        <v>1</v>
      </c>
      <c r="O2406">
        <v>2020</v>
      </c>
      <c r="P2406">
        <v>780.38980780435065</v>
      </c>
      <c r="Q2406">
        <v>5.1641446916145979</v>
      </c>
      <c r="R2406" t="s">
        <v>109</v>
      </c>
      <c r="S2406">
        <v>151.1169524493624</v>
      </c>
      <c r="T2406">
        <v>3.5169988276670581</v>
      </c>
      <c r="U2406" t="s">
        <v>184</v>
      </c>
      <c r="V2406">
        <v>3.5169988276670581</v>
      </c>
      <c r="W2406">
        <v>6</v>
      </c>
      <c r="X2406">
        <v>13</v>
      </c>
      <c r="Y2406">
        <v>10</v>
      </c>
      <c r="Z2406">
        <v>5.8273038403982118E-2</v>
      </c>
      <c r="AA2406">
        <v>31.536000000000001</v>
      </c>
    </row>
    <row r="2407" spans="1:27" x14ac:dyDescent="0.25">
      <c r="A2407" t="s">
        <v>98</v>
      </c>
      <c r="B2407" t="s">
        <v>519</v>
      </c>
      <c r="C2407" t="s">
        <v>1028</v>
      </c>
      <c r="D2407" t="s">
        <v>1707</v>
      </c>
      <c r="E2407" t="s">
        <v>304</v>
      </c>
      <c r="F2407" t="s">
        <v>350</v>
      </c>
      <c r="G2407" t="s">
        <v>111</v>
      </c>
      <c r="H2407" t="s">
        <v>125</v>
      </c>
      <c r="I2407">
        <v>2030</v>
      </c>
      <c r="J2407" t="s">
        <v>355</v>
      </c>
      <c r="K2407" t="s">
        <v>127</v>
      </c>
      <c r="L2407" t="s">
        <v>2635</v>
      </c>
      <c r="M2407" t="s">
        <v>2658</v>
      </c>
      <c r="N2407">
        <v>1</v>
      </c>
      <c r="O2407">
        <v>2030</v>
      </c>
      <c r="P2407">
        <v>780.38980780435065</v>
      </c>
      <c r="Q2407">
        <v>5.1641446916145979</v>
      </c>
      <c r="R2407" t="s">
        <v>109</v>
      </c>
      <c r="S2407">
        <v>151.1169524493624</v>
      </c>
      <c r="T2407">
        <v>3.5902696365767879</v>
      </c>
      <c r="U2407" t="s">
        <v>184</v>
      </c>
      <c r="V2407">
        <v>3.5902696365767879</v>
      </c>
      <c r="W2407">
        <v>6</v>
      </c>
      <c r="X2407">
        <v>13</v>
      </c>
      <c r="Y2407">
        <v>10</v>
      </c>
      <c r="Z2407">
        <v>5.8273038403982118E-2</v>
      </c>
      <c r="AA2407">
        <v>31.536000000000001</v>
      </c>
    </row>
    <row r="2408" spans="1:27" x14ac:dyDescent="0.25">
      <c r="A2408" t="s">
        <v>98</v>
      </c>
      <c r="B2408" t="s">
        <v>519</v>
      </c>
      <c r="C2408" t="s">
        <v>1028</v>
      </c>
      <c r="D2408" t="s">
        <v>1707</v>
      </c>
      <c r="E2408" t="s">
        <v>304</v>
      </c>
      <c r="F2408" t="s">
        <v>350</v>
      </c>
      <c r="G2408" t="s">
        <v>111</v>
      </c>
      <c r="H2408" t="s">
        <v>125</v>
      </c>
      <c r="I2408">
        <v>2040</v>
      </c>
      <c r="J2408" t="s">
        <v>357</v>
      </c>
      <c r="K2408" t="s">
        <v>127</v>
      </c>
      <c r="L2408" t="s">
        <v>2635</v>
      </c>
      <c r="M2408" t="s">
        <v>2659</v>
      </c>
      <c r="N2408">
        <v>1</v>
      </c>
      <c r="O2408">
        <v>2040</v>
      </c>
      <c r="P2408">
        <v>780.38980780435065</v>
      </c>
      <c r="Q2408">
        <v>5.1641446916145979</v>
      </c>
      <c r="R2408" t="s">
        <v>109</v>
      </c>
      <c r="S2408">
        <v>151.1169524493624</v>
      </c>
      <c r="T2408">
        <v>3.6635404454865181</v>
      </c>
      <c r="U2408" t="s">
        <v>184</v>
      </c>
      <c r="V2408">
        <v>3.6635404454865181</v>
      </c>
      <c r="W2408">
        <v>6</v>
      </c>
      <c r="X2408">
        <v>13</v>
      </c>
      <c r="Y2408">
        <v>10</v>
      </c>
      <c r="Z2408">
        <v>5.8273038403982118E-2</v>
      </c>
      <c r="AA2408">
        <v>31.536000000000001</v>
      </c>
    </row>
    <row r="2409" spans="1:27" x14ac:dyDescent="0.25">
      <c r="A2409" t="s">
        <v>98</v>
      </c>
      <c r="B2409" t="s">
        <v>519</v>
      </c>
      <c r="C2409" t="s">
        <v>1028</v>
      </c>
      <c r="D2409" t="s">
        <v>1707</v>
      </c>
      <c r="E2409" t="s">
        <v>304</v>
      </c>
      <c r="F2409" t="s">
        <v>350</v>
      </c>
      <c r="G2409" t="s">
        <v>114</v>
      </c>
      <c r="H2409" t="s">
        <v>125</v>
      </c>
      <c r="I2409">
        <v>2016</v>
      </c>
      <c r="J2409" t="s">
        <v>359</v>
      </c>
      <c r="K2409" t="s">
        <v>127</v>
      </c>
      <c r="L2409" t="s">
        <v>2635</v>
      </c>
      <c r="M2409" t="s">
        <v>2660</v>
      </c>
      <c r="N2409">
        <v>1</v>
      </c>
      <c r="O2409">
        <v>2020</v>
      </c>
      <c r="P2409">
        <v>780.38980780435065</v>
      </c>
      <c r="Q2409">
        <v>5.1641446916145979</v>
      </c>
      <c r="R2409" t="s">
        <v>109</v>
      </c>
      <c r="S2409">
        <v>151.1169524493624</v>
      </c>
      <c r="T2409">
        <v>3.5169988276670581</v>
      </c>
      <c r="U2409" t="s">
        <v>184</v>
      </c>
      <c r="V2409">
        <v>3.5169988276670581</v>
      </c>
      <c r="W2409">
        <v>6</v>
      </c>
      <c r="X2409">
        <v>13</v>
      </c>
      <c r="Y2409">
        <v>10</v>
      </c>
      <c r="Z2409">
        <v>5.8273038403982118E-2</v>
      </c>
      <c r="AA2409">
        <v>31.536000000000001</v>
      </c>
    </row>
    <row r="2410" spans="1:27" x14ac:dyDescent="0.25">
      <c r="A2410" t="s">
        <v>98</v>
      </c>
      <c r="B2410" t="s">
        <v>519</v>
      </c>
      <c r="C2410" t="s">
        <v>1028</v>
      </c>
      <c r="D2410" t="s">
        <v>1707</v>
      </c>
      <c r="E2410" t="s">
        <v>304</v>
      </c>
      <c r="F2410" t="s">
        <v>350</v>
      </c>
      <c r="G2410" t="s">
        <v>119</v>
      </c>
      <c r="H2410" t="s">
        <v>125</v>
      </c>
      <c r="I2410">
        <v>2016</v>
      </c>
      <c r="J2410" t="s">
        <v>361</v>
      </c>
      <c r="K2410" t="s">
        <v>127</v>
      </c>
      <c r="L2410" t="s">
        <v>2635</v>
      </c>
      <c r="M2410" t="s">
        <v>2661</v>
      </c>
      <c r="N2410">
        <v>1</v>
      </c>
      <c r="O2410">
        <v>2020</v>
      </c>
      <c r="P2410">
        <v>859.64814765948006</v>
      </c>
      <c r="Q2410">
        <v>5.1641446916145979</v>
      </c>
      <c r="R2410" t="s">
        <v>109</v>
      </c>
      <c r="S2410">
        <v>166.46476793250079</v>
      </c>
      <c r="T2410">
        <v>3.6049237983587341</v>
      </c>
      <c r="U2410" t="s">
        <v>184</v>
      </c>
      <c r="V2410">
        <v>3.6049237983587341</v>
      </c>
      <c r="W2410">
        <v>6</v>
      </c>
      <c r="X2410">
        <v>13</v>
      </c>
      <c r="Y2410">
        <v>10</v>
      </c>
      <c r="Z2410">
        <v>5.8273038403982118E-2</v>
      </c>
      <c r="AA2410">
        <v>31.536000000000001</v>
      </c>
    </row>
    <row r="2411" spans="1:27" x14ac:dyDescent="0.25">
      <c r="A2411" t="s">
        <v>98</v>
      </c>
      <c r="B2411" t="s">
        <v>519</v>
      </c>
      <c r="C2411" t="s">
        <v>1028</v>
      </c>
      <c r="D2411" t="s">
        <v>1707</v>
      </c>
      <c r="E2411" t="s">
        <v>304</v>
      </c>
      <c r="F2411" t="s">
        <v>350</v>
      </c>
      <c r="G2411" t="s">
        <v>119</v>
      </c>
      <c r="H2411" t="s">
        <v>125</v>
      </c>
      <c r="I2411">
        <v>2022</v>
      </c>
      <c r="J2411" t="s">
        <v>363</v>
      </c>
      <c r="K2411" t="s">
        <v>127</v>
      </c>
      <c r="L2411" t="s">
        <v>2635</v>
      </c>
      <c r="M2411" t="s">
        <v>2662</v>
      </c>
      <c r="N2411">
        <v>1</v>
      </c>
      <c r="O2411">
        <v>2022</v>
      </c>
      <c r="P2411">
        <v>859.64814765948006</v>
      </c>
      <c r="Q2411">
        <v>5.1641446916145979</v>
      </c>
      <c r="R2411" t="s">
        <v>109</v>
      </c>
      <c r="S2411">
        <v>166.46476793250079</v>
      </c>
      <c r="T2411">
        <v>3.6635404454865181</v>
      </c>
      <c r="U2411" t="s">
        <v>184</v>
      </c>
      <c r="V2411">
        <v>3.6635404454865181</v>
      </c>
      <c r="W2411">
        <v>6</v>
      </c>
      <c r="X2411">
        <v>13</v>
      </c>
      <c r="Y2411">
        <v>10</v>
      </c>
      <c r="Z2411">
        <v>5.8273038403982118E-2</v>
      </c>
      <c r="AA2411">
        <v>31.536000000000001</v>
      </c>
    </row>
    <row r="2412" spans="1:27" x14ac:dyDescent="0.25">
      <c r="A2412" t="s">
        <v>98</v>
      </c>
      <c r="B2412" t="s">
        <v>519</v>
      </c>
      <c r="C2412" t="s">
        <v>1028</v>
      </c>
      <c r="D2412" t="s">
        <v>1707</v>
      </c>
      <c r="E2412" t="s">
        <v>304</v>
      </c>
      <c r="F2412" t="s">
        <v>350</v>
      </c>
      <c r="G2412" t="s">
        <v>119</v>
      </c>
      <c r="H2412" t="s">
        <v>125</v>
      </c>
      <c r="I2412">
        <v>2030</v>
      </c>
      <c r="J2412" t="s">
        <v>365</v>
      </c>
      <c r="K2412" t="s">
        <v>127</v>
      </c>
      <c r="L2412" t="s">
        <v>2635</v>
      </c>
      <c r="M2412" t="s">
        <v>2663</v>
      </c>
      <c r="N2412">
        <v>1</v>
      </c>
      <c r="O2412">
        <v>2030</v>
      </c>
      <c r="P2412">
        <v>859.64814765948006</v>
      </c>
      <c r="Q2412">
        <v>5.1641446916145979</v>
      </c>
      <c r="R2412" t="s">
        <v>109</v>
      </c>
      <c r="S2412">
        <v>166.46476793250079</v>
      </c>
      <c r="T2412">
        <v>3.8100820633059791</v>
      </c>
      <c r="U2412" t="s">
        <v>184</v>
      </c>
      <c r="V2412">
        <v>3.8100820633059791</v>
      </c>
      <c r="W2412">
        <v>6</v>
      </c>
      <c r="X2412">
        <v>13</v>
      </c>
      <c r="Y2412">
        <v>10</v>
      </c>
      <c r="Z2412">
        <v>5.8273038403982118E-2</v>
      </c>
      <c r="AA2412">
        <v>31.536000000000001</v>
      </c>
    </row>
    <row r="2413" spans="1:27" x14ac:dyDescent="0.25">
      <c r="A2413" t="s">
        <v>98</v>
      </c>
      <c r="B2413" t="s">
        <v>519</v>
      </c>
      <c r="C2413" t="s">
        <v>1028</v>
      </c>
      <c r="D2413" t="s">
        <v>1707</v>
      </c>
      <c r="E2413" t="s">
        <v>304</v>
      </c>
      <c r="F2413" t="s">
        <v>350</v>
      </c>
      <c r="G2413" t="s">
        <v>119</v>
      </c>
      <c r="H2413" t="s">
        <v>125</v>
      </c>
      <c r="I2413">
        <v>2040</v>
      </c>
      <c r="J2413" t="s">
        <v>367</v>
      </c>
      <c r="K2413" t="s">
        <v>127</v>
      </c>
      <c r="L2413" t="s">
        <v>2635</v>
      </c>
      <c r="M2413" t="s">
        <v>2664</v>
      </c>
      <c r="N2413">
        <v>1</v>
      </c>
      <c r="O2413">
        <v>2040</v>
      </c>
      <c r="P2413">
        <v>859.64814765948006</v>
      </c>
      <c r="Q2413">
        <v>5.1641446916145979</v>
      </c>
      <c r="R2413" t="s">
        <v>109</v>
      </c>
      <c r="S2413">
        <v>166.46476793250079</v>
      </c>
      <c r="T2413">
        <v>3.9566236811254401</v>
      </c>
      <c r="U2413" t="s">
        <v>184</v>
      </c>
      <c r="V2413">
        <v>3.9566236811254401</v>
      </c>
      <c r="W2413">
        <v>6</v>
      </c>
      <c r="X2413">
        <v>13</v>
      </c>
      <c r="Y2413">
        <v>10</v>
      </c>
      <c r="Z2413">
        <v>5.8273038403982118E-2</v>
      </c>
      <c r="AA2413">
        <v>31.536000000000001</v>
      </c>
    </row>
    <row r="2414" spans="1:27" x14ac:dyDescent="0.25">
      <c r="A2414" t="s">
        <v>98</v>
      </c>
      <c r="B2414" t="s">
        <v>519</v>
      </c>
      <c r="C2414" t="s">
        <v>1028</v>
      </c>
      <c r="D2414" t="s">
        <v>1707</v>
      </c>
      <c r="E2414" t="s">
        <v>304</v>
      </c>
      <c r="F2414" t="s">
        <v>369</v>
      </c>
      <c r="G2414" t="s">
        <v>103</v>
      </c>
      <c r="H2414" t="s">
        <v>125</v>
      </c>
      <c r="I2414">
        <v>2016</v>
      </c>
      <c r="J2414" t="s">
        <v>370</v>
      </c>
      <c r="K2414" t="s">
        <v>127</v>
      </c>
      <c r="L2414" t="s">
        <v>2635</v>
      </c>
      <c r="M2414" t="s">
        <v>2665</v>
      </c>
      <c r="N2414">
        <v>1</v>
      </c>
      <c r="O2414">
        <v>2020</v>
      </c>
      <c r="P2414">
        <v>4328.724715164758</v>
      </c>
      <c r="Q2414">
        <v>5.1641446916145979</v>
      </c>
      <c r="R2414" t="s">
        <v>109</v>
      </c>
      <c r="S2414">
        <v>838.22684561755739</v>
      </c>
      <c r="T2414">
        <v>3.8100820633059791</v>
      </c>
      <c r="U2414" t="s">
        <v>184</v>
      </c>
      <c r="V2414">
        <v>3.8100820633059791</v>
      </c>
      <c r="W2414">
        <v>11</v>
      </c>
      <c r="X2414">
        <v>25</v>
      </c>
      <c r="Y2414">
        <v>19</v>
      </c>
      <c r="Z2414">
        <v>5.8273038403982118E-2</v>
      </c>
      <c r="AA2414">
        <v>31.536000000000001</v>
      </c>
    </row>
    <row r="2415" spans="1:27" x14ac:dyDescent="0.25">
      <c r="A2415" t="s">
        <v>98</v>
      </c>
      <c r="B2415" t="s">
        <v>519</v>
      </c>
      <c r="C2415" t="s">
        <v>1028</v>
      </c>
      <c r="D2415" t="s">
        <v>1707</v>
      </c>
      <c r="E2415" t="s">
        <v>304</v>
      </c>
      <c r="F2415" t="s">
        <v>369</v>
      </c>
      <c r="G2415" t="s">
        <v>103</v>
      </c>
      <c r="H2415" t="s">
        <v>125</v>
      </c>
      <c r="I2415">
        <v>2023</v>
      </c>
      <c r="J2415" t="s">
        <v>372</v>
      </c>
      <c r="K2415" t="s">
        <v>127</v>
      </c>
      <c r="L2415" t="s">
        <v>2635</v>
      </c>
      <c r="M2415" t="s">
        <v>2666</v>
      </c>
      <c r="N2415">
        <v>1</v>
      </c>
      <c r="O2415">
        <v>2023</v>
      </c>
      <c r="P2415">
        <v>4328.724715164758</v>
      </c>
      <c r="Q2415">
        <v>5.1641446916145979</v>
      </c>
      <c r="R2415" t="s">
        <v>109</v>
      </c>
      <c r="S2415">
        <v>838.22684561755739</v>
      </c>
      <c r="T2415">
        <v>3.8100820633059791</v>
      </c>
      <c r="U2415" t="s">
        <v>184</v>
      </c>
      <c r="V2415">
        <v>3.8100820633059791</v>
      </c>
      <c r="W2415">
        <v>11</v>
      </c>
      <c r="X2415">
        <v>25</v>
      </c>
      <c r="Y2415">
        <v>19</v>
      </c>
      <c r="Z2415">
        <v>5.8273038403982118E-2</v>
      </c>
      <c r="AA2415">
        <v>31.536000000000001</v>
      </c>
    </row>
    <row r="2416" spans="1:27" x14ac:dyDescent="0.25">
      <c r="A2416" t="s">
        <v>98</v>
      </c>
      <c r="B2416" t="s">
        <v>519</v>
      </c>
      <c r="C2416" t="s">
        <v>1028</v>
      </c>
      <c r="D2416" t="s">
        <v>1707</v>
      </c>
      <c r="E2416" t="s">
        <v>304</v>
      </c>
      <c r="F2416" t="s">
        <v>369</v>
      </c>
      <c r="G2416" t="s">
        <v>111</v>
      </c>
      <c r="H2416" t="s">
        <v>125</v>
      </c>
      <c r="I2416">
        <v>2016</v>
      </c>
      <c r="J2416" t="s">
        <v>374</v>
      </c>
      <c r="K2416" t="s">
        <v>127</v>
      </c>
      <c r="L2416" t="s">
        <v>2635</v>
      </c>
      <c r="M2416" t="s">
        <v>2667</v>
      </c>
      <c r="N2416">
        <v>1</v>
      </c>
      <c r="O2416">
        <v>2020</v>
      </c>
      <c r="P2416">
        <v>4450.6606226341873</v>
      </c>
      <c r="Q2416">
        <v>5.1641446916145979</v>
      </c>
      <c r="R2416" t="s">
        <v>109</v>
      </c>
      <c r="S2416">
        <v>861.8388694377702</v>
      </c>
      <c r="T2416">
        <v>4.0738569753810081</v>
      </c>
      <c r="U2416" t="s">
        <v>184</v>
      </c>
      <c r="V2416">
        <v>4.0738569753810081</v>
      </c>
      <c r="W2416">
        <v>11</v>
      </c>
      <c r="X2416">
        <v>25</v>
      </c>
      <c r="Y2416">
        <v>19</v>
      </c>
      <c r="Z2416">
        <v>5.8273038403982118E-2</v>
      </c>
      <c r="AA2416">
        <v>31.536000000000001</v>
      </c>
    </row>
    <row r="2417" spans="1:27" x14ac:dyDescent="0.25">
      <c r="A2417" t="s">
        <v>98</v>
      </c>
      <c r="B2417" t="s">
        <v>519</v>
      </c>
      <c r="C2417" t="s">
        <v>1028</v>
      </c>
      <c r="D2417" t="s">
        <v>1707</v>
      </c>
      <c r="E2417" t="s">
        <v>304</v>
      </c>
      <c r="F2417" t="s">
        <v>369</v>
      </c>
      <c r="G2417" t="s">
        <v>111</v>
      </c>
      <c r="H2417" t="s">
        <v>125</v>
      </c>
      <c r="I2417">
        <v>2023</v>
      </c>
      <c r="J2417" t="s">
        <v>376</v>
      </c>
      <c r="K2417" t="s">
        <v>127</v>
      </c>
      <c r="L2417" t="s">
        <v>2635</v>
      </c>
      <c r="M2417" t="s">
        <v>2668</v>
      </c>
      <c r="N2417">
        <v>1</v>
      </c>
      <c r="O2417">
        <v>2023</v>
      </c>
      <c r="P2417">
        <v>4511.628576368902</v>
      </c>
      <c r="Q2417">
        <v>5.1641446916145979</v>
      </c>
      <c r="R2417" t="s">
        <v>109</v>
      </c>
      <c r="S2417">
        <v>873.64488134787655</v>
      </c>
      <c r="T2417">
        <v>4.2203985932004704</v>
      </c>
      <c r="U2417" t="s">
        <v>184</v>
      </c>
      <c r="V2417">
        <v>4.2203985932004704</v>
      </c>
      <c r="W2417">
        <v>11</v>
      </c>
      <c r="X2417">
        <v>25</v>
      </c>
      <c r="Y2417">
        <v>19</v>
      </c>
      <c r="Z2417">
        <v>5.8273038403982118E-2</v>
      </c>
      <c r="AA2417">
        <v>31.536000000000001</v>
      </c>
    </row>
    <row r="2418" spans="1:27" x14ac:dyDescent="0.25">
      <c r="A2418" t="s">
        <v>98</v>
      </c>
      <c r="B2418" t="s">
        <v>519</v>
      </c>
      <c r="C2418" t="s">
        <v>1028</v>
      </c>
      <c r="D2418" t="s">
        <v>1707</v>
      </c>
      <c r="E2418" t="s">
        <v>304</v>
      </c>
      <c r="F2418" t="s">
        <v>369</v>
      </c>
      <c r="G2418" t="s">
        <v>114</v>
      </c>
      <c r="H2418" t="s">
        <v>125</v>
      </c>
      <c r="I2418">
        <v>2016</v>
      </c>
      <c r="J2418" t="s">
        <v>378</v>
      </c>
      <c r="K2418" t="s">
        <v>127</v>
      </c>
      <c r="L2418" t="s">
        <v>2635</v>
      </c>
      <c r="M2418" t="s">
        <v>2669</v>
      </c>
      <c r="N2418">
        <v>1</v>
      </c>
      <c r="O2418">
        <v>2020</v>
      </c>
      <c r="P2418">
        <v>4877.436298777192</v>
      </c>
      <c r="Q2418">
        <v>5.1641446916145979</v>
      </c>
      <c r="R2418" t="s">
        <v>109</v>
      </c>
      <c r="S2418">
        <v>944.48095280851533</v>
      </c>
      <c r="T2418">
        <v>4.3962485345838216</v>
      </c>
      <c r="U2418" t="s">
        <v>184</v>
      </c>
      <c r="V2418">
        <v>4.3962485345838216</v>
      </c>
      <c r="W2418">
        <v>11</v>
      </c>
      <c r="X2418">
        <v>25</v>
      </c>
      <c r="Y2418">
        <v>19</v>
      </c>
      <c r="Z2418">
        <v>5.8273038403982118E-2</v>
      </c>
      <c r="AA2418">
        <v>31.536000000000001</v>
      </c>
    </row>
    <row r="2419" spans="1:27" x14ac:dyDescent="0.25">
      <c r="A2419" t="s">
        <v>98</v>
      </c>
      <c r="B2419" t="s">
        <v>519</v>
      </c>
      <c r="C2419" t="s">
        <v>1028</v>
      </c>
      <c r="D2419" t="s">
        <v>1707</v>
      </c>
      <c r="E2419" t="s">
        <v>304</v>
      </c>
      <c r="F2419" t="s">
        <v>369</v>
      </c>
      <c r="G2419" t="s">
        <v>114</v>
      </c>
      <c r="H2419" t="s">
        <v>125</v>
      </c>
      <c r="I2419">
        <v>2023</v>
      </c>
      <c r="J2419" t="s">
        <v>380</v>
      </c>
      <c r="K2419" t="s">
        <v>127</v>
      </c>
      <c r="L2419" t="s">
        <v>2635</v>
      </c>
      <c r="M2419" t="s">
        <v>2670</v>
      </c>
      <c r="N2419">
        <v>1</v>
      </c>
      <c r="O2419">
        <v>2023</v>
      </c>
      <c r="P2419">
        <v>5202.5987186956727</v>
      </c>
      <c r="Q2419">
        <v>5.1641446916145979</v>
      </c>
      <c r="R2419" t="s">
        <v>109</v>
      </c>
      <c r="S2419">
        <v>1007.446349662417</v>
      </c>
      <c r="T2419">
        <v>4.6893317702227444</v>
      </c>
      <c r="U2419" t="s">
        <v>184</v>
      </c>
      <c r="V2419">
        <v>4.6893317702227444</v>
      </c>
      <c r="W2419">
        <v>11</v>
      </c>
      <c r="X2419">
        <v>25</v>
      </c>
      <c r="Y2419">
        <v>19</v>
      </c>
      <c r="Z2419">
        <v>5.8273038403982118E-2</v>
      </c>
      <c r="AA2419">
        <v>31.536000000000001</v>
      </c>
    </row>
    <row r="2420" spans="1:27" x14ac:dyDescent="0.25">
      <c r="A2420" t="s">
        <v>98</v>
      </c>
      <c r="B2420" t="s">
        <v>519</v>
      </c>
      <c r="C2420" t="s">
        <v>1028</v>
      </c>
      <c r="D2420" t="s">
        <v>1707</v>
      </c>
      <c r="E2420" t="s">
        <v>304</v>
      </c>
      <c r="F2420" t="s">
        <v>369</v>
      </c>
      <c r="G2420" t="s">
        <v>119</v>
      </c>
      <c r="H2420" t="s">
        <v>125</v>
      </c>
      <c r="I2420">
        <v>2016</v>
      </c>
      <c r="J2420" t="s">
        <v>382</v>
      </c>
      <c r="K2420" t="s">
        <v>127</v>
      </c>
      <c r="L2420" t="s">
        <v>2635</v>
      </c>
      <c r="M2420" t="s">
        <v>2671</v>
      </c>
      <c r="N2420">
        <v>1</v>
      </c>
      <c r="O2420">
        <v>2020</v>
      </c>
      <c r="P2420">
        <v>5670.0196973284856</v>
      </c>
      <c r="Q2420">
        <v>5.1641446916145979</v>
      </c>
      <c r="R2420" t="s">
        <v>109</v>
      </c>
      <c r="S2420">
        <v>1097.959107639899</v>
      </c>
      <c r="T2420">
        <v>4.835873388042204</v>
      </c>
      <c r="U2420" t="s">
        <v>184</v>
      </c>
      <c r="V2420">
        <v>4.835873388042204</v>
      </c>
      <c r="W2420">
        <v>11</v>
      </c>
      <c r="X2420">
        <v>25</v>
      </c>
      <c r="Y2420">
        <v>19</v>
      </c>
      <c r="Z2420">
        <v>5.8273038403982118E-2</v>
      </c>
      <c r="AA2420">
        <v>31.536000000000001</v>
      </c>
    </row>
    <row r="2421" spans="1:27" x14ac:dyDescent="0.25">
      <c r="A2421" t="s">
        <v>98</v>
      </c>
      <c r="B2421" t="s">
        <v>519</v>
      </c>
      <c r="C2421" t="s">
        <v>1028</v>
      </c>
      <c r="D2421" t="s">
        <v>1707</v>
      </c>
      <c r="E2421" t="s">
        <v>304</v>
      </c>
      <c r="F2421" t="s">
        <v>369</v>
      </c>
      <c r="G2421" t="s">
        <v>119</v>
      </c>
      <c r="H2421" t="s">
        <v>125</v>
      </c>
      <c r="I2421">
        <v>2022</v>
      </c>
      <c r="J2421" t="s">
        <v>384</v>
      </c>
      <c r="K2421" t="s">
        <v>127</v>
      </c>
      <c r="L2421" t="s">
        <v>2635</v>
      </c>
      <c r="M2421" t="s">
        <v>2672</v>
      </c>
      <c r="N2421">
        <v>1</v>
      </c>
      <c r="O2421">
        <v>2022</v>
      </c>
      <c r="P2421">
        <v>5670.0196973284856</v>
      </c>
      <c r="Q2421">
        <v>5.1641446916145979</v>
      </c>
      <c r="R2421" t="s">
        <v>109</v>
      </c>
      <c r="S2421">
        <v>1097.959107639899</v>
      </c>
      <c r="T2421">
        <v>4.835873388042204</v>
      </c>
      <c r="U2421" t="s">
        <v>184</v>
      </c>
      <c r="V2421">
        <v>4.835873388042204</v>
      </c>
      <c r="W2421">
        <v>11</v>
      </c>
      <c r="X2421">
        <v>25</v>
      </c>
      <c r="Y2421">
        <v>19</v>
      </c>
      <c r="Z2421">
        <v>5.8273038403982118E-2</v>
      </c>
      <c r="AA2421">
        <v>31.536000000000001</v>
      </c>
    </row>
    <row r="2422" spans="1:27" x14ac:dyDescent="0.25">
      <c r="A2422" t="s">
        <v>98</v>
      </c>
      <c r="B2422" t="s">
        <v>519</v>
      </c>
      <c r="C2422" t="s">
        <v>1028</v>
      </c>
      <c r="D2422" t="s">
        <v>1707</v>
      </c>
      <c r="E2422" t="s">
        <v>386</v>
      </c>
      <c r="G2422" t="s">
        <v>387</v>
      </c>
      <c r="H2422" t="s">
        <v>125</v>
      </c>
      <c r="I2422">
        <v>2016</v>
      </c>
      <c r="J2422" t="s">
        <v>388</v>
      </c>
      <c r="K2422" t="s">
        <v>127</v>
      </c>
      <c r="L2422" t="s">
        <v>2673</v>
      </c>
      <c r="M2422" t="s">
        <v>2674</v>
      </c>
      <c r="N2422">
        <v>1</v>
      </c>
      <c r="O2422">
        <v>2020</v>
      </c>
      <c r="P2422">
        <v>853.55135228600852</v>
      </c>
      <c r="Q2422">
        <v>4.3717947668625428</v>
      </c>
      <c r="R2422" t="s">
        <v>391</v>
      </c>
      <c r="S2422">
        <v>195.24048995981741</v>
      </c>
      <c r="T2422">
        <v>404.78399999999999</v>
      </c>
      <c r="U2422" t="s">
        <v>392</v>
      </c>
      <c r="V2422">
        <v>1.1306815642458099</v>
      </c>
      <c r="W2422">
        <v>11.625999787885601</v>
      </c>
      <c r="X2422">
        <v>21.895260974855479</v>
      </c>
      <c r="Y2422">
        <v>17</v>
      </c>
      <c r="Z2422">
        <v>0.65</v>
      </c>
      <c r="AA2422">
        <v>1</v>
      </c>
    </row>
    <row r="2423" spans="1:27" x14ac:dyDescent="0.25">
      <c r="A2423" t="s">
        <v>98</v>
      </c>
      <c r="B2423" t="s">
        <v>519</v>
      </c>
      <c r="C2423" t="s">
        <v>1028</v>
      </c>
      <c r="D2423" t="s">
        <v>1707</v>
      </c>
      <c r="E2423" t="s">
        <v>386</v>
      </c>
      <c r="G2423" t="s">
        <v>393</v>
      </c>
      <c r="H2423" t="s">
        <v>125</v>
      </c>
      <c r="I2423">
        <v>2016</v>
      </c>
      <c r="J2423" t="s">
        <v>394</v>
      </c>
      <c r="K2423" t="s">
        <v>127</v>
      </c>
      <c r="L2423" t="s">
        <v>2673</v>
      </c>
      <c r="M2423" t="s">
        <v>2675</v>
      </c>
      <c r="N2423">
        <v>1</v>
      </c>
      <c r="O2423">
        <v>2020</v>
      </c>
      <c r="P2423">
        <v>914.51930602072343</v>
      </c>
      <c r="Q2423">
        <v>4.3717947668625428</v>
      </c>
      <c r="R2423" t="s">
        <v>391</v>
      </c>
      <c r="S2423">
        <v>209.18623924266149</v>
      </c>
      <c r="T2423">
        <v>389</v>
      </c>
      <c r="U2423" t="s">
        <v>392</v>
      </c>
      <c r="V2423">
        <v>1.08659217877095</v>
      </c>
      <c r="W2423">
        <v>11.625999787885601</v>
      </c>
      <c r="X2423">
        <v>21.895260974855479</v>
      </c>
      <c r="Y2423">
        <v>17</v>
      </c>
      <c r="Z2423">
        <v>0.65</v>
      </c>
      <c r="AA2423">
        <v>1</v>
      </c>
    </row>
    <row r="2424" spans="1:27" x14ac:dyDescent="0.25">
      <c r="A2424" t="s">
        <v>98</v>
      </c>
      <c r="B2424" t="s">
        <v>519</v>
      </c>
      <c r="C2424" t="s">
        <v>1028</v>
      </c>
      <c r="D2424" t="s">
        <v>1707</v>
      </c>
      <c r="E2424" t="s">
        <v>386</v>
      </c>
      <c r="G2424" t="s">
        <v>396</v>
      </c>
      <c r="H2424" t="s">
        <v>125</v>
      </c>
      <c r="I2424">
        <v>2016</v>
      </c>
      <c r="J2424" t="s">
        <v>397</v>
      </c>
      <c r="K2424" t="s">
        <v>127</v>
      </c>
      <c r="L2424" t="s">
        <v>2673</v>
      </c>
      <c r="M2424" t="s">
        <v>2676</v>
      </c>
      <c r="N2424">
        <v>1</v>
      </c>
      <c r="O2424">
        <v>2020</v>
      </c>
      <c r="P2424">
        <v>1036.455213490153</v>
      </c>
      <c r="Q2424">
        <v>4.3717947668625428</v>
      </c>
      <c r="R2424" t="s">
        <v>391</v>
      </c>
      <c r="S2424">
        <v>237.0777378083497</v>
      </c>
      <c r="T2424">
        <v>364.30560000000003</v>
      </c>
      <c r="U2424" t="s">
        <v>392</v>
      </c>
      <c r="V2424">
        <v>1.0176134078212291</v>
      </c>
      <c r="W2424">
        <v>11.625999787885601</v>
      </c>
      <c r="X2424">
        <v>21.895260974855479</v>
      </c>
      <c r="Y2424">
        <v>17</v>
      </c>
      <c r="Z2424">
        <v>0.65</v>
      </c>
      <c r="AA2424">
        <v>1</v>
      </c>
    </row>
    <row r="2425" spans="1:27" x14ac:dyDescent="0.25">
      <c r="A2425" t="s">
        <v>98</v>
      </c>
      <c r="B2425" t="s">
        <v>519</v>
      </c>
      <c r="C2425" t="s">
        <v>1028</v>
      </c>
      <c r="D2425" t="s">
        <v>1707</v>
      </c>
      <c r="E2425" t="s">
        <v>386</v>
      </c>
      <c r="G2425" t="s">
        <v>399</v>
      </c>
      <c r="H2425" t="s">
        <v>125</v>
      </c>
      <c r="I2425">
        <v>2016</v>
      </c>
      <c r="J2425" t="s">
        <v>400</v>
      </c>
      <c r="K2425" t="s">
        <v>127</v>
      </c>
      <c r="L2425" t="s">
        <v>2673</v>
      </c>
      <c r="M2425" t="s">
        <v>2677</v>
      </c>
      <c r="N2425">
        <v>1</v>
      </c>
      <c r="O2425">
        <v>2020</v>
      </c>
      <c r="P2425">
        <v>1073.035985730982</v>
      </c>
      <c r="Q2425">
        <v>4.3717947668625428</v>
      </c>
      <c r="R2425" t="s">
        <v>391</v>
      </c>
      <c r="S2425">
        <v>245.4451873780562</v>
      </c>
      <c r="T2425">
        <v>358</v>
      </c>
      <c r="U2425" t="s">
        <v>392</v>
      </c>
      <c r="V2425">
        <v>1</v>
      </c>
      <c r="W2425">
        <v>11.625999787885601</v>
      </c>
      <c r="X2425">
        <v>21.895260974855479</v>
      </c>
      <c r="Y2425">
        <v>17</v>
      </c>
      <c r="Z2425">
        <v>0.65</v>
      </c>
      <c r="AA2425">
        <v>1</v>
      </c>
    </row>
    <row r="2426" spans="1:27" x14ac:dyDescent="0.25">
      <c r="A2426" t="s">
        <v>98</v>
      </c>
      <c r="B2426" t="s">
        <v>519</v>
      </c>
      <c r="C2426" t="s">
        <v>1028</v>
      </c>
      <c r="D2426" t="s">
        <v>1707</v>
      </c>
      <c r="E2426" t="s">
        <v>386</v>
      </c>
      <c r="G2426" t="s">
        <v>402</v>
      </c>
      <c r="H2426" t="s">
        <v>125</v>
      </c>
      <c r="I2426">
        <v>2016</v>
      </c>
      <c r="J2426" t="s">
        <v>403</v>
      </c>
      <c r="K2426" t="s">
        <v>127</v>
      </c>
      <c r="L2426" t="s">
        <v>2673</v>
      </c>
      <c r="M2426" t="s">
        <v>2678</v>
      </c>
      <c r="N2426">
        <v>1</v>
      </c>
      <c r="O2426">
        <v>2020</v>
      </c>
      <c r="P2426">
        <v>1597.3603878495301</v>
      </c>
      <c r="Q2426">
        <v>4.3717947668625428</v>
      </c>
      <c r="R2426" t="s">
        <v>391</v>
      </c>
      <c r="S2426">
        <v>365.37863121051538</v>
      </c>
      <c r="T2426">
        <v>705.226</v>
      </c>
      <c r="U2426" t="s">
        <v>392</v>
      </c>
      <c r="V2426">
        <v>1.9699050279329611</v>
      </c>
      <c r="W2426">
        <v>11.625999787885601</v>
      </c>
      <c r="X2426">
        <v>21.895260974855479</v>
      </c>
      <c r="Y2426">
        <v>17</v>
      </c>
      <c r="Z2426">
        <v>0.65</v>
      </c>
      <c r="AA2426">
        <v>1</v>
      </c>
    </row>
    <row r="2427" spans="1:27" x14ac:dyDescent="0.25">
      <c r="A2427" t="s">
        <v>98</v>
      </c>
      <c r="B2427" t="s">
        <v>519</v>
      </c>
      <c r="C2427" t="s">
        <v>1028</v>
      </c>
      <c r="D2427" t="s">
        <v>1707</v>
      </c>
      <c r="E2427" t="s">
        <v>386</v>
      </c>
      <c r="G2427" t="s">
        <v>405</v>
      </c>
      <c r="H2427" t="s">
        <v>125</v>
      </c>
      <c r="I2427">
        <v>2016</v>
      </c>
      <c r="J2427" t="s">
        <v>406</v>
      </c>
      <c r="K2427" t="s">
        <v>127</v>
      </c>
      <c r="L2427" t="s">
        <v>2673</v>
      </c>
      <c r="M2427" t="s">
        <v>2679</v>
      </c>
      <c r="N2427">
        <v>1</v>
      </c>
      <c r="O2427">
        <v>2020</v>
      </c>
      <c r="P2427">
        <v>1731.489886065903</v>
      </c>
      <c r="Q2427">
        <v>4.3717947668625428</v>
      </c>
      <c r="R2427" t="s">
        <v>391</v>
      </c>
      <c r="S2427">
        <v>396.05927963277242</v>
      </c>
      <c r="T2427">
        <v>671</v>
      </c>
      <c r="U2427" t="s">
        <v>392</v>
      </c>
      <c r="V2427">
        <v>1.8743016759776541</v>
      </c>
      <c r="W2427">
        <v>11.625999787885601</v>
      </c>
      <c r="X2427">
        <v>21.895260974855479</v>
      </c>
      <c r="Y2427">
        <v>17</v>
      </c>
      <c r="Z2427">
        <v>0.65</v>
      </c>
      <c r="AA2427">
        <v>1</v>
      </c>
    </row>
    <row r="2428" spans="1:27" x14ac:dyDescent="0.25">
      <c r="A2428" t="s">
        <v>98</v>
      </c>
      <c r="B2428" t="s">
        <v>519</v>
      </c>
      <c r="C2428" t="s">
        <v>1028</v>
      </c>
      <c r="D2428" t="s">
        <v>1707</v>
      </c>
      <c r="E2428" t="s">
        <v>386</v>
      </c>
      <c r="G2428" t="s">
        <v>408</v>
      </c>
      <c r="H2428" t="s">
        <v>125</v>
      </c>
      <c r="I2428">
        <v>2016</v>
      </c>
      <c r="J2428" t="s">
        <v>409</v>
      </c>
      <c r="K2428" t="s">
        <v>127</v>
      </c>
      <c r="L2428" t="s">
        <v>2673</v>
      </c>
      <c r="M2428" t="s">
        <v>2680</v>
      </c>
      <c r="N2428">
        <v>1</v>
      </c>
      <c r="O2428">
        <v>2020</v>
      </c>
      <c r="P2428">
        <v>1890.006565776162</v>
      </c>
      <c r="Q2428">
        <v>4.3717947668625428</v>
      </c>
      <c r="R2428" t="s">
        <v>391</v>
      </c>
      <c r="S2428">
        <v>432.31822776816711</v>
      </c>
      <c r="T2428">
        <v>634.70339999999999</v>
      </c>
      <c r="U2428" t="s">
        <v>392</v>
      </c>
      <c r="V2428">
        <v>1.772914525139665</v>
      </c>
      <c r="W2428">
        <v>11.625999787885601</v>
      </c>
      <c r="X2428">
        <v>21.895260974855479</v>
      </c>
      <c r="Y2428">
        <v>17</v>
      </c>
      <c r="Z2428">
        <v>0.65</v>
      </c>
      <c r="AA2428">
        <v>1</v>
      </c>
    </row>
    <row r="2429" spans="1:27" x14ac:dyDescent="0.25">
      <c r="A2429" t="s">
        <v>98</v>
      </c>
      <c r="B2429" t="s">
        <v>519</v>
      </c>
      <c r="C2429" t="s">
        <v>1028</v>
      </c>
      <c r="D2429" t="s">
        <v>1707</v>
      </c>
      <c r="E2429" t="s">
        <v>386</v>
      </c>
      <c r="G2429" t="s">
        <v>411</v>
      </c>
      <c r="H2429" t="s">
        <v>125</v>
      </c>
      <c r="I2429">
        <v>2016</v>
      </c>
      <c r="J2429" t="s">
        <v>412</v>
      </c>
      <c r="K2429" t="s">
        <v>127</v>
      </c>
      <c r="L2429" t="s">
        <v>2673</v>
      </c>
      <c r="M2429" t="s">
        <v>2681</v>
      </c>
      <c r="N2429">
        <v>1</v>
      </c>
      <c r="O2429">
        <v>2020</v>
      </c>
      <c r="P2429">
        <v>2414.3309678947098</v>
      </c>
      <c r="Q2429">
        <v>4.3717947668625428</v>
      </c>
      <c r="R2429" t="s">
        <v>391</v>
      </c>
      <c r="S2429">
        <v>552.25167160062631</v>
      </c>
      <c r="T2429">
        <v>509</v>
      </c>
      <c r="U2429" t="s">
        <v>392</v>
      </c>
      <c r="V2429">
        <v>1.4217877094972069</v>
      </c>
      <c r="W2429">
        <v>11.625999787885601</v>
      </c>
      <c r="X2429">
        <v>21.895260974855479</v>
      </c>
      <c r="Y2429">
        <v>17</v>
      </c>
      <c r="Z2429">
        <v>0.65</v>
      </c>
      <c r="AA2429">
        <v>1</v>
      </c>
    </row>
    <row r="2430" spans="1:27" x14ac:dyDescent="0.25">
      <c r="A2430" t="s">
        <v>98</v>
      </c>
      <c r="B2430" t="s">
        <v>519</v>
      </c>
      <c r="C2430" t="s">
        <v>1028</v>
      </c>
      <c r="D2430" t="s">
        <v>1707</v>
      </c>
      <c r="E2430" t="s">
        <v>386</v>
      </c>
      <c r="G2430" t="s">
        <v>414</v>
      </c>
      <c r="H2430" t="s">
        <v>125</v>
      </c>
      <c r="I2430">
        <v>2016</v>
      </c>
      <c r="J2430" t="s">
        <v>415</v>
      </c>
      <c r="K2430" t="s">
        <v>127</v>
      </c>
      <c r="L2430" t="s">
        <v>2673</v>
      </c>
      <c r="M2430" t="s">
        <v>2682</v>
      </c>
      <c r="N2430">
        <v>1</v>
      </c>
      <c r="O2430">
        <v>2020</v>
      </c>
      <c r="P2430">
        <v>1255.939846935127</v>
      </c>
      <c r="Q2430">
        <v>4.3717947668625428</v>
      </c>
      <c r="R2430" t="s">
        <v>391</v>
      </c>
      <c r="S2430">
        <v>287.28243522658852</v>
      </c>
      <c r="T2430">
        <v>520.54999999999995</v>
      </c>
      <c r="U2430" t="s">
        <v>392</v>
      </c>
      <c r="V2430">
        <v>1.4540502793296091</v>
      </c>
      <c r="W2430">
        <v>11.625999787885601</v>
      </c>
      <c r="X2430">
        <v>21.895260974855479</v>
      </c>
      <c r="Y2430">
        <v>17</v>
      </c>
      <c r="Z2430">
        <v>0.65</v>
      </c>
      <c r="AA2430">
        <v>1</v>
      </c>
    </row>
    <row r="2431" spans="1:27" x14ac:dyDescent="0.25">
      <c r="A2431" t="s">
        <v>98</v>
      </c>
      <c r="B2431" t="s">
        <v>519</v>
      </c>
      <c r="C2431" t="s">
        <v>1028</v>
      </c>
      <c r="D2431" t="s">
        <v>1707</v>
      </c>
      <c r="E2431" t="s">
        <v>386</v>
      </c>
      <c r="G2431" t="s">
        <v>417</v>
      </c>
      <c r="H2431" t="s">
        <v>125</v>
      </c>
      <c r="I2431">
        <v>2016</v>
      </c>
      <c r="J2431" t="s">
        <v>418</v>
      </c>
      <c r="K2431" t="s">
        <v>127</v>
      </c>
      <c r="L2431" t="s">
        <v>2673</v>
      </c>
      <c r="M2431" t="s">
        <v>2683</v>
      </c>
      <c r="N2431">
        <v>1</v>
      </c>
      <c r="O2431">
        <v>2020</v>
      </c>
      <c r="P2431">
        <v>1365.682163657614</v>
      </c>
      <c r="Q2431">
        <v>4.3717947668625428</v>
      </c>
      <c r="R2431" t="s">
        <v>391</v>
      </c>
      <c r="S2431">
        <v>312.38478393570779</v>
      </c>
      <c r="T2431">
        <v>480</v>
      </c>
      <c r="U2431" t="s">
        <v>392</v>
      </c>
      <c r="V2431">
        <v>1.3407821229050281</v>
      </c>
      <c r="W2431">
        <v>11.625999787885601</v>
      </c>
      <c r="X2431">
        <v>21.895260974855479</v>
      </c>
      <c r="Y2431">
        <v>17</v>
      </c>
      <c r="Z2431">
        <v>0.65</v>
      </c>
      <c r="AA2431">
        <v>1</v>
      </c>
    </row>
    <row r="2432" spans="1:27" x14ac:dyDescent="0.25">
      <c r="A2432" t="s">
        <v>98</v>
      </c>
      <c r="B2432" t="s">
        <v>519</v>
      </c>
      <c r="C2432" t="s">
        <v>1028</v>
      </c>
      <c r="D2432" t="s">
        <v>1707</v>
      </c>
      <c r="E2432" t="s">
        <v>386</v>
      </c>
      <c r="G2432" t="s">
        <v>420</v>
      </c>
      <c r="H2432" t="s">
        <v>125</v>
      </c>
      <c r="I2432">
        <v>2016</v>
      </c>
      <c r="J2432" t="s">
        <v>421</v>
      </c>
      <c r="K2432" t="s">
        <v>127</v>
      </c>
      <c r="L2432" t="s">
        <v>2673</v>
      </c>
      <c r="M2432" t="s">
        <v>2684</v>
      </c>
      <c r="N2432">
        <v>1</v>
      </c>
      <c r="O2432">
        <v>2020</v>
      </c>
      <c r="P2432">
        <v>1414.456526645386</v>
      </c>
      <c r="Q2432">
        <v>4.3717947668625428</v>
      </c>
      <c r="R2432" t="s">
        <v>391</v>
      </c>
      <c r="S2432">
        <v>323.54138336198309</v>
      </c>
      <c r="T2432">
        <v>469</v>
      </c>
      <c r="U2432" t="s">
        <v>392</v>
      </c>
      <c r="V2432">
        <v>1.310055865921788</v>
      </c>
      <c r="W2432">
        <v>11.625999787885601</v>
      </c>
      <c r="X2432">
        <v>21.895260974855479</v>
      </c>
      <c r="Y2432">
        <v>17</v>
      </c>
      <c r="Z2432">
        <v>0.65</v>
      </c>
      <c r="AA2432">
        <v>1</v>
      </c>
    </row>
    <row r="2433" spans="1:27" x14ac:dyDescent="0.25">
      <c r="A2433" t="s">
        <v>98</v>
      </c>
      <c r="B2433" t="s">
        <v>519</v>
      </c>
      <c r="C2433" t="s">
        <v>1028</v>
      </c>
      <c r="D2433" t="s">
        <v>1707</v>
      </c>
      <c r="E2433" t="s">
        <v>386</v>
      </c>
      <c r="G2433" t="s">
        <v>423</v>
      </c>
      <c r="H2433" t="s">
        <v>125</v>
      </c>
      <c r="I2433">
        <v>2016</v>
      </c>
      <c r="J2433" t="s">
        <v>424</v>
      </c>
      <c r="K2433" t="s">
        <v>127</v>
      </c>
      <c r="L2433" t="s">
        <v>2673</v>
      </c>
      <c r="M2433" t="s">
        <v>2685</v>
      </c>
      <c r="N2433">
        <v>1</v>
      </c>
      <c r="O2433">
        <v>2020</v>
      </c>
      <c r="P2433">
        <v>1414.456526645386</v>
      </c>
      <c r="Q2433">
        <v>4.3717947668625428</v>
      </c>
      <c r="R2433" t="s">
        <v>391</v>
      </c>
      <c r="S2433">
        <v>323.54138336198309</v>
      </c>
      <c r="T2433">
        <v>469</v>
      </c>
      <c r="U2433" t="s">
        <v>392</v>
      </c>
      <c r="V2433">
        <v>1.310055865921788</v>
      </c>
      <c r="W2433">
        <v>11.625999787885601</v>
      </c>
      <c r="X2433">
        <v>21.895260974855479</v>
      </c>
      <c r="Y2433">
        <v>17</v>
      </c>
      <c r="Z2433">
        <v>0.65</v>
      </c>
      <c r="AA2433">
        <v>1</v>
      </c>
    </row>
    <row r="2434" spans="1:27" x14ac:dyDescent="0.25">
      <c r="A2434" t="s">
        <v>98</v>
      </c>
      <c r="B2434" t="s">
        <v>519</v>
      </c>
      <c r="C2434" t="s">
        <v>1028</v>
      </c>
      <c r="D2434" t="s">
        <v>1707</v>
      </c>
      <c r="E2434" t="s">
        <v>426</v>
      </c>
      <c r="G2434" t="s">
        <v>427</v>
      </c>
      <c r="H2434" t="s">
        <v>125</v>
      </c>
      <c r="I2434">
        <v>2016</v>
      </c>
      <c r="J2434" t="s">
        <v>428</v>
      </c>
      <c r="K2434" t="s">
        <v>127</v>
      </c>
      <c r="L2434" t="s">
        <v>2686</v>
      </c>
      <c r="M2434" t="s">
        <v>2687</v>
      </c>
      <c r="N2434">
        <v>1</v>
      </c>
      <c r="O2434">
        <v>2020</v>
      </c>
      <c r="P2434">
        <v>609.67953734714899</v>
      </c>
      <c r="Q2434">
        <v>0.72117223912657968</v>
      </c>
      <c r="R2434" t="s">
        <v>391</v>
      </c>
      <c r="S2434">
        <v>845.40072990821056</v>
      </c>
      <c r="T2434">
        <v>300.25599999999997</v>
      </c>
      <c r="U2434" t="s">
        <v>392</v>
      </c>
      <c r="V2434">
        <v>1.0918399999999999</v>
      </c>
      <c r="W2434">
        <v>16.5973520403479</v>
      </c>
      <c r="X2434">
        <v>27.331519839424129</v>
      </c>
      <c r="Y2434">
        <v>22</v>
      </c>
      <c r="Z2434">
        <v>0.65</v>
      </c>
      <c r="AA2434">
        <v>1</v>
      </c>
    </row>
    <row r="2435" spans="1:27" x14ac:dyDescent="0.25">
      <c r="A2435" t="s">
        <v>98</v>
      </c>
      <c r="B2435" t="s">
        <v>519</v>
      </c>
      <c r="C2435" t="s">
        <v>1028</v>
      </c>
      <c r="D2435" t="s">
        <v>1707</v>
      </c>
      <c r="E2435" t="s">
        <v>426</v>
      </c>
      <c r="G2435" t="s">
        <v>431</v>
      </c>
      <c r="H2435" t="s">
        <v>125</v>
      </c>
      <c r="I2435">
        <v>2016</v>
      </c>
      <c r="J2435" t="s">
        <v>432</v>
      </c>
      <c r="K2435" t="s">
        <v>127</v>
      </c>
      <c r="L2435" t="s">
        <v>2686</v>
      </c>
      <c r="M2435" t="s">
        <v>2688</v>
      </c>
      <c r="N2435">
        <v>1</v>
      </c>
      <c r="O2435">
        <v>2020</v>
      </c>
      <c r="P2435">
        <v>609.67953734714899</v>
      </c>
      <c r="Q2435">
        <v>0.72117223912657968</v>
      </c>
      <c r="R2435" t="s">
        <v>391</v>
      </c>
      <c r="S2435">
        <v>845.40072990821056</v>
      </c>
      <c r="T2435">
        <v>297</v>
      </c>
      <c r="U2435" t="s">
        <v>392</v>
      </c>
      <c r="V2435">
        <v>1.08</v>
      </c>
      <c r="W2435">
        <v>16.5973520403479</v>
      </c>
      <c r="X2435">
        <v>27.331519839424129</v>
      </c>
      <c r="Y2435">
        <v>22</v>
      </c>
      <c r="Z2435">
        <v>0.65</v>
      </c>
      <c r="AA2435">
        <v>1</v>
      </c>
    </row>
    <row r="2436" spans="1:27" x14ac:dyDescent="0.25">
      <c r="A2436" t="s">
        <v>98</v>
      </c>
      <c r="B2436" t="s">
        <v>519</v>
      </c>
      <c r="C2436" t="s">
        <v>1028</v>
      </c>
      <c r="D2436" t="s">
        <v>1707</v>
      </c>
      <c r="E2436" t="s">
        <v>426</v>
      </c>
      <c r="G2436" t="s">
        <v>434</v>
      </c>
      <c r="H2436" t="s">
        <v>125</v>
      </c>
      <c r="I2436">
        <v>2016</v>
      </c>
      <c r="J2436" t="s">
        <v>435</v>
      </c>
      <c r="K2436" t="s">
        <v>127</v>
      </c>
      <c r="L2436" t="s">
        <v>2686</v>
      </c>
      <c r="M2436" t="s">
        <v>2689</v>
      </c>
      <c r="N2436">
        <v>1</v>
      </c>
      <c r="O2436">
        <v>2020</v>
      </c>
      <c r="P2436">
        <v>670.6474910818639</v>
      </c>
      <c r="Q2436">
        <v>0.72117223912657968</v>
      </c>
      <c r="R2436" t="s">
        <v>391</v>
      </c>
      <c r="S2436">
        <v>929.94080289903161</v>
      </c>
      <c r="T2436">
        <v>277</v>
      </c>
      <c r="U2436" t="s">
        <v>392</v>
      </c>
      <c r="V2436">
        <v>1.0072727272727271</v>
      </c>
      <c r="W2436">
        <v>16.5973520403479</v>
      </c>
      <c r="X2436">
        <v>27.331519839424129</v>
      </c>
      <c r="Y2436">
        <v>22</v>
      </c>
      <c r="Z2436">
        <v>0.65</v>
      </c>
      <c r="AA2436">
        <v>1</v>
      </c>
    </row>
    <row r="2437" spans="1:27" x14ac:dyDescent="0.25">
      <c r="A2437" t="s">
        <v>98</v>
      </c>
      <c r="B2437" t="s">
        <v>519</v>
      </c>
      <c r="C2437" t="s">
        <v>1028</v>
      </c>
      <c r="D2437" t="s">
        <v>1707</v>
      </c>
      <c r="E2437" t="s">
        <v>426</v>
      </c>
      <c r="G2437" t="s">
        <v>437</v>
      </c>
      <c r="H2437" t="s">
        <v>125</v>
      </c>
      <c r="I2437">
        <v>2016</v>
      </c>
      <c r="J2437" t="s">
        <v>438</v>
      </c>
      <c r="K2437" t="s">
        <v>127</v>
      </c>
      <c r="L2437" t="s">
        <v>2686</v>
      </c>
      <c r="M2437" t="s">
        <v>2690</v>
      </c>
      <c r="N2437">
        <v>1</v>
      </c>
      <c r="O2437">
        <v>2020</v>
      </c>
      <c r="P2437">
        <v>658.45390033492083</v>
      </c>
      <c r="Q2437">
        <v>0.72117223912657968</v>
      </c>
      <c r="R2437" t="s">
        <v>391</v>
      </c>
      <c r="S2437">
        <v>913.0327883008672</v>
      </c>
      <c r="T2437">
        <v>275</v>
      </c>
      <c r="U2437" t="s">
        <v>392</v>
      </c>
      <c r="V2437">
        <v>1</v>
      </c>
      <c r="W2437">
        <v>16.5973520403479</v>
      </c>
      <c r="X2437">
        <v>27.331519839424129</v>
      </c>
      <c r="Y2437">
        <v>22</v>
      </c>
      <c r="Z2437">
        <v>0.65</v>
      </c>
      <c r="AA2437">
        <v>1</v>
      </c>
    </row>
    <row r="2438" spans="1:27" x14ac:dyDescent="0.25">
      <c r="A2438" t="s">
        <v>98</v>
      </c>
      <c r="B2438" t="s">
        <v>519</v>
      </c>
      <c r="C2438" t="s">
        <v>1028</v>
      </c>
      <c r="D2438" t="s">
        <v>1707</v>
      </c>
      <c r="E2438" t="s">
        <v>426</v>
      </c>
      <c r="G2438" t="s">
        <v>440</v>
      </c>
      <c r="H2438" t="s">
        <v>125</v>
      </c>
      <c r="I2438">
        <v>2016</v>
      </c>
      <c r="J2438" t="s">
        <v>441</v>
      </c>
      <c r="K2438" t="s">
        <v>127</v>
      </c>
      <c r="L2438" t="s">
        <v>2686</v>
      </c>
      <c r="M2438" t="s">
        <v>2691</v>
      </c>
      <c r="N2438">
        <v>1</v>
      </c>
      <c r="O2438">
        <v>2020</v>
      </c>
      <c r="P2438">
        <v>841.35776153906556</v>
      </c>
      <c r="Q2438">
        <v>0.72117223912657968</v>
      </c>
      <c r="R2438" t="s">
        <v>391</v>
      </c>
      <c r="S2438">
        <v>1166.6530072733301</v>
      </c>
      <c r="T2438">
        <v>477.41800000000001</v>
      </c>
      <c r="U2438" t="s">
        <v>392</v>
      </c>
      <c r="V2438">
        <v>1.736065454545455</v>
      </c>
      <c r="W2438">
        <v>16.5973520403479</v>
      </c>
      <c r="X2438">
        <v>27.331519839424129</v>
      </c>
      <c r="Y2438">
        <v>22</v>
      </c>
      <c r="Z2438">
        <v>0.65</v>
      </c>
      <c r="AA2438">
        <v>1</v>
      </c>
    </row>
    <row r="2439" spans="1:27" x14ac:dyDescent="0.25">
      <c r="A2439" t="s">
        <v>98</v>
      </c>
      <c r="B2439" t="s">
        <v>519</v>
      </c>
      <c r="C2439" t="s">
        <v>1028</v>
      </c>
      <c r="D2439" t="s">
        <v>1707</v>
      </c>
      <c r="E2439" t="s">
        <v>426</v>
      </c>
      <c r="G2439" t="s">
        <v>443</v>
      </c>
      <c r="H2439" t="s">
        <v>125</v>
      </c>
      <c r="I2439">
        <v>2016</v>
      </c>
      <c r="J2439" t="s">
        <v>444</v>
      </c>
      <c r="K2439" t="s">
        <v>127</v>
      </c>
      <c r="L2439" t="s">
        <v>2686</v>
      </c>
      <c r="M2439" t="s">
        <v>2692</v>
      </c>
      <c r="N2439">
        <v>1</v>
      </c>
      <c r="O2439">
        <v>2020</v>
      </c>
      <c r="P2439">
        <v>914.51930602072343</v>
      </c>
      <c r="Q2439">
        <v>0.72117223912657968</v>
      </c>
      <c r="R2439" t="s">
        <v>391</v>
      </c>
      <c r="S2439">
        <v>1268.1010948623159</v>
      </c>
      <c r="T2439">
        <v>446</v>
      </c>
      <c r="U2439" t="s">
        <v>392</v>
      </c>
      <c r="V2439">
        <v>1.621818181818182</v>
      </c>
      <c r="W2439">
        <v>16.5973520403479</v>
      </c>
      <c r="X2439">
        <v>27.331519839424129</v>
      </c>
      <c r="Y2439">
        <v>22</v>
      </c>
      <c r="Z2439">
        <v>0.65</v>
      </c>
      <c r="AA2439">
        <v>1</v>
      </c>
    </row>
    <row r="2440" spans="1:27" x14ac:dyDescent="0.25">
      <c r="A2440" t="s">
        <v>98</v>
      </c>
      <c r="B2440" t="s">
        <v>519</v>
      </c>
      <c r="C2440" t="s">
        <v>1028</v>
      </c>
      <c r="D2440" t="s">
        <v>1707</v>
      </c>
      <c r="E2440" t="s">
        <v>426</v>
      </c>
      <c r="G2440" t="s">
        <v>446</v>
      </c>
      <c r="H2440" t="s">
        <v>125</v>
      </c>
      <c r="I2440">
        <v>2016</v>
      </c>
      <c r="J2440" t="s">
        <v>447</v>
      </c>
      <c r="K2440" t="s">
        <v>127</v>
      </c>
      <c r="L2440" t="s">
        <v>2686</v>
      </c>
      <c r="M2440" t="s">
        <v>2693</v>
      </c>
      <c r="N2440">
        <v>1</v>
      </c>
      <c r="O2440">
        <v>2020</v>
      </c>
      <c r="P2440">
        <v>963.29366900849539</v>
      </c>
      <c r="Q2440">
        <v>0.72117223912657968</v>
      </c>
      <c r="R2440" t="s">
        <v>391</v>
      </c>
      <c r="S2440">
        <v>1335.7331532549731</v>
      </c>
      <c r="T2440">
        <v>429.67619999999999</v>
      </c>
      <c r="U2440" t="s">
        <v>392</v>
      </c>
      <c r="V2440">
        <v>1.5624589090909089</v>
      </c>
      <c r="W2440">
        <v>16.5973520403479</v>
      </c>
      <c r="X2440">
        <v>27.331519839424129</v>
      </c>
      <c r="Y2440">
        <v>22</v>
      </c>
      <c r="Z2440">
        <v>0.65</v>
      </c>
      <c r="AA2440">
        <v>1</v>
      </c>
    </row>
    <row r="2441" spans="1:27" x14ac:dyDescent="0.25">
      <c r="A2441" t="s">
        <v>98</v>
      </c>
      <c r="B2441" t="s">
        <v>519</v>
      </c>
      <c r="C2441" t="s">
        <v>1028</v>
      </c>
      <c r="D2441" t="s">
        <v>1707</v>
      </c>
      <c r="E2441" t="s">
        <v>426</v>
      </c>
      <c r="G2441" t="s">
        <v>449</v>
      </c>
      <c r="H2441" t="s">
        <v>125</v>
      </c>
      <c r="I2441">
        <v>2016</v>
      </c>
      <c r="J2441" t="s">
        <v>450</v>
      </c>
      <c r="K2441" t="s">
        <v>127</v>
      </c>
      <c r="L2441" t="s">
        <v>2686</v>
      </c>
      <c r="M2441" t="s">
        <v>2694</v>
      </c>
      <c r="N2441">
        <v>1</v>
      </c>
      <c r="O2441">
        <v>2020</v>
      </c>
      <c r="P2441">
        <v>987.6808505023813</v>
      </c>
      <c r="Q2441">
        <v>0.72117223912657968</v>
      </c>
      <c r="R2441" t="s">
        <v>391</v>
      </c>
      <c r="S2441">
        <v>1369.549182451301</v>
      </c>
      <c r="T2441">
        <v>419</v>
      </c>
      <c r="U2441" t="s">
        <v>392</v>
      </c>
      <c r="V2441">
        <v>1.5236363636363639</v>
      </c>
      <c r="W2441">
        <v>16.5973520403479</v>
      </c>
      <c r="X2441">
        <v>27.331519839424129</v>
      </c>
      <c r="Y2441">
        <v>22</v>
      </c>
      <c r="Z2441">
        <v>0.65</v>
      </c>
      <c r="AA2441">
        <v>1</v>
      </c>
    </row>
    <row r="2442" spans="1:27" x14ac:dyDescent="0.25">
      <c r="A2442" t="s">
        <v>98</v>
      </c>
      <c r="B2442" t="s">
        <v>519</v>
      </c>
      <c r="C2442" t="s">
        <v>1028</v>
      </c>
      <c r="D2442" t="s">
        <v>1707</v>
      </c>
      <c r="E2442" t="s">
        <v>452</v>
      </c>
      <c r="G2442" t="s">
        <v>111</v>
      </c>
      <c r="H2442" t="s">
        <v>104</v>
      </c>
      <c r="I2442">
        <v>2016</v>
      </c>
      <c r="J2442" t="s">
        <v>453</v>
      </c>
      <c r="K2442" t="s">
        <v>106</v>
      </c>
      <c r="L2442" t="s">
        <v>2695</v>
      </c>
      <c r="M2442" t="s">
        <v>2696</v>
      </c>
      <c r="N2442">
        <v>1</v>
      </c>
      <c r="O2442">
        <v>2020</v>
      </c>
      <c r="P2442">
        <v>451.16285763689018</v>
      </c>
      <c r="Q2442">
        <v>17.42129846998877</v>
      </c>
      <c r="R2442" t="s">
        <v>391</v>
      </c>
      <c r="S2442">
        <v>25.89720039606101</v>
      </c>
      <c r="T2442">
        <v>0.45</v>
      </c>
      <c r="U2442" t="s">
        <v>456</v>
      </c>
      <c r="V2442">
        <v>0.45</v>
      </c>
      <c r="W2442">
        <v>9</v>
      </c>
      <c r="X2442">
        <v>15</v>
      </c>
      <c r="Y2442">
        <v>13</v>
      </c>
      <c r="Z2442">
        <v>9.0000000000000011E-2</v>
      </c>
      <c r="AA2442">
        <v>1</v>
      </c>
    </row>
    <row r="2443" spans="1:27" x14ac:dyDescent="0.25">
      <c r="A2443" t="s">
        <v>98</v>
      </c>
      <c r="B2443" t="s">
        <v>519</v>
      </c>
      <c r="C2443" t="s">
        <v>1028</v>
      </c>
      <c r="D2443" t="s">
        <v>1707</v>
      </c>
      <c r="E2443" t="s">
        <v>452</v>
      </c>
      <c r="G2443" t="s">
        <v>119</v>
      </c>
      <c r="H2443" t="s">
        <v>104</v>
      </c>
      <c r="I2443">
        <v>2016</v>
      </c>
      <c r="J2443" t="s">
        <v>457</v>
      </c>
      <c r="K2443" t="s">
        <v>106</v>
      </c>
      <c r="L2443" t="s">
        <v>2695</v>
      </c>
      <c r="M2443" t="s">
        <v>2697</v>
      </c>
      <c r="N2443">
        <v>1</v>
      </c>
      <c r="O2443">
        <v>2020</v>
      </c>
      <c r="P2443">
        <v>521.3437466026287</v>
      </c>
      <c r="Q2443">
        <v>17.42129846998877</v>
      </c>
      <c r="R2443" t="s">
        <v>391</v>
      </c>
      <c r="S2443">
        <v>29.925653791003828</v>
      </c>
      <c r="T2443">
        <v>0.52</v>
      </c>
      <c r="U2443" t="s">
        <v>456</v>
      </c>
      <c r="V2443">
        <v>0.52</v>
      </c>
      <c r="W2443">
        <v>9</v>
      </c>
      <c r="X2443">
        <v>15</v>
      </c>
      <c r="Y2443">
        <v>13</v>
      </c>
      <c r="Z2443">
        <v>9.0000000000000011E-2</v>
      </c>
      <c r="AA2443">
        <v>1</v>
      </c>
    </row>
    <row r="2444" spans="1:27" x14ac:dyDescent="0.25">
      <c r="A2444" t="s">
        <v>98</v>
      </c>
      <c r="B2444" t="s">
        <v>519</v>
      </c>
      <c r="C2444" t="s">
        <v>1028</v>
      </c>
      <c r="D2444" t="s">
        <v>1707</v>
      </c>
      <c r="E2444" t="s">
        <v>452</v>
      </c>
      <c r="G2444" t="s">
        <v>111</v>
      </c>
      <c r="H2444" t="s">
        <v>156</v>
      </c>
      <c r="I2444">
        <v>2016</v>
      </c>
      <c r="J2444" t="s">
        <v>459</v>
      </c>
      <c r="K2444" t="s">
        <v>158</v>
      </c>
      <c r="L2444" t="s">
        <v>2695</v>
      </c>
      <c r="M2444" t="s">
        <v>2698</v>
      </c>
      <c r="N2444">
        <v>1</v>
      </c>
      <c r="O2444">
        <v>2020</v>
      </c>
      <c r="P2444">
        <v>451.16285763689018</v>
      </c>
      <c r="Q2444">
        <v>17.42129846998877</v>
      </c>
      <c r="R2444" t="s">
        <v>391</v>
      </c>
      <c r="S2444">
        <v>25.89720039606101</v>
      </c>
      <c r="T2444">
        <v>0.45</v>
      </c>
      <c r="U2444" t="s">
        <v>456</v>
      </c>
      <c r="V2444">
        <v>0.45</v>
      </c>
      <c r="W2444">
        <v>9</v>
      </c>
      <c r="X2444">
        <v>15</v>
      </c>
      <c r="Y2444">
        <v>13</v>
      </c>
      <c r="Z2444">
        <v>9.0000000000000011E-2</v>
      </c>
      <c r="AA2444">
        <v>1</v>
      </c>
    </row>
    <row r="2445" spans="1:27" x14ac:dyDescent="0.25">
      <c r="A2445" t="s">
        <v>98</v>
      </c>
      <c r="B2445" t="s">
        <v>519</v>
      </c>
      <c r="C2445" t="s">
        <v>1028</v>
      </c>
      <c r="D2445" t="s">
        <v>1707</v>
      </c>
      <c r="E2445" t="s">
        <v>452</v>
      </c>
      <c r="G2445" t="s">
        <v>119</v>
      </c>
      <c r="H2445" t="s">
        <v>156</v>
      </c>
      <c r="I2445">
        <v>2016</v>
      </c>
      <c r="J2445" t="s">
        <v>461</v>
      </c>
      <c r="K2445" t="s">
        <v>158</v>
      </c>
      <c r="L2445" t="s">
        <v>2695</v>
      </c>
      <c r="M2445" t="s">
        <v>2699</v>
      </c>
      <c r="N2445">
        <v>1</v>
      </c>
      <c r="O2445">
        <v>2020</v>
      </c>
      <c r="P2445">
        <v>521.3437466026287</v>
      </c>
      <c r="Q2445">
        <v>17.42129846998877</v>
      </c>
      <c r="R2445" t="s">
        <v>391</v>
      </c>
      <c r="S2445">
        <v>29.925653791003828</v>
      </c>
      <c r="T2445">
        <v>0.52</v>
      </c>
      <c r="U2445" t="s">
        <v>456</v>
      </c>
      <c r="V2445">
        <v>0.52</v>
      </c>
      <c r="W2445">
        <v>9</v>
      </c>
      <c r="X2445">
        <v>15</v>
      </c>
      <c r="Y2445">
        <v>13</v>
      </c>
      <c r="Z2445">
        <v>9.0000000000000011E-2</v>
      </c>
      <c r="AA2445">
        <v>1</v>
      </c>
    </row>
    <row r="2446" spans="1:27" x14ac:dyDescent="0.25">
      <c r="A2446" t="s">
        <v>98</v>
      </c>
      <c r="B2446" t="s">
        <v>519</v>
      </c>
      <c r="C2446" t="s">
        <v>1028</v>
      </c>
      <c r="D2446" t="s">
        <v>1707</v>
      </c>
      <c r="E2446" t="s">
        <v>452</v>
      </c>
      <c r="G2446" t="s">
        <v>111</v>
      </c>
      <c r="H2446" t="s">
        <v>125</v>
      </c>
      <c r="I2446">
        <v>2016</v>
      </c>
      <c r="J2446" t="s">
        <v>463</v>
      </c>
      <c r="K2446" t="s">
        <v>127</v>
      </c>
      <c r="L2446" t="s">
        <v>2695</v>
      </c>
      <c r="M2446" t="s">
        <v>2700</v>
      </c>
      <c r="N2446">
        <v>1</v>
      </c>
      <c r="O2446">
        <v>2020</v>
      </c>
      <c r="P2446">
        <v>938.90648751460947</v>
      </c>
      <c r="Q2446">
        <v>17.42129846998877</v>
      </c>
      <c r="R2446" t="s">
        <v>391</v>
      </c>
      <c r="S2446">
        <v>53.894173797208047</v>
      </c>
      <c r="T2446">
        <v>228.0913607809874</v>
      </c>
      <c r="U2446" t="s">
        <v>392</v>
      </c>
      <c r="V2446">
        <v>0.9</v>
      </c>
      <c r="W2446">
        <v>10</v>
      </c>
      <c r="X2446">
        <v>20</v>
      </c>
      <c r="Y2446">
        <v>16</v>
      </c>
      <c r="Z2446">
        <v>9.0000000000000011E-2</v>
      </c>
      <c r="AA2446">
        <v>1</v>
      </c>
    </row>
    <row r="2447" spans="1:27" x14ac:dyDescent="0.25">
      <c r="A2447" t="s">
        <v>98</v>
      </c>
      <c r="B2447" t="s">
        <v>519</v>
      </c>
      <c r="C2447" t="s">
        <v>1028</v>
      </c>
      <c r="D2447" t="s">
        <v>1707</v>
      </c>
      <c r="E2447" t="s">
        <v>465</v>
      </c>
      <c r="G2447" t="s">
        <v>466</v>
      </c>
      <c r="H2447" t="s">
        <v>125</v>
      </c>
      <c r="I2447">
        <v>2030</v>
      </c>
      <c r="J2447" t="s">
        <v>467</v>
      </c>
      <c r="K2447" t="s">
        <v>127</v>
      </c>
      <c r="L2447" t="s">
        <v>2701</v>
      </c>
      <c r="M2447" t="s">
        <v>2702</v>
      </c>
      <c r="N2447">
        <v>1</v>
      </c>
      <c r="O2447">
        <v>2030</v>
      </c>
      <c r="P2447">
        <v>1646.1347508373019</v>
      </c>
      <c r="Q2447">
        <v>9.4642370851586541</v>
      </c>
      <c r="R2447" t="s">
        <v>391</v>
      </c>
      <c r="S2447">
        <v>173.93211264949059</v>
      </c>
      <c r="T2447">
        <v>0.28000000000000003</v>
      </c>
      <c r="U2447" t="s">
        <v>470</v>
      </c>
      <c r="V2447">
        <v>2.333333333333333</v>
      </c>
      <c r="W2447">
        <v>6</v>
      </c>
      <c r="X2447">
        <v>17</v>
      </c>
      <c r="Y2447">
        <v>12</v>
      </c>
      <c r="Z2447">
        <v>0.02</v>
      </c>
      <c r="AA2447">
        <v>1</v>
      </c>
    </row>
    <row r="2448" spans="1:27" x14ac:dyDescent="0.25">
      <c r="A2448" t="s">
        <v>98</v>
      </c>
      <c r="B2448" t="s">
        <v>519</v>
      </c>
      <c r="C2448" t="s">
        <v>1028</v>
      </c>
      <c r="D2448" t="s">
        <v>1707</v>
      </c>
      <c r="E2448" t="s">
        <v>465</v>
      </c>
      <c r="G2448" t="s">
        <v>471</v>
      </c>
      <c r="H2448" t="s">
        <v>125</v>
      </c>
      <c r="I2448">
        <v>2016</v>
      </c>
      <c r="J2448" t="s">
        <v>472</v>
      </c>
      <c r="K2448" t="s">
        <v>127</v>
      </c>
      <c r="L2448" t="s">
        <v>2701</v>
      </c>
      <c r="M2448" t="s">
        <v>2703</v>
      </c>
      <c r="N2448">
        <v>1</v>
      </c>
      <c r="O2448">
        <v>2020</v>
      </c>
      <c r="P2448">
        <v>792.58339855129361</v>
      </c>
      <c r="Q2448">
        <v>9.4642370851586541</v>
      </c>
      <c r="R2448" t="s">
        <v>391</v>
      </c>
      <c r="S2448">
        <v>83.745091275680693</v>
      </c>
      <c r="T2448">
        <v>0.26</v>
      </c>
      <c r="U2448" t="s">
        <v>470</v>
      </c>
      <c r="V2448">
        <v>2.166666666666667</v>
      </c>
      <c r="W2448">
        <v>6</v>
      </c>
      <c r="X2448">
        <v>17</v>
      </c>
      <c r="Y2448">
        <v>12</v>
      </c>
      <c r="Z2448">
        <v>0.02</v>
      </c>
      <c r="AA2448">
        <v>1</v>
      </c>
    </row>
    <row r="2449" spans="1:27" x14ac:dyDescent="0.25">
      <c r="A2449" t="s">
        <v>98</v>
      </c>
      <c r="B2449" t="s">
        <v>519</v>
      </c>
      <c r="C2449" t="s">
        <v>1028</v>
      </c>
      <c r="D2449" t="s">
        <v>1707</v>
      </c>
      <c r="E2449" t="s">
        <v>465</v>
      </c>
      <c r="G2449" t="s">
        <v>474</v>
      </c>
      <c r="H2449" t="s">
        <v>125</v>
      </c>
      <c r="I2449">
        <v>2016</v>
      </c>
      <c r="J2449" t="s">
        <v>475</v>
      </c>
      <c r="K2449" t="s">
        <v>127</v>
      </c>
      <c r="L2449" t="s">
        <v>2701</v>
      </c>
      <c r="M2449" t="s">
        <v>2704</v>
      </c>
      <c r="N2449">
        <v>0</v>
      </c>
      <c r="O2449">
        <v>2020</v>
      </c>
      <c r="P2449">
        <v>792.58339855129361</v>
      </c>
      <c r="Q2449">
        <v>9.4642370851586541</v>
      </c>
      <c r="R2449" t="s">
        <v>391</v>
      </c>
      <c r="S2449">
        <v>83.745091275680693</v>
      </c>
      <c r="T2449">
        <v>0.26</v>
      </c>
      <c r="U2449" t="s">
        <v>470</v>
      </c>
      <c r="V2449">
        <v>2.166666666666667</v>
      </c>
      <c r="W2449">
        <v>6</v>
      </c>
      <c r="X2449">
        <v>17</v>
      </c>
      <c r="Y2449">
        <v>12</v>
      </c>
      <c r="Z2449">
        <v>0.02</v>
      </c>
      <c r="AA2449">
        <v>1</v>
      </c>
    </row>
    <row r="2450" spans="1:27" x14ac:dyDescent="0.25">
      <c r="A2450" t="s">
        <v>98</v>
      </c>
      <c r="B2450" t="s">
        <v>519</v>
      </c>
      <c r="C2450" t="s">
        <v>1028</v>
      </c>
      <c r="D2450" t="s">
        <v>1707</v>
      </c>
      <c r="E2450" t="s">
        <v>465</v>
      </c>
      <c r="G2450" t="s">
        <v>474</v>
      </c>
      <c r="H2450" t="s">
        <v>125</v>
      </c>
      <c r="I2450">
        <v>2020</v>
      </c>
      <c r="J2450" t="s">
        <v>477</v>
      </c>
      <c r="K2450" t="s">
        <v>127</v>
      </c>
      <c r="L2450" t="s">
        <v>2701</v>
      </c>
      <c r="M2450" t="s">
        <v>2704</v>
      </c>
      <c r="N2450">
        <v>1</v>
      </c>
      <c r="O2450">
        <v>2020</v>
      </c>
      <c r="P2450">
        <v>914.51930602072343</v>
      </c>
      <c r="Q2450">
        <v>9.4642370851586541</v>
      </c>
      <c r="R2450" t="s">
        <v>391</v>
      </c>
      <c r="S2450">
        <v>96.62895147193926</v>
      </c>
      <c r="T2450">
        <v>0.24</v>
      </c>
      <c r="U2450" t="s">
        <v>470</v>
      </c>
      <c r="V2450">
        <v>2</v>
      </c>
      <c r="W2450">
        <v>6</v>
      </c>
      <c r="X2450">
        <v>17</v>
      </c>
      <c r="Y2450">
        <v>12</v>
      </c>
      <c r="Z2450">
        <v>0.02</v>
      </c>
      <c r="AA2450">
        <v>1</v>
      </c>
    </row>
    <row r="2451" spans="1:27" x14ac:dyDescent="0.25">
      <c r="A2451" t="s">
        <v>98</v>
      </c>
      <c r="B2451" t="s">
        <v>519</v>
      </c>
      <c r="C2451" t="s">
        <v>1028</v>
      </c>
      <c r="D2451" t="s">
        <v>1707</v>
      </c>
      <c r="E2451" t="s">
        <v>465</v>
      </c>
      <c r="G2451" t="s">
        <v>478</v>
      </c>
      <c r="H2451" t="s">
        <v>125</v>
      </c>
      <c r="I2451">
        <v>2016</v>
      </c>
      <c r="J2451" t="s">
        <v>479</v>
      </c>
      <c r="K2451" t="s">
        <v>127</v>
      </c>
      <c r="L2451" t="s">
        <v>2701</v>
      </c>
      <c r="M2451" t="s">
        <v>2705</v>
      </c>
      <c r="N2451">
        <v>1</v>
      </c>
      <c r="O2451">
        <v>2020</v>
      </c>
      <c r="P2451">
        <v>1158.3911209595831</v>
      </c>
      <c r="Q2451">
        <v>9.4642370851586541</v>
      </c>
      <c r="R2451" t="s">
        <v>391</v>
      </c>
      <c r="S2451">
        <v>122.39667186445639</v>
      </c>
      <c r="T2451">
        <v>0.15</v>
      </c>
      <c r="U2451" t="s">
        <v>470</v>
      </c>
      <c r="V2451">
        <v>1.25</v>
      </c>
      <c r="W2451">
        <v>6</v>
      </c>
      <c r="X2451">
        <v>17</v>
      </c>
      <c r="Y2451">
        <v>12</v>
      </c>
      <c r="Z2451">
        <v>0.02</v>
      </c>
      <c r="AA2451">
        <v>1</v>
      </c>
    </row>
    <row r="2452" spans="1:27" x14ac:dyDescent="0.25">
      <c r="A2452" t="s">
        <v>98</v>
      </c>
      <c r="B2452" t="s">
        <v>519</v>
      </c>
      <c r="C2452" t="s">
        <v>1028</v>
      </c>
      <c r="D2452" t="s">
        <v>1707</v>
      </c>
      <c r="E2452" t="s">
        <v>465</v>
      </c>
      <c r="G2452" t="s">
        <v>481</v>
      </c>
      <c r="H2452" t="s">
        <v>125</v>
      </c>
      <c r="I2452">
        <v>2016</v>
      </c>
      <c r="J2452" t="s">
        <v>482</v>
      </c>
      <c r="K2452" t="s">
        <v>127</v>
      </c>
      <c r="L2452" t="s">
        <v>2701</v>
      </c>
      <c r="M2452" t="s">
        <v>2706</v>
      </c>
      <c r="N2452">
        <v>1</v>
      </c>
      <c r="O2452">
        <v>2020</v>
      </c>
      <c r="P2452">
        <v>1371.7789590310849</v>
      </c>
      <c r="Q2452">
        <v>9.4642370851586541</v>
      </c>
      <c r="R2452" t="s">
        <v>391</v>
      </c>
      <c r="S2452">
        <v>144.94342720790891</v>
      </c>
      <c r="T2452">
        <v>0.12</v>
      </c>
      <c r="U2452" t="s">
        <v>470</v>
      </c>
      <c r="V2452">
        <v>1</v>
      </c>
      <c r="W2452">
        <v>6</v>
      </c>
      <c r="X2452">
        <v>17</v>
      </c>
      <c r="Y2452">
        <v>12</v>
      </c>
      <c r="Z2452">
        <v>0.02</v>
      </c>
      <c r="AA2452">
        <v>1</v>
      </c>
    </row>
    <row r="2453" spans="1:27" x14ac:dyDescent="0.25">
      <c r="A2453" t="s">
        <v>98</v>
      </c>
      <c r="B2453" t="s">
        <v>519</v>
      </c>
      <c r="C2453" t="s">
        <v>1028</v>
      </c>
      <c r="D2453" t="s">
        <v>1707</v>
      </c>
      <c r="E2453" t="s">
        <v>465</v>
      </c>
      <c r="G2453" t="s">
        <v>484</v>
      </c>
      <c r="H2453" t="s">
        <v>125</v>
      </c>
      <c r="I2453">
        <v>2016</v>
      </c>
      <c r="J2453" t="s">
        <v>485</v>
      </c>
      <c r="K2453" t="s">
        <v>127</v>
      </c>
      <c r="L2453" t="s">
        <v>2701</v>
      </c>
      <c r="M2453" t="s">
        <v>2707</v>
      </c>
      <c r="N2453">
        <v>1</v>
      </c>
      <c r="O2453">
        <v>2020</v>
      </c>
      <c r="P2453">
        <v>1158.3911209595831</v>
      </c>
      <c r="Q2453">
        <v>9.4642370851586541</v>
      </c>
      <c r="R2453" t="s">
        <v>391</v>
      </c>
      <c r="S2453">
        <v>122.39667186445639</v>
      </c>
      <c r="T2453">
        <v>0.15</v>
      </c>
      <c r="U2453" t="s">
        <v>470</v>
      </c>
      <c r="V2453">
        <v>1.25</v>
      </c>
      <c r="W2453">
        <v>6</v>
      </c>
      <c r="X2453">
        <v>17</v>
      </c>
      <c r="Y2453">
        <v>12</v>
      </c>
      <c r="Z2453">
        <v>0.02</v>
      </c>
      <c r="AA2453">
        <v>1</v>
      </c>
    </row>
    <row r="2454" spans="1:27" x14ac:dyDescent="0.25">
      <c r="A2454" t="s">
        <v>98</v>
      </c>
      <c r="B2454" t="s">
        <v>519</v>
      </c>
      <c r="C2454" t="s">
        <v>1028</v>
      </c>
      <c r="D2454" t="s">
        <v>1707</v>
      </c>
      <c r="E2454" t="s">
        <v>465</v>
      </c>
      <c r="G2454" t="s">
        <v>487</v>
      </c>
      <c r="H2454" t="s">
        <v>125</v>
      </c>
      <c r="I2454">
        <v>2016</v>
      </c>
      <c r="J2454" t="s">
        <v>488</v>
      </c>
      <c r="K2454" t="s">
        <v>127</v>
      </c>
      <c r="L2454" t="s">
        <v>2701</v>
      </c>
      <c r="M2454" t="s">
        <v>2708</v>
      </c>
      <c r="N2454">
        <v>1</v>
      </c>
      <c r="O2454">
        <v>2020</v>
      </c>
      <c r="P2454">
        <v>1219.359074694298</v>
      </c>
      <c r="Q2454">
        <v>9.4642370851586541</v>
      </c>
      <c r="R2454" t="s">
        <v>391</v>
      </c>
      <c r="S2454">
        <v>128.8386019625857</v>
      </c>
      <c r="T2454">
        <v>0.21</v>
      </c>
      <c r="U2454" t="s">
        <v>470</v>
      </c>
      <c r="V2454">
        <v>1.75</v>
      </c>
      <c r="W2454">
        <v>6</v>
      </c>
      <c r="X2454">
        <v>17</v>
      </c>
      <c r="Y2454">
        <v>12</v>
      </c>
      <c r="Z2454">
        <v>0.02</v>
      </c>
      <c r="AA2454">
        <v>1</v>
      </c>
    </row>
    <row r="2455" spans="1:27" x14ac:dyDescent="0.25">
      <c r="A2455" t="s">
        <v>98</v>
      </c>
      <c r="B2455" t="s">
        <v>519</v>
      </c>
      <c r="C2455" t="s">
        <v>1028</v>
      </c>
      <c r="D2455" t="s">
        <v>1707</v>
      </c>
      <c r="E2455" t="s">
        <v>465</v>
      </c>
      <c r="G2455" t="s">
        <v>487</v>
      </c>
      <c r="H2455" t="s">
        <v>125</v>
      </c>
      <c r="I2455">
        <v>2030</v>
      </c>
      <c r="J2455" t="s">
        <v>490</v>
      </c>
      <c r="K2455" t="s">
        <v>127</v>
      </c>
      <c r="L2455" t="s">
        <v>2701</v>
      </c>
      <c r="M2455" t="s">
        <v>2709</v>
      </c>
      <c r="N2455">
        <v>1</v>
      </c>
      <c r="O2455">
        <v>2030</v>
      </c>
      <c r="P2455">
        <v>1280.3270284290129</v>
      </c>
      <c r="Q2455">
        <v>9.4642370851586541</v>
      </c>
      <c r="R2455" t="s">
        <v>391</v>
      </c>
      <c r="S2455">
        <v>135.28053206071499</v>
      </c>
      <c r="T2455">
        <v>0.17</v>
      </c>
      <c r="U2455" t="s">
        <v>470</v>
      </c>
      <c r="V2455">
        <v>1.416666666666667</v>
      </c>
      <c r="W2455">
        <v>6</v>
      </c>
      <c r="X2455">
        <v>17</v>
      </c>
      <c r="Y2455">
        <v>12</v>
      </c>
      <c r="Z2455">
        <v>0.02</v>
      </c>
      <c r="AA2455">
        <v>1</v>
      </c>
    </row>
    <row r="2456" spans="1:27" x14ac:dyDescent="0.25">
      <c r="A2456" t="s">
        <v>98</v>
      </c>
      <c r="B2456" t="s">
        <v>519</v>
      </c>
      <c r="C2456" t="s">
        <v>1028</v>
      </c>
      <c r="D2456" t="s">
        <v>1707</v>
      </c>
      <c r="E2456" t="s">
        <v>465</v>
      </c>
      <c r="G2456" t="s">
        <v>492</v>
      </c>
      <c r="H2456" t="s">
        <v>125</v>
      </c>
      <c r="I2456">
        <v>2016</v>
      </c>
      <c r="J2456" t="s">
        <v>493</v>
      </c>
      <c r="K2456" t="s">
        <v>127</v>
      </c>
      <c r="L2456" t="s">
        <v>2701</v>
      </c>
      <c r="M2456" t="s">
        <v>2710</v>
      </c>
      <c r="N2456">
        <v>1</v>
      </c>
      <c r="O2456">
        <v>2020</v>
      </c>
      <c r="P2456">
        <v>1158.3911209595831</v>
      </c>
      <c r="Q2456">
        <v>9.4642370851586541</v>
      </c>
      <c r="R2456" t="s">
        <v>391</v>
      </c>
      <c r="S2456">
        <v>122.39667186445639</v>
      </c>
      <c r="T2456">
        <v>0.28999999999999998</v>
      </c>
      <c r="U2456" t="s">
        <v>470</v>
      </c>
      <c r="V2456">
        <v>2.416666666666667</v>
      </c>
      <c r="W2456">
        <v>6</v>
      </c>
      <c r="X2456">
        <v>17</v>
      </c>
      <c r="Y2456">
        <v>12</v>
      </c>
      <c r="Z2456">
        <v>0.02</v>
      </c>
      <c r="AA2456">
        <v>1</v>
      </c>
    </row>
    <row r="2457" spans="1:27" x14ac:dyDescent="0.25">
      <c r="A2457" t="s">
        <v>98</v>
      </c>
      <c r="B2457" t="s">
        <v>519</v>
      </c>
      <c r="C2457" t="s">
        <v>1028</v>
      </c>
      <c r="D2457" t="s">
        <v>1707</v>
      </c>
      <c r="E2457" t="s">
        <v>465</v>
      </c>
      <c r="G2457" t="s">
        <v>466</v>
      </c>
      <c r="H2457" t="s">
        <v>125</v>
      </c>
      <c r="I2457">
        <v>2016</v>
      </c>
      <c r="J2457" t="s">
        <v>495</v>
      </c>
      <c r="K2457" t="s">
        <v>127</v>
      </c>
      <c r="L2457" t="s">
        <v>2701</v>
      </c>
      <c r="M2457" t="s">
        <v>2711</v>
      </c>
      <c r="N2457">
        <v>0</v>
      </c>
      <c r="O2457">
        <v>2020</v>
      </c>
      <c r="P2457">
        <v>1280.3270284290129</v>
      </c>
      <c r="Q2457">
        <v>9.4642370851586541</v>
      </c>
      <c r="R2457" t="s">
        <v>391</v>
      </c>
      <c r="S2457">
        <v>135.28053206071499</v>
      </c>
      <c r="T2457">
        <v>0.17</v>
      </c>
      <c r="U2457" t="s">
        <v>470</v>
      </c>
      <c r="V2457">
        <v>1.416666666666667</v>
      </c>
      <c r="W2457">
        <v>6</v>
      </c>
      <c r="X2457">
        <v>17</v>
      </c>
      <c r="Y2457">
        <v>12</v>
      </c>
      <c r="Z2457">
        <v>0.02</v>
      </c>
      <c r="AA2457">
        <v>1</v>
      </c>
    </row>
    <row r="2458" spans="1:27" x14ac:dyDescent="0.25">
      <c r="A2458" t="s">
        <v>98</v>
      </c>
      <c r="B2458" t="s">
        <v>519</v>
      </c>
      <c r="C2458" t="s">
        <v>1028</v>
      </c>
      <c r="D2458" t="s">
        <v>1707</v>
      </c>
      <c r="E2458" t="s">
        <v>465</v>
      </c>
      <c r="G2458" t="s">
        <v>466</v>
      </c>
      <c r="H2458" t="s">
        <v>125</v>
      </c>
      <c r="I2458">
        <v>2020</v>
      </c>
      <c r="J2458" t="s">
        <v>497</v>
      </c>
      <c r="K2458" t="s">
        <v>127</v>
      </c>
      <c r="L2458" t="s">
        <v>2701</v>
      </c>
      <c r="M2458" t="s">
        <v>2711</v>
      </c>
      <c r="N2458">
        <v>1</v>
      </c>
      <c r="O2458">
        <v>2020</v>
      </c>
      <c r="P2458">
        <v>1646.1347508373019</v>
      </c>
      <c r="Q2458">
        <v>9.4642370851586541</v>
      </c>
      <c r="R2458" t="s">
        <v>391</v>
      </c>
      <c r="S2458">
        <v>173.93211264949059</v>
      </c>
      <c r="T2458">
        <v>0.28000000000000003</v>
      </c>
      <c r="U2458" t="s">
        <v>470</v>
      </c>
      <c r="V2458">
        <v>2.333333333333333</v>
      </c>
      <c r="W2458">
        <v>6</v>
      </c>
      <c r="X2458">
        <v>17</v>
      </c>
      <c r="Y2458">
        <v>12</v>
      </c>
      <c r="Z2458">
        <v>0.02</v>
      </c>
      <c r="AA2458">
        <v>1</v>
      </c>
    </row>
    <row r="2459" spans="1:27" x14ac:dyDescent="0.25">
      <c r="A2459" t="s">
        <v>98</v>
      </c>
      <c r="B2459" t="s">
        <v>519</v>
      </c>
      <c r="C2459" t="s">
        <v>1028</v>
      </c>
      <c r="D2459" t="s">
        <v>1707</v>
      </c>
      <c r="E2459" t="s">
        <v>498</v>
      </c>
      <c r="G2459" t="s">
        <v>103</v>
      </c>
      <c r="H2459" t="s">
        <v>104</v>
      </c>
      <c r="I2459">
        <v>2016</v>
      </c>
      <c r="J2459" t="s">
        <v>499</v>
      </c>
      <c r="K2459" t="s">
        <v>106</v>
      </c>
      <c r="L2459" t="s">
        <v>2712</v>
      </c>
      <c r="M2459" t="s">
        <v>2713</v>
      </c>
      <c r="N2459">
        <v>1</v>
      </c>
      <c r="O2459">
        <v>2020</v>
      </c>
      <c r="P2459">
        <v>792.58339855129361</v>
      </c>
      <c r="Q2459">
        <v>110.40985293857921</v>
      </c>
      <c r="R2459" t="s">
        <v>391</v>
      </c>
      <c r="S2459">
        <v>7.1785567814514337</v>
      </c>
      <c r="T2459">
        <v>3.3</v>
      </c>
      <c r="U2459" t="s">
        <v>502</v>
      </c>
      <c r="V2459">
        <v>1</v>
      </c>
      <c r="W2459">
        <v>8</v>
      </c>
      <c r="X2459">
        <v>18</v>
      </c>
      <c r="Y2459">
        <v>14</v>
      </c>
      <c r="Z2459">
        <v>0.02</v>
      </c>
      <c r="AA2459">
        <v>1</v>
      </c>
    </row>
    <row r="2460" spans="1:27" x14ac:dyDescent="0.25">
      <c r="A2460" t="s">
        <v>98</v>
      </c>
      <c r="B2460" t="s">
        <v>519</v>
      </c>
      <c r="C2460" t="s">
        <v>1028</v>
      </c>
      <c r="D2460" t="s">
        <v>1707</v>
      </c>
      <c r="E2460" t="s">
        <v>498</v>
      </c>
      <c r="G2460" t="s">
        <v>111</v>
      </c>
      <c r="H2460" t="s">
        <v>104</v>
      </c>
      <c r="I2460">
        <v>2016</v>
      </c>
      <c r="J2460" t="s">
        <v>503</v>
      </c>
      <c r="K2460" t="s">
        <v>106</v>
      </c>
      <c r="L2460" t="s">
        <v>2712</v>
      </c>
      <c r="M2460" t="s">
        <v>2714</v>
      </c>
      <c r="N2460">
        <v>1</v>
      </c>
      <c r="O2460">
        <v>2020</v>
      </c>
      <c r="P2460">
        <v>804.77698929823669</v>
      </c>
      <c r="Q2460">
        <v>110.40985293857921</v>
      </c>
      <c r="R2460" t="s">
        <v>391</v>
      </c>
      <c r="S2460">
        <v>7.2889961165506874</v>
      </c>
      <c r="T2460">
        <v>3.32</v>
      </c>
      <c r="U2460" t="s">
        <v>502</v>
      </c>
      <c r="V2460">
        <v>1.0060606060606061</v>
      </c>
      <c r="W2460">
        <v>8</v>
      </c>
      <c r="X2460">
        <v>18</v>
      </c>
      <c r="Y2460">
        <v>14</v>
      </c>
      <c r="Z2460">
        <v>0.02</v>
      </c>
      <c r="AA2460">
        <v>1</v>
      </c>
    </row>
    <row r="2461" spans="1:27" x14ac:dyDescent="0.25">
      <c r="A2461" t="s">
        <v>98</v>
      </c>
      <c r="B2461" t="s">
        <v>519</v>
      </c>
      <c r="C2461" t="s">
        <v>1028</v>
      </c>
      <c r="D2461" t="s">
        <v>1707</v>
      </c>
      <c r="E2461" t="s">
        <v>498</v>
      </c>
      <c r="G2461" t="s">
        <v>114</v>
      </c>
      <c r="H2461" t="s">
        <v>104</v>
      </c>
      <c r="I2461">
        <v>2016</v>
      </c>
      <c r="J2461" t="s">
        <v>505</v>
      </c>
      <c r="K2461" t="s">
        <v>106</v>
      </c>
      <c r="L2461" t="s">
        <v>2712</v>
      </c>
      <c r="M2461" t="s">
        <v>2715</v>
      </c>
      <c r="N2461">
        <v>1</v>
      </c>
      <c r="O2461">
        <v>2020</v>
      </c>
      <c r="P2461">
        <v>843.56142251742892</v>
      </c>
      <c r="Q2461">
        <v>110.40985293857921</v>
      </c>
      <c r="R2461" t="s">
        <v>391</v>
      </c>
      <c r="S2461">
        <v>7.6402730378302399</v>
      </c>
      <c r="T2461">
        <v>3.48</v>
      </c>
      <c r="U2461" t="s">
        <v>502</v>
      </c>
      <c r="V2461">
        <v>1.0545454545454549</v>
      </c>
      <c r="W2461">
        <v>8</v>
      </c>
      <c r="X2461">
        <v>18</v>
      </c>
      <c r="Y2461">
        <v>14</v>
      </c>
      <c r="Z2461">
        <v>0.02</v>
      </c>
      <c r="AA2461">
        <v>1</v>
      </c>
    </row>
    <row r="2462" spans="1:27" x14ac:dyDescent="0.25">
      <c r="A2462" t="s">
        <v>98</v>
      </c>
      <c r="B2462" t="s">
        <v>519</v>
      </c>
      <c r="C2462" t="s">
        <v>1028</v>
      </c>
      <c r="D2462" t="s">
        <v>1707</v>
      </c>
      <c r="E2462" t="s">
        <v>498</v>
      </c>
      <c r="G2462" t="s">
        <v>119</v>
      </c>
      <c r="H2462" t="s">
        <v>104</v>
      </c>
      <c r="I2462">
        <v>2016</v>
      </c>
      <c r="J2462" t="s">
        <v>507</v>
      </c>
      <c r="K2462" t="s">
        <v>106</v>
      </c>
      <c r="L2462" t="s">
        <v>2712</v>
      </c>
      <c r="M2462" t="s">
        <v>2716</v>
      </c>
      <c r="N2462">
        <v>1</v>
      </c>
      <c r="O2462">
        <v>2020</v>
      </c>
      <c r="P2462">
        <v>938.90648751460947</v>
      </c>
      <c r="Q2462">
        <v>110.40985293857921</v>
      </c>
      <c r="R2462" t="s">
        <v>391</v>
      </c>
      <c r="S2462">
        <v>8.5038288026424684</v>
      </c>
      <c r="T2462">
        <v>3.49</v>
      </c>
      <c r="U2462" t="s">
        <v>502</v>
      </c>
      <c r="V2462">
        <v>1.0575757575757581</v>
      </c>
      <c r="W2462">
        <v>8</v>
      </c>
      <c r="X2462">
        <v>18</v>
      </c>
      <c r="Y2462">
        <v>14</v>
      </c>
      <c r="Z2462">
        <v>0.02</v>
      </c>
      <c r="AA2462">
        <v>1</v>
      </c>
    </row>
    <row r="2463" spans="1:27" x14ac:dyDescent="0.25">
      <c r="A2463" t="s">
        <v>98</v>
      </c>
      <c r="B2463" t="s">
        <v>519</v>
      </c>
      <c r="C2463" t="s">
        <v>1028</v>
      </c>
      <c r="D2463" t="s">
        <v>1707</v>
      </c>
      <c r="E2463" t="s">
        <v>498</v>
      </c>
      <c r="G2463" t="s">
        <v>119</v>
      </c>
      <c r="H2463" t="s">
        <v>104</v>
      </c>
      <c r="I2463">
        <v>2030</v>
      </c>
      <c r="J2463" t="s">
        <v>509</v>
      </c>
      <c r="K2463" t="s">
        <v>106</v>
      </c>
      <c r="L2463" t="s">
        <v>2712</v>
      </c>
      <c r="M2463" t="s">
        <v>2717</v>
      </c>
      <c r="N2463">
        <v>1</v>
      </c>
      <c r="O2463">
        <v>2030</v>
      </c>
      <c r="P2463">
        <v>987.6808505023813</v>
      </c>
      <c r="Q2463">
        <v>110.40985293857921</v>
      </c>
      <c r="R2463" t="s">
        <v>391</v>
      </c>
      <c r="S2463">
        <v>8.9455861430394794</v>
      </c>
      <c r="T2463">
        <v>3.61</v>
      </c>
      <c r="U2463" t="s">
        <v>502</v>
      </c>
      <c r="V2463">
        <v>1.093939393939394</v>
      </c>
      <c r="W2463">
        <v>8</v>
      </c>
      <c r="X2463">
        <v>18</v>
      </c>
      <c r="Y2463">
        <v>14</v>
      </c>
      <c r="Z2463">
        <v>0.02</v>
      </c>
      <c r="AA2463">
        <v>1</v>
      </c>
    </row>
    <row r="2464" spans="1:27" x14ac:dyDescent="0.25">
      <c r="A2464" t="s">
        <v>98</v>
      </c>
      <c r="B2464" t="s">
        <v>519</v>
      </c>
      <c r="C2464" t="s">
        <v>1028</v>
      </c>
      <c r="D2464" t="s">
        <v>1707</v>
      </c>
      <c r="E2464" t="s">
        <v>498</v>
      </c>
      <c r="G2464" t="s">
        <v>103</v>
      </c>
      <c r="H2464" t="s">
        <v>125</v>
      </c>
      <c r="I2464">
        <v>2016</v>
      </c>
      <c r="J2464" t="s">
        <v>511</v>
      </c>
      <c r="K2464" t="s">
        <v>127</v>
      </c>
      <c r="L2464" t="s">
        <v>2712</v>
      </c>
      <c r="M2464" t="s">
        <v>2718</v>
      </c>
      <c r="N2464">
        <v>1</v>
      </c>
      <c r="O2464">
        <v>2020</v>
      </c>
      <c r="P2464">
        <v>646.26030958797787</v>
      </c>
      <c r="Q2464">
        <v>110.40985293857921</v>
      </c>
      <c r="R2464" t="s">
        <v>391</v>
      </c>
      <c r="S2464">
        <v>5.8532847602603999</v>
      </c>
      <c r="T2464">
        <v>3.73</v>
      </c>
      <c r="U2464" t="s">
        <v>502</v>
      </c>
      <c r="V2464">
        <v>1.1303030303030299</v>
      </c>
      <c r="W2464">
        <v>8</v>
      </c>
      <c r="X2464">
        <v>18</v>
      </c>
      <c r="Y2464">
        <v>14</v>
      </c>
      <c r="Z2464">
        <v>0.02</v>
      </c>
      <c r="AA2464">
        <v>1</v>
      </c>
    </row>
    <row r="2465" spans="1:27" x14ac:dyDescent="0.25">
      <c r="A2465" t="s">
        <v>98</v>
      </c>
      <c r="B2465" t="s">
        <v>519</v>
      </c>
      <c r="C2465" t="s">
        <v>1028</v>
      </c>
      <c r="D2465" t="s">
        <v>1707</v>
      </c>
      <c r="E2465" t="s">
        <v>498</v>
      </c>
      <c r="G2465" t="s">
        <v>111</v>
      </c>
      <c r="H2465" t="s">
        <v>125</v>
      </c>
      <c r="I2465">
        <v>2016</v>
      </c>
      <c r="J2465" t="s">
        <v>513</v>
      </c>
      <c r="K2465" t="s">
        <v>127</v>
      </c>
      <c r="L2465" t="s">
        <v>2712</v>
      </c>
      <c r="M2465" t="s">
        <v>2719</v>
      </c>
      <c r="N2465">
        <v>1</v>
      </c>
      <c r="O2465">
        <v>2020</v>
      </c>
      <c r="P2465">
        <v>658.45390033492083</v>
      </c>
      <c r="Q2465">
        <v>110.40985293857921</v>
      </c>
      <c r="R2465" t="s">
        <v>391</v>
      </c>
      <c r="S2465">
        <v>5.9637240953596526</v>
      </c>
      <c r="T2465">
        <v>3.74</v>
      </c>
      <c r="U2465" t="s">
        <v>502</v>
      </c>
      <c r="V2465">
        <v>1.133333333333334</v>
      </c>
      <c r="W2465">
        <v>8</v>
      </c>
      <c r="X2465">
        <v>18</v>
      </c>
      <c r="Y2465">
        <v>14</v>
      </c>
      <c r="Z2465">
        <v>0.02</v>
      </c>
      <c r="AA2465">
        <v>1</v>
      </c>
    </row>
    <row r="2466" spans="1:27" x14ac:dyDescent="0.25">
      <c r="A2466" t="s">
        <v>98</v>
      </c>
      <c r="B2466" t="s">
        <v>519</v>
      </c>
      <c r="C2466" t="s">
        <v>1028</v>
      </c>
      <c r="D2466" t="s">
        <v>1707</v>
      </c>
      <c r="E2466" t="s">
        <v>498</v>
      </c>
      <c r="G2466" t="s">
        <v>114</v>
      </c>
      <c r="H2466" t="s">
        <v>125</v>
      </c>
      <c r="I2466">
        <v>2016</v>
      </c>
      <c r="J2466" t="s">
        <v>515</v>
      </c>
      <c r="K2466" t="s">
        <v>127</v>
      </c>
      <c r="L2466" t="s">
        <v>2712</v>
      </c>
      <c r="M2466" t="s">
        <v>2720</v>
      </c>
      <c r="N2466">
        <v>1</v>
      </c>
      <c r="O2466">
        <v>2020</v>
      </c>
      <c r="P2466">
        <v>691.90476692947561</v>
      </c>
      <c r="Q2466">
        <v>110.40985293857921</v>
      </c>
      <c r="R2466" t="s">
        <v>391</v>
      </c>
      <c r="S2466">
        <v>6.2666940360330043</v>
      </c>
      <c r="T2466">
        <v>3.93</v>
      </c>
      <c r="U2466" t="s">
        <v>502</v>
      </c>
      <c r="V2466">
        <v>1.1909090909090909</v>
      </c>
      <c r="W2466">
        <v>8</v>
      </c>
      <c r="X2466">
        <v>18</v>
      </c>
      <c r="Y2466">
        <v>14</v>
      </c>
      <c r="Z2466">
        <v>0.02</v>
      </c>
      <c r="AA2466">
        <v>1</v>
      </c>
    </row>
    <row r="2467" spans="1:27" x14ac:dyDescent="0.25">
      <c r="A2467" t="s">
        <v>98</v>
      </c>
      <c r="B2467" t="s">
        <v>519</v>
      </c>
      <c r="C2467" t="s">
        <v>1028</v>
      </c>
      <c r="D2467" t="s">
        <v>1707</v>
      </c>
      <c r="E2467" t="s">
        <v>498</v>
      </c>
      <c r="G2467" t="s">
        <v>119</v>
      </c>
      <c r="H2467" t="s">
        <v>125</v>
      </c>
      <c r="I2467">
        <v>2016</v>
      </c>
      <c r="J2467" t="s">
        <v>517</v>
      </c>
      <c r="K2467" t="s">
        <v>127</v>
      </c>
      <c r="L2467" t="s">
        <v>2712</v>
      </c>
      <c r="M2467" t="s">
        <v>2721</v>
      </c>
      <c r="N2467">
        <v>1</v>
      </c>
      <c r="O2467">
        <v>2020</v>
      </c>
      <c r="P2467">
        <v>938.90648751460947</v>
      </c>
      <c r="Q2467">
        <v>110.40985293857921</v>
      </c>
      <c r="R2467" t="s">
        <v>391</v>
      </c>
      <c r="S2467">
        <v>8.5038288026424684</v>
      </c>
      <c r="T2467">
        <v>4.5</v>
      </c>
      <c r="U2467" t="s">
        <v>502</v>
      </c>
      <c r="V2467">
        <v>1.363636363636364</v>
      </c>
      <c r="W2467">
        <v>8</v>
      </c>
      <c r="X2467">
        <v>18</v>
      </c>
      <c r="Y2467">
        <v>14</v>
      </c>
      <c r="Z2467">
        <v>0.02</v>
      </c>
      <c r="AA2467">
        <v>1</v>
      </c>
    </row>
    <row r="2468" spans="1:27" x14ac:dyDescent="0.25">
      <c r="A2468" t="s">
        <v>98</v>
      </c>
      <c r="B2468" t="s">
        <v>99</v>
      </c>
      <c r="C2468" t="s">
        <v>1367</v>
      </c>
      <c r="D2468" t="s">
        <v>1707</v>
      </c>
      <c r="E2468" t="s">
        <v>102</v>
      </c>
      <c r="G2468" t="s">
        <v>103</v>
      </c>
      <c r="H2468" t="s">
        <v>104</v>
      </c>
      <c r="I2468">
        <v>2016</v>
      </c>
      <c r="J2468" t="s">
        <v>105</v>
      </c>
      <c r="K2468" t="s">
        <v>106</v>
      </c>
      <c r="L2468" t="s">
        <v>2722</v>
      </c>
      <c r="M2468" t="s">
        <v>2723</v>
      </c>
      <c r="N2468">
        <v>1</v>
      </c>
      <c r="O2468">
        <v>2020</v>
      </c>
      <c r="P2468">
        <v>2225.3303113170941</v>
      </c>
      <c r="Q2468">
        <v>1.615518797047149</v>
      </c>
      <c r="R2468" t="s">
        <v>109</v>
      </c>
      <c r="S2468">
        <v>1377.4710114079519</v>
      </c>
      <c r="T2468">
        <v>0.61014999999999997</v>
      </c>
      <c r="U2468" t="s">
        <v>110</v>
      </c>
      <c r="V2468">
        <v>0.61014999999999997</v>
      </c>
      <c r="W2468">
        <v>6</v>
      </c>
      <c r="X2468">
        <v>20</v>
      </c>
      <c r="Y2468">
        <v>14</v>
      </c>
      <c r="Z2468">
        <v>0.24</v>
      </c>
      <c r="AA2468">
        <v>31.536000000000001</v>
      </c>
    </row>
    <row r="2469" spans="1:27" x14ac:dyDescent="0.25">
      <c r="A2469" t="s">
        <v>98</v>
      </c>
      <c r="B2469" t="s">
        <v>99</v>
      </c>
      <c r="C2469" t="s">
        <v>1367</v>
      </c>
      <c r="D2469" t="s">
        <v>1707</v>
      </c>
      <c r="E2469" t="s">
        <v>102</v>
      </c>
      <c r="G2469" t="s">
        <v>111</v>
      </c>
      <c r="H2469" t="s">
        <v>104</v>
      </c>
      <c r="I2469">
        <v>2016</v>
      </c>
      <c r="J2469" t="s">
        <v>112</v>
      </c>
      <c r="K2469" t="s">
        <v>106</v>
      </c>
      <c r="L2469" t="s">
        <v>2722</v>
      </c>
      <c r="M2469" t="s">
        <v>2724</v>
      </c>
      <c r="N2469">
        <v>1</v>
      </c>
      <c r="O2469">
        <v>2020</v>
      </c>
      <c r="P2469">
        <v>2347.266218786523</v>
      </c>
      <c r="Q2469">
        <v>1.615518797047149</v>
      </c>
      <c r="R2469" t="s">
        <v>109</v>
      </c>
      <c r="S2469">
        <v>1452.948875046744</v>
      </c>
      <c r="T2469">
        <v>0.63</v>
      </c>
      <c r="U2469" t="s">
        <v>110</v>
      </c>
      <c r="V2469">
        <v>0.63</v>
      </c>
      <c r="W2469">
        <v>6</v>
      </c>
      <c r="X2469">
        <v>20</v>
      </c>
      <c r="Y2469">
        <v>14</v>
      </c>
      <c r="Z2469">
        <v>0.24</v>
      </c>
      <c r="AA2469">
        <v>31.536000000000001</v>
      </c>
    </row>
    <row r="2470" spans="1:27" x14ac:dyDescent="0.25">
      <c r="A2470" t="s">
        <v>98</v>
      </c>
      <c r="B2470" t="s">
        <v>99</v>
      </c>
      <c r="C2470" t="s">
        <v>1367</v>
      </c>
      <c r="D2470" t="s">
        <v>1707</v>
      </c>
      <c r="E2470" t="s">
        <v>102</v>
      </c>
      <c r="G2470" t="s">
        <v>114</v>
      </c>
      <c r="H2470" t="s">
        <v>104</v>
      </c>
      <c r="I2470">
        <v>2016</v>
      </c>
      <c r="J2470" t="s">
        <v>115</v>
      </c>
      <c r="K2470" t="s">
        <v>106</v>
      </c>
      <c r="L2470" t="s">
        <v>2722</v>
      </c>
      <c r="M2470" t="s">
        <v>2725</v>
      </c>
      <c r="N2470">
        <v>1</v>
      </c>
      <c r="O2470">
        <v>2020</v>
      </c>
      <c r="P2470">
        <v>2469.2021262559529</v>
      </c>
      <c r="Q2470">
        <v>1.615518797047149</v>
      </c>
      <c r="R2470" t="s">
        <v>109</v>
      </c>
      <c r="S2470">
        <v>1528.4267386855361</v>
      </c>
      <c r="T2470">
        <v>0.66</v>
      </c>
      <c r="U2470" t="s">
        <v>110</v>
      </c>
      <c r="V2470">
        <v>0.66</v>
      </c>
      <c r="W2470">
        <v>6</v>
      </c>
      <c r="X2470">
        <v>20</v>
      </c>
      <c r="Y2470">
        <v>14</v>
      </c>
      <c r="Z2470">
        <v>0.24</v>
      </c>
      <c r="AA2470">
        <v>31.536000000000001</v>
      </c>
    </row>
    <row r="2471" spans="1:27" x14ac:dyDescent="0.25">
      <c r="A2471" t="s">
        <v>98</v>
      </c>
      <c r="B2471" t="s">
        <v>99</v>
      </c>
      <c r="C2471" t="s">
        <v>1367</v>
      </c>
      <c r="D2471" t="s">
        <v>1707</v>
      </c>
      <c r="E2471" t="s">
        <v>102</v>
      </c>
      <c r="G2471" t="s">
        <v>114</v>
      </c>
      <c r="H2471" t="s">
        <v>104</v>
      </c>
      <c r="I2471">
        <v>2023</v>
      </c>
      <c r="J2471" t="s">
        <v>117</v>
      </c>
      <c r="K2471" t="s">
        <v>106</v>
      </c>
      <c r="L2471" t="s">
        <v>2722</v>
      </c>
      <c r="M2471" t="s">
        <v>2726</v>
      </c>
      <c r="N2471">
        <v>1</v>
      </c>
      <c r="O2471">
        <v>2023</v>
      </c>
      <c r="P2471">
        <v>3865.2553631628971</v>
      </c>
      <c r="Q2471">
        <v>1.615518797047149</v>
      </c>
      <c r="R2471" t="s">
        <v>109</v>
      </c>
      <c r="S2471">
        <v>2392.5783904389259</v>
      </c>
      <c r="T2471">
        <v>0.83499999999999996</v>
      </c>
      <c r="U2471" t="s">
        <v>110</v>
      </c>
      <c r="V2471">
        <v>0.83499999999999996</v>
      </c>
      <c r="W2471">
        <v>6</v>
      </c>
      <c r="X2471">
        <v>20</v>
      </c>
      <c r="Y2471">
        <v>14</v>
      </c>
      <c r="Z2471">
        <v>0.24</v>
      </c>
      <c r="AA2471">
        <v>31.536000000000001</v>
      </c>
    </row>
    <row r="2472" spans="1:27" x14ac:dyDescent="0.25">
      <c r="A2472" t="s">
        <v>98</v>
      </c>
      <c r="B2472" t="s">
        <v>99</v>
      </c>
      <c r="C2472" t="s">
        <v>1367</v>
      </c>
      <c r="D2472" t="s">
        <v>1707</v>
      </c>
      <c r="E2472" t="s">
        <v>102</v>
      </c>
      <c r="G2472" t="s">
        <v>119</v>
      </c>
      <c r="H2472" t="s">
        <v>104</v>
      </c>
      <c r="I2472">
        <v>2016</v>
      </c>
      <c r="J2472" t="s">
        <v>120</v>
      </c>
      <c r="K2472" t="s">
        <v>106</v>
      </c>
      <c r="L2472" t="s">
        <v>2722</v>
      </c>
      <c r="M2472" t="s">
        <v>2727</v>
      </c>
      <c r="N2472">
        <v>0</v>
      </c>
      <c r="O2472">
        <v>2020</v>
      </c>
      <c r="P2472">
        <v>3749.5291546849662</v>
      </c>
      <c r="Q2472">
        <v>1.615518797047149</v>
      </c>
      <c r="R2472" t="s">
        <v>109</v>
      </c>
      <c r="S2472">
        <v>2320.9443068928508</v>
      </c>
      <c r="T2472">
        <v>0.81</v>
      </c>
      <c r="U2472" t="s">
        <v>110</v>
      </c>
      <c r="V2472">
        <v>0.81</v>
      </c>
      <c r="W2472">
        <v>6</v>
      </c>
      <c r="X2472">
        <v>20</v>
      </c>
      <c r="Y2472">
        <v>14</v>
      </c>
      <c r="Z2472">
        <v>0.24</v>
      </c>
      <c r="AA2472">
        <v>31.536000000000001</v>
      </c>
    </row>
    <row r="2473" spans="1:27" x14ac:dyDescent="0.25">
      <c r="A2473" t="s">
        <v>98</v>
      </c>
      <c r="B2473" t="s">
        <v>99</v>
      </c>
      <c r="C2473" t="s">
        <v>1367</v>
      </c>
      <c r="D2473" t="s">
        <v>1707</v>
      </c>
      <c r="E2473" t="s">
        <v>102</v>
      </c>
      <c r="G2473" t="s">
        <v>119</v>
      </c>
      <c r="H2473" t="s">
        <v>104</v>
      </c>
      <c r="I2473">
        <v>2018</v>
      </c>
      <c r="J2473" t="s">
        <v>122</v>
      </c>
      <c r="K2473" t="s">
        <v>106</v>
      </c>
      <c r="L2473" t="s">
        <v>2722</v>
      </c>
      <c r="M2473" t="s">
        <v>2727</v>
      </c>
      <c r="N2473">
        <v>1</v>
      </c>
      <c r="O2473">
        <v>2020</v>
      </c>
      <c r="P2473">
        <v>3749.5291546849662</v>
      </c>
      <c r="Q2473">
        <v>1.615518797047149</v>
      </c>
      <c r="R2473" t="s">
        <v>109</v>
      </c>
      <c r="S2473">
        <v>2320.9443068928508</v>
      </c>
      <c r="T2473">
        <v>0.81</v>
      </c>
      <c r="U2473" t="s">
        <v>110</v>
      </c>
      <c r="V2473">
        <v>0.81</v>
      </c>
      <c r="W2473">
        <v>6</v>
      </c>
      <c r="X2473">
        <v>20</v>
      </c>
      <c r="Y2473">
        <v>14</v>
      </c>
      <c r="Z2473">
        <v>0.24</v>
      </c>
      <c r="AA2473">
        <v>31.536000000000001</v>
      </c>
    </row>
    <row r="2474" spans="1:27" x14ac:dyDescent="0.25">
      <c r="A2474" t="s">
        <v>98</v>
      </c>
      <c r="B2474" t="s">
        <v>99</v>
      </c>
      <c r="C2474" t="s">
        <v>1367</v>
      </c>
      <c r="D2474" t="s">
        <v>1707</v>
      </c>
      <c r="E2474" t="s">
        <v>102</v>
      </c>
      <c r="G2474" t="s">
        <v>119</v>
      </c>
      <c r="H2474" t="s">
        <v>104</v>
      </c>
      <c r="I2474">
        <v>2022</v>
      </c>
      <c r="J2474" t="s">
        <v>123</v>
      </c>
      <c r="K2474" t="s">
        <v>106</v>
      </c>
      <c r="L2474" t="s">
        <v>2722</v>
      </c>
      <c r="M2474" t="s">
        <v>2728</v>
      </c>
      <c r="N2474">
        <v>1</v>
      </c>
      <c r="O2474">
        <v>2022</v>
      </c>
      <c r="P2474">
        <v>3749.5291546849662</v>
      </c>
      <c r="Q2474">
        <v>1.615518797047149</v>
      </c>
      <c r="R2474" t="s">
        <v>109</v>
      </c>
      <c r="S2474">
        <v>2320.9443068928508</v>
      </c>
      <c r="T2474">
        <v>0.81</v>
      </c>
      <c r="U2474" t="s">
        <v>110</v>
      </c>
      <c r="V2474">
        <v>0.81</v>
      </c>
      <c r="W2474">
        <v>6</v>
      </c>
      <c r="X2474">
        <v>20</v>
      </c>
      <c r="Y2474">
        <v>14</v>
      </c>
      <c r="Z2474">
        <v>0.24</v>
      </c>
      <c r="AA2474">
        <v>31.536000000000001</v>
      </c>
    </row>
    <row r="2475" spans="1:27" x14ac:dyDescent="0.25">
      <c r="A2475" t="s">
        <v>98</v>
      </c>
      <c r="B2475" t="s">
        <v>99</v>
      </c>
      <c r="C2475" t="s">
        <v>1367</v>
      </c>
      <c r="D2475" t="s">
        <v>1707</v>
      </c>
      <c r="E2475" t="s">
        <v>102</v>
      </c>
      <c r="G2475" t="s">
        <v>103</v>
      </c>
      <c r="H2475" t="s">
        <v>125</v>
      </c>
      <c r="I2475">
        <v>2016</v>
      </c>
      <c r="J2475" t="s">
        <v>126</v>
      </c>
      <c r="K2475" t="s">
        <v>127</v>
      </c>
      <c r="L2475" t="s">
        <v>2722</v>
      </c>
      <c r="M2475" t="s">
        <v>2729</v>
      </c>
      <c r="N2475">
        <v>1</v>
      </c>
      <c r="O2475">
        <v>2020</v>
      </c>
      <c r="P2475">
        <v>945.00328288808089</v>
      </c>
      <c r="Q2475">
        <v>1.615518797047149</v>
      </c>
      <c r="R2475" t="s">
        <v>109</v>
      </c>
      <c r="S2475">
        <v>584.95344320063714</v>
      </c>
      <c r="T2475">
        <v>0.91554999999999997</v>
      </c>
      <c r="U2475" t="s">
        <v>110</v>
      </c>
      <c r="V2475">
        <v>0.91554999999999997</v>
      </c>
      <c r="W2475">
        <v>6</v>
      </c>
      <c r="X2475">
        <v>20</v>
      </c>
      <c r="Y2475">
        <v>14</v>
      </c>
      <c r="Z2475">
        <v>0.24</v>
      </c>
      <c r="AA2475">
        <v>31.536000000000001</v>
      </c>
    </row>
    <row r="2476" spans="1:27" x14ac:dyDescent="0.25">
      <c r="A2476" t="s">
        <v>98</v>
      </c>
      <c r="B2476" t="s">
        <v>99</v>
      </c>
      <c r="C2476" t="s">
        <v>1367</v>
      </c>
      <c r="D2476" t="s">
        <v>1707</v>
      </c>
      <c r="E2476" t="s">
        <v>102</v>
      </c>
      <c r="G2476" t="s">
        <v>111</v>
      </c>
      <c r="H2476" t="s">
        <v>125</v>
      </c>
      <c r="I2476">
        <v>2016</v>
      </c>
      <c r="J2476" t="s">
        <v>129</v>
      </c>
      <c r="K2476" t="s">
        <v>127</v>
      </c>
      <c r="L2476" t="s">
        <v>2722</v>
      </c>
      <c r="M2476" t="s">
        <v>2730</v>
      </c>
      <c r="N2476">
        <v>1</v>
      </c>
      <c r="O2476">
        <v>2020</v>
      </c>
      <c r="P2476">
        <v>1036.455213490153</v>
      </c>
      <c r="Q2476">
        <v>1.615518797047149</v>
      </c>
      <c r="R2476" t="s">
        <v>109</v>
      </c>
      <c r="S2476">
        <v>641.56184092973115</v>
      </c>
      <c r="T2476">
        <v>0.93</v>
      </c>
      <c r="U2476" t="s">
        <v>110</v>
      </c>
      <c r="V2476">
        <v>0.93</v>
      </c>
      <c r="W2476">
        <v>6</v>
      </c>
      <c r="X2476">
        <v>20</v>
      </c>
      <c r="Y2476">
        <v>14</v>
      </c>
      <c r="Z2476">
        <v>0.24</v>
      </c>
      <c r="AA2476">
        <v>31.536000000000001</v>
      </c>
    </row>
    <row r="2477" spans="1:27" x14ac:dyDescent="0.25">
      <c r="A2477" t="s">
        <v>98</v>
      </c>
      <c r="B2477" t="s">
        <v>99</v>
      </c>
      <c r="C2477" t="s">
        <v>1367</v>
      </c>
      <c r="D2477" t="s">
        <v>1707</v>
      </c>
      <c r="E2477" t="s">
        <v>102</v>
      </c>
      <c r="G2477" t="s">
        <v>119</v>
      </c>
      <c r="H2477" t="s">
        <v>125</v>
      </c>
      <c r="I2477">
        <v>2016</v>
      </c>
      <c r="J2477" t="s">
        <v>131</v>
      </c>
      <c r="K2477" t="s">
        <v>127</v>
      </c>
      <c r="L2477" t="s">
        <v>2722</v>
      </c>
      <c r="M2477" t="s">
        <v>2731</v>
      </c>
      <c r="N2477">
        <v>1</v>
      </c>
      <c r="O2477">
        <v>2020</v>
      </c>
      <c r="P2477">
        <v>1493.714866500515</v>
      </c>
      <c r="Q2477">
        <v>1.615518797047149</v>
      </c>
      <c r="R2477" t="s">
        <v>109</v>
      </c>
      <c r="S2477">
        <v>924.60382957520073</v>
      </c>
      <c r="T2477">
        <v>0.95</v>
      </c>
      <c r="U2477" t="s">
        <v>110</v>
      </c>
      <c r="V2477">
        <v>0.95</v>
      </c>
      <c r="W2477">
        <v>6</v>
      </c>
      <c r="X2477">
        <v>20</v>
      </c>
      <c r="Y2477">
        <v>14</v>
      </c>
      <c r="Z2477">
        <v>0.24</v>
      </c>
      <c r="AA2477">
        <v>31.536000000000001</v>
      </c>
    </row>
    <row r="2478" spans="1:27" x14ac:dyDescent="0.25">
      <c r="A2478" t="s">
        <v>98</v>
      </c>
      <c r="B2478" t="s">
        <v>99</v>
      </c>
      <c r="C2478" t="s">
        <v>1367</v>
      </c>
      <c r="D2478" t="s">
        <v>1707</v>
      </c>
      <c r="E2478" t="s">
        <v>102</v>
      </c>
      <c r="G2478" t="s">
        <v>133</v>
      </c>
      <c r="H2478" t="s">
        <v>125</v>
      </c>
      <c r="I2478">
        <v>2016</v>
      </c>
      <c r="J2478" t="s">
        <v>134</v>
      </c>
      <c r="K2478" t="s">
        <v>127</v>
      </c>
      <c r="L2478" t="s">
        <v>2722</v>
      </c>
      <c r="M2478" t="s">
        <v>2732</v>
      </c>
      <c r="N2478">
        <v>1</v>
      </c>
      <c r="O2478">
        <v>2020</v>
      </c>
      <c r="P2478">
        <v>2530.170079990668</v>
      </c>
      <c r="Q2478">
        <v>1.615518797047149</v>
      </c>
      <c r="R2478" t="s">
        <v>109</v>
      </c>
      <c r="S2478">
        <v>1566.165670504932</v>
      </c>
      <c r="T2478">
        <v>3.28</v>
      </c>
      <c r="U2478" t="s">
        <v>110</v>
      </c>
      <c r="V2478">
        <v>3.28</v>
      </c>
      <c r="W2478">
        <v>6</v>
      </c>
      <c r="X2478">
        <v>20</v>
      </c>
      <c r="Y2478">
        <v>14</v>
      </c>
      <c r="Z2478">
        <v>0.24</v>
      </c>
      <c r="AA2478">
        <v>31.536000000000001</v>
      </c>
    </row>
    <row r="2479" spans="1:27" x14ac:dyDescent="0.25">
      <c r="A2479" t="s">
        <v>98</v>
      </c>
      <c r="B2479" t="s">
        <v>99</v>
      </c>
      <c r="C2479" t="s">
        <v>1367</v>
      </c>
      <c r="D2479" t="s">
        <v>1707</v>
      </c>
      <c r="E2479" t="s">
        <v>102</v>
      </c>
      <c r="G2479" t="s">
        <v>133</v>
      </c>
      <c r="H2479" t="s">
        <v>125</v>
      </c>
      <c r="I2479">
        <v>2022</v>
      </c>
      <c r="J2479" t="s">
        <v>136</v>
      </c>
      <c r="K2479" t="s">
        <v>127</v>
      </c>
      <c r="L2479" t="s">
        <v>2722</v>
      </c>
      <c r="M2479" t="s">
        <v>2733</v>
      </c>
      <c r="N2479">
        <v>1</v>
      </c>
      <c r="O2479">
        <v>2022</v>
      </c>
      <c r="P2479">
        <v>2530.170079990668</v>
      </c>
      <c r="Q2479">
        <v>1.615518797047149</v>
      </c>
      <c r="R2479" t="s">
        <v>109</v>
      </c>
      <c r="S2479">
        <v>1566.165670504932</v>
      </c>
      <c r="T2479">
        <v>3.28</v>
      </c>
      <c r="U2479" t="s">
        <v>110</v>
      </c>
      <c r="V2479">
        <v>3.28</v>
      </c>
      <c r="W2479">
        <v>6</v>
      </c>
      <c r="X2479">
        <v>20</v>
      </c>
      <c r="Y2479">
        <v>14</v>
      </c>
      <c r="Z2479">
        <v>0.24</v>
      </c>
      <c r="AA2479">
        <v>31.536000000000001</v>
      </c>
    </row>
    <row r="2480" spans="1:27" x14ac:dyDescent="0.25">
      <c r="A2480" t="s">
        <v>98</v>
      </c>
      <c r="B2480" t="s">
        <v>99</v>
      </c>
      <c r="C2480" t="s">
        <v>1367</v>
      </c>
      <c r="D2480" t="s">
        <v>1707</v>
      </c>
      <c r="E2480" t="s">
        <v>102</v>
      </c>
      <c r="G2480" t="s">
        <v>138</v>
      </c>
      <c r="H2480" t="s">
        <v>125</v>
      </c>
      <c r="I2480">
        <v>2016</v>
      </c>
      <c r="J2480" t="s">
        <v>139</v>
      </c>
      <c r="K2480" t="s">
        <v>127</v>
      </c>
      <c r="L2480" t="s">
        <v>2722</v>
      </c>
      <c r="M2480" t="s">
        <v>2734</v>
      </c>
      <c r="N2480">
        <v>1</v>
      </c>
      <c r="O2480">
        <v>2020</v>
      </c>
      <c r="P2480">
        <v>2316.7822419191662</v>
      </c>
      <c r="Q2480">
        <v>1.615518797047149</v>
      </c>
      <c r="R2480" t="s">
        <v>109</v>
      </c>
      <c r="S2480">
        <v>1434.079409137046</v>
      </c>
      <c r="T2480">
        <v>2</v>
      </c>
      <c r="U2480" t="s">
        <v>110</v>
      </c>
      <c r="V2480">
        <v>2</v>
      </c>
      <c r="W2480">
        <v>6</v>
      </c>
      <c r="X2480">
        <v>20</v>
      </c>
      <c r="Y2480">
        <v>14</v>
      </c>
      <c r="Z2480">
        <v>0.24</v>
      </c>
      <c r="AA2480">
        <v>31.536000000000001</v>
      </c>
    </row>
    <row r="2481" spans="1:27" x14ac:dyDescent="0.25">
      <c r="A2481" t="s">
        <v>98</v>
      </c>
      <c r="B2481" t="s">
        <v>99</v>
      </c>
      <c r="C2481" t="s">
        <v>1367</v>
      </c>
      <c r="D2481" t="s">
        <v>1707</v>
      </c>
      <c r="E2481" t="s">
        <v>102</v>
      </c>
      <c r="G2481" t="s">
        <v>138</v>
      </c>
      <c r="H2481" t="s">
        <v>125</v>
      </c>
      <c r="I2481">
        <v>2022</v>
      </c>
      <c r="J2481" t="s">
        <v>141</v>
      </c>
      <c r="K2481" t="s">
        <v>127</v>
      </c>
      <c r="L2481" t="s">
        <v>2722</v>
      </c>
      <c r="M2481" t="s">
        <v>2735</v>
      </c>
      <c r="N2481">
        <v>1</v>
      </c>
      <c r="O2481">
        <v>2022</v>
      </c>
      <c r="P2481">
        <v>2805.3845753706141</v>
      </c>
      <c r="Q2481">
        <v>1.615518797047149</v>
      </c>
      <c r="R2481" t="s">
        <v>109</v>
      </c>
      <c r="S2481">
        <v>1736.522397943191</v>
      </c>
      <c r="T2481">
        <v>3.3</v>
      </c>
      <c r="U2481" t="s">
        <v>110</v>
      </c>
      <c r="V2481">
        <v>3.3</v>
      </c>
      <c r="W2481">
        <v>6</v>
      </c>
      <c r="X2481">
        <v>20</v>
      </c>
      <c r="Y2481">
        <v>14</v>
      </c>
      <c r="Z2481">
        <v>0.24</v>
      </c>
      <c r="AA2481">
        <v>31.536000000000001</v>
      </c>
    </row>
    <row r="2482" spans="1:27" x14ac:dyDescent="0.25">
      <c r="A2482" t="s">
        <v>98</v>
      </c>
      <c r="B2482" t="s">
        <v>99</v>
      </c>
      <c r="C2482" t="s">
        <v>1367</v>
      </c>
      <c r="D2482" t="s">
        <v>1707</v>
      </c>
      <c r="E2482" t="s">
        <v>102</v>
      </c>
      <c r="G2482" t="s">
        <v>143</v>
      </c>
      <c r="H2482" t="s">
        <v>125</v>
      </c>
      <c r="I2482">
        <v>2016</v>
      </c>
      <c r="J2482" t="s">
        <v>144</v>
      </c>
      <c r="K2482" t="s">
        <v>127</v>
      </c>
      <c r="L2482" t="s">
        <v>2722</v>
      </c>
      <c r="M2482" t="s">
        <v>2736</v>
      </c>
      <c r="N2482">
        <v>1</v>
      </c>
      <c r="O2482">
        <v>2020</v>
      </c>
      <c r="P2482">
        <v>3017.9137098683868</v>
      </c>
      <c r="Q2482">
        <v>1.615518797047149</v>
      </c>
      <c r="R2482" t="s">
        <v>109</v>
      </c>
      <c r="S2482">
        <v>1868.077125060099</v>
      </c>
      <c r="T2482">
        <v>3.55</v>
      </c>
      <c r="U2482" t="s">
        <v>110</v>
      </c>
      <c r="V2482">
        <v>3.55</v>
      </c>
      <c r="W2482">
        <v>6</v>
      </c>
      <c r="X2482">
        <v>20</v>
      </c>
      <c r="Y2482">
        <v>14</v>
      </c>
      <c r="Z2482">
        <v>0.24</v>
      </c>
      <c r="AA2482">
        <v>31.536000000000001</v>
      </c>
    </row>
    <row r="2483" spans="1:27" x14ac:dyDescent="0.25">
      <c r="A2483" t="s">
        <v>98</v>
      </c>
      <c r="B2483" t="s">
        <v>99</v>
      </c>
      <c r="C2483" t="s">
        <v>1367</v>
      </c>
      <c r="D2483" t="s">
        <v>1707</v>
      </c>
      <c r="E2483" t="s">
        <v>102</v>
      </c>
      <c r="G2483" t="s">
        <v>143</v>
      </c>
      <c r="H2483" t="s">
        <v>125</v>
      </c>
      <c r="I2483">
        <v>2022</v>
      </c>
      <c r="J2483" t="s">
        <v>146</v>
      </c>
      <c r="K2483" t="s">
        <v>127</v>
      </c>
      <c r="L2483" t="s">
        <v>2722</v>
      </c>
      <c r="M2483" t="s">
        <v>2737</v>
      </c>
      <c r="N2483">
        <v>1</v>
      </c>
      <c r="O2483">
        <v>2022</v>
      </c>
      <c r="P2483">
        <v>3017.9137098683868</v>
      </c>
      <c r="Q2483">
        <v>1.615518797047149</v>
      </c>
      <c r="R2483" t="s">
        <v>109</v>
      </c>
      <c r="S2483">
        <v>1868.077125060099</v>
      </c>
      <c r="T2483">
        <v>3.55</v>
      </c>
      <c r="U2483" t="s">
        <v>110</v>
      </c>
      <c r="V2483">
        <v>3.55</v>
      </c>
      <c r="W2483">
        <v>6</v>
      </c>
      <c r="X2483">
        <v>20</v>
      </c>
      <c r="Y2483">
        <v>14</v>
      </c>
      <c r="Z2483">
        <v>0.24</v>
      </c>
      <c r="AA2483">
        <v>31.536000000000001</v>
      </c>
    </row>
    <row r="2484" spans="1:27" x14ac:dyDescent="0.25">
      <c r="A2484" t="s">
        <v>98</v>
      </c>
      <c r="B2484" t="s">
        <v>99</v>
      </c>
      <c r="C2484" t="s">
        <v>1367</v>
      </c>
      <c r="D2484" t="s">
        <v>1707</v>
      </c>
      <c r="E2484" t="s">
        <v>102</v>
      </c>
      <c r="G2484" t="s">
        <v>103</v>
      </c>
      <c r="H2484" t="s">
        <v>148</v>
      </c>
      <c r="I2484">
        <v>2016</v>
      </c>
      <c r="J2484" t="s">
        <v>149</v>
      </c>
      <c r="K2484" t="s">
        <v>150</v>
      </c>
      <c r="L2484" t="s">
        <v>2722</v>
      </c>
      <c r="M2484" t="s">
        <v>2738</v>
      </c>
      <c r="N2484">
        <v>1</v>
      </c>
      <c r="O2484">
        <v>2020</v>
      </c>
      <c r="P2484">
        <v>2926.4617792663148</v>
      </c>
      <c r="Q2484">
        <v>1.615518797047149</v>
      </c>
      <c r="R2484" t="s">
        <v>109</v>
      </c>
      <c r="S2484">
        <v>1811.468727331006</v>
      </c>
      <c r="T2484">
        <v>0.63670000000000004</v>
      </c>
      <c r="U2484" t="s">
        <v>110</v>
      </c>
      <c r="V2484">
        <v>0.63670000000000004</v>
      </c>
      <c r="W2484">
        <v>6</v>
      </c>
      <c r="X2484">
        <v>20</v>
      </c>
      <c r="Y2484">
        <v>14</v>
      </c>
      <c r="Z2484">
        <v>0.24</v>
      </c>
      <c r="AA2484">
        <v>31.536000000000001</v>
      </c>
    </row>
    <row r="2485" spans="1:27" x14ac:dyDescent="0.25">
      <c r="A2485" t="s">
        <v>98</v>
      </c>
      <c r="B2485" t="s">
        <v>99</v>
      </c>
      <c r="C2485" t="s">
        <v>1367</v>
      </c>
      <c r="D2485" t="s">
        <v>1707</v>
      </c>
      <c r="E2485" t="s">
        <v>102</v>
      </c>
      <c r="G2485" t="s">
        <v>111</v>
      </c>
      <c r="H2485" t="s">
        <v>148</v>
      </c>
      <c r="I2485">
        <v>2016</v>
      </c>
      <c r="J2485" t="s">
        <v>152</v>
      </c>
      <c r="K2485" t="s">
        <v>150</v>
      </c>
      <c r="L2485" t="s">
        <v>2722</v>
      </c>
      <c r="M2485" t="s">
        <v>2739</v>
      </c>
      <c r="N2485">
        <v>1</v>
      </c>
      <c r="O2485">
        <v>2020</v>
      </c>
      <c r="P2485">
        <v>3109.3656404704602</v>
      </c>
      <c r="Q2485">
        <v>1.615518797047149</v>
      </c>
      <c r="R2485" t="s">
        <v>109</v>
      </c>
      <c r="S2485">
        <v>1924.6855227891931</v>
      </c>
      <c r="T2485">
        <v>0.67</v>
      </c>
      <c r="U2485" t="s">
        <v>110</v>
      </c>
      <c r="V2485">
        <v>0.67</v>
      </c>
      <c r="W2485">
        <v>6</v>
      </c>
      <c r="X2485">
        <v>20</v>
      </c>
      <c r="Y2485">
        <v>14</v>
      </c>
      <c r="Z2485">
        <v>0.24</v>
      </c>
      <c r="AA2485">
        <v>31.536000000000001</v>
      </c>
    </row>
    <row r="2486" spans="1:27" x14ac:dyDescent="0.25">
      <c r="A2486" t="s">
        <v>98</v>
      </c>
      <c r="B2486" t="s">
        <v>99</v>
      </c>
      <c r="C2486" t="s">
        <v>1367</v>
      </c>
      <c r="D2486" t="s">
        <v>1707</v>
      </c>
      <c r="E2486" t="s">
        <v>102</v>
      </c>
      <c r="G2486" t="s">
        <v>119</v>
      </c>
      <c r="H2486" t="s">
        <v>148</v>
      </c>
      <c r="I2486">
        <v>2016</v>
      </c>
      <c r="J2486" t="s">
        <v>154</v>
      </c>
      <c r="K2486" t="s">
        <v>150</v>
      </c>
      <c r="L2486" t="s">
        <v>2722</v>
      </c>
      <c r="M2486" t="s">
        <v>2740</v>
      </c>
      <c r="N2486">
        <v>1</v>
      </c>
      <c r="O2486">
        <v>2020</v>
      </c>
      <c r="P2486">
        <v>3078.881663603102</v>
      </c>
      <c r="Q2486">
        <v>1.615518797047149</v>
      </c>
      <c r="R2486" t="s">
        <v>109</v>
      </c>
      <c r="S2486">
        <v>1905.8160568794949</v>
      </c>
      <c r="T2486">
        <v>0.69</v>
      </c>
      <c r="U2486" t="s">
        <v>110</v>
      </c>
      <c r="V2486">
        <v>0.69</v>
      </c>
      <c r="W2486">
        <v>6</v>
      </c>
      <c r="X2486">
        <v>20</v>
      </c>
      <c r="Y2486">
        <v>14</v>
      </c>
      <c r="Z2486">
        <v>0.24</v>
      </c>
      <c r="AA2486">
        <v>31.536000000000001</v>
      </c>
    </row>
    <row r="2487" spans="1:27" x14ac:dyDescent="0.25">
      <c r="A2487" t="s">
        <v>98</v>
      </c>
      <c r="B2487" t="s">
        <v>99</v>
      </c>
      <c r="C2487" t="s">
        <v>1367</v>
      </c>
      <c r="D2487" t="s">
        <v>1707</v>
      </c>
      <c r="E2487" t="s">
        <v>102</v>
      </c>
      <c r="G2487" t="s">
        <v>103</v>
      </c>
      <c r="H2487" t="s">
        <v>156</v>
      </c>
      <c r="I2487">
        <v>2016</v>
      </c>
      <c r="J2487" t="s">
        <v>157</v>
      </c>
      <c r="K2487" t="s">
        <v>158</v>
      </c>
      <c r="L2487" t="s">
        <v>2722</v>
      </c>
      <c r="M2487" t="s">
        <v>2741</v>
      </c>
      <c r="N2487">
        <v>1</v>
      </c>
      <c r="O2487">
        <v>2020</v>
      </c>
      <c r="P2487">
        <v>2225.3303113170941</v>
      </c>
      <c r="Q2487">
        <v>1.615518797047149</v>
      </c>
      <c r="R2487" t="s">
        <v>109</v>
      </c>
      <c r="S2487">
        <v>1377.4710114079519</v>
      </c>
      <c r="T2487">
        <v>0.61014999999999997</v>
      </c>
      <c r="U2487" t="s">
        <v>110</v>
      </c>
      <c r="V2487">
        <v>0.61014999999999997</v>
      </c>
      <c r="W2487">
        <v>6</v>
      </c>
      <c r="X2487">
        <v>20</v>
      </c>
      <c r="Y2487">
        <v>14</v>
      </c>
      <c r="Z2487">
        <v>0.24</v>
      </c>
      <c r="AA2487">
        <v>31.536000000000001</v>
      </c>
    </row>
    <row r="2488" spans="1:27" x14ac:dyDescent="0.25">
      <c r="A2488" t="s">
        <v>98</v>
      </c>
      <c r="B2488" t="s">
        <v>99</v>
      </c>
      <c r="C2488" t="s">
        <v>1367</v>
      </c>
      <c r="D2488" t="s">
        <v>1707</v>
      </c>
      <c r="E2488" t="s">
        <v>102</v>
      </c>
      <c r="G2488" t="s">
        <v>111</v>
      </c>
      <c r="H2488" t="s">
        <v>156</v>
      </c>
      <c r="I2488">
        <v>2016</v>
      </c>
      <c r="J2488" t="s">
        <v>160</v>
      </c>
      <c r="K2488" t="s">
        <v>158</v>
      </c>
      <c r="L2488" t="s">
        <v>2722</v>
      </c>
      <c r="M2488" t="s">
        <v>2742</v>
      </c>
      <c r="N2488">
        <v>1</v>
      </c>
      <c r="O2488">
        <v>2020</v>
      </c>
      <c r="P2488">
        <v>2347.266218786523</v>
      </c>
      <c r="Q2488">
        <v>1.615518797047149</v>
      </c>
      <c r="R2488" t="s">
        <v>109</v>
      </c>
      <c r="S2488">
        <v>1452.948875046744</v>
      </c>
      <c r="T2488">
        <v>0.63</v>
      </c>
      <c r="U2488" t="s">
        <v>110</v>
      </c>
      <c r="V2488">
        <v>0.63</v>
      </c>
      <c r="W2488">
        <v>6</v>
      </c>
      <c r="X2488">
        <v>20</v>
      </c>
      <c r="Y2488">
        <v>14</v>
      </c>
      <c r="Z2488">
        <v>0.24</v>
      </c>
      <c r="AA2488">
        <v>31.536000000000001</v>
      </c>
    </row>
    <row r="2489" spans="1:27" x14ac:dyDescent="0.25">
      <c r="A2489" t="s">
        <v>98</v>
      </c>
      <c r="B2489" t="s">
        <v>99</v>
      </c>
      <c r="C2489" t="s">
        <v>1367</v>
      </c>
      <c r="D2489" t="s">
        <v>1707</v>
      </c>
      <c r="E2489" t="s">
        <v>102</v>
      </c>
      <c r="G2489" t="s">
        <v>114</v>
      </c>
      <c r="H2489" t="s">
        <v>156</v>
      </c>
      <c r="I2489">
        <v>2016</v>
      </c>
      <c r="J2489" t="s">
        <v>162</v>
      </c>
      <c r="K2489" t="s">
        <v>158</v>
      </c>
      <c r="L2489" t="s">
        <v>2722</v>
      </c>
      <c r="M2489" t="s">
        <v>2743</v>
      </c>
      <c r="N2489">
        <v>1</v>
      </c>
      <c r="O2489">
        <v>2020</v>
      </c>
      <c r="P2489">
        <v>2469.2021262559529</v>
      </c>
      <c r="Q2489">
        <v>1.615518797047149</v>
      </c>
      <c r="R2489" t="s">
        <v>109</v>
      </c>
      <c r="S2489">
        <v>1528.4267386855361</v>
      </c>
      <c r="T2489">
        <v>0.66</v>
      </c>
      <c r="U2489" t="s">
        <v>110</v>
      </c>
      <c r="V2489">
        <v>0.66</v>
      </c>
      <c r="W2489">
        <v>6</v>
      </c>
      <c r="X2489">
        <v>20</v>
      </c>
      <c r="Y2489">
        <v>14</v>
      </c>
      <c r="Z2489">
        <v>0.24</v>
      </c>
      <c r="AA2489">
        <v>31.536000000000001</v>
      </c>
    </row>
    <row r="2490" spans="1:27" x14ac:dyDescent="0.25">
      <c r="A2490" t="s">
        <v>98</v>
      </c>
      <c r="B2490" t="s">
        <v>99</v>
      </c>
      <c r="C2490" t="s">
        <v>1367</v>
      </c>
      <c r="D2490" t="s">
        <v>1707</v>
      </c>
      <c r="E2490" t="s">
        <v>102</v>
      </c>
      <c r="G2490" t="s">
        <v>114</v>
      </c>
      <c r="H2490" t="s">
        <v>156</v>
      </c>
      <c r="I2490">
        <v>2023</v>
      </c>
      <c r="J2490" t="s">
        <v>164</v>
      </c>
      <c r="K2490" t="s">
        <v>158</v>
      </c>
      <c r="L2490" t="s">
        <v>2722</v>
      </c>
      <c r="M2490" t="s">
        <v>2744</v>
      </c>
      <c r="N2490">
        <v>1</v>
      </c>
      <c r="O2490">
        <v>2023</v>
      </c>
      <c r="P2490">
        <v>3865.2553631628971</v>
      </c>
      <c r="Q2490">
        <v>1.615518797047149</v>
      </c>
      <c r="R2490" t="s">
        <v>109</v>
      </c>
      <c r="S2490">
        <v>2392.5783904389259</v>
      </c>
      <c r="T2490">
        <v>0.83499999999999996</v>
      </c>
      <c r="U2490" t="s">
        <v>110</v>
      </c>
      <c r="V2490">
        <v>0.83499999999999996</v>
      </c>
      <c r="W2490">
        <v>6</v>
      </c>
      <c r="X2490">
        <v>20</v>
      </c>
      <c r="Y2490">
        <v>14</v>
      </c>
      <c r="Z2490">
        <v>0.24</v>
      </c>
      <c r="AA2490">
        <v>31.536000000000001</v>
      </c>
    </row>
    <row r="2491" spans="1:27" x14ac:dyDescent="0.25">
      <c r="A2491" t="s">
        <v>98</v>
      </c>
      <c r="B2491" t="s">
        <v>99</v>
      </c>
      <c r="C2491" t="s">
        <v>1367</v>
      </c>
      <c r="D2491" t="s">
        <v>1707</v>
      </c>
      <c r="E2491" t="s">
        <v>102</v>
      </c>
      <c r="G2491" t="s">
        <v>119</v>
      </c>
      <c r="H2491" t="s">
        <v>156</v>
      </c>
      <c r="I2491">
        <v>2016</v>
      </c>
      <c r="J2491" t="s">
        <v>166</v>
      </c>
      <c r="K2491" t="s">
        <v>158</v>
      </c>
      <c r="L2491" t="s">
        <v>2722</v>
      </c>
      <c r="M2491" t="s">
        <v>2745</v>
      </c>
      <c r="N2491">
        <v>0</v>
      </c>
      <c r="O2491">
        <v>2020</v>
      </c>
      <c r="P2491">
        <v>3749.5291546849662</v>
      </c>
      <c r="Q2491">
        <v>1.615518797047149</v>
      </c>
      <c r="R2491" t="s">
        <v>109</v>
      </c>
      <c r="S2491">
        <v>2320.9443068928508</v>
      </c>
      <c r="T2491">
        <v>0.81</v>
      </c>
      <c r="U2491" t="s">
        <v>110</v>
      </c>
      <c r="V2491">
        <v>0.81</v>
      </c>
      <c r="W2491">
        <v>6</v>
      </c>
      <c r="X2491">
        <v>20</v>
      </c>
      <c r="Y2491">
        <v>14</v>
      </c>
      <c r="Z2491">
        <v>0.24</v>
      </c>
      <c r="AA2491">
        <v>31.536000000000001</v>
      </c>
    </row>
    <row r="2492" spans="1:27" x14ac:dyDescent="0.25">
      <c r="A2492" t="s">
        <v>98</v>
      </c>
      <c r="B2492" t="s">
        <v>99</v>
      </c>
      <c r="C2492" t="s">
        <v>1367</v>
      </c>
      <c r="D2492" t="s">
        <v>1707</v>
      </c>
      <c r="E2492" t="s">
        <v>102</v>
      </c>
      <c r="G2492" t="s">
        <v>119</v>
      </c>
      <c r="H2492" t="s">
        <v>156</v>
      </c>
      <c r="I2492">
        <v>2018</v>
      </c>
      <c r="J2492" t="s">
        <v>168</v>
      </c>
      <c r="K2492" t="s">
        <v>158</v>
      </c>
      <c r="L2492" t="s">
        <v>2722</v>
      </c>
      <c r="M2492" t="s">
        <v>2745</v>
      </c>
      <c r="N2492">
        <v>1</v>
      </c>
      <c r="O2492">
        <v>2020</v>
      </c>
      <c r="P2492">
        <v>3749.5291546849662</v>
      </c>
      <c r="Q2492">
        <v>1.615518797047149</v>
      </c>
      <c r="R2492" t="s">
        <v>109</v>
      </c>
      <c r="S2492">
        <v>2320.9443068928508</v>
      </c>
      <c r="T2492">
        <v>0.81</v>
      </c>
      <c r="U2492" t="s">
        <v>110</v>
      </c>
      <c r="V2492">
        <v>0.81</v>
      </c>
      <c r="W2492">
        <v>6</v>
      </c>
      <c r="X2492">
        <v>20</v>
      </c>
      <c r="Y2492">
        <v>14</v>
      </c>
      <c r="Z2492">
        <v>0.24</v>
      </c>
      <c r="AA2492">
        <v>31.536000000000001</v>
      </c>
    </row>
    <row r="2493" spans="1:27" x14ac:dyDescent="0.25">
      <c r="A2493" t="s">
        <v>98</v>
      </c>
      <c r="B2493" t="s">
        <v>99</v>
      </c>
      <c r="C2493" t="s">
        <v>1367</v>
      </c>
      <c r="D2493" t="s">
        <v>1707</v>
      </c>
      <c r="E2493" t="s">
        <v>102</v>
      </c>
      <c r="G2493" t="s">
        <v>111</v>
      </c>
      <c r="H2493" t="s">
        <v>169</v>
      </c>
      <c r="I2493">
        <v>2016</v>
      </c>
      <c r="J2493" t="s">
        <v>170</v>
      </c>
      <c r="K2493" t="s">
        <v>171</v>
      </c>
      <c r="L2493" t="s">
        <v>2722</v>
      </c>
      <c r="M2493" t="s">
        <v>2746</v>
      </c>
      <c r="N2493">
        <v>0</v>
      </c>
      <c r="O2493">
        <v>2020</v>
      </c>
      <c r="P2493">
        <v>13412.949821637279</v>
      </c>
      <c r="Q2493">
        <v>1.615518797047149</v>
      </c>
      <c r="R2493" t="s">
        <v>109</v>
      </c>
      <c r="S2493">
        <v>8302.5650002671082</v>
      </c>
      <c r="T2493">
        <v>1</v>
      </c>
      <c r="U2493" t="s">
        <v>173</v>
      </c>
      <c r="V2493">
        <v>1</v>
      </c>
      <c r="W2493">
        <v>15</v>
      </c>
      <c r="X2493">
        <v>30</v>
      </c>
      <c r="Y2493">
        <v>23</v>
      </c>
      <c r="Z2493">
        <v>0.24</v>
      </c>
      <c r="AA2493">
        <v>31.536000000000001</v>
      </c>
    </row>
    <row r="2494" spans="1:27" x14ac:dyDescent="0.25">
      <c r="A2494" t="s">
        <v>98</v>
      </c>
      <c r="B2494" t="s">
        <v>99</v>
      </c>
      <c r="C2494" t="s">
        <v>1367</v>
      </c>
      <c r="D2494" t="s">
        <v>1707</v>
      </c>
      <c r="E2494" t="s">
        <v>102</v>
      </c>
      <c r="G2494" t="s">
        <v>111</v>
      </c>
      <c r="H2494" t="s">
        <v>169</v>
      </c>
      <c r="I2494">
        <v>2020</v>
      </c>
      <c r="J2494" t="s">
        <v>174</v>
      </c>
      <c r="K2494" t="s">
        <v>171</v>
      </c>
      <c r="L2494" t="s">
        <v>2722</v>
      </c>
      <c r="M2494" t="s">
        <v>2746</v>
      </c>
      <c r="N2494">
        <v>1</v>
      </c>
      <c r="O2494">
        <v>2020</v>
      </c>
      <c r="P2494">
        <v>13412.949821637279</v>
      </c>
      <c r="Q2494">
        <v>1.615518797047149</v>
      </c>
      <c r="R2494" t="s">
        <v>109</v>
      </c>
      <c r="S2494">
        <v>8302.5650002671082</v>
      </c>
      <c r="T2494">
        <v>1</v>
      </c>
      <c r="U2494" t="s">
        <v>173</v>
      </c>
      <c r="V2494">
        <v>1</v>
      </c>
      <c r="W2494">
        <v>15</v>
      </c>
      <c r="X2494">
        <v>30</v>
      </c>
      <c r="Y2494">
        <v>23</v>
      </c>
      <c r="Z2494">
        <v>0.24</v>
      </c>
      <c r="AA2494">
        <v>31.536000000000001</v>
      </c>
    </row>
    <row r="2495" spans="1:27" x14ac:dyDescent="0.25">
      <c r="A2495" t="s">
        <v>98</v>
      </c>
      <c r="B2495" t="s">
        <v>99</v>
      </c>
      <c r="C2495" t="s">
        <v>1367</v>
      </c>
      <c r="D2495" t="s">
        <v>1707</v>
      </c>
      <c r="E2495" t="s">
        <v>102</v>
      </c>
      <c r="G2495" t="s">
        <v>111</v>
      </c>
      <c r="H2495" t="s">
        <v>169</v>
      </c>
      <c r="I2495">
        <v>2023</v>
      </c>
      <c r="J2495" t="s">
        <v>175</v>
      </c>
      <c r="K2495" t="s">
        <v>171</v>
      </c>
      <c r="L2495" t="s">
        <v>2722</v>
      </c>
      <c r="M2495" t="s">
        <v>2747</v>
      </c>
      <c r="N2495">
        <v>1</v>
      </c>
      <c r="O2495">
        <v>2023</v>
      </c>
      <c r="P2495">
        <v>13412.949821637279</v>
      </c>
      <c r="Q2495">
        <v>1.615518797047149</v>
      </c>
      <c r="R2495" t="s">
        <v>109</v>
      </c>
      <c r="S2495">
        <v>8302.5650002671082</v>
      </c>
      <c r="T2495">
        <v>1</v>
      </c>
      <c r="U2495" t="s">
        <v>173</v>
      </c>
      <c r="V2495">
        <v>1</v>
      </c>
      <c r="W2495">
        <v>15</v>
      </c>
      <c r="X2495">
        <v>30</v>
      </c>
      <c r="Y2495">
        <v>23</v>
      </c>
      <c r="Z2495">
        <v>0.24</v>
      </c>
      <c r="AA2495">
        <v>31.536000000000001</v>
      </c>
    </row>
    <row r="2496" spans="1:27" x14ac:dyDescent="0.25">
      <c r="A2496" t="s">
        <v>98</v>
      </c>
      <c r="B2496" t="s">
        <v>99</v>
      </c>
      <c r="C2496" t="s">
        <v>1367</v>
      </c>
      <c r="D2496" t="s">
        <v>1707</v>
      </c>
      <c r="E2496" t="s">
        <v>102</v>
      </c>
      <c r="G2496" t="s">
        <v>111</v>
      </c>
      <c r="H2496" t="s">
        <v>169</v>
      </c>
      <c r="I2496">
        <v>2024</v>
      </c>
      <c r="J2496" t="s">
        <v>177</v>
      </c>
      <c r="K2496" t="s">
        <v>171</v>
      </c>
      <c r="L2496" t="s">
        <v>2722</v>
      </c>
      <c r="M2496" t="s">
        <v>2748</v>
      </c>
      <c r="N2496">
        <v>1</v>
      </c>
      <c r="O2496">
        <v>2024</v>
      </c>
      <c r="P2496">
        <v>13412.949821637279</v>
      </c>
      <c r="Q2496">
        <v>1.615518797047149</v>
      </c>
      <c r="R2496" t="s">
        <v>109</v>
      </c>
      <c r="S2496">
        <v>8302.5650002671082</v>
      </c>
      <c r="T2496">
        <v>1</v>
      </c>
      <c r="U2496" t="s">
        <v>173</v>
      </c>
      <c r="V2496">
        <v>1</v>
      </c>
      <c r="W2496">
        <v>15</v>
      </c>
      <c r="X2496">
        <v>30</v>
      </c>
      <c r="Y2496">
        <v>23</v>
      </c>
      <c r="Z2496">
        <v>0.24</v>
      </c>
      <c r="AA2496">
        <v>31.536000000000001</v>
      </c>
    </row>
    <row r="2497" spans="1:27" x14ac:dyDescent="0.25">
      <c r="A2497" t="s">
        <v>98</v>
      </c>
      <c r="B2497" t="s">
        <v>99</v>
      </c>
      <c r="C2497" t="s">
        <v>1367</v>
      </c>
      <c r="D2497" t="s">
        <v>1707</v>
      </c>
      <c r="E2497" t="s">
        <v>179</v>
      </c>
      <c r="F2497" t="s">
        <v>180</v>
      </c>
      <c r="G2497" t="s">
        <v>103</v>
      </c>
      <c r="H2497" t="s">
        <v>125</v>
      </c>
      <c r="I2497">
        <v>2016</v>
      </c>
      <c r="J2497" t="s">
        <v>181</v>
      </c>
      <c r="K2497" t="s">
        <v>127</v>
      </c>
      <c r="L2497" t="s">
        <v>2749</v>
      </c>
      <c r="M2497" t="s">
        <v>2750</v>
      </c>
      <c r="N2497">
        <v>1</v>
      </c>
      <c r="O2497">
        <v>2020</v>
      </c>
      <c r="P2497">
        <v>2956.9457561336731</v>
      </c>
      <c r="Q2497">
        <v>4.0938754601769656</v>
      </c>
      <c r="R2497" t="s">
        <v>109</v>
      </c>
      <c r="S2497">
        <v>722.28522457443125</v>
      </c>
      <c r="T2497">
        <v>2.4032825322391562</v>
      </c>
      <c r="U2497" t="s">
        <v>184</v>
      </c>
      <c r="V2497">
        <v>2.4032825322391562</v>
      </c>
      <c r="W2497">
        <v>9</v>
      </c>
      <c r="X2497">
        <v>22</v>
      </c>
      <c r="Y2497">
        <v>16</v>
      </c>
      <c r="Z2497">
        <v>0.10652957206919771</v>
      </c>
      <c r="AA2497">
        <v>31.536000000000001</v>
      </c>
    </row>
    <row r="2498" spans="1:27" x14ac:dyDescent="0.25">
      <c r="A2498" t="s">
        <v>98</v>
      </c>
      <c r="B2498" t="s">
        <v>99</v>
      </c>
      <c r="C2498" t="s">
        <v>1367</v>
      </c>
      <c r="D2498" t="s">
        <v>1707</v>
      </c>
      <c r="E2498" t="s">
        <v>179</v>
      </c>
      <c r="F2498" t="s">
        <v>180</v>
      </c>
      <c r="G2498" t="s">
        <v>103</v>
      </c>
      <c r="H2498" t="s">
        <v>125</v>
      </c>
      <c r="I2498">
        <v>2023</v>
      </c>
      <c r="J2498" t="s">
        <v>185</v>
      </c>
      <c r="K2498" t="s">
        <v>127</v>
      </c>
      <c r="L2498" t="s">
        <v>2749</v>
      </c>
      <c r="M2498" t="s">
        <v>2751</v>
      </c>
      <c r="N2498">
        <v>1</v>
      </c>
      <c r="O2498">
        <v>2023</v>
      </c>
      <c r="P2498">
        <v>2956.9457561336731</v>
      </c>
      <c r="Q2498">
        <v>4.0938754601769656</v>
      </c>
      <c r="R2498" t="s">
        <v>109</v>
      </c>
      <c r="S2498">
        <v>722.28522457443125</v>
      </c>
      <c r="T2498">
        <v>2.4032825322391562</v>
      </c>
      <c r="U2498" t="s">
        <v>184</v>
      </c>
      <c r="V2498">
        <v>2.4032825322391562</v>
      </c>
      <c r="W2498">
        <v>9</v>
      </c>
      <c r="X2498">
        <v>22</v>
      </c>
      <c r="Y2498">
        <v>16</v>
      </c>
      <c r="Z2498">
        <v>0.10652957206919771</v>
      </c>
      <c r="AA2498">
        <v>31.536000000000001</v>
      </c>
    </row>
    <row r="2499" spans="1:27" x14ac:dyDescent="0.25">
      <c r="A2499" t="s">
        <v>98</v>
      </c>
      <c r="B2499" t="s">
        <v>99</v>
      </c>
      <c r="C2499" t="s">
        <v>1367</v>
      </c>
      <c r="D2499" t="s">
        <v>1707</v>
      </c>
      <c r="E2499" t="s">
        <v>179</v>
      </c>
      <c r="F2499" t="s">
        <v>180</v>
      </c>
      <c r="G2499" t="s">
        <v>111</v>
      </c>
      <c r="H2499" t="s">
        <v>125</v>
      </c>
      <c r="I2499">
        <v>2016</v>
      </c>
      <c r="J2499" t="s">
        <v>187</v>
      </c>
      <c r="K2499" t="s">
        <v>127</v>
      </c>
      <c r="L2499" t="s">
        <v>2749</v>
      </c>
      <c r="M2499" t="s">
        <v>2752</v>
      </c>
      <c r="N2499">
        <v>1</v>
      </c>
      <c r="O2499">
        <v>2020</v>
      </c>
      <c r="P2499">
        <v>3109.3656404704602</v>
      </c>
      <c r="Q2499">
        <v>4.0938754601769656</v>
      </c>
      <c r="R2499" t="s">
        <v>109</v>
      </c>
      <c r="S2499">
        <v>759.51642171744311</v>
      </c>
      <c r="T2499">
        <v>2.5205158264947238</v>
      </c>
      <c r="U2499" t="s">
        <v>184</v>
      </c>
      <c r="V2499">
        <v>2.5205158264947238</v>
      </c>
      <c r="W2499">
        <v>9</v>
      </c>
      <c r="X2499">
        <v>22</v>
      </c>
      <c r="Y2499">
        <v>16</v>
      </c>
      <c r="Z2499">
        <v>0.10652957206919771</v>
      </c>
      <c r="AA2499">
        <v>31.536000000000001</v>
      </c>
    </row>
    <row r="2500" spans="1:27" x14ac:dyDescent="0.25">
      <c r="A2500" t="s">
        <v>98</v>
      </c>
      <c r="B2500" t="s">
        <v>99</v>
      </c>
      <c r="C2500" t="s">
        <v>1367</v>
      </c>
      <c r="D2500" t="s">
        <v>1707</v>
      </c>
      <c r="E2500" t="s">
        <v>179</v>
      </c>
      <c r="F2500" t="s">
        <v>180</v>
      </c>
      <c r="G2500" t="s">
        <v>111</v>
      </c>
      <c r="H2500" t="s">
        <v>125</v>
      </c>
      <c r="I2500">
        <v>2023</v>
      </c>
      <c r="J2500" t="s">
        <v>189</v>
      </c>
      <c r="K2500" t="s">
        <v>127</v>
      </c>
      <c r="L2500" t="s">
        <v>2749</v>
      </c>
      <c r="M2500" t="s">
        <v>2753</v>
      </c>
      <c r="N2500">
        <v>1</v>
      </c>
      <c r="O2500">
        <v>2023</v>
      </c>
      <c r="P2500">
        <v>3139.8496173378171</v>
      </c>
      <c r="Q2500">
        <v>4.0938754601769656</v>
      </c>
      <c r="R2500" t="s">
        <v>109</v>
      </c>
      <c r="S2500">
        <v>766.96266114604555</v>
      </c>
      <c r="T2500">
        <v>2.5791324736225092</v>
      </c>
      <c r="U2500" t="s">
        <v>184</v>
      </c>
      <c r="V2500">
        <v>2.5791324736225092</v>
      </c>
      <c r="W2500">
        <v>9</v>
      </c>
      <c r="X2500">
        <v>22</v>
      </c>
      <c r="Y2500">
        <v>16</v>
      </c>
      <c r="Z2500">
        <v>0.10652957206919771</v>
      </c>
      <c r="AA2500">
        <v>31.536000000000001</v>
      </c>
    </row>
    <row r="2501" spans="1:27" x14ac:dyDescent="0.25">
      <c r="A2501" t="s">
        <v>98</v>
      </c>
      <c r="B2501" t="s">
        <v>99</v>
      </c>
      <c r="C2501" t="s">
        <v>1367</v>
      </c>
      <c r="D2501" t="s">
        <v>1707</v>
      </c>
      <c r="E2501" t="s">
        <v>179</v>
      </c>
      <c r="F2501" t="s">
        <v>180</v>
      </c>
      <c r="G2501" t="s">
        <v>114</v>
      </c>
      <c r="H2501" t="s">
        <v>125</v>
      </c>
      <c r="I2501">
        <v>2016</v>
      </c>
      <c r="J2501" t="s">
        <v>191</v>
      </c>
      <c r="K2501" t="s">
        <v>127</v>
      </c>
      <c r="L2501" t="s">
        <v>2749</v>
      </c>
      <c r="M2501" t="s">
        <v>2754</v>
      </c>
      <c r="N2501">
        <v>1</v>
      </c>
      <c r="O2501">
        <v>2020</v>
      </c>
      <c r="P2501">
        <v>3017.9137098683868</v>
      </c>
      <c r="Q2501">
        <v>4.0938754601769656</v>
      </c>
      <c r="R2501" t="s">
        <v>109</v>
      </c>
      <c r="S2501">
        <v>737.1777034316359</v>
      </c>
      <c r="T2501">
        <v>2.4912075029308318</v>
      </c>
      <c r="U2501" t="s">
        <v>184</v>
      </c>
      <c r="V2501">
        <v>2.4912075029308318</v>
      </c>
      <c r="W2501">
        <v>9</v>
      </c>
      <c r="X2501">
        <v>22</v>
      </c>
      <c r="Y2501">
        <v>16</v>
      </c>
      <c r="Z2501">
        <v>0.10652957206919771</v>
      </c>
      <c r="AA2501">
        <v>31.536000000000001</v>
      </c>
    </row>
    <row r="2502" spans="1:27" x14ac:dyDescent="0.25">
      <c r="A2502" t="s">
        <v>98</v>
      </c>
      <c r="B2502" t="s">
        <v>99</v>
      </c>
      <c r="C2502" t="s">
        <v>1367</v>
      </c>
      <c r="D2502" t="s">
        <v>1707</v>
      </c>
      <c r="E2502" t="s">
        <v>179</v>
      </c>
      <c r="F2502" t="s">
        <v>180</v>
      </c>
      <c r="G2502" t="s">
        <v>114</v>
      </c>
      <c r="H2502" t="s">
        <v>125</v>
      </c>
      <c r="I2502">
        <v>2022</v>
      </c>
      <c r="J2502" t="s">
        <v>193</v>
      </c>
      <c r="K2502" t="s">
        <v>127</v>
      </c>
      <c r="L2502" t="s">
        <v>2749</v>
      </c>
      <c r="M2502" t="s">
        <v>2755</v>
      </c>
      <c r="N2502">
        <v>1</v>
      </c>
      <c r="O2502">
        <v>2022</v>
      </c>
      <c r="P2502">
        <v>3017.9137098683868</v>
      </c>
      <c r="Q2502">
        <v>4.0938754601769656</v>
      </c>
      <c r="R2502" t="s">
        <v>109</v>
      </c>
      <c r="S2502">
        <v>737.1777034316359</v>
      </c>
      <c r="T2502">
        <v>2.4912075029308318</v>
      </c>
      <c r="U2502" t="s">
        <v>184</v>
      </c>
      <c r="V2502">
        <v>2.4912075029308318</v>
      </c>
      <c r="W2502">
        <v>9</v>
      </c>
      <c r="X2502">
        <v>22</v>
      </c>
      <c r="Y2502">
        <v>16</v>
      </c>
      <c r="Z2502">
        <v>0.10652957206919771</v>
      </c>
      <c r="AA2502">
        <v>31.536000000000001</v>
      </c>
    </row>
    <row r="2503" spans="1:27" x14ac:dyDescent="0.25">
      <c r="A2503" t="s">
        <v>98</v>
      </c>
      <c r="B2503" t="s">
        <v>99</v>
      </c>
      <c r="C2503" t="s">
        <v>1367</v>
      </c>
      <c r="D2503" t="s">
        <v>1707</v>
      </c>
      <c r="E2503" t="s">
        <v>179</v>
      </c>
      <c r="F2503" t="s">
        <v>180</v>
      </c>
      <c r="G2503" t="s">
        <v>114</v>
      </c>
      <c r="H2503" t="s">
        <v>125</v>
      </c>
      <c r="I2503">
        <v>2023</v>
      </c>
      <c r="J2503" t="s">
        <v>195</v>
      </c>
      <c r="K2503" t="s">
        <v>127</v>
      </c>
      <c r="L2503" t="s">
        <v>2749</v>
      </c>
      <c r="M2503" t="s">
        <v>2756</v>
      </c>
      <c r="N2503">
        <v>1</v>
      </c>
      <c r="O2503">
        <v>2023</v>
      </c>
      <c r="P2503">
        <v>3266.447780092843</v>
      </c>
      <c r="Q2503">
        <v>4.0938754601769656</v>
      </c>
      <c r="R2503" t="s">
        <v>109</v>
      </c>
      <c r="S2503">
        <v>797.88645547894714</v>
      </c>
      <c r="T2503">
        <v>2.6963657678780768</v>
      </c>
      <c r="U2503" t="s">
        <v>184</v>
      </c>
      <c r="V2503">
        <v>2.6963657678780768</v>
      </c>
      <c r="W2503">
        <v>9</v>
      </c>
      <c r="X2503">
        <v>22</v>
      </c>
      <c r="Y2503">
        <v>16</v>
      </c>
      <c r="Z2503">
        <v>0.10652957206919771</v>
      </c>
      <c r="AA2503">
        <v>31.536000000000001</v>
      </c>
    </row>
    <row r="2504" spans="1:27" x14ac:dyDescent="0.25">
      <c r="A2504" t="s">
        <v>98</v>
      </c>
      <c r="B2504" t="s">
        <v>99</v>
      </c>
      <c r="C2504" t="s">
        <v>1367</v>
      </c>
      <c r="D2504" t="s">
        <v>1707</v>
      </c>
      <c r="E2504" t="s">
        <v>179</v>
      </c>
      <c r="F2504" t="s">
        <v>180</v>
      </c>
      <c r="G2504" t="s">
        <v>119</v>
      </c>
      <c r="H2504" t="s">
        <v>125</v>
      </c>
      <c r="I2504">
        <v>2016</v>
      </c>
      <c r="J2504" t="s">
        <v>197</v>
      </c>
      <c r="K2504" t="s">
        <v>127</v>
      </c>
      <c r="L2504" t="s">
        <v>2749</v>
      </c>
      <c r="M2504" t="s">
        <v>2757</v>
      </c>
      <c r="N2504">
        <v>1</v>
      </c>
      <c r="O2504">
        <v>2020</v>
      </c>
      <c r="P2504">
        <v>3719.0451778176089</v>
      </c>
      <c r="Q2504">
        <v>4.0938754601769656</v>
      </c>
      <c r="R2504" t="s">
        <v>109</v>
      </c>
      <c r="S2504">
        <v>908.44121028949087</v>
      </c>
      <c r="T2504">
        <v>2.6377491207502932</v>
      </c>
      <c r="U2504" t="s">
        <v>184</v>
      </c>
      <c r="V2504">
        <v>2.6377491207502932</v>
      </c>
      <c r="W2504">
        <v>9</v>
      </c>
      <c r="X2504">
        <v>22</v>
      </c>
      <c r="Y2504">
        <v>16</v>
      </c>
      <c r="Z2504">
        <v>0.10652957206919771</v>
      </c>
      <c r="AA2504">
        <v>31.536000000000001</v>
      </c>
    </row>
    <row r="2505" spans="1:27" x14ac:dyDescent="0.25">
      <c r="A2505" t="s">
        <v>98</v>
      </c>
      <c r="B2505" t="s">
        <v>99</v>
      </c>
      <c r="C2505" t="s">
        <v>1367</v>
      </c>
      <c r="D2505" t="s">
        <v>1707</v>
      </c>
      <c r="E2505" t="s">
        <v>179</v>
      </c>
      <c r="F2505" t="s">
        <v>180</v>
      </c>
      <c r="G2505" t="s">
        <v>119</v>
      </c>
      <c r="H2505" t="s">
        <v>125</v>
      </c>
      <c r="I2505">
        <v>2022</v>
      </c>
      <c r="J2505" t="s">
        <v>199</v>
      </c>
      <c r="K2505" t="s">
        <v>127</v>
      </c>
      <c r="L2505" t="s">
        <v>2749</v>
      </c>
      <c r="M2505" t="s">
        <v>2758</v>
      </c>
      <c r="N2505">
        <v>1</v>
      </c>
      <c r="O2505">
        <v>2022</v>
      </c>
      <c r="P2505">
        <v>3914.784397702746</v>
      </c>
      <c r="Q2505">
        <v>4.0938754601769656</v>
      </c>
      <c r="R2505" t="s">
        <v>109</v>
      </c>
      <c r="S2505">
        <v>956.253905567885</v>
      </c>
      <c r="T2505">
        <v>2.9308323563892151</v>
      </c>
      <c r="U2505" t="s">
        <v>184</v>
      </c>
      <c r="V2505">
        <v>2.9308323563892151</v>
      </c>
      <c r="W2505">
        <v>9</v>
      </c>
      <c r="X2505">
        <v>22</v>
      </c>
      <c r="Y2505">
        <v>16</v>
      </c>
      <c r="Z2505">
        <v>0.10652957206919771</v>
      </c>
      <c r="AA2505">
        <v>31.536000000000001</v>
      </c>
    </row>
    <row r="2506" spans="1:27" x14ac:dyDescent="0.25">
      <c r="A2506" t="s">
        <v>98</v>
      </c>
      <c r="B2506" t="s">
        <v>99</v>
      </c>
      <c r="C2506" t="s">
        <v>1367</v>
      </c>
      <c r="D2506" t="s">
        <v>1707</v>
      </c>
      <c r="E2506" t="s">
        <v>179</v>
      </c>
      <c r="F2506" t="s">
        <v>201</v>
      </c>
      <c r="G2506" t="s">
        <v>103</v>
      </c>
      <c r="H2506" t="s">
        <v>125</v>
      </c>
      <c r="I2506">
        <v>2016</v>
      </c>
      <c r="J2506" t="s">
        <v>202</v>
      </c>
      <c r="K2506" t="s">
        <v>127</v>
      </c>
      <c r="L2506" t="s">
        <v>2749</v>
      </c>
      <c r="M2506" t="s">
        <v>2759</v>
      </c>
      <c r="N2506">
        <v>1</v>
      </c>
      <c r="O2506">
        <v>2020</v>
      </c>
      <c r="P2506">
        <v>9511.0007826155233</v>
      </c>
      <c r="Q2506">
        <v>4.0938754601769656</v>
      </c>
      <c r="R2506" t="s">
        <v>109</v>
      </c>
      <c r="S2506">
        <v>2323.2267017239442</v>
      </c>
      <c r="T2506">
        <v>3.2</v>
      </c>
      <c r="U2506" t="s">
        <v>184</v>
      </c>
      <c r="V2506">
        <v>3.2</v>
      </c>
      <c r="W2506">
        <v>8</v>
      </c>
      <c r="X2506">
        <v>20.8</v>
      </c>
      <c r="Y2506">
        <v>15</v>
      </c>
      <c r="Z2506">
        <v>0.10652957206919771</v>
      </c>
      <c r="AA2506">
        <v>31.536000000000001</v>
      </c>
    </row>
    <row r="2507" spans="1:27" x14ac:dyDescent="0.25">
      <c r="A2507" t="s">
        <v>98</v>
      </c>
      <c r="B2507" t="s">
        <v>99</v>
      </c>
      <c r="C2507" t="s">
        <v>1367</v>
      </c>
      <c r="D2507" t="s">
        <v>1707</v>
      </c>
      <c r="E2507" t="s">
        <v>179</v>
      </c>
      <c r="F2507" t="s">
        <v>201</v>
      </c>
      <c r="G2507" t="s">
        <v>111</v>
      </c>
      <c r="H2507" t="s">
        <v>125</v>
      </c>
      <c r="I2507">
        <v>2016</v>
      </c>
      <c r="J2507" t="s">
        <v>204</v>
      </c>
      <c r="K2507" t="s">
        <v>127</v>
      </c>
      <c r="L2507" t="s">
        <v>2749</v>
      </c>
      <c r="M2507" t="s">
        <v>2760</v>
      </c>
      <c r="N2507">
        <v>1</v>
      </c>
      <c r="O2507">
        <v>2020</v>
      </c>
      <c r="P2507">
        <v>9846.3245281564559</v>
      </c>
      <c r="Q2507">
        <v>4.0938754601769656</v>
      </c>
      <c r="R2507" t="s">
        <v>109</v>
      </c>
      <c r="S2507">
        <v>2405.1353354385701</v>
      </c>
      <c r="T2507">
        <v>3.7</v>
      </c>
      <c r="U2507" t="s">
        <v>184</v>
      </c>
      <c r="V2507">
        <v>3.7</v>
      </c>
      <c r="W2507">
        <v>8</v>
      </c>
      <c r="X2507">
        <v>20.8</v>
      </c>
      <c r="Y2507">
        <v>15</v>
      </c>
      <c r="Z2507">
        <v>0.10652957206919771</v>
      </c>
      <c r="AA2507">
        <v>31.536000000000001</v>
      </c>
    </row>
    <row r="2508" spans="1:27" x14ac:dyDescent="0.25">
      <c r="A2508" t="s">
        <v>98</v>
      </c>
      <c r="B2508" t="s">
        <v>99</v>
      </c>
      <c r="C2508" t="s">
        <v>1367</v>
      </c>
      <c r="D2508" t="s">
        <v>1707</v>
      </c>
      <c r="E2508" t="s">
        <v>179</v>
      </c>
      <c r="F2508" t="s">
        <v>201</v>
      </c>
      <c r="G2508" t="s">
        <v>114</v>
      </c>
      <c r="H2508" t="s">
        <v>125</v>
      </c>
      <c r="I2508">
        <v>2016</v>
      </c>
      <c r="J2508" t="s">
        <v>206</v>
      </c>
      <c r="K2508" t="s">
        <v>127</v>
      </c>
      <c r="L2508" t="s">
        <v>2749</v>
      </c>
      <c r="M2508" t="s">
        <v>2761</v>
      </c>
      <c r="N2508">
        <v>0</v>
      </c>
      <c r="O2508">
        <v>2020</v>
      </c>
      <c r="P2508">
        <v>9846.3245281564559</v>
      </c>
      <c r="Q2508">
        <v>4.0938754601769656</v>
      </c>
      <c r="R2508" t="s">
        <v>109</v>
      </c>
      <c r="S2508">
        <v>2405.1353354385701</v>
      </c>
      <c r="T2508">
        <v>3.6</v>
      </c>
      <c r="U2508" t="s">
        <v>184</v>
      </c>
      <c r="V2508">
        <v>3.6</v>
      </c>
      <c r="W2508">
        <v>8</v>
      </c>
      <c r="X2508">
        <v>20.8</v>
      </c>
      <c r="Y2508">
        <v>15</v>
      </c>
      <c r="Z2508">
        <v>0.10652957206919771</v>
      </c>
      <c r="AA2508">
        <v>31.536000000000001</v>
      </c>
    </row>
    <row r="2509" spans="1:27" x14ac:dyDescent="0.25">
      <c r="A2509" t="s">
        <v>98</v>
      </c>
      <c r="B2509" t="s">
        <v>99</v>
      </c>
      <c r="C2509" t="s">
        <v>1367</v>
      </c>
      <c r="D2509" t="s">
        <v>1707</v>
      </c>
      <c r="E2509" t="s">
        <v>179</v>
      </c>
      <c r="F2509" t="s">
        <v>201</v>
      </c>
      <c r="G2509" t="s">
        <v>114</v>
      </c>
      <c r="H2509" t="s">
        <v>125</v>
      </c>
      <c r="I2509">
        <v>2020</v>
      </c>
      <c r="J2509" t="s">
        <v>208</v>
      </c>
      <c r="K2509" t="s">
        <v>127</v>
      </c>
      <c r="L2509" t="s">
        <v>2749</v>
      </c>
      <c r="M2509" t="s">
        <v>2761</v>
      </c>
      <c r="N2509">
        <v>1</v>
      </c>
      <c r="O2509">
        <v>2020</v>
      </c>
      <c r="P2509">
        <v>9846.3245281564559</v>
      </c>
      <c r="Q2509">
        <v>4.0938754601769656</v>
      </c>
      <c r="R2509" t="s">
        <v>109</v>
      </c>
      <c r="S2509">
        <v>2405.1353354385701</v>
      </c>
      <c r="T2509">
        <v>3.6</v>
      </c>
      <c r="U2509" t="s">
        <v>184</v>
      </c>
      <c r="V2509">
        <v>3.6</v>
      </c>
      <c r="W2509">
        <v>8</v>
      </c>
      <c r="X2509">
        <v>20.8</v>
      </c>
      <c r="Y2509">
        <v>15</v>
      </c>
      <c r="Z2509">
        <v>0.10652957206919771</v>
      </c>
      <c r="AA2509">
        <v>31.536000000000001</v>
      </c>
    </row>
    <row r="2510" spans="1:27" x14ac:dyDescent="0.25">
      <c r="A2510" t="s">
        <v>98</v>
      </c>
      <c r="B2510" t="s">
        <v>99</v>
      </c>
      <c r="C2510" t="s">
        <v>1367</v>
      </c>
      <c r="D2510" t="s">
        <v>1707</v>
      </c>
      <c r="E2510" t="s">
        <v>179</v>
      </c>
      <c r="F2510" t="s">
        <v>201</v>
      </c>
      <c r="G2510" t="s">
        <v>114</v>
      </c>
      <c r="H2510" t="s">
        <v>125</v>
      </c>
      <c r="I2510">
        <v>2022</v>
      </c>
      <c r="J2510" t="s">
        <v>209</v>
      </c>
      <c r="K2510" t="s">
        <v>127</v>
      </c>
      <c r="L2510" t="s">
        <v>2749</v>
      </c>
      <c r="M2510" t="s">
        <v>2762</v>
      </c>
      <c r="N2510">
        <v>1</v>
      </c>
      <c r="O2510">
        <v>2022</v>
      </c>
      <c r="P2510">
        <v>9846.3245281564559</v>
      </c>
      <c r="Q2510">
        <v>4.0938754601769656</v>
      </c>
      <c r="R2510" t="s">
        <v>109</v>
      </c>
      <c r="S2510">
        <v>2405.1353354385701</v>
      </c>
      <c r="T2510">
        <v>3.6</v>
      </c>
      <c r="U2510" t="s">
        <v>184</v>
      </c>
      <c r="V2510">
        <v>3.6</v>
      </c>
      <c r="W2510">
        <v>8</v>
      </c>
      <c r="X2510">
        <v>20.8</v>
      </c>
      <c r="Y2510">
        <v>15</v>
      </c>
      <c r="Z2510">
        <v>0.10652957206919771</v>
      </c>
      <c r="AA2510">
        <v>31.536000000000001</v>
      </c>
    </row>
    <row r="2511" spans="1:27" x14ac:dyDescent="0.25">
      <c r="A2511" t="s">
        <v>98</v>
      </c>
      <c r="B2511" t="s">
        <v>99</v>
      </c>
      <c r="C2511" t="s">
        <v>1367</v>
      </c>
      <c r="D2511" t="s">
        <v>1707</v>
      </c>
      <c r="E2511" t="s">
        <v>179</v>
      </c>
      <c r="F2511" t="s">
        <v>201</v>
      </c>
      <c r="G2511" t="s">
        <v>114</v>
      </c>
      <c r="H2511" t="s">
        <v>125</v>
      </c>
      <c r="I2511">
        <v>2023</v>
      </c>
      <c r="J2511" t="s">
        <v>211</v>
      </c>
      <c r="K2511" t="s">
        <v>127</v>
      </c>
      <c r="L2511" t="s">
        <v>2749</v>
      </c>
      <c r="M2511" t="s">
        <v>2763</v>
      </c>
      <c r="N2511">
        <v>1</v>
      </c>
      <c r="O2511">
        <v>2023</v>
      </c>
      <c r="P2511">
        <v>9846.3245281564559</v>
      </c>
      <c r="Q2511">
        <v>4.0938754601769656</v>
      </c>
      <c r="R2511" t="s">
        <v>109</v>
      </c>
      <c r="S2511">
        <v>2405.1353354385701</v>
      </c>
      <c r="T2511">
        <v>3.6</v>
      </c>
      <c r="U2511" t="s">
        <v>184</v>
      </c>
      <c r="V2511">
        <v>3.6</v>
      </c>
      <c r="W2511">
        <v>8</v>
      </c>
      <c r="X2511">
        <v>20.8</v>
      </c>
      <c r="Y2511">
        <v>15</v>
      </c>
      <c r="Z2511">
        <v>0.10652957206919771</v>
      </c>
      <c r="AA2511">
        <v>31.536000000000001</v>
      </c>
    </row>
    <row r="2512" spans="1:27" x14ac:dyDescent="0.25">
      <c r="A2512" t="s">
        <v>98</v>
      </c>
      <c r="B2512" t="s">
        <v>99</v>
      </c>
      <c r="C2512" t="s">
        <v>1367</v>
      </c>
      <c r="D2512" t="s">
        <v>1707</v>
      </c>
      <c r="E2512" t="s">
        <v>179</v>
      </c>
      <c r="F2512" t="s">
        <v>201</v>
      </c>
      <c r="G2512" t="s">
        <v>114</v>
      </c>
      <c r="H2512" t="s">
        <v>125</v>
      </c>
      <c r="I2512">
        <v>2024</v>
      </c>
      <c r="J2512" t="s">
        <v>213</v>
      </c>
      <c r="K2512" t="s">
        <v>127</v>
      </c>
      <c r="L2512" t="s">
        <v>2749</v>
      </c>
      <c r="M2512" t="s">
        <v>2764</v>
      </c>
      <c r="N2512">
        <v>1</v>
      </c>
      <c r="O2512">
        <v>2024</v>
      </c>
      <c r="P2512">
        <v>9846.3245281564559</v>
      </c>
      <c r="Q2512">
        <v>4.0938754601769656</v>
      </c>
      <c r="R2512" t="s">
        <v>109</v>
      </c>
      <c r="S2512">
        <v>2405.1353354385701</v>
      </c>
      <c r="T2512">
        <v>3.6</v>
      </c>
      <c r="U2512" t="s">
        <v>184</v>
      </c>
      <c r="V2512">
        <v>3.6</v>
      </c>
      <c r="W2512">
        <v>8</v>
      </c>
      <c r="X2512">
        <v>20.8</v>
      </c>
      <c r="Y2512">
        <v>15</v>
      </c>
      <c r="Z2512">
        <v>0.10652957206919771</v>
      </c>
      <c r="AA2512">
        <v>31.536000000000001</v>
      </c>
    </row>
    <row r="2513" spans="1:27" x14ac:dyDescent="0.25">
      <c r="A2513" t="s">
        <v>98</v>
      </c>
      <c r="B2513" t="s">
        <v>99</v>
      </c>
      <c r="C2513" t="s">
        <v>1367</v>
      </c>
      <c r="D2513" t="s">
        <v>1707</v>
      </c>
      <c r="E2513" t="s">
        <v>179</v>
      </c>
      <c r="F2513" t="s">
        <v>201</v>
      </c>
      <c r="G2513" t="s">
        <v>119</v>
      </c>
      <c r="H2513" t="s">
        <v>125</v>
      </c>
      <c r="I2513">
        <v>2016</v>
      </c>
      <c r="J2513" t="s">
        <v>215</v>
      </c>
      <c r="K2513" t="s">
        <v>127</v>
      </c>
      <c r="L2513" t="s">
        <v>2749</v>
      </c>
      <c r="M2513" t="s">
        <v>2765</v>
      </c>
      <c r="N2513">
        <v>0</v>
      </c>
      <c r="O2513">
        <v>2020</v>
      </c>
      <c r="P2513">
        <v>10395.03611176889</v>
      </c>
      <c r="Q2513">
        <v>4.0938754601769656</v>
      </c>
      <c r="R2513" t="s">
        <v>109</v>
      </c>
      <c r="S2513">
        <v>2539.1676451534131</v>
      </c>
      <c r="T2513">
        <v>4.5</v>
      </c>
      <c r="U2513" t="s">
        <v>184</v>
      </c>
      <c r="V2513">
        <v>4.5</v>
      </c>
      <c r="W2513">
        <v>8</v>
      </c>
      <c r="X2513">
        <v>20.8</v>
      </c>
      <c r="Y2513">
        <v>15</v>
      </c>
      <c r="Z2513">
        <v>0.10652957206919771</v>
      </c>
      <c r="AA2513">
        <v>31.536000000000001</v>
      </c>
    </row>
    <row r="2514" spans="1:27" x14ac:dyDescent="0.25">
      <c r="A2514" t="s">
        <v>98</v>
      </c>
      <c r="B2514" t="s">
        <v>99</v>
      </c>
      <c r="C2514" t="s">
        <v>1367</v>
      </c>
      <c r="D2514" t="s">
        <v>1707</v>
      </c>
      <c r="E2514" t="s">
        <v>179</v>
      </c>
      <c r="F2514" t="s">
        <v>201</v>
      </c>
      <c r="G2514" t="s">
        <v>119</v>
      </c>
      <c r="H2514" t="s">
        <v>125</v>
      </c>
      <c r="I2514">
        <v>2020</v>
      </c>
      <c r="J2514" t="s">
        <v>217</v>
      </c>
      <c r="K2514" t="s">
        <v>127</v>
      </c>
      <c r="L2514" t="s">
        <v>2749</v>
      </c>
      <c r="M2514" t="s">
        <v>2765</v>
      </c>
      <c r="N2514">
        <v>1</v>
      </c>
      <c r="O2514">
        <v>2020</v>
      </c>
      <c r="P2514">
        <v>10395.03611176889</v>
      </c>
      <c r="Q2514">
        <v>4.0938754601769656</v>
      </c>
      <c r="R2514" t="s">
        <v>109</v>
      </c>
      <c r="S2514">
        <v>2539.1676451534131</v>
      </c>
      <c r="T2514">
        <v>4.5</v>
      </c>
      <c r="U2514" t="s">
        <v>184</v>
      </c>
      <c r="V2514">
        <v>4.5</v>
      </c>
      <c r="W2514">
        <v>8</v>
      </c>
      <c r="X2514">
        <v>20.8</v>
      </c>
      <c r="Y2514">
        <v>15</v>
      </c>
      <c r="Z2514">
        <v>0.10652957206919771</v>
      </c>
      <c r="AA2514">
        <v>31.536000000000001</v>
      </c>
    </row>
    <row r="2515" spans="1:27" x14ac:dyDescent="0.25">
      <c r="A2515" t="s">
        <v>98</v>
      </c>
      <c r="B2515" t="s">
        <v>99</v>
      </c>
      <c r="C2515" t="s">
        <v>1367</v>
      </c>
      <c r="D2515" t="s">
        <v>1707</v>
      </c>
      <c r="E2515" t="s">
        <v>179</v>
      </c>
      <c r="F2515" t="s">
        <v>201</v>
      </c>
      <c r="G2515" t="s">
        <v>119</v>
      </c>
      <c r="H2515" t="s">
        <v>125</v>
      </c>
      <c r="I2515">
        <v>2022</v>
      </c>
      <c r="J2515" t="s">
        <v>218</v>
      </c>
      <c r="K2515" t="s">
        <v>127</v>
      </c>
      <c r="L2515" t="s">
        <v>2749</v>
      </c>
      <c r="M2515" t="s">
        <v>2766</v>
      </c>
      <c r="N2515">
        <v>1</v>
      </c>
      <c r="O2515">
        <v>2022</v>
      </c>
      <c r="P2515">
        <v>10395.03611176889</v>
      </c>
      <c r="Q2515">
        <v>4.0938754601769656</v>
      </c>
      <c r="R2515" t="s">
        <v>109</v>
      </c>
      <c r="S2515">
        <v>2539.1676451534131</v>
      </c>
      <c r="T2515">
        <v>4.5</v>
      </c>
      <c r="U2515" t="s">
        <v>184</v>
      </c>
      <c r="V2515">
        <v>4.5</v>
      </c>
      <c r="W2515">
        <v>8</v>
      </c>
      <c r="X2515">
        <v>20.8</v>
      </c>
      <c r="Y2515">
        <v>15</v>
      </c>
      <c r="Z2515">
        <v>0.10652957206919771</v>
      </c>
      <c r="AA2515">
        <v>31.536000000000001</v>
      </c>
    </row>
    <row r="2516" spans="1:27" x14ac:dyDescent="0.25">
      <c r="A2516" t="s">
        <v>98</v>
      </c>
      <c r="B2516" t="s">
        <v>99</v>
      </c>
      <c r="C2516" t="s">
        <v>1367</v>
      </c>
      <c r="D2516" t="s">
        <v>1707</v>
      </c>
      <c r="E2516" t="s">
        <v>179</v>
      </c>
      <c r="F2516" t="s">
        <v>201</v>
      </c>
      <c r="G2516" t="s">
        <v>119</v>
      </c>
      <c r="H2516" t="s">
        <v>125</v>
      </c>
      <c r="I2516">
        <v>2023</v>
      </c>
      <c r="J2516" t="s">
        <v>220</v>
      </c>
      <c r="K2516" t="s">
        <v>127</v>
      </c>
      <c r="L2516" t="s">
        <v>2749</v>
      </c>
      <c r="M2516" t="s">
        <v>2767</v>
      </c>
      <c r="N2516">
        <v>1</v>
      </c>
      <c r="O2516">
        <v>2023</v>
      </c>
      <c r="P2516">
        <v>10395.03611176889</v>
      </c>
      <c r="Q2516">
        <v>4.0938754601769656</v>
      </c>
      <c r="R2516" t="s">
        <v>109</v>
      </c>
      <c r="S2516">
        <v>2539.1676451534131</v>
      </c>
      <c r="T2516">
        <v>4.5</v>
      </c>
      <c r="U2516" t="s">
        <v>184</v>
      </c>
      <c r="V2516">
        <v>4.5</v>
      </c>
      <c r="W2516">
        <v>8</v>
      </c>
      <c r="X2516">
        <v>20.8</v>
      </c>
      <c r="Y2516">
        <v>15</v>
      </c>
      <c r="Z2516">
        <v>0.10652957206919771</v>
      </c>
      <c r="AA2516">
        <v>31.536000000000001</v>
      </c>
    </row>
    <row r="2517" spans="1:27" x14ac:dyDescent="0.25">
      <c r="A2517" t="s">
        <v>98</v>
      </c>
      <c r="B2517" t="s">
        <v>99</v>
      </c>
      <c r="C2517" t="s">
        <v>1367</v>
      </c>
      <c r="D2517" t="s">
        <v>1707</v>
      </c>
      <c r="E2517" t="s">
        <v>179</v>
      </c>
      <c r="F2517" t="s">
        <v>201</v>
      </c>
      <c r="G2517" t="s">
        <v>119</v>
      </c>
      <c r="H2517" t="s">
        <v>125</v>
      </c>
      <c r="I2517">
        <v>2024</v>
      </c>
      <c r="J2517" t="s">
        <v>222</v>
      </c>
      <c r="K2517" t="s">
        <v>127</v>
      </c>
      <c r="L2517" t="s">
        <v>2749</v>
      </c>
      <c r="M2517" t="s">
        <v>2768</v>
      </c>
      <c r="N2517">
        <v>1</v>
      </c>
      <c r="O2517">
        <v>2024</v>
      </c>
      <c r="P2517">
        <v>10395.03611176889</v>
      </c>
      <c r="Q2517">
        <v>4.0938754601769656</v>
      </c>
      <c r="R2517" t="s">
        <v>109</v>
      </c>
      <c r="S2517">
        <v>2539.1676451534131</v>
      </c>
      <c r="T2517">
        <v>4.5</v>
      </c>
      <c r="U2517" t="s">
        <v>184</v>
      </c>
      <c r="V2517">
        <v>4.5</v>
      </c>
      <c r="W2517">
        <v>8</v>
      </c>
      <c r="X2517">
        <v>20.8</v>
      </c>
      <c r="Y2517">
        <v>15</v>
      </c>
      <c r="Z2517">
        <v>0.10652957206919771</v>
      </c>
      <c r="AA2517">
        <v>31.536000000000001</v>
      </c>
    </row>
    <row r="2518" spans="1:27" x14ac:dyDescent="0.25">
      <c r="A2518" t="s">
        <v>98</v>
      </c>
      <c r="B2518" t="s">
        <v>99</v>
      </c>
      <c r="C2518" t="s">
        <v>1367</v>
      </c>
      <c r="D2518" t="s">
        <v>1707</v>
      </c>
      <c r="E2518" t="s">
        <v>179</v>
      </c>
      <c r="F2518" t="s">
        <v>224</v>
      </c>
      <c r="G2518" t="s">
        <v>111</v>
      </c>
      <c r="H2518" t="s">
        <v>125</v>
      </c>
      <c r="I2518">
        <v>2016</v>
      </c>
      <c r="J2518" t="s">
        <v>225</v>
      </c>
      <c r="K2518" t="s">
        <v>127</v>
      </c>
      <c r="L2518" t="s">
        <v>2749</v>
      </c>
      <c r="M2518" t="s">
        <v>2769</v>
      </c>
      <c r="N2518">
        <v>1</v>
      </c>
      <c r="O2518">
        <v>2020</v>
      </c>
      <c r="P2518">
        <v>1341.294982163728</v>
      </c>
      <c r="Q2518">
        <v>4.0938754601769656</v>
      </c>
      <c r="R2518" t="s">
        <v>109</v>
      </c>
      <c r="S2518">
        <v>327.63453485850488</v>
      </c>
      <c r="T2518">
        <v>0.98</v>
      </c>
      <c r="U2518" t="s">
        <v>227</v>
      </c>
      <c r="V2518">
        <v>0.98</v>
      </c>
      <c r="W2518">
        <v>15</v>
      </c>
      <c r="X2518">
        <v>30</v>
      </c>
      <c r="Y2518">
        <v>23</v>
      </c>
      <c r="Z2518">
        <v>0.10652957206919771</v>
      </c>
      <c r="AA2518">
        <v>31.536000000000001</v>
      </c>
    </row>
    <row r="2519" spans="1:27" x14ac:dyDescent="0.25">
      <c r="A2519" t="s">
        <v>98</v>
      </c>
      <c r="B2519" t="s">
        <v>99</v>
      </c>
      <c r="C2519" t="s">
        <v>1367</v>
      </c>
      <c r="D2519" t="s">
        <v>1707</v>
      </c>
      <c r="E2519" t="s">
        <v>179</v>
      </c>
      <c r="F2519" t="s">
        <v>228</v>
      </c>
      <c r="G2519" t="s">
        <v>103</v>
      </c>
      <c r="H2519" t="s">
        <v>104</v>
      </c>
      <c r="I2519">
        <v>2016</v>
      </c>
      <c r="J2519" t="s">
        <v>229</v>
      </c>
      <c r="K2519" t="s">
        <v>106</v>
      </c>
      <c r="L2519" t="s">
        <v>2749</v>
      </c>
      <c r="M2519" t="s">
        <v>2770</v>
      </c>
      <c r="N2519">
        <v>1</v>
      </c>
      <c r="O2519">
        <v>2020</v>
      </c>
      <c r="P2519">
        <v>2499.6861031233111</v>
      </c>
      <c r="Q2519">
        <v>4.0938754601769656</v>
      </c>
      <c r="R2519" t="s">
        <v>109</v>
      </c>
      <c r="S2519">
        <v>610.59163314539546</v>
      </c>
      <c r="T2519">
        <v>0.8</v>
      </c>
      <c r="U2519" t="s">
        <v>227</v>
      </c>
      <c r="V2519">
        <v>0.8</v>
      </c>
      <c r="W2519">
        <v>16</v>
      </c>
      <c r="X2519">
        <v>27</v>
      </c>
      <c r="Y2519">
        <v>22</v>
      </c>
      <c r="Z2519">
        <v>0.10652957206919771</v>
      </c>
      <c r="AA2519">
        <v>31.536000000000001</v>
      </c>
    </row>
    <row r="2520" spans="1:27" x14ac:dyDescent="0.25">
      <c r="A2520" t="s">
        <v>98</v>
      </c>
      <c r="B2520" t="s">
        <v>99</v>
      </c>
      <c r="C2520" t="s">
        <v>1367</v>
      </c>
      <c r="D2520" t="s">
        <v>1707</v>
      </c>
      <c r="E2520" t="s">
        <v>179</v>
      </c>
      <c r="F2520" t="s">
        <v>228</v>
      </c>
      <c r="G2520" t="s">
        <v>111</v>
      </c>
      <c r="H2520" t="s">
        <v>104</v>
      </c>
      <c r="I2520">
        <v>2016</v>
      </c>
      <c r="J2520" t="s">
        <v>231</v>
      </c>
      <c r="K2520" t="s">
        <v>106</v>
      </c>
      <c r="L2520" t="s">
        <v>2749</v>
      </c>
      <c r="M2520" t="s">
        <v>2771</v>
      </c>
      <c r="N2520">
        <v>0</v>
      </c>
      <c r="O2520">
        <v>2020</v>
      </c>
      <c r="P2520">
        <v>3182.5271849521182</v>
      </c>
      <c r="Q2520">
        <v>4.0938754601769656</v>
      </c>
      <c r="R2520" t="s">
        <v>109</v>
      </c>
      <c r="S2520">
        <v>777.38739634608885</v>
      </c>
      <c r="T2520">
        <v>0.92</v>
      </c>
      <c r="U2520" t="s">
        <v>227</v>
      </c>
      <c r="V2520">
        <v>0.92</v>
      </c>
      <c r="W2520">
        <v>16</v>
      </c>
      <c r="X2520">
        <v>27</v>
      </c>
      <c r="Y2520">
        <v>22</v>
      </c>
      <c r="Z2520">
        <v>0.10652957206919771</v>
      </c>
      <c r="AA2520">
        <v>31.536000000000001</v>
      </c>
    </row>
    <row r="2521" spans="1:27" x14ac:dyDescent="0.25">
      <c r="A2521" t="s">
        <v>98</v>
      </c>
      <c r="B2521" t="s">
        <v>99</v>
      </c>
      <c r="C2521" t="s">
        <v>1367</v>
      </c>
      <c r="D2521" t="s">
        <v>1707</v>
      </c>
      <c r="E2521" t="s">
        <v>179</v>
      </c>
      <c r="F2521" t="s">
        <v>228</v>
      </c>
      <c r="G2521" t="s">
        <v>111</v>
      </c>
      <c r="H2521" t="s">
        <v>104</v>
      </c>
      <c r="I2521">
        <v>2020</v>
      </c>
      <c r="J2521" t="s">
        <v>233</v>
      </c>
      <c r="K2521" t="s">
        <v>106</v>
      </c>
      <c r="L2521" t="s">
        <v>2749</v>
      </c>
      <c r="M2521" t="s">
        <v>2771</v>
      </c>
      <c r="N2521">
        <v>1</v>
      </c>
      <c r="O2521">
        <v>2020</v>
      </c>
      <c r="P2521">
        <v>3365.4310461562618</v>
      </c>
      <c r="Q2521">
        <v>4.0938754601769656</v>
      </c>
      <c r="R2521" t="s">
        <v>109</v>
      </c>
      <c r="S2521">
        <v>822.06483291770314</v>
      </c>
      <c r="T2521">
        <v>0.92</v>
      </c>
      <c r="U2521" t="s">
        <v>227</v>
      </c>
      <c r="V2521">
        <v>0.92</v>
      </c>
      <c r="W2521">
        <v>16</v>
      </c>
      <c r="X2521">
        <v>27</v>
      </c>
      <c r="Y2521">
        <v>22</v>
      </c>
      <c r="Z2521">
        <v>0.10652957206919771</v>
      </c>
      <c r="AA2521">
        <v>31.536000000000001</v>
      </c>
    </row>
    <row r="2522" spans="1:27" x14ac:dyDescent="0.25">
      <c r="A2522" t="s">
        <v>98</v>
      </c>
      <c r="B2522" t="s">
        <v>99</v>
      </c>
      <c r="C2522" t="s">
        <v>1367</v>
      </c>
      <c r="D2522" t="s">
        <v>1707</v>
      </c>
      <c r="E2522" t="s">
        <v>179</v>
      </c>
      <c r="F2522" t="s">
        <v>228</v>
      </c>
      <c r="G2522" t="s">
        <v>114</v>
      </c>
      <c r="H2522" t="s">
        <v>104</v>
      </c>
      <c r="I2522">
        <v>2016</v>
      </c>
      <c r="J2522" t="s">
        <v>234</v>
      </c>
      <c r="K2522" t="s">
        <v>106</v>
      </c>
      <c r="L2522" t="s">
        <v>2749</v>
      </c>
      <c r="M2522" t="s">
        <v>2772</v>
      </c>
      <c r="N2522">
        <v>1</v>
      </c>
      <c r="O2522">
        <v>2020</v>
      </c>
      <c r="P2522">
        <v>3341.043864662377</v>
      </c>
      <c r="Q2522">
        <v>4.0938754601769656</v>
      </c>
      <c r="R2522" t="s">
        <v>109</v>
      </c>
      <c r="S2522">
        <v>816.10784137482131</v>
      </c>
      <c r="T2522">
        <v>0.95</v>
      </c>
      <c r="U2522" t="s">
        <v>227</v>
      </c>
      <c r="V2522">
        <v>0.95</v>
      </c>
      <c r="W2522">
        <v>16</v>
      </c>
      <c r="X2522">
        <v>27</v>
      </c>
      <c r="Y2522">
        <v>22</v>
      </c>
      <c r="Z2522">
        <v>0.10652957206919771</v>
      </c>
      <c r="AA2522">
        <v>31.536000000000001</v>
      </c>
    </row>
    <row r="2523" spans="1:27" x14ac:dyDescent="0.25">
      <c r="A2523" t="s">
        <v>98</v>
      </c>
      <c r="B2523" t="s">
        <v>99</v>
      </c>
      <c r="C2523" t="s">
        <v>1367</v>
      </c>
      <c r="D2523" t="s">
        <v>1707</v>
      </c>
      <c r="E2523" t="s">
        <v>179</v>
      </c>
      <c r="F2523" t="s">
        <v>228</v>
      </c>
      <c r="G2523" t="s">
        <v>114</v>
      </c>
      <c r="H2523" t="s">
        <v>104</v>
      </c>
      <c r="I2523">
        <v>2022</v>
      </c>
      <c r="J2523" t="s">
        <v>236</v>
      </c>
      <c r="K2523" t="s">
        <v>106</v>
      </c>
      <c r="L2523" t="s">
        <v>2749</v>
      </c>
      <c r="M2523" t="s">
        <v>2773</v>
      </c>
      <c r="N2523">
        <v>1</v>
      </c>
      <c r="O2523">
        <v>2022</v>
      </c>
      <c r="P2523">
        <v>3341.043864662377</v>
      </c>
      <c r="Q2523">
        <v>4.0938754601769656</v>
      </c>
      <c r="R2523" t="s">
        <v>109</v>
      </c>
      <c r="S2523">
        <v>816.10784137482131</v>
      </c>
      <c r="T2523">
        <v>0.95</v>
      </c>
      <c r="U2523" t="s">
        <v>227</v>
      </c>
      <c r="V2523">
        <v>0.95</v>
      </c>
      <c r="W2523">
        <v>16</v>
      </c>
      <c r="X2523">
        <v>27</v>
      </c>
      <c r="Y2523">
        <v>22</v>
      </c>
      <c r="Z2523">
        <v>0.10652957206919771</v>
      </c>
      <c r="AA2523">
        <v>31.536000000000001</v>
      </c>
    </row>
    <row r="2524" spans="1:27" x14ac:dyDescent="0.25">
      <c r="A2524" t="s">
        <v>98</v>
      </c>
      <c r="B2524" t="s">
        <v>99</v>
      </c>
      <c r="C2524" t="s">
        <v>1367</v>
      </c>
      <c r="D2524" t="s">
        <v>1707</v>
      </c>
      <c r="E2524" t="s">
        <v>179</v>
      </c>
      <c r="F2524" t="s">
        <v>228</v>
      </c>
      <c r="G2524" t="s">
        <v>119</v>
      </c>
      <c r="H2524" t="s">
        <v>104</v>
      </c>
      <c r="I2524">
        <v>2016</v>
      </c>
      <c r="J2524" t="s">
        <v>238</v>
      </c>
      <c r="K2524" t="s">
        <v>106</v>
      </c>
      <c r="L2524" t="s">
        <v>2749</v>
      </c>
      <c r="M2524" t="s">
        <v>2774</v>
      </c>
      <c r="N2524">
        <v>1</v>
      </c>
      <c r="O2524">
        <v>2020</v>
      </c>
      <c r="P2524">
        <v>3706.851587070666</v>
      </c>
      <c r="Q2524">
        <v>4.0938754601769656</v>
      </c>
      <c r="R2524" t="s">
        <v>109</v>
      </c>
      <c r="S2524">
        <v>905.46271451804978</v>
      </c>
      <c r="T2524">
        <v>0.99</v>
      </c>
      <c r="U2524" t="s">
        <v>227</v>
      </c>
      <c r="V2524">
        <v>0.99</v>
      </c>
      <c r="W2524">
        <v>16</v>
      </c>
      <c r="X2524">
        <v>27</v>
      </c>
      <c r="Y2524">
        <v>22</v>
      </c>
      <c r="Z2524">
        <v>0.10652957206919771</v>
      </c>
      <c r="AA2524">
        <v>31.536000000000001</v>
      </c>
    </row>
    <row r="2525" spans="1:27" x14ac:dyDescent="0.25">
      <c r="A2525" t="s">
        <v>98</v>
      </c>
      <c r="B2525" t="s">
        <v>99</v>
      </c>
      <c r="C2525" t="s">
        <v>1367</v>
      </c>
      <c r="D2525" t="s">
        <v>1707</v>
      </c>
      <c r="E2525" t="s">
        <v>179</v>
      </c>
      <c r="F2525" t="s">
        <v>228</v>
      </c>
      <c r="G2525" t="s">
        <v>119</v>
      </c>
      <c r="H2525" t="s">
        <v>104</v>
      </c>
      <c r="I2525">
        <v>2022</v>
      </c>
      <c r="J2525" t="s">
        <v>240</v>
      </c>
      <c r="K2525" t="s">
        <v>106</v>
      </c>
      <c r="L2525" t="s">
        <v>2749</v>
      </c>
      <c r="M2525" t="s">
        <v>2775</v>
      </c>
      <c r="N2525">
        <v>1</v>
      </c>
      <c r="O2525">
        <v>2022</v>
      </c>
      <c r="P2525">
        <v>3706.851587070666</v>
      </c>
      <c r="Q2525">
        <v>4.0938754601769656</v>
      </c>
      <c r="R2525" t="s">
        <v>109</v>
      </c>
      <c r="S2525">
        <v>905.46271451804978</v>
      </c>
      <c r="T2525">
        <v>0.99</v>
      </c>
      <c r="U2525" t="s">
        <v>227</v>
      </c>
      <c r="V2525">
        <v>0.99</v>
      </c>
      <c r="W2525">
        <v>16</v>
      </c>
      <c r="X2525">
        <v>27</v>
      </c>
      <c r="Y2525">
        <v>22</v>
      </c>
      <c r="Z2525">
        <v>0.10652957206919771</v>
      </c>
      <c r="AA2525">
        <v>31.536000000000001</v>
      </c>
    </row>
    <row r="2526" spans="1:27" x14ac:dyDescent="0.25">
      <c r="A2526" t="s">
        <v>98</v>
      </c>
      <c r="B2526" t="s">
        <v>99</v>
      </c>
      <c r="C2526" t="s">
        <v>1367</v>
      </c>
      <c r="D2526" t="s">
        <v>1707</v>
      </c>
      <c r="E2526" t="s">
        <v>179</v>
      </c>
      <c r="F2526" t="s">
        <v>224</v>
      </c>
      <c r="G2526" t="s">
        <v>103</v>
      </c>
      <c r="H2526" t="s">
        <v>104</v>
      </c>
      <c r="I2526">
        <v>2016</v>
      </c>
      <c r="J2526" t="s">
        <v>242</v>
      </c>
      <c r="K2526" t="s">
        <v>106</v>
      </c>
      <c r="L2526" t="s">
        <v>2749</v>
      </c>
      <c r="M2526" t="s">
        <v>2776</v>
      </c>
      <c r="N2526">
        <v>1</v>
      </c>
      <c r="O2526">
        <v>2020</v>
      </c>
      <c r="P2526">
        <v>8748.901360931588</v>
      </c>
      <c r="Q2526">
        <v>4.0938754601769656</v>
      </c>
      <c r="R2526" t="s">
        <v>109</v>
      </c>
      <c r="S2526">
        <v>2137.0707160088841</v>
      </c>
      <c r="T2526">
        <v>0.82</v>
      </c>
      <c r="U2526" t="s">
        <v>227</v>
      </c>
      <c r="V2526">
        <v>0.82</v>
      </c>
      <c r="W2526">
        <v>20</v>
      </c>
      <c r="X2526">
        <v>30</v>
      </c>
      <c r="Y2526">
        <v>26</v>
      </c>
      <c r="Z2526">
        <v>0.10652957206919771</v>
      </c>
      <c r="AA2526">
        <v>31.536000000000001</v>
      </c>
    </row>
    <row r="2527" spans="1:27" x14ac:dyDescent="0.25">
      <c r="A2527" t="s">
        <v>98</v>
      </c>
      <c r="B2527" t="s">
        <v>99</v>
      </c>
      <c r="C2527" t="s">
        <v>1367</v>
      </c>
      <c r="D2527" t="s">
        <v>1707</v>
      </c>
      <c r="E2527" t="s">
        <v>179</v>
      </c>
      <c r="F2527" t="s">
        <v>224</v>
      </c>
      <c r="G2527" t="s">
        <v>103</v>
      </c>
      <c r="H2527" t="s">
        <v>104</v>
      </c>
      <c r="I2527">
        <v>2021</v>
      </c>
      <c r="J2527" t="s">
        <v>244</v>
      </c>
      <c r="K2527" t="s">
        <v>106</v>
      </c>
      <c r="L2527" t="s">
        <v>2749</v>
      </c>
      <c r="M2527" t="s">
        <v>2777</v>
      </c>
      <c r="N2527">
        <v>1</v>
      </c>
      <c r="O2527">
        <v>2021</v>
      </c>
      <c r="P2527">
        <v>8962.2891990030894</v>
      </c>
      <c r="Q2527">
        <v>4.0938754601769656</v>
      </c>
      <c r="R2527" t="s">
        <v>109</v>
      </c>
      <c r="S2527">
        <v>2189.1943920091012</v>
      </c>
      <c r="T2527">
        <v>0.84</v>
      </c>
      <c r="U2527" t="s">
        <v>227</v>
      </c>
      <c r="V2527">
        <v>0.84</v>
      </c>
      <c r="W2527">
        <v>20</v>
      </c>
      <c r="X2527">
        <v>30</v>
      </c>
      <c r="Y2527">
        <v>26</v>
      </c>
      <c r="Z2527">
        <v>0.10652957206919771</v>
      </c>
      <c r="AA2527">
        <v>31.536000000000001</v>
      </c>
    </row>
    <row r="2528" spans="1:27" x14ac:dyDescent="0.25">
      <c r="A2528" t="s">
        <v>98</v>
      </c>
      <c r="B2528" t="s">
        <v>99</v>
      </c>
      <c r="C2528" t="s">
        <v>1367</v>
      </c>
      <c r="D2528" t="s">
        <v>1707</v>
      </c>
      <c r="E2528" t="s">
        <v>179</v>
      </c>
      <c r="F2528" t="s">
        <v>224</v>
      </c>
      <c r="G2528" t="s">
        <v>111</v>
      </c>
      <c r="H2528" t="s">
        <v>104</v>
      </c>
      <c r="I2528">
        <v>2016</v>
      </c>
      <c r="J2528" t="s">
        <v>246</v>
      </c>
      <c r="K2528" t="s">
        <v>106</v>
      </c>
      <c r="L2528" t="s">
        <v>2749</v>
      </c>
      <c r="M2528" t="s">
        <v>2778</v>
      </c>
      <c r="N2528">
        <v>0</v>
      </c>
      <c r="O2528">
        <v>2020</v>
      </c>
      <c r="P2528">
        <v>8748.901360931588</v>
      </c>
      <c r="Q2528">
        <v>4.0938754601769656</v>
      </c>
      <c r="R2528" t="s">
        <v>109</v>
      </c>
      <c r="S2528">
        <v>2137.0707160088841</v>
      </c>
      <c r="T2528">
        <v>0.82</v>
      </c>
      <c r="U2528" t="s">
        <v>227</v>
      </c>
      <c r="V2528">
        <v>0.82</v>
      </c>
      <c r="W2528">
        <v>20</v>
      </c>
      <c r="X2528">
        <v>30</v>
      </c>
      <c r="Y2528">
        <v>26</v>
      </c>
      <c r="Z2528">
        <v>0.10652957206919771</v>
      </c>
      <c r="AA2528">
        <v>31.536000000000001</v>
      </c>
    </row>
    <row r="2529" spans="1:27" x14ac:dyDescent="0.25">
      <c r="A2529" t="s">
        <v>98</v>
      </c>
      <c r="B2529" t="s">
        <v>99</v>
      </c>
      <c r="C2529" t="s">
        <v>1367</v>
      </c>
      <c r="D2529" t="s">
        <v>1707</v>
      </c>
      <c r="E2529" t="s">
        <v>179</v>
      </c>
      <c r="F2529" t="s">
        <v>224</v>
      </c>
      <c r="G2529" t="s">
        <v>111</v>
      </c>
      <c r="H2529" t="s">
        <v>104</v>
      </c>
      <c r="I2529">
        <v>2020</v>
      </c>
      <c r="J2529" t="s">
        <v>248</v>
      </c>
      <c r="K2529" t="s">
        <v>106</v>
      </c>
      <c r="L2529" t="s">
        <v>2749</v>
      </c>
      <c r="M2529" t="s">
        <v>2778</v>
      </c>
      <c r="N2529">
        <v>1</v>
      </c>
      <c r="O2529">
        <v>2020</v>
      </c>
      <c r="P2529">
        <v>9602.4527132175954</v>
      </c>
      <c r="Q2529">
        <v>4.0938754601769656</v>
      </c>
      <c r="R2529" t="s">
        <v>109</v>
      </c>
      <c r="S2529">
        <v>2345.5654200097511</v>
      </c>
      <c r="T2529">
        <v>0.9</v>
      </c>
      <c r="U2529" t="s">
        <v>227</v>
      </c>
      <c r="V2529">
        <v>0.9</v>
      </c>
      <c r="W2529">
        <v>20</v>
      </c>
      <c r="X2529">
        <v>30</v>
      </c>
      <c r="Y2529">
        <v>26</v>
      </c>
      <c r="Z2529">
        <v>0.10652957206919771</v>
      </c>
      <c r="AA2529">
        <v>31.536000000000001</v>
      </c>
    </row>
    <row r="2530" spans="1:27" x14ac:dyDescent="0.25">
      <c r="A2530" t="s">
        <v>98</v>
      </c>
      <c r="B2530" t="s">
        <v>99</v>
      </c>
      <c r="C2530" t="s">
        <v>1367</v>
      </c>
      <c r="D2530" t="s">
        <v>1707</v>
      </c>
      <c r="E2530" t="s">
        <v>179</v>
      </c>
      <c r="F2530" t="s">
        <v>224</v>
      </c>
      <c r="G2530" t="s">
        <v>114</v>
      </c>
      <c r="H2530" t="s">
        <v>104</v>
      </c>
      <c r="I2530">
        <v>2016</v>
      </c>
      <c r="J2530" t="s">
        <v>249</v>
      </c>
      <c r="K2530" t="s">
        <v>106</v>
      </c>
      <c r="L2530" t="s">
        <v>2749</v>
      </c>
      <c r="M2530" t="s">
        <v>2779</v>
      </c>
      <c r="N2530">
        <v>1</v>
      </c>
      <c r="O2530">
        <v>2020</v>
      </c>
      <c r="P2530">
        <v>9602.4527132175954</v>
      </c>
      <c r="Q2530">
        <v>4.0938754601769656</v>
      </c>
      <c r="R2530" t="s">
        <v>109</v>
      </c>
      <c r="S2530">
        <v>2345.5654200097511</v>
      </c>
      <c r="T2530">
        <v>0.9</v>
      </c>
      <c r="U2530" t="s">
        <v>227</v>
      </c>
      <c r="V2530">
        <v>0.9</v>
      </c>
      <c r="W2530">
        <v>20</v>
      </c>
      <c r="X2530">
        <v>30</v>
      </c>
      <c r="Y2530">
        <v>26</v>
      </c>
      <c r="Z2530">
        <v>0.10652957206919771</v>
      </c>
      <c r="AA2530">
        <v>31.536000000000001</v>
      </c>
    </row>
    <row r="2531" spans="1:27" x14ac:dyDescent="0.25">
      <c r="A2531" t="s">
        <v>98</v>
      </c>
      <c r="B2531" t="s">
        <v>99</v>
      </c>
      <c r="C2531" t="s">
        <v>1367</v>
      </c>
      <c r="D2531" t="s">
        <v>1707</v>
      </c>
      <c r="E2531" t="s">
        <v>179</v>
      </c>
      <c r="F2531" t="s">
        <v>224</v>
      </c>
      <c r="G2531" t="s">
        <v>119</v>
      </c>
      <c r="H2531" t="s">
        <v>104</v>
      </c>
      <c r="I2531">
        <v>2016</v>
      </c>
      <c r="J2531" t="s">
        <v>251</v>
      </c>
      <c r="K2531" t="s">
        <v>106</v>
      </c>
      <c r="L2531" t="s">
        <v>2749</v>
      </c>
      <c r="M2531" t="s">
        <v>2780</v>
      </c>
      <c r="N2531">
        <v>1</v>
      </c>
      <c r="O2531">
        <v>2020</v>
      </c>
      <c r="P2531">
        <v>10882.779741646609</v>
      </c>
      <c r="Q2531">
        <v>4.0938754601769656</v>
      </c>
      <c r="R2531" t="s">
        <v>109</v>
      </c>
      <c r="S2531">
        <v>2658.3074760110512</v>
      </c>
      <c r="T2531">
        <v>0.97</v>
      </c>
      <c r="U2531" t="s">
        <v>227</v>
      </c>
      <c r="V2531">
        <v>0.97</v>
      </c>
      <c r="W2531">
        <v>20</v>
      </c>
      <c r="X2531">
        <v>30</v>
      </c>
      <c r="Y2531">
        <v>26</v>
      </c>
      <c r="Z2531">
        <v>0.10652957206919771</v>
      </c>
      <c r="AA2531">
        <v>31.536000000000001</v>
      </c>
    </row>
    <row r="2532" spans="1:27" x14ac:dyDescent="0.25">
      <c r="A2532" t="s">
        <v>98</v>
      </c>
      <c r="B2532" t="s">
        <v>99</v>
      </c>
      <c r="C2532" t="s">
        <v>1367</v>
      </c>
      <c r="D2532" t="s">
        <v>1707</v>
      </c>
      <c r="E2532" t="s">
        <v>179</v>
      </c>
      <c r="F2532" t="s">
        <v>224</v>
      </c>
      <c r="G2532" t="s">
        <v>119</v>
      </c>
      <c r="H2532" t="s">
        <v>104</v>
      </c>
      <c r="I2532">
        <v>2022</v>
      </c>
      <c r="J2532" t="s">
        <v>253</v>
      </c>
      <c r="K2532" t="s">
        <v>106</v>
      </c>
      <c r="L2532" t="s">
        <v>2749</v>
      </c>
      <c r="M2532" t="s">
        <v>2781</v>
      </c>
      <c r="N2532">
        <v>1</v>
      </c>
      <c r="O2532">
        <v>2022</v>
      </c>
      <c r="P2532">
        <v>10882.779741646609</v>
      </c>
      <c r="Q2532">
        <v>4.0938754601769656</v>
      </c>
      <c r="R2532" t="s">
        <v>109</v>
      </c>
      <c r="S2532">
        <v>2658.3074760110512</v>
      </c>
      <c r="T2532">
        <v>0.97</v>
      </c>
      <c r="U2532" t="s">
        <v>227</v>
      </c>
      <c r="V2532">
        <v>0.97</v>
      </c>
      <c r="W2532">
        <v>20</v>
      </c>
      <c r="X2532">
        <v>30</v>
      </c>
      <c r="Y2532">
        <v>26</v>
      </c>
      <c r="Z2532">
        <v>0.10652957206919771</v>
      </c>
      <c r="AA2532">
        <v>31.536000000000001</v>
      </c>
    </row>
    <row r="2533" spans="1:27" x14ac:dyDescent="0.25">
      <c r="A2533" t="s">
        <v>98</v>
      </c>
      <c r="B2533" t="s">
        <v>99</v>
      </c>
      <c r="C2533" t="s">
        <v>1367</v>
      </c>
      <c r="D2533" t="s">
        <v>1707</v>
      </c>
      <c r="E2533" t="s">
        <v>179</v>
      </c>
      <c r="F2533" t="s">
        <v>228</v>
      </c>
      <c r="G2533" t="s">
        <v>103</v>
      </c>
      <c r="H2533" t="s">
        <v>255</v>
      </c>
      <c r="I2533">
        <v>2016</v>
      </c>
      <c r="J2533" t="s">
        <v>256</v>
      </c>
      <c r="K2533" t="s">
        <v>257</v>
      </c>
      <c r="L2533" t="s">
        <v>2749</v>
      </c>
      <c r="M2533" t="s">
        <v>2782</v>
      </c>
      <c r="N2533">
        <v>1</v>
      </c>
      <c r="O2533">
        <v>2020</v>
      </c>
      <c r="P2533">
        <v>5029.8561831139787</v>
      </c>
      <c r="Q2533">
        <v>4.0938754601769656</v>
      </c>
      <c r="R2533" t="s">
        <v>109</v>
      </c>
      <c r="S2533">
        <v>1228.6295057193929</v>
      </c>
      <c r="T2533">
        <v>0.83</v>
      </c>
      <c r="U2533" t="s">
        <v>227</v>
      </c>
      <c r="V2533">
        <v>0.83</v>
      </c>
      <c r="W2533">
        <v>19.7</v>
      </c>
      <c r="X2533">
        <v>33.1</v>
      </c>
      <c r="Y2533">
        <v>27</v>
      </c>
      <c r="Z2533">
        <v>0.10652957206919771</v>
      </c>
      <c r="AA2533">
        <v>31.536000000000001</v>
      </c>
    </row>
    <row r="2534" spans="1:27" x14ac:dyDescent="0.25">
      <c r="A2534" t="s">
        <v>98</v>
      </c>
      <c r="B2534" t="s">
        <v>99</v>
      </c>
      <c r="C2534" t="s">
        <v>1367</v>
      </c>
      <c r="D2534" t="s">
        <v>1707</v>
      </c>
      <c r="E2534" t="s">
        <v>179</v>
      </c>
      <c r="F2534" t="s">
        <v>228</v>
      </c>
      <c r="G2534" t="s">
        <v>111</v>
      </c>
      <c r="H2534" t="s">
        <v>255</v>
      </c>
      <c r="I2534">
        <v>2016</v>
      </c>
      <c r="J2534" t="s">
        <v>259</v>
      </c>
      <c r="K2534" t="s">
        <v>257</v>
      </c>
      <c r="L2534" t="s">
        <v>2749</v>
      </c>
      <c r="M2534" t="s">
        <v>2783</v>
      </c>
      <c r="N2534">
        <v>0</v>
      </c>
      <c r="O2534">
        <v>2020</v>
      </c>
      <c r="P2534">
        <v>5029.8561831139787</v>
      </c>
      <c r="Q2534">
        <v>4.0938754601769656</v>
      </c>
      <c r="R2534" t="s">
        <v>109</v>
      </c>
      <c r="S2534">
        <v>1228.6295057193929</v>
      </c>
      <c r="T2534">
        <v>0.83</v>
      </c>
      <c r="U2534" t="s">
        <v>227</v>
      </c>
      <c r="V2534">
        <v>0.83</v>
      </c>
      <c r="W2534">
        <v>19.7</v>
      </c>
      <c r="X2534">
        <v>33.1</v>
      </c>
      <c r="Y2534">
        <v>27</v>
      </c>
      <c r="Z2534">
        <v>0.10652957206919771</v>
      </c>
      <c r="AA2534">
        <v>31.536000000000001</v>
      </c>
    </row>
    <row r="2535" spans="1:27" x14ac:dyDescent="0.25">
      <c r="A2535" t="s">
        <v>98</v>
      </c>
      <c r="B2535" t="s">
        <v>99</v>
      </c>
      <c r="C2535" t="s">
        <v>1367</v>
      </c>
      <c r="D2535" t="s">
        <v>1707</v>
      </c>
      <c r="E2535" t="s">
        <v>179</v>
      </c>
      <c r="F2535" t="s">
        <v>228</v>
      </c>
      <c r="G2535" t="s">
        <v>111</v>
      </c>
      <c r="H2535" t="s">
        <v>255</v>
      </c>
      <c r="I2535">
        <v>2020</v>
      </c>
      <c r="J2535" t="s">
        <v>261</v>
      </c>
      <c r="K2535" t="s">
        <v>257</v>
      </c>
      <c r="L2535" t="s">
        <v>2749</v>
      </c>
      <c r="M2535" t="s">
        <v>2783</v>
      </c>
      <c r="N2535">
        <v>1</v>
      </c>
      <c r="O2535">
        <v>2020</v>
      </c>
      <c r="P2535">
        <v>5151.7920905834089</v>
      </c>
      <c r="Q2535">
        <v>4.0938754601769656</v>
      </c>
      <c r="R2535" t="s">
        <v>109</v>
      </c>
      <c r="S2535">
        <v>1258.4144634338029</v>
      </c>
      <c r="T2535">
        <v>0.84</v>
      </c>
      <c r="U2535" t="s">
        <v>227</v>
      </c>
      <c r="V2535">
        <v>0.84</v>
      </c>
      <c r="W2535">
        <v>19.7</v>
      </c>
      <c r="X2535">
        <v>33.1</v>
      </c>
      <c r="Y2535">
        <v>27</v>
      </c>
      <c r="Z2535">
        <v>0.10652957206919771</v>
      </c>
      <c r="AA2535">
        <v>31.536000000000001</v>
      </c>
    </row>
    <row r="2536" spans="1:27" x14ac:dyDescent="0.25">
      <c r="A2536" t="s">
        <v>98</v>
      </c>
      <c r="B2536" t="s">
        <v>99</v>
      </c>
      <c r="C2536" t="s">
        <v>1367</v>
      </c>
      <c r="D2536" t="s">
        <v>1707</v>
      </c>
      <c r="E2536" t="s">
        <v>179</v>
      </c>
      <c r="F2536" t="s">
        <v>228</v>
      </c>
      <c r="G2536" t="s">
        <v>114</v>
      </c>
      <c r="H2536" t="s">
        <v>255</v>
      </c>
      <c r="I2536">
        <v>2016</v>
      </c>
      <c r="J2536" t="s">
        <v>262</v>
      </c>
      <c r="K2536" t="s">
        <v>257</v>
      </c>
      <c r="L2536" t="s">
        <v>2749</v>
      </c>
      <c r="M2536" t="s">
        <v>2784</v>
      </c>
      <c r="N2536">
        <v>1</v>
      </c>
      <c r="O2536">
        <v>2020</v>
      </c>
      <c r="P2536">
        <v>5304.2119749201956</v>
      </c>
      <c r="Q2536">
        <v>4.0938754601769656</v>
      </c>
      <c r="R2536" t="s">
        <v>109</v>
      </c>
      <c r="S2536">
        <v>1295.6456605768151</v>
      </c>
      <c r="T2536">
        <v>0.85</v>
      </c>
      <c r="U2536" t="s">
        <v>227</v>
      </c>
      <c r="V2536">
        <v>0.85</v>
      </c>
      <c r="W2536">
        <v>19.7</v>
      </c>
      <c r="X2536">
        <v>33.1</v>
      </c>
      <c r="Y2536">
        <v>27</v>
      </c>
      <c r="Z2536">
        <v>0.10652957206919771</v>
      </c>
      <c r="AA2536">
        <v>31.536000000000001</v>
      </c>
    </row>
    <row r="2537" spans="1:27" x14ac:dyDescent="0.25">
      <c r="A2537" t="s">
        <v>98</v>
      </c>
      <c r="B2537" t="s">
        <v>99</v>
      </c>
      <c r="C2537" t="s">
        <v>1367</v>
      </c>
      <c r="D2537" t="s">
        <v>1707</v>
      </c>
      <c r="E2537" t="s">
        <v>179</v>
      </c>
      <c r="F2537" t="s">
        <v>228</v>
      </c>
      <c r="G2537" t="s">
        <v>119</v>
      </c>
      <c r="H2537" t="s">
        <v>255</v>
      </c>
      <c r="I2537">
        <v>2016</v>
      </c>
      <c r="J2537" t="s">
        <v>264</v>
      </c>
      <c r="K2537" t="s">
        <v>257</v>
      </c>
      <c r="L2537" t="s">
        <v>2749</v>
      </c>
      <c r="M2537" t="s">
        <v>2785</v>
      </c>
      <c r="N2537">
        <v>0</v>
      </c>
      <c r="O2537">
        <v>2020</v>
      </c>
      <c r="P2537">
        <v>7864.8660317782214</v>
      </c>
      <c r="Q2537">
        <v>4.0938754601769656</v>
      </c>
      <c r="R2537" t="s">
        <v>109</v>
      </c>
      <c r="S2537">
        <v>1921.129772579415</v>
      </c>
      <c r="T2537">
        <v>0.97</v>
      </c>
      <c r="U2537" t="s">
        <v>227</v>
      </c>
      <c r="V2537">
        <v>0.97</v>
      </c>
      <c r="W2537">
        <v>19.7</v>
      </c>
      <c r="X2537">
        <v>33.1</v>
      </c>
      <c r="Y2537">
        <v>27</v>
      </c>
      <c r="Z2537">
        <v>0.10652957206919771</v>
      </c>
      <c r="AA2537">
        <v>31.536000000000001</v>
      </c>
    </row>
    <row r="2538" spans="1:27" x14ac:dyDescent="0.25">
      <c r="A2538" t="s">
        <v>98</v>
      </c>
      <c r="B2538" t="s">
        <v>99</v>
      </c>
      <c r="C2538" t="s">
        <v>1367</v>
      </c>
      <c r="D2538" t="s">
        <v>1707</v>
      </c>
      <c r="E2538" t="s">
        <v>179</v>
      </c>
      <c r="F2538" t="s">
        <v>228</v>
      </c>
      <c r="G2538" t="s">
        <v>119</v>
      </c>
      <c r="H2538" t="s">
        <v>255</v>
      </c>
      <c r="I2538">
        <v>2020</v>
      </c>
      <c r="J2538" t="s">
        <v>266</v>
      </c>
      <c r="K2538" t="s">
        <v>257</v>
      </c>
      <c r="L2538" t="s">
        <v>2749</v>
      </c>
      <c r="M2538" t="s">
        <v>2785</v>
      </c>
      <c r="N2538">
        <v>1</v>
      </c>
      <c r="O2538">
        <v>2020</v>
      </c>
      <c r="P2538">
        <v>7864.8660317782214</v>
      </c>
      <c r="Q2538">
        <v>4.0938754601769656</v>
      </c>
      <c r="R2538" t="s">
        <v>109</v>
      </c>
      <c r="S2538">
        <v>1921.129772579415</v>
      </c>
      <c r="T2538">
        <v>0.97</v>
      </c>
      <c r="U2538" t="s">
        <v>227</v>
      </c>
      <c r="V2538">
        <v>0.97</v>
      </c>
      <c r="W2538">
        <v>19.7</v>
      </c>
      <c r="X2538">
        <v>33.1</v>
      </c>
      <c r="Y2538">
        <v>27</v>
      </c>
      <c r="Z2538">
        <v>0.10652957206919771</v>
      </c>
      <c r="AA2538">
        <v>31.536000000000001</v>
      </c>
    </row>
    <row r="2539" spans="1:27" x14ac:dyDescent="0.25">
      <c r="A2539" t="s">
        <v>98</v>
      </c>
      <c r="B2539" t="s">
        <v>99</v>
      </c>
      <c r="C2539" t="s">
        <v>1367</v>
      </c>
      <c r="D2539" t="s">
        <v>1707</v>
      </c>
      <c r="E2539" t="s">
        <v>179</v>
      </c>
      <c r="F2539" t="s">
        <v>228</v>
      </c>
      <c r="G2539" t="s">
        <v>103</v>
      </c>
      <c r="H2539" t="s">
        <v>156</v>
      </c>
      <c r="I2539">
        <v>2016</v>
      </c>
      <c r="J2539" t="s">
        <v>267</v>
      </c>
      <c r="K2539" t="s">
        <v>158</v>
      </c>
      <c r="L2539" t="s">
        <v>2749</v>
      </c>
      <c r="M2539" t="s">
        <v>2786</v>
      </c>
      <c r="N2539">
        <v>1</v>
      </c>
      <c r="O2539">
        <v>2020</v>
      </c>
      <c r="P2539">
        <v>2499.6861031233111</v>
      </c>
      <c r="Q2539">
        <v>4.0938754601769656</v>
      </c>
      <c r="R2539" t="s">
        <v>109</v>
      </c>
      <c r="S2539">
        <v>610.59163314539546</v>
      </c>
      <c r="T2539">
        <v>0.8</v>
      </c>
      <c r="U2539" t="s">
        <v>227</v>
      </c>
      <c r="V2539">
        <v>0.8</v>
      </c>
      <c r="W2539">
        <v>16</v>
      </c>
      <c r="X2539">
        <v>27</v>
      </c>
      <c r="Y2539">
        <v>22</v>
      </c>
      <c r="Z2539">
        <v>0.10652957206919771</v>
      </c>
      <c r="AA2539">
        <v>31.536000000000001</v>
      </c>
    </row>
    <row r="2540" spans="1:27" x14ac:dyDescent="0.25">
      <c r="A2540" t="s">
        <v>98</v>
      </c>
      <c r="B2540" t="s">
        <v>99</v>
      </c>
      <c r="C2540" t="s">
        <v>1367</v>
      </c>
      <c r="D2540" t="s">
        <v>1707</v>
      </c>
      <c r="E2540" t="s">
        <v>179</v>
      </c>
      <c r="F2540" t="s">
        <v>228</v>
      </c>
      <c r="G2540" t="s">
        <v>111</v>
      </c>
      <c r="H2540" t="s">
        <v>156</v>
      </c>
      <c r="I2540">
        <v>2016</v>
      </c>
      <c r="J2540" t="s">
        <v>269</v>
      </c>
      <c r="K2540" t="s">
        <v>158</v>
      </c>
      <c r="L2540" t="s">
        <v>2749</v>
      </c>
      <c r="M2540" t="s">
        <v>2787</v>
      </c>
      <c r="N2540">
        <v>0</v>
      </c>
      <c r="O2540">
        <v>2020</v>
      </c>
      <c r="P2540">
        <v>3182.5271849521182</v>
      </c>
      <c r="Q2540">
        <v>4.0938754601769656</v>
      </c>
      <c r="R2540" t="s">
        <v>109</v>
      </c>
      <c r="S2540">
        <v>777.38739634608885</v>
      </c>
      <c r="T2540">
        <v>0.92</v>
      </c>
      <c r="U2540" t="s">
        <v>227</v>
      </c>
      <c r="V2540">
        <v>0.92</v>
      </c>
      <c r="W2540">
        <v>16</v>
      </c>
      <c r="X2540">
        <v>27</v>
      </c>
      <c r="Y2540">
        <v>22</v>
      </c>
      <c r="Z2540">
        <v>0.10652957206919771</v>
      </c>
      <c r="AA2540">
        <v>31.536000000000001</v>
      </c>
    </row>
    <row r="2541" spans="1:27" x14ac:dyDescent="0.25">
      <c r="A2541" t="s">
        <v>98</v>
      </c>
      <c r="B2541" t="s">
        <v>99</v>
      </c>
      <c r="C2541" t="s">
        <v>1367</v>
      </c>
      <c r="D2541" t="s">
        <v>1707</v>
      </c>
      <c r="E2541" t="s">
        <v>179</v>
      </c>
      <c r="F2541" t="s">
        <v>228</v>
      </c>
      <c r="G2541" t="s">
        <v>111</v>
      </c>
      <c r="H2541" t="s">
        <v>156</v>
      </c>
      <c r="I2541">
        <v>2020</v>
      </c>
      <c r="J2541" t="s">
        <v>271</v>
      </c>
      <c r="K2541" t="s">
        <v>158</v>
      </c>
      <c r="L2541" t="s">
        <v>2749</v>
      </c>
      <c r="M2541" t="s">
        <v>2787</v>
      </c>
      <c r="N2541">
        <v>1</v>
      </c>
      <c r="O2541">
        <v>2020</v>
      </c>
      <c r="P2541">
        <v>3365.4310461562618</v>
      </c>
      <c r="Q2541">
        <v>4.0938754601769656</v>
      </c>
      <c r="R2541" t="s">
        <v>109</v>
      </c>
      <c r="S2541">
        <v>822.06483291770314</v>
      </c>
      <c r="T2541">
        <v>0.92</v>
      </c>
      <c r="U2541" t="s">
        <v>227</v>
      </c>
      <c r="V2541">
        <v>0.92</v>
      </c>
      <c r="W2541">
        <v>16</v>
      </c>
      <c r="X2541">
        <v>27</v>
      </c>
      <c r="Y2541">
        <v>22</v>
      </c>
      <c r="Z2541">
        <v>0.10652957206919771</v>
      </c>
      <c r="AA2541">
        <v>31.536000000000001</v>
      </c>
    </row>
    <row r="2542" spans="1:27" x14ac:dyDescent="0.25">
      <c r="A2542" t="s">
        <v>98</v>
      </c>
      <c r="B2542" t="s">
        <v>99</v>
      </c>
      <c r="C2542" t="s">
        <v>1367</v>
      </c>
      <c r="D2542" t="s">
        <v>1707</v>
      </c>
      <c r="E2542" t="s">
        <v>179</v>
      </c>
      <c r="F2542" t="s">
        <v>228</v>
      </c>
      <c r="G2542" t="s">
        <v>114</v>
      </c>
      <c r="H2542" t="s">
        <v>156</v>
      </c>
      <c r="I2542">
        <v>2016</v>
      </c>
      <c r="J2542" t="s">
        <v>272</v>
      </c>
      <c r="K2542" t="s">
        <v>158</v>
      </c>
      <c r="L2542" t="s">
        <v>2749</v>
      </c>
      <c r="M2542" t="s">
        <v>2788</v>
      </c>
      <c r="N2542">
        <v>1</v>
      </c>
      <c r="O2542">
        <v>2020</v>
      </c>
      <c r="P2542">
        <v>3341.043864662377</v>
      </c>
      <c r="Q2542">
        <v>4.0938754601769656</v>
      </c>
      <c r="R2542" t="s">
        <v>109</v>
      </c>
      <c r="S2542">
        <v>816.10784137482131</v>
      </c>
      <c r="T2542">
        <v>0.95</v>
      </c>
      <c r="U2542" t="s">
        <v>227</v>
      </c>
      <c r="V2542">
        <v>0.95</v>
      </c>
      <c r="W2542">
        <v>16</v>
      </c>
      <c r="X2542">
        <v>27</v>
      </c>
      <c r="Y2542">
        <v>22</v>
      </c>
      <c r="Z2542">
        <v>0.10652957206919771</v>
      </c>
      <c r="AA2542">
        <v>31.536000000000001</v>
      </c>
    </row>
    <row r="2543" spans="1:27" x14ac:dyDescent="0.25">
      <c r="A2543" t="s">
        <v>98</v>
      </c>
      <c r="B2543" t="s">
        <v>99</v>
      </c>
      <c r="C2543" t="s">
        <v>1367</v>
      </c>
      <c r="D2543" t="s">
        <v>1707</v>
      </c>
      <c r="E2543" t="s">
        <v>179</v>
      </c>
      <c r="F2543" t="s">
        <v>228</v>
      </c>
      <c r="G2543" t="s">
        <v>114</v>
      </c>
      <c r="H2543" t="s">
        <v>156</v>
      </c>
      <c r="I2543">
        <v>2022</v>
      </c>
      <c r="J2543" t="s">
        <v>274</v>
      </c>
      <c r="K2543" t="s">
        <v>158</v>
      </c>
      <c r="L2543" t="s">
        <v>2749</v>
      </c>
      <c r="M2543" t="s">
        <v>2789</v>
      </c>
      <c r="N2543">
        <v>1</v>
      </c>
      <c r="O2543">
        <v>2022</v>
      </c>
      <c r="P2543">
        <v>3341.043864662377</v>
      </c>
      <c r="Q2543">
        <v>4.0938754601769656</v>
      </c>
      <c r="R2543" t="s">
        <v>109</v>
      </c>
      <c r="S2543">
        <v>816.10784137482131</v>
      </c>
      <c r="T2543">
        <v>0.95</v>
      </c>
      <c r="U2543" t="s">
        <v>227</v>
      </c>
      <c r="V2543">
        <v>0.95</v>
      </c>
      <c r="W2543">
        <v>16</v>
      </c>
      <c r="X2543">
        <v>27</v>
      </c>
      <c r="Y2543">
        <v>22</v>
      </c>
      <c r="Z2543">
        <v>0.10652957206919771</v>
      </c>
      <c r="AA2543">
        <v>31.536000000000001</v>
      </c>
    </row>
    <row r="2544" spans="1:27" x14ac:dyDescent="0.25">
      <c r="A2544" t="s">
        <v>98</v>
      </c>
      <c r="B2544" t="s">
        <v>99</v>
      </c>
      <c r="C2544" t="s">
        <v>1367</v>
      </c>
      <c r="D2544" t="s">
        <v>1707</v>
      </c>
      <c r="E2544" t="s">
        <v>179</v>
      </c>
      <c r="F2544" t="s">
        <v>228</v>
      </c>
      <c r="G2544" t="s">
        <v>119</v>
      </c>
      <c r="H2544" t="s">
        <v>156</v>
      </c>
      <c r="I2544">
        <v>2016</v>
      </c>
      <c r="J2544" t="s">
        <v>276</v>
      </c>
      <c r="K2544" t="s">
        <v>158</v>
      </c>
      <c r="L2544" t="s">
        <v>2749</v>
      </c>
      <c r="M2544" t="s">
        <v>2790</v>
      </c>
      <c r="N2544">
        <v>1</v>
      </c>
      <c r="O2544">
        <v>2020</v>
      </c>
      <c r="P2544">
        <v>3706.851587070666</v>
      </c>
      <c r="Q2544">
        <v>4.0938754601769656</v>
      </c>
      <c r="R2544" t="s">
        <v>109</v>
      </c>
      <c r="S2544">
        <v>905.46271451804978</v>
      </c>
      <c r="T2544">
        <v>0.99</v>
      </c>
      <c r="U2544" t="s">
        <v>227</v>
      </c>
      <c r="V2544">
        <v>0.99</v>
      </c>
      <c r="W2544">
        <v>16</v>
      </c>
      <c r="X2544">
        <v>27</v>
      </c>
      <c r="Y2544">
        <v>22</v>
      </c>
      <c r="Z2544">
        <v>0.10652957206919771</v>
      </c>
      <c r="AA2544">
        <v>31.536000000000001</v>
      </c>
    </row>
    <row r="2545" spans="1:27" x14ac:dyDescent="0.25">
      <c r="A2545" t="s">
        <v>98</v>
      </c>
      <c r="B2545" t="s">
        <v>99</v>
      </c>
      <c r="C2545" t="s">
        <v>1367</v>
      </c>
      <c r="D2545" t="s">
        <v>1707</v>
      </c>
      <c r="E2545" t="s">
        <v>179</v>
      </c>
      <c r="F2545" t="s">
        <v>228</v>
      </c>
      <c r="G2545" t="s">
        <v>119</v>
      </c>
      <c r="H2545" t="s">
        <v>156</v>
      </c>
      <c r="I2545">
        <v>2022</v>
      </c>
      <c r="J2545" t="s">
        <v>278</v>
      </c>
      <c r="K2545" t="s">
        <v>158</v>
      </c>
      <c r="L2545" t="s">
        <v>2749</v>
      </c>
      <c r="M2545" t="s">
        <v>2791</v>
      </c>
      <c r="N2545">
        <v>1</v>
      </c>
      <c r="O2545">
        <v>2022</v>
      </c>
      <c r="P2545">
        <v>3706.851587070666</v>
      </c>
      <c r="Q2545">
        <v>4.0938754601769656</v>
      </c>
      <c r="R2545" t="s">
        <v>109</v>
      </c>
      <c r="S2545">
        <v>905.46271451804978</v>
      </c>
      <c r="T2545">
        <v>0.99</v>
      </c>
      <c r="U2545" t="s">
        <v>227</v>
      </c>
      <c r="V2545">
        <v>0.99</v>
      </c>
      <c r="W2545">
        <v>16</v>
      </c>
      <c r="X2545">
        <v>27</v>
      </c>
      <c r="Y2545">
        <v>22</v>
      </c>
      <c r="Z2545">
        <v>0.10652957206919771</v>
      </c>
      <c r="AA2545">
        <v>31.536000000000001</v>
      </c>
    </row>
    <row r="2546" spans="1:27" x14ac:dyDescent="0.25">
      <c r="A2546" t="s">
        <v>98</v>
      </c>
      <c r="B2546" t="s">
        <v>99</v>
      </c>
      <c r="C2546" t="s">
        <v>1367</v>
      </c>
      <c r="D2546" t="s">
        <v>1707</v>
      </c>
      <c r="E2546" t="s">
        <v>179</v>
      </c>
      <c r="F2546" t="s">
        <v>228</v>
      </c>
      <c r="G2546" t="s">
        <v>103</v>
      </c>
      <c r="H2546" t="s">
        <v>148</v>
      </c>
      <c r="I2546">
        <v>2016</v>
      </c>
      <c r="J2546" t="s">
        <v>280</v>
      </c>
      <c r="K2546" t="s">
        <v>150</v>
      </c>
      <c r="L2546" t="s">
        <v>2749</v>
      </c>
      <c r="M2546" t="s">
        <v>2792</v>
      </c>
      <c r="N2546">
        <v>1</v>
      </c>
      <c r="O2546">
        <v>2020</v>
      </c>
      <c r="P2546">
        <v>5029.8561831139787</v>
      </c>
      <c r="Q2546">
        <v>4.0938754601769656</v>
      </c>
      <c r="R2546" t="s">
        <v>109</v>
      </c>
      <c r="S2546">
        <v>1228.6295057193929</v>
      </c>
      <c r="T2546">
        <v>0.83</v>
      </c>
      <c r="U2546" t="s">
        <v>227</v>
      </c>
      <c r="V2546">
        <v>0.83</v>
      </c>
      <c r="W2546">
        <v>19.7</v>
      </c>
      <c r="X2546">
        <v>33.1</v>
      </c>
      <c r="Y2546">
        <v>27</v>
      </c>
      <c r="Z2546">
        <v>0.10652957206919771</v>
      </c>
      <c r="AA2546">
        <v>31.536000000000001</v>
      </c>
    </row>
    <row r="2547" spans="1:27" x14ac:dyDescent="0.25">
      <c r="A2547" t="s">
        <v>98</v>
      </c>
      <c r="B2547" t="s">
        <v>99</v>
      </c>
      <c r="C2547" t="s">
        <v>1367</v>
      </c>
      <c r="D2547" t="s">
        <v>1707</v>
      </c>
      <c r="E2547" t="s">
        <v>179</v>
      </c>
      <c r="F2547" t="s">
        <v>228</v>
      </c>
      <c r="G2547" t="s">
        <v>111</v>
      </c>
      <c r="H2547" t="s">
        <v>148</v>
      </c>
      <c r="I2547">
        <v>2016</v>
      </c>
      <c r="J2547" t="s">
        <v>282</v>
      </c>
      <c r="K2547" t="s">
        <v>150</v>
      </c>
      <c r="L2547" t="s">
        <v>2749</v>
      </c>
      <c r="M2547" t="s">
        <v>2793</v>
      </c>
      <c r="N2547">
        <v>1</v>
      </c>
      <c r="O2547">
        <v>2020</v>
      </c>
      <c r="P2547">
        <v>5029.8561831139787</v>
      </c>
      <c r="Q2547">
        <v>4.0938754601769656</v>
      </c>
      <c r="R2547" t="s">
        <v>109</v>
      </c>
      <c r="S2547">
        <v>1228.6295057193929</v>
      </c>
      <c r="T2547">
        <v>0.83</v>
      </c>
      <c r="U2547" t="s">
        <v>227</v>
      </c>
      <c r="V2547">
        <v>0.83</v>
      </c>
      <c r="W2547">
        <v>19.7</v>
      </c>
      <c r="X2547">
        <v>33.1</v>
      </c>
      <c r="Y2547">
        <v>27</v>
      </c>
      <c r="Z2547">
        <v>0.10652957206919771</v>
      </c>
      <c r="AA2547">
        <v>31.536000000000001</v>
      </c>
    </row>
    <row r="2548" spans="1:27" x14ac:dyDescent="0.25">
      <c r="A2548" t="s">
        <v>98</v>
      </c>
      <c r="B2548" t="s">
        <v>99</v>
      </c>
      <c r="C2548" t="s">
        <v>1367</v>
      </c>
      <c r="D2548" t="s">
        <v>1707</v>
      </c>
      <c r="E2548" t="s">
        <v>179</v>
      </c>
      <c r="F2548" t="s">
        <v>228</v>
      </c>
      <c r="G2548" t="s">
        <v>111</v>
      </c>
      <c r="H2548" t="s">
        <v>148</v>
      </c>
      <c r="I2548">
        <v>2022</v>
      </c>
      <c r="J2548" t="s">
        <v>284</v>
      </c>
      <c r="K2548" t="s">
        <v>150</v>
      </c>
      <c r="L2548" t="s">
        <v>2749</v>
      </c>
      <c r="M2548" t="s">
        <v>2794</v>
      </c>
      <c r="N2548">
        <v>1</v>
      </c>
      <c r="O2548">
        <v>2022</v>
      </c>
      <c r="P2548">
        <v>5151.7920905834089</v>
      </c>
      <c r="Q2548">
        <v>4.0938754601769656</v>
      </c>
      <c r="R2548" t="s">
        <v>109</v>
      </c>
      <c r="S2548">
        <v>1258.4144634338029</v>
      </c>
      <c r="T2548">
        <v>0.84</v>
      </c>
      <c r="U2548" t="s">
        <v>227</v>
      </c>
      <c r="V2548">
        <v>0.84</v>
      </c>
      <c r="W2548">
        <v>19.7</v>
      </c>
      <c r="X2548">
        <v>33.1</v>
      </c>
      <c r="Y2548">
        <v>27</v>
      </c>
      <c r="Z2548">
        <v>0.10652957206919771</v>
      </c>
      <c r="AA2548">
        <v>31.536000000000001</v>
      </c>
    </row>
    <row r="2549" spans="1:27" x14ac:dyDescent="0.25">
      <c r="A2549" t="s">
        <v>98</v>
      </c>
      <c r="B2549" t="s">
        <v>99</v>
      </c>
      <c r="C2549" t="s">
        <v>1367</v>
      </c>
      <c r="D2549" t="s">
        <v>1707</v>
      </c>
      <c r="E2549" t="s">
        <v>179</v>
      </c>
      <c r="F2549" t="s">
        <v>228</v>
      </c>
      <c r="G2549" t="s">
        <v>114</v>
      </c>
      <c r="H2549" t="s">
        <v>148</v>
      </c>
      <c r="I2549">
        <v>2016</v>
      </c>
      <c r="J2549" t="s">
        <v>286</v>
      </c>
      <c r="K2549" t="s">
        <v>150</v>
      </c>
      <c r="L2549" t="s">
        <v>2749</v>
      </c>
      <c r="M2549" t="s">
        <v>2795</v>
      </c>
      <c r="N2549">
        <v>1</v>
      </c>
      <c r="O2549">
        <v>2020</v>
      </c>
      <c r="P2549">
        <v>5304.2119749201956</v>
      </c>
      <c r="Q2549">
        <v>4.0938754601769656</v>
      </c>
      <c r="R2549" t="s">
        <v>109</v>
      </c>
      <c r="S2549">
        <v>1295.6456605768151</v>
      </c>
      <c r="T2549">
        <v>0.85</v>
      </c>
      <c r="U2549" t="s">
        <v>227</v>
      </c>
      <c r="V2549">
        <v>0.85</v>
      </c>
      <c r="W2549">
        <v>19.7</v>
      </c>
      <c r="X2549">
        <v>33.1</v>
      </c>
      <c r="Y2549">
        <v>27</v>
      </c>
      <c r="Z2549">
        <v>0.10652957206919771</v>
      </c>
      <c r="AA2549">
        <v>31.536000000000001</v>
      </c>
    </row>
    <row r="2550" spans="1:27" x14ac:dyDescent="0.25">
      <c r="A2550" t="s">
        <v>98</v>
      </c>
      <c r="B2550" t="s">
        <v>99</v>
      </c>
      <c r="C2550" t="s">
        <v>1367</v>
      </c>
      <c r="D2550" t="s">
        <v>1707</v>
      </c>
      <c r="E2550" t="s">
        <v>179</v>
      </c>
      <c r="F2550" t="s">
        <v>228</v>
      </c>
      <c r="G2550" t="s">
        <v>119</v>
      </c>
      <c r="H2550" t="s">
        <v>148</v>
      </c>
      <c r="I2550">
        <v>2016</v>
      </c>
      <c r="J2550" t="s">
        <v>288</v>
      </c>
      <c r="K2550" t="s">
        <v>150</v>
      </c>
      <c r="L2550" t="s">
        <v>2749</v>
      </c>
      <c r="M2550" t="s">
        <v>2796</v>
      </c>
      <c r="N2550">
        <v>1</v>
      </c>
      <c r="O2550">
        <v>2020</v>
      </c>
      <c r="P2550">
        <v>7864.8660317782214</v>
      </c>
      <c r="Q2550">
        <v>4.0938754601769656</v>
      </c>
      <c r="R2550" t="s">
        <v>109</v>
      </c>
      <c r="S2550">
        <v>1921.129772579415</v>
      </c>
      <c r="T2550">
        <v>0.97</v>
      </c>
      <c r="U2550" t="s">
        <v>227</v>
      </c>
      <c r="V2550">
        <v>0.97</v>
      </c>
      <c r="W2550">
        <v>19.7</v>
      </c>
      <c r="X2550">
        <v>33.1</v>
      </c>
      <c r="Y2550">
        <v>27</v>
      </c>
      <c r="Z2550">
        <v>0.10652957206919771</v>
      </c>
      <c r="AA2550">
        <v>31.536000000000001</v>
      </c>
    </row>
    <row r="2551" spans="1:27" x14ac:dyDescent="0.25">
      <c r="A2551" t="s">
        <v>98</v>
      </c>
      <c r="B2551" t="s">
        <v>99</v>
      </c>
      <c r="C2551" t="s">
        <v>1367</v>
      </c>
      <c r="D2551" t="s">
        <v>1707</v>
      </c>
      <c r="E2551" t="s">
        <v>179</v>
      </c>
      <c r="F2551" t="s">
        <v>228</v>
      </c>
      <c r="G2551" t="s">
        <v>119</v>
      </c>
      <c r="H2551" t="s">
        <v>148</v>
      </c>
      <c r="I2551">
        <v>2022</v>
      </c>
      <c r="J2551" t="s">
        <v>290</v>
      </c>
      <c r="K2551" t="s">
        <v>150</v>
      </c>
      <c r="L2551" t="s">
        <v>2749</v>
      </c>
      <c r="M2551" t="s">
        <v>2797</v>
      </c>
      <c r="N2551">
        <v>1</v>
      </c>
      <c r="O2551">
        <v>2022</v>
      </c>
      <c r="P2551">
        <v>7864.8660317782214</v>
      </c>
      <c r="Q2551">
        <v>4.0938754601769656</v>
      </c>
      <c r="R2551" t="s">
        <v>109</v>
      </c>
      <c r="S2551">
        <v>1921.129772579415</v>
      </c>
      <c r="T2551">
        <v>0.97</v>
      </c>
      <c r="U2551" t="s">
        <v>227</v>
      </c>
      <c r="V2551">
        <v>0.97</v>
      </c>
      <c r="W2551">
        <v>19.7</v>
      </c>
      <c r="X2551">
        <v>33.1</v>
      </c>
      <c r="Y2551">
        <v>27</v>
      </c>
      <c r="Z2551">
        <v>0.10652957206919771</v>
      </c>
      <c r="AA2551">
        <v>31.536000000000001</v>
      </c>
    </row>
    <row r="2552" spans="1:27" x14ac:dyDescent="0.25">
      <c r="A2552" t="s">
        <v>98</v>
      </c>
      <c r="B2552" t="s">
        <v>99</v>
      </c>
      <c r="C2552" t="s">
        <v>1367</v>
      </c>
      <c r="D2552" t="s">
        <v>1707</v>
      </c>
      <c r="E2552" t="s">
        <v>179</v>
      </c>
      <c r="F2552" t="s">
        <v>224</v>
      </c>
      <c r="G2552" t="s">
        <v>103</v>
      </c>
      <c r="H2552" t="s">
        <v>148</v>
      </c>
      <c r="I2552">
        <v>2016</v>
      </c>
      <c r="J2552" t="s">
        <v>292</v>
      </c>
      <c r="K2552" t="s">
        <v>150</v>
      </c>
      <c r="L2552" t="s">
        <v>2749</v>
      </c>
      <c r="M2552" t="s">
        <v>2798</v>
      </c>
      <c r="N2552">
        <v>1</v>
      </c>
      <c r="O2552">
        <v>2020</v>
      </c>
      <c r="P2552">
        <v>11126.65155658547</v>
      </c>
      <c r="Q2552">
        <v>4.0938754601769656</v>
      </c>
      <c r="R2552" t="s">
        <v>109</v>
      </c>
      <c r="S2552">
        <v>2717.8773914398698</v>
      </c>
      <c r="T2552">
        <v>0.84</v>
      </c>
      <c r="U2552" t="s">
        <v>227</v>
      </c>
      <c r="V2552">
        <v>0.84</v>
      </c>
      <c r="W2552">
        <v>18</v>
      </c>
      <c r="X2552">
        <v>28</v>
      </c>
      <c r="Y2552">
        <v>24</v>
      </c>
      <c r="Z2552">
        <v>0.10652957206919771</v>
      </c>
      <c r="AA2552">
        <v>31.536000000000001</v>
      </c>
    </row>
    <row r="2553" spans="1:27" x14ac:dyDescent="0.25">
      <c r="A2553" t="s">
        <v>98</v>
      </c>
      <c r="B2553" t="s">
        <v>99</v>
      </c>
      <c r="C2553" t="s">
        <v>1367</v>
      </c>
      <c r="D2553" t="s">
        <v>1707</v>
      </c>
      <c r="E2553" t="s">
        <v>179</v>
      </c>
      <c r="F2553" t="s">
        <v>224</v>
      </c>
      <c r="G2553" t="s">
        <v>103</v>
      </c>
      <c r="H2553" t="s">
        <v>148</v>
      </c>
      <c r="I2553">
        <v>2022</v>
      </c>
      <c r="J2553" t="s">
        <v>294</v>
      </c>
      <c r="K2553" t="s">
        <v>150</v>
      </c>
      <c r="L2553" t="s">
        <v>2749</v>
      </c>
      <c r="M2553" t="s">
        <v>2799</v>
      </c>
      <c r="N2553">
        <v>1</v>
      </c>
      <c r="O2553">
        <v>2022</v>
      </c>
      <c r="P2553">
        <v>11492.45927899376</v>
      </c>
      <c r="Q2553">
        <v>4.0938754601769656</v>
      </c>
      <c r="R2553" t="s">
        <v>109</v>
      </c>
      <c r="S2553">
        <v>2807.2322645830991</v>
      </c>
      <c r="T2553">
        <v>0.86</v>
      </c>
      <c r="U2553" t="s">
        <v>227</v>
      </c>
      <c r="V2553">
        <v>0.86</v>
      </c>
      <c r="W2553">
        <v>18</v>
      </c>
      <c r="X2553">
        <v>28</v>
      </c>
      <c r="Y2553">
        <v>24</v>
      </c>
      <c r="Z2553">
        <v>0.10652957206919771</v>
      </c>
      <c r="AA2553">
        <v>31.536000000000001</v>
      </c>
    </row>
    <row r="2554" spans="1:27" x14ac:dyDescent="0.25">
      <c r="A2554" t="s">
        <v>98</v>
      </c>
      <c r="B2554" t="s">
        <v>99</v>
      </c>
      <c r="C2554" t="s">
        <v>1367</v>
      </c>
      <c r="D2554" t="s">
        <v>1707</v>
      </c>
      <c r="E2554" t="s">
        <v>179</v>
      </c>
      <c r="F2554" t="s">
        <v>224</v>
      </c>
      <c r="G2554" t="s">
        <v>111</v>
      </c>
      <c r="H2554" t="s">
        <v>148</v>
      </c>
      <c r="I2554">
        <v>2016</v>
      </c>
      <c r="J2554" t="s">
        <v>296</v>
      </c>
      <c r="K2554" t="s">
        <v>150</v>
      </c>
      <c r="L2554" t="s">
        <v>2749</v>
      </c>
      <c r="M2554" t="s">
        <v>2800</v>
      </c>
      <c r="N2554">
        <v>1</v>
      </c>
      <c r="O2554">
        <v>2020</v>
      </c>
      <c r="P2554">
        <v>11126.65155658547</v>
      </c>
      <c r="Q2554">
        <v>4.0938754601769656</v>
      </c>
      <c r="R2554" t="s">
        <v>109</v>
      </c>
      <c r="S2554">
        <v>2717.8773914398698</v>
      </c>
      <c r="T2554">
        <v>0.84</v>
      </c>
      <c r="U2554" t="s">
        <v>227</v>
      </c>
      <c r="V2554">
        <v>0.84</v>
      </c>
      <c r="W2554">
        <v>18</v>
      </c>
      <c r="X2554">
        <v>28</v>
      </c>
      <c r="Y2554">
        <v>24</v>
      </c>
      <c r="Z2554">
        <v>0.10652957206919771</v>
      </c>
      <c r="AA2554">
        <v>31.536000000000001</v>
      </c>
    </row>
    <row r="2555" spans="1:27" x14ac:dyDescent="0.25">
      <c r="A2555" t="s">
        <v>98</v>
      </c>
      <c r="B2555" t="s">
        <v>99</v>
      </c>
      <c r="C2555" t="s">
        <v>1367</v>
      </c>
      <c r="D2555" t="s">
        <v>1707</v>
      </c>
      <c r="E2555" t="s">
        <v>179</v>
      </c>
      <c r="F2555" t="s">
        <v>224</v>
      </c>
      <c r="G2555" t="s">
        <v>111</v>
      </c>
      <c r="H2555" t="s">
        <v>148</v>
      </c>
      <c r="I2555">
        <v>2022</v>
      </c>
      <c r="J2555" t="s">
        <v>298</v>
      </c>
      <c r="K2555" t="s">
        <v>150</v>
      </c>
      <c r="L2555" t="s">
        <v>2749</v>
      </c>
      <c r="M2555" t="s">
        <v>2801</v>
      </c>
      <c r="N2555">
        <v>1</v>
      </c>
      <c r="O2555">
        <v>2022</v>
      </c>
      <c r="P2555">
        <v>11492.45927899376</v>
      </c>
      <c r="Q2555">
        <v>4.0938754601769656</v>
      </c>
      <c r="R2555" t="s">
        <v>109</v>
      </c>
      <c r="S2555">
        <v>2807.2322645830991</v>
      </c>
      <c r="T2555">
        <v>0.86</v>
      </c>
      <c r="U2555" t="s">
        <v>227</v>
      </c>
      <c r="V2555">
        <v>0.86</v>
      </c>
      <c r="W2555">
        <v>18</v>
      </c>
      <c r="X2555">
        <v>28</v>
      </c>
      <c r="Y2555">
        <v>24</v>
      </c>
      <c r="Z2555">
        <v>0.10652957206919771</v>
      </c>
      <c r="AA2555">
        <v>31.536000000000001</v>
      </c>
    </row>
    <row r="2556" spans="1:27" x14ac:dyDescent="0.25">
      <c r="A2556" t="s">
        <v>98</v>
      </c>
      <c r="B2556" t="s">
        <v>99</v>
      </c>
      <c r="C2556" t="s">
        <v>1367</v>
      </c>
      <c r="D2556" t="s">
        <v>1707</v>
      </c>
      <c r="E2556" t="s">
        <v>179</v>
      </c>
      <c r="F2556" t="s">
        <v>224</v>
      </c>
      <c r="G2556" t="s">
        <v>114</v>
      </c>
      <c r="H2556" t="s">
        <v>148</v>
      </c>
      <c r="I2556">
        <v>2016</v>
      </c>
      <c r="J2556" t="s">
        <v>300</v>
      </c>
      <c r="K2556" t="s">
        <v>150</v>
      </c>
      <c r="L2556" t="s">
        <v>2749</v>
      </c>
      <c r="M2556" t="s">
        <v>2802</v>
      </c>
      <c r="N2556">
        <v>1</v>
      </c>
      <c r="O2556">
        <v>2020</v>
      </c>
      <c r="P2556">
        <v>11492.45927899376</v>
      </c>
      <c r="Q2556">
        <v>4.0938754601769656</v>
      </c>
      <c r="R2556" t="s">
        <v>109</v>
      </c>
      <c r="S2556">
        <v>2807.2322645830991</v>
      </c>
      <c r="T2556">
        <v>0.87</v>
      </c>
      <c r="U2556" t="s">
        <v>227</v>
      </c>
      <c r="V2556">
        <v>0.87</v>
      </c>
      <c r="W2556">
        <v>18</v>
      </c>
      <c r="X2556">
        <v>28</v>
      </c>
      <c r="Y2556">
        <v>24</v>
      </c>
      <c r="Z2556">
        <v>0.10652957206919771</v>
      </c>
      <c r="AA2556">
        <v>31.536000000000001</v>
      </c>
    </row>
    <row r="2557" spans="1:27" x14ac:dyDescent="0.25">
      <c r="A2557" t="s">
        <v>98</v>
      </c>
      <c r="B2557" t="s">
        <v>99</v>
      </c>
      <c r="C2557" t="s">
        <v>1367</v>
      </c>
      <c r="D2557" t="s">
        <v>1707</v>
      </c>
      <c r="E2557" t="s">
        <v>179</v>
      </c>
      <c r="F2557" t="s">
        <v>224</v>
      </c>
      <c r="G2557" t="s">
        <v>119</v>
      </c>
      <c r="H2557" t="s">
        <v>148</v>
      </c>
      <c r="I2557">
        <v>2016</v>
      </c>
      <c r="J2557" t="s">
        <v>302</v>
      </c>
      <c r="K2557" t="s">
        <v>150</v>
      </c>
      <c r="L2557" t="s">
        <v>2749</v>
      </c>
      <c r="M2557" t="s">
        <v>2803</v>
      </c>
      <c r="N2557">
        <v>1</v>
      </c>
      <c r="O2557">
        <v>2020</v>
      </c>
      <c r="P2557">
        <v>13961.66140524971</v>
      </c>
      <c r="Q2557">
        <v>4.0938754601769656</v>
      </c>
      <c r="R2557" t="s">
        <v>109</v>
      </c>
      <c r="S2557">
        <v>3410.3776582998921</v>
      </c>
      <c r="T2557">
        <v>0.9</v>
      </c>
      <c r="U2557" t="s">
        <v>227</v>
      </c>
      <c r="V2557">
        <v>0.9</v>
      </c>
      <c r="W2557">
        <v>18</v>
      </c>
      <c r="X2557">
        <v>28</v>
      </c>
      <c r="Y2557">
        <v>24</v>
      </c>
      <c r="Z2557">
        <v>0.10652957206919771</v>
      </c>
      <c r="AA2557">
        <v>31.536000000000001</v>
      </c>
    </row>
    <row r="2558" spans="1:27" x14ac:dyDescent="0.25">
      <c r="A2558" t="s">
        <v>98</v>
      </c>
      <c r="B2558" t="s">
        <v>99</v>
      </c>
      <c r="C2558" t="s">
        <v>1367</v>
      </c>
      <c r="D2558" t="s">
        <v>1707</v>
      </c>
      <c r="E2558" t="s">
        <v>304</v>
      </c>
      <c r="F2558" t="s">
        <v>180</v>
      </c>
      <c r="G2558" t="s">
        <v>111</v>
      </c>
      <c r="H2558" t="s">
        <v>104</v>
      </c>
      <c r="I2558">
        <v>2016</v>
      </c>
      <c r="J2558" t="s">
        <v>305</v>
      </c>
      <c r="K2558" t="s">
        <v>106</v>
      </c>
      <c r="L2558" t="s">
        <v>2804</v>
      </c>
      <c r="M2558" t="s">
        <v>2805</v>
      </c>
      <c r="N2558">
        <v>0</v>
      </c>
      <c r="O2558">
        <v>2020</v>
      </c>
      <c r="P2558">
        <v>8291.641707921226</v>
      </c>
      <c r="Q2558">
        <v>2.764334235731762</v>
      </c>
      <c r="R2558" t="s">
        <v>109</v>
      </c>
      <c r="S2558">
        <v>2999.507657483503</v>
      </c>
      <c r="T2558">
        <v>0.6</v>
      </c>
      <c r="U2558" t="s">
        <v>184</v>
      </c>
      <c r="V2558">
        <v>0.6</v>
      </c>
      <c r="W2558">
        <v>12</v>
      </c>
      <c r="X2558">
        <v>18</v>
      </c>
      <c r="Y2558">
        <v>16</v>
      </c>
      <c r="Z2558">
        <v>6.1608679451578198E-2</v>
      </c>
      <c r="AA2558">
        <v>31.536000000000001</v>
      </c>
    </row>
    <row r="2559" spans="1:27" x14ac:dyDescent="0.25">
      <c r="A2559" t="s">
        <v>98</v>
      </c>
      <c r="B2559" t="s">
        <v>99</v>
      </c>
      <c r="C2559" t="s">
        <v>1367</v>
      </c>
      <c r="D2559" t="s">
        <v>1707</v>
      </c>
      <c r="E2559" t="s">
        <v>304</v>
      </c>
      <c r="F2559" t="s">
        <v>180</v>
      </c>
      <c r="G2559" t="s">
        <v>111</v>
      </c>
      <c r="H2559" t="s">
        <v>104</v>
      </c>
      <c r="I2559">
        <v>2020</v>
      </c>
      <c r="J2559" t="s">
        <v>308</v>
      </c>
      <c r="K2559" t="s">
        <v>106</v>
      </c>
      <c r="L2559" t="s">
        <v>2804</v>
      </c>
      <c r="M2559" t="s">
        <v>2805</v>
      </c>
      <c r="N2559">
        <v>1</v>
      </c>
      <c r="O2559">
        <v>2020</v>
      </c>
      <c r="P2559">
        <v>8291.641707921226</v>
      </c>
      <c r="Q2559">
        <v>2.764334235731762</v>
      </c>
      <c r="R2559" t="s">
        <v>109</v>
      </c>
      <c r="S2559">
        <v>2999.507657483503</v>
      </c>
      <c r="T2559">
        <v>0.7</v>
      </c>
      <c r="U2559" t="s">
        <v>184</v>
      </c>
      <c r="V2559">
        <v>0.7</v>
      </c>
      <c r="W2559">
        <v>12</v>
      </c>
      <c r="X2559">
        <v>18</v>
      </c>
      <c r="Y2559">
        <v>16</v>
      </c>
      <c r="Z2559">
        <v>6.1608679451578198E-2</v>
      </c>
      <c r="AA2559">
        <v>31.536000000000001</v>
      </c>
    </row>
    <row r="2560" spans="1:27" x14ac:dyDescent="0.25">
      <c r="A2560" t="s">
        <v>98</v>
      </c>
      <c r="B2560" t="s">
        <v>99</v>
      </c>
      <c r="C2560" t="s">
        <v>1367</v>
      </c>
      <c r="D2560" t="s">
        <v>1707</v>
      </c>
      <c r="E2560" t="s">
        <v>304</v>
      </c>
      <c r="F2560" t="s">
        <v>180</v>
      </c>
      <c r="G2560" t="s">
        <v>103</v>
      </c>
      <c r="H2560" t="s">
        <v>125</v>
      </c>
      <c r="I2560">
        <v>2016</v>
      </c>
      <c r="J2560" t="s">
        <v>309</v>
      </c>
      <c r="K2560" t="s">
        <v>127</v>
      </c>
      <c r="L2560" t="s">
        <v>2804</v>
      </c>
      <c r="M2560" t="s">
        <v>2806</v>
      </c>
      <c r="N2560">
        <v>1</v>
      </c>
      <c r="O2560">
        <v>2020</v>
      </c>
      <c r="P2560">
        <v>2956.9457561336731</v>
      </c>
      <c r="Q2560">
        <v>2.764334235731762</v>
      </c>
      <c r="R2560" t="s">
        <v>109</v>
      </c>
      <c r="S2560">
        <v>1069.6773631466911</v>
      </c>
      <c r="T2560">
        <v>4.1031652989449006</v>
      </c>
      <c r="U2560" t="s">
        <v>184</v>
      </c>
      <c r="V2560">
        <v>4.1031652989449006</v>
      </c>
      <c r="W2560">
        <v>9</v>
      </c>
      <c r="X2560">
        <v>22</v>
      </c>
      <c r="Y2560">
        <v>16</v>
      </c>
      <c r="Z2560">
        <v>6.1608679451578198E-2</v>
      </c>
      <c r="AA2560">
        <v>31.536000000000001</v>
      </c>
    </row>
    <row r="2561" spans="1:27" x14ac:dyDescent="0.25">
      <c r="A2561" t="s">
        <v>98</v>
      </c>
      <c r="B2561" t="s">
        <v>99</v>
      </c>
      <c r="C2561" t="s">
        <v>1367</v>
      </c>
      <c r="D2561" t="s">
        <v>1707</v>
      </c>
      <c r="E2561" t="s">
        <v>304</v>
      </c>
      <c r="F2561" t="s">
        <v>180</v>
      </c>
      <c r="G2561" t="s">
        <v>103</v>
      </c>
      <c r="H2561" t="s">
        <v>125</v>
      </c>
      <c r="I2561">
        <v>2023</v>
      </c>
      <c r="J2561" t="s">
        <v>311</v>
      </c>
      <c r="K2561" t="s">
        <v>127</v>
      </c>
      <c r="L2561" t="s">
        <v>2804</v>
      </c>
      <c r="M2561" t="s">
        <v>2807</v>
      </c>
      <c r="N2561">
        <v>1</v>
      </c>
      <c r="O2561">
        <v>2023</v>
      </c>
      <c r="P2561">
        <v>2956.9457561336731</v>
      </c>
      <c r="Q2561">
        <v>2.764334235731762</v>
      </c>
      <c r="R2561" t="s">
        <v>109</v>
      </c>
      <c r="S2561">
        <v>1069.6773631466911</v>
      </c>
      <c r="T2561">
        <v>4.1031652989449006</v>
      </c>
      <c r="U2561" t="s">
        <v>184</v>
      </c>
      <c r="V2561">
        <v>4.1031652989449006</v>
      </c>
      <c r="W2561">
        <v>9</v>
      </c>
      <c r="X2561">
        <v>22</v>
      </c>
      <c r="Y2561">
        <v>16</v>
      </c>
      <c r="Z2561">
        <v>6.1608679451578198E-2</v>
      </c>
      <c r="AA2561">
        <v>31.536000000000001</v>
      </c>
    </row>
    <row r="2562" spans="1:27" x14ac:dyDescent="0.25">
      <c r="A2562" t="s">
        <v>98</v>
      </c>
      <c r="B2562" t="s">
        <v>99</v>
      </c>
      <c r="C2562" t="s">
        <v>1367</v>
      </c>
      <c r="D2562" t="s">
        <v>1707</v>
      </c>
      <c r="E2562" t="s">
        <v>304</v>
      </c>
      <c r="F2562" t="s">
        <v>180</v>
      </c>
      <c r="G2562" t="s">
        <v>111</v>
      </c>
      <c r="H2562" t="s">
        <v>125</v>
      </c>
      <c r="I2562">
        <v>2016</v>
      </c>
      <c r="J2562" t="s">
        <v>313</v>
      </c>
      <c r="K2562" t="s">
        <v>127</v>
      </c>
      <c r="L2562" t="s">
        <v>2804</v>
      </c>
      <c r="M2562" t="s">
        <v>2808</v>
      </c>
      <c r="N2562">
        <v>1</v>
      </c>
      <c r="O2562">
        <v>2020</v>
      </c>
      <c r="P2562">
        <v>3109.3656404704602</v>
      </c>
      <c r="Q2562">
        <v>2.764334235731762</v>
      </c>
      <c r="R2562" t="s">
        <v>109</v>
      </c>
      <c r="S2562">
        <v>1124.8153715563139</v>
      </c>
      <c r="T2562">
        <v>4.484173505275499</v>
      </c>
      <c r="U2562" t="s">
        <v>184</v>
      </c>
      <c r="V2562">
        <v>4.484173505275499</v>
      </c>
      <c r="W2562">
        <v>9</v>
      </c>
      <c r="X2562">
        <v>22</v>
      </c>
      <c r="Y2562">
        <v>16</v>
      </c>
      <c r="Z2562">
        <v>6.1608679451578198E-2</v>
      </c>
      <c r="AA2562">
        <v>31.536000000000001</v>
      </c>
    </row>
    <row r="2563" spans="1:27" x14ac:dyDescent="0.25">
      <c r="A2563" t="s">
        <v>98</v>
      </c>
      <c r="B2563" t="s">
        <v>99</v>
      </c>
      <c r="C2563" t="s">
        <v>1367</v>
      </c>
      <c r="D2563" t="s">
        <v>1707</v>
      </c>
      <c r="E2563" t="s">
        <v>304</v>
      </c>
      <c r="F2563" t="s">
        <v>180</v>
      </c>
      <c r="G2563" t="s">
        <v>111</v>
      </c>
      <c r="H2563" t="s">
        <v>125</v>
      </c>
      <c r="I2563">
        <v>2023</v>
      </c>
      <c r="J2563" t="s">
        <v>315</v>
      </c>
      <c r="K2563" t="s">
        <v>127</v>
      </c>
      <c r="L2563" t="s">
        <v>2804</v>
      </c>
      <c r="M2563" t="s">
        <v>2809</v>
      </c>
      <c r="N2563">
        <v>1</v>
      </c>
      <c r="O2563">
        <v>2023</v>
      </c>
      <c r="P2563">
        <v>3139.8496173378171</v>
      </c>
      <c r="Q2563">
        <v>2.764334235731762</v>
      </c>
      <c r="R2563" t="s">
        <v>109</v>
      </c>
      <c r="S2563">
        <v>1135.8429732382381</v>
      </c>
      <c r="T2563">
        <v>4.6307151230949586</v>
      </c>
      <c r="U2563" t="s">
        <v>184</v>
      </c>
      <c r="V2563">
        <v>4.6307151230949586</v>
      </c>
      <c r="W2563">
        <v>9</v>
      </c>
      <c r="X2563">
        <v>22</v>
      </c>
      <c r="Y2563">
        <v>16</v>
      </c>
      <c r="Z2563">
        <v>6.1608679451578198E-2</v>
      </c>
      <c r="AA2563">
        <v>31.536000000000001</v>
      </c>
    </row>
    <row r="2564" spans="1:27" x14ac:dyDescent="0.25">
      <c r="A2564" t="s">
        <v>98</v>
      </c>
      <c r="B2564" t="s">
        <v>99</v>
      </c>
      <c r="C2564" t="s">
        <v>1367</v>
      </c>
      <c r="D2564" t="s">
        <v>1707</v>
      </c>
      <c r="E2564" t="s">
        <v>304</v>
      </c>
      <c r="F2564" t="s">
        <v>180</v>
      </c>
      <c r="G2564" t="s">
        <v>114</v>
      </c>
      <c r="H2564" t="s">
        <v>125</v>
      </c>
      <c r="I2564">
        <v>2016</v>
      </c>
      <c r="J2564" t="s">
        <v>317</v>
      </c>
      <c r="K2564" t="s">
        <v>127</v>
      </c>
      <c r="L2564" t="s">
        <v>2804</v>
      </c>
      <c r="M2564" t="s">
        <v>2810</v>
      </c>
      <c r="N2564">
        <v>1</v>
      </c>
      <c r="O2564">
        <v>2020</v>
      </c>
      <c r="P2564">
        <v>3017.9137098683868</v>
      </c>
      <c r="Q2564">
        <v>2.764334235731762</v>
      </c>
      <c r="R2564" t="s">
        <v>109</v>
      </c>
      <c r="S2564">
        <v>1091.73256651054</v>
      </c>
      <c r="T2564">
        <v>4.3962485345838216</v>
      </c>
      <c r="U2564" t="s">
        <v>184</v>
      </c>
      <c r="V2564">
        <v>4.3962485345838216</v>
      </c>
      <c r="W2564">
        <v>9</v>
      </c>
      <c r="X2564">
        <v>22</v>
      </c>
      <c r="Y2564">
        <v>16</v>
      </c>
      <c r="Z2564">
        <v>6.1608679451578198E-2</v>
      </c>
      <c r="AA2564">
        <v>31.536000000000001</v>
      </c>
    </row>
    <row r="2565" spans="1:27" x14ac:dyDescent="0.25">
      <c r="A2565" t="s">
        <v>98</v>
      </c>
      <c r="B2565" t="s">
        <v>99</v>
      </c>
      <c r="C2565" t="s">
        <v>1367</v>
      </c>
      <c r="D2565" t="s">
        <v>1707</v>
      </c>
      <c r="E2565" t="s">
        <v>304</v>
      </c>
      <c r="F2565" t="s">
        <v>180</v>
      </c>
      <c r="G2565" t="s">
        <v>114</v>
      </c>
      <c r="H2565" t="s">
        <v>125</v>
      </c>
      <c r="I2565">
        <v>2022</v>
      </c>
      <c r="J2565" t="s">
        <v>319</v>
      </c>
      <c r="K2565" t="s">
        <v>127</v>
      </c>
      <c r="L2565" t="s">
        <v>2804</v>
      </c>
      <c r="M2565" t="s">
        <v>2811</v>
      </c>
      <c r="N2565">
        <v>1</v>
      </c>
      <c r="O2565">
        <v>2022</v>
      </c>
      <c r="P2565">
        <v>3017.9137098683868</v>
      </c>
      <c r="Q2565">
        <v>2.764334235731762</v>
      </c>
      <c r="R2565" t="s">
        <v>109</v>
      </c>
      <c r="S2565">
        <v>1091.73256651054</v>
      </c>
      <c r="T2565">
        <v>4.3962485345838216</v>
      </c>
      <c r="U2565" t="s">
        <v>184</v>
      </c>
      <c r="V2565">
        <v>4.3962485345838216</v>
      </c>
      <c r="W2565">
        <v>9</v>
      </c>
      <c r="X2565">
        <v>22</v>
      </c>
      <c r="Y2565">
        <v>16</v>
      </c>
      <c r="Z2565">
        <v>6.1608679451578198E-2</v>
      </c>
      <c r="AA2565">
        <v>31.536000000000001</v>
      </c>
    </row>
    <row r="2566" spans="1:27" x14ac:dyDescent="0.25">
      <c r="A2566" t="s">
        <v>98</v>
      </c>
      <c r="B2566" t="s">
        <v>99</v>
      </c>
      <c r="C2566" t="s">
        <v>1367</v>
      </c>
      <c r="D2566" t="s">
        <v>1707</v>
      </c>
      <c r="E2566" t="s">
        <v>304</v>
      </c>
      <c r="F2566" t="s">
        <v>180</v>
      </c>
      <c r="G2566" t="s">
        <v>114</v>
      </c>
      <c r="H2566" t="s">
        <v>125</v>
      </c>
      <c r="I2566">
        <v>2023</v>
      </c>
      <c r="J2566" t="s">
        <v>321</v>
      </c>
      <c r="K2566" t="s">
        <v>127</v>
      </c>
      <c r="L2566" t="s">
        <v>2804</v>
      </c>
      <c r="M2566" t="s">
        <v>2812</v>
      </c>
      <c r="N2566">
        <v>1</v>
      </c>
      <c r="O2566">
        <v>2023</v>
      </c>
      <c r="P2566">
        <v>3266.447780092843</v>
      </c>
      <c r="Q2566">
        <v>2.764334235731762</v>
      </c>
      <c r="R2566" t="s">
        <v>109</v>
      </c>
      <c r="S2566">
        <v>1181.639954340819</v>
      </c>
      <c r="T2566">
        <v>4.6893317702227444</v>
      </c>
      <c r="U2566" t="s">
        <v>184</v>
      </c>
      <c r="V2566">
        <v>4.6893317702227444</v>
      </c>
      <c r="W2566">
        <v>9</v>
      </c>
      <c r="X2566">
        <v>22</v>
      </c>
      <c r="Y2566">
        <v>16</v>
      </c>
      <c r="Z2566">
        <v>6.1608679451578198E-2</v>
      </c>
      <c r="AA2566">
        <v>31.536000000000001</v>
      </c>
    </row>
    <row r="2567" spans="1:27" x14ac:dyDescent="0.25">
      <c r="A2567" t="s">
        <v>98</v>
      </c>
      <c r="B2567" t="s">
        <v>99</v>
      </c>
      <c r="C2567" t="s">
        <v>1367</v>
      </c>
      <c r="D2567" t="s">
        <v>1707</v>
      </c>
      <c r="E2567" t="s">
        <v>304</v>
      </c>
      <c r="F2567" t="s">
        <v>180</v>
      </c>
      <c r="G2567" t="s">
        <v>119</v>
      </c>
      <c r="H2567" t="s">
        <v>125</v>
      </c>
      <c r="I2567">
        <v>2016</v>
      </c>
      <c r="J2567" t="s">
        <v>323</v>
      </c>
      <c r="K2567" t="s">
        <v>127</v>
      </c>
      <c r="L2567" t="s">
        <v>2804</v>
      </c>
      <c r="M2567" t="s">
        <v>2813</v>
      </c>
      <c r="N2567">
        <v>1</v>
      </c>
      <c r="O2567">
        <v>2020</v>
      </c>
      <c r="P2567">
        <v>3719.0451778176089</v>
      </c>
      <c r="Q2567">
        <v>2.764334235731762</v>
      </c>
      <c r="R2567" t="s">
        <v>109</v>
      </c>
      <c r="S2567">
        <v>1345.3674051948069</v>
      </c>
      <c r="T2567">
        <v>5.5685814771395066</v>
      </c>
      <c r="U2567" t="s">
        <v>184</v>
      </c>
      <c r="V2567">
        <v>5.5685814771395066</v>
      </c>
      <c r="W2567">
        <v>9</v>
      </c>
      <c r="X2567">
        <v>22</v>
      </c>
      <c r="Y2567">
        <v>16</v>
      </c>
      <c r="Z2567">
        <v>6.1608679451578198E-2</v>
      </c>
      <c r="AA2567">
        <v>31.536000000000001</v>
      </c>
    </row>
    <row r="2568" spans="1:27" x14ac:dyDescent="0.25">
      <c r="A2568" t="s">
        <v>98</v>
      </c>
      <c r="B2568" t="s">
        <v>99</v>
      </c>
      <c r="C2568" t="s">
        <v>1367</v>
      </c>
      <c r="D2568" t="s">
        <v>1707</v>
      </c>
      <c r="E2568" t="s">
        <v>304</v>
      </c>
      <c r="F2568" t="s">
        <v>180</v>
      </c>
      <c r="G2568" t="s">
        <v>119</v>
      </c>
      <c r="H2568" t="s">
        <v>125</v>
      </c>
      <c r="I2568">
        <v>2022</v>
      </c>
      <c r="J2568" t="s">
        <v>325</v>
      </c>
      <c r="K2568" t="s">
        <v>127</v>
      </c>
      <c r="L2568" t="s">
        <v>2804</v>
      </c>
      <c r="M2568" t="s">
        <v>2814</v>
      </c>
      <c r="N2568">
        <v>1</v>
      </c>
      <c r="O2568">
        <v>2022</v>
      </c>
      <c r="P2568">
        <v>3914.784397702746</v>
      </c>
      <c r="Q2568">
        <v>2.764334235731762</v>
      </c>
      <c r="R2568" t="s">
        <v>109</v>
      </c>
      <c r="S2568">
        <v>1416.1762159945331</v>
      </c>
      <c r="T2568">
        <v>5.8616647127784294</v>
      </c>
      <c r="U2568" t="s">
        <v>184</v>
      </c>
      <c r="V2568">
        <v>5.8616647127784294</v>
      </c>
      <c r="W2568">
        <v>9</v>
      </c>
      <c r="X2568">
        <v>22</v>
      </c>
      <c r="Y2568">
        <v>16</v>
      </c>
      <c r="Z2568">
        <v>6.1608679451578198E-2</v>
      </c>
      <c r="AA2568">
        <v>31.536000000000001</v>
      </c>
    </row>
    <row r="2569" spans="1:27" x14ac:dyDescent="0.25">
      <c r="A2569" t="s">
        <v>98</v>
      </c>
      <c r="B2569" t="s">
        <v>99</v>
      </c>
      <c r="C2569" t="s">
        <v>1367</v>
      </c>
      <c r="D2569" t="s">
        <v>1707</v>
      </c>
      <c r="E2569" t="s">
        <v>304</v>
      </c>
      <c r="F2569" t="s">
        <v>201</v>
      </c>
      <c r="G2569" t="s">
        <v>103</v>
      </c>
      <c r="H2569" t="s">
        <v>125</v>
      </c>
      <c r="I2569">
        <v>2016</v>
      </c>
      <c r="J2569" t="s">
        <v>327</v>
      </c>
      <c r="K2569" t="s">
        <v>127</v>
      </c>
      <c r="L2569" t="s">
        <v>2804</v>
      </c>
      <c r="M2569" t="s">
        <v>2815</v>
      </c>
      <c r="N2569">
        <v>1</v>
      </c>
      <c r="O2569">
        <v>2020</v>
      </c>
      <c r="P2569">
        <v>9511.0007826155233</v>
      </c>
      <c r="Q2569">
        <v>2.764334235731762</v>
      </c>
      <c r="R2569" t="s">
        <v>109</v>
      </c>
      <c r="S2569">
        <v>3440.6117247604889</v>
      </c>
      <c r="T2569">
        <v>14.1</v>
      </c>
      <c r="U2569" t="s">
        <v>329</v>
      </c>
      <c r="V2569">
        <v>4.1348973607038122</v>
      </c>
      <c r="W2569">
        <v>8</v>
      </c>
      <c r="X2569">
        <v>20.8</v>
      </c>
      <c r="Y2569">
        <v>15</v>
      </c>
      <c r="Z2569">
        <v>6.1608679451578198E-2</v>
      </c>
      <c r="AA2569">
        <v>31.536000000000001</v>
      </c>
    </row>
    <row r="2570" spans="1:27" x14ac:dyDescent="0.25">
      <c r="A2570" t="s">
        <v>98</v>
      </c>
      <c r="B2570" t="s">
        <v>99</v>
      </c>
      <c r="C2570" t="s">
        <v>1367</v>
      </c>
      <c r="D2570" t="s">
        <v>1707</v>
      </c>
      <c r="E2570" t="s">
        <v>304</v>
      </c>
      <c r="F2570" t="s">
        <v>201</v>
      </c>
      <c r="G2570" t="s">
        <v>111</v>
      </c>
      <c r="H2570" t="s">
        <v>125</v>
      </c>
      <c r="I2570">
        <v>2016</v>
      </c>
      <c r="J2570" t="s">
        <v>330</v>
      </c>
      <c r="K2570" t="s">
        <v>127</v>
      </c>
      <c r="L2570" t="s">
        <v>2804</v>
      </c>
      <c r="M2570" t="s">
        <v>2816</v>
      </c>
      <c r="N2570">
        <v>1</v>
      </c>
      <c r="O2570">
        <v>2020</v>
      </c>
      <c r="P2570">
        <v>9846.3245281564559</v>
      </c>
      <c r="Q2570">
        <v>2.764334235731762</v>
      </c>
      <c r="R2570" t="s">
        <v>109</v>
      </c>
      <c r="S2570">
        <v>3561.9153432616599</v>
      </c>
      <c r="T2570">
        <v>17.3</v>
      </c>
      <c r="U2570" t="s">
        <v>329</v>
      </c>
      <c r="V2570">
        <v>5.0733137829912023</v>
      </c>
      <c r="W2570">
        <v>8</v>
      </c>
      <c r="X2570">
        <v>20.8</v>
      </c>
      <c r="Y2570">
        <v>15</v>
      </c>
      <c r="Z2570">
        <v>6.1608679451578198E-2</v>
      </c>
      <c r="AA2570">
        <v>31.536000000000001</v>
      </c>
    </row>
    <row r="2571" spans="1:27" x14ac:dyDescent="0.25">
      <c r="A2571" t="s">
        <v>98</v>
      </c>
      <c r="B2571" t="s">
        <v>99</v>
      </c>
      <c r="C2571" t="s">
        <v>1367</v>
      </c>
      <c r="D2571" t="s">
        <v>1707</v>
      </c>
      <c r="E2571" t="s">
        <v>304</v>
      </c>
      <c r="F2571" t="s">
        <v>201</v>
      </c>
      <c r="G2571" t="s">
        <v>114</v>
      </c>
      <c r="H2571" t="s">
        <v>125</v>
      </c>
      <c r="I2571">
        <v>2016</v>
      </c>
      <c r="J2571" t="s">
        <v>332</v>
      </c>
      <c r="K2571" t="s">
        <v>127</v>
      </c>
      <c r="L2571" t="s">
        <v>2804</v>
      </c>
      <c r="M2571" t="s">
        <v>2817</v>
      </c>
      <c r="N2571">
        <v>0</v>
      </c>
      <c r="O2571">
        <v>2020</v>
      </c>
      <c r="P2571">
        <v>9846.3245281564559</v>
      </c>
      <c r="Q2571">
        <v>2.764334235731762</v>
      </c>
      <c r="R2571" t="s">
        <v>109</v>
      </c>
      <c r="S2571">
        <v>3561.9153432616599</v>
      </c>
      <c r="T2571">
        <v>17.100000000000001</v>
      </c>
      <c r="U2571" t="s">
        <v>329</v>
      </c>
      <c r="V2571">
        <v>5.0146627565982396</v>
      </c>
      <c r="W2571">
        <v>8</v>
      </c>
      <c r="X2571">
        <v>20.8</v>
      </c>
      <c r="Y2571">
        <v>15</v>
      </c>
      <c r="Z2571">
        <v>6.1608679451578198E-2</v>
      </c>
      <c r="AA2571">
        <v>31.536000000000001</v>
      </c>
    </row>
    <row r="2572" spans="1:27" x14ac:dyDescent="0.25">
      <c r="A2572" t="s">
        <v>98</v>
      </c>
      <c r="B2572" t="s">
        <v>99</v>
      </c>
      <c r="C2572" t="s">
        <v>1367</v>
      </c>
      <c r="D2572" t="s">
        <v>1707</v>
      </c>
      <c r="E2572" t="s">
        <v>304</v>
      </c>
      <c r="F2572" t="s">
        <v>201</v>
      </c>
      <c r="G2572" t="s">
        <v>114</v>
      </c>
      <c r="H2572" t="s">
        <v>125</v>
      </c>
      <c r="I2572">
        <v>2020</v>
      </c>
      <c r="J2572" t="s">
        <v>334</v>
      </c>
      <c r="K2572" t="s">
        <v>127</v>
      </c>
      <c r="L2572" t="s">
        <v>2804</v>
      </c>
      <c r="M2572" t="s">
        <v>2817</v>
      </c>
      <c r="N2572">
        <v>1</v>
      </c>
      <c r="O2572">
        <v>2020</v>
      </c>
      <c r="P2572">
        <v>9846.3245281564559</v>
      </c>
      <c r="Q2572">
        <v>2.764334235731762</v>
      </c>
      <c r="R2572" t="s">
        <v>109</v>
      </c>
      <c r="S2572">
        <v>3561.9153432616599</v>
      </c>
      <c r="T2572">
        <v>17.100000000000001</v>
      </c>
      <c r="U2572" t="s">
        <v>329</v>
      </c>
      <c r="V2572">
        <v>5.0146627565982396</v>
      </c>
      <c r="W2572">
        <v>8</v>
      </c>
      <c r="X2572">
        <v>20.8</v>
      </c>
      <c r="Y2572">
        <v>15</v>
      </c>
      <c r="Z2572">
        <v>6.1608679451578198E-2</v>
      </c>
      <c r="AA2572">
        <v>31.536000000000001</v>
      </c>
    </row>
    <row r="2573" spans="1:27" x14ac:dyDescent="0.25">
      <c r="A2573" t="s">
        <v>98</v>
      </c>
      <c r="B2573" t="s">
        <v>99</v>
      </c>
      <c r="C2573" t="s">
        <v>1367</v>
      </c>
      <c r="D2573" t="s">
        <v>1707</v>
      </c>
      <c r="E2573" t="s">
        <v>304</v>
      </c>
      <c r="F2573" t="s">
        <v>201</v>
      </c>
      <c r="G2573" t="s">
        <v>114</v>
      </c>
      <c r="H2573" t="s">
        <v>125</v>
      </c>
      <c r="I2573">
        <v>2022</v>
      </c>
      <c r="J2573" t="s">
        <v>335</v>
      </c>
      <c r="K2573" t="s">
        <v>127</v>
      </c>
      <c r="L2573" t="s">
        <v>2804</v>
      </c>
      <c r="M2573" t="s">
        <v>2818</v>
      </c>
      <c r="N2573">
        <v>1</v>
      </c>
      <c r="O2573">
        <v>2022</v>
      </c>
      <c r="P2573">
        <v>9846.3245281564559</v>
      </c>
      <c r="Q2573">
        <v>2.764334235731762</v>
      </c>
      <c r="R2573" t="s">
        <v>109</v>
      </c>
      <c r="S2573">
        <v>3561.9153432616599</v>
      </c>
      <c r="T2573">
        <v>17.100000000000001</v>
      </c>
      <c r="U2573" t="s">
        <v>329</v>
      </c>
      <c r="V2573">
        <v>5.0146627565982396</v>
      </c>
      <c r="W2573">
        <v>8</v>
      </c>
      <c r="X2573">
        <v>20.8</v>
      </c>
      <c r="Y2573">
        <v>15</v>
      </c>
      <c r="Z2573">
        <v>6.1608679451578198E-2</v>
      </c>
      <c r="AA2573">
        <v>31.536000000000001</v>
      </c>
    </row>
    <row r="2574" spans="1:27" x14ac:dyDescent="0.25">
      <c r="A2574" t="s">
        <v>98</v>
      </c>
      <c r="B2574" t="s">
        <v>99</v>
      </c>
      <c r="C2574" t="s">
        <v>1367</v>
      </c>
      <c r="D2574" t="s">
        <v>1707</v>
      </c>
      <c r="E2574" t="s">
        <v>304</v>
      </c>
      <c r="F2574" t="s">
        <v>201</v>
      </c>
      <c r="G2574" t="s">
        <v>114</v>
      </c>
      <c r="H2574" t="s">
        <v>125</v>
      </c>
      <c r="I2574">
        <v>2023</v>
      </c>
      <c r="J2574" t="s">
        <v>337</v>
      </c>
      <c r="K2574" t="s">
        <v>127</v>
      </c>
      <c r="L2574" t="s">
        <v>2804</v>
      </c>
      <c r="M2574" t="s">
        <v>2819</v>
      </c>
      <c r="N2574">
        <v>1</v>
      </c>
      <c r="O2574">
        <v>2023</v>
      </c>
      <c r="P2574">
        <v>9846.3245281564559</v>
      </c>
      <c r="Q2574">
        <v>2.764334235731762</v>
      </c>
      <c r="R2574" t="s">
        <v>109</v>
      </c>
      <c r="S2574">
        <v>3561.9153432616599</v>
      </c>
      <c r="T2574">
        <v>17.100000000000001</v>
      </c>
      <c r="U2574" t="s">
        <v>329</v>
      </c>
      <c r="V2574">
        <v>5.0146627565982396</v>
      </c>
      <c r="W2574">
        <v>8</v>
      </c>
      <c r="X2574">
        <v>20.8</v>
      </c>
      <c r="Y2574">
        <v>15</v>
      </c>
      <c r="Z2574">
        <v>6.1608679451578198E-2</v>
      </c>
      <c r="AA2574">
        <v>31.536000000000001</v>
      </c>
    </row>
    <row r="2575" spans="1:27" x14ac:dyDescent="0.25">
      <c r="A2575" t="s">
        <v>98</v>
      </c>
      <c r="B2575" t="s">
        <v>99</v>
      </c>
      <c r="C2575" t="s">
        <v>1367</v>
      </c>
      <c r="D2575" t="s">
        <v>1707</v>
      </c>
      <c r="E2575" t="s">
        <v>304</v>
      </c>
      <c r="F2575" t="s">
        <v>201</v>
      </c>
      <c r="G2575" t="s">
        <v>114</v>
      </c>
      <c r="H2575" t="s">
        <v>125</v>
      </c>
      <c r="I2575">
        <v>2024</v>
      </c>
      <c r="J2575" t="s">
        <v>339</v>
      </c>
      <c r="K2575" t="s">
        <v>127</v>
      </c>
      <c r="L2575" t="s">
        <v>2804</v>
      </c>
      <c r="M2575" t="s">
        <v>2820</v>
      </c>
      <c r="N2575">
        <v>1</v>
      </c>
      <c r="O2575">
        <v>2024</v>
      </c>
      <c r="P2575">
        <v>9846.3245281564559</v>
      </c>
      <c r="Q2575">
        <v>2.764334235731762</v>
      </c>
      <c r="R2575" t="s">
        <v>109</v>
      </c>
      <c r="S2575">
        <v>3561.9153432616599</v>
      </c>
      <c r="T2575">
        <v>17.100000000000001</v>
      </c>
      <c r="U2575" t="s">
        <v>329</v>
      </c>
      <c r="V2575">
        <v>5.0146627565982396</v>
      </c>
      <c r="W2575">
        <v>8</v>
      </c>
      <c r="X2575">
        <v>20.8</v>
      </c>
      <c r="Y2575">
        <v>15</v>
      </c>
      <c r="Z2575">
        <v>6.1608679451578198E-2</v>
      </c>
      <c r="AA2575">
        <v>31.536000000000001</v>
      </c>
    </row>
    <row r="2576" spans="1:27" x14ac:dyDescent="0.25">
      <c r="A2576" t="s">
        <v>98</v>
      </c>
      <c r="B2576" t="s">
        <v>99</v>
      </c>
      <c r="C2576" t="s">
        <v>1367</v>
      </c>
      <c r="D2576" t="s">
        <v>1707</v>
      </c>
      <c r="E2576" t="s">
        <v>304</v>
      </c>
      <c r="F2576" t="s">
        <v>201</v>
      </c>
      <c r="G2576" t="s">
        <v>119</v>
      </c>
      <c r="H2576" t="s">
        <v>125</v>
      </c>
      <c r="I2576">
        <v>2016</v>
      </c>
      <c r="J2576" t="s">
        <v>341</v>
      </c>
      <c r="K2576" t="s">
        <v>127</v>
      </c>
      <c r="L2576" t="s">
        <v>2804</v>
      </c>
      <c r="M2576" t="s">
        <v>2821</v>
      </c>
      <c r="N2576">
        <v>0</v>
      </c>
      <c r="O2576">
        <v>2020</v>
      </c>
      <c r="P2576">
        <v>10395.03611176889</v>
      </c>
      <c r="Q2576">
        <v>2.764334235731762</v>
      </c>
      <c r="R2576" t="s">
        <v>109</v>
      </c>
      <c r="S2576">
        <v>3760.4121735363042</v>
      </c>
      <c r="T2576">
        <v>22.4</v>
      </c>
      <c r="U2576" t="s">
        <v>329</v>
      </c>
      <c r="V2576">
        <v>6.5689149560117297</v>
      </c>
      <c r="W2576">
        <v>8</v>
      </c>
      <c r="X2576">
        <v>20.8</v>
      </c>
      <c r="Y2576">
        <v>15</v>
      </c>
      <c r="Z2576">
        <v>6.1608679451578198E-2</v>
      </c>
      <c r="AA2576">
        <v>31.536000000000001</v>
      </c>
    </row>
    <row r="2577" spans="1:27" x14ac:dyDescent="0.25">
      <c r="A2577" t="s">
        <v>98</v>
      </c>
      <c r="B2577" t="s">
        <v>99</v>
      </c>
      <c r="C2577" t="s">
        <v>1367</v>
      </c>
      <c r="D2577" t="s">
        <v>1707</v>
      </c>
      <c r="E2577" t="s">
        <v>304</v>
      </c>
      <c r="F2577" t="s">
        <v>201</v>
      </c>
      <c r="G2577" t="s">
        <v>119</v>
      </c>
      <c r="H2577" t="s">
        <v>125</v>
      </c>
      <c r="I2577">
        <v>2020</v>
      </c>
      <c r="J2577" t="s">
        <v>343</v>
      </c>
      <c r="K2577" t="s">
        <v>127</v>
      </c>
      <c r="L2577" t="s">
        <v>2804</v>
      </c>
      <c r="M2577" t="s">
        <v>2821</v>
      </c>
      <c r="N2577">
        <v>1</v>
      </c>
      <c r="O2577">
        <v>2020</v>
      </c>
      <c r="P2577">
        <v>10395.03611176889</v>
      </c>
      <c r="Q2577">
        <v>2.764334235731762</v>
      </c>
      <c r="R2577" t="s">
        <v>109</v>
      </c>
      <c r="S2577">
        <v>3760.4121735363042</v>
      </c>
      <c r="T2577">
        <v>22.4</v>
      </c>
      <c r="U2577" t="s">
        <v>329</v>
      </c>
      <c r="V2577">
        <v>6.5689149560117297</v>
      </c>
      <c r="W2577">
        <v>8</v>
      </c>
      <c r="X2577">
        <v>20.8</v>
      </c>
      <c r="Y2577">
        <v>15</v>
      </c>
      <c r="Z2577">
        <v>6.1608679451578198E-2</v>
      </c>
      <c r="AA2577">
        <v>31.536000000000001</v>
      </c>
    </row>
    <row r="2578" spans="1:27" x14ac:dyDescent="0.25">
      <c r="A2578" t="s">
        <v>98</v>
      </c>
      <c r="B2578" t="s">
        <v>99</v>
      </c>
      <c r="C2578" t="s">
        <v>1367</v>
      </c>
      <c r="D2578" t="s">
        <v>1707</v>
      </c>
      <c r="E2578" t="s">
        <v>304</v>
      </c>
      <c r="F2578" t="s">
        <v>201</v>
      </c>
      <c r="G2578" t="s">
        <v>119</v>
      </c>
      <c r="H2578" t="s">
        <v>125</v>
      </c>
      <c r="I2578">
        <v>2022</v>
      </c>
      <c r="J2578" t="s">
        <v>344</v>
      </c>
      <c r="K2578" t="s">
        <v>127</v>
      </c>
      <c r="L2578" t="s">
        <v>2804</v>
      </c>
      <c r="M2578" t="s">
        <v>2822</v>
      </c>
      <c r="N2578">
        <v>1</v>
      </c>
      <c r="O2578">
        <v>2022</v>
      </c>
      <c r="P2578">
        <v>10395.03611176889</v>
      </c>
      <c r="Q2578">
        <v>2.764334235731762</v>
      </c>
      <c r="R2578" t="s">
        <v>109</v>
      </c>
      <c r="S2578">
        <v>3760.4121735363042</v>
      </c>
      <c r="T2578">
        <v>22.4</v>
      </c>
      <c r="U2578" t="s">
        <v>329</v>
      </c>
      <c r="V2578">
        <v>6.5689149560117297</v>
      </c>
      <c r="W2578">
        <v>8</v>
      </c>
      <c r="X2578">
        <v>20.8</v>
      </c>
      <c r="Y2578">
        <v>15</v>
      </c>
      <c r="Z2578">
        <v>6.1608679451578198E-2</v>
      </c>
      <c r="AA2578">
        <v>31.536000000000001</v>
      </c>
    </row>
    <row r="2579" spans="1:27" x14ac:dyDescent="0.25">
      <c r="A2579" t="s">
        <v>98</v>
      </c>
      <c r="B2579" t="s">
        <v>99</v>
      </c>
      <c r="C2579" t="s">
        <v>1367</v>
      </c>
      <c r="D2579" t="s">
        <v>1707</v>
      </c>
      <c r="E2579" t="s">
        <v>304</v>
      </c>
      <c r="F2579" t="s">
        <v>201</v>
      </c>
      <c r="G2579" t="s">
        <v>119</v>
      </c>
      <c r="H2579" t="s">
        <v>125</v>
      </c>
      <c r="I2579">
        <v>2023</v>
      </c>
      <c r="J2579" t="s">
        <v>346</v>
      </c>
      <c r="K2579" t="s">
        <v>127</v>
      </c>
      <c r="L2579" t="s">
        <v>2804</v>
      </c>
      <c r="M2579" t="s">
        <v>2823</v>
      </c>
      <c r="N2579">
        <v>1</v>
      </c>
      <c r="O2579">
        <v>2023</v>
      </c>
      <c r="P2579">
        <v>10395.03611176889</v>
      </c>
      <c r="Q2579">
        <v>2.764334235731762</v>
      </c>
      <c r="R2579" t="s">
        <v>109</v>
      </c>
      <c r="S2579">
        <v>3760.4121735363042</v>
      </c>
      <c r="T2579">
        <v>22.4</v>
      </c>
      <c r="U2579" t="s">
        <v>329</v>
      </c>
      <c r="V2579">
        <v>6.5689149560117297</v>
      </c>
      <c r="W2579">
        <v>8</v>
      </c>
      <c r="X2579">
        <v>20.8</v>
      </c>
      <c r="Y2579">
        <v>15</v>
      </c>
      <c r="Z2579">
        <v>6.1608679451578198E-2</v>
      </c>
      <c r="AA2579">
        <v>31.536000000000001</v>
      </c>
    </row>
    <row r="2580" spans="1:27" x14ac:dyDescent="0.25">
      <c r="A2580" t="s">
        <v>98</v>
      </c>
      <c r="B2580" t="s">
        <v>99</v>
      </c>
      <c r="C2580" t="s">
        <v>1367</v>
      </c>
      <c r="D2580" t="s">
        <v>1707</v>
      </c>
      <c r="E2580" t="s">
        <v>304</v>
      </c>
      <c r="F2580" t="s">
        <v>201</v>
      </c>
      <c r="G2580" t="s">
        <v>119</v>
      </c>
      <c r="H2580" t="s">
        <v>125</v>
      </c>
      <c r="I2580">
        <v>2024</v>
      </c>
      <c r="J2580" t="s">
        <v>348</v>
      </c>
      <c r="K2580" t="s">
        <v>127</v>
      </c>
      <c r="L2580" t="s">
        <v>2804</v>
      </c>
      <c r="M2580" t="s">
        <v>2824</v>
      </c>
      <c r="N2580">
        <v>1</v>
      </c>
      <c r="O2580">
        <v>2024</v>
      </c>
      <c r="P2580">
        <v>10395.03611176889</v>
      </c>
      <c r="Q2580">
        <v>2.764334235731762</v>
      </c>
      <c r="R2580" t="s">
        <v>109</v>
      </c>
      <c r="S2580">
        <v>3760.4121735363042</v>
      </c>
      <c r="T2580">
        <v>22.4</v>
      </c>
      <c r="U2580" t="s">
        <v>329</v>
      </c>
      <c r="V2580">
        <v>6.5689149560117297</v>
      </c>
      <c r="W2580">
        <v>8</v>
      </c>
      <c r="X2580">
        <v>20.8</v>
      </c>
      <c r="Y2580">
        <v>15</v>
      </c>
      <c r="Z2580">
        <v>6.1608679451578198E-2</v>
      </c>
      <c r="AA2580">
        <v>31.536000000000001</v>
      </c>
    </row>
    <row r="2581" spans="1:27" x14ac:dyDescent="0.25">
      <c r="A2581" t="s">
        <v>98</v>
      </c>
      <c r="B2581" t="s">
        <v>99</v>
      </c>
      <c r="C2581" t="s">
        <v>1367</v>
      </c>
      <c r="D2581" t="s">
        <v>1707</v>
      </c>
      <c r="E2581" t="s">
        <v>304</v>
      </c>
      <c r="F2581" t="s">
        <v>350</v>
      </c>
      <c r="G2581" t="s">
        <v>103</v>
      </c>
      <c r="H2581" t="s">
        <v>125</v>
      </c>
      <c r="I2581">
        <v>2016</v>
      </c>
      <c r="J2581" t="s">
        <v>351</v>
      </c>
      <c r="K2581" t="s">
        <v>127</v>
      </c>
      <c r="L2581" t="s">
        <v>2804</v>
      </c>
      <c r="M2581" t="s">
        <v>2825</v>
      </c>
      <c r="N2581">
        <v>1</v>
      </c>
      <c r="O2581">
        <v>2020</v>
      </c>
      <c r="P2581">
        <v>756.00262631046473</v>
      </c>
      <c r="Q2581">
        <v>2.764334235731762</v>
      </c>
      <c r="R2581" t="s">
        <v>109</v>
      </c>
      <c r="S2581">
        <v>273.48452171173119</v>
      </c>
      <c r="T2581">
        <v>3.1946072684642441</v>
      </c>
      <c r="U2581" t="s">
        <v>184</v>
      </c>
      <c r="V2581">
        <v>3.1946072684642441</v>
      </c>
      <c r="W2581">
        <v>6</v>
      </c>
      <c r="X2581">
        <v>13</v>
      </c>
      <c r="Y2581">
        <v>10</v>
      </c>
      <c r="Z2581">
        <v>6.1608679451578198E-2</v>
      </c>
      <c r="AA2581">
        <v>31.536000000000001</v>
      </c>
    </row>
    <row r="2582" spans="1:27" x14ac:dyDescent="0.25">
      <c r="A2582" t="s">
        <v>98</v>
      </c>
      <c r="B2582" t="s">
        <v>99</v>
      </c>
      <c r="C2582" t="s">
        <v>1367</v>
      </c>
      <c r="D2582" t="s">
        <v>1707</v>
      </c>
      <c r="E2582" t="s">
        <v>304</v>
      </c>
      <c r="F2582" t="s">
        <v>350</v>
      </c>
      <c r="G2582" t="s">
        <v>111</v>
      </c>
      <c r="H2582" t="s">
        <v>125</v>
      </c>
      <c r="I2582">
        <v>2016</v>
      </c>
      <c r="J2582" t="s">
        <v>353</v>
      </c>
      <c r="K2582" t="s">
        <v>127</v>
      </c>
      <c r="L2582" t="s">
        <v>2804</v>
      </c>
      <c r="M2582" t="s">
        <v>2826</v>
      </c>
      <c r="N2582">
        <v>1</v>
      </c>
      <c r="O2582">
        <v>2020</v>
      </c>
      <c r="P2582">
        <v>780.38980780435065</v>
      </c>
      <c r="Q2582">
        <v>2.764334235731762</v>
      </c>
      <c r="R2582" t="s">
        <v>109</v>
      </c>
      <c r="S2582">
        <v>282.30660305727088</v>
      </c>
      <c r="T2582">
        <v>3.5169988276670581</v>
      </c>
      <c r="U2582" t="s">
        <v>184</v>
      </c>
      <c r="V2582">
        <v>3.5169988276670581</v>
      </c>
      <c r="W2582">
        <v>6</v>
      </c>
      <c r="X2582">
        <v>13</v>
      </c>
      <c r="Y2582">
        <v>10</v>
      </c>
      <c r="Z2582">
        <v>6.1608679451578198E-2</v>
      </c>
      <c r="AA2582">
        <v>31.536000000000001</v>
      </c>
    </row>
    <row r="2583" spans="1:27" x14ac:dyDescent="0.25">
      <c r="A2583" t="s">
        <v>98</v>
      </c>
      <c r="B2583" t="s">
        <v>99</v>
      </c>
      <c r="C2583" t="s">
        <v>1367</v>
      </c>
      <c r="D2583" t="s">
        <v>1707</v>
      </c>
      <c r="E2583" t="s">
        <v>304</v>
      </c>
      <c r="F2583" t="s">
        <v>350</v>
      </c>
      <c r="G2583" t="s">
        <v>111</v>
      </c>
      <c r="H2583" t="s">
        <v>125</v>
      </c>
      <c r="I2583">
        <v>2030</v>
      </c>
      <c r="J2583" t="s">
        <v>355</v>
      </c>
      <c r="K2583" t="s">
        <v>127</v>
      </c>
      <c r="L2583" t="s">
        <v>2804</v>
      </c>
      <c r="M2583" t="s">
        <v>2827</v>
      </c>
      <c r="N2583">
        <v>1</v>
      </c>
      <c r="O2583">
        <v>2030</v>
      </c>
      <c r="P2583">
        <v>780.38980780435065</v>
      </c>
      <c r="Q2583">
        <v>2.764334235731762</v>
      </c>
      <c r="R2583" t="s">
        <v>109</v>
      </c>
      <c r="S2583">
        <v>282.30660305727088</v>
      </c>
      <c r="T2583">
        <v>3.5902696365767879</v>
      </c>
      <c r="U2583" t="s">
        <v>184</v>
      </c>
      <c r="V2583">
        <v>3.5902696365767879</v>
      </c>
      <c r="W2583">
        <v>6</v>
      </c>
      <c r="X2583">
        <v>13</v>
      </c>
      <c r="Y2583">
        <v>10</v>
      </c>
      <c r="Z2583">
        <v>6.1608679451578198E-2</v>
      </c>
      <c r="AA2583">
        <v>31.536000000000001</v>
      </c>
    </row>
    <row r="2584" spans="1:27" x14ac:dyDescent="0.25">
      <c r="A2584" t="s">
        <v>98</v>
      </c>
      <c r="B2584" t="s">
        <v>99</v>
      </c>
      <c r="C2584" t="s">
        <v>1367</v>
      </c>
      <c r="D2584" t="s">
        <v>1707</v>
      </c>
      <c r="E2584" t="s">
        <v>304</v>
      </c>
      <c r="F2584" t="s">
        <v>350</v>
      </c>
      <c r="G2584" t="s">
        <v>111</v>
      </c>
      <c r="H2584" t="s">
        <v>125</v>
      </c>
      <c r="I2584">
        <v>2040</v>
      </c>
      <c r="J2584" t="s">
        <v>357</v>
      </c>
      <c r="K2584" t="s">
        <v>127</v>
      </c>
      <c r="L2584" t="s">
        <v>2804</v>
      </c>
      <c r="M2584" t="s">
        <v>2828</v>
      </c>
      <c r="N2584">
        <v>1</v>
      </c>
      <c r="O2584">
        <v>2040</v>
      </c>
      <c r="P2584">
        <v>780.38980780435065</v>
      </c>
      <c r="Q2584">
        <v>2.764334235731762</v>
      </c>
      <c r="R2584" t="s">
        <v>109</v>
      </c>
      <c r="S2584">
        <v>282.30660305727088</v>
      </c>
      <c r="T2584">
        <v>3.6635404454865181</v>
      </c>
      <c r="U2584" t="s">
        <v>184</v>
      </c>
      <c r="V2584">
        <v>3.6635404454865181</v>
      </c>
      <c r="W2584">
        <v>6</v>
      </c>
      <c r="X2584">
        <v>13</v>
      </c>
      <c r="Y2584">
        <v>10</v>
      </c>
      <c r="Z2584">
        <v>6.1608679451578198E-2</v>
      </c>
      <c r="AA2584">
        <v>31.536000000000001</v>
      </c>
    </row>
    <row r="2585" spans="1:27" x14ac:dyDescent="0.25">
      <c r="A2585" t="s">
        <v>98</v>
      </c>
      <c r="B2585" t="s">
        <v>99</v>
      </c>
      <c r="C2585" t="s">
        <v>1367</v>
      </c>
      <c r="D2585" t="s">
        <v>1707</v>
      </c>
      <c r="E2585" t="s">
        <v>304</v>
      </c>
      <c r="F2585" t="s">
        <v>350</v>
      </c>
      <c r="G2585" t="s">
        <v>114</v>
      </c>
      <c r="H2585" t="s">
        <v>125</v>
      </c>
      <c r="I2585">
        <v>2016</v>
      </c>
      <c r="J2585" t="s">
        <v>359</v>
      </c>
      <c r="K2585" t="s">
        <v>127</v>
      </c>
      <c r="L2585" t="s">
        <v>2804</v>
      </c>
      <c r="M2585" t="s">
        <v>2829</v>
      </c>
      <c r="N2585">
        <v>1</v>
      </c>
      <c r="O2585">
        <v>2020</v>
      </c>
      <c r="P2585">
        <v>780.38980780435065</v>
      </c>
      <c r="Q2585">
        <v>2.764334235731762</v>
      </c>
      <c r="R2585" t="s">
        <v>109</v>
      </c>
      <c r="S2585">
        <v>282.30660305727088</v>
      </c>
      <c r="T2585">
        <v>3.5169988276670581</v>
      </c>
      <c r="U2585" t="s">
        <v>184</v>
      </c>
      <c r="V2585">
        <v>3.5169988276670581</v>
      </c>
      <c r="W2585">
        <v>6</v>
      </c>
      <c r="X2585">
        <v>13</v>
      </c>
      <c r="Y2585">
        <v>10</v>
      </c>
      <c r="Z2585">
        <v>6.1608679451578198E-2</v>
      </c>
      <c r="AA2585">
        <v>31.536000000000001</v>
      </c>
    </row>
    <row r="2586" spans="1:27" x14ac:dyDescent="0.25">
      <c r="A2586" t="s">
        <v>98</v>
      </c>
      <c r="B2586" t="s">
        <v>99</v>
      </c>
      <c r="C2586" t="s">
        <v>1367</v>
      </c>
      <c r="D2586" t="s">
        <v>1707</v>
      </c>
      <c r="E2586" t="s">
        <v>304</v>
      </c>
      <c r="F2586" t="s">
        <v>350</v>
      </c>
      <c r="G2586" t="s">
        <v>119</v>
      </c>
      <c r="H2586" t="s">
        <v>125</v>
      </c>
      <c r="I2586">
        <v>2016</v>
      </c>
      <c r="J2586" t="s">
        <v>361</v>
      </c>
      <c r="K2586" t="s">
        <v>127</v>
      </c>
      <c r="L2586" t="s">
        <v>2804</v>
      </c>
      <c r="M2586" t="s">
        <v>2830</v>
      </c>
      <c r="N2586">
        <v>1</v>
      </c>
      <c r="O2586">
        <v>2020</v>
      </c>
      <c r="P2586">
        <v>859.64814765948006</v>
      </c>
      <c r="Q2586">
        <v>2.764334235731762</v>
      </c>
      <c r="R2586" t="s">
        <v>109</v>
      </c>
      <c r="S2586">
        <v>310.97836743027489</v>
      </c>
      <c r="T2586">
        <v>3.6049237983587341</v>
      </c>
      <c r="U2586" t="s">
        <v>184</v>
      </c>
      <c r="V2586">
        <v>3.6049237983587341</v>
      </c>
      <c r="W2586">
        <v>6</v>
      </c>
      <c r="X2586">
        <v>13</v>
      </c>
      <c r="Y2586">
        <v>10</v>
      </c>
      <c r="Z2586">
        <v>6.1608679451578198E-2</v>
      </c>
      <c r="AA2586">
        <v>31.536000000000001</v>
      </c>
    </row>
    <row r="2587" spans="1:27" x14ac:dyDescent="0.25">
      <c r="A2587" t="s">
        <v>98</v>
      </c>
      <c r="B2587" t="s">
        <v>99</v>
      </c>
      <c r="C2587" t="s">
        <v>1367</v>
      </c>
      <c r="D2587" t="s">
        <v>1707</v>
      </c>
      <c r="E2587" t="s">
        <v>304</v>
      </c>
      <c r="F2587" t="s">
        <v>350</v>
      </c>
      <c r="G2587" t="s">
        <v>119</v>
      </c>
      <c r="H2587" t="s">
        <v>125</v>
      </c>
      <c r="I2587">
        <v>2022</v>
      </c>
      <c r="J2587" t="s">
        <v>363</v>
      </c>
      <c r="K2587" t="s">
        <v>127</v>
      </c>
      <c r="L2587" t="s">
        <v>2804</v>
      </c>
      <c r="M2587" t="s">
        <v>2831</v>
      </c>
      <c r="N2587">
        <v>1</v>
      </c>
      <c r="O2587">
        <v>2022</v>
      </c>
      <c r="P2587">
        <v>859.64814765948006</v>
      </c>
      <c r="Q2587">
        <v>2.764334235731762</v>
      </c>
      <c r="R2587" t="s">
        <v>109</v>
      </c>
      <c r="S2587">
        <v>310.97836743027489</v>
      </c>
      <c r="T2587">
        <v>3.6635404454865181</v>
      </c>
      <c r="U2587" t="s">
        <v>184</v>
      </c>
      <c r="V2587">
        <v>3.6635404454865181</v>
      </c>
      <c r="W2587">
        <v>6</v>
      </c>
      <c r="X2587">
        <v>13</v>
      </c>
      <c r="Y2587">
        <v>10</v>
      </c>
      <c r="Z2587">
        <v>6.1608679451578198E-2</v>
      </c>
      <c r="AA2587">
        <v>31.536000000000001</v>
      </c>
    </row>
    <row r="2588" spans="1:27" x14ac:dyDescent="0.25">
      <c r="A2588" t="s">
        <v>98</v>
      </c>
      <c r="B2588" t="s">
        <v>99</v>
      </c>
      <c r="C2588" t="s">
        <v>1367</v>
      </c>
      <c r="D2588" t="s">
        <v>1707</v>
      </c>
      <c r="E2588" t="s">
        <v>304</v>
      </c>
      <c r="F2588" t="s">
        <v>350</v>
      </c>
      <c r="G2588" t="s">
        <v>119</v>
      </c>
      <c r="H2588" t="s">
        <v>125</v>
      </c>
      <c r="I2588">
        <v>2030</v>
      </c>
      <c r="J2588" t="s">
        <v>365</v>
      </c>
      <c r="K2588" t="s">
        <v>127</v>
      </c>
      <c r="L2588" t="s">
        <v>2804</v>
      </c>
      <c r="M2588" t="s">
        <v>2832</v>
      </c>
      <c r="N2588">
        <v>1</v>
      </c>
      <c r="O2588">
        <v>2030</v>
      </c>
      <c r="P2588">
        <v>859.64814765948006</v>
      </c>
      <c r="Q2588">
        <v>2.764334235731762</v>
      </c>
      <c r="R2588" t="s">
        <v>109</v>
      </c>
      <c r="S2588">
        <v>310.97836743027489</v>
      </c>
      <c r="T2588">
        <v>3.8100820633059791</v>
      </c>
      <c r="U2588" t="s">
        <v>184</v>
      </c>
      <c r="V2588">
        <v>3.8100820633059791</v>
      </c>
      <c r="W2588">
        <v>6</v>
      </c>
      <c r="X2588">
        <v>13</v>
      </c>
      <c r="Y2588">
        <v>10</v>
      </c>
      <c r="Z2588">
        <v>6.1608679451578198E-2</v>
      </c>
      <c r="AA2588">
        <v>31.536000000000001</v>
      </c>
    </row>
    <row r="2589" spans="1:27" x14ac:dyDescent="0.25">
      <c r="A2589" t="s">
        <v>98</v>
      </c>
      <c r="B2589" t="s">
        <v>99</v>
      </c>
      <c r="C2589" t="s">
        <v>1367</v>
      </c>
      <c r="D2589" t="s">
        <v>1707</v>
      </c>
      <c r="E2589" t="s">
        <v>304</v>
      </c>
      <c r="F2589" t="s">
        <v>350</v>
      </c>
      <c r="G2589" t="s">
        <v>119</v>
      </c>
      <c r="H2589" t="s">
        <v>125</v>
      </c>
      <c r="I2589">
        <v>2040</v>
      </c>
      <c r="J2589" t="s">
        <v>367</v>
      </c>
      <c r="K2589" t="s">
        <v>127</v>
      </c>
      <c r="L2589" t="s">
        <v>2804</v>
      </c>
      <c r="M2589" t="s">
        <v>2833</v>
      </c>
      <c r="N2589">
        <v>1</v>
      </c>
      <c r="O2589">
        <v>2040</v>
      </c>
      <c r="P2589">
        <v>859.64814765948006</v>
      </c>
      <c r="Q2589">
        <v>2.764334235731762</v>
      </c>
      <c r="R2589" t="s">
        <v>109</v>
      </c>
      <c r="S2589">
        <v>310.97836743027489</v>
      </c>
      <c r="T2589">
        <v>3.9566236811254401</v>
      </c>
      <c r="U2589" t="s">
        <v>184</v>
      </c>
      <c r="V2589">
        <v>3.9566236811254401</v>
      </c>
      <c r="W2589">
        <v>6</v>
      </c>
      <c r="X2589">
        <v>13</v>
      </c>
      <c r="Y2589">
        <v>10</v>
      </c>
      <c r="Z2589">
        <v>6.1608679451578198E-2</v>
      </c>
      <c r="AA2589">
        <v>31.536000000000001</v>
      </c>
    </row>
    <row r="2590" spans="1:27" x14ac:dyDescent="0.25">
      <c r="A2590" t="s">
        <v>98</v>
      </c>
      <c r="B2590" t="s">
        <v>99</v>
      </c>
      <c r="C2590" t="s">
        <v>1367</v>
      </c>
      <c r="D2590" t="s">
        <v>1707</v>
      </c>
      <c r="E2590" t="s">
        <v>304</v>
      </c>
      <c r="F2590" t="s">
        <v>369</v>
      </c>
      <c r="G2590" t="s">
        <v>103</v>
      </c>
      <c r="H2590" t="s">
        <v>125</v>
      </c>
      <c r="I2590">
        <v>2016</v>
      </c>
      <c r="J2590" t="s">
        <v>370</v>
      </c>
      <c r="K2590" t="s">
        <v>127</v>
      </c>
      <c r="L2590" t="s">
        <v>2804</v>
      </c>
      <c r="M2590" t="s">
        <v>2834</v>
      </c>
      <c r="N2590">
        <v>1</v>
      </c>
      <c r="O2590">
        <v>2020</v>
      </c>
      <c r="P2590">
        <v>4328.724715164758</v>
      </c>
      <c r="Q2590">
        <v>2.764334235731762</v>
      </c>
      <c r="R2590" t="s">
        <v>109</v>
      </c>
      <c r="S2590">
        <v>1565.9194388333001</v>
      </c>
      <c r="T2590">
        <v>3.8100820633059791</v>
      </c>
      <c r="U2590" t="s">
        <v>184</v>
      </c>
      <c r="V2590">
        <v>3.8100820633059791</v>
      </c>
      <c r="W2590">
        <v>11</v>
      </c>
      <c r="X2590">
        <v>25</v>
      </c>
      <c r="Y2590">
        <v>19</v>
      </c>
      <c r="Z2590">
        <v>6.1608679451578198E-2</v>
      </c>
      <c r="AA2590">
        <v>31.536000000000001</v>
      </c>
    </row>
    <row r="2591" spans="1:27" x14ac:dyDescent="0.25">
      <c r="A2591" t="s">
        <v>98</v>
      </c>
      <c r="B2591" t="s">
        <v>99</v>
      </c>
      <c r="C2591" t="s">
        <v>1367</v>
      </c>
      <c r="D2591" t="s">
        <v>1707</v>
      </c>
      <c r="E2591" t="s">
        <v>304</v>
      </c>
      <c r="F2591" t="s">
        <v>369</v>
      </c>
      <c r="G2591" t="s">
        <v>103</v>
      </c>
      <c r="H2591" t="s">
        <v>125</v>
      </c>
      <c r="I2591">
        <v>2023</v>
      </c>
      <c r="J2591" t="s">
        <v>372</v>
      </c>
      <c r="K2591" t="s">
        <v>127</v>
      </c>
      <c r="L2591" t="s">
        <v>2804</v>
      </c>
      <c r="M2591" t="s">
        <v>2835</v>
      </c>
      <c r="N2591">
        <v>1</v>
      </c>
      <c r="O2591">
        <v>2023</v>
      </c>
      <c r="P2591">
        <v>4328.724715164758</v>
      </c>
      <c r="Q2591">
        <v>2.764334235731762</v>
      </c>
      <c r="R2591" t="s">
        <v>109</v>
      </c>
      <c r="S2591">
        <v>1565.9194388333001</v>
      </c>
      <c r="T2591">
        <v>3.8100820633059791</v>
      </c>
      <c r="U2591" t="s">
        <v>184</v>
      </c>
      <c r="V2591">
        <v>3.8100820633059791</v>
      </c>
      <c r="W2591">
        <v>11</v>
      </c>
      <c r="X2591">
        <v>25</v>
      </c>
      <c r="Y2591">
        <v>19</v>
      </c>
      <c r="Z2591">
        <v>6.1608679451578198E-2</v>
      </c>
      <c r="AA2591">
        <v>31.536000000000001</v>
      </c>
    </row>
    <row r="2592" spans="1:27" x14ac:dyDescent="0.25">
      <c r="A2592" t="s">
        <v>98</v>
      </c>
      <c r="B2592" t="s">
        <v>99</v>
      </c>
      <c r="C2592" t="s">
        <v>1367</v>
      </c>
      <c r="D2592" t="s">
        <v>1707</v>
      </c>
      <c r="E2592" t="s">
        <v>304</v>
      </c>
      <c r="F2592" t="s">
        <v>369</v>
      </c>
      <c r="G2592" t="s">
        <v>111</v>
      </c>
      <c r="H2592" t="s">
        <v>125</v>
      </c>
      <c r="I2592">
        <v>2016</v>
      </c>
      <c r="J2592" t="s">
        <v>374</v>
      </c>
      <c r="K2592" t="s">
        <v>127</v>
      </c>
      <c r="L2592" t="s">
        <v>2804</v>
      </c>
      <c r="M2592" t="s">
        <v>2836</v>
      </c>
      <c r="N2592">
        <v>1</v>
      </c>
      <c r="O2592">
        <v>2020</v>
      </c>
      <c r="P2592">
        <v>4450.6606226341873</v>
      </c>
      <c r="Q2592">
        <v>2.764334235731762</v>
      </c>
      <c r="R2592" t="s">
        <v>109</v>
      </c>
      <c r="S2592">
        <v>1610.029845560998</v>
      </c>
      <c r="T2592">
        <v>4.0738569753810081</v>
      </c>
      <c r="U2592" t="s">
        <v>184</v>
      </c>
      <c r="V2592">
        <v>4.0738569753810081</v>
      </c>
      <c r="W2592">
        <v>11</v>
      </c>
      <c r="X2592">
        <v>25</v>
      </c>
      <c r="Y2592">
        <v>19</v>
      </c>
      <c r="Z2592">
        <v>6.1608679451578198E-2</v>
      </c>
      <c r="AA2592">
        <v>31.536000000000001</v>
      </c>
    </row>
    <row r="2593" spans="1:27" x14ac:dyDescent="0.25">
      <c r="A2593" t="s">
        <v>98</v>
      </c>
      <c r="B2593" t="s">
        <v>99</v>
      </c>
      <c r="C2593" t="s">
        <v>1367</v>
      </c>
      <c r="D2593" t="s">
        <v>1707</v>
      </c>
      <c r="E2593" t="s">
        <v>304</v>
      </c>
      <c r="F2593" t="s">
        <v>369</v>
      </c>
      <c r="G2593" t="s">
        <v>111</v>
      </c>
      <c r="H2593" t="s">
        <v>125</v>
      </c>
      <c r="I2593">
        <v>2023</v>
      </c>
      <c r="J2593" t="s">
        <v>376</v>
      </c>
      <c r="K2593" t="s">
        <v>127</v>
      </c>
      <c r="L2593" t="s">
        <v>2804</v>
      </c>
      <c r="M2593" t="s">
        <v>2837</v>
      </c>
      <c r="N2593">
        <v>1</v>
      </c>
      <c r="O2593">
        <v>2023</v>
      </c>
      <c r="P2593">
        <v>4511.628576368902</v>
      </c>
      <c r="Q2593">
        <v>2.764334235731762</v>
      </c>
      <c r="R2593" t="s">
        <v>109</v>
      </c>
      <c r="S2593">
        <v>1632.0850489248469</v>
      </c>
      <c r="T2593">
        <v>4.2203985932004704</v>
      </c>
      <c r="U2593" t="s">
        <v>184</v>
      </c>
      <c r="V2593">
        <v>4.2203985932004704</v>
      </c>
      <c r="W2593">
        <v>11</v>
      </c>
      <c r="X2593">
        <v>25</v>
      </c>
      <c r="Y2593">
        <v>19</v>
      </c>
      <c r="Z2593">
        <v>6.1608679451578198E-2</v>
      </c>
      <c r="AA2593">
        <v>31.536000000000001</v>
      </c>
    </row>
    <row r="2594" spans="1:27" x14ac:dyDescent="0.25">
      <c r="A2594" t="s">
        <v>98</v>
      </c>
      <c r="B2594" t="s">
        <v>99</v>
      </c>
      <c r="C2594" t="s">
        <v>1367</v>
      </c>
      <c r="D2594" t="s">
        <v>1707</v>
      </c>
      <c r="E2594" t="s">
        <v>304</v>
      </c>
      <c r="F2594" t="s">
        <v>369</v>
      </c>
      <c r="G2594" t="s">
        <v>114</v>
      </c>
      <c r="H2594" t="s">
        <v>125</v>
      </c>
      <c r="I2594">
        <v>2016</v>
      </c>
      <c r="J2594" t="s">
        <v>378</v>
      </c>
      <c r="K2594" t="s">
        <v>127</v>
      </c>
      <c r="L2594" t="s">
        <v>2804</v>
      </c>
      <c r="M2594" t="s">
        <v>2838</v>
      </c>
      <c r="N2594">
        <v>1</v>
      </c>
      <c r="O2594">
        <v>2020</v>
      </c>
      <c r="P2594">
        <v>4877.436298777192</v>
      </c>
      <c r="Q2594">
        <v>2.764334235731762</v>
      </c>
      <c r="R2594" t="s">
        <v>109</v>
      </c>
      <c r="S2594">
        <v>1764.416269107943</v>
      </c>
      <c r="T2594">
        <v>4.3962485345838216</v>
      </c>
      <c r="U2594" t="s">
        <v>184</v>
      </c>
      <c r="V2594">
        <v>4.3962485345838216</v>
      </c>
      <c r="W2594">
        <v>11</v>
      </c>
      <c r="X2594">
        <v>25</v>
      </c>
      <c r="Y2594">
        <v>19</v>
      </c>
      <c r="Z2594">
        <v>6.1608679451578198E-2</v>
      </c>
      <c r="AA2594">
        <v>31.536000000000001</v>
      </c>
    </row>
    <row r="2595" spans="1:27" x14ac:dyDescent="0.25">
      <c r="A2595" t="s">
        <v>98</v>
      </c>
      <c r="B2595" t="s">
        <v>99</v>
      </c>
      <c r="C2595" t="s">
        <v>1367</v>
      </c>
      <c r="D2595" t="s">
        <v>1707</v>
      </c>
      <c r="E2595" t="s">
        <v>304</v>
      </c>
      <c r="F2595" t="s">
        <v>369</v>
      </c>
      <c r="G2595" t="s">
        <v>114</v>
      </c>
      <c r="H2595" t="s">
        <v>125</v>
      </c>
      <c r="I2595">
        <v>2023</v>
      </c>
      <c r="J2595" t="s">
        <v>380</v>
      </c>
      <c r="K2595" t="s">
        <v>127</v>
      </c>
      <c r="L2595" t="s">
        <v>2804</v>
      </c>
      <c r="M2595" t="s">
        <v>2839</v>
      </c>
      <c r="N2595">
        <v>1</v>
      </c>
      <c r="O2595">
        <v>2023</v>
      </c>
      <c r="P2595">
        <v>5202.5987186956727</v>
      </c>
      <c r="Q2595">
        <v>2.764334235731762</v>
      </c>
      <c r="R2595" t="s">
        <v>109</v>
      </c>
      <c r="S2595">
        <v>1882.0440203818059</v>
      </c>
      <c r="T2595">
        <v>4.6893317702227444</v>
      </c>
      <c r="U2595" t="s">
        <v>184</v>
      </c>
      <c r="V2595">
        <v>4.6893317702227444</v>
      </c>
      <c r="W2595">
        <v>11</v>
      </c>
      <c r="X2595">
        <v>25</v>
      </c>
      <c r="Y2595">
        <v>19</v>
      </c>
      <c r="Z2595">
        <v>6.1608679451578198E-2</v>
      </c>
      <c r="AA2595">
        <v>31.536000000000001</v>
      </c>
    </row>
    <row r="2596" spans="1:27" x14ac:dyDescent="0.25">
      <c r="A2596" t="s">
        <v>98</v>
      </c>
      <c r="B2596" t="s">
        <v>99</v>
      </c>
      <c r="C2596" t="s">
        <v>1367</v>
      </c>
      <c r="D2596" t="s">
        <v>1707</v>
      </c>
      <c r="E2596" t="s">
        <v>304</v>
      </c>
      <c r="F2596" t="s">
        <v>369</v>
      </c>
      <c r="G2596" t="s">
        <v>119</v>
      </c>
      <c r="H2596" t="s">
        <v>125</v>
      </c>
      <c r="I2596">
        <v>2016</v>
      </c>
      <c r="J2596" t="s">
        <v>382</v>
      </c>
      <c r="K2596" t="s">
        <v>127</v>
      </c>
      <c r="L2596" t="s">
        <v>2804</v>
      </c>
      <c r="M2596" t="s">
        <v>2840</v>
      </c>
      <c r="N2596">
        <v>1</v>
      </c>
      <c r="O2596">
        <v>2020</v>
      </c>
      <c r="P2596">
        <v>5670.0196973284856</v>
      </c>
      <c r="Q2596">
        <v>2.764334235731762</v>
      </c>
      <c r="R2596" t="s">
        <v>109</v>
      </c>
      <c r="S2596">
        <v>2051.1339128379841</v>
      </c>
      <c r="T2596">
        <v>4.835873388042204</v>
      </c>
      <c r="U2596" t="s">
        <v>184</v>
      </c>
      <c r="V2596">
        <v>4.835873388042204</v>
      </c>
      <c r="W2596">
        <v>11</v>
      </c>
      <c r="X2596">
        <v>25</v>
      </c>
      <c r="Y2596">
        <v>19</v>
      </c>
      <c r="Z2596">
        <v>6.1608679451578198E-2</v>
      </c>
      <c r="AA2596">
        <v>31.536000000000001</v>
      </c>
    </row>
    <row r="2597" spans="1:27" x14ac:dyDescent="0.25">
      <c r="A2597" t="s">
        <v>98</v>
      </c>
      <c r="B2597" t="s">
        <v>99</v>
      </c>
      <c r="C2597" t="s">
        <v>1367</v>
      </c>
      <c r="D2597" t="s">
        <v>1707</v>
      </c>
      <c r="E2597" t="s">
        <v>304</v>
      </c>
      <c r="F2597" t="s">
        <v>369</v>
      </c>
      <c r="G2597" t="s">
        <v>119</v>
      </c>
      <c r="H2597" t="s">
        <v>125</v>
      </c>
      <c r="I2597">
        <v>2022</v>
      </c>
      <c r="J2597" t="s">
        <v>384</v>
      </c>
      <c r="K2597" t="s">
        <v>127</v>
      </c>
      <c r="L2597" t="s">
        <v>2804</v>
      </c>
      <c r="M2597" t="s">
        <v>2841</v>
      </c>
      <c r="N2597">
        <v>1</v>
      </c>
      <c r="O2597">
        <v>2022</v>
      </c>
      <c r="P2597">
        <v>5670.0196973284856</v>
      </c>
      <c r="Q2597">
        <v>2.764334235731762</v>
      </c>
      <c r="R2597" t="s">
        <v>109</v>
      </c>
      <c r="S2597">
        <v>2051.1339128379841</v>
      </c>
      <c r="T2597">
        <v>4.835873388042204</v>
      </c>
      <c r="U2597" t="s">
        <v>184</v>
      </c>
      <c r="V2597">
        <v>4.835873388042204</v>
      </c>
      <c r="W2597">
        <v>11</v>
      </c>
      <c r="X2597">
        <v>25</v>
      </c>
      <c r="Y2597">
        <v>19</v>
      </c>
      <c r="Z2597">
        <v>6.1608679451578198E-2</v>
      </c>
      <c r="AA2597">
        <v>31.536000000000001</v>
      </c>
    </row>
    <row r="2598" spans="1:27" x14ac:dyDescent="0.25">
      <c r="A2598" t="s">
        <v>98</v>
      </c>
      <c r="B2598" t="s">
        <v>99</v>
      </c>
      <c r="C2598" t="s">
        <v>1367</v>
      </c>
      <c r="D2598" t="s">
        <v>1707</v>
      </c>
      <c r="E2598" t="s">
        <v>386</v>
      </c>
      <c r="G2598" t="s">
        <v>387</v>
      </c>
      <c r="H2598" t="s">
        <v>125</v>
      </c>
      <c r="I2598">
        <v>2016</v>
      </c>
      <c r="J2598" t="s">
        <v>388</v>
      </c>
      <c r="K2598" t="s">
        <v>127</v>
      </c>
      <c r="L2598" t="s">
        <v>2842</v>
      </c>
      <c r="M2598" t="s">
        <v>2843</v>
      </c>
      <c r="N2598">
        <v>1</v>
      </c>
      <c r="O2598">
        <v>2020</v>
      </c>
      <c r="P2598">
        <v>853.55135228600852</v>
      </c>
      <c r="Q2598">
        <v>2.1646303172329149</v>
      </c>
      <c r="R2598" t="s">
        <v>391</v>
      </c>
      <c r="S2598">
        <v>394.31737857996848</v>
      </c>
      <c r="T2598">
        <v>404.78399999999999</v>
      </c>
      <c r="U2598" t="s">
        <v>392</v>
      </c>
      <c r="V2598">
        <v>1.1306815642458099</v>
      </c>
      <c r="W2598">
        <v>11.625999787885601</v>
      </c>
      <c r="X2598">
        <v>21.895260974855479</v>
      </c>
      <c r="Y2598">
        <v>17</v>
      </c>
      <c r="Z2598">
        <v>0.65</v>
      </c>
      <c r="AA2598">
        <v>1</v>
      </c>
    </row>
    <row r="2599" spans="1:27" x14ac:dyDescent="0.25">
      <c r="A2599" t="s">
        <v>98</v>
      </c>
      <c r="B2599" t="s">
        <v>99</v>
      </c>
      <c r="C2599" t="s">
        <v>1367</v>
      </c>
      <c r="D2599" t="s">
        <v>1707</v>
      </c>
      <c r="E2599" t="s">
        <v>386</v>
      </c>
      <c r="G2599" t="s">
        <v>393</v>
      </c>
      <c r="H2599" t="s">
        <v>125</v>
      </c>
      <c r="I2599">
        <v>2016</v>
      </c>
      <c r="J2599" t="s">
        <v>394</v>
      </c>
      <c r="K2599" t="s">
        <v>127</v>
      </c>
      <c r="L2599" t="s">
        <v>2842</v>
      </c>
      <c r="M2599" t="s">
        <v>2844</v>
      </c>
      <c r="N2599">
        <v>1</v>
      </c>
      <c r="O2599">
        <v>2020</v>
      </c>
      <c r="P2599">
        <v>914.51930602072343</v>
      </c>
      <c r="Q2599">
        <v>2.1646303172329149</v>
      </c>
      <c r="R2599" t="s">
        <v>391</v>
      </c>
      <c r="S2599">
        <v>422.48290562139482</v>
      </c>
      <c r="T2599">
        <v>389</v>
      </c>
      <c r="U2599" t="s">
        <v>392</v>
      </c>
      <c r="V2599">
        <v>1.08659217877095</v>
      </c>
      <c r="W2599">
        <v>11.625999787885601</v>
      </c>
      <c r="X2599">
        <v>21.895260974855479</v>
      </c>
      <c r="Y2599">
        <v>17</v>
      </c>
      <c r="Z2599">
        <v>0.65</v>
      </c>
      <c r="AA2599">
        <v>1</v>
      </c>
    </row>
    <row r="2600" spans="1:27" x14ac:dyDescent="0.25">
      <c r="A2600" t="s">
        <v>98</v>
      </c>
      <c r="B2600" t="s">
        <v>99</v>
      </c>
      <c r="C2600" t="s">
        <v>1367</v>
      </c>
      <c r="D2600" t="s">
        <v>1707</v>
      </c>
      <c r="E2600" t="s">
        <v>386</v>
      </c>
      <c r="G2600" t="s">
        <v>396</v>
      </c>
      <c r="H2600" t="s">
        <v>125</v>
      </c>
      <c r="I2600">
        <v>2016</v>
      </c>
      <c r="J2600" t="s">
        <v>397</v>
      </c>
      <c r="K2600" t="s">
        <v>127</v>
      </c>
      <c r="L2600" t="s">
        <v>2842</v>
      </c>
      <c r="M2600" t="s">
        <v>2845</v>
      </c>
      <c r="N2600">
        <v>1</v>
      </c>
      <c r="O2600">
        <v>2020</v>
      </c>
      <c r="P2600">
        <v>1036.455213490153</v>
      </c>
      <c r="Q2600">
        <v>2.1646303172329149</v>
      </c>
      <c r="R2600" t="s">
        <v>391</v>
      </c>
      <c r="S2600">
        <v>478.81395970424751</v>
      </c>
      <c r="T2600">
        <v>364.30560000000003</v>
      </c>
      <c r="U2600" t="s">
        <v>392</v>
      </c>
      <c r="V2600">
        <v>1.0176134078212291</v>
      </c>
      <c r="W2600">
        <v>11.625999787885601</v>
      </c>
      <c r="X2600">
        <v>21.895260974855479</v>
      </c>
      <c r="Y2600">
        <v>17</v>
      </c>
      <c r="Z2600">
        <v>0.65</v>
      </c>
      <c r="AA2600">
        <v>1</v>
      </c>
    </row>
    <row r="2601" spans="1:27" x14ac:dyDescent="0.25">
      <c r="A2601" t="s">
        <v>98</v>
      </c>
      <c r="B2601" t="s">
        <v>99</v>
      </c>
      <c r="C2601" t="s">
        <v>1367</v>
      </c>
      <c r="D2601" t="s">
        <v>1707</v>
      </c>
      <c r="E2601" t="s">
        <v>386</v>
      </c>
      <c r="G2601" t="s">
        <v>399</v>
      </c>
      <c r="H2601" t="s">
        <v>125</v>
      </c>
      <c r="I2601">
        <v>2016</v>
      </c>
      <c r="J2601" t="s">
        <v>400</v>
      </c>
      <c r="K2601" t="s">
        <v>127</v>
      </c>
      <c r="L2601" t="s">
        <v>2842</v>
      </c>
      <c r="M2601" t="s">
        <v>2846</v>
      </c>
      <c r="N2601">
        <v>1</v>
      </c>
      <c r="O2601">
        <v>2020</v>
      </c>
      <c r="P2601">
        <v>1073.035985730982</v>
      </c>
      <c r="Q2601">
        <v>2.1646303172329149</v>
      </c>
      <c r="R2601" t="s">
        <v>391</v>
      </c>
      <c r="S2601">
        <v>495.71327592910319</v>
      </c>
      <c r="T2601">
        <v>358</v>
      </c>
      <c r="U2601" t="s">
        <v>392</v>
      </c>
      <c r="V2601">
        <v>1</v>
      </c>
      <c r="W2601">
        <v>11.625999787885601</v>
      </c>
      <c r="X2601">
        <v>21.895260974855479</v>
      </c>
      <c r="Y2601">
        <v>17</v>
      </c>
      <c r="Z2601">
        <v>0.65</v>
      </c>
      <c r="AA2601">
        <v>1</v>
      </c>
    </row>
    <row r="2602" spans="1:27" x14ac:dyDescent="0.25">
      <c r="A2602" t="s">
        <v>98</v>
      </c>
      <c r="B2602" t="s">
        <v>99</v>
      </c>
      <c r="C2602" t="s">
        <v>1367</v>
      </c>
      <c r="D2602" t="s">
        <v>1707</v>
      </c>
      <c r="E2602" t="s">
        <v>386</v>
      </c>
      <c r="G2602" t="s">
        <v>402</v>
      </c>
      <c r="H2602" t="s">
        <v>125</v>
      </c>
      <c r="I2602">
        <v>2016</v>
      </c>
      <c r="J2602" t="s">
        <v>403</v>
      </c>
      <c r="K2602" t="s">
        <v>127</v>
      </c>
      <c r="L2602" t="s">
        <v>2842</v>
      </c>
      <c r="M2602" t="s">
        <v>2847</v>
      </c>
      <c r="N2602">
        <v>1</v>
      </c>
      <c r="O2602">
        <v>2020</v>
      </c>
      <c r="P2602">
        <v>1597.3603878495301</v>
      </c>
      <c r="Q2602">
        <v>2.1646303172329149</v>
      </c>
      <c r="R2602" t="s">
        <v>391</v>
      </c>
      <c r="S2602">
        <v>737.93680848536962</v>
      </c>
      <c r="T2602">
        <v>705.226</v>
      </c>
      <c r="U2602" t="s">
        <v>392</v>
      </c>
      <c r="V2602">
        <v>1.9699050279329611</v>
      </c>
      <c r="W2602">
        <v>11.625999787885601</v>
      </c>
      <c r="X2602">
        <v>21.895260974855479</v>
      </c>
      <c r="Y2602">
        <v>17</v>
      </c>
      <c r="Z2602">
        <v>0.65</v>
      </c>
      <c r="AA2602">
        <v>1</v>
      </c>
    </row>
    <row r="2603" spans="1:27" x14ac:dyDescent="0.25">
      <c r="A2603" t="s">
        <v>98</v>
      </c>
      <c r="B2603" t="s">
        <v>99</v>
      </c>
      <c r="C2603" t="s">
        <v>1367</v>
      </c>
      <c r="D2603" t="s">
        <v>1707</v>
      </c>
      <c r="E2603" t="s">
        <v>386</v>
      </c>
      <c r="G2603" t="s">
        <v>405</v>
      </c>
      <c r="H2603" t="s">
        <v>125</v>
      </c>
      <c r="I2603">
        <v>2016</v>
      </c>
      <c r="J2603" t="s">
        <v>406</v>
      </c>
      <c r="K2603" t="s">
        <v>127</v>
      </c>
      <c r="L2603" t="s">
        <v>2842</v>
      </c>
      <c r="M2603" t="s">
        <v>2848</v>
      </c>
      <c r="N2603">
        <v>1</v>
      </c>
      <c r="O2603">
        <v>2020</v>
      </c>
      <c r="P2603">
        <v>1731.489886065903</v>
      </c>
      <c r="Q2603">
        <v>2.1646303172329149</v>
      </c>
      <c r="R2603" t="s">
        <v>391</v>
      </c>
      <c r="S2603">
        <v>799.90096797650745</v>
      </c>
      <c r="T2603">
        <v>671</v>
      </c>
      <c r="U2603" t="s">
        <v>392</v>
      </c>
      <c r="V2603">
        <v>1.8743016759776541</v>
      </c>
      <c r="W2603">
        <v>11.625999787885601</v>
      </c>
      <c r="X2603">
        <v>21.895260974855479</v>
      </c>
      <c r="Y2603">
        <v>17</v>
      </c>
      <c r="Z2603">
        <v>0.65</v>
      </c>
      <c r="AA2603">
        <v>1</v>
      </c>
    </row>
    <row r="2604" spans="1:27" x14ac:dyDescent="0.25">
      <c r="A2604" t="s">
        <v>98</v>
      </c>
      <c r="B2604" t="s">
        <v>99</v>
      </c>
      <c r="C2604" t="s">
        <v>1367</v>
      </c>
      <c r="D2604" t="s">
        <v>1707</v>
      </c>
      <c r="E2604" t="s">
        <v>386</v>
      </c>
      <c r="G2604" t="s">
        <v>408</v>
      </c>
      <c r="H2604" t="s">
        <v>125</v>
      </c>
      <c r="I2604">
        <v>2016</v>
      </c>
      <c r="J2604" t="s">
        <v>409</v>
      </c>
      <c r="K2604" t="s">
        <v>127</v>
      </c>
      <c r="L2604" t="s">
        <v>2842</v>
      </c>
      <c r="M2604" t="s">
        <v>2849</v>
      </c>
      <c r="N2604">
        <v>1</v>
      </c>
      <c r="O2604">
        <v>2020</v>
      </c>
      <c r="P2604">
        <v>1890.006565776162</v>
      </c>
      <c r="Q2604">
        <v>2.1646303172329149</v>
      </c>
      <c r="R2604" t="s">
        <v>391</v>
      </c>
      <c r="S2604">
        <v>873.13133828421587</v>
      </c>
      <c r="T2604">
        <v>634.70339999999999</v>
      </c>
      <c r="U2604" t="s">
        <v>392</v>
      </c>
      <c r="V2604">
        <v>1.772914525139665</v>
      </c>
      <c r="W2604">
        <v>11.625999787885601</v>
      </c>
      <c r="X2604">
        <v>21.895260974855479</v>
      </c>
      <c r="Y2604">
        <v>17</v>
      </c>
      <c r="Z2604">
        <v>0.65</v>
      </c>
      <c r="AA2604">
        <v>1</v>
      </c>
    </row>
    <row r="2605" spans="1:27" x14ac:dyDescent="0.25">
      <c r="A2605" t="s">
        <v>98</v>
      </c>
      <c r="B2605" t="s">
        <v>99</v>
      </c>
      <c r="C2605" t="s">
        <v>1367</v>
      </c>
      <c r="D2605" t="s">
        <v>1707</v>
      </c>
      <c r="E2605" t="s">
        <v>386</v>
      </c>
      <c r="G2605" t="s">
        <v>411</v>
      </c>
      <c r="H2605" t="s">
        <v>125</v>
      </c>
      <c r="I2605">
        <v>2016</v>
      </c>
      <c r="J2605" t="s">
        <v>412</v>
      </c>
      <c r="K2605" t="s">
        <v>127</v>
      </c>
      <c r="L2605" t="s">
        <v>2842</v>
      </c>
      <c r="M2605" t="s">
        <v>2850</v>
      </c>
      <c r="N2605">
        <v>1</v>
      </c>
      <c r="O2605">
        <v>2020</v>
      </c>
      <c r="P2605">
        <v>2414.3309678947098</v>
      </c>
      <c r="Q2605">
        <v>2.1646303172329149</v>
      </c>
      <c r="R2605" t="s">
        <v>391</v>
      </c>
      <c r="S2605">
        <v>1115.3548708404819</v>
      </c>
      <c r="T2605">
        <v>509</v>
      </c>
      <c r="U2605" t="s">
        <v>392</v>
      </c>
      <c r="V2605">
        <v>1.4217877094972069</v>
      </c>
      <c r="W2605">
        <v>11.625999787885601</v>
      </c>
      <c r="X2605">
        <v>21.895260974855479</v>
      </c>
      <c r="Y2605">
        <v>17</v>
      </c>
      <c r="Z2605">
        <v>0.65</v>
      </c>
      <c r="AA2605">
        <v>1</v>
      </c>
    </row>
    <row r="2606" spans="1:27" x14ac:dyDescent="0.25">
      <c r="A2606" t="s">
        <v>98</v>
      </c>
      <c r="B2606" t="s">
        <v>99</v>
      </c>
      <c r="C2606" t="s">
        <v>1367</v>
      </c>
      <c r="D2606" t="s">
        <v>1707</v>
      </c>
      <c r="E2606" t="s">
        <v>386</v>
      </c>
      <c r="G2606" t="s">
        <v>414</v>
      </c>
      <c r="H2606" t="s">
        <v>125</v>
      </c>
      <c r="I2606">
        <v>2016</v>
      </c>
      <c r="J2606" t="s">
        <v>415</v>
      </c>
      <c r="K2606" t="s">
        <v>127</v>
      </c>
      <c r="L2606" t="s">
        <v>2842</v>
      </c>
      <c r="M2606" t="s">
        <v>2851</v>
      </c>
      <c r="N2606">
        <v>1</v>
      </c>
      <c r="O2606">
        <v>2020</v>
      </c>
      <c r="P2606">
        <v>1255.939846935127</v>
      </c>
      <c r="Q2606">
        <v>2.1646303172329149</v>
      </c>
      <c r="R2606" t="s">
        <v>391</v>
      </c>
      <c r="S2606">
        <v>580.20985705338228</v>
      </c>
      <c r="T2606">
        <v>520.54999999999995</v>
      </c>
      <c r="U2606" t="s">
        <v>392</v>
      </c>
      <c r="V2606">
        <v>1.4540502793296091</v>
      </c>
      <c r="W2606">
        <v>11.625999787885601</v>
      </c>
      <c r="X2606">
        <v>21.895260974855479</v>
      </c>
      <c r="Y2606">
        <v>17</v>
      </c>
      <c r="Z2606">
        <v>0.65</v>
      </c>
      <c r="AA2606">
        <v>1</v>
      </c>
    </row>
    <row r="2607" spans="1:27" x14ac:dyDescent="0.25">
      <c r="A2607" t="s">
        <v>98</v>
      </c>
      <c r="B2607" t="s">
        <v>99</v>
      </c>
      <c r="C2607" t="s">
        <v>1367</v>
      </c>
      <c r="D2607" t="s">
        <v>1707</v>
      </c>
      <c r="E2607" t="s">
        <v>386</v>
      </c>
      <c r="G2607" t="s">
        <v>417</v>
      </c>
      <c r="H2607" t="s">
        <v>125</v>
      </c>
      <c r="I2607">
        <v>2016</v>
      </c>
      <c r="J2607" t="s">
        <v>418</v>
      </c>
      <c r="K2607" t="s">
        <v>127</v>
      </c>
      <c r="L2607" t="s">
        <v>2842</v>
      </c>
      <c r="M2607" t="s">
        <v>2852</v>
      </c>
      <c r="N2607">
        <v>1</v>
      </c>
      <c r="O2607">
        <v>2020</v>
      </c>
      <c r="P2607">
        <v>1365.682163657614</v>
      </c>
      <c r="Q2607">
        <v>2.1646303172329149</v>
      </c>
      <c r="R2607" t="s">
        <v>391</v>
      </c>
      <c r="S2607">
        <v>630.90780572794961</v>
      </c>
      <c r="T2607">
        <v>480</v>
      </c>
      <c r="U2607" t="s">
        <v>392</v>
      </c>
      <c r="V2607">
        <v>1.3407821229050281</v>
      </c>
      <c r="W2607">
        <v>11.625999787885601</v>
      </c>
      <c r="X2607">
        <v>21.895260974855479</v>
      </c>
      <c r="Y2607">
        <v>17</v>
      </c>
      <c r="Z2607">
        <v>0.65</v>
      </c>
      <c r="AA2607">
        <v>1</v>
      </c>
    </row>
    <row r="2608" spans="1:27" x14ac:dyDescent="0.25">
      <c r="A2608" t="s">
        <v>98</v>
      </c>
      <c r="B2608" t="s">
        <v>99</v>
      </c>
      <c r="C2608" t="s">
        <v>1367</v>
      </c>
      <c r="D2608" t="s">
        <v>1707</v>
      </c>
      <c r="E2608" t="s">
        <v>386</v>
      </c>
      <c r="G2608" t="s">
        <v>420</v>
      </c>
      <c r="H2608" t="s">
        <v>125</v>
      </c>
      <c r="I2608">
        <v>2016</v>
      </c>
      <c r="J2608" t="s">
        <v>421</v>
      </c>
      <c r="K2608" t="s">
        <v>127</v>
      </c>
      <c r="L2608" t="s">
        <v>2842</v>
      </c>
      <c r="M2608" t="s">
        <v>2853</v>
      </c>
      <c r="N2608">
        <v>1</v>
      </c>
      <c r="O2608">
        <v>2020</v>
      </c>
      <c r="P2608">
        <v>1414.456526645386</v>
      </c>
      <c r="Q2608">
        <v>2.1646303172329149</v>
      </c>
      <c r="R2608" t="s">
        <v>391</v>
      </c>
      <c r="S2608">
        <v>653.44022736109059</v>
      </c>
      <c r="T2608">
        <v>469</v>
      </c>
      <c r="U2608" t="s">
        <v>392</v>
      </c>
      <c r="V2608">
        <v>1.310055865921788</v>
      </c>
      <c r="W2608">
        <v>11.625999787885601</v>
      </c>
      <c r="X2608">
        <v>21.895260974855479</v>
      </c>
      <c r="Y2608">
        <v>17</v>
      </c>
      <c r="Z2608">
        <v>0.65</v>
      </c>
      <c r="AA2608">
        <v>1</v>
      </c>
    </row>
    <row r="2609" spans="1:27" x14ac:dyDescent="0.25">
      <c r="A2609" t="s">
        <v>98</v>
      </c>
      <c r="B2609" t="s">
        <v>99</v>
      </c>
      <c r="C2609" t="s">
        <v>1367</v>
      </c>
      <c r="D2609" t="s">
        <v>1707</v>
      </c>
      <c r="E2609" t="s">
        <v>386</v>
      </c>
      <c r="G2609" t="s">
        <v>423</v>
      </c>
      <c r="H2609" t="s">
        <v>125</v>
      </c>
      <c r="I2609">
        <v>2016</v>
      </c>
      <c r="J2609" t="s">
        <v>424</v>
      </c>
      <c r="K2609" t="s">
        <v>127</v>
      </c>
      <c r="L2609" t="s">
        <v>2842</v>
      </c>
      <c r="M2609" t="s">
        <v>2854</v>
      </c>
      <c r="N2609">
        <v>1</v>
      </c>
      <c r="O2609">
        <v>2020</v>
      </c>
      <c r="P2609">
        <v>1414.456526645386</v>
      </c>
      <c r="Q2609">
        <v>2.1646303172329149</v>
      </c>
      <c r="R2609" t="s">
        <v>391</v>
      </c>
      <c r="S2609">
        <v>653.44022736109059</v>
      </c>
      <c r="T2609">
        <v>469</v>
      </c>
      <c r="U2609" t="s">
        <v>392</v>
      </c>
      <c r="V2609">
        <v>1.310055865921788</v>
      </c>
      <c r="W2609">
        <v>11.625999787885601</v>
      </c>
      <c r="X2609">
        <v>21.895260974855479</v>
      </c>
      <c r="Y2609">
        <v>17</v>
      </c>
      <c r="Z2609">
        <v>0.65</v>
      </c>
      <c r="AA2609">
        <v>1</v>
      </c>
    </row>
    <row r="2610" spans="1:27" x14ac:dyDescent="0.25">
      <c r="A2610" t="s">
        <v>98</v>
      </c>
      <c r="B2610" t="s">
        <v>99</v>
      </c>
      <c r="C2610" t="s">
        <v>1367</v>
      </c>
      <c r="D2610" t="s">
        <v>1707</v>
      </c>
      <c r="E2610" t="s">
        <v>426</v>
      </c>
      <c r="G2610" t="s">
        <v>427</v>
      </c>
      <c r="H2610" t="s">
        <v>125</v>
      </c>
      <c r="I2610">
        <v>2016</v>
      </c>
      <c r="J2610" t="s">
        <v>428</v>
      </c>
      <c r="K2610" t="s">
        <v>127</v>
      </c>
      <c r="L2610" t="s">
        <v>2855</v>
      </c>
      <c r="M2610" t="s">
        <v>2856</v>
      </c>
      <c r="N2610">
        <v>1</v>
      </c>
      <c r="O2610">
        <v>2020</v>
      </c>
      <c r="P2610">
        <v>609.67953734714899</v>
      </c>
      <c r="Q2610">
        <v>0.1064422737763619</v>
      </c>
      <c r="R2610" t="s">
        <v>391</v>
      </c>
      <c r="S2610">
        <v>5727.7951298569787</v>
      </c>
      <c r="T2610">
        <v>300.25599999999997</v>
      </c>
      <c r="U2610" t="s">
        <v>392</v>
      </c>
      <c r="V2610">
        <v>1.0918399999999999</v>
      </c>
      <c r="W2610">
        <v>16.5973520403479</v>
      </c>
      <c r="X2610">
        <v>27.331519839424129</v>
      </c>
      <c r="Y2610">
        <v>22</v>
      </c>
      <c r="Z2610">
        <v>0.65</v>
      </c>
      <c r="AA2610">
        <v>1</v>
      </c>
    </row>
    <row r="2611" spans="1:27" x14ac:dyDescent="0.25">
      <c r="A2611" t="s">
        <v>98</v>
      </c>
      <c r="B2611" t="s">
        <v>99</v>
      </c>
      <c r="C2611" t="s">
        <v>1367</v>
      </c>
      <c r="D2611" t="s">
        <v>1707</v>
      </c>
      <c r="E2611" t="s">
        <v>426</v>
      </c>
      <c r="G2611" t="s">
        <v>431</v>
      </c>
      <c r="H2611" t="s">
        <v>125</v>
      </c>
      <c r="I2611">
        <v>2016</v>
      </c>
      <c r="J2611" t="s">
        <v>432</v>
      </c>
      <c r="K2611" t="s">
        <v>127</v>
      </c>
      <c r="L2611" t="s">
        <v>2855</v>
      </c>
      <c r="M2611" t="s">
        <v>2857</v>
      </c>
      <c r="N2611">
        <v>1</v>
      </c>
      <c r="O2611">
        <v>2020</v>
      </c>
      <c r="P2611">
        <v>609.67953734714899</v>
      </c>
      <c r="Q2611">
        <v>0.1064422737763619</v>
      </c>
      <c r="R2611" t="s">
        <v>391</v>
      </c>
      <c r="S2611">
        <v>5727.7951298569787</v>
      </c>
      <c r="T2611">
        <v>297</v>
      </c>
      <c r="U2611" t="s">
        <v>392</v>
      </c>
      <c r="V2611">
        <v>1.08</v>
      </c>
      <c r="W2611">
        <v>16.5973520403479</v>
      </c>
      <c r="X2611">
        <v>27.331519839424129</v>
      </c>
      <c r="Y2611">
        <v>22</v>
      </c>
      <c r="Z2611">
        <v>0.65</v>
      </c>
      <c r="AA2611">
        <v>1</v>
      </c>
    </row>
    <row r="2612" spans="1:27" x14ac:dyDescent="0.25">
      <c r="A2612" t="s">
        <v>98</v>
      </c>
      <c r="B2612" t="s">
        <v>99</v>
      </c>
      <c r="C2612" t="s">
        <v>1367</v>
      </c>
      <c r="D2612" t="s">
        <v>1707</v>
      </c>
      <c r="E2612" t="s">
        <v>426</v>
      </c>
      <c r="G2612" t="s">
        <v>434</v>
      </c>
      <c r="H2612" t="s">
        <v>125</v>
      </c>
      <c r="I2612">
        <v>2016</v>
      </c>
      <c r="J2612" t="s">
        <v>435</v>
      </c>
      <c r="K2612" t="s">
        <v>127</v>
      </c>
      <c r="L2612" t="s">
        <v>2855</v>
      </c>
      <c r="M2612" t="s">
        <v>2858</v>
      </c>
      <c r="N2612">
        <v>1</v>
      </c>
      <c r="O2612">
        <v>2020</v>
      </c>
      <c r="P2612">
        <v>670.6474910818639</v>
      </c>
      <c r="Q2612">
        <v>0.1064422737763619</v>
      </c>
      <c r="R2612" t="s">
        <v>391</v>
      </c>
      <c r="S2612">
        <v>6300.5746428426773</v>
      </c>
      <c r="T2612">
        <v>277</v>
      </c>
      <c r="U2612" t="s">
        <v>392</v>
      </c>
      <c r="V2612">
        <v>1.0072727272727271</v>
      </c>
      <c r="W2612">
        <v>16.5973520403479</v>
      </c>
      <c r="X2612">
        <v>27.331519839424129</v>
      </c>
      <c r="Y2612">
        <v>22</v>
      </c>
      <c r="Z2612">
        <v>0.65</v>
      </c>
      <c r="AA2612">
        <v>1</v>
      </c>
    </row>
    <row r="2613" spans="1:27" x14ac:dyDescent="0.25">
      <c r="A2613" t="s">
        <v>98</v>
      </c>
      <c r="B2613" t="s">
        <v>99</v>
      </c>
      <c r="C2613" t="s">
        <v>1367</v>
      </c>
      <c r="D2613" t="s">
        <v>1707</v>
      </c>
      <c r="E2613" t="s">
        <v>426</v>
      </c>
      <c r="G2613" t="s">
        <v>437</v>
      </c>
      <c r="H2613" t="s">
        <v>125</v>
      </c>
      <c r="I2613">
        <v>2016</v>
      </c>
      <c r="J2613" t="s">
        <v>438</v>
      </c>
      <c r="K2613" t="s">
        <v>127</v>
      </c>
      <c r="L2613" t="s">
        <v>2855</v>
      </c>
      <c r="M2613" t="s">
        <v>2859</v>
      </c>
      <c r="N2613">
        <v>1</v>
      </c>
      <c r="O2613">
        <v>2020</v>
      </c>
      <c r="P2613">
        <v>658.45390033492083</v>
      </c>
      <c r="Q2613">
        <v>0.1064422737763619</v>
      </c>
      <c r="R2613" t="s">
        <v>391</v>
      </c>
      <c r="S2613">
        <v>6186.0187402455367</v>
      </c>
      <c r="T2613">
        <v>275</v>
      </c>
      <c r="U2613" t="s">
        <v>392</v>
      </c>
      <c r="V2613">
        <v>1</v>
      </c>
      <c r="W2613">
        <v>16.5973520403479</v>
      </c>
      <c r="X2613">
        <v>27.331519839424129</v>
      </c>
      <c r="Y2613">
        <v>22</v>
      </c>
      <c r="Z2613">
        <v>0.65</v>
      </c>
      <c r="AA2613">
        <v>1</v>
      </c>
    </row>
    <row r="2614" spans="1:27" x14ac:dyDescent="0.25">
      <c r="A2614" t="s">
        <v>98</v>
      </c>
      <c r="B2614" t="s">
        <v>99</v>
      </c>
      <c r="C2614" t="s">
        <v>1367</v>
      </c>
      <c r="D2614" t="s">
        <v>1707</v>
      </c>
      <c r="E2614" t="s">
        <v>426</v>
      </c>
      <c r="G2614" t="s">
        <v>440</v>
      </c>
      <c r="H2614" t="s">
        <v>125</v>
      </c>
      <c r="I2614">
        <v>2016</v>
      </c>
      <c r="J2614" t="s">
        <v>441</v>
      </c>
      <c r="K2614" t="s">
        <v>127</v>
      </c>
      <c r="L2614" t="s">
        <v>2855</v>
      </c>
      <c r="M2614" t="s">
        <v>2860</v>
      </c>
      <c r="N2614">
        <v>1</v>
      </c>
      <c r="O2614">
        <v>2020</v>
      </c>
      <c r="P2614">
        <v>841.35776153906556</v>
      </c>
      <c r="Q2614">
        <v>0.1064422737763619</v>
      </c>
      <c r="R2614" t="s">
        <v>391</v>
      </c>
      <c r="S2614">
        <v>7904.3572792026307</v>
      </c>
      <c r="T2614">
        <v>477.41800000000001</v>
      </c>
      <c r="U2614" t="s">
        <v>392</v>
      </c>
      <c r="V2614">
        <v>1.736065454545455</v>
      </c>
      <c r="W2614">
        <v>16.5973520403479</v>
      </c>
      <c r="X2614">
        <v>27.331519839424129</v>
      </c>
      <c r="Y2614">
        <v>22</v>
      </c>
      <c r="Z2614">
        <v>0.65</v>
      </c>
      <c r="AA2614">
        <v>1</v>
      </c>
    </row>
    <row r="2615" spans="1:27" x14ac:dyDescent="0.25">
      <c r="A2615" t="s">
        <v>98</v>
      </c>
      <c r="B2615" t="s">
        <v>99</v>
      </c>
      <c r="C2615" t="s">
        <v>1367</v>
      </c>
      <c r="D2615" t="s">
        <v>1707</v>
      </c>
      <c r="E2615" t="s">
        <v>426</v>
      </c>
      <c r="G2615" t="s">
        <v>443</v>
      </c>
      <c r="H2615" t="s">
        <v>125</v>
      </c>
      <c r="I2615">
        <v>2016</v>
      </c>
      <c r="J2615" t="s">
        <v>444</v>
      </c>
      <c r="K2615" t="s">
        <v>127</v>
      </c>
      <c r="L2615" t="s">
        <v>2855</v>
      </c>
      <c r="M2615" t="s">
        <v>2861</v>
      </c>
      <c r="N2615">
        <v>1</v>
      </c>
      <c r="O2615">
        <v>2020</v>
      </c>
      <c r="P2615">
        <v>914.51930602072343</v>
      </c>
      <c r="Q2615">
        <v>0.1064422737763619</v>
      </c>
      <c r="R2615" t="s">
        <v>391</v>
      </c>
      <c r="S2615">
        <v>8591.6926947854681</v>
      </c>
      <c r="T2615">
        <v>446</v>
      </c>
      <c r="U2615" t="s">
        <v>392</v>
      </c>
      <c r="V2615">
        <v>1.621818181818182</v>
      </c>
      <c r="W2615">
        <v>16.5973520403479</v>
      </c>
      <c r="X2615">
        <v>27.331519839424129</v>
      </c>
      <c r="Y2615">
        <v>22</v>
      </c>
      <c r="Z2615">
        <v>0.65</v>
      </c>
      <c r="AA2615">
        <v>1</v>
      </c>
    </row>
    <row r="2616" spans="1:27" x14ac:dyDescent="0.25">
      <c r="A2616" t="s">
        <v>98</v>
      </c>
      <c r="B2616" t="s">
        <v>99</v>
      </c>
      <c r="C2616" t="s">
        <v>1367</v>
      </c>
      <c r="D2616" t="s">
        <v>1707</v>
      </c>
      <c r="E2616" t="s">
        <v>426</v>
      </c>
      <c r="G2616" t="s">
        <v>446</v>
      </c>
      <c r="H2616" t="s">
        <v>125</v>
      </c>
      <c r="I2616">
        <v>2016</v>
      </c>
      <c r="J2616" t="s">
        <v>447</v>
      </c>
      <c r="K2616" t="s">
        <v>127</v>
      </c>
      <c r="L2616" t="s">
        <v>2855</v>
      </c>
      <c r="M2616" t="s">
        <v>2862</v>
      </c>
      <c r="N2616">
        <v>1</v>
      </c>
      <c r="O2616">
        <v>2020</v>
      </c>
      <c r="P2616">
        <v>963.29366900849539</v>
      </c>
      <c r="Q2616">
        <v>0.1064422737763619</v>
      </c>
      <c r="R2616" t="s">
        <v>391</v>
      </c>
      <c r="S2616">
        <v>9049.916305174027</v>
      </c>
      <c r="T2616">
        <v>429.67619999999999</v>
      </c>
      <c r="U2616" t="s">
        <v>392</v>
      </c>
      <c r="V2616">
        <v>1.5624589090909089</v>
      </c>
      <c r="W2616">
        <v>16.5973520403479</v>
      </c>
      <c r="X2616">
        <v>27.331519839424129</v>
      </c>
      <c r="Y2616">
        <v>22</v>
      </c>
      <c r="Z2616">
        <v>0.65</v>
      </c>
      <c r="AA2616">
        <v>1</v>
      </c>
    </row>
    <row r="2617" spans="1:27" x14ac:dyDescent="0.25">
      <c r="A2617" t="s">
        <v>98</v>
      </c>
      <c r="B2617" t="s">
        <v>99</v>
      </c>
      <c r="C2617" t="s">
        <v>1367</v>
      </c>
      <c r="D2617" t="s">
        <v>1707</v>
      </c>
      <c r="E2617" t="s">
        <v>426</v>
      </c>
      <c r="G2617" t="s">
        <v>449</v>
      </c>
      <c r="H2617" t="s">
        <v>125</v>
      </c>
      <c r="I2617">
        <v>2016</v>
      </c>
      <c r="J2617" t="s">
        <v>450</v>
      </c>
      <c r="K2617" t="s">
        <v>127</v>
      </c>
      <c r="L2617" t="s">
        <v>2855</v>
      </c>
      <c r="M2617" t="s">
        <v>2863</v>
      </c>
      <c r="N2617">
        <v>1</v>
      </c>
      <c r="O2617">
        <v>2020</v>
      </c>
      <c r="P2617">
        <v>987.6808505023813</v>
      </c>
      <c r="Q2617">
        <v>0.1064422737763619</v>
      </c>
      <c r="R2617" t="s">
        <v>391</v>
      </c>
      <c r="S2617">
        <v>9279.0281103683064</v>
      </c>
      <c r="T2617">
        <v>419</v>
      </c>
      <c r="U2617" t="s">
        <v>392</v>
      </c>
      <c r="V2617">
        <v>1.5236363636363639</v>
      </c>
      <c r="W2617">
        <v>16.5973520403479</v>
      </c>
      <c r="X2617">
        <v>27.331519839424129</v>
      </c>
      <c r="Y2617">
        <v>22</v>
      </c>
      <c r="Z2617">
        <v>0.65</v>
      </c>
      <c r="AA2617">
        <v>1</v>
      </c>
    </row>
    <row r="2618" spans="1:27" x14ac:dyDescent="0.25">
      <c r="A2618" t="s">
        <v>98</v>
      </c>
      <c r="B2618" t="s">
        <v>99</v>
      </c>
      <c r="C2618" t="s">
        <v>1367</v>
      </c>
      <c r="D2618" t="s">
        <v>1707</v>
      </c>
      <c r="E2618" t="s">
        <v>452</v>
      </c>
      <c r="G2618" t="s">
        <v>111</v>
      </c>
      <c r="H2618" t="s">
        <v>104</v>
      </c>
      <c r="I2618">
        <v>2016</v>
      </c>
      <c r="J2618" t="s">
        <v>453</v>
      </c>
      <c r="K2618" t="s">
        <v>106</v>
      </c>
      <c r="L2618" t="s">
        <v>2864</v>
      </c>
      <c r="M2618" t="s">
        <v>2865</v>
      </c>
      <c r="N2618">
        <v>1</v>
      </c>
      <c r="O2618">
        <v>2020</v>
      </c>
      <c r="P2618">
        <v>451.16285763689018</v>
      </c>
      <c r="Q2618">
        <v>30.659778388311501</v>
      </c>
      <c r="R2618" t="s">
        <v>391</v>
      </c>
      <c r="S2618">
        <v>14.71513759567447</v>
      </c>
      <c r="T2618">
        <v>0.45</v>
      </c>
      <c r="U2618" t="s">
        <v>456</v>
      </c>
      <c r="V2618">
        <v>0.45</v>
      </c>
      <c r="W2618">
        <v>9</v>
      </c>
      <c r="X2618">
        <v>15</v>
      </c>
      <c r="Y2618">
        <v>13</v>
      </c>
      <c r="Z2618">
        <v>9.0000000000000011E-2</v>
      </c>
      <c r="AA2618">
        <v>1</v>
      </c>
    </row>
    <row r="2619" spans="1:27" x14ac:dyDescent="0.25">
      <c r="A2619" t="s">
        <v>98</v>
      </c>
      <c r="B2619" t="s">
        <v>99</v>
      </c>
      <c r="C2619" t="s">
        <v>1367</v>
      </c>
      <c r="D2619" t="s">
        <v>1707</v>
      </c>
      <c r="E2619" t="s">
        <v>452</v>
      </c>
      <c r="G2619" t="s">
        <v>119</v>
      </c>
      <c r="H2619" t="s">
        <v>104</v>
      </c>
      <c r="I2619">
        <v>2016</v>
      </c>
      <c r="J2619" t="s">
        <v>457</v>
      </c>
      <c r="K2619" t="s">
        <v>106</v>
      </c>
      <c r="L2619" t="s">
        <v>2864</v>
      </c>
      <c r="M2619" t="s">
        <v>2866</v>
      </c>
      <c r="N2619">
        <v>1</v>
      </c>
      <c r="O2619">
        <v>2020</v>
      </c>
      <c r="P2619">
        <v>521.3437466026287</v>
      </c>
      <c r="Q2619">
        <v>30.659778388311501</v>
      </c>
      <c r="R2619" t="s">
        <v>391</v>
      </c>
      <c r="S2619">
        <v>17.004158999446059</v>
      </c>
      <c r="T2619">
        <v>0.52</v>
      </c>
      <c r="U2619" t="s">
        <v>456</v>
      </c>
      <c r="V2619">
        <v>0.52</v>
      </c>
      <c r="W2619">
        <v>9</v>
      </c>
      <c r="X2619">
        <v>15</v>
      </c>
      <c r="Y2619">
        <v>13</v>
      </c>
      <c r="Z2619">
        <v>9.0000000000000011E-2</v>
      </c>
      <c r="AA2619">
        <v>1</v>
      </c>
    </row>
    <row r="2620" spans="1:27" x14ac:dyDescent="0.25">
      <c r="A2620" t="s">
        <v>98</v>
      </c>
      <c r="B2620" t="s">
        <v>99</v>
      </c>
      <c r="C2620" t="s">
        <v>1367</v>
      </c>
      <c r="D2620" t="s">
        <v>1707</v>
      </c>
      <c r="E2620" t="s">
        <v>452</v>
      </c>
      <c r="G2620" t="s">
        <v>111</v>
      </c>
      <c r="H2620" t="s">
        <v>156</v>
      </c>
      <c r="I2620">
        <v>2016</v>
      </c>
      <c r="J2620" t="s">
        <v>459</v>
      </c>
      <c r="K2620" t="s">
        <v>158</v>
      </c>
      <c r="L2620" t="s">
        <v>2864</v>
      </c>
      <c r="M2620" t="s">
        <v>2867</v>
      </c>
      <c r="N2620">
        <v>1</v>
      </c>
      <c r="O2620">
        <v>2020</v>
      </c>
      <c r="P2620">
        <v>451.16285763689018</v>
      </c>
      <c r="Q2620">
        <v>30.659778388311501</v>
      </c>
      <c r="R2620" t="s">
        <v>391</v>
      </c>
      <c r="S2620">
        <v>14.71513759567447</v>
      </c>
      <c r="T2620">
        <v>0.45</v>
      </c>
      <c r="U2620" t="s">
        <v>456</v>
      </c>
      <c r="V2620">
        <v>0.45</v>
      </c>
      <c r="W2620">
        <v>9</v>
      </c>
      <c r="X2620">
        <v>15</v>
      </c>
      <c r="Y2620">
        <v>13</v>
      </c>
      <c r="Z2620">
        <v>9.0000000000000011E-2</v>
      </c>
      <c r="AA2620">
        <v>1</v>
      </c>
    </row>
    <row r="2621" spans="1:27" x14ac:dyDescent="0.25">
      <c r="A2621" t="s">
        <v>98</v>
      </c>
      <c r="B2621" t="s">
        <v>99</v>
      </c>
      <c r="C2621" t="s">
        <v>1367</v>
      </c>
      <c r="D2621" t="s">
        <v>1707</v>
      </c>
      <c r="E2621" t="s">
        <v>452</v>
      </c>
      <c r="G2621" t="s">
        <v>119</v>
      </c>
      <c r="H2621" t="s">
        <v>156</v>
      </c>
      <c r="I2621">
        <v>2016</v>
      </c>
      <c r="J2621" t="s">
        <v>461</v>
      </c>
      <c r="K2621" t="s">
        <v>158</v>
      </c>
      <c r="L2621" t="s">
        <v>2864</v>
      </c>
      <c r="M2621" t="s">
        <v>2868</v>
      </c>
      <c r="N2621">
        <v>1</v>
      </c>
      <c r="O2621">
        <v>2020</v>
      </c>
      <c r="P2621">
        <v>521.3437466026287</v>
      </c>
      <c r="Q2621">
        <v>30.659778388311501</v>
      </c>
      <c r="R2621" t="s">
        <v>391</v>
      </c>
      <c r="S2621">
        <v>17.004158999446059</v>
      </c>
      <c r="T2621">
        <v>0.52</v>
      </c>
      <c r="U2621" t="s">
        <v>456</v>
      </c>
      <c r="V2621">
        <v>0.52</v>
      </c>
      <c r="W2621">
        <v>9</v>
      </c>
      <c r="X2621">
        <v>15</v>
      </c>
      <c r="Y2621">
        <v>13</v>
      </c>
      <c r="Z2621">
        <v>9.0000000000000011E-2</v>
      </c>
      <c r="AA2621">
        <v>1</v>
      </c>
    </row>
    <row r="2622" spans="1:27" x14ac:dyDescent="0.25">
      <c r="A2622" t="s">
        <v>98</v>
      </c>
      <c r="B2622" t="s">
        <v>99</v>
      </c>
      <c r="C2622" t="s">
        <v>1367</v>
      </c>
      <c r="D2622" t="s">
        <v>1707</v>
      </c>
      <c r="E2622" t="s">
        <v>452</v>
      </c>
      <c r="G2622" t="s">
        <v>111</v>
      </c>
      <c r="H2622" t="s">
        <v>125</v>
      </c>
      <c r="I2622">
        <v>2016</v>
      </c>
      <c r="J2622" t="s">
        <v>463</v>
      </c>
      <c r="K2622" t="s">
        <v>127</v>
      </c>
      <c r="L2622" t="s">
        <v>2864</v>
      </c>
      <c r="M2622" t="s">
        <v>2869</v>
      </c>
      <c r="N2622">
        <v>1</v>
      </c>
      <c r="O2622">
        <v>2020</v>
      </c>
      <c r="P2622">
        <v>938.90648751460947</v>
      </c>
      <c r="Q2622">
        <v>30.659778388311501</v>
      </c>
      <c r="R2622" t="s">
        <v>391</v>
      </c>
      <c r="S2622">
        <v>30.623394455863099</v>
      </c>
      <c r="T2622">
        <v>228.0913607809874</v>
      </c>
      <c r="U2622" t="s">
        <v>392</v>
      </c>
      <c r="V2622">
        <v>0.9</v>
      </c>
      <c r="W2622">
        <v>10</v>
      </c>
      <c r="X2622">
        <v>20</v>
      </c>
      <c r="Y2622">
        <v>16</v>
      </c>
      <c r="Z2622">
        <v>9.0000000000000011E-2</v>
      </c>
      <c r="AA2622">
        <v>1</v>
      </c>
    </row>
    <row r="2623" spans="1:27" x14ac:dyDescent="0.25">
      <c r="A2623" t="s">
        <v>98</v>
      </c>
      <c r="B2623" t="s">
        <v>99</v>
      </c>
      <c r="C2623" t="s">
        <v>1367</v>
      </c>
      <c r="D2623" t="s">
        <v>1707</v>
      </c>
      <c r="E2623" t="s">
        <v>465</v>
      </c>
      <c r="G2623" t="s">
        <v>466</v>
      </c>
      <c r="H2623" t="s">
        <v>125</v>
      </c>
      <c r="I2623">
        <v>2030</v>
      </c>
      <c r="J2623" t="s">
        <v>467</v>
      </c>
      <c r="K2623" t="s">
        <v>127</v>
      </c>
      <c r="L2623" t="s">
        <v>2870</v>
      </c>
      <c r="M2623" t="s">
        <v>2871</v>
      </c>
      <c r="N2623">
        <v>1</v>
      </c>
      <c r="O2623">
        <v>2030</v>
      </c>
      <c r="P2623">
        <v>1646.1347508373019</v>
      </c>
      <c r="Q2623">
        <v>2.3150423430152598</v>
      </c>
      <c r="R2623" t="s">
        <v>391</v>
      </c>
      <c r="S2623">
        <v>711.06032069083892</v>
      </c>
      <c r="T2623">
        <v>0.28000000000000003</v>
      </c>
      <c r="U2623" t="s">
        <v>470</v>
      </c>
      <c r="V2623">
        <v>2.333333333333333</v>
      </c>
      <c r="W2623">
        <v>6</v>
      </c>
      <c r="X2623">
        <v>17</v>
      </c>
      <c r="Y2623">
        <v>12</v>
      </c>
      <c r="Z2623">
        <v>0.02</v>
      </c>
      <c r="AA2623">
        <v>1</v>
      </c>
    </row>
    <row r="2624" spans="1:27" x14ac:dyDescent="0.25">
      <c r="A2624" t="s">
        <v>98</v>
      </c>
      <c r="B2624" t="s">
        <v>99</v>
      </c>
      <c r="C2624" t="s">
        <v>1367</v>
      </c>
      <c r="D2624" t="s">
        <v>1707</v>
      </c>
      <c r="E2624" t="s">
        <v>465</v>
      </c>
      <c r="G2624" t="s">
        <v>471</v>
      </c>
      <c r="H2624" t="s">
        <v>125</v>
      </c>
      <c r="I2624">
        <v>2016</v>
      </c>
      <c r="J2624" t="s">
        <v>472</v>
      </c>
      <c r="K2624" t="s">
        <v>127</v>
      </c>
      <c r="L2624" t="s">
        <v>2870</v>
      </c>
      <c r="M2624" t="s">
        <v>2872</v>
      </c>
      <c r="N2624">
        <v>1</v>
      </c>
      <c r="O2624">
        <v>2020</v>
      </c>
      <c r="P2624">
        <v>792.58339855129361</v>
      </c>
      <c r="Q2624">
        <v>2.3150423430152598</v>
      </c>
      <c r="R2624" t="s">
        <v>391</v>
      </c>
      <c r="S2624">
        <v>342.36237662892239</v>
      </c>
      <c r="T2624">
        <v>0.26</v>
      </c>
      <c r="U2624" t="s">
        <v>470</v>
      </c>
      <c r="V2624">
        <v>2.166666666666667</v>
      </c>
      <c r="W2624">
        <v>6</v>
      </c>
      <c r="X2624">
        <v>17</v>
      </c>
      <c r="Y2624">
        <v>12</v>
      </c>
      <c r="Z2624">
        <v>0.02</v>
      </c>
      <c r="AA2624">
        <v>1</v>
      </c>
    </row>
    <row r="2625" spans="1:27" x14ac:dyDescent="0.25">
      <c r="A2625" t="s">
        <v>98</v>
      </c>
      <c r="B2625" t="s">
        <v>99</v>
      </c>
      <c r="C2625" t="s">
        <v>1367</v>
      </c>
      <c r="D2625" t="s">
        <v>1707</v>
      </c>
      <c r="E2625" t="s">
        <v>465</v>
      </c>
      <c r="G2625" t="s">
        <v>474</v>
      </c>
      <c r="H2625" t="s">
        <v>125</v>
      </c>
      <c r="I2625">
        <v>2016</v>
      </c>
      <c r="J2625" t="s">
        <v>475</v>
      </c>
      <c r="K2625" t="s">
        <v>127</v>
      </c>
      <c r="L2625" t="s">
        <v>2870</v>
      </c>
      <c r="M2625" t="s">
        <v>2873</v>
      </c>
      <c r="N2625">
        <v>0</v>
      </c>
      <c r="O2625">
        <v>2020</v>
      </c>
      <c r="P2625">
        <v>792.58339855129361</v>
      </c>
      <c r="Q2625">
        <v>2.3150423430152598</v>
      </c>
      <c r="R2625" t="s">
        <v>391</v>
      </c>
      <c r="S2625">
        <v>342.36237662892239</v>
      </c>
      <c r="T2625">
        <v>0.26</v>
      </c>
      <c r="U2625" t="s">
        <v>470</v>
      </c>
      <c r="V2625">
        <v>2.166666666666667</v>
      </c>
      <c r="W2625">
        <v>6</v>
      </c>
      <c r="X2625">
        <v>17</v>
      </c>
      <c r="Y2625">
        <v>12</v>
      </c>
      <c r="Z2625">
        <v>0.02</v>
      </c>
      <c r="AA2625">
        <v>1</v>
      </c>
    </row>
    <row r="2626" spans="1:27" x14ac:dyDescent="0.25">
      <c r="A2626" t="s">
        <v>98</v>
      </c>
      <c r="B2626" t="s">
        <v>99</v>
      </c>
      <c r="C2626" t="s">
        <v>1367</v>
      </c>
      <c r="D2626" t="s">
        <v>1707</v>
      </c>
      <c r="E2626" t="s">
        <v>465</v>
      </c>
      <c r="G2626" t="s">
        <v>474</v>
      </c>
      <c r="H2626" t="s">
        <v>125</v>
      </c>
      <c r="I2626">
        <v>2020</v>
      </c>
      <c r="J2626" t="s">
        <v>477</v>
      </c>
      <c r="K2626" t="s">
        <v>127</v>
      </c>
      <c r="L2626" t="s">
        <v>2870</v>
      </c>
      <c r="M2626" t="s">
        <v>2873</v>
      </c>
      <c r="N2626">
        <v>1</v>
      </c>
      <c r="O2626">
        <v>2020</v>
      </c>
      <c r="P2626">
        <v>914.51930602072343</v>
      </c>
      <c r="Q2626">
        <v>2.3150423430152598</v>
      </c>
      <c r="R2626" t="s">
        <v>391</v>
      </c>
      <c r="S2626">
        <v>395.03351149491061</v>
      </c>
      <c r="T2626">
        <v>0.24</v>
      </c>
      <c r="U2626" t="s">
        <v>470</v>
      </c>
      <c r="V2626">
        <v>2</v>
      </c>
      <c r="W2626">
        <v>6</v>
      </c>
      <c r="X2626">
        <v>17</v>
      </c>
      <c r="Y2626">
        <v>12</v>
      </c>
      <c r="Z2626">
        <v>0.02</v>
      </c>
      <c r="AA2626">
        <v>1</v>
      </c>
    </row>
    <row r="2627" spans="1:27" x14ac:dyDescent="0.25">
      <c r="A2627" t="s">
        <v>98</v>
      </c>
      <c r="B2627" t="s">
        <v>99</v>
      </c>
      <c r="C2627" t="s">
        <v>1367</v>
      </c>
      <c r="D2627" t="s">
        <v>1707</v>
      </c>
      <c r="E2627" t="s">
        <v>465</v>
      </c>
      <c r="G2627" t="s">
        <v>478</v>
      </c>
      <c r="H2627" t="s">
        <v>125</v>
      </c>
      <c r="I2627">
        <v>2016</v>
      </c>
      <c r="J2627" t="s">
        <v>479</v>
      </c>
      <c r="K2627" t="s">
        <v>127</v>
      </c>
      <c r="L2627" t="s">
        <v>2870</v>
      </c>
      <c r="M2627" t="s">
        <v>2874</v>
      </c>
      <c r="N2627">
        <v>1</v>
      </c>
      <c r="O2627">
        <v>2020</v>
      </c>
      <c r="P2627">
        <v>1158.3911209595831</v>
      </c>
      <c r="Q2627">
        <v>2.3150423430152598</v>
      </c>
      <c r="R2627" t="s">
        <v>391</v>
      </c>
      <c r="S2627">
        <v>500.37578122688672</v>
      </c>
      <c r="T2627">
        <v>0.15</v>
      </c>
      <c r="U2627" t="s">
        <v>470</v>
      </c>
      <c r="V2627">
        <v>1.25</v>
      </c>
      <c r="W2627">
        <v>6</v>
      </c>
      <c r="X2627">
        <v>17</v>
      </c>
      <c r="Y2627">
        <v>12</v>
      </c>
      <c r="Z2627">
        <v>0.02</v>
      </c>
      <c r="AA2627">
        <v>1</v>
      </c>
    </row>
    <row r="2628" spans="1:27" x14ac:dyDescent="0.25">
      <c r="A2628" t="s">
        <v>98</v>
      </c>
      <c r="B2628" t="s">
        <v>99</v>
      </c>
      <c r="C2628" t="s">
        <v>1367</v>
      </c>
      <c r="D2628" t="s">
        <v>1707</v>
      </c>
      <c r="E2628" t="s">
        <v>465</v>
      </c>
      <c r="G2628" t="s">
        <v>481</v>
      </c>
      <c r="H2628" t="s">
        <v>125</v>
      </c>
      <c r="I2628">
        <v>2016</v>
      </c>
      <c r="J2628" t="s">
        <v>482</v>
      </c>
      <c r="K2628" t="s">
        <v>127</v>
      </c>
      <c r="L2628" t="s">
        <v>2870</v>
      </c>
      <c r="M2628" t="s">
        <v>2875</v>
      </c>
      <c r="N2628">
        <v>1</v>
      </c>
      <c r="O2628">
        <v>2020</v>
      </c>
      <c r="P2628">
        <v>1371.7789590310849</v>
      </c>
      <c r="Q2628">
        <v>2.3150423430152598</v>
      </c>
      <c r="R2628" t="s">
        <v>391</v>
      </c>
      <c r="S2628">
        <v>592.55026724236586</v>
      </c>
      <c r="T2628">
        <v>0.12</v>
      </c>
      <c r="U2628" t="s">
        <v>470</v>
      </c>
      <c r="V2628">
        <v>1</v>
      </c>
      <c r="W2628">
        <v>6</v>
      </c>
      <c r="X2628">
        <v>17</v>
      </c>
      <c r="Y2628">
        <v>12</v>
      </c>
      <c r="Z2628">
        <v>0.02</v>
      </c>
      <c r="AA2628">
        <v>1</v>
      </c>
    </row>
    <row r="2629" spans="1:27" x14ac:dyDescent="0.25">
      <c r="A2629" t="s">
        <v>98</v>
      </c>
      <c r="B2629" t="s">
        <v>99</v>
      </c>
      <c r="C2629" t="s">
        <v>1367</v>
      </c>
      <c r="D2629" t="s">
        <v>1707</v>
      </c>
      <c r="E2629" t="s">
        <v>465</v>
      </c>
      <c r="G2629" t="s">
        <v>484</v>
      </c>
      <c r="H2629" t="s">
        <v>125</v>
      </c>
      <c r="I2629">
        <v>2016</v>
      </c>
      <c r="J2629" t="s">
        <v>485</v>
      </c>
      <c r="K2629" t="s">
        <v>127</v>
      </c>
      <c r="L2629" t="s">
        <v>2870</v>
      </c>
      <c r="M2629" t="s">
        <v>2876</v>
      </c>
      <c r="N2629">
        <v>1</v>
      </c>
      <c r="O2629">
        <v>2020</v>
      </c>
      <c r="P2629">
        <v>1158.3911209595831</v>
      </c>
      <c r="Q2629">
        <v>2.3150423430152598</v>
      </c>
      <c r="R2629" t="s">
        <v>391</v>
      </c>
      <c r="S2629">
        <v>500.37578122688672</v>
      </c>
      <c r="T2629">
        <v>0.15</v>
      </c>
      <c r="U2629" t="s">
        <v>470</v>
      </c>
      <c r="V2629">
        <v>1.25</v>
      </c>
      <c r="W2629">
        <v>6</v>
      </c>
      <c r="X2629">
        <v>17</v>
      </c>
      <c r="Y2629">
        <v>12</v>
      </c>
      <c r="Z2629">
        <v>0.02</v>
      </c>
      <c r="AA2629">
        <v>1</v>
      </c>
    </row>
    <row r="2630" spans="1:27" x14ac:dyDescent="0.25">
      <c r="A2630" t="s">
        <v>98</v>
      </c>
      <c r="B2630" t="s">
        <v>99</v>
      </c>
      <c r="C2630" t="s">
        <v>1367</v>
      </c>
      <c r="D2630" t="s">
        <v>1707</v>
      </c>
      <c r="E2630" t="s">
        <v>465</v>
      </c>
      <c r="G2630" t="s">
        <v>487</v>
      </c>
      <c r="H2630" t="s">
        <v>125</v>
      </c>
      <c r="I2630">
        <v>2016</v>
      </c>
      <c r="J2630" t="s">
        <v>488</v>
      </c>
      <c r="K2630" t="s">
        <v>127</v>
      </c>
      <c r="L2630" t="s">
        <v>2870</v>
      </c>
      <c r="M2630" t="s">
        <v>2877</v>
      </c>
      <c r="N2630">
        <v>1</v>
      </c>
      <c r="O2630">
        <v>2020</v>
      </c>
      <c r="P2630">
        <v>1219.359074694298</v>
      </c>
      <c r="Q2630">
        <v>2.3150423430152598</v>
      </c>
      <c r="R2630" t="s">
        <v>391</v>
      </c>
      <c r="S2630">
        <v>526.71134865988074</v>
      </c>
      <c r="T2630">
        <v>0.21</v>
      </c>
      <c r="U2630" t="s">
        <v>470</v>
      </c>
      <c r="V2630">
        <v>1.75</v>
      </c>
      <c r="W2630">
        <v>6</v>
      </c>
      <c r="X2630">
        <v>17</v>
      </c>
      <c r="Y2630">
        <v>12</v>
      </c>
      <c r="Z2630">
        <v>0.02</v>
      </c>
      <c r="AA2630">
        <v>1</v>
      </c>
    </row>
    <row r="2631" spans="1:27" x14ac:dyDescent="0.25">
      <c r="A2631" t="s">
        <v>98</v>
      </c>
      <c r="B2631" t="s">
        <v>99</v>
      </c>
      <c r="C2631" t="s">
        <v>1367</v>
      </c>
      <c r="D2631" t="s">
        <v>1707</v>
      </c>
      <c r="E2631" t="s">
        <v>465</v>
      </c>
      <c r="G2631" t="s">
        <v>487</v>
      </c>
      <c r="H2631" t="s">
        <v>125</v>
      </c>
      <c r="I2631">
        <v>2030</v>
      </c>
      <c r="J2631" t="s">
        <v>490</v>
      </c>
      <c r="K2631" t="s">
        <v>127</v>
      </c>
      <c r="L2631" t="s">
        <v>2870</v>
      </c>
      <c r="M2631" t="s">
        <v>2878</v>
      </c>
      <c r="N2631">
        <v>1</v>
      </c>
      <c r="O2631">
        <v>2030</v>
      </c>
      <c r="P2631">
        <v>1280.3270284290129</v>
      </c>
      <c r="Q2631">
        <v>2.3150423430152598</v>
      </c>
      <c r="R2631" t="s">
        <v>391</v>
      </c>
      <c r="S2631">
        <v>553.04691609287477</v>
      </c>
      <c r="T2631">
        <v>0.17</v>
      </c>
      <c r="U2631" t="s">
        <v>470</v>
      </c>
      <c r="V2631">
        <v>1.416666666666667</v>
      </c>
      <c r="W2631">
        <v>6</v>
      </c>
      <c r="X2631">
        <v>17</v>
      </c>
      <c r="Y2631">
        <v>12</v>
      </c>
      <c r="Z2631">
        <v>0.02</v>
      </c>
      <c r="AA2631">
        <v>1</v>
      </c>
    </row>
    <row r="2632" spans="1:27" x14ac:dyDescent="0.25">
      <c r="A2632" t="s">
        <v>98</v>
      </c>
      <c r="B2632" t="s">
        <v>99</v>
      </c>
      <c r="C2632" t="s">
        <v>1367</v>
      </c>
      <c r="D2632" t="s">
        <v>1707</v>
      </c>
      <c r="E2632" t="s">
        <v>465</v>
      </c>
      <c r="G2632" t="s">
        <v>492</v>
      </c>
      <c r="H2632" t="s">
        <v>125</v>
      </c>
      <c r="I2632">
        <v>2016</v>
      </c>
      <c r="J2632" t="s">
        <v>493</v>
      </c>
      <c r="K2632" t="s">
        <v>127</v>
      </c>
      <c r="L2632" t="s">
        <v>2870</v>
      </c>
      <c r="M2632" t="s">
        <v>2879</v>
      </c>
      <c r="N2632">
        <v>1</v>
      </c>
      <c r="O2632">
        <v>2020</v>
      </c>
      <c r="P2632">
        <v>1158.3911209595831</v>
      </c>
      <c r="Q2632">
        <v>2.3150423430152598</v>
      </c>
      <c r="R2632" t="s">
        <v>391</v>
      </c>
      <c r="S2632">
        <v>500.37578122688672</v>
      </c>
      <c r="T2632">
        <v>0.28999999999999998</v>
      </c>
      <c r="U2632" t="s">
        <v>470</v>
      </c>
      <c r="V2632">
        <v>2.416666666666667</v>
      </c>
      <c r="W2632">
        <v>6</v>
      </c>
      <c r="X2632">
        <v>17</v>
      </c>
      <c r="Y2632">
        <v>12</v>
      </c>
      <c r="Z2632">
        <v>0.02</v>
      </c>
      <c r="AA2632">
        <v>1</v>
      </c>
    </row>
    <row r="2633" spans="1:27" x14ac:dyDescent="0.25">
      <c r="A2633" t="s">
        <v>98</v>
      </c>
      <c r="B2633" t="s">
        <v>99</v>
      </c>
      <c r="C2633" t="s">
        <v>1367</v>
      </c>
      <c r="D2633" t="s">
        <v>1707</v>
      </c>
      <c r="E2633" t="s">
        <v>465</v>
      </c>
      <c r="G2633" t="s">
        <v>466</v>
      </c>
      <c r="H2633" t="s">
        <v>125</v>
      </c>
      <c r="I2633">
        <v>2016</v>
      </c>
      <c r="J2633" t="s">
        <v>495</v>
      </c>
      <c r="K2633" t="s">
        <v>127</v>
      </c>
      <c r="L2633" t="s">
        <v>2870</v>
      </c>
      <c r="M2633" t="s">
        <v>2880</v>
      </c>
      <c r="N2633">
        <v>0</v>
      </c>
      <c r="O2633">
        <v>2020</v>
      </c>
      <c r="P2633">
        <v>1280.3270284290129</v>
      </c>
      <c r="Q2633">
        <v>2.3150423430152598</v>
      </c>
      <c r="R2633" t="s">
        <v>391</v>
      </c>
      <c r="S2633">
        <v>553.04691609287477</v>
      </c>
      <c r="T2633">
        <v>0.17</v>
      </c>
      <c r="U2633" t="s">
        <v>470</v>
      </c>
      <c r="V2633">
        <v>1.416666666666667</v>
      </c>
      <c r="W2633">
        <v>6</v>
      </c>
      <c r="X2633">
        <v>17</v>
      </c>
      <c r="Y2633">
        <v>12</v>
      </c>
      <c r="Z2633">
        <v>0.02</v>
      </c>
      <c r="AA2633">
        <v>1</v>
      </c>
    </row>
    <row r="2634" spans="1:27" x14ac:dyDescent="0.25">
      <c r="A2634" t="s">
        <v>98</v>
      </c>
      <c r="B2634" t="s">
        <v>99</v>
      </c>
      <c r="C2634" t="s">
        <v>1367</v>
      </c>
      <c r="D2634" t="s">
        <v>1707</v>
      </c>
      <c r="E2634" t="s">
        <v>465</v>
      </c>
      <c r="G2634" t="s">
        <v>466</v>
      </c>
      <c r="H2634" t="s">
        <v>125</v>
      </c>
      <c r="I2634">
        <v>2020</v>
      </c>
      <c r="J2634" t="s">
        <v>497</v>
      </c>
      <c r="K2634" t="s">
        <v>127</v>
      </c>
      <c r="L2634" t="s">
        <v>2870</v>
      </c>
      <c r="M2634" t="s">
        <v>2880</v>
      </c>
      <c r="N2634">
        <v>1</v>
      </c>
      <c r="O2634">
        <v>2020</v>
      </c>
      <c r="P2634">
        <v>1646.1347508373019</v>
      </c>
      <c r="Q2634">
        <v>2.3150423430152598</v>
      </c>
      <c r="R2634" t="s">
        <v>391</v>
      </c>
      <c r="S2634">
        <v>711.06032069083892</v>
      </c>
      <c r="T2634">
        <v>0.28000000000000003</v>
      </c>
      <c r="U2634" t="s">
        <v>470</v>
      </c>
      <c r="V2634">
        <v>2.333333333333333</v>
      </c>
      <c r="W2634">
        <v>6</v>
      </c>
      <c r="X2634">
        <v>17</v>
      </c>
      <c r="Y2634">
        <v>12</v>
      </c>
      <c r="Z2634">
        <v>0.02</v>
      </c>
      <c r="AA2634">
        <v>1</v>
      </c>
    </row>
    <row r="2635" spans="1:27" x14ac:dyDescent="0.25">
      <c r="A2635" t="s">
        <v>98</v>
      </c>
      <c r="B2635" t="s">
        <v>99</v>
      </c>
      <c r="C2635" t="s">
        <v>1367</v>
      </c>
      <c r="D2635" t="s">
        <v>1707</v>
      </c>
      <c r="E2635" t="s">
        <v>498</v>
      </c>
      <c r="G2635" t="s">
        <v>103</v>
      </c>
      <c r="H2635" t="s">
        <v>104</v>
      </c>
      <c r="I2635">
        <v>2016</v>
      </c>
      <c r="J2635" t="s">
        <v>499</v>
      </c>
      <c r="K2635" t="s">
        <v>106</v>
      </c>
      <c r="L2635" t="s">
        <v>2881</v>
      </c>
      <c r="M2635" t="s">
        <v>2882</v>
      </c>
      <c r="N2635">
        <v>1</v>
      </c>
      <c r="O2635">
        <v>2020</v>
      </c>
      <c r="P2635">
        <v>792.58339855129361</v>
      </c>
      <c r="Q2635">
        <v>29.59868669025969</v>
      </c>
      <c r="R2635" t="s">
        <v>391</v>
      </c>
      <c r="S2635">
        <v>26.77765425356241</v>
      </c>
      <c r="T2635">
        <v>3.3</v>
      </c>
      <c r="U2635" t="s">
        <v>502</v>
      </c>
      <c r="V2635">
        <v>1</v>
      </c>
      <c r="W2635">
        <v>8</v>
      </c>
      <c r="X2635">
        <v>18</v>
      </c>
      <c r="Y2635">
        <v>14</v>
      </c>
      <c r="Z2635">
        <v>0.02</v>
      </c>
      <c r="AA2635">
        <v>1</v>
      </c>
    </row>
    <row r="2636" spans="1:27" x14ac:dyDescent="0.25">
      <c r="A2636" t="s">
        <v>98</v>
      </c>
      <c r="B2636" t="s">
        <v>99</v>
      </c>
      <c r="C2636" t="s">
        <v>1367</v>
      </c>
      <c r="D2636" t="s">
        <v>1707</v>
      </c>
      <c r="E2636" t="s">
        <v>498</v>
      </c>
      <c r="G2636" t="s">
        <v>111</v>
      </c>
      <c r="H2636" t="s">
        <v>104</v>
      </c>
      <c r="I2636">
        <v>2016</v>
      </c>
      <c r="J2636" t="s">
        <v>503</v>
      </c>
      <c r="K2636" t="s">
        <v>106</v>
      </c>
      <c r="L2636" t="s">
        <v>2881</v>
      </c>
      <c r="M2636" t="s">
        <v>2883</v>
      </c>
      <c r="N2636">
        <v>1</v>
      </c>
      <c r="O2636">
        <v>2020</v>
      </c>
      <c r="P2636">
        <v>804.77698929823669</v>
      </c>
      <c r="Q2636">
        <v>29.59868669025969</v>
      </c>
      <c r="R2636" t="s">
        <v>391</v>
      </c>
      <c r="S2636">
        <v>27.189618165155679</v>
      </c>
      <c r="T2636">
        <v>3.32</v>
      </c>
      <c r="U2636" t="s">
        <v>502</v>
      </c>
      <c r="V2636">
        <v>1.0060606060606061</v>
      </c>
      <c r="W2636">
        <v>8</v>
      </c>
      <c r="X2636">
        <v>18</v>
      </c>
      <c r="Y2636">
        <v>14</v>
      </c>
      <c r="Z2636">
        <v>0.02</v>
      </c>
      <c r="AA2636">
        <v>1</v>
      </c>
    </row>
    <row r="2637" spans="1:27" x14ac:dyDescent="0.25">
      <c r="A2637" t="s">
        <v>98</v>
      </c>
      <c r="B2637" t="s">
        <v>99</v>
      </c>
      <c r="C2637" t="s">
        <v>1367</v>
      </c>
      <c r="D2637" t="s">
        <v>1707</v>
      </c>
      <c r="E2637" t="s">
        <v>498</v>
      </c>
      <c r="G2637" t="s">
        <v>114</v>
      </c>
      <c r="H2637" t="s">
        <v>104</v>
      </c>
      <c r="I2637">
        <v>2016</v>
      </c>
      <c r="J2637" t="s">
        <v>505</v>
      </c>
      <c r="K2637" t="s">
        <v>106</v>
      </c>
      <c r="L2637" t="s">
        <v>2881</v>
      </c>
      <c r="M2637" t="s">
        <v>2884</v>
      </c>
      <c r="N2637">
        <v>1</v>
      </c>
      <c r="O2637">
        <v>2020</v>
      </c>
      <c r="P2637">
        <v>843.56142251742892</v>
      </c>
      <c r="Q2637">
        <v>29.59868669025969</v>
      </c>
      <c r="R2637" t="s">
        <v>391</v>
      </c>
      <c r="S2637">
        <v>28.49996120925957</v>
      </c>
      <c r="T2637">
        <v>3.48</v>
      </c>
      <c r="U2637" t="s">
        <v>502</v>
      </c>
      <c r="V2637">
        <v>1.0545454545454549</v>
      </c>
      <c r="W2637">
        <v>8</v>
      </c>
      <c r="X2637">
        <v>18</v>
      </c>
      <c r="Y2637">
        <v>14</v>
      </c>
      <c r="Z2637">
        <v>0.02</v>
      </c>
      <c r="AA2637">
        <v>1</v>
      </c>
    </row>
    <row r="2638" spans="1:27" x14ac:dyDescent="0.25">
      <c r="A2638" t="s">
        <v>98</v>
      </c>
      <c r="B2638" t="s">
        <v>99</v>
      </c>
      <c r="C2638" t="s">
        <v>1367</v>
      </c>
      <c r="D2638" t="s">
        <v>1707</v>
      </c>
      <c r="E2638" t="s">
        <v>498</v>
      </c>
      <c r="G2638" t="s">
        <v>119</v>
      </c>
      <c r="H2638" t="s">
        <v>104</v>
      </c>
      <c r="I2638">
        <v>2016</v>
      </c>
      <c r="J2638" t="s">
        <v>507</v>
      </c>
      <c r="K2638" t="s">
        <v>106</v>
      </c>
      <c r="L2638" t="s">
        <v>2881</v>
      </c>
      <c r="M2638" t="s">
        <v>2885</v>
      </c>
      <c r="N2638">
        <v>1</v>
      </c>
      <c r="O2638">
        <v>2020</v>
      </c>
      <c r="P2638">
        <v>938.90648751460947</v>
      </c>
      <c r="Q2638">
        <v>29.59868669025969</v>
      </c>
      <c r="R2638" t="s">
        <v>391</v>
      </c>
      <c r="S2638">
        <v>31.721221192681629</v>
      </c>
      <c r="T2638">
        <v>3.49</v>
      </c>
      <c r="U2638" t="s">
        <v>502</v>
      </c>
      <c r="V2638">
        <v>1.0575757575757581</v>
      </c>
      <c r="W2638">
        <v>8</v>
      </c>
      <c r="X2638">
        <v>18</v>
      </c>
      <c r="Y2638">
        <v>14</v>
      </c>
      <c r="Z2638">
        <v>0.02</v>
      </c>
      <c r="AA2638">
        <v>1</v>
      </c>
    </row>
    <row r="2639" spans="1:27" x14ac:dyDescent="0.25">
      <c r="A2639" t="s">
        <v>98</v>
      </c>
      <c r="B2639" t="s">
        <v>99</v>
      </c>
      <c r="C2639" t="s">
        <v>1367</v>
      </c>
      <c r="D2639" t="s">
        <v>1707</v>
      </c>
      <c r="E2639" t="s">
        <v>498</v>
      </c>
      <c r="G2639" t="s">
        <v>119</v>
      </c>
      <c r="H2639" t="s">
        <v>104</v>
      </c>
      <c r="I2639">
        <v>2030</v>
      </c>
      <c r="J2639" t="s">
        <v>509</v>
      </c>
      <c r="K2639" t="s">
        <v>106</v>
      </c>
      <c r="L2639" t="s">
        <v>2881</v>
      </c>
      <c r="M2639" t="s">
        <v>2886</v>
      </c>
      <c r="N2639">
        <v>1</v>
      </c>
      <c r="O2639">
        <v>2030</v>
      </c>
      <c r="P2639">
        <v>987.6808505023813</v>
      </c>
      <c r="Q2639">
        <v>29.59868669025969</v>
      </c>
      <c r="R2639" t="s">
        <v>391</v>
      </c>
      <c r="S2639">
        <v>33.369076839054699</v>
      </c>
      <c r="T2639">
        <v>3.61</v>
      </c>
      <c r="U2639" t="s">
        <v>502</v>
      </c>
      <c r="V2639">
        <v>1.093939393939394</v>
      </c>
      <c r="W2639">
        <v>8</v>
      </c>
      <c r="X2639">
        <v>18</v>
      </c>
      <c r="Y2639">
        <v>14</v>
      </c>
      <c r="Z2639">
        <v>0.02</v>
      </c>
      <c r="AA2639">
        <v>1</v>
      </c>
    </row>
    <row r="2640" spans="1:27" x14ac:dyDescent="0.25">
      <c r="A2640" t="s">
        <v>98</v>
      </c>
      <c r="B2640" t="s">
        <v>99</v>
      </c>
      <c r="C2640" t="s">
        <v>1367</v>
      </c>
      <c r="D2640" t="s">
        <v>1707</v>
      </c>
      <c r="E2640" t="s">
        <v>498</v>
      </c>
      <c r="G2640" t="s">
        <v>103</v>
      </c>
      <c r="H2640" t="s">
        <v>125</v>
      </c>
      <c r="I2640">
        <v>2016</v>
      </c>
      <c r="J2640" t="s">
        <v>511</v>
      </c>
      <c r="K2640" t="s">
        <v>127</v>
      </c>
      <c r="L2640" t="s">
        <v>2881</v>
      </c>
      <c r="M2640" t="s">
        <v>2887</v>
      </c>
      <c r="N2640">
        <v>1</v>
      </c>
      <c r="O2640">
        <v>2020</v>
      </c>
      <c r="P2640">
        <v>646.26030958797787</v>
      </c>
      <c r="Q2640">
        <v>29.59868669025969</v>
      </c>
      <c r="R2640" t="s">
        <v>391</v>
      </c>
      <c r="S2640">
        <v>21.834087314443199</v>
      </c>
      <c r="T2640">
        <v>3.73</v>
      </c>
      <c r="U2640" t="s">
        <v>502</v>
      </c>
      <c r="V2640">
        <v>1.1303030303030299</v>
      </c>
      <c r="W2640">
        <v>8</v>
      </c>
      <c r="X2640">
        <v>18</v>
      </c>
      <c r="Y2640">
        <v>14</v>
      </c>
      <c r="Z2640">
        <v>0.02</v>
      </c>
      <c r="AA2640">
        <v>1</v>
      </c>
    </row>
    <row r="2641" spans="1:27" x14ac:dyDescent="0.25">
      <c r="A2641" t="s">
        <v>98</v>
      </c>
      <c r="B2641" t="s">
        <v>99</v>
      </c>
      <c r="C2641" t="s">
        <v>1367</v>
      </c>
      <c r="D2641" t="s">
        <v>1707</v>
      </c>
      <c r="E2641" t="s">
        <v>498</v>
      </c>
      <c r="G2641" t="s">
        <v>111</v>
      </c>
      <c r="H2641" t="s">
        <v>125</v>
      </c>
      <c r="I2641">
        <v>2016</v>
      </c>
      <c r="J2641" t="s">
        <v>513</v>
      </c>
      <c r="K2641" t="s">
        <v>127</v>
      </c>
      <c r="L2641" t="s">
        <v>2881</v>
      </c>
      <c r="M2641" t="s">
        <v>2888</v>
      </c>
      <c r="N2641">
        <v>1</v>
      </c>
      <c r="O2641">
        <v>2020</v>
      </c>
      <c r="P2641">
        <v>658.45390033492083</v>
      </c>
      <c r="Q2641">
        <v>29.59868669025969</v>
      </c>
      <c r="R2641" t="s">
        <v>391</v>
      </c>
      <c r="S2641">
        <v>22.24605122603646</v>
      </c>
      <c r="T2641">
        <v>3.74</v>
      </c>
      <c r="U2641" t="s">
        <v>502</v>
      </c>
      <c r="V2641">
        <v>1.133333333333334</v>
      </c>
      <c r="W2641">
        <v>8</v>
      </c>
      <c r="X2641">
        <v>18</v>
      </c>
      <c r="Y2641">
        <v>14</v>
      </c>
      <c r="Z2641">
        <v>0.02</v>
      </c>
      <c r="AA2641">
        <v>1</v>
      </c>
    </row>
    <row r="2642" spans="1:27" x14ac:dyDescent="0.25">
      <c r="A2642" t="s">
        <v>98</v>
      </c>
      <c r="B2642" t="s">
        <v>99</v>
      </c>
      <c r="C2642" t="s">
        <v>1367</v>
      </c>
      <c r="D2642" t="s">
        <v>1707</v>
      </c>
      <c r="E2642" t="s">
        <v>498</v>
      </c>
      <c r="G2642" t="s">
        <v>114</v>
      </c>
      <c r="H2642" t="s">
        <v>125</v>
      </c>
      <c r="I2642">
        <v>2016</v>
      </c>
      <c r="J2642" t="s">
        <v>515</v>
      </c>
      <c r="K2642" t="s">
        <v>127</v>
      </c>
      <c r="L2642" t="s">
        <v>2881</v>
      </c>
      <c r="M2642" t="s">
        <v>2889</v>
      </c>
      <c r="N2642">
        <v>1</v>
      </c>
      <c r="O2642">
        <v>2020</v>
      </c>
      <c r="P2642">
        <v>691.90476692947561</v>
      </c>
      <c r="Q2642">
        <v>29.59868669025969</v>
      </c>
      <c r="R2642" t="s">
        <v>391</v>
      </c>
      <c r="S2642">
        <v>23.376198213455432</v>
      </c>
      <c r="T2642">
        <v>3.93</v>
      </c>
      <c r="U2642" t="s">
        <v>502</v>
      </c>
      <c r="V2642">
        <v>1.1909090909090909</v>
      </c>
      <c r="W2642">
        <v>8</v>
      </c>
      <c r="X2642">
        <v>18</v>
      </c>
      <c r="Y2642">
        <v>14</v>
      </c>
      <c r="Z2642">
        <v>0.02</v>
      </c>
      <c r="AA2642">
        <v>1</v>
      </c>
    </row>
    <row r="2643" spans="1:27" x14ac:dyDescent="0.25">
      <c r="A2643" t="s">
        <v>98</v>
      </c>
      <c r="B2643" t="s">
        <v>99</v>
      </c>
      <c r="C2643" t="s">
        <v>1367</v>
      </c>
      <c r="D2643" t="s">
        <v>1707</v>
      </c>
      <c r="E2643" t="s">
        <v>498</v>
      </c>
      <c r="G2643" t="s">
        <v>119</v>
      </c>
      <c r="H2643" t="s">
        <v>125</v>
      </c>
      <c r="I2643">
        <v>2016</v>
      </c>
      <c r="J2643" t="s">
        <v>517</v>
      </c>
      <c r="K2643" t="s">
        <v>127</v>
      </c>
      <c r="L2643" t="s">
        <v>2881</v>
      </c>
      <c r="M2643" t="s">
        <v>2890</v>
      </c>
      <c r="N2643">
        <v>1</v>
      </c>
      <c r="O2643">
        <v>2020</v>
      </c>
      <c r="P2643">
        <v>938.90648751460947</v>
      </c>
      <c r="Q2643">
        <v>29.59868669025969</v>
      </c>
      <c r="R2643" t="s">
        <v>391</v>
      </c>
      <c r="S2643">
        <v>31.721221192681629</v>
      </c>
      <c r="T2643">
        <v>4.5</v>
      </c>
      <c r="U2643" t="s">
        <v>502</v>
      </c>
      <c r="V2643">
        <v>1.363636363636364</v>
      </c>
      <c r="W2643">
        <v>8</v>
      </c>
      <c r="X2643">
        <v>18</v>
      </c>
      <c r="Y2643">
        <v>14</v>
      </c>
      <c r="Z2643">
        <v>0.02</v>
      </c>
      <c r="AA2643">
        <v>1</v>
      </c>
    </row>
    <row r="2644" spans="1:27" x14ac:dyDescent="0.25">
      <c r="A2644" t="s">
        <v>98</v>
      </c>
      <c r="B2644" t="s">
        <v>519</v>
      </c>
      <c r="C2644" t="s">
        <v>1367</v>
      </c>
      <c r="D2644" t="s">
        <v>1707</v>
      </c>
      <c r="E2644" t="s">
        <v>102</v>
      </c>
      <c r="G2644" t="s">
        <v>103</v>
      </c>
      <c r="H2644" t="s">
        <v>104</v>
      </c>
      <c r="I2644">
        <v>2016</v>
      </c>
      <c r="J2644" t="s">
        <v>105</v>
      </c>
      <c r="K2644" t="s">
        <v>106</v>
      </c>
      <c r="L2644" t="s">
        <v>2891</v>
      </c>
      <c r="M2644" t="s">
        <v>2892</v>
      </c>
      <c r="N2644">
        <v>1</v>
      </c>
      <c r="O2644">
        <v>2020</v>
      </c>
      <c r="P2644">
        <v>2225.3303113170941</v>
      </c>
      <c r="Q2644">
        <v>2.6125724148833172</v>
      </c>
      <c r="R2644" t="s">
        <v>109</v>
      </c>
      <c r="S2644">
        <v>851.77746601005958</v>
      </c>
      <c r="T2644">
        <v>0.61014999999999997</v>
      </c>
      <c r="U2644" t="s">
        <v>110</v>
      </c>
      <c r="V2644">
        <v>0.61014999999999997</v>
      </c>
      <c r="W2644">
        <v>6</v>
      </c>
      <c r="X2644">
        <v>20</v>
      </c>
      <c r="Y2644">
        <v>14</v>
      </c>
      <c r="Z2644">
        <v>0.24</v>
      </c>
      <c r="AA2644">
        <v>31.536000000000001</v>
      </c>
    </row>
    <row r="2645" spans="1:27" x14ac:dyDescent="0.25">
      <c r="A2645" t="s">
        <v>98</v>
      </c>
      <c r="B2645" t="s">
        <v>519</v>
      </c>
      <c r="C2645" t="s">
        <v>1367</v>
      </c>
      <c r="D2645" t="s">
        <v>1707</v>
      </c>
      <c r="E2645" t="s">
        <v>102</v>
      </c>
      <c r="G2645" t="s">
        <v>111</v>
      </c>
      <c r="H2645" t="s">
        <v>104</v>
      </c>
      <c r="I2645">
        <v>2016</v>
      </c>
      <c r="J2645" t="s">
        <v>112</v>
      </c>
      <c r="K2645" t="s">
        <v>106</v>
      </c>
      <c r="L2645" t="s">
        <v>2891</v>
      </c>
      <c r="M2645" t="s">
        <v>2893</v>
      </c>
      <c r="N2645">
        <v>1</v>
      </c>
      <c r="O2645">
        <v>2020</v>
      </c>
      <c r="P2645">
        <v>2347.266218786523</v>
      </c>
      <c r="Q2645">
        <v>2.6125724148833172</v>
      </c>
      <c r="R2645" t="s">
        <v>109</v>
      </c>
      <c r="S2645">
        <v>898.45020387362456</v>
      </c>
      <c r="T2645">
        <v>0.63</v>
      </c>
      <c r="U2645" t="s">
        <v>110</v>
      </c>
      <c r="V2645">
        <v>0.63</v>
      </c>
      <c r="W2645">
        <v>6</v>
      </c>
      <c r="X2645">
        <v>20</v>
      </c>
      <c r="Y2645">
        <v>14</v>
      </c>
      <c r="Z2645">
        <v>0.24</v>
      </c>
      <c r="AA2645">
        <v>31.536000000000001</v>
      </c>
    </row>
    <row r="2646" spans="1:27" x14ac:dyDescent="0.25">
      <c r="A2646" t="s">
        <v>98</v>
      </c>
      <c r="B2646" t="s">
        <v>519</v>
      </c>
      <c r="C2646" t="s">
        <v>1367</v>
      </c>
      <c r="D2646" t="s">
        <v>1707</v>
      </c>
      <c r="E2646" t="s">
        <v>102</v>
      </c>
      <c r="G2646" t="s">
        <v>114</v>
      </c>
      <c r="H2646" t="s">
        <v>104</v>
      </c>
      <c r="I2646">
        <v>2016</v>
      </c>
      <c r="J2646" t="s">
        <v>115</v>
      </c>
      <c r="K2646" t="s">
        <v>106</v>
      </c>
      <c r="L2646" t="s">
        <v>2891</v>
      </c>
      <c r="M2646" t="s">
        <v>2894</v>
      </c>
      <c r="N2646">
        <v>1</v>
      </c>
      <c r="O2646">
        <v>2020</v>
      </c>
      <c r="P2646">
        <v>2469.2021262559529</v>
      </c>
      <c r="Q2646">
        <v>2.6125724148833172</v>
      </c>
      <c r="R2646" t="s">
        <v>109</v>
      </c>
      <c r="S2646">
        <v>945.12294173718942</v>
      </c>
      <c r="T2646">
        <v>0.66</v>
      </c>
      <c r="U2646" t="s">
        <v>110</v>
      </c>
      <c r="V2646">
        <v>0.66</v>
      </c>
      <c r="W2646">
        <v>6</v>
      </c>
      <c r="X2646">
        <v>20</v>
      </c>
      <c r="Y2646">
        <v>14</v>
      </c>
      <c r="Z2646">
        <v>0.24</v>
      </c>
      <c r="AA2646">
        <v>31.536000000000001</v>
      </c>
    </row>
    <row r="2647" spans="1:27" x14ac:dyDescent="0.25">
      <c r="A2647" t="s">
        <v>98</v>
      </c>
      <c r="B2647" t="s">
        <v>519</v>
      </c>
      <c r="C2647" t="s">
        <v>1367</v>
      </c>
      <c r="D2647" t="s">
        <v>1707</v>
      </c>
      <c r="E2647" t="s">
        <v>102</v>
      </c>
      <c r="G2647" t="s">
        <v>114</v>
      </c>
      <c r="H2647" t="s">
        <v>104</v>
      </c>
      <c r="I2647">
        <v>2023</v>
      </c>
      <c r="J2647" t="s">
        <v>117</v>
      </c>
      <c r="K2647" t="s">
        <v>106</v>
      </c>
      <c r="L2647" t="s">
        <v>2891</v>
      </c>
      <c r="M2647" t="s">
        <v>2895</v>
      </c>
      <c r="N2647">
        <v>1</v>
      </c>
      <c r="O2647">
        <v>2023</v>
      </c>
      <c r="P2647">
        <v>3865.2553631628971</v>
      </c>
      <c r="Q2647">
        <v>2.6125724148833172</v>
      </c>
      <c r="R2647" t="s">
        <v>109</v>
      </c>
      <c r="S2647">
        <v>1479.482574776986</v>
      </c>
      <c r="T2647">
        <v>0.83499999999999996</v>
      </c>
      <c r="U2647" t="s">
        <v>110</v>
      </c>
      <c r="V2647">
        <v>0.83499999999999996</v>
      </c>
      <c r="W2647">
        <v>6</v>
      </c>
      <c r="X2647">
        <v>20</v>
      </c>
      <c r="Y2647">
        <v>14</v>
      </c>
      <c r="Z2647">
        <v>0.24</v>
      </c>
      <c r="AA2647">
        <v>31.536000000000001</v>
      </c>
    </row>
    <row r="2648" spans="1:27" x14ac:dyDescent="0.25">
      <c r="A2648" t="s">
        <v>98</v>
      </c>
      <c r="B2648" t="s">
        <v>519</v>
      </c>
      <c r="C2648" t="s">
        <v>1367</v>
      </c>
      <c r="D2648" t="s">
        <v>1707</v>
      </c>
      <c r="E2648" t="s">
        <v>102</v>
      </c>
      <c r="G2648" t="s">
        <v>119</v>
      </c>
      <c r="H2648" t="s">
        <v>104</v>
      </c>
      <c r="I2648">
        <v>2016</v>
      </c>
      <c r="J2648" t="s">
        <v>120</v>
      </c>
      <c r="K2648" t="s">
        <v>106</v>
      </c>
      <c r="L2648" t="s">
        <v>2891</v>
      </c>
      <c r="M2648" t="s">
        <v>2896</v>
      </c>
      <c r="N2648">
        <v>0</v>
      </c>
      <c r="O2648">
        <v>2020</v>
      </c>
      <c r="P2648">
        <v>3749.5291546849662</v>
      </c>
      <c r="Q2648">
        <v>2.6125724148833172</v>
      </c>
      <c r="R2648" t="s">
        <v>109</v>
      </c>
      <c r="S2648">
        <v>1435.186689304621</v>
      </c>
      <c r="T2648">
        <v>0.81</v>
      </c>
      <c r="U2648" t="s">
        <v>110</v>
      </c>
      <c r="V2648">
        <v>0.81</v>
      </c>
      <c r="W2648">
        <v>6</v>
      </c>
      <c r="X2648">
        <v>20</v>
      </c>
      <c r="Y2648">
        <v>14</v>
      </c>
      <c r="Z2648">
        <v>0.24</v>
      </c>
      <c r="AA2648">
        <v>31.536000000000001</v>
      </c>
    </row>
    <row r="2649" spans="1:27" x14ac:dyDescent="0.25">
      <c r="A2649" t="s">
        <v>98</v>
      </c>
      <c r="B2649" t="s">
        <v>519</v>
      </c>
      <c r="C2649" t="s">
        <v>1367</v>
      </c>
      <c r="D2649" t="s">
        <v>1707</v>
      </c>
      <c r="E2649" t="s">
        <v>102</v>
      </c>
      <c r="G2649" t="s">
        <v>119</v>
      </c>
      <c r="H2649" t="s">
        <v>104</v>
      </c>
      <c r="I2649">
        <v>2018</v>
      </c>
      <c r="J2649" t="s">
        <v>122</v>
      </c>
      <c r="K2649" t="s">
        <v>106</v>
      </c>
      <c r="L2649" t="s">
        <v>2891</v>
      </c>
      <c r="M2649" t="s">
        <v>2896</v>
      </c>
      <c r="N2649">
        <v>1</v>
      </c>
      <c r="O2649">
        <v>2020</v>
      </c>
      <c r="P2649">
        <v>3749.5291546849662</v>
      </c>
      <c r="Q2649">
        <v>2.6125724148833172</v>
      </c>
      <c r="R2649" t="s">
        <v>109</v>
      </c>
      <c r="S2649">
        <v>1435.186689304621</v>
      </c>
      <c r="T2649">
        <v>0.81</v>
      </c>
      <c r="U2649" t="s">
        <v>110</v>
      </c>
      <c r="V2649">
        <v>0.81</v>
      </c>
      <c r="W2649">
        <v>6</v>
      </c>
      <c r="X2649">
        <v>20</v>
      </c>
      <c r="Y2649">
        <v>14</v>
      </c>
      <c r="Z2649">
        <v>0.24</v>
      </c>
      <c r="AA2649">
        <v>31.536000000000001</v>
      </c>
    </row>
    <row r="2650" spans="1:27" x14ac:dyDescent="0.25">
      <c r="A2650" t="s">
        <v>98</v>
      </c>
      <c r="B2650" t="s">
        <v>519</v>
      </c>
      <c r="C2650" t="s">
        <v>1367</v>
      </c>
      <c r="D2650" t="s">
        <v>1707</v>
      </c>
      <c r="E2650" t="s">
        <v>102</v>
      </c>
      <c r="G2650" t="s">
        <v>119</v>
      </c>
      <c r="H2650" t="s">
        <v>104</v>
      </c>
      <c r="I2650">
        <v>2022</v>
      </c>
      <c r="J2650" t="s">
        <v>123</v>
      </c>
      <c r="K2650" t="s">
        <v>106</v>
      </c>
      <c r="L2650" t="s">
        <v>2891</v>
      </c>
      <c r="M2650" t="s">
        <v>2897</v>
      </c>
      <c r="N2650">
        <v>1</v>
      </c>
      <c r="O2650">
        <v>2022</v>
      </c>
      <c r="P2650">
        <v>3749.5291546849662</v>
      </c>
      <c r="Q2650">
        <v>2.6125724148833172</v>
      </c>
      <c r="R2650" t="s">
        <v>109</v>
      </c>
      <c r="S2650">
        <v>1435.186689304621</v>
      </c>
      <c r="T2650">
        <v>0.81</v>
      </c>
      <c r="U2650" t="s">
        <v>110</v>
      </c>
      <c r="V2650">
        <v>0.81</v>
      </c>
      <c r="W2650">
        <v>6</v>
      </c>
      <c r="X2650">
        <v>20</v>
      </c>
      <c r="Y2650">
        <v>14</v>
      </c>
      <c r="Z2650">
        <v>0.24</v>
      </c>
      <c r="AA2650">
        <v>31.536000000000001</v>
      </c>
    </row>
    <row r="2651" spans="1:27" x14ac:dyDescent="0.25">
      <c r="A2651" t="s">
        <v>98</v>
      </c>
      <c r="B2651" t="s">
        <v>519</v>
      </c>
      <c r="C2651" t="s">
        <v>1367</v>
      </c>
      <c r="D2651" t="s">
        <v>1707</v>
      </c>
      <c r="E2651" t="s">
        <v>102</v>
      </c>
      <c r="G2651" t="s">
        <v>103</v>
      </c>
      <c r="H2651" t="s">
        <v>125</v>
      </c>
      <c r="I2651">
        <v>2016</v>
      </c>
      <c r="J2651" t="s">
        <v>126</v>
      </c>
      <c r="K2651" t="s">
        <v>127</v>
      </c>
      <c r="L2651" t="s">
        <v>2891</v>
      </c>
      <c r="M2651" t="s">
        <v>2898</v>
      </c>
      <c r="N2651">
        <v>1</v>
      </c>
      <c r="O2651">
        <v>2020</v>
      </c>
      <c r="P2651">
        <v>945.00328288808089</v>
      </c>
      <c r="Q2651">
        <v>2.6125724148833172</v>
      </c>
      <c r="R2651" t="s">
        <v>109</v>
      </c>
      <c r="S2651">
        <v>361.71371844262808</v>
      </c>
      <c r="T2651">
        <v>0.91554999999999997</v>
      </c>
      <c r="U2651" t="s">
        <v>110</v>
      </c>
      <c r="V2651">
        <v>0.91554999999999997</v>
      </c>
      <c r="W2651">
        <v>6</v>
      </c>
      <c r="X2651">
        <v>20</v>
      </c>
      <c r="Y2651">
        <v>14</v>
      </c>
      <c r="Z2651">
        <v>0.24</v>
      </c>
      <c r="AA2651">
        <v>31.536000000000001</v>
      </c>
    </row>
    <row r="2652" spans="1:27" x14ac:dyDescent="0.25">
      <c r="A2652" t="s">
        <v>98</v>
      </c>
      <c r="B2652" t="s">
        <v>519</v>
      </c>
      <c r="C2652" t="s">
        <v>1367</v>
      </c>
      <c r="D2652" t="s">
        <v>1707</v>
      </c>
      <c r="E2652" t="s">
        <v>102</v>
      </c>
      <c r="G2652" t="s">
        <v>111</v>
      </c>
      <c r="H2652" t="s">
        <v>125</v>
      </c>
      <c r="I2652">
        <v>2016</v>
      </c>
      <c r="J2652" t="s">
        <v>129</v>
      </c>
      <c r="K2652" t="s">
        <v>127</v>
      </c>
      <c r="L2652" t="s">
        <v>2891</v>
      </c>
      <c r="M2652" t="s">
        <v>2899</v>
      </c>
      <c r="N2652">
        <v>1</v>
      </c>
      <c r="O2652">
        <v>2020</v>
      </c>
      <c r="P2652">
        <v>1036.455213490153</v>
      </c>
      <c r="Q2652">
        <v>2.6125724148833172</v>
      </c>
      <c r="R2652" t="s">
        <v>109</v>
      </c>
      <c r="S2652">
        <v>396.71827184030178</v>
      </c>
      <c r="T2652">
        <v>0.93</v>
      </c>
      <c r="U2652" t="s">
        <v>110</v>
      </c>
      <c r="V2652">
        <v>0.93</v>
      </c>
      <c r="W2652">
        <v>6</v>
      </c>
      <c r="X2652">
        <v>20</v>
      </c>
      <c r="Y2652">
        <v>14</v>
      </c>
      <c r="Z2652">
        <v>0.24</v>
      </c>
      <c r="AA2652">
        <v>31.536000000000001</v>
      </c>
    </row>
    <row r="2653" spans="1:27" x14ac:dyDescent="0.25">
      <c r="A2653" t="s">
        <v>98</v>
      </c>
      <c r="B2653" t="s">
        <v>519</v>
      </c>
      <c r="C2653" t="s">
        <v>1367</v>
      </c>
      <c r="D2653" t="s">
        <v>1707</v>
      </c>
      <c r="E2653" t="s">
        <v>102</v>
      </c>
      <c r="G2653" t="s">
        <v>119</v>
      </c>
      <c r="H2653" t="s">
        <v>125</v>
      </c>
      <c r="I2653">
        <v>2016</v>
      </c>
      <c r="J2653" t="s">
        <v>131</v>
      </c>
      <c r="K2653" t="s">
        <v>127</v>
      </c>
      <c r="L2653" t="s">
        <v>2891</v>
      </c>
      <c r="M2653" t="s">
        <v>2900</v>
      </c>
      <c r="N2653">
        <v>1</v>
      </c>
      <c r="O2653">
        <v>2020</v>
      </c>
      <c r="P2653">
        <v>1493.714866500515</v>
      </c>
      <c r="Q2653">
        <v>2.6125724148833172</v>
      </c>
      <c r="R2653" t="s">
        <v>109</v>
      </c>
      <c r="S2653">
        <v>571.74103882867018</v>
      </c>
      <c r="T2653">
        <v>0.95</v>
      </c>
      <c r="U2653" t="s">
        <v>110</v>
      </c>
      <c r="V2653">
        <v>0.95</v>
      </c>
      <c r="W2653">
        <v>6</v>
      </c>
      <c r="X2653">
        <v>20</v>
      </c>
      <c r="Y2653">
        <v>14</v>
      </c>
      <c r="Z2653">
        <v>0.24</v>
      </c>
      <c r="AA2653">
        <v>31.536000000000001</v>
      </c>
    </row>
    <row r="2654" spans="1:27" x14ac:dyDescent="0.25">
      <c r="A2654" t="s">
        <v>98</v>
      </c>
      <c r="B2654" t="s">
        <v>519</v>
      </c>
      <c r="C2654" t="s">
        <v>1367</v>
      </c>
      <c r="D2654" t="s">
        <v>1707</v>
      </c>
      <c r="E2654" t="s">
        <v>102</v>
      </c>
      <c r="G2654" t="s">
        <v>133</v>
      </c>
      <c r="H2654" t="s">
        <v>125</v>
      </c>
      <c r="I2654">
        <v>2016</v>
      </c>
      <c r="J2654" t="s">
        <v>134</v>
      </c>
      <c r="K2654" t="s">
        <v>127</v>
      </c>
      <c r="L2654" t="s">
        <v>2891</v>
      </c>
      <c r="M2654" t="s">
        <v>2901</v>
      </c>
      <c r="N2654">
        <v>1</v>
      </c>
      <c r="O2654">
        <v>2020</v>
      </c>
      <c r="P2654">
        <v>2530.170079990668</v>
      </c>
      <c r="Q2654">
        <v>2.6125724148833172</v>
      </c>
      <c r="R2654" t="s">
        <v>109</v>
      </c>
      <c r="S2654">
        <v>968.45931066897185</v>
      </c>
      <c r="T2654">
        <v>3.28</v>
      </c>
      <c r="U2654" t="s">
        <v>110</v>
      </c>
      <c r="V2654">
        <v>3.28</v>
      </c>
      <c r="W2654">
        <v>6</v>
      </c>
      <c r="X2654">
        <v>20</v>
      </c>
      <c r="Y2654">
        <v>14</v>
      </c>
      <c r="Z2654">
        <v>0.24</v>
      </c>
      <c r="AA2654">
        <v>31.536000000000001</v>
      </c>
    </row>
    <row r="2655" spans="1:27" x14ac:dyDescent="0.25">
      <c r="A2655" t="s">
        <v>98</v>
      </c>
      <c r="B2655" t="s">
        <v>519</v>
      </c>
      <c r="C2655" t="s">
        <v>1367</v>
      </c>
      <c r="D2655" t="s">
        <v>1707</v>
      </c>
      <c r="E2655" t="s">
        <v>102</v>
      </c>
      <c r="G2655" t="s">
        <v>133</v>
      </c>
      <c r="H2655" t="s">
        <v>125</v>
      </c>
      <c r="I2655">
        <v>2022</v>
      </c>
      <c r="J2655" t="s">
        <v>136</v>
      </c>
      <c r="K2655" t="s">
        <v>127</v>
      </c>
      <c r="L2655" t="s">
        <v>2891</v>
      </c>
      <c r="M2655" t="s">
        <v>2902</v>
      </c>
      <c r="N2655">
        <v>1</v>
      </c>
      <c r="O2655">
        <v>2022</v>
      </c>
      <c r="P2655">
        <v>2530.170079990668</v>
      </c>
      <c r="Q2655">
        <v>2.6125724148833172</v>
      </c>
      <c r="R2655" t="s">
        <v>109</v>
      </c>
      <c r="S2655">
        <v>968.45931066897185</v>
      </c>
      <c r="T2655">
        <v>3.28</v>
      </c>
      <c r="U2655" t="s">
        <v>110</v>
      </c>
      <c r="V2655">
        <v>3.28</v>
      </c>
      <c r="W2655">
        <v>6</v>
      </c>
      <c r="X2655">
        <v>20</v>
      </c>
      <c r="Y2655">
        <v>14</v>
      </c>
      <c r="Z2655">
        <v>0.24</v>
      </c>
      <c r="AA2655">
        <v>31.536000000000001</v>
      </c>
    </row>
    <row r="2656" spans="1:27" x14ac:dyDescent="0.25">
      <c r="A2656" t="s">
        <v>98</v>
      </c>
      <c r="B2656" t="s">
        <v>519</v>
      </c>
      <c r="C2656" t="s">
        <v>1367</v>
      </c>
      <c r="D2656" t="s">
        <v>1707</v>
      </c>
      <c r="E2656" t="s">
        <v>102</v>
      </c>
      <c r="G2656" t="s">
        <v>138</v>
      </c>
      <c r="H2656" t="s">
        <v>125</v>
      </c>
      <c r="I2656">
        <v>2016</v>
      </c>
      <c r="J2656" t="s">
        <v>139</v>
      </c>
      <c r="K2656" t="s">
        <v>127</v>
      </c>
      <c r="L2656" t="s">
        <v>2891</v>
      </c>
      <c r="M2656" t="s">
        <v>2903</v>
      </c>
      <c r="N2656">
        <v>1</v>
      </c>
      <c r="O2656">
        <v>2020</v>
      </c>
      <c r="P2656">
        <v>2316.7822419191662</v>
      </c>
      <c r="Q2656">
        <v>2.6125724148833172</v>
      </c>
      <c r="R2656" t="s">
        <v>109</v>
      </c>
      <c r="S2656">
        <v>886.7820194077334</v>
      </c>
      <c r="T2656">
        <v>2</v>
      </c>
      <c r="U2656" t="s">
        <v>110</v>
      </c>
      <c r="V2656">
        <v>2</v>
      </c>
      <c r="W2656">
        <v>6</v>
      </c>
      <c r="X2656">
        <v>20</v>
      </c>
      <c r="Y2656">
        <v>14</v>
      </c>
      <c r="Z2656">
        <v>0.24</v>
      </c>
      <c r="AA2656">
        <v>31.536000000000001</v>
      </c>
    </row>
    <row r="2657" spans="1:27" x14ac:dyDescent="0.25">
      <c r="A2657" t="s">
        <v>98</v>
      </c>
      <c r="B2657" t="s">
        <v>519</v>
      </c>
      <c r="C2657" t="s">
        <v>1367</v>
      </c>
      <c r="D2657" t="s">
        <v>1707</v>
      </c>
      <c r="E2657" t="s">
        <v>102</v>
      </c>
      <c r="G2657" t="s">
        <v>138</v>
      </c>
      <c r="H2657" t="s">
        <v>125</v>
      </c>
      <c r="I2657">
        <v>2022</v>
      </c>
      <c r="J2657" t="s">
        <v>141</v>
      </c>
      <c r="K2657" t="s">
        <v>127</v>
      </c>
      <c r="L2657" t="s">
        <v>2891</v>
      </c>
      <c r="M2657" t="s">
        <v>2904</v>
      </c>
      <c r="N2657">
        <v>1</v>
      </c>
      <c r="O2657">
        <v>2022</v>
      </c>
      <c r="P2657">
        <v>2805.3845753706141</v>
      </c>
      <c r="Q2657">
        <v>2.6125724148833172</v>
      </c>
      <c r="R2657" t="s">
        <v>109</v>
      </c>
      <c r="S2657">
        <v>1073.801652114553</v>
      </c>
      <c r="T2657">
        <v>3.3</v>
      </c>
      <c r="U2657" t="s">
        <v>110</v>
      </c>
      <c r="V2657">
        <v>3.3</v>
      </c>
      <c r="W2657">
        <v>6</v>
      </c>
      <c r="X2657">
        <v>20</v>
      </c>
      <c r="Y2657">
        <v>14</v>
      </c>
      <c r="Z2657">
        <v>0.24</v>
      </c>
      <c r="AA2657">
        <v>31.536000000000001</v>
      </c>
    </row>
    <row r="2658" spans="1:27" x14ac:dyDescent="0.25">
      <c r="A2658" t="s">
        <v>98</v>
      </c>
      <c r="B2658" t="s">
        <v>519</v>
      </c>
      <c r="C2658" t="s">
        <v>1367</v>
      </c>
      <c r="D2658" t="s">
        <v>1707</v>
      </c>
      <c r="E2658" t="s">
        <v>102</v>
      </c>
      <c r="G2658" t="s">
        <v>143</v>
      </c>
      <c r="H2658" t="s">
        <v>125</v>
      </c>
      <c r="I2658">
        <v>2016</v>
      </c>
      <c r="J2658" t="s">
        <v>144</v>
      </c>
      <c r="K2658" t="s">
        <v>127</v>
      </c>
      <c r="L2658" t="s">
        <v>2891</v>
      </c>
      <c r="M2658" t="s">
        <v>2905</v>
      </c>
      <c r="N2658">
        <v>1</v>
      </c>
      <c r="O2658">
        <v>2020</v>
      </c>
      <c r="P2658">
        <v>3017.9137098683868</v>
      </c>
      <c r="Q2658">
        <v>2.6125724148833172</v>
      </c>
      <c r="R2658" t="s">
        <v>109</v>
      </c>
      <c r="S2658">
        <v>1155.1502621232321</v>
      </c>
      <c r="T2658">
        <v>3.55</v>
      </c>
      <c r="U2658" t="s">
        <v>110</v>
      </c>
      <c r="V2658">
        <v>3.55</v>
      </c>
      <c r="W2658">
        <v>6</v>
      </c>
      <c r="X2658">
        <v>20</v>
      </c>
      <c r="Y2658">
        <v>14</v>
      </c>
      <c r="Z2658">
        <v>0.24</v>
      </c>
      <c r="AA2658">
        <v>31.536000000000001</v>
      </c>
    </row>
    <row r="2659" spans="1:27" x14ac:dyDescent="0.25">
      <c r="A2659" t="s">
        <v>98</v>
      </c>
      <c r="B2659" t="s">
        <v>519</v>
      </c>
      <c r="C2659" t="s">
        <v>1367</v>
      </c>
      <c r="D2659" t="s">
        <v>1707</v>
      </c>
      <c r="E2659" t="s">
        <v>102</v>
      </c>
      <c r="G2659" t="s">
        <v>143</v>
      </c>
      <c r="H2659" t="s">
        <v>125</v>
      </c>
      <c r="I2659">
        <v>2022</v>
      </c>
      <c r="J2659" t="s">
        <v>146</v>
      </c>
      <c r="K2659" t="s">
        <v>127</v>
      </c>
      <c r="L2659" t="s">
        <v>2891</v>
      </c>
      <c r="M2659" t="s">
        <v>2906</v>
      </c>
      <c r="N2659">
        <v>1</v>
      </c>
      <c r="O2659">
        <v>2022</v>
      </c>
      <c r="P2659">
        <v>3017.9137098683868</v>
      </c>
      <c r="Q2659">
        <v>2.6125724148833172</v>
      </c>
      <c r="R2659" t="s">
        <v>109</v>
      </c>
      <c r="S2659">
        <v>1155.1502621232321</v>
      </c>
      <c r="T2659">
        <v>3.55</v>
      </c>
      <c r="U2659" t="s">
        <v>110</v>
      </c>
      <c r="V2659">
        <v>3.55</v>
      </c>
      <c r="W2659">
        <v>6</v>
      </c>
      <c r="X2659">
        <v>20</v>
      </c>
      <c r="Y2659">
        <v>14</v>
      </c>
      <c r="Z2659">
        <v>0.24</v>
      </c>
      <c r="AA2659">
        <v>31.536000000000001</v>
      </c>
    </row>
    <row r="2660" spans="1:27" x14ac:dyDescent="0.25">
      <c r="A2660" t="s">
        <v>98</v>
      </c>
      <c r="B2660" t="s">
        <v>519</v>
      </c>
      <c r="C2660" t="s">
        <v>1367</v>
      </c>
      <c r="D2660" t="s">
        <v>1707</v>
      </c>
      <c r="E2660" t="s">
        <v>102</v>
      </c>
      <c r="G2660" t="s">
        <v>103</v>
      </c>
      <c r="H2660" t="s">
        <v>148</v>
      </c>
      <c r="I2660">
        <v>2016</v>
      </c>
      <c r="J2660" t="s">
        <v>149</v>
      </c>
      <c r="K2660" t="s">
        <v>150</v>
      </c>
      <c r="L2660" t="s">
        <v>2891</v>
      </c>
      <c r="M2660" t="s">
        <v>2907</v>
      </c>
      <c r="N2660">
        <v>1</v>
      </c>
      <c r="O2660">
        <v>2020</v>
      </c>
      <c r="P2660">
        <v>2926.4617792663148</v>
      </c>
      <c r="Q2660">
        <v>2.6125724148833172</v>
      </c>
      <c r="R2660" t="s">
        <v>109</v>
      </c>
      <c r="S2660">
        <v>1120.1457087255581</v>
      </c>
      <c r="T2660">
        <v>0.63670000000000004</v>
      </c>
      <c r="U2660" t="s">
        <v>110</v>
      </c>
      <c r="V2660">
        <v>0.63670000000000004</v>
      </c>
      <c r="W2660">
        <v>6</v>
      </c>
      <c r="X2660">
        <v>20</v>
      </c>
      <c r="Y2660">
        <v>14</v>
      </c>
      <c r="Z2660">
        <v>0.24</v>
      </c>
      <c r="AA2660">
        <v>31.536000000000001</v>
      </c>
    </row>
    <row r="2661" spans="1:27" x14ac:dyDescent="0.25">
      <c r="A2661" t="s">
        <v>98</v>
      </c>
      <c r="B2661" t="s">
        <v>519</v>
      </c>
      <c r="C2661" t="s">
        <v>1367</v>
      </c>
      <c r="D2661" t="s">
        <v>1707</v>
      </c>
      <c r="E2661" t="s">
        <v>102</v>
      </c>
      <c r="G2661" t="s">
        <v>111</v>
      </c>
      <c r="H2661" t="s">
        <v>148</v>
      </c>
      <c r="I2661">
        <v>2016</v>
      </c>
      <c r="J2661" t="s">
        <v>152</v>
      </c>
      <c r="K2661" t="s">
        <v>150</v>
      </c>
      <c r="L2661" t="s">
        <v>2891</v>
      </c>
      <c r="M2661" t="s">
        <v>2908</v>
      </c>
      <c r="N2661">
        <v>1</v>
      </c>
      <c r="O2661">
        <v>2020</v>
      </c>
      <c r="P2661">
        <v>3109.3656404704602</v>
      </c>
      <c r="Q2661">
        <v>2.6125724148833172</v>
      </c>
      <c r="R2661" t="s">
        <v>109</v>
      </c>
      <c r="S2661">
        <v>1190.154815520905</v>
      </c>
      <c r="T2661">
        <v>0.67</v>
      </c>
      <c r="U2661" t="s">
        <v>110</v>
      </c>
      <c r="V2661">
        <v>0.67</v>
      </c>
      <c r="W2661">
        <v>6</v>
      </c>
      <c r="X2661">
        <v>20</v>
      </c>
      <c r="Y2661">
        <v>14</v>
      </c>
      <c r="Z2661">
        <v>0.24</v>
      </c>
      <c r="AA2661">
        <v>31.536000000000001</v>
      </c>
    </row>
    <row r="2662" spans="1:27" x14ac:dyDescent="0.25">
      <c r="A2662" t="s">
        <v>98</v>
      </c>
      <c r="B2662" t="s">
        <v>519</v>
      </c>
      <c r="C2662" t="s">
        <v>1367</v>
      </c>
      <c r="D2662" t="s">
        <v>1707</v>
      </c>
      <c r="E2662" t="s">
        <v>102</v>
      </c>
      <c r="G2662" t="s">
        <v>119</v>
      </c>
      <c r="H2662" t="s">
        <v>148</v>
      </c>
      <c r="I2662">
        <v>2016</v>
      </c>
      <c r="J2662" t="s">
        <v>154</v>
      </c>
      <c r="K2662" t="s">
        <v>150</v>
      </c>
      <c r="L2662" t="s">
        <v>2891</v>
      </c>
      <c r="M2662" t="s">
        <v>2909</v>
      </c>
      <c r="N2662">
        <v>1</v>
      </c>
      <c r="O2662">
        <v>2020</v>
      </c>
      <c r="P2662">
        <v>3078.881663603102</v>
      </c>
      <c r="Q2662">
        <v>2.6125724148833172</v>
      </c>
      <c r="R2662" t="s">
        <v>109</v>
      </c>
      <c r="S2662">
        <v>1178.486631055014</v>
      </c>
      <c r="T2662">
        <v>0.69</v>
      </c>
      <c r="U2662" t="s">
        <v>110</v>
      </c>
      <c r="V2662">
        <v>0.69</v>
      </c>
      <c r="W2662">
        <v>6</v>
      </c>
      <c r="X2662">
        <v>20</v>
      </c>
      <c r="Y2662">
        <v>14</v>
      </c>
      <c r="Z2662">
        <v>0.24</v>
      </c>
      <c r="AA2662">
        <v>31.536000000000001</v>
      </c>
    </row>
    <row r="2663" spans="1:27" x14ac:dyDescent="0.25">
      <c r="A2663" t="s">
        <v>98</v>
      </c>
      <c r="B2663" t="s">
        <v>519</v>
      </c>
      <c r="C2663" t="s">
        <v>1367</v>
      </c>
      <c r="D2663" t="s">
        <v>1707</v>
      </c>
      <c r="E2663" t="s">
        <v>102</v>
      </c>
      <c r="G2663" t="s">
        <v>103</v>
      </c>
      <c r="H2663" t="s">
        <v>156</v>
      </c>
      <c r="I2663">
        <v>2016</v>
      </c>
      <c r="J2663" t="s">
        <v>157</v>
      </c>
      <c r="K2663" t="s">
        <v>158</v>
      </c>
      <c r="L2663" t="s">
        <v>2891</v>
      </c>
      <c r="M2663" t="s">
        <v>2910</v>
      </c>
      <c r="N2663">
        <v>1</v>
      </c>
      <c r="O2663">
        <v>2020</v>
      </c>
      <c r="P2663">
        <v>2225.3303113170941</v>
      </c>
      <c r="Q2663">
        <v>2.6125724148833172</v>
      </c>
      <c r="R2663" t="s">
        <v>109</v>
      </c>
      <c r="S2663">
        <v>851.77746601005958</v>
      </c>
      <c r="T2663">
        <v>0.61014999999999997</v>
      </c>
      <c r="U2663" t="s">
        <v>110</v>
      </c>
      <c r="V2663">
        <v>0.61014999999999997</v>
      </c>
      <c r="W2663">
        <v>6</v>
      </c>
      <c r="X2663">
        <v>20</v>
      </c>
      <c r="Y2663">
        <v>14</v>
      </c>
      <c r="Z2663">
        <v>0.24</v>
      </c>
      <c r="AA2663">
        <v>31.536000000000001</v>
      </c>
    </row>
    <row r="2664" spans="1:27" x14ac:dyDescent="0.25">
      <c r="A2664" t="s">
        <v>98</v>
      </c>
      <c r="B2664" t="s">
        <v>519</v>
      </c>
      <c r="C2664" t="s">
        <v>1367</v>
      </c>
      <c r="D2664" t="s">
        <v>1707</v>
      </c>
      <c r="E2664" t="s">
        <v>102</v>
      </c>
      <c r="G2664" t="s">
        <v>111</v>
      </c>
      <c r="H2664" t="s">
        <v>156</v>
      </c>
      <c r="I2664">
        <v>2016</v>
      </c>
      <c r="J2664" t="s">
        <v>160</v>
      </c>
      <c r="K2664" t="s">
        <v>158</v>
      </c>
      <c r="L2664" t="s">
        <v>2891</v>
      </c>
      <c r="M2664" t="s">
        <v>2911</v>
      </c>
      <c r="N2664">
        <v>1</v>
      </c>
      <c r="O2664">
        <v>2020</v>
      </c>
      <c r="P2664">
        <v>2347.266218786523</v>
      </c>
      <c r="Q2664">
        <v>2.6125724148833172</v>
      </c>
      <c r="R2664" t="s">
        <v>109</v>
      </c>
      <c r="S2664">
        <v>898.45020387362456</v>
      </c>
      <c r="T2664">
        <v>0.63</v>
      </c>
      <c r="U2664" t="s">
        <v>110</v>
      </c>
      <c r="V2664">
        <v>0.63</v>
      </c>
      <c r="W2664">
        <v>6</v>
      </c>
      <c r="X2664">
        <v>20</v>
      </c>
      <c r="Y2664">
        <v>14</v>
      </c>
      <c r="Z2664">
        <v>0.24</v>
      </c>
      <c r="AA2664">
        <v>31.536000000000001</v>
      </c>
    </row>
    <row r="2665" spans="1:27" x14ac:dyDescent="0.25">
      <c r="A2665" t="s">
        <v>98</v>
      </c>
      <c r="B2665" t="s">
        <v>519</v>
      </c>
      <c r="C2665" t="s">
        <v>1367</v>
      </c>
      <c r="D2665" t="s">
        <v>1707</v>
      </c>
      <c r="E2665" t="s">
        <v>102</v>
      </c>
      <c r="G2665" t="s">
        <v>114</v>
      </c>
      <c r="H2665" t="s">
        <v>156</v>
      </c>
      <c r="I2665">
        <v>2016</v>
      </c>
      <c r="J2665" t="s">
        <v>162</v>
      </c>
      <c r="K2665" t="s">
        <v>158</v>
      </c>
      <c r="L2665" t="s">
        <v>2891</v>
      </c>
      <c r="M2665" t="s">
        <v>2912</v>
      </c>
      <c r="N2665">
        <v>1</v>
      </c>
      <c r="O2665">
        <v>2020</v>
      </c>
      <c r="P2665">
        <v>2469.2021262559529</v>
      </c>
      <c r="Q2665">
        <v>2.6125724148833172</v>
      </c>
      <c r="R2665" t="s">
        <v>109</v>
      </c>
      <c r="S2665">
        <v>945.12294173718942</v>
      </c>
      <c r="T2665">
        <v>0.66</v>
      </c>
      <c r="U2665" t="s">
        <v>110</v>
      </c>
      <c r="V2665">
        <v>0.66</v>
      </c>
      <c r="W2665">
        <v>6</v>
      </c>
      <c r="X2665">
        <v>20</v>
      </c>
      <c r="Y2665">
        <v>14</v>
      </c>
      <c r="Z2665">
        <v>0.24</v>
      </c>
      <c r="AA2665">
        <v>31.536000000000001</v>
      </c>
    </row>
    <row r="2666" spans="1:27" x14ac:dyDescent="0.25">
      <c r="A2666" t="s">
        <v>98</v>
      </c>
      <c r="B2666" t="s">
        <v>519</v>
      </c>
      <c r="C2666" t="s">
        <v>1367</v>
      </c>
      <c r="D2666" t="s">
        <v>1707</v>
      </c>
      <c r="E2666" t="s">
        <v>102</v>
      </c>
      <c r="G2666" t="s">
        <v>114</v>
      </c>
      <c r="H2666" t="s">
        <v>156</v>
      </c>
      <c r="I2666">
        <v>2023</v>
      </c>
      <c r="J2666" t="s">
        <v>164</v>
      </c>
      <c r="K2666" t="s">
        <v>158</v>
      </c>
      <c r="L2666" t="s">
        <v>2891</v>
      </c>
      <c r="M2666" t="s">
        <v>2913</v>
      </c>
      <c r="N2666">
        <v>1</v>
      </c>
      <c r="O2666">
        <v>2023</v>
      </c>
      <c r="P2666">
        <v>3865.2553631628971</v>
      </c>
      <c r="Q2666">
        <v>2.6125724148833172</v>
      </c>
      <c r="R2666" t="s">
        <v>109</v>
      </c>
      <c r="S2666">
        <v>1479.482574776986</v>
      </c>
      <c r="T2666">
        <v>0.83499999999999996</v>
      </c>
      <c r="U2666" t="s">
        <v>110</v>
      </c>
      <c r="V2666">
        <v>0.83499999999999996</v>
      </c>
      <c r="W2666">
        <v>6</v>
      </c>
      <c r="X2666">
        <v>20</v>
      </c>
      <c r="Y2666">
        <v>14</v>
      </c>
      <c r="Z2666">
        <v>0.24</v>
      </c>
      <c r="AA2666">
        <v>31.536000000000001</v>
      </c>
    </row>
    <row r="2667" spans="1:27" x14ac:dyDescent="0.25">
      <c r="A2667" t="s">
        <v>98</v>
      </c>
      <c r="B2667" t="s">
        <v>519</v>
      </c>
      <c r="C2667" t="s">
        <v>1367</v>
      </c>
      <c r="D2667" t="s">
        <v>1707</v>
      </c>
      <c r="E2667" t="s">
        <v>102</v>
      </c>
      <c r="G2667" t="s">
        <v>119</v>
      </c>
      <c r="H2667" t="s">
        <v>156</v>
      </c>
      <c r="I2667">
        <v>2016</v>
      </c>
      <c r="J2667" t="s">
        <v>166</v>
      </c>
      <c r="K2667" t="s">
        <v>158</v>
      </c>
      <c r="L2667" t="s">
        <v>2891</v>
      </c>
      <c r="M2667" t="s">
        <v>2914</v>
      </c>
      <c r="N2667">
        <v>0</v>
      </c>
      <c r="O2667">
        <v>2020</v>
      </c>
      <c r="P2667">
        <v>3749.5291546849662</v>
      </c>
      <c r="Q2667">
        <v>2.6125724148833172</v>
      </c>
      <c r="R2667" t="s">
        <v>109</v>
      </c>
      <c r="S2667">
        <v>1435.186689304621</v>
      </c>
      <c r="T2667">
        <v>0.81</v>
      </c>
      <c r="U2667" t="s">
        <v>110</v>
      </c>
      <c r="V2667">
        <v>0.81</v>
      </c>
      <c r="W2667">
        <v>6</v>
      </c>
      <c r="X2667">
        <v>20</v>
      </c>
      <c r="Y2667">
        <v>14</v>
      </c>
      <c r="Z2667">
        <v>0.24</v>
      </c>
      <c r="AA2667">
        <v>31.536000000000001</v>
      </c>
    </row>
    <row r="2668" spans="1:27" x14ac:dyDescent="0.25">
      <c r="A2668" t="s">
        <v>98</v>
      </c>
      <c r="B2668" t="s">
        <v>519</v>
      </c>
      <c r="C2668" t="s">
        <v>1367</v>
      </c>
      <c r="D2668" t="s">
        <v>1707</v>
      </c>
      <c r="E2668" t="s">
        <v>102</v>
      </c>
      <c r="G2668" t="s">
        <v>119</v>
      </c>
      <c r="H2668" t="s">
        <v>156</v>
      </c>
      <c r="I2668">
        <v>2018</v>
      </c>
      <c r="J2668" t="s">
        <v>168</v>
      </c>
      <c r="K2668" t="s">
        <v>158</v>
      </c>
      <c r="L2668" t="s">
        <v>2891</v>
      </c>
      <c r="M2668" t="s">
        <v>2914</v>
      </c>
      <c r="N2668">
        <v>1</v>
      </c>
      <c r="O2668">
        <v>2020</v>
      </c>
      <c r="P2668">
        <v>3749.5291546849662</v>
      </c>
      <c r="Q2668">
        <v>2.6125724148833172</v>
      </c>
      <c r="R2668" t="s">
        <v>109</v>
      </c>
      <c r="S2668">
        <v>1435.186689304621</v>
      </c>
      <c r="T2668">
        <v>0.81</v>
      </c>
      <c r="U2668" t="s">
        <v>110</v>
      </c>
      <c r="V2668">
        <v>0.81</v>
      </c>
      <c r="W2668">
        <v>6</v>
      </c>
      <c r="X2668">
        <v>20</v>
      </c>
      <c r="Y2668">
        <v>14</v>
      </c>
      <c r="Z2668">
        <v>0.24</v>
      </c>
      <c r="AA2668">
        <v>31.536000000000001</v>
      </c>
    </row>
    <row r="2669" spans="1:27" x14ac:dyDescent="0.25">
      <c r="A2669" t="s">
        <v>98</v>
      </c>
      <c r="B2669" t="s">
        <v>519</v>
      </c>
      <c r="C2669" t="s">
        <v>1367</v>
      </c>
      <c r="D2669" t="s">
        <v>1707</v>
      </c>
      <c r="E2669" t="s">
        <v>102</v>
      </c>
      <c r="G2669" t="s">
        <v>111</v>
      </c>
      <c r="H2669" t="s">
        <v>169</v>
      </c>
      <c r="I2669">
        <v>2016</v>
      </c>
      <c r="J2669" t="s">
        <v>170</v>
      </c>
      <c r="K2669" t="s">
        <v>171</v>
      </c>
      <c r="L2669" t="s">
        <v>2891</v>
      </c>
      <c r="M2669" t="s">
        <v>2915</v>
      </c>
      <c r="N2669">
        <v>0</v>
      </c>
      <c r="O2669">
        <v>2020</v>
      </c>
      <c r="P2669">
        <v>13412.949821637279</v>
      </c>
      <c r="Q2669">
        <v>2.6125724148833172</v>
      </c>
      <c r="R2669" t="s">
        <v>109</v>
      </c>
      <c r="S2669">
        <v>5134.0011649921407</v>
      </c>
      <c r="T2669">
        <v>1</v>
      </c>
      <c r="U2669" t="s">
        <v>173</v>
      </c>
      <c r="V2669">
        <v>1</v>
      </c>
      <c r="W2669">
        <v>15</v>
      </c>
      <c r="X2669">
        <v>30</v>
      </c>
      <c r="Y2669">
        <v>23</v>
      </c>
      <c r="Z2669">
        <v>0.24</v>
      </c>
      <c r="AA2669">
        <v>31.536000000000001</v>
      </c>
    </row>
    <row r="2670" spans="1:27" x14ac:dyDescent="0.25">
      <c r="A2670" t="s">
        <v>98</v>
      </c>
      <c r="B2670" t="s">
        <v>519</v>
      </c>
      <c r="C2670" t="s">
        <v>1367</v>
      </c>
      <c r="D2670" t="s">
        <v>1707</v>
      </c>
      <c r="E2670" t="s">
        <v>102</v>
      </c>
      <c r="G2670" t="s">
        <v>111</v>
      </c>
      <c r="H2670" t="s">
        <v>169</v>
      </c>
      <c r="I2670">
        <v>2020</v>
      </c>
      <c r="J2670" t="s">
        <v>174</v>
      </c>
      <c r="K2670" t="s">
        <v>171</v>
      </c>
      <c r="L2670" t="s">
        <v>2891</v>
      </c>
      <c r="M2670" t="s">
        <v>2915</v>
      </c>
      <c r="N2670">
        <v>1</v>
      </c>
      <c r="O2670">
        <v>2020</v>
      </c>
      <c r="P2670">
        <v>13412.949821637279</v>
      </c>
      <c r="Q2670">
        <v>2.6125724148833172</v>
      </c>
      <c r="R2670" t="s">
        <v>109</v>
      </c>
      <c r="S2670">
        <v>5134.0011649921407</v>
      </c>
      <c r="T2670">
        <v>1</v>
      </c>
      <c r="U2670" t="s">
        <v>173</v>
      </c>
      <c r="V2670">
        <v>1</v>
      </c>
      <c r="W2670">
        <v>15</v>
      </c>
      <c r="X2670">
        <v>30</v>
      </c>
      <c r="Y2670">
        <v>23</v>
      </c>
      <c r="Z2670">
        <v>0.24</v>
      </c>
      <c r="AA2670">
        <v>31.536000000000001</v>
      </c>
    </row>
    <row r="2671" spans="1:27" x14ac:dyDescent="0.25">
      <c r="A2671" t="s">
        <v>98</v>
      </c>
      <c r="B2671" t="s">
        <v>519</v>
      </c>
      <c r="C2671" t="s">
        <v>1367</v>
      </c>
      <c r="D2671" t="s">
        <v>1707</v>
      </c>
      <c r="E2671" t="s">
        <v>102</v>
      </c>
      <c r="G2671" t="s">
        <v>111</v>
      </c>
      <c r="H2671" t="s">
        <v>169</v>
      </c>
      <c r="I2671">
        <v>2023</v>
      </c>
      <c r="J2671" t="s">
        <v>175</v>
      </c>
      <c r="K2671" t="s">
        <v>171</v>
      </c>
      <c r="L2671" t="s">
        <v>2891</v>
      </c>
      <c r="M2671" t="s">
        <v>2916</v>
      </c>
      <c r="N2671">
        <v>1</v>
      </c>
      <c r="O2671">
        <v>2023</v>
      </c>
      <c r="P2671">
        <v>13412.949821637279</v>
      </c>
      <c r="Q2671">
        <v>2.6125724148833172</v>
      </c>
      <c r="R2671" t="s">
        <v>109</v>
      </c>
      <c r="S2671">
        <v>5134.0011649921407</v>
      </c>
      <c r="T2671">
        <v>1</v>
      </c>
      <c r="U2671" t="s">
        <v>173</v>
      </c>
      <c r="V2671">
        <v>1</v>
      </c>
      <c r="W2671">
        <v>15</v>
      </c>
      <c r="X2671">
        <v>30</v>
      </c>
      <c r="Y2671">
        <v>23</v>
      </c>
      <c r="Z2671">
        <v>0.24</v>
      </c>
      <c r="AA2671">
        <v>31.536000000000001</v>
      </c>
    </row>
    <row r="2672" spans="1:27" x14ac:dyDescent="0.25">
      <c r="A2672" t="s">
        <v>98</v>
      </c>
      <c r="B2672" t="s">
        <v>519</v>
      </c>
      <c r="C2672" t="s">
        <v>1367</v>
      </c>
      <c r="D2672" t="s">
        <v>1707</v>
      </c>
      <c r="E2672" t="s">
        <v>102</v>
      </c>
      <c r="G2672" t="s">
        <v>111</v>
      </c>
      <c r="H2672" t="s">
        <v>169</v>
      </c>
      <c r="I2672">
        <v>2024</v>
      </c>
      <c r="J2672" t="s">
        <v>177</v>
      </c>
      <c r="K2672" t="s">
        <v>171</v>
      </c>
      <c r="L2672" t="s">
        <v>2891</v>
      </c>
      <c r="M2672" t="s">
        <v>2917</v>
      </c>
      <c r="N2672">
        <v>1</v>
      </c>
      <c r="O2672">
        <v>2024</v>
      </c>
      <c r="P2672">
        <v>13412.949821637279</v>
      </c>
      <c r="Q2672">
        <v>2.6125724148833172</v>
      </c>
      <c r="R2672" t="s">
        <v>109</v>
      </c>
      <c r="S2672">
        <v>5134.0011649921407</v>
      </c>
      <c r="T2672">
        <v>1</v>
      </c>
      <c r="U2672" t="s">
        <v>173</v>
      </c>
      <c r="V2672">
        <v>1</v>
      </c>
      <c r="W2672">
        <v>15</v>
      </c>
      <c r="X2672">
        <v>30</v>
      </c>
      <c r="Y2672">
        <v>23</v>
      </c>
      <c r="Z2672">
        <v>0.24</v>
      </c>
      <c r="AA2672">
        <v>31.536000000000001</v>
      </c>
    </row>
    <row r="2673" spans="1:27" x14ac:dyDescent="0.25">
      <c r="A2673" t="s">
        <v>98</v>
      </c>
      <c r="B2673" t="s">
        <v>519</v>
      </c>
      <c r="C2673" t="s">
        <v>1367</v>
      </c>
      <c r="D2673" t="s">
        <v>1707</v>
      </c>
      <c r="E2673" t="s">
        <v>179</v>
      </c>
      <c r="F2673" t="s">
        <v>180</v>
      </c>
      <c r="G2673" t="s">
        <v>103</v>
      </c>
      <c r="H2673" t="s">
        <v>125</v>
      </c>
      <c r="I2673">
        <v>2016</v>
      </c>
      <c r="J2673" t="s">
        <v>181</v>
      </c>
      <c r="K2673" t="s">
        <v>127</v>
      </c>
      <c r="L2673" t="s">
        <v>2918</v>
      </c>
      <c r="M2673" t="s">
        <v>2919</v>
      </c>
      <c r="N2673">
        <v>1</v>
      </c>
      <c r="O2673">
        <v>2020</v>
      </c>
      <c r="P2673">
        <v>2956.9457561336731</v>
      </c>
      <c r="Q2673">
        <v>22.041493010063569</v>
      </c>
      <c r="R2673" t="s">
        <v>109</v>
      </c>
      <c r="S2673">
        <v>134.15360541972399</v>
      </c>
      <c r="T2673">
        <v>2.4032825322391562</v>
      </c>
      <c r="U2673" t="s">
        <v>184</v>
      </c>
      <c r="V2673">
        <v>2.4032825322391562</v>
      </c>
      <c r="W2673">
        <v>9</v>
      </c>
      <c r="X2673">
        <v>22</v>
      </c>
      <c r="Y2673">
        <v>16</v>
      </c>
      <c r="Z2673">
        <v>7.9105094690167521E-2</v>
      </c>
      <c r="AA2673">
        <v>31.536000000000001</v>
      </c>
    </row>
    <row r="2674" spans="1:27" x14ac:dyDescent="0.25">
      <c r="A2674" t="s">
        <v>98</v>
      </c>
      <c r="B2674" t="s">
        <v>519</v>
      </c>
      <c r="C2674" t="s">
        <v>1367</v>
      </c>
      <c r="D2674" t="s">
        <v>1707</v>
      </c>
      <c r="E2674" t="s">
        <v>179</v>
      </c>
      <c r="F2674" t="s">
        <v>180</v>
      </c>
      <c r="G2674" t="s">
        <v>103</v>
      </c>
      <c r="H2674" t="s">
        <v>125</v>
      </c>
      <c r="I2674">
        <v>2023</v>
      </c>
      <c r="J2674" t="s">
        <v>185</v>
      </c>
      <c r="K2674" t="s">
        <v>127</v>
      </c>
      <c r="L2674" t="s">
        <v>2918</v>
      </c>
      <c r="M2674" t="s">
        <v>2920</v>
      </c>
      <c r="N2674">
        <v>1</v>
      </c>
      <c r="O2674">
        <v>2023</v>
      </c>
      <c r="P2674">
        <v>2956.9457561336731</v>
      </c>
      <c r="Q2674">
        <v>22.041493010063569</v>
      </c>
      <c r="R2674" t="s">
        <v>109</v>
      </c>
      <c r="S2674">
        <v>134.15360541972399</v>
      </c>
      <c r="T2674">
        <v>2.4032825322391562</v>
      </c>
      <c r="U2674" t="s">
        <v>184</v>
      </c>
      <c r="V2674">
        <v>2.4032825322391562</v>
      </c>
      <c r="W2674">
        <v>9</v>
      </c>
      <c r="X2674">
        <v>22</v>
      </c>
      <c r="Y2674">
        <v>16</v>
      </c>
      <c r="Z2674">
        <v>7.9105094690167521E-2</v>
      </c>
      <c r="AA2674">
        <v>31.536000000000001</v>
      </c>
    </row>
    <row r="2675" spans="1:27" x14ac:dyDescent="0.25">
      <c r="A2675" t="s">
        <v>98</v>
      </c>
      <c r="B2675" t="s">
        <v>519</v>
      </c>
      <c r="C2675" t="s">
        <v>1367</v>
      </c>
      <c r="D2675" t="s">
        <v>1707</v>
      </c>
      <c r="E2675" t="s">
        <v>179</v>
      </c>
      <c r="F2675" t="s">
        <v>180</v>
      </c>
      <c r="G2675" t="s">
        <v>111</v>
      </c>
      <c r="H2675" t="s">
        <v>125</v>
      </c>
      <c r="I2675">
        <v>2016</v>
      </c>
      <c r="J2675" t="s">
        <v>187</v>
      </c>
      <c r="K2675" t="s">
        <v>127</v>
      </c>
      <c r="L2675" t="s">
        <v>2918</v>
      </c>
      <c r="M2675" t="s">
        <v>2921</v>
      </c>
      <c r="N2675">
        <v>1</v>
      </c>
      <c r="O2675">
        <v>2020</v>
      </c>
      <c r="P2675">
        <v>3109.3656404704602</v>
      </c>
      <c r="Q2675">
        <v>22.041493010063569</v>
      </c>
      <c r="R2675" t="s">
        <v>109</v>
      </c>
      <c r="S2675">
        <v>141.06873971970981</v>
      </c>
      <c r="T2675">
        <v>2.5205158264947238</v>
      </c>
      <c r="U2675" t="s">
        <v>184</v>
      </c>
      <c r="V2675">
        <v>2.5205158264947238</v>
      </c>
      <c r="W2675">
        <v>9</v>
      </c>
      <c r="X2675">
        <v>22</v>
      </c>
      <c r="Y2675">
        <v>16</v>
      </c>
      <c r="Z2675">
        <v>7.9105094690167521E-2</v>
      </c>
      <c r="AA2675">
        <v>31.536000000000001</v>
      </c>
    </row>
    <row r="2676" spans="1:27" x14ac:dyDescent="0.25">
      <c r="A2676" t="s">
        <v>98</v>
      </c>
      <c r="B2676" t="s">
        <v>519</v>
      </c>
      <c r="C2676" t="s">
        <v>1367</v>
      </c>
      <c r="D2676" t="s">
        <v>1707</v>
      </c>
      <c r="E2676" t="s">
        <v>179</v>
      </c>
      <c r="F2676" t="s">
        <v>180</v>
      </c>
      <c r="G2676" t="s">
        <v>111</v>
      </c>
      <c r="H2676" t="s">
        <v>125</v>
      </c>
      <c r="I2676">
        <v>2023</v>
      </c>
      <c r="J2676" t="s">
        <v>189</v>
      </c>
      <c r="K2676" t="s">
        <v>127</v>
      </c>
      <c r="L2676" t="s">
        <v>2918</v>
      </c>
      <c r="M2676" t="s">
        <v>2922</v>
      </c>
      <c r="N2676">
        <v>1</v>
      </c>
      <c r="O2676">
        <v>2023</v>
      </c>
      <c r="P2676">
        <v>3139.8496173378171</v>
      </c>
      <c r="Q2676">
        <v>22.041493010063569</v>
      </c>
      <c r="R2676" t="s">
        <v>109</v>
      </c>
      <c r="S2676">
        <v>142.45176657970691</v>
      </c>
      <c r="T2676">
        <v>2.5791324736225092</v>
      </c>
      <c r="U2676" t="s">
        <v>184</v>
      </c>
      <c r="V2676">
        <v>2.5791324736225092</v>
      </c>
      <c r="W2676">
        <v>9</v>
      </c>
      <c r="X2676">
        <v>22</v>
      </c>
      <c r="Y2676">
        <v>16</v>
      </c>
      <c r="Z2676">
        <v>7.9105094690167521E-2</v>
      </c>
      <c r="AA2676">
        <v>31.536000000000001</v>
      </c>
    </row>
    <row r="2677" spans="1:27" x14ac:dyDescent="0.25">
      <c r="A2677" t="s">
        <v>98</v>
      </c>
      <c r="B2677" t="s">
        <v>519</v>
      </c>
      <c r="C2677" t="s">
        <v>1367</v>
      </c>
      <c r="D2677" t="s">
        <v>1707</v>
      </c>
      <c r="E2677" t="s">
        <v>179</v>
      </c>
      <c r="F2677" t="s">
        <v>180</v>
      </c>
      <c r="G2677" t="s">
        <v>114</v>
      </c>
      <c r="H2677" t="s">
        <v>125</v>
      </c>
      <c r="I2677">
        <v>2016</v>
      </c>
      <c r="J2677" t="s">
        <v>191</v>
      </c>
      <c r="K2677" t="s">
        <v>127</v>
      </c>
      <c r="L2677" t="s">
        <v>2918</v>
      </c>
      <c r="M2677" t="s">
        <v>2923</v>
      </c>
      <c r="N2677">
        <v>1</v>
      </c>
      <c r="O2677">
        <v>2020</v>
      </c>
      <c r="P2677">
        <v>3017.9137098683868</v>
      </c>
      <c r="Q2677">
        <v>22.041493010063569</v>
      </c>
      <c r="R2677" t="s">
        <v>109</v>
      </c>
      <c r="S2677">
        <v>136.91965913971831</v>
      </c>
      <c r="T2677">
        <v>2.4912075029308318</v>
      </c>
      <c r="U2677" t="s">
        <v>184</v>
      </c>
      <c r="V2677">
        <v>2.4912075029308318</v>
      </c>
      <c r="W2677">
        <v>9</v>
      </c>
      <c r="X2677">
        <v>22</v>
      </c>
      <c r="Y2677">
        <v>16</v>
      </c>
      <c r="Z2677">
        <v>7.9105094690167521E-2</v>
      </c>
      <c r="AA2677">
        <v>31.536000000000001</v>
      </c>
    </row>
    <row r="2678" spans="1:27" x14ac:dyDescent="0.25">
      <c r="A2678" t="s">
        <v>98</v>
      </c>
      <c r="B2678" t="s">
        <v>519</v>
      </c>
      <c r="C2678" t="s">
        <v>1367</v>
      </c>
      <c r="D2678" t="s">
        <v>1707</v>
      </c>
      <c r="E2678" t="s">
        <v>179</v>
      </c>
      <c r="F2678" t="s">
        <v>180</v>
      </c>
      <c r="G2678" t="s">
        <v>114</v>
      </c>
      <c r="H2678" t="s">
        <v>125</v>
      </c>
      <c r="I2678">
        <v>2022</v>
      </c>
      <c r="J2678" t="s">
        <v>193</v>
      </c>
      <c r="K2678" t="s">
        <v>127</v>
      </c>
      <c r="L2678" t="s">
        <v>2918</v>
      </c>
      <c r="M2678" t="s">
        <v>2924</v>
      </c>
      <c r="N2678">
        <v>1</v>
      </c>
      <c r="O2678">
        <v>2022</v>
      </c>
      <c r="P2678">
        <v>3017.9137098683868</v>
      </c>
      <c r="Q2678">
        <v>22.041493010063569</v>
      </c>
      <c r="R2678" t="s">
        <v>109</v>
      </c>
      <c r="S2678">
        <v>136.91965913971831</v>
      </c>
      <c r="T2678">
        <v>2.4912075029308318</v>
      </c>
      <c r="U2678" t="s">
        <v>184</v>
      </c>
      <c r="V2678">
        <v>2.4912075029308318</v>
      </c>
      <c r="W2678">
        <v>9</v>
      </c>
      <c r="X2678">
        <v>22</v>
      </c>
      <c r="Y2678">
        <v>16</v>
      </c>
      <c r="Z2678">
        <v>7.9105094690167521E-2</v>
      </c>
      <c r="AA2678">
        <v>31.536000000000001</v>
      </c>
    </row>
    <row r="2679" spans="1:27" x14ac:dyDescent="0.25">
      <c r="A2679" t="s">
        <v>98</v>
      </c>
      <c r="B2679" t="s">
        <v>519</v>
      </c>
      <c r="C2679" t="s">
        <v>1367</v>
      </c>
      <c r="D2679" t="s">
        <v>1707</v>
      </c>
      <c r="E2679" t="s">
        <v>179</v>
      </c>
      <c r="F2679" t="s">
        <v>180</v>
      </c>
      <c r="G2679" t="s">
        <v>114</v>
      </c>
      <c r="H2679" t="s">
        <v>125</v>
      </c>
      <c r="I2679">
        <v>2023</v>
      </c>
      <c r="J2679" t="s">
        <v>195</v>
      </c>
      <c r="K2679" t="s">
        <v>127</v>
      </c>
      <c r="L2679" t="s">
        <v>2918</v>
      </c>
      <c r="M2679" t="s">
        <v>2925</v>
      </c>
      <c r="N2679">
        <v>1</v>
      </c>
      <c r="O2679">
        <v>2023</v>
      </c>
      <c r="P2679">
        <v>3266.447780092843</v>
      </c>
      <c r="Q2679">
        <v>22.041493010063569</v>
      </c>
      <c r="R2679" t="s">
        <v>109</v>
      </c>
      <c r="S2679">
        <v>148.19539577475391</v>
      </c>
      <c r="T2679">
        <v>2.6963657678780768</v>
      </c>
      <c r="U2679" t="s">
        <v>184</v>
      </c>
      <c r="V2679">
        <v>2.6963657678780768</v>
      </c>
      <c r="W2679">
        <v>9</v>
      </c>
      <c r="X2679">
        <v>22</v>
      </c>
      <c r="Y2679">
        <v>16</v>
      </c>
      <c r="Z2679">
        <v>7.9105094690167521E-2</v>
      </c>
      <c r="AA2679">
        <v>31.536000000000001</v>
      </c>
    </row>
    <row r="2680" spans="1:27" x14ac:dyDescent="0.25">
      <c r="A2680" t="s">
        <v>98</v>
      </c>
      <c r="B2680" t="s">
        <v>519</v>
      </c>
      <c r="C2680" t="s">
        <v>1367</v>
      </c>
      <c r="D2680" t="s">
        <v>1707</v>
      </c>
      <c r="E2680" t="s">
        <v>179</v>
      </c>
      <c r="F2680" t="s">
        <v>180</v>
      </c>
      <c r="G2680" t="s">
        <v>119</v>
      </c>
      <c r="H2680" t="s">
        <v>125</v>
      </c>
      <c r="I2680">
        <v>2016</v>
      </c>
      <c r="J2680" t="s">
        <v>197</v>
      </c>
      <c r="K2680" t="s">
        <v>127</v>
      </c>
      <c r="L2680" t="s">
        <v>2918</v>
      </c>
      <c r="M2680" t="s">
        <v>2926</v>
      </c>
      <c r="N2680">
        <v>1</v>
      </c>
      <c r="O2680">
        <v>2020</v>
      </c>
      <c r="P2680">
        <v>3719.0451778176089</v>
      </c>
      <c r="Q2680">
        <v>22.041493010063569</v>
      </c>
      <c r="R2680" t="s">
        <v>109</v>
      </c>
      <c r="S2680">
        <v>168.7292769196529</v>
      </c>
      <c r="T2680">
        <v>2.6377491207502932</v>
      </c>
      <c r="U2680" t="s">
        <v>184</v>
      </c>
      <c r="V2680">
        <v>2.6377491207502932</v>
      </c>
      <c r="W2680">
        <v>9</v>
      </c>
      <c r="X2680">
        <v>22</v>
      </c>
      <c r="Y2680">
        <v>16</v>
      </c>
      <c r="Z2680">
        <v>7.9105094690167521E-2</v>
      </c>
      <c r="AA2680">
        <v>31.536000000000001</v>
      </c>
    </row>
    <row r="2681" spans="1:27" x14ac:dyDescent="0.25">
      <c r="A2681" t="s">
        <v>98</v>
      </c>
      <c r="B2681" t="s">
        <v>519</v>
      </c>
      <c r="C2681" t="s">
        <v>1367</v>
      </c>
      <c r="D2681" t="s">
        <v>1707</v>
      </c>
      <c r="E2681" t="s">
        <v>179</v>
      </c>
      <c r="F2681" t="s">
        <v>180</v>
      </c>
      <c r="G2681" t="s">
        <v>119</v>
      </c>
      <c r="H2681" t="s">
        <v>125</v>
      </c>
      <c r="I2681">
        <v>2022</v>
      </c>
      <c r="J2681" t="s">
        <v>199</v>
      </c>
      <c r="K2681" t="s">
        <v>127</v>
      </c>
      <c r="L2681" t="s">
        <v>2918</v>
      </c>
      <c r="M2681" t="s">
        <v>2927</v>
      </c>
      <c r="N2681">
        <v>1</v>
      </c>
      <c r="O2681">
        <v>2022</v>
      </c>
      <c r="P2681">
        <v>3914.784397702746</v>
      </c>
      <c r="Q2681">
        <v>22.041493010063569</v>
      </c>
      <c r="R2681" t="s">
        <v>109</v>
      </c>
      <c r="S2681">
        <v>177.60976517858199</v>
      </c>
      <c r="T2681">
        <v>2.9308323563892151</v>
      </c>
      <c r="U2681" t="s">
        <v>184</v>
      </c>
      <c r="V2681">
        <v>2.9308323563892151</v>
      </c>
      <c r="W2681">
        <v>9</v>
      </c>
      <c r="X2681">
        <v>22</v>
      </c>
      <c r="Y2681">
        <v>16</v>
      </c>
      <c r="Z2681">
        <v>7.9105094690167521E-2</v>
      </c>
      <c r="AA2681">
        <v>31.536000000000001</v>
      </c>
    </row>
    <row r="2682" spans="1:27" x14ac:dyDescent="0.25">
      <c r="A2682" t="s">
        <v>98</v>
      </c>
      <c r="B2682" t="s">
        <v>519</v>
      </c>
      <c r="C2682" t="s">
        <v>1367</v>
      </c>
      <c r="D2682" t="s">
        <v>1707</v>
      </c>
      <c r="E2682" t="s">
        <v>179</v>
      </c>
      <c r="F2682" t="s">
        <v>201</v>
      </c>
      <c r="G2682" t="s">
        <v>103</v>
      </c>
      <c r="H2682" t="s">
        <v>125</v>
      </c>
      <c r="I2682">
        <v>2016</v>
      </c>
      <c r="J2682" t="s">
        <v>202</v>
      </c>
      <c r="K2682" t="s">
        <v>127</v>
      </c>
      <c r="L2682" t="s">
        <v>2918</v>
      </c>
      <c r="M2682" t="s">
        <v>2928</v>
      </c>
      <c r="N2682">
        <v>1</v>
      </c>
      <c r="O2682">
        <v>2020</v>
      </c>
      <c r="P2682">
        <v>9511.0007826155233</v>
      </c>
      <c r="Q2682">
        <v>22.041493010063569</v>
      </c>
      <c r="R2682" t="s">
        <v>109</v>
      </c>
      <c r="S2682">
        <v>431.50438031911222</v>
      </c>
      <c r="T2682">
        <v>3.2</v>
      </c>
      <c r="U2682" t="s">
        <v>184</v>
      </c>
      <c r="V2682">
        <v>3.2</v>
      </c>
      <c r="W2682">
        <v>8</v>
      </c>
      <c r="X2682">
        <v>20.8</v>
      </c>
      <c r="Y2682">
        <v>15</v>
      </c>
      <c r="Z2682">
        <v>7.9105094690167521E-2</v>
      </c>
      <c r="AA2682">
        <v>31.536000000000001</v>
      </c>
    </row>
    <row r="2683" spans="1:27" x14ac:dyDescent="0.25">
      <c r="A2683" t="s">
        <v>98</v>
      </c>
      <c r="B2683" t="s">
        <v>519</v>
      </c>
      <c r="C2683" t="s">
        <v>1367</v>
      </c>
      <c r="D2683" t="s">
        <v>1707</v>
      </c>
      <c r="E2683" t="s">
        <v>179</v>
      </c>
      <c r="F2683" t="s">
        <v>201</v>
      </c>
      <c r="G2683" t="s">
        <v>111</v>
      </c>
      <c r="H2683" t="s">
        <v>125</v>
      </c>
      <c r="I2683">
        <v>2016</v>
      </c>
      <c r="J2683" t="s">
        <v>204</v>
      </c>
      <c r="K2683" t="s">
        <v>127</v>
      </c>
      <c r="L2683" t="s">
        <v>2918</v>
      </c>
      <c r="M2683" t="s">
        <v>2929</v>
      </c>
      <c r="N2683">
        <v>1</v>
      </c>
      <c r="O2683">
        <v>2020</v>
      </c>
      <c r="P2683">
        <v>9846.3245281564559</v>
      </c>
      <c r="Q2683">
        <v>22.041493010063569</v>
      </c>
      <c r="R2683" t="s">
        <v>109</v>
      </c>
      <c r="S2683">
        <v>446.71767577908088</v>
      </c>
      <c r="T2683">
        <v>3.7</v>
      </c>
      <c r="U2683" t="s">
        <v>184</v>
      </c>
      <c r="V2683">
        <v>3.7</v>
      </c>
      <c r="W2683">
        <v>8</v>
      </c>
      <c r="X2683">
        <v>20.8</v>
      </c>
      <c r="Y2683">
        <v>15</v>
      </c>
      <c r="Z2683">
        <v>7.9105094690167521E-2</v>
      </c>
      <c r="AA2683">
        <v>31.536000000000001</v>
      </c>
    </row>
    <row r="2684" spans="1:27" x14ac:dyDescent="0.25">
      <c r="A2684" t="s">
        <v>98</v>
      </c>
      <c r="B2684" t="s">
        <v>519</v>
      </c>
      <c r="C2684" t="s">
        <v>1367</v>
      </c>
      <c r="D2684" t="s">
        <v>1707</v>
      </c>
      <c r="E2684" t="s">
        <v>179</v>
      </c>
      <c r="F2684" t="s">
        <v>201</v>
      </c>
      <c r="G2684" t="s">
        <v>114</v>
      </c>
      <c r="H2684" t="s">
        <v>125</v>
      </c>
      <c r="I2684">
        <v>2016</v>
      </c>
      <c r="J2684" t="s">
        <v>206</v>
      </c>
      <c r="K2684" t="s">
        <v>127</v>
      </c>
      <c r="L2684" t="s">
        <v>2918</v>
      </c>
      <c r="M2684" t="s">
        <v>2930</v>
      </c>
      <c r="N2684">
        <v>0</v>
      </c>
      <c r="O2684">
        <v>2020</v>
      </c>
      <c r="P2684">
        <v>9846.3245281564559</v>
      </c>
      <c r="Q2684">
        <v>22.041493010063569</v>
      </c>
      <c r="R2684" t="s">
        <v>109</v>
      </c>
      <c r="S2684">
        <v>446.71767577908088</v>
      </c>
      <c r="T2684">
        <v>3.6</v>
      </c>
      <c r="U2684" t="s">
        <v>184</v>
      </c>
      <c r="V2684">
        <v>3.6</v>
      </c>
      <c r="W2684">
        <v>8</v>
      </c>
      <c r="X2684">
        <v>20.8</v>
      </c>
      <c r="Y2684">
        <v>15</v>
      </c>
      <c r="Z2684">
        <v>7.9105094690167521E-2</v>
      </c>
      <c r="AA2684">
        <v>31.536000000000001</v>
      </c>
    </row>
    <row r="2685" spans="1:27" x14ac:dyDescent="0.25">
      <c r="A2685" t="s">
        <v>98</v>
      </c>
      <c r="B2685" t="s">
        <v>519</v>
      </c>
      <c r="C2685" t="s">
        <v>1367</v>
      </c>
      <c r="D2685" t="s">
        <v>1707</v>
      </c>
      <c r="E2685" t="s">
        <v>179</v>
      </c>
      <c r="F2685" t="s">
        <v>201</v>
      </c>
      <c r="G2685" t="s">
        <v>114</v>
      </c>
      <c r="H2685" t="s">
        <v>125</v>
      </c>
      <c r="I2685">
        <v>2020</v>
      </c>
      <c r="J2685" t="s">
        <v>208</v>
      </c>
      <c r="K2685" t="s">
        <v>127</v>
      </c>
      <c r="L2685" t="s">
        <v>2918</v>
      </c>
      <c r="M2685" t="s">
        <v>2930</v>
      </c>
      <c r="N2685">
        <v>1</v>
      </c>
      <c r="O2685">
        <v>2020</v>
      </c>
      <c r="P2685">
        <v>9846.3245281564559</v>
      </c>
      <c r="Q2685">
        <v>22.041493010063569</v>
      </c>
      <c r="R2685" t="s">
        <v>109</v>
      </c>
      <c r="S2685">
        <v>446.71767577908088</v>
      </c>
      <c r="T2685">
        <v>3.6</v>
      </c>
      <c r="U2685" t="s">
        <v>184</v>
      </c>
      <c r="V2685">
        <v>3.6</v>
      </c>
      <c r="W2685">
        <v>8</v>
      </c>
      <c r="X2685">
        <v>20.8</v>
      </c>
      <c r="Y2685">
        <v>15</v>
      </c>
      <c r="Z2685">
        <v>7.9105094690167521E-2</v>
      </c>
      <c r="AA2685">
        <v>31.536000000000001</v>
      </c>
    </row>
    <row r="2686" spans="1:27" x14ac:dyDescent="0.25">
      <c r="A2686" t="s">
        <v>98</v>
      </c>
      <c r="B2686" t="s">
        <v>519</v>
      </c>
      <c r="C2686" t="s">
        <v>1367</v>
      </c>
      <c r="D2686" t="s">
        <v>1707</v>
      </c>
      <c r="E2686" t="s">
        <v>179</v>
      </c>
      <c r="F2686" t="s">
        <v>201</v>
      </c>
      <c r="G2686" t="s">
        <v>114</v>
      </c>
      <c r="H2686" t="s">
        <v>125</v>
      </c>
      <c r="I2686">
        <v>2022</v>
      </c>
      <c r="J2686" t="s">
        <v>209</v>
      </c>
      <c r="K2686" t="s">
        <v>127</v>
      </c>
      <c r="L2686" t="s">
        <v>2918</v>
      </c>
      <c r="M2686" t="s">
        <v>2931</v>
      </c>
      <c r="N2686">
        <v>1</v>
      </c>
      <c r="O2686">
        <v>2022</v>
      </c>
      <c r="P2686">
        <v>9846.3245281564559</v>
      </c>
      <c r="Q2686">
        <v>22.041493010063569</v>
      </c>
      <c r="R2686" t="s">
        <v>109</v>
      </c>
      <c r="S2686">
        <v>446.71767577908088</v>
      </c>
      <c r="T2686">
        <v>3.6</v>
      </c>
      <c r="U2686" t="s">
        <v>184</v>
      </c>
      <c r="V2686">
        <v>3.6</v>
      </c>
      <c r="W2686">
        <v>8</v>
      </c>
      <c r="X2686">
        <v>20.8</v>
      </c>
      <c r="Y2686">
        <v>15</v>
      </c>
      <c r="Z2686">
        <v>7.9105094690167521E-2</v>
      </c>
      <c r="AA2686">
        <v>31.536000000000001</v>
      </c>
    </row>
    <row r="2687" spans="1:27" x14ac:dyDescent="0.25">
      <c r="A2687" t="s">
        <v>98</v>
      </c>
      <c r="B2687" t="s">
        <v>519</v>
      </c>
      <c r="C2687" t="s">
        <v>1367</v>
      </c>
      <c r="D2687" t="s">
        <v>1707</v>
      </c>
      <c r="E2687" t="s">
        <v>179</v>
      </c>
      <c r="F2687" t="s">
        <v>201</v>
      </c>
      <c r="G2687" t="s">
        <v>114</v>
      </c>
      <c r="H2687" t="s">
        <v>125</v>
      </c>
      <c r="I2687">
        <v>2023</v>
      </c>
      <c r="J2687" t="s">
        <v>211</v>
      </c>
      <c r="K2687" t="s">
        <v>127</v>
      </c>
      <c r="L2687" t="s">
        <v>2918</v>
      </c>
      <c r="M2687" t="s">
        <v>2932</v>
      </c>
      <c r="N2687">
        <v>1</v>
      </c>
      <c r="O2687">
        <v>2023</v>
      </c>
      <c r="P2687">
        <v>9846.3245281564559</v>
      </c>
      <c r="Q2687">
        <v>22.041493010063569</v>
      </c>
      <c r="R2687" t="s">
        <v>109</v>
      </c>
      <c r="S2687">
        <v>446.71767577908088</v>
      </c>
      <c r="T2687">
        <v>3.6</v>
      </c>
      <c r="U2687" t="s">
        <v>184</v>
      </c>
      <c r="V2687">
        <v>3.6</v>
      </c>
      <c r="W2687">
        <v>8</v>
      </c>
      <c r="X2687">
        <v>20.8</v>
      </c>
      <c r="Y2687">
        <v>15</v>
      </c>
      <c r="Z2687">
        <v>7.9105094690167521E-2</v>
      </c>
      <c r="AA2687">
        <v>31.536000000000001</v>
      </c>
    </row>
    <row r="2688" spans="1:27" x14ac:dyDescent="0.25">
      <c r="A2688" t="s">
        <v>98</v>
      </c>
      <c r="B2688" t="s">
        <v>519</v>
      </c>
      <c r="C2688" t="s">
        <v>1367</v>
      </c>
      <c r="D2688" t="s">
        <v>1707</v>
      </c>
      <c r="E2688" t="s">
        <v>179</v>
      </c>
      <c r="F2688" t="s">
        <v>201</v>
      </c>
      <c r="G2688" t="s">
        <v>114</v>
      </c>
      <c r="H2688" t="s">
        <v>125</v>
      </c>
      <c r="I2688">
        <v>2024</v>
      </c>
      <c r="J2688" t="s">
        <v>213</v>
      </c>
      <c r="K2688" t="s">
        <v>127</v>
      </c>
      <c r="L2688" t="s">
        <v>2918</v>
      </c>
      <c r="M2688" t="s">
        <v>2933</v>
      </c>
      <c r="N2688">
        <v>1</v>
      </c>
      <c r="O2688">
        <v>2024</v>
      </c>
      <c r="P2688">
        <v>9846.3245281564559</v>
      </c>
      <c r="Q2688">
        <v>22.041493010063569</v>
      </c>
      <c r="R2688" t="s">
        <v>109</v>
      </c>
      <c r="S2688">
        <v>446.71767577908088</v>
      </c>
      <c r="T2688">
        <v>3.6</v>
      </c>
      <c r="U2688" t="s">
        <v>184</v>
      </c>
      <c r="V2688">
        <v>3.6</v>
      </c>
      <c r="W2688">
        <v>8</v>
      </c>
      <c r="X2688">
        <v>20.8</v>
      </c>
      <c r="Y2688">
        <v>15</v>
      </c>
      <c r="Z2688">
        <v>7.9105094690167521E-2</v>
      </c>
      <c r="AA2688">
        <v>31.536000000000001</v>
      </c>
    </row>
    <row r="2689" spans="1:27" x14ac:dyDescent="0.25">
      <c r="A2689" t="s">
        <v>98</v>
      </c>
      <c r="B2689" t="s">
        <v>519</v>
      </c>
      <c r="C2689" t="s">
        <v>1367</v>
      </c>
      <c r="D2689" t="s">
        <v>1707</v>
      </c>
      <c r="E2689" t="s">
        <v>179</v>
      </c>
      <c r="F2689" t="s">
        <v>201</v>
      </c>
      <c r="G2689" t="s">
        <v>119</v>
      </c>
      <c r="H2689" t="s">
        <v>125</v>
      </c>
      <c r="I2689">
        <v>2016</v>
      </c>
      <c r="J2689" t="s">
        <v>215</v>
      </c>
      <c r="K2689" t="s">
        <v>127</v>
      </c>
      <c r="L2689" t="s">
        <v>2918</v>
      </c>
      <c r="M2689" t="s">
        <v>2934</v>
      </c>
      <c r="N2689">
        <v>0</v>
      </c>
      <c r="O2689">
        <v>2020</v>
      </c>
      <c r="P2689">
        <v>10395.03611176889</v>
      </c>
      <c r="Q2689">
        <v>22.041493010063569</v>
      </c>
      <c r="R2689" t="s">
        <v>109</v>
      </c>
      <c r="S2689">
        <v>471.61215925902968</v>
      </c>
      <c r="T2689">
        <v>4.5</v>
      </c>
      <c r="U2689" t="s">
        <v>184</v>
      </c>
      <c r="V2689">
        <v>4.5</v>
      </c>
      <c r="W2689">
        <v>8</v>
      </c>
      <c r="X2689">
        <v>20.8</v>
      </c>
      <c r="Y2689">
        <v>15</v>
      </c>
      <c r="Z2689">
        <v>7.9105094690167521E-2</v>
      </c>
      <c r="AA2689">
        <v>31.536000000000001</v>
      </c>
    </row>
    <row r="2690" spans="1:27" x14ac:dyDescent="0.25">
      <c r="A2690" t="s">
        <v>98</v>
      </c>
      <c r="B2690" t="s">
        <v>519</v>
      </c>
      <c r="C2690" t="s">
        <v>1367</v>
      </c>
      <c r="D2690" t="s">
        <v>1707</v>
      </c>
      <c r="E2690" t="s">
        <v>179</v>
      </c>
      <c r="F2690" t="s">
        <v>201</v>
      </c>
      <c r="G2690" t="s">
        <v>119</v>
      </c>
      <c r="H2690" t="s">
        <v>125</v>
      </c>
      <c r="I2690">
        <v>2020</v>
      </c>
      <c r="J2690" t="s">
        <v>217</v>
      </c>
      <c r="K2690" t="s">
        <v>127</v>
      </c>
      <c r="L2690" t="s">
        <v>2918</v>
      </c>
      <c r="M2690" t="s">
        <v>2934</v>
      </c>
      <c r="N2690">
        <v>1</v>
      </c>
      <c r="O2690">
        <v>2020</v>
      </c>
      <c r="P2690">
        <v>10395.03611176889</v>
      </c>
      <c r="Q2690">
        <v>22.041493010063569</v>
      </c>
      <c r="R2690" t="s">
        <v>109</v>
      </c>
      <c r="S2690">
        <v>471.61215925902968</v>
      </c>
      <c r="T2690">
        <v>4.5</v>
      </c>
      <c r="U2690" t="s">
        <v>184</v>
      </c>
      <c r="V2690">
        <v>4.5</v>
      </c>
      <c r="W2690">
        <v>8</v>
      </c>
      <c r="X2690">
        <v>20.8</v>
      </c>
      <c r="Y2690">
        <v>15</v>
      </c>
      <c r="Z2690">
        <v>7.9105094690167521E-2</v>
      </c>
      <c r="AA2690">
        <v>31.536000000000001</v>
      </c>
    </row>
    <row r="2691" spans="1:27" x14ac:dyDescent="0.25">
      <c r="A2691" t="s">
        <v>98</v>
      </c>
      <c r="B2691" t="s">
        <v>519</v>
      </c>
      <c r="C2691" t="s">
        <v>1367</v>
      </c>
      <c r="D2691" t="s">
        <v>1707</v>
      </c>
      <c r="E2691" t="s">
        <v>179</v>
      </c>
      <c r="F2691" t="s">
        <v>201</v>
      </c>
      <c r="G2691" t="s">
        <v>119</v>
      </c>
      <c r="H2691" t="s">
        <v>125</v>
      </c>
      <c r="I2691">
        <v>2022</v>
      </c>
      <c r="J2691" t="s">
        <v>218</v>
      </c>
      <c r="K2691" t="s">
        <v>127</v>
      </c>
      <c r="L2691" t="s">
        <v>2918</v>
      </c>
      <c r="M2691" t="s">
        <v>2935</v>
      </c>
      <c r="N2691">
        <v>1</v>
      </c>
      <c r="O2691">
        <v>2022</v>
      </c>
      <c r="P2691">
        <v>10395.03611176889</v>
      </c>
      <c r="Q2691">
        <v>22.041493010063569</v>
      </c>
      <c r="R2691" t="s">
        <v>109</v>
      </c>
      <c r="S2691">
        <v>471.61215925902968</v>
      </c>
      <c r="T2691">
        <v>4.5</v>
      </c>
      <c r="U2691" t="s">
        <v>184</v>
      </c>
      <c r="V2691">
        <v>4.5</v>
      </c>
      <c r="W2691">
        <v>8</v>
      </c>
      <c r="X2691">
        <v>20.8</v>
      </c>
      <c r="Y2691">
        <v>15</v>
      </c>
      <c r="Z2691">
        <v>7.9105094690167521E-2</v>
      </c>
      <c r="AA2691">
        <v>31.536000000000001</v>
      </c>
    </row>
    <row r="2692" spans="1:27" x14ac:dyDescent="0.25">
      <c r="A2692" t="s">
        <v>98</v>
      </c>
      <c r="B2692" t="s">
        <v>519</v>
      </c>
      <c r="C2692" t="s">
        <v>1367</v>
      </c>
      <c r="D2692" t="s">
        <v>1707</v>
      </c>
      <c r="E2692" t="s">
        <v>179</v>
      </c>
      <c r="F2692" t="s">
        <v>201</v>
      </c>
      <c r="G2692" t="s">
        <v>119</v>
      </c>
      <c r="H2692" t="s">
        <v>125</v>
      </c>
      <c r="I2692">
        <v>2023</v>
      </c>
      <c r="J2692" t="s">
        <v>220</v>
      </c>
      <c r="K2692" t="s">
        <v>127</v>
      </c>
      <c r="L2692" t="s">
        <v>2918</v>
      </c>
      <c r="M2692" t="s">
        <v>2936</v>
      </c>
      <c r="N2692">
        <v>1</v>
      </c>
      <c r="O2692">
        <v>2023</v>
      </c>
      <c r="P2692">
        <v>10395.03611176889</v>
      </c>
      <c r="Q2692">
        <v>22.041493010063569</v>
      </c>
      <c r="R2692" t="s">
        <v>109</v>
      </c>
      <c r="S2692">
        <v>471.61215925902968</v>
      </c>
      <c r="T2692">
        <v>4.5</v>
      </c>
      <c r="U2692" t="s">
        <v>184</v>
      </c>
      <c r="V2692">
        <v>4.5</v>
      </c>
      <c r="W2692">
        <v>8</v>
      </c>
      <c r="X2692">
        <v>20.8</v>
      </c>
      <c r="Y2692">
        <v>15</v>
      </c>
      <c r="Z2692">
        <v>7.9105094690167521E-2</v>
      </c>
      <c r="AA2692">
        <v>31.536000000000001</v>
      </c>
    </row>
    <row r="2693" spans="1:27" x14ac:dyDescent="0.25">
      <c r="A2693" t="s">
        <v>98</v>
      </c>
      <c r="B2693" t="s">
        <v>519</v>
      </c>
      <c r="C2693" t="s">
        <v>1367</v>
      </c>
      <c r="D2693" t="s">
        <v>1707</v>
      </c>
      <c r="E2693" t="s">
        <v>179</v>
      </c>
      <c r="F2693" t="s">
        <v>201</v>
      </c>
      <c r="G2693" t="s">
        <v>119</v>
      </c>
      <c r="H2693" t="s">
        <v>125</v>
      </c>
      <c r="I2693">
        <v>2024</v>
      </c>
      <c r="J2693" t="s">
        <v>222</v>
      </c>
      <c r="K2693" t="s">
        <v>127</v>
      </c>
      <c r="L2693" t="s">
        <v>2918</v>
      </c>
      <c r="M2693" t="s">
        <v>2937</v>
      </c>
      <c r="N2693">
        <v>1</v>
      </c>
      <c r="O2693">
        <v>2024</v>
      </c>
      <c r="P2693">
        <v>10395.03611176889</v>
      </c>
      <c r="Q2693">
        <v>22.041493010063569</v>
      </c>
      <c r="R2693" t="s">
        <v>109</v>
      </c>
      <c r="S2693">
        <v>471.61215925902968</v>
      </c>
      <c r="T2693">
        <v>4.5</v>
      </c>
      <c r="U2693" t="s">
        <v>184</v>
      </c>
      <c r="V2693">
        <v>4.5</v>
      </c>
      <c r="W2693">
        <v>8</v>
      </c>
      <c r="X2693">
        <v>20.8</v>
      </c>
      <c r="Y2693">
        <v>15</v>
      </c>
      <c r="Z2693">
        <v>7.9105094690167521E-2</v>
      </c>
      <c r="AA2693">
        <v>31.536000000000001</v>
      </c>
    </row>
    <row r="2694" spans="1:27" x14ac:dyDescent="0.25">
      <c r="A2694" t="s">
        <v>98</v>
      </c>
      <c r="B2694" t="s">
        <v>519</v>
      </c>
      <c r="C2694" t="s">
        <v>1367</v>
      </c>
      <c r="D2694" t="s">
        <v>1707</v>
      </c>
      <c r="E2694" t="s">
        <v>179</v>
      </c>
      <c r="F2694" t="s">
        <v>224</v>
      </c>
      <c r="G2694" t="s">
        <v>111</v>
      </c>
      <c r="H2694" t="s">
        <v>125</v>
      </c>
      <c r="I2694">
        <v>2016</v>
      </c>
      <c r="J2694" t="s">
        <v>225</v>
      </c>
      <c r="K2694" t="s">
        <v>127</v>
      </c>
      <c r="L2694" t="s">
        <v>2918</v>
      </c>
      <c r="M2694" t="s">
        <v>2938</v>
      </c>
      <c r="N2694">
        <v>1</v>
      </c>
      <c r="O2694">
        <v>2020</v>
      </c>
      <c r="P2694">
        <v>1341.294982163728</v>
      </c>
      <c r="Q2694">
        <v>22.041493010063569</v>
      </c>
      <c r="R2694" t="s">
        <v>109</v>
      </c>
      <c r="S2694">
        <v>60.853181839874807</v>
      </c>
      <c r="T2694">
        <v>0.98</v>
      </c>
      <c r="U2694" t="s">
        <v>227</v>
      </c>
      <c r="V2694">
        <v>0.98</v>
      </c>
      <c r="W2694">
        <v>15</v>
      </c>
      <c r="X2694">
        <v>30</v>
      </c>
      <c r="Y2694">
        <v>23</v>
      </c>
      <c r="Z2694">
        <v>7.9105094690167521E-2</v>
      </c>
      <c r="AA2694">
        <v>31.536000000000001</v>
      </c>
    </row>
    <row r="2695" spans="1:27" x14ac:dyDescent="0.25">
      <c r="A2695" t="s">
        <v>98</v>
      </c>
      <c r="B2695" t="s">
        <v>519</v>
      </c>
      <c r="C2695" t="s">
        <v>1367</v>
      </c>
      <c r="D2695" t="s">
        <v>1707</v>
      </c>
      <c r="E2695" t="s">
        <v>179</v>
      </c>
      <c r="F2695" t="s">
        <v>228</v>
      </c>
      <c r="G2695" t="s">
        <v>103</v>
      </c>
      <c r="H2695" t="s">
        <v>104</v>
      </c>
      <c r="I2695">
        <v>2016</v>
      </c>
      <c r="J2695" t="s">
        <v>229</v>
      </c>
      <c r="K2695" t="s">
        <v>106</v>
      </c>
      <c r="L2695" t="s">
        <v>2918</v>
      </c>
      <c r="M2695" t="s">
        <v>2939</v>
      </c>
      <c r="N2695">
        <v>1</v>
      </c>
      <c r="O2695">
        <v>2020</v>
      </c>
      <c r="P2695">
        <v>2499.6861031233111</v>
      </c>
      <c r="Q2695">
        <v>22.041493010063569</v>
      </c>
      <c r="R2695" t="s">
        <v>109</v>
      </c>
      <c r="S2695">
        <v>113.4082025197667</v>
      </c>
      <c r="T2695">
        <v>0.8</v>
      </c>
      <c r="U2695" t="s">
        <v>227</v>
      </c>
      <c r="V2695">
        <v>0.8</v>
      </c>
      <c r="W2695">
        <v>16</v>
      </c>
      <c r="X2695">
        <v>27</v>
      </c>
      <c r="Y2695">
        <v>22</v>
      </c>
      <c r="Z2695">
        <v>7.9105094690167521E-2</v>
      </c>
      <c r="AA2695">
        <v>31.536000000000001</v>
      </c>
    </row>
    <row r="2696" spans="1:27" x14ac:dyDescent="0.25">
      <c r="A2696" t="s">
        <v>98</v>
      </c>
      <c r="B2696" t="s">
        <v>519</v>
      </c>
      <c r="C2696" t="s">
        <v>1367</v>
      </c>
      <c r="D2696" t="s">
        <v>1707</v>
      </c>
      <c r="E2696" t="s">
        <v>179</v>
      </c>
      <c r="F2696" t="s">
        <v>228</v>
      </c>
      <c r="G2696" t="s">
        <v>111</v>
      </c>
      <c r="H2696" t="s">
        <v>104</v>
      </c>
      <c r="I2696">
        <v>2016</v>
      </c>
      <c r="J2696" t="s">
        <v>231</v>
      </c>
      <c r="K2696" t="s">
        <v>106</v>
      </c>
      <c r="L2696" t="s">
        <v>2918</v>
      </c>
      <c r="M2696" t="s">
        <v>2940</v>
      </c>
      <c r="N2696">
        <v>0</v>
      </c>
      <c r="O2696">
        <v>2020</v>
      </c>
      <c r="P2696">
        <v>3182.5271849521182</v>
      </c>
      <c r="Q2696">
        <v>22.041493010063569</v>
      </c>
      <c r="R2696" t="s">
        <v>109</v>
      </c>
      <c r="S2696">
        <v>144.38800418370289</v>
      </c>
      <c r="T2696">
        <v>0.92</v>
      </c>
      <c r="U2696" t="s">
        <v>227</v>
      </c>
      <c r="V2696">
        <v>0.92</v>
      </c>
      <c r="W2696">
        <v>16</v>
      </c>
      <c r="X2696">
        <v>27</v>
      </c>
      <c r="Y2696">
        <v>22</v>
      </c>
      <c r="Z2696">
        <v>7.9105094690167521E-2</v>
      </c>
      <c r="AA2696">
        <v>31.536000000000001</v>
      </c>
    </row>
    <row r="2697" spans="1:27" x14ac:dyDescent="0.25">
      <c r="A2697" t="s">
        <v>98</v>
      </c>
      <c r="B2697" t="s">
        <v>519</v>
      </c>
      <c r="C2697" t="s">
        <v>1367</v>
      </c>
      <c r="D2697" t="s">
        <v>1707</v>
      </c>
      <c r="E2697" t="s">
        <v>179</v>
      </c>
      <c r="F2697" t="s">
        <v>228</v>
      </c>
      <c r="G2697" t="s">
        <v>111</v>
      </c>
      <c r="H2697" t="s">
        <v>104</v>
      </c>
      <c r="I2697">
        <v>2020</v>
      </c>
      <c r="J2697" t="s">
        <v>233</v>
      </c>
      <c r="K2697" t="s">
        <v>106</v>
      </c>
      <c r="L2697" t="s">
        <v>2918</v>
      </c>
      <c r="M2697" t="s">
        <v>2940</v>
      </c>
      <c r="N2697">
        <v>1</v>
      </c>
      <c r="O2697">
        <v>2020</v>
      </c>
      <c r="P2697">
        <v>3365.4310461562618</v>
      </c>
      <c r="Q2697">
        <v>22.041493010063569</v>
      </c>
      <c r="R2697" t="s">
        <v>109</v>
      </c>
      <c r="S2697">
        <v>152.6861653436859</v>
      </c>
      <c r="T2697">
        <v>0.92</v>
      </c>
      <c r="U2697" t="s">
        <v>227</v>
      </c>
      <c r="V2697">
        <v>0.92</v>
      </c>
      <c r="W2697">
        <v>16</v>
      </c>
      <c r="X2697">
        <v>27</v>
      </c>
      <c r="Y2697">
        <v>22</v>
      </c>
      <c r="Z2697">
        <v>7.9105094690167521E-2</v>
      </c>
      <c r="AA2697">
        <v>31.536000000000001</v>
      </c>
    </row>
    <row r="2698" spans="1:27" x14ac:dyDescent="0.25">
      <c r="A2698" t="s">
        <v>98</v>
      </c>
      <c r="B2698" t="s">
        <v>519</v>
      </c>
      <c r="C2698" t="s">
        <v>1367</v>
      </c>
      <c r="D2698" t="s">
        <v>1707</v>
      </c>
      <c r="E2698" t="s">
        <v>179</v>
      </c>
      <c r="F2698" t="s">
        <v>228</v>
      </c>
      <c r="G2698" t="s">
        <v>114</v>
      </c>
      <c r="H2698" t="s">
        <v>104</v>
      </c>
      <c r="I2698">
        <v>2016</v>
      </c>
      <c r="J2698" t="s">
        <v>234</v>
      </c>
      <c r="K2698" t="s">
        <v>106</v>
      </c>
      <c r="L2698" t="s">
        <v>2918</v>
      </c>
      <c r="M2698" t="s">
        <v>2941</v>
      </c>
      <c r="N2698">
        <v>1</v>
      </c>
      <c r="O2698">
        <v>2020</v>
      </c>
      <c r="P2698">
        <v>3341.043864662377</v>
      </c>
      <c r="Q2698">
        <v>22.041493010063569</v>
      </c>
      <c r="R2698" t="s">
        <v>109</v>
      </c>
      <c r="S2698">
        <v>151.57974385568821</v>
      </c>
      <c r="T2698">
        <v>0.95</v>
      </c>
      <c r="U2698" t="s">
        <v>227</v>
      </c>
      <c r="V2698">
        <v>0.95</v>
      </c>
      <c r="W2698">
        <v>16</v>
      </c>
      <c r="X2698">
        <v>27</v>
      </c>
      <c r="Y2698">
        <v>22</v>
      </c>
      <c r="Z2698">
        <v>7.9105094690167521E-2</v>
      </c>
      <c r="AA2698">
        <v>31.536000000000001</v>
      </c>
    </row>
    <row r="2699" spans="1:27" x14ac:dyDescent="0.25">
      <c r="A2699" t="s">
        <v>98</v>
      </c>
      <c r="B2699" t="s">
        <v>519</v>
      </c>
      <c r="C2699" t="s">
        <v>1367</v>
      </c>
      <c r="D2699" t="s">
        <v>1707</v>
      </c>
      <c r="E2699" t="s">
        <v>179</v>
      </c>
      <c r="F2699" t="s">
        <v>228</v>
      </c>
      <c r="G2699" t="s">
        <v>114</v>
      </c>
      <c r="H2699" t="s">
        <v>104</v>
      </c>
      <c r="I2699">
        <v>2022</v>
      </c>
      <c r="J2699" t="s">
        <v>236</v>
      </c>
      <c r="K2699" t="s">
        <v>106</v>
      </c>
      <c r="L2699" t="s">
        <v>2918</v>
      </c>
      <c r="M2699" t="s">
        <v>2942</v>
      </c>
      <c r="N2699">
        <v>1</v>
      </c>
      <c r="O2699">
        <v>2022</v>
      </c>
      <c r="P2699">
        <v>3341.043864662377</v>
      </c>
      <c r="Q2699">
        <v>22.041493010063569</v>
      </c>
      <c r="R2699" t="s">
        <v>109</v>
      </c>
      <c r="S2699">
        <v>151.57974385568821</v>
      </c>
      <c r="T2699">
        <v>0.95</v>
      </c>
      <c r="U2699" t="s">
        <v>227</v>
      </c>
      <c r="V2699">
        <v>0.95</v>
      </c>
      <c r="W2699">
        <v>16</v>
      </c>
      <c r="X2699">
        <v>27</v>
      </c>
      <c r="Y2699">
        <v>22</v>
      </c>
      <c r="Z2699">
        <v>7.9105094690167521E-2</v>
      </c>
      <c r="AA2699">
        <v>31.536000000000001</v>
      </c>
    </row>
    <row r="2700" spans="1:27" x14ac:dyDescent="0.25">
      <c r="A2700" t="s">
        <v>98</v>
      </c>
      <c r="B2700" t="s">
        <v>519</v>
      </c>
      <c r="C2700" t="s">
        <v>1367</v>
      </c>
      <c r="D2700" t="s">
        <v>1707</v>
      </c>
      <c r="E2700" t="s">
        <v>179</v>
      </c>
      <c r="F2700" t="s">
        <v>228</v>
      </c>
      <c r="G2700" t="s">
        <v>119</v>
      </c>
      <c r="H2700" t="s">
        <v>104</v>
      </c>
      <c r="I2700">
        <v>2016</v>
      </c>
      <c r="J2700" t="s">
        <v>238</v>
      </c>
      <c r="K2700" t="s">
        <v>106</v>
      </c>
      <c r="L2700" t="s">
        <v>2918</v>
      </c>
      <c r="M2700" t="s">
        <v>2943</v>
      </c>
      <c r="N2700">
        <v>1</v>
      </c>
      <c r="O2700">
        <v>2020</v>
      </c>
      <c r="P2700">
        <v>3706.851587070666</v>
      </c>
      <c r="Q2700">
        <v>22.041493010063569</v>
      </c>
      <c r="R2700" t="s">
        <v>109</v>
      </c>
      <c r="S2700">
        <v>168.176066175654</v>
      </c>
      <c r="T2700">
        <v>0.99</v>
      </c>
      <c r="U2700" t="s">
        <v>227</v>
      </c>
      <c r="V2700">
        <v>0.99</v>
      </c>
      <c r="W2700">
        <v>16</v>
      </c>
      <c r="X2700">
        <v>27</v>
      </c>
      <c r="Y2700">
        <v>22</v>
      </c>
      <c r="Z2700">
        <v>7.9105094690167521E-2</v>
      </c>
      <c r="AA2700">
        <v>31.536000000000001</v>
      </c>
    </row>
    <row r="2701" spans="1:27" x14ac:dyDescent="0.25">
      <c r="A2701" t="s">
        <v>98</v>
      </c>
      <c r="B2701" t="s">
        <v>519</v>
      </c>
      <c r="C2701" t="s">
        <v>1367</v>
      </c>
      <c r="D2701" t="s">
        <v>1707</v>
      </c>
      <c r="E2701" t="s">
        <v>179</v>
      </c>
      <c r="F2701" t="s">
        <v>228</v>
      </c>
      <c r="G2701" t="s">
        <v>119</v>
      </c>
      <c r="H2701" t="s">
        <v>104</v>
      </c>
      <c r="I2701">
        <v>2022</v>
      </c>
      <c r="J2701" t="s">
        <v>240</v>
      </c>
      <c r="K2701" t="s">
        <v>106</v>
      </c>
      <c r="L2701" t="s">
        <v>2918</v>
      </c>
      <c r="M2701" t="s">
        <v>2944</v>
      </c>
      <c r="N2701">
        <v>1</v>
      </c>
      <c r="O2701">
        <v>2022</v>
      </c>
      <c r="P2701">
        <v>3706.851587070666</v>
      </c>
      <c r="Q2701">
        <v>22.041493010063569</v>
      </c>
      <c r="R2701" t="s">
        <v>109</v>
      </c>
      <c r="S2701">
        <v>168.176066175654</v>
      </c>
      <c r="T2701">
        <v>0.99</v>
      </c>
      <c r="U2701" t="s">
        <v>227</v>
      </c>
      <c r="V2701">
        <v>0.99</v>
      </c>
      <c r="W2701">
        <v>16</v>
      </c>
      <c r="X2701">
        <v>27</v>
      </c>
      <c r="Y2701">
        <v>22</v>
      </c>
      <c r="Z2701">
        <v>7.9105094690167521E-2</v>
      </c>
      <c r="AA2701">
        <v>31.536000000000001</v>
      </c>
    </row>
    <row r="2702" spans="1:27" x14ac:dyDescent="0.25">
      <c r="A2702" t="s">
        <v>98</v>
      </c>
      <c r="B2702" t="s">
        <v>519</v>
      </c>
      <c r="C2702" t="s">
        <v>1367</v>
      </c>
      <c r="D2702" t="s">
        <v>1707</v>
      </c>
      <c r="E2702" t="s">
        <v>179</v>
      </c>
      <c r="F2702" t="s">
        <v>224</v>
      </c>
      <c r="G2702" t="s">
        <v>103</v>
      </c>
      <c r="H2702" t="s">
        <v>104</v>
      </c>
      <c r="I2702">
        <v>2016</v>
      </c>
      <c r="J2702" t="s">
        <v>242</v>
      </c>
      <c r="K2702" t="s">
        <v>106</v>
      </c>
      <c r="L2702" t="s">
        <v>2918</v>
      </c>
      <c r="M2702" t="s">
        <v>2945</v>
      </c>
      <c r="N2702">
        <v>1</v>
      </c>
      <c r="O2702">
        <v>2020</v>
      </c>
      <c r="P2702">
        <v>8748.901360931588</v>
      </c>
      <c r="Q2702">
        <v>22.041493010063569</v>
      </c>
      <c r="R2702" t="s">
        <v>109</v>
      </c>
      <c r="S2702">
        <v>396.92870881918338</v>
      </c>
      <c r="T2702">
        <v>0.82</v>
      </c>
      <c r="U2702" t="s">
        <v>227</v>
      </c>
      <c r="V2702">
        <v>0.82</v>
      </c>
      <c r="W2702">
        <v>20</v>
      </c>
      <c r="X2702">
        <v>30</v>
      </c>
      <c r="Y2702">
        <v>26</v>
      </c>
      <c r="Z2702">
        <v>7.9105094690167521E-2</v>
      </c>
      <c r="AA2702">
        <v>31.536000000000001</v>
      </c>
    </row>
    <row r="2703" spans="1:27" x14ac:dyDescent="0.25">
      <c r="A2703" t="s">
        <v>98</v>
      </c>
      <c r="B2703" t="s">
        <v>519</v>
      </c>
      <c r="C2703" t="s">
        <v>1367</v>
      </c>
      <c r="D2703" t="s">
        <v>1707</v>
      </c>
      <c r="E2703" t="s">
        <v>179</v>
      </c>
      <c r="F2703" t="s">
        <v>224</v>
      </c>
      <c r="G2703" t="s">
        <v>103</v>
      </c>
      <c r="H2703" t="s">
        <v>104</v>
      </c>
      <c r="I2703">
        <v>2021</v>
      </c>
      <c r="J2703" t="s">
        <v>244</v>
      </c>
      <c r="K2703" t="s">
        <v>106</v>
      </c>
      <c r="L2703" t="s">
        <v>2918</v>
      </c>
      <c r="M2703" t="s">
        <v>2946</v>
      </c>
      <c r="N2703">
        <v>1</v>
      </c>
      <c r="O2703">
        <v>2021</v>
      </c>
      <c r="P2703">
        <v>8962.2891990030894</v>
      </c>
      <c r="Q2703">
        <v>22.041493010063569</v>
      </c>
      <c r="R2703" t="s">
        <v>109</v>
      </c>
      <c r="S2703">
        <v>406.60989683916341</v>
      </c>
      <c r="T2703">
        <v>0.84</v>
      </c>
      <c r="U2703" t="s">
        <v>227</v>
      </c>
      <c r="V2703">
        <v>0.84</v>
      </c>
      <c r="W2703">
        <v>20</v>
      </c>
      <c r="X2703">
        <v>30</v>
      </c>
      <c r="Y2703">
        <v>26</v>
      </c>
      <c r="Z2703">
        <v>7.9105094690167521E-2</v>
      </c>
      <c r="AA2703">
        <v>31.536000000000001</v>
      </c>
    </row>
    <row r="2704" spans="1:27" x14ac:dyDescent="0.25">
      <c r="A2704" t="s">
        <v>98</v>
      </c>
      <c r="B2704" t="s">
        <v>519</v>
      </c>
      <c r="C2704" t="s">
        <v>1367</v>
      </c>
      <c r="D2704" t="s">
        <v>1707</v>
      </c>
      <c r="E2704" t="s">
        <v>179</v>
      </c>
      <c r="F2704" t="s">
        <v>224</v>
      </c>
      <c r="G2704" t="s">
        <v>111</v>
      </c>
      <c r="H2704" t="s">
        <v>104</v>
      </c>
      <c r="I2704">
        <v>2016</v>
      </c>
      <c r="J2704" t="s">
        <v>246</v>
      </c>
      <c r="K2704" t="s">
        <v>106</v>
      </c>
      <c r="L2704" t="s">
        <v>2918</v>
      </c>
      <c r="M2704" t="s">
        <v>2947</v>
      </c>
      <c r="N2704">
        <v>0</v>
      </c>
      <c r="O2704">
        <v>2020</v>
      </c>
      <c r="P2704">
        <v>8748.901360931588</v>
      </c>
      <c r="Q2704">
        <v>22.041493010063569</v>
      </c>
      <c r="R2704" t="s">
        <v>109</v>
      </c>
      <c r="S2704">
        <v>396.92870881918338</v>
      </c>
      <c r="T2704">
        <v>0.82</v>
      </c>
      <c r="U2704" t="s">
        <v>227</v>
      </c>
      <c r="V2704">
        <v>0.82</v>
      </c>
      <c r="W2704">
        <v>20</v>
      </c>
      <c r="X2704">
        <v>30</v>
      </c>
      <c r="Y2704">
        <v>26</v>
      </c>
      <c r="Z2704">
        <v>7.9105094690167521E-2</v>
      </c>
      <c r="AA2704">
        <v>31.536000000000001</v>
      </c>
    </row>
    <row r="2705" spans="1:27" x14ac:dyDescent="0.25">
      <c r="A2705" t="s">
        <v>98</v>
      </c>
      <c r="B2705" t="s">
        <v>519</v>
      </c>
      <c r="C2705" t="s">
        <v>1367</v>
      </c>
      <c r="D2705" t="s">
        <v>1707</v>
      </c>
      <c r="E2705" t="s">
        <v>179</v>
      </c>
      <c r="F2705" t="s">
        <v>224</v>
      </c>
      <c r="G2705" t="s">
        <v>111</v>
      </c>
      <c r="H2705" t="s">
        <v>104</v>
      </c>
      <c r="I2705">
        <v>2020</v>
      </c>
      <c r="J2705" t="s">
        <v>248</v>
      </c>
      <c r="K2705" t="s">
        <v>106</v>
      </c>
      <c r="L2705" t="s">
        <v>2918</v>
      </c>
      <c r="M2705" t="s">
        <v>2947</v>
      </c>
      <c r="N2705">
        <v>1</v>
      </c>
      <c r="O2705">
        <v>2020</v>
      </c>
      <c r="P2705">
        <v>9602.4527132175954</v>
      </c>
      <c r="Q2705">
        <v>22.041493010063569</v>
      </c>
      <c r="R2705" t="s">
        <v>109</v>
      </c>
      <c r="S2705">
        <v>435.65346089910372</v>
      </c>
      <c r="T2705">
        <v>0.9</v>
      </c>
      <c r="U2705" t="s">
        <v>227</v>
      </c>
      <c r="V2705">
        <v>0.9</v>
      </c>
      <c r="W2705">
        <v>20</v>
      </c>
      <c r="X2705">
        <v>30</v>
      </c>
      <c r="Y2705">
        <v>26</v>
      </c>
      <c r="Z2705">
        <v>7.9105094690167521E-2</v>
      </c>
      <c r="AA2705">
        <v>31.536000000000001</v>
      </c>
    </row>
    <row r="2706" spans="1:27" x14ac:dyDescent="0.25">
      <c r="A2706" t="s">
        <v>98</v>
      </c>
      <c r="B2706" t="s">
        <v>519</v>
      </c>
      <c r="C2706" t="s">
        <v>1367</v>
      </c>
      <c r="D2706" t="s">
        <v>1707</v>
      </c>
      <c r="E2706" t="s">
        <v>179</v>
      </c>
      <c r="F2706" t="s">
        <v>224</v>
      </c>
      <c r="G2706" t="s">
        <v>114</v>
      </c>
      <c r="H2706" t="s">
        <v>104</v>
      </c>
      <c r="I2706">
        <v>2016</v>
      </c>
      <c r="J2706" t="s">
        <v>249</v>
      </c>
      <c r="K2706" t="s">
        <v>106</v>
      </c>
      <c r="L2706" t="s">
        <v>2918</v>
      </c>
      <c r="M2706" t="s">
        <v>2948</v>
      </c>
      <c r="N2706">
        <v>1</v>
      </c>
      <c r="O2706">
        <v>2020</v>
      </c>
      <c r="P2706">
        <v>9602.4527132175954</v>
      </c>
      <c r="Q2706">
        <v>22.041493010063569</v>
      </c>
      <c r="R2706" t="s">
        <v>109</v>
      </c>
      <c r="S2706">
        <v>435.65346089910372</v>
      </c>
      <c r="T2706">
        <v>0.9</v>
      </c>
      <c r="U2706" t="s">
        <v>227</v>
      </c>
      <c r="V2706">
        <v>0.9</v>
      </c>
      <c r="W2706">
        <v>20</v>
      </c>
      <c r="X2706">
        <v>30</v>
      </c>
      <c r="Y2706">
        <v>26</v>
      </c>
      <c r="Z2706">
        <v>7.9105094690167521E-2</v>
      </c>
      <c r="AA2706">
        <v>31.536000000000001</v>
      </c>
    </row>
    <row r="2707" spans="1:27" x14ac:dyDescent="0.25">
      <c r="A2707" t="s">
        <v>98</v>
      </c>
      <c r="B2707" t="s">
        <v>519</v>
      </c>
      <c r="C2707" t="s">
        <v>1367</v>
      </c>
      <c r="D2707" t="s">
        <v>1707</v>
      </c>
      <c r="E2707" t="s">
        <v>179</v>
      </c>
      <c r="F2707" t="s">
        <v>224</v>
      </c>
      <c r="G2707" t="s">
        <v>119</v>
      </c>
      <c r="H2707" t="s">
        <v>104</v>
      </c>
      <c r="I2707">
        <v>2016</v>
      </c>
      <c r="J2707" t="s">
        <v>251</v>
      </c>
      <c r="K2707" t="s">
        <v>106</v>
      </c>
      <c r="L2707" t="s">
        <v>2918</v>
      </c>
      <c r="M2707" t="s">
        <v>2949</v>
      </c>
      <c r="N2707">
        <v>1</v>
      </c>
      <c r="O2707">
        <v>2020</v>
      </c>
      <c r="P2707">
        <v>10882.779741646609</v>
      </c>
      <c r="Q2707">
        <v>22.041493010063569</v>
      </c>
      <c r="R2707" t="s">
        <v>109</v>
      </c>
      <c r="S2707">
        <v>493.74058901898422</v>
      </c>
      <c r="T2707">
        <v>0.97</v>
      </c>
      <c r="U2707" t="s">
        <v>227</v>
      </c>
      <c r="V2707">
        <v>0.97</v>
      </c>
      <c r="W2707">
        <v>20</v>
      </c>
      <c r="X2707">
        <v>30</v>
      </c>
      <c r="Y2707">
        <v>26</v>
      </c>
      <c r="Z2707">
        <v>7.9105094690167521E-2</v>
      </c>
      <c r="AA2707">
        <v>31.536000000000001</v>
      </c>
    </row>
    <row r="2708" spans="1:27" x14ac:dyDescent="0.25">
      <c r="A2708" t="s">
        <v>98</v>
      </c>
      <c r="B2708" t="s">
        <v>519</v>
      </c>
      <c r="C2708" t="s">
        <v>1367</v>
      </c>
      <c r="D2708" t="s">
        <v>1707</v>
      </c>
      <c r="E2708" t="s">
        <v>179</v>
      </c>
      <c r="F2708" t="s">
        <v>224</v>
      </c>
      <c r="G2708" t="s">
        <v>119</v>
      </c>
      <c r="H2708" t="s">
        <v>104</v>
      </c>
      <c r="I2708">
        <v>2022</v>
      </c>
      <c r="J2708" t="s">
        <v>253</v>
      </c>
      <c r="K2708" t="s">
        <v>106</v>
      </c>
      <c r="L2708" t="s">
        <v>2918</v>
      </c>
      <c r="M2708" t="s">
        <v>2950</v>
      </c>
      <c r="N2708">
        <v>1</v>
      </c>
      <c r="O2708">
        <v>2022</v>
      </c>
      <c r="P2708">
        <v>10882.779741646609</v>
      </c>
      <c r="Q2708">
        <v>22.041493010063569</v>
      </c>
      <c r="R2708" t="s">
        <v>109</v>
      </c>
      <c r="S2708">
        <v>493.74058901898422</v>
      </c>
      <c r="T2708">
        <v>0.97</v>
      </c>
      <c r="U2708" t="s">
        <v>227</v>
      </c>
      <c r="V2708">
        <v>0.97</v>
      </c>
      <c r="W2708">
        <v>20</v>
      </c>
      <c r="X2708">
        <v>30</v>
      </c>
      <c r="Y2708">
        <v>26</v>
      </c>
      <c r="Z2708">
        <v>7.9105094690167521E-2</v>
      </c>
      <c r="AA2708">
        <v>31.536000000000001</v>
      </c>
    </row>
    <row r="2709" spans="1:27" x14ac:dyDescent="0.25">
      <c r="A2709" t="s">
        <v>98</v>
      </c>
      <c r="B2709" t="s">
        <v>519</v>
      </c>
      <c r="C2709" t="s">
        <v>1367</v>
      </c>
      <c r="D2709" t="s">
        <v>1707</v>
      </c>
      <c r="E2709" t="s">
        <v>179</v>
      </c>
      <c r="F2709" t="s">
        <v>228</v>
      </c>
      <c r="G2709" t="s">
        <v>103</v>
      </c>
      <c r="H2709" t="s">
        <v>255</v>
      </c>
      <c r="I2709">
        <v>2016</v>
      </c>
      <c r="J2709" t="s">
        <v>256</v>
      </c>
      <c r="K2709" t="s">
        <v>257</v>
      </c>
      <c r="L2709" t="s">
        <v>2918</v>
      </c>
      <c r="M2709" t="s">
        <v>2951</v>
      </c>
      <c r="N2709">
        <v>1</v>
      </c>
      <c r="O2709">
        <v>2020</v>
      </c>
      <c r="P2709">
        <v>5029.8561831139787</v>
      </c>
      <c r="Q2709">
        <v>22.041493010063569</v>
      </c>
      <c r="R2709" t="s">
        <v>109</v>
      </c>
      <c r="S2709">
        <v>228.19943189953051</v>
      </c>
      <c r="T2709">
        <v>0.83</v>
      </c>
      <c r="U2709" t="s">
        <v>227</v>
      </c>
      <c r="V2709">
        <v>0.83</v>
      </c>
      <c r="W2709">
        <v>19.7</v>
      </c>
      <c r="X2709">
        <v>33.1</v>
      </c>
      <c r="Y2709">
        <v>27</v>
      </c>
      <c r="Z2709">
        <v>7.9105094690167521E-2</v>
      </c>
      <c r="AA2709">
        <v>31.536000000000001</v>
      </c>
    </row>
    <row r="2710" spans="1:27" x14ac:dyDescent="0.25">
      <c r="A2710" t="s">
        <v>98</v>
      </c>
      <c r="B2710" t="s">
        <v>519</v>
      </c>
      <c r="C2710" t="s">
        <v>1367</v>
      </c>
      <c r="D2710" t="s">
        <v>1707</v>
      </c>
      <c r="E2710" t="s">
        <v>179</v>
      </c>
      <c r="F2710" t="s">
        <v>228</v>
      </c>
      <c r="G2710" t="s">
        <v>111</v>
      </c>
      <c r="H2710" t="s">
        <v>255</v>
      </c>
      <c r="I2710">
        <v>2016</v>
      </c>
      <c r="J2710" t="s">
        <v>259</v>
      </c>
      <c r="K2710" t="s">
        <v>257</v>
      </c>
      <c r="L2710" t="s">
        <v>2918</v>
      </c>
      <c r="M2710" t="s">
        <v>2952</v>
      </c>
      <c r="N2710">
        <v>0</v>
      </c>
      <c r="O2710">
        <v>2020</v>
      </c>
      <c r="P2710">
        <v>5029.8561831139787</v>
      </c>
      <c r="Q2710">
        <v>22.041493010063569</v>
      </c>
      <c r="R2710" t="s">
        <v>109</v>
      </c>
      <c r="S2710">
        <v>228.19943189953051</v>
      </c>
      <c r="T2710">
        <v>0.83</v>
      </c>
      <c r="U2710" t="s">
        <v>227</v>
      </c>
      <c r="V2710">
        <v>0.83</v>
      </c>
      <c r="W2710">
        <v>19.7</v>
      </c>
      <c r="X2710">
        <v>33.1</v>
      </c>
      <c r="Y2710">
        <v>27</v>
      </c>
      <c r="Z2710">
        <v>7.9105094690167521E-2</v>
      </c>
      <c r="AA2710">
        <v>31.536000000000001</v>
      </c>
    </row>
    <row r="2711" spans="1:27" x14ac:dyDescent="0.25">
      <c r="A2711" t="s">
        <v>98</v>
      </c>
      <c r="B2711" t="s">
        <v>519</v>
      </c>
      <c r="C2711" t="s">
        <v>1367</v>
      </c>
      <c r="D2711" t="s">
        <v>1707</v>
      </c>
      <c r="E2711" t="s">
        <v>179</v>
      </c>
      <c r="F2711" t="s">
        <v>228</v>
      </c>
      <c r="G2711" t="s">
        <v>111</v>
      </c>
      <c r="H2711" t="s">
        <v>255</v>
      </c>
      <c r="I2711">
        <v>2020</v>
      </c>
      <c r="J2711" t="s">
        <v>261</v>
      </c>
      <c r="K2711" t="s">
        <v>257</v>
      </c>
      <c r="L2711" t="s">
        <v>2918</v>
      </c>
      <c r="M2711" t="s">
        <v>2952</v>
      </c>
      <c r="N2711">
        <v>1</v>
      </c>
      <c r="O2711">
        <v>2020</v>
      </c>
      <c r="P2711">
        <v>5151.7920905834089</v>
      </c>
      <c r="Q2711">
        <v>22.041493010063569</v>
      </c>
      <c r="R2711" t="s">
        <v>109</v>
      </c>
      <c r="S2711">
        <v>233.73153933951909</v>
      </c>
      <c r="T2711">
        <v>0.84</v>
      </c>
      <c r="U2711" t="s">
        <v>227</v>
      </c>
      <c r="V2711">
        <v>0.84</v>
      </c>
      <c r="W2711">
        <v>19.7</v>
      </c>
      <c r="X2711">
        <v>33.1</v>
      </c>
      <c r="Y2711">
        <v>27</v>
      </c>
      <c r="Z2711">
        <v>7.9105094690167521E-2</v>
      </c>
      <c r="AA2711">
        <v>31.536000000000001</v>
      </c>
    </row>
    <row r="2712" spans="1:27" x14ac:dyDescent="0.25">
      <c r="A2712" t="s">
        <v>98</v>
      </c>
      <c r="B2712" t="s">
        <v>519</v>
      </c>
      <c r="C2712" t="s">
        <v>1367</v>
      </c>
      <c r="D2712" t="s">
        <v>1707</v>
      </c>
      <c r="E2712" t="s">
        <v>179</v>
      </c>
      <c r="F2712" t="s">
        <v>228</v>
      </c>
      <c r="G2712" t="s">
        <v>114</v>
      </c>
      <c r="H2712" t="s">
        <v>255</v>
      </c>
      <c r="I2712">
        <v>2016</v>
      </c>
      <c r="J2712" t="s">
        <v>262</v>
      </c>
      <c r="K2712" t="s">
        <v>257</v>
      </c>
      <c r="L2712" t="s">
        <v>2918</v>
      </c>
      <c r="M2712" t="s">
        <v>2953</v>
      </c>
      <c r="N2712">
        <v>1</v>
      </c>
      <c r="O2712">
        <v>2020</v>
      </c>
      <c r="P2712">
        <v>5304.2119749201956</v>
      </c>
      <c r="Q2712">
        <v>22.041493010063569</v>
      </c>
      <c r="R2712" t="s">
        <v>109</v>
      </c>
      <c r="S2712">
        <v>240.64667363950491</v>
      </c>
      <c r="T2712">
        <v>0.85</v>
      </c>
      <c r="U2712" t="s">
        <v>227</v>
      </c>
      <c r="V2712">
        <v>0.85</v>
      </c>
      <c r="W2712">
        <v>19.7</v>
      </c>
      <c r="X2712">
        <v>33.1</v>
      </c>
      <c r="Y2712">
        <v>27</v>
      </c>
      <c r="Z2712">
        <v>7.9105094690167521E-2</v>
      </c>
      <c r="AA2712">
        <v>31.536000000000001</v>
      </c>
    </row>
    <row r="2713" spans="1:27" x14ac:dyDescent="0.25">
      <c r="A2713" t="s">
        <v>98</v>
      </c>
      <c r="B2713" t="s">
        <v>519</v>
      </c>
      <c r="C2713" t="s">
        <v>1367</v>
      </c>
      <c r="D2713" t="s">
        <v>1707</v>
      </c>
      <c r="E2713" t="s">
        <v>179</v>
      </c>
      <c r="F2713" t="s">
        <v>228</v>
      </c>
      <c r="G2713" t="s">
        <v>119</v>
      </c>
      <c r="H2713" t="s">
        <v>255</v>
      </c>
      <c r="I2713">
        <v>2016</v>
      </c>
      <c r="J2713" t="s">
        <v>264</v>
      </c>
      <c r="K2713" t="s">
        <v>257</v>
      </c>
      <c r="L2713" t="s">
        <v>2918</v>
      </c>
      <c r="M2713" t="s">
        <v>2954</v>
      </c>
      <c r="N2713">
        <v>0</v>
      </c>
      <c r="O2713">
        <v>2020</v>
      </c>
      <c r="P2713">
        <v>7864.8660317782214</v>
      </c>
      <c r="Q2713">
        <v>22.041493010063569</v>
      </c>
      <c r="R2713" t="s">
        <v>109</v>
      </c>
      <c r="S2713">
        <v>356.82092987926592</v>
      </c>
      <c r="T2713">
        <v>0.97</v>
      </c>
      <c r="U2713" t="s">
        <v>227</v>
      </c>
      <c r="V2713">
        <v>0.97</v>
      </c>
      <c r="W2713">
        <v>19.7</v>
      </c>
      <c r="X2713">
        <v>33.1</v>
      </c>
      <c r="Y2713">
        <v>27</v>
      </c>
      <c r="Z2713">
        <v>7.9105094690167521E-2</v>
      </c>
      <c r="AA2713">
        <v>31.536000000000001</v>
      </c>
    </row>
    <row r="2714" spans="1:27" x14ac:dyDescent="0.25">
      <c r="A2714" t="s">
        <v>98</v>
      </c>
      <c r="B2714" t="s">
        <v>519</v>
      </c>
      <c r="C2714" t="s">
        <v>1367</v>
      </c>
      <c r="D2714" t="s">
        <v>1707</v>
      </c>
      <c r="E2714" t="s">
        <v>179</v>
      </c>
      <c r="F2714" t="s">
        <v>228</v>
      </c>
      <c r="G2714" t="s">
        <v>119</v>
      </c>
      <c r="H2714" t="s">
        <v>255</v>
      </c>
      <c r="I2714">
        <v>2020</v>
      </c>
      <c r="J2714" t="s">
        <v>266</v>
      </c>
      <c r="K2714" t="s">
        <v>257</v>
      </c>
      <c r="L2714" t="s">
        <v>2918</v>
      </c>
      <c r="M2714" t="s">
        <v>2954</v>
      </c>
      <c r="N2714">
        <v>1</v>
      </c>
      <c r="O2714">
        <v>2020</v>
      </c>
      <c r="P2714">
        <v>7864.8660317782214</v>
      </c>
      <c r="Q2714">
        <v>22.041493010063569</v>
      </c>
      <c r="R2714" t="s">
        <v>109</v>
      </c>
      <c r="S2714">
        <v>356.82092987926592</v>
      </c>
      <c r="T2714">
        <v>0.97</v>
      </c>
      <c r="U2714" t="s">
        <v>227</v>
      </c>
      <c r="V2714">
        <v>0.97</v>
      </c>
      <c r="W2714">
        <v>19.7</v>
      </c>
      <c r="X2714">
        <v>33.1</v>
      </c>
      <c r="Y2714">
        <v>27</v>
      </c>
      <c r="Z2714">
        <v>7.9105094690167521E-2</v>
      </c>
      <c r="AA2714">
        <v>31.536000000000001</v>
      </c>
    </row>
    <row r="2715" spans="1:27" x14ac:dyDescent="0.25">
      <c r="A2715" t="s">
        <v>98</v>
      </c>
      <c r="B2715" t="s">
        <v>519</v>
      </c>
      <c r="C2715" t="s">
        <v>1367</v>
      </c>
      <c r="D2715" t="s">
        <v>1707</v>
      </c>
      <c r="E2715" t="s">
        <v>179</v>
      </c>
      <c r="F2715" t="s">
        <v>228</v>
      </c>
      <c r="G2715" t="s">
        <v>103</v>
      </c>
      <c r="H2715" t="s">
        <v>156</v>
      </c>
      <c r="I2715">
        <v>2016</v>
      </c>
      <c r="J2715" t="s">
        <v>267</v>
      </c>
      <c r="K2715" t="s">
        <v>158</v>
      </c>
      <c r="L2715" t="s">
        <v>2918</v>
      </c>
      <c r="M2715" t="s">
        <v>2955</v>
      </c>
      <c r="N2715">
        <v>1</v>
      </c>
      <c r="O2715">
        <v>2020</v>
      </c>
      <c r="P2715">
        <v>2499.6861031233111</v>
      </c>
      <c r="Q2715">
        <v>22.041493010063569</v>
      </c>
      <c r="R2715" t="s">
        <v>109</v>
      </c>
      <c r="S2715">
        <v>113.4082025197667</v>
      </c>
      <c r="T2715">
        <v>0.8</v>
      </c>
      <c r="U2715" t="s">
        <v>227</v>
      </c>
      <c r="V2715">
        <v>0.8</v>
      </c>
      <c r="W2715">
        <v>16</v>
      </c>
      <c r="X2715">
        <v>27</v>
      </c>
      <c r="Y2715">
        <v>22</v>
      </c>
      <c r="Z2715">
        <v>7.9105094690167521E-2</v>
      </c>
      <c r="AA2715">
        <v>31.536000000000001</v>
      </c>
    </row>
    <row r="2716" spans="1:27" x14ac:dyDescent="0.25">
      <c r="A2716" t="s">
        <v>98</v>
      </c>
      <c r="B2716" t="s">
        <v>519</v>
      </c>
      <c r="C2716" t="s">
        <v>1367</v>
      </c>
      <c r="D2716" t="s">
        <v>1707</v>
      </c>
      <c r="E2716" t="s">
        <v>179</v>
      </c>
      <c r="F2716" t="s">
        <v>228</v>
      </c>
      <c r="G2716" t="s">
        <v>111</v>
      </c>
      <c r="H2716" t="s">
        <v>156</v>
      </c>
      <c r="I2716">
        <v>2016</v>
      </c>
      <c r="J2716" t="s">
        <v>269</v>
      </c>
      <c r="K2716" t="s">
        <v>158</v>
      </c>
      <c r="L2716" t="s">
        <v>2918</v>
      </c>
      <c r="M2716" t="s">
        <v>2956</v>
      </c>
      <c r="N2716">
        <v>0</v>
      </c>
      <c r="O2716">
        <v>2020</v>
      </c>
      <c r="P2716">
        <v>3182.5271849521182</v>
      </c>
      <c r="Q2716">
        <v>22.041493010063569</v>
      </c>
      <c r="R2716" t="s">
        <v>109</v>
      </c>
      <c r="S2716">
        <v>144.38800418370289</v>
      </c>
      <c r="T2716">
        <v>0.92</v>
      </c>
      <c r="U2716" t="s">
        <v>227</v>
      </c>
      <c r="V2716">
        <v>0.92</v>
      </c>
      <c r="W2716">
        <v>16</v>
      </c>
      <c r="X2716">
        <v>27</v>
      </c>
      <c r="Y2716">
        <v>22</v>
      </c>
      <c r="Z2716">
        <v>7.9105094690167521E-2</v>
      </c>
      <c r="AA2716">
        <v>31.536000000000001</v>
      </c>
    </row>
    <row r="2717" spans="1:27" x14ac:dyDescent="0.25">
      <c r="A2717" t="s">
        <v>98</v>
      </c>
      <c r="B2717" t="s">
        <v>519</v>
      </c>
      <c r="C2717" t="s">
        <v>1367</v>
      </c>
      <c r="D2717" t="s">
        <v>1707</v>
      </c>
      <c r="E2717" t="s">
        <v>179</v>
      </c>
      <c r="F2717" t="s">
        <v>228</v>
      </c>
      <c r="G2717" t="s">
        <v>111</v>
      </c>
      <c r="H2717" t="s">
        <v>156</v>
      </c>
      <c r="I2717">
        <v>2020</v>
      </c>
      <c r="J2717" t="s">
        <v>271</v>
      </c>
      <c r="K2717" t="s">
        <v>158</v>
      </c>
      <c r="L2717" t="s">
        <v>2918</v>
      </c>
      <c r="M2717" t="s">
        <v>2956</v>
      </c>
      <c r="N2717">
        <v>1</v>
      </c>
      <c r="O2717">
        <v>2020</v>
      </c>
      <c r="P2717">
        <v>3365.4310461562618</v>
      </c>
      <c r="Q2717">
        <v>22.041493010063569</v>
      </c>
      <c r="R2717" t="s">
        <v>109</v>
      </c>
      <c r="S2717">
        <v>152.6861653436859</v>
      </c>
      <c r="T2717">
        <v>0.92</v>
      </c>
      <c r="U2717" t="s">
        <v>227</v>
      </c>
      <c r="V2717">
        <v>0.92</v>
      </c>
      <c r="W2717">
        <v>16</v>
      </c>
      <c r="X2717">
        <v>27</v>
      </c>
      <c r="Y2717">
        <v>22</v>
      </c>
      <c r="Z2717">
        <v>7.9105094690167521E-2</v>
      </c>
      <c r="AA2717">
        <v>31.536000000000001</v>
      </c>
    </row>
    <row r="2718" spans="1:27" x14ac:dyDescent="0.25">
      <c r="A2718" t="s">
        <v>98</v>
      </c>
      <c r="B2718" t="s">
        <v>519</v>
      </c>
      <c r="C2718" t="s">
        <v>1367</v>
      </c>
      <c r="D2718" t="s">
        <v>1707</v>
      </c>
      <c r="E2718" t="s">
        <v>179</v>
      </c>
      <c r="F2718" t="s">
        <v>228</v>
      </c>
      <c r="G2718" t="s">
        <v>114</v>
      </c>
      <c r="H2718" t="s">
        <v>156</v>
      </c>
      <c r="I2718">
        <v>2016</v>
      </c>
      <c r="J2718" t="s">
        <v>272</v>
      </c>
      <c r="K2718" t="s">
        <v>158</v>
      </c>
      <c r="L2718" t="s">
        <v>2918</v>
      </c>
      <c r="M2718" t="s">
        <v>2957</v>
      </c>
      <c r="N2718">
        <v>1</v>
      </c>
      <c r="O2718">
        <v>2020</v>
      </c>
      <c r="P2718">
        <v>3341.043864662377</v>
      </c>
      <c r="Q2718">
        <v>22.041493010063569</v>
      </c>
      <c r="R2718" t="s">
        <v>109</v>
      </c>
      <c r="S2718">
        <v>151.57974385568821</v>
      </c>
      <c r="T2718">
        <v>0.95</v>
      </c>
      <c r="U2718" t="s">
        <v>227</v>
      </c>
      <c r="V2718">
        <v>0.95</v>
      </c>
      <c r="W2718">
        <v>16</v>
      </c>
      <c r="X2718">
        <v>27</v>
      </c>
      <c r="Y2718">
        <v>22</v>
      </c>
      <c r="Z2718">
        <v>7.9105094690167521E-2</v>
      </c>
      <c r="AA2718">
        <v>31.536000000000001</v>
      </c>
    </row>
    <row r="2719" spans="1:27" x14ac:dyDescent="0.25">
      <c r="A2719" t="s">
        <v>98</v>
      </c>
      <c r="B2719" t="s">
        <v>519</v>
      </c>
      <c r="C2719" t="s">
        <v>1367</v>
      </c>
      <c r="D2719" t="s">
        <v>1707</v>
      </c>
      <c r="E2719" t="s">
        <v>179</v>
      </c>
      <c r="F2719" t="s">
        <v>228</v>
      </c>
      <c r="G2719" t="s">
        <v>114</v>
      </c>
      <c r="H2719" t="s">
        <v>156</v>
      </c>
      <c r="I2719">
        <v>2022</v>
      </c>
      <c r="J2719" t="s">
        <v>274</v>
      </c>
      <c r="K2719" t="s">
        <v>158</v>
      </c>
      <c r="L2719" t="s">
        <v>2918</v>
      </c>
      <c r="M2719" t="s">
        <v>2958</v>
      </c>
      <c r="N2719">
        <v>1</v>
      </c>
      <c r="O2719">
        <v>2022</v>
      </c>
      <c r="P2719">
        <v>3341.043864662377</v>
      </c>
      <c r="Q2719">
        <v>22.041493010063569</v>
      </c>
      <c r="R2719" t="s">
        <v>109</v>
      </c>
      <c r="S2719">
        <v>151.57974385568821</v>
      </c>
      <c r="T2719">
        <v>0.95</v>
      </c>
      <c r="U2719" t="s">
        <v>227</v>
      </c>
      <c r="V2719">
        <v>0.95</v>
      </c>
      <c r="W2719">
        <v>16</v>
      </c>
      <c r="X2719">
        <v>27</v>
      </c>
      <c r="Y2719">
        <v>22</v>
      </c>
      <c r="Z2719">
        <v>7.9105094690167521E-2</v>
      </c>
      <c r="AA2719">
        <v>31.536000000000001</v>
      </c>
    </row>
    <row r="2720" spans="1:27" x14ac:dyDescent="0.25">
      <c r="A2720" t="s">
        <v>98</v>
      </c>
      <c r="B2720" t="s">
        <v>519</v>
      </c>
      <c r="C2720" t="s">
        <v>1367</v>
      </c>
      <c r="D2720" t="s">
        <v>1707</v>
      </c>
      <c r="E2720" t="s">
        <v>179</v>
      </c>
      <c r="F2720" t="s">
        <v>228</v>
      </c>
      <c r="G2720" t="s">
        <v>119</v>
      </c>
      <c r="H2720" t="s">
        <v>156</v>
      </c>
      <c r="I2720">
        <v>2016</v>
      </c>
      <c r="J2720" t="s">
        <v>276</v>
      </c>
      <c r="K2720" t="s">
        <v>158</v>
      </c>
      <c r="L2720" t="s">
        <v>2918</v>
      </c>
      <c r="M2720" t="s">
        <v>2959</v>
      </c>
      <c r="N2720">
        <v>1</v>
      </c>
      <c r="O2720">
        <v>2020</v>
      </c>
      <c r="P2720">
        <v>3706.851587070666</v>
      </c>
      <c r="Q2720">
        <v>22.041493010063569</v>
      </c>
      <c r="R2720" t="s">
        <v>109</v>
      </c>
      <c r="S2720">
        <v>168.176066175654</v>
      </c>
      <c r="T2720">
        <v>0.99</v>
      </c>
      <c r="U2720" t="s">
        <v>227</v>
      </c>
      <c r="V2720">
        <v>0.99</v>
      </c>
      <c r="W2720">
        <v>16</v>
      </c>
      <c r="X2720">
        <v>27</v>
      </c>
      <c r="Y2720">
        <v>22</v>
      </c>
      <c r="Z2720">
        <v>7.9105094690167521E-2</v>
      </c>
      <c r="AA2720">
        <v>31.536000000000001</v>
      </c>
    </row>
    <row r="2721" spans="1:27" x14ac:dyDescent="0.25">
      <c r="A2721" t="s">
        <v>98</v>
      </c>
      <c r="B2721" t="s">
        <v>519</v>
      </c>
      <c r="C2721" t="s">
        <v>1367</v>
      </c>
      <c r="D2721" t="s">
        <v>1707</v>
      </c>
      <c r="E2721" t="s">
        <v>179</v>
      </c>
      <c r="F2721" t="s">
        <v>228</v>
      </c>
      <c r="G2721" t="s">
        <v>119</v>
      </c>
      <c r="H2721" t="s">
        <v>156</v>
      </c>
      <c r="I2721">
        <v>2022</v>
      </c>
      <c r="J2721" t="s">
        <v>278</v>
      </c>
      <c r="K2721" t="s">
        <v>158</v>
      </c>
      <c r="L2721" t="s">
        <v>2918</v>
      </c>
      <c r="M2721" t="s">
        <v>2960</v>
      </c>
      <c r="N2721">
        <v>1</v>
      </c>
      <c r="O2721">
        <v>2022</v>
      </c>
      <c r="P2721">
        <v>3706.851587070666</v>
      </c>
      <c r="Q2721">
        <v>22.041493010063569</v>
      </c>
      <c r="R2721" t="s">
        <v>109</v>
      </c>
      <c r="S2721">
        <v>168.176066175654</v>
      </c>
      <c r="T2721">
        <v>0.99</v>
      </c>
      <c r="U2721" t="s">
        <v>227</v>
      </c>
      <c r="V2721">
        <v>0.99</v>
      </c>
      <c r="W2721">
        <v>16</v>
      </c>
      <c r="X2721">
        <v>27</v>
      </c>
      <c r="Y2721">
        <v>22</v>
      </c>
      <c r="Z2721">
        <v>7.9105094690167521E-2</v>
      </c>
      <c r="AA2721">
        <v>31.536000000000001</v>
      </c>
    </row>
    <row r="2722" spans="1:27" x14ac:dyDescent="0.25">
      <c r="A2722" t="s">
        <v>98</v>
      </c>
      <c r="B2722" t="s">
        <v>519</v>
      </c>
      <c r="C2722" t="s">
        <v>1367</v>
      </c>
      <c r="D2722" t="s">
        <v>1707</v>
      </c>
      <c r="E2722" t="s">
        <v>179</v>
      </c>
      <c r="F2722" t="s">
        <v>228</v>
      </c>
      <c r="G2722" t="s">
        <v>103</v>
      </c>
      <c r="H2722" t="s">
        <v>148</v>
      </c>
      <c r="I2722">
        <v>2016</v>
      </c>
      <c r="J2722" t="s">
        <v>280</v>
      </c>
      <c r="K2722" t="s">
        <v>150</v>
      </c>
      <c r="L2722" t="s">
        <v>2918</v>
      </c>
      <c r="M2722" t="s">
        <v>2961</v>
      </c>
      <c r="N2722">
        <v>1</v>
      </c>
      <c r="O2722">
        <v>2020</v>
      </c>
      <c r="P2722">
        <v>5029.8561831139787</v>
      </c>
      <c r="Q2722">
        <v>22.041493010063569</v>
      </c>
      <c r="R2722" t="s">
        <v>109</v>
      </c>
      <c r="S2722">
        <v>228.19943189953051</v>
      </c>
      <c r="T2722">
        <v>0.83</v>
      </c>
      <c r="U2722" t="s">
        <v>227</v>
      </c>
      <c r="V2722">
        <v>0.83</v>
      </c>
      <c r="W2722">
        <v>19.7</v>
      </c>
      <c r="X2722">
        <v>33.1</v>
      </c>
      <c r="Y2722">
        <v>27</v>
      </c>
      <c r="Z2722">
        <v>7.9105094690167521E-2</v>
      </c>
      <c r="AA2722">
        <v>31.536000000000001</v>
      </c>
    </row>
    <row r="2723" spans="1:27" x14ac:dyDescent="0.25">
      <c r="A2723" t="s">
        <v>98</v>
      </c>
      <c r="B2723" t="s">
        <v>519</v>
      </c>
      <c r="C2723" t="s">
        <v>1367</v>
      </c>
      <c r="D2723" t="s">
        <v>1707</v>
      </c>
      <c r="E2723" t="s">
        <v>179</v>
      </c>
      <c r="F2723" t="s">
        <v>228</v>
      </c>
      <c r="G2723" t="s">
        <v>111</v>
      </c>
      <c r="H2723" t="s">
        <v>148</v>
      </c>
      <c r="I2723">
        <v>2016</v>
      </c>
      <c r="J2723" t="s">
        <v>282</v>
      </c>
      <c r="K2723" t="s">
        <v>150</v>
      </c>
      <c r="L2723" t="s">
        <v>2918</v>
      </c>
      <c r="M2723" t="s">
        <v>2962</v>
      </c>
      <c r="N2723">
        <v>1</v>
      </c>
      <c r="O2723">
        <v>2020</v>
      </c>
      <c r="P2723">
        <v>5029.8561831139787</v>
      </c>
      <c r="Q2723">
        <v>22.041493010063569</v>
      </c>
      <c r="R2723" t="s">
        <v>109</v>
      </c>
      <c r="S2723">
        <v>228.19943189953051</v>
      </c>
      <c r="T2723">
        <v>0.83</v>
      </c>
      <c r="U2723" t="s">
        <v>227</v>
      </c>
      <c r="V2723">
        <v>0.83</v>
      </c>
      <c r="W2723">
        <v>19.7</v>
      </c>
      <c r="X2723">
        <v>33.1</v>
      </c>
      <c r="Y2723">
        <v>27</v>
      </c>
      <c r="Z2723">
        <v>7.9105094690167521E-2</v>
      </c>
      <c r="AA2723">
        <v>31.536000000000001</v>
      </c>
    </row>
    <row r="2724" spans="1:27" x14ac:dyDescent="0.25">
      <c r="A2724" t="s">
        <v>98</v>
      </c>
      <c r="B2724" t="s">
        <v>519</v>
      </c>
      <c r="C2724" t="s">
        <v>1367</v>
      </c>
      <c r="D2724" t="s">
        <v>1707</v>
      </c>
      <c r="E2724" t="s">
        <v>179</v>
      </c>
      <c r="F2724" t="s">
        <v>228</v>
      </c>
      <c r="G2724" t="s">
        <v>111</v>
      </c>
      <c r="H2724" t="s">
        <v>148</v>
      </c>
      <c r="I2724">
        <v>2022</v>
      </c>
      <c r="J2724" t="s">
        <v>284</v>
      </c>
      <c r="K2724" t="s">
        <v>150</v>
      </c>
      <c r="L2724" t="s">
        <v>2918</v>
      </c>
      <c r="M2724" t="s">
        <v>2963</v>
      </c>
      <c r="N2724">
        <v>1</v>
      </c>
      <c r="O2724">
        <v>2022</v>
      </c>
      <c r="P2724">
        <v>5151.7920905834089</v>
      </c>
      <c r="Q2724">
        <v>22.041493010063569</v>
      </c>
      <c r="R2724" t="s">
        <v>109</v>
      </c>
      <c r="S2724">
        <v>233.73153933951909</v>
      </c>
      <c r="T2724">
        <v>0.84</v>
      </c>
      <c r="U2724" t="s">
        <v>227</v>
      </c>
      <c r="V2724">
        <v>0.84</v>
      </c>
      <c r="W2724">
        <v>19.7</v>
      </c>
      <c r="X2724">
        <v>33.1</v>
      </c>
      <c r="Y2724">
        <v>27</v>
      </c>
      <c r="Z2724">
        <v>7.9105094690167521E-2</v>
      </c>
      <c r="AA2724">
        <v>31.536000000000001</v>
      </c>
    </row>
    <row r="2725" spans="1:27" x14ac:dyDescent="0.25">
      <c r="A2725" t="s">
        <v>98</v>
      </c>
      <c r="B2725" t="s">
        <v>519</v>
      </c>
      <c r="C2725" t="s">
        <v>1367</v>
      </c>
      <c r="D2725" t="s">
        <v>1707</v>
      </c>
      <c r="E2725" t="s">
        <v>179</v>
      </c>
      <c r="F2725" t="s">
        <v>228</v>
      </c>
      <c r="G2725" t="s">
        <v>114</v>
      </c>
      <c r="H2725" t="s">
        <v>148</v>
      </c>
      <c r="I2725">
        <v>2016</v>
      </c>
      <c r="J2725" t="s">
        <v>286</v>
      </c>
      <c r="K2725" t="s">
        <v>150</v>
      </c>
      <c r="L2725" t="s">
        <v>2918</v>
      </c>
      <c r="M2725" t="s">
        <v>2964</v>
      </c>
      <c r="N2725">
        <v>1</v>
      </c>
      <c r="O2725">
        <v>2020</v>
      </c>
      <c r="P2725">
        <v>5304.2119749201956</v>
      </c>
      <c r="Q2725">
        <v>22.041493010063569</v>
      </c>
      <c r="R2725" t="s">
        <v>109</v>
      </c>
      <c r="S2725">
        <v>240.64667363950491</v>
      </c>
      <c r="T2725">
        <v>0.85</v>
      </c>
      <c r="U2725" t="s">
        <v>227</v>
      </c>
      <c r="V2725">
        <v>0.85</v>
      </c>
      <c r="W2725">
        <v>19.7</v>
      </c>
      <c r="X2725">
        <v>33.1</v>
      </c>
      <c r="Y2725">
        <v>27</v>
      </c>
      <c r="Z2725">
        <v>7.9105094690167521E-2</v>
      </c>
      <c r="AA2725">
        <v>31.536000000000001</v>
      </c>
    </row>
    <row r="2726" spans="1:27" x14ac:dyDescent="0.25">
      <c r="A2726" t="s">
        <v>98</v>
      </c>
      <c r="B2726" t="s">
        <v>519</v>
      </c>
      <c r="C2726" t="s">
        <v>1367</v>
      </c>
      <c r="D2726" t="s">
        <v>1707</v>
      </c>
      <c r="E2726" t="s">
        <v>179</v>
      </c>
      <c r="F2726" t="s">
        <v>228</v>
      </c>
      <c r="G2726" t="s">
        <v>119</v>
      </c>
      <c r="H2726" t="s">
        <v>148</v>
      </c>
      <c r="I2726">
        <v>2016</v>
      </c>
      <c r="J2726" t="s">
        <v>288</v>
      </c>
      <c r="K2726" t="s">
        <v>150</v>
      </c>
      <c r="L2726" t="s">
        <v>2918</v>
      </c>
      <c r="M2726" t="s">
        <v>2965</v>
      </c>
      <c r="N2726">
        <v>1</v>
      </c>
      <c r="O2726">
        <v>2020</v>
      </c>
      <c r="P2726">
        <v>7864.8660317782214</v>
      </c>
      <c r="Q2726">
        <v>22.041493010063569</v>
      </c>
      <c r="R2726" t="s">
        <v>109</v>
      </c>
      <c r="S2726">
        <v>356.82092987926592</v>
      </c>
      <c r="T2726">
        <v>0.97</v>
      </c>
      <c r="U2726" t="s">
        <v>227</v>
      </c>
      <c r="V2726">
        <v>0.97</v>
      </c>
      <c r="W2726">
        <v>19.7</v>
      </c>
      <c r="X2726">
        <v>33.1</v>
      </c>
      <c r="Y2726">
        <v>27</v>
      </c>
      <c r="Z2726">
        <v>7.9105094690167521E-2</v>
      </c>
      <c r="AA2726">
        <v>31.536000000000001</v>
      </c>
    </row>
    <row r="2727" spans="1:27" x14ac:dyDescent="0.25">
      <c r="A2727" t="s">
        <v>98</v>
      </c>
      <c r="B2727" t="s">
        <v>519</v>
      </c>
      <c r="C2727" t="s">
        <v>1367</v>
      </c>
      <c r="D2727" t="s">
        <v>1707</v>
      </c>
      <c r="E2727" t="s">
        <v>179</v>
      </c>
      <c r="F2727" t="s">
        <v>228</v>
      </c>
      <c r="G2727" t="s">
        <v>119</v>
      </c>
      <c r="H2727" t="s">
        <v>148</v>
      </c>
      <c r="I2727">
        <v>2022</v>
      </c>
      <c r="J2727" t="s">
        <v>290</v>
      </c>
      <c r="K2727" t="s">
        <v>150</v>
      </c>
      <c r="L2727" t="s">
        <v>2918</v>
      </c>
      <c r="M2727" t="s">
        <v>2966</v>
      </c>
      <c r="N2727">
        <v>1</v>
      </c>
      <c r="O2727">
        <v>2022</v>
      </c>
      <c r="P2727">
        <v>7864.8660317782214</v>
      </c>
      <c r="Q2727">
        <v>22.041493010063569</v>
      </c>
      <c r="R2727" t="s">
        <v>109</v>
      </c>
      <c r="S2727">
        <v>356.82092987926592</v>
      </c>
      <c r="T2727">
        <v>0.97</v>
      </c>
      <c r="U2727" t="s">
        <v>227</v>
      </c>
      <c r="V2727">
        <v>0.97</v>
      </c>
      <c r="W2727">
        <v>19.7</v>
      </c>
      <c r="X2727">
        <v>33.1</v>
      </c>
      <c r="Y2727">
        <v>27</v>
      </c>
      <c r="Z2727">
        <v>7.9105094690167521E-2</v>
      </c>
      <c r="AA2727">
        <v>31.536000000000001</v>
      </c>
    </row>
    <row r="2728" spans="1:27" x14ac:dyDescent="0.25">
      <c r="A2728" t="s">
        <v>98</v>
      </c>
      <c r="B2728" t="s">
        <v>519</v>
      </c>
      <c r="C2728" t="s">
        <v>1367</v>
      </c>
      <c r="D2728" t="s">
        <v>1707</v>
      </c>
      <c r="E2728" t="s">
        <v>179</v>
      </c>
      <c r="F2728" t="s">
        <v>224</v>
      </c>
      <c r="G2728" t="s">
        <v>103</v>
      </c>
      <c r="H2728" t="s">
        <v>148</v>
      </c>
      <c r="I2728">
        <v>2016</v>
      </c>
      <c r="J2728" t="s">
        <v>292</v>
      </c>
      <c r="K2728" t="s">
        <v>150</v>
      </c>
      <c r="L2728" t="s">
        <v>2918</v>
      </c>
      <c r="M2728" t="s">
        <v>2967</v>
      </c>
      <c r="N2728">
        <v>1</v>
      </c>
      <c r="O2728">
        <v>2020</v>
      </c>
      <c r="P2728">
        <v>11126.65155658547</v>
      </c>
      <c r="Q2728">
        <v>22.041493010063569</v>
      </c>
      <c r="R2728" t="s">
        <v>109</v>
      </c>
      <c r="S2728">
        <v>504.80480389896138</v>
      </c>
      <c r="T2728">
        <v>0.84</v>
      </c>
      <c r="U2728" t="s">
        <v>227</v>
      </c>
      <c r="V2728">
        <v>0.84</v>
      </c>
      <c r="W2728">
        <v>18</v>
      </c>
      <c r="X2728">
        <v>28</v>
      </c>
      <c r="Y2728">
        <v>24</v>
      </c>
      <c r="Z2728">
        <v>7.9105094690167521E-2</v>
      </c>
      <c r="AA2728">
        <v>31.536000000000001</v>
      </c>
    </row>
    <row r="2729" spans="1:27" x14ac:dyDescent="0.25">
      <c r="A2729" t="s">
        <v>98</v>
      </c>
      <c r="B2729" t="s">
        <v>519</v>
      </c>
      <c r="C2729" t="s">
        <v>1367</v>
      </c>
      <c r="D2729" t="s">
        <v>1707</v>
      </c>
      <c r="E2729" t="s">
        <v>179</v>
      </c>
      <c r="F2729" t="s">
        <v>224</v>
      </c>
      <c r="G2729" t="s">
        <v>103</v>
      </c>
      <c r="H2729" t="s">
        <v>148</v>
      </c>
      <c r="I2729">
        <v>2022</v>
      </c>
      <c r="J2729" t="s">
        <v>294</v>
      </c>
      <c r="K2729" t="s">
        <v>150</v>
      </c>
      <c r="L2729" t="s">
        <v>2918</v>
      </c>
      <c r="M2729" t="s">
        <v>2968</v>
      </c>
      <c r="N2729">
        <v>1</v>
      </c>
      <c r="O2729">
        <v>2022</v>
      </c>
      <c r="P2729">
        <v>11492.45927899376</v>
      </c>
      <c r="Q2729">
        <v>22.041493010063569</v>
      </c>
      <c r="R2729" t="s">
        <v>109</v>
      </c>
      <c r="S2729">
        <v>521.40112621892729</v>
      </c>
      <c r="T2729">
        <v>0.86</v>
      </c>
      <c r="U2729" t="s">
        <v>227</v>
      </c>
      <c r="V2729">
        <v>0.86</v>
      </c>
      <c r="W2729">
        <v>18</v>
      </c>
      <c r="X2729">
        <v>28</v>
      </c>
      <c r="Y2729">
        <v>24</v>
      </c>
      <c r="Z2729">
        <v>7.9105094690167521E-2</v>
      </c>
      <c r="AA2729">
        <v>31.536000000000001</v>
      </c>
    </row>
    <row r="2730" spans="1:27" x14ac:dyDescent="0.25">
      <c r="A2730" t="s">
        <v>98</v>
      </c>
      <c r="B2730" t="s">
        <v>519</v>
      </c>
      <c r="C2730" t="s">
        <v>1367</v>
      </c>
      <c r="D2730" t="s">
        <v>1707</v>
      </c>
      <c r="E2730" t="s">
        <v>179</v>
      </c>
      <c r="F2730" t="s">
        <v>224</v>
      </c>
      <c r="G2730" t="s">
        <v>111</v>
      </c>
      <c r="H2730" t="s">
        <v>148</v>
      </c>
      <c r="I2730">
        <v>2016</v>
      </c>
      <c r="J2730" t="s">
        <v>296</v>
      </c>
      <c r="K2730" t="s">
        <v>150</v>
      </c>
      <c r="L2730" t="s">
        <v>2918</v>
      </c>
      <c r="M2730" t="s">
        <v>2969</v>
      </c>
      <c r="N2730">
        <v>1</v>
      </c>
      <c r="O2730">
        <v>2020</v>
      </c>
      <c r="P2730">
        <v>11126.65155658547</v>
      </c>
      <c r="Q2730">
        <v>22.041493010063569</v>
      </c>
      <c r="R2730" t="s">
        <v>109</v>
      </c>
      <c r="S2730">
        <v>504.80480389896138</v>
      </c>
      <c r="T2730">
        <v>0.84</v>
      </c>
      <c r="U2730" t="s">
        <v>227</v>
      </c>
      <c r="V2730">
        <v>0.84</v>
      </c>
      <c r="W2730">
        <v>18</v>
      </c>
      <c r="X2730">
        <v>28</v>
      </c>
      <c r="Y2730">
        <v>24</v>
      </c>
      <c r="Z2730">
        <v>7.9105094690167521E-2</v>
      </c>
      <c r="AA2730">
        <v>31.536000000000001</v>
      </c>
    </row>
    <row r="2731" spans="1:27" x14ac:dyDescent="0.25">
      <c r="A2731" t="s">
        <v>98</v>
      </c>
      <c r="B2731" t="s">
        <v>519</v>
      </c>
      <c r="C2731" t="s">
        <v>1367</v>
      </c>
      <c r="D2731" t="s">
        <v>1707</v>
      </c>
      <c r="E2731" t="s">
        <v>179</v>
      </c>
      <c r="F2731" t="s">
        <v>224</v>
      </c>
      <c r="G2731" t="s">
        <v>111</v>
      </c>
      <c r="H2731" t="s">
        <v>148</v>
      </c>
      <c r="I2731">
        <v>2022</v>
      </c>
      <c r="J2731" t="s">
        <v>298</v>
      </c>
      <c r="K2731" t="s">
        <v>150</v>
      </c>
      <c r="L2731" t="s">
        <v>2918</v>
      </c>
      <c r="M2731" t="s">
        <v>2970</v>
      </c>
      <c r="N2731">
        <v>1</v>
      </c>
      <c r="O2731">
        <v>2022</v>
      </c>
      <c r="P2731">
        <v>11492.45927899376</v>
      </c>
      <c r="Q2731">
        <v>22.041493010063569</v>
      </c>
      <c r="R2731" t="s">
        <v>109</v>
      </c>
      <c r="S2731">
        <v>521.40112621892729</v>
      </c>
      <c r="T2731">
        <v>0.86</v>
      </c>
      <c r="U2731" t="s">
        <v>227</v>
      </c>
      <c r="V2731">
        <v>0.86</v>
      </c>
      <c r="W2731">
        <v>18</v>
      </c>
      <c r="X2731">
        <v>28</v>
      </c>
      <c r="Y2731">
        <v>24</v>
      </c>
      <c r="Z2731">
        <v>7.9105094690167521E-2</v>
      </c>
      <c r="AA2731">
        <v>31.536000000000001</v>
      </c>
    </row>
    <row r="2732" spans="1:27" x14ac:dyDescent="0.25">
      <c r="A2732" t="s">
        <v>98</v>
      </c>
      <c r="B2732" t="s">
        <v>519</v>
      </c>
      <c r="C2732" t="s">
        <v>1367</v>
      </c>
      <c r="D2732" t="s">
        <v>1707</v>
      </c>
      <c r="E2732" t="s">
        <v>179</v>
      </c>
      <c r="F2732" t="s">
        <v>224</v>
      </c>
      <c r="G2732" t="s">
        <v>114</v>
      </c>
      <c r="H2732" t="s">
        <v>148</v>
      </c>
      <c r="I2732">
        <v>2016</v>
      </c>
      <c r="J2732" t="s">
        <v>300</v>
      </c>
      <c r="K2732" t="s">
        <v>150</v>
      </c>
      <c r="L2732" t="s">
        <v>2918</v>
      </c>
      <c r="M2732" t="s">
        <v>2971</v>
      </c>
      <c r="N2732">
        <v>1</v>
      </c>
      <c r="O2732">
        <v>2020</v>
      </c>
      <c r="P2732">
        <v>11492.45927899376</v>
      </c>
      <c r="Q2732">
        <v>22.041493010063569</v>
      </c>
      <c r="R2732" t="s">
        <v>109</v>
      </c>
      <c r="S2732">
        <v>521.40112621892729</v>
      </c>
      <c r="T2732">
        <v>0.87</v>
      </c>
      <c r="U2732" t="s">
        <v>227</v>
      </c>
      <c r="V2732">
        <v>0.87</v>
      </c>
      <c r="W2732">
        <v>18</v>
      </c>
      <c r="X2732">
        <v>28</v>
      </c>
      <c r="Y2732">
        <v>24</v>
      </c>
      <c r="Z2732">
        <v>7.9105094690167521E-2</v>
      </c>
      <c r="AA2732">
        <v>31.536000000000001</v>
      </c>
    </row>
    <row r="2733" spans="1:27" x14ac:dyDescent="0.25">
      <c r="A2733" t="s">
        <v>98</v>
      </c>
      <c r="B2733" t="s">
        <v>519</v>
      </c>
      <c r="C2733" t="s">
        <v>1367</v>
      </c>
      <c r="D2733" t="s">
        <v>1707</v>
      </c>
      <c r="E2733" t="s">
        <v>179</v>
      </c>
      <c r="F2733" t="s">
        <v>224</v>
      </c>
      <c r="G2733" t="s">
        <v>119</v>
      </c>
      <c r="H2733" t="s">
        <v>148</v>
      </c>
      <c r="I2733">
        <v>2016</v>
      </c>
      <c r="J2733" t="s">
        <v>302</v>
      </c>
      <c r="K2733" t="s">
        <v>150</v>
      </c>
      <c r="L2733" t="s">
        <v>2918</v>
      </c>
      <c r="M2733" t="s">
        <v>2972</v>
      </c>
      <c r="N2733">
        <v>1</v>
      </c>
      <c r="O2733">
        <v>2020</v>
      </c>
      <c r="P2733">
        <v>13961.66140524971</v>
      </c>
      <c r="Q2733">
        <v>22.041493010063569</v>
      </c>
      <c r="R2733" t="s">
        <v>109</v>
      </c>
      <c r="S2733">
        <v>633.42630187869679</v>
      </c>
      <c r="T2733">
        <v>0.9</v>
      </c>
      <c r="U2733" t="s">
        <v>227</v>
      </c>
      <c r="V2733">
        <v>0.9</v>
      </c>
      <c r="W2733">
        <v>18</v>
      </c>
      <c r="X2733">
        <v>28</v>
      </c>
      <c r="Y2733">
        <v>24</v>
      </c>
      <c r="Z2733">
        <v>7.9105094690167521E-2</v>
      </c>
      <c r="AA2733">
        <v>31.536000000000001</v>
      </c>
    </row>
    <row r="2734" spans="1:27" x14ac:dyDescent="0.25">
      <c r="A2734" t="s">
        <v>98</v>
      </c>
      <c r="B2734" t="s">
        <v>519</v>
      </c>
      <c r="C2734" t="s">
        <v>1367</v>
      </c>
      <c r="D2734" t="s">
        <v>1707</v>
      </c>
      <c r="E2734" t="s">
        <v>304</v>
      </c>
      <c r="F2734" t="s">
        <v>180</v>
      </c>
      <c r="G2734" t="s">
        <v>111</v>
      </c>
      <c r="H2734" t="s">
        <v>104</v>
      </c>
      <c r="I2734">
        <v>2016</v>
      </c>
      <c r="J2734" t="s">
        <v>305</v>
      </c>
      <c r="K2734" t="s">
        <v>106</v>
      </c>
      <c r="L2734" t="s">
        <v>2973</v>
      </c>
      <c r="M2734" t="s">
        <v>2974</v>
      </c>
      <c r="N2734">
        <v>0</v>
      </c>
      <c r="O2734">
        <v>2020</v>
      </c>
      <c r="P2734">
        <v>8291.641707921226</v>
      </c>
      <c r="Q2734">
        <v>7.4806159733468123</v>
      </c>
      <c r="R2734" t="s">
        <v>109</v>
      </c>
      <c r="S2734">
        <v>1108.4169722739509</v>
      </c>
      <c r="T2734">
        <v>0.6</v>
      </c>
      <c r="U2734" t="s">
        <v>184</v>
      </c>
      <c r="V2734">
        <v>0.6</v>
      </c>
      <c r="W2734">
        <v>12</v>
      </c>
      <c r="X2734">
        <v>18</v>
      </c>
      <c r="Y2734">
        <v>16</v>
      </c>
      <c r="Z2734">
        <v>7.2863694504238907E-2</v>
      </c>
      <c r="AA2734">
        <v>31.536000000000001</v>
      </c>
    </row>
    <row r="2735" spans="1:27" x14ac:dyDescent="0.25">
      <c r="A2735" t="s">
        <v>98</v>
      </c>
      <c r="B2735" t="s">
        <v>519</v>
      </c>
      <c r="C2735" t="s">
        <v>1367</v>
      </c>
      <c r="D2735" t="s">
        <v>1707</v>
      </c>
      <c r="E2735" t="s">
        <v>304</v>
      </c>
      <c r="F2735" t="s">
        <v>180</v>
      </c>
      <c r="G2735" t="s">
        <v>111</v>
      </c>
      <c r="H2735" t="s">
        <v>104</v>
      </c>
      <c r="I2735">
        <v>2020</v>
      </c>
      <c r="J2735" t="s">
        <v>308</v>
      </c>
      <c r="K2735" t="s">
        <v>106</v>
      </c>
      <c r="L2735" t="s">
        <v>2973</v>
      </c>
      <c r="M2735" t="s">
        <v>2974</v>
      </c>
      <c r="N2735">
        <v>1</v>
      </c>
      <c r="O2735">
        <v>2020</v>
      </c>
      <c r="P2735">
        <v>8291.641707921226</v>
      </c>
      <c r="Q2735">
        <v>7.4806159733468123</v>
      </c>
      <c r="R2735" t="s">
        <v>109</v>
      </c>
      <c r="S2735">
        <v>1108.4169722739509</v>
      </c>
      <c r="T2735">
        <v>0.7</v>
      </c>
      <c r="U2735" t="s">
        <v>184</v>
      </c>
      <c r="V2735">
        <v>0.7</v>
      </c>
      <c r="W2735">
        <v>12</v>
      </c>
      <c r="X2735">
        <v>18</v>
      </c>
      <c r="Y2735">
        <v>16</v>
      </c>
      <c r="Z2735">
        <v>7.2863694504238907E-2</v>
      </c>
      <c r="AA2735">
        <v>31.536000000000001</v>
      </c>
    </row>
    <row r="2736" spans="1:27" x14ac:dyDescent="0.25">
      <c r="A2736" t="s">
        <v>98</v>
      </c>
      <c r="B2736" t="s">
        <v>519</v>
      </c>
      <c r="C2736" t="s">
        <v>1367</v>
      </c>
      <c r="D2736" t="s">
        <v>1707</v>
      </c>
      <c r="E2736" t="s">
        <v>304</v>
      </c>
      <c r="F2736" t="s">
        <v>180</v>
      </c>
      <c r="G2736" t="s">
        <v>103</v>
      </c>
      <c r="H2736" t="s">
        <v>125</v>
      </c>
      <c r="I2736">
        <v>2016</v>
      </c>
      <c r="J2736" t="s">
        <v>309</v>
      </c>
      <c r="K2736" t="s">
        <v>127</v>
      </c>
      <c r="L2736" t="s">
        <v>2973</v>
      </c>
      <c r="M2736" t="s">
        <v>2975</v>
      </c>
      <c r="N2736">
        <v>1</v>
      </c>
      <c r="O2736">
        <v>2020</v>
      </c>
      <c r="P2736">
        <v>2956.9457561336731</v>
      </c>
      <c r="Q2736">
        <v>7.4806159733468123</v>
      </c>
      <c r="R2736" t="s">
        <v>109</v>
      </c>
      <c r="S2736">
        <v>395.28105261240148</v>
      </c>
      <c r="T2736">
        <v>4.1031652989449006</v>
      </c>
      <c r="U2736" t="s">
        <v>184</v>
      </c>
      <c r="V2736">
        <v>4.1031652989449006</v>
      </c>
      <c r="W2736">
        <v>9</v>
      </c>
      <c r="X2736">
        <v>22</v>
      </c>
      <c r="Y2736">
        <v>16</v>
      </c>
      <c r="Z2736">
        <v>7.2863694504238907E-2</v>
      </c>
      <c r="AA2736">
        <v>31.536000000000001</v>
      </c>
    </row>
    <row r="2737" spans="1:27" x14ac:dyDescent="0.25">
      <c r="A2737" t="s">
        <v>98</v>
      </c>
      <c r="B2737" t="s">
        <v>519</v>
      </c>
      <c r="C2737" t="s">
        <v>1367</v>
      </c>
      <c r="D2737" t="s">
        <v>1707</v>
      </c>
      <c r="E2737" t="s">
        <v>304</v>
      </c>
      <c r="F2737" t="s">
        <v>180</v>
      </c>
      <c r="G2737" t="s">
        <v>103</v>
      </c>
      <c r="H2737" t="s">
        <v>125</v>
      </c>
      <c r="I2737">
        <v>2023</v>
      </c>
      <c r="J2737" t="s">
        <v>311</v>
      </c>
      <c r="K2737" t="s">
        <v>127</v>
      </c>
      <c r="L2737" t="s">
        <v>2973</v>
      </c>
      <c r="M2737" t="s">
        <v>2976</v>
      </c>
      <c r="N2737">
        <v>1</v>
      </c>
      <c r="O2737">
        <v>2023</v>
      </c>
      <c r="P2737">
        <v>2956.9457561336731</v>
      </c>
      <c r="Q2737">
        <v>7.4806159733468123</v>
      </c>
      <c r="R2737" t="s">
        <v>109</v>
      </c>
      <c r="S2737">
        <v>395.28105261240148</v>
      </c>
      <c r="T2737">
        <v>4.1031652989449006</v>
      </c>
      <c r="U2737" t="s">
        <v>184</v>
      </c>
      <c r="V2737">
        <v>4.1031652989449006</v>
      </c>
      <c r="W2737">
        <v>9</v>
      </c>
      <c r="X2737">
        <v>22</v>
      </c>
      <c r="Y2737">
        <v>16</v>
      </c>
      <c r="Z2737">
        <v>7.2863694504238907E-2</v>
      </c>
      <c r="AA2737">
        <v>31.536000000000001</v>
      </c>
    </row>
    <row r="2738" spans="1:27" x14ac:dyDescent="0.25">
      <c r="A2738" t="s">
        <v>98</v>
      </c>
      <c r="B2738" t="s">
        <v>519</v>
      </c>
      <c r="C2738" t="s">
        <v>1367</v>
      </c>
      <c r="D2738" t="s">
        <v>1707</v>
      </c>
      <c r="E2738" t="s">
        <v>304</v>
      </c>
      <c r="F2738" t="s">
        <v>180</v>
      </c>
      <c r="G2738" t="s">
        <v>111</v>
      </c>
      <c r="H2738" t="s">
        <v>125</v>
      </c>
      <c r="I2738">
        <v>2016</v>
      </c>
      <c r="J2738" t="s">
        <v>313</v>
      </c>
      <c r="K2738" t="s">
        <v>127</v>
      </c>
      <c r="L2738" t="s">
        <v>2973</v>
      </c>
      <c r="M2738" t="s">
        <v>2977</v>
      </c>
      <c r="N2738">
        <v>1</v>
      </c>
      <c r="O2738">
        <v>2020</v>
      </c>
      <c r="P2738">
        <v>3109.3656404704602</v>
      </c>
      <c r="Q2738">
        <v>7.4806159733468123</v>
      </c>
      <c r="R2738" t="s">
        <v>109</v>
      </c>
      <c r="S2738">
        <v>415.65636460273151</v>
      </c>
      <c r="T2738">
        <v>4.484173505275499</v>
      </c>
      <c r="U2738" t="s">
        <v>184</v>
      </c>
      <c r="V2738">
        <v>4.484173505275499</v>
      </c>
      <c r="W2738">
        <v>9</v>
      </c>
      <c r="X2738">
        <v>22</v>
      </c>
      <c r="Y2738">
        <v>16</v>
      </c>
      <c r="Z2738">
        <v>7.2863694504238907E-2</v>
      </c>
      <c r="AA2738">
        <v>31.536000000000001</v>
      </c>
    </row>
    <row r="2739" spans="1:27" x14ac:dyDescent="0.25">
      <c r="A2739" t="s">
        <v>98</v>
      </c>
      <c r="B2739" t="s">
        <v>519</v>
      </c>
      <c r="C2739" t="s">
        <v>1367</v>
      </c>
      <c r="D2739" t="s">
        <v>1707</v>
      </c>
      <c r="E2739" t="s">
        <v>304</v>
      </c>
      <c r="F2739" t="s">
        <v>180</v>
      </c>
      <c r="G2739" t="s">
        <v>111</v>
      </c>
      <c r="H2739" t="s">
        <v>125</v>
      </c>
      <c r="I2739">
        <v>2023</v>
      </c>
      <c r="J2739" t="s">
        <v>315</v>
      </c>
      <c r="K2739" t="s">
        <v>127</v>
      </c>
      <c r="L2739" t="s">
        <v>2973</v>
      </c>
      <c r="M2739" t="s">
        <v>2978</v>
      </c>
      <c r="N2739">
        <v>1</v>
      </c>
      <c r="O2739">
        <v>2023</v>
      </c>
      <c r="P2739">
        <v>3139.8496173378171</v>
      </c>
      <c r="Q2739">
        <v>7.4806159733468123</v>
      </c>
      <c r="R2739" t="s">
        <v>109</v>
      </c>
      <c r="S2739">
        <v>419.73142700079751</v>
      </c>
      <c r="T2739">
        <v>4.6307151230949586</v>
      </c>
      <c r="U2739" t="s">
        <v>184</v>
      </c>
      <c r="V2739">
        <v>4.6307151230949586</v>
      </c>
      <c r="W2739">
        <v>9</v>
      </c>
      <c r="X2739">
        <v>22</v>
      </c>
      <c r="Y2739">
        <v>16</v>
      </c>
      <c r="Z2739">
        <v>7.2863694504238907E-2</v>
      </c>
      <c r="AA2739">
        <v>31.536000000000001</v>
      </c>
    </row>
    <row r="2740" spans="1:27" x14ac:dyDescent="0.25">
      <c r="A2740" t="s">
        <v>98</v>
      </c>
      <c r="B2740" t="s">
        <v>519</v>
      </c>
      <c r="C2740" t="s">
        <v>1367</v>
      </c>
      <c r="D2740" t="s">
        <v>1707</v>
      </c>
      <c r="E2740" t="s">
        <v>304</v>
      </c>
      <c r="F2740" t="s">
        <v>180</v>
      </c>
      <c r="G2740" t="s">
        <v>114</v>
      </c>
      <c r="H2740" t="s">
        <v>125</v>
      </c>
      <c r="I2740">
        <v>2016</v>
      </c>
      <c r="J2740" t="s">
        <v>317</v>
      </c>
      <c r="K2740" t="s">
        <v>127</v>
      </c>
      <c r="L2740" t="s">
        <v>2973</v>
      </c>
      <c r="M2740" t="s">
        <v>2979</v>
      </c>
      <c r="N2740">
        <v>1</v>
      </c>
      <c r="O2740">
        <v>2020</v>
      </c>
      <c r="P2740">
        <v>3017.9137098683868</v>
      </c>
      <c r="Q2740">
        <v>7.4806159733468123</v>
      </c>
      <c r="R2740" t="s">
        <v>109</v>
      </c>
      <c r="S2740">
        <v>403.43117740853347</v>
      </c>
      <c r="T2740">
        <v>4.3962485345838216</v>
      </c>
      <c r="U2740" t="s">
        <v>184</v>
      </c>
      <c r="V2740">
        <v>4.3962485345838216</v>
      </c>
      <c r="W2740">
        <v>9</v>
      </c>
      <c r="X2740">
        <v>22</v>
      </c>
      <c r="Y2740">
        <v>16</v>
      </c>
      <c r="Z2740">
        <v>7.2863694504238907E-2</v>
      </c>
      <c r="AA2740">
        <v>31.536000000000001</v>
      </c>
    </row>
    <row r="2741" spans="1:27" x14ac:dyDescent="0.25">
      <c r="A2741" t="s">
        <v>98</v>
      </c>
      <c r="B2741" t="s">
        <v>519</v>
      </c>
      <c r="C2741" t="s">
        <v>1367</v>
      </c>
      <c r="D2741" t="s">
        <v>1707</v>
      </c>
      <c r="E2741" t="s">
        <v>304</v>
      </c>
      <c r="F2741" t="s">
        <v>180</v>
      </c>
      <c r="G2741" t="s">
        <v>114</v>
      </c>
      <c r="H2741" t="s">
        <v>125</v>
      </c>
      <c r="I2741">
        <v>2022</v>
      </c>
      <c r="J2741" t="s">
        <v>319</v>
      </c>
      <c r="K2741" t="s">
        <v>127</v>
      </c>
      <c r="L2741" t="s">
        <v>2973</v>
      </c>
      <c r="M2741" t="s">
        <v>2980</v>
      </c>
      <c r="N2741">
        <v>1</v>
      </c>
      <c r="O2741">
        <v>2022</v>
      </c>
      <c r="P2741">
        <v>3017.9137098683868</v>
      </c>
      <c r="Q2741">
        <v>7.4806159733468123</v>
      </c>
      <c r="R2741" t="s">
        <v>109</v>
      </c>
      <c r="S2741">
        <v>403.43117740853347</v>
      </c>
      <c r="T2741">
        <v>4.3962485345838216</v>
      </c>
      <c r="U2741" t="s">
        <v>184</v>
      </c>
      <c r="V2741">
        <v>4.3962485345838216</v>
      </c>
      <c r="W2741">
        <v>9</v>
      </c>
      <c r="X2741">
        <v>22</v>
      </c>
      <c r="Y2741">
        <v>16</v>
      </c>
      <c r="Z2741">
        <v>7.2863694504238907E-2</v>
      </c>
      <c r="AA2741">
        <v>31.536000000000001</v>
      </c>
    </row>
    <row r="2742" spans="1:27" x14ac:dyDescent="0.25">
      <c r="A2742" t="s">
        <v>98</v>
      </c>
      <c r="B2742" t="s">
        <v>519</v>
      </c>
      <c r="C2742" t="s">
        <v>1367</v>
      </c>
      <c r="D2742" t="s">
        <v>1707</v>
      </c>
      <c r="E2742" t="s">
        <v>304</v>
      </c>
      <c r="F2742" t="s">
        <v>180</v>
      </c>
      <c r="G2742" t="s">
        <v>114</v>
      </c>
      <c r="H2742" t="s">
        <v>125</v>
      </c>
      <c r="I2742">
        <v>2023</v>
      </c>
      <c r="J2742" t="s">
        <v>321</v>
      </c>
      <c r="K2742" t="s">
        <v>127</v>
      </c>
      <c r="L2742" t="s">
        <v>2973</v>
      </c>
      <c r="M2742" t="s">
        <v>2981</v>
      </c>
      <c r="N2742">
        <v>1</v>
      </c>
      <c r="O2742">
        <v>2023</v>
      </c>
      <c r="P2742">
        <v>3266.447780092843</v>
      </c>
      <c r="Q2742">
        <v>7.4806159733468123</v>
      </c>
      <c r="R2742" t="s">
        <v>109</v>
      </c>
      <c r="S2742">
        <v>436.65492143041268</v>
      </c>
      <c r="T2742">
        <v>4.6893317702227444</v>
      </c>
      <c r="U2742" t="s">
        <v>184</v>
      </c>
      <c r="V2742">
        <v>4.6893317702227444</v>
      </c>
      <c r="W2742">
        <v>9</v>
      </c>
      <c r="X2742">
        <v>22</v>
      </c>
      <c r="Y2742">
        <v>16</v>
      </c>
      <c r="Z2742">
        <v>7.2863694504238907E-2</v>
      </c>
      <c r="AA2742">
        <v>31.536000000000001</v>
      </c>
    </row>
    <row r="2743" spans="1:27" x14ac:dyDescent="0.25">
      <c r="A2743" t="s">
        <v>98</v>
      </c>
      <c r="B2743" t="s">
        <v>519</v>
      </c>
      <c r="C2743" t="s">
        <v>1367</v>
      </c>
      <c r="D2743" t="s">
        <v>1707</v>
      </c>
      <c r="E2743" t="s">
        <v>304</v>
      </c>
      <c r="F2743" t="s">
        <v>180</v>
      </c>
      <c r="G2743" t="s">
        <v>119</v>
      </c>
      <c r="H2743" t="s">
        <v>125</v>
      </c>
      <c r="I2743">
        <v>2016</v>
      </c>
      <c r="J2743" t="s">
        <v>323</v>
      </c>
      <c r="K2743" t="s">
        <v>127</v>
      </c>
      <c r="L2743" t="s">
        <v>2973</v>
      </c>
      <c r="M2743" t="s">
        <v>2982</v>
      </c>
      <c r="N2743">
        <v>1</v>
      </c>
      <c r="O2743">
        <v>2020</v>
      </c>
      <c r="P2743">
        <v>3719.0451778176089</v>
      </c>
      <c r="Q2743">
        <v>7.4806159733468123</v>
      </c>
      <c r="R2743" t="s">
        <v>109</v>
      </c>
      <c r="S2743">
        <v>497.15761256405142</v>
      </c>
      <c r="T2743">
        <v>5.5685814771395066</v>
      </c>
      <c r="U2743" t="s">
        <v>184</v>
      </c>
      <c r="V2743">
        <v>5.5685814771395066</v>
      </c>
      <c r="W2743">
        <v>9</v>
      </c>
      <c r="X2743">
        <v>22</v>
      </c>
      <c r="Y2743">
        <v>16</v>
      </c>
      <c r="Z2743">
        <v>7.2863694504238907E-2</v>
      </c>
      <c r="AA2743">
        <v>31.536000000000001</v>
      </c>
    </row>
    <row r="2744" spans="1:27" x14ac:dyDescent="0.25">
      <c r="A2744" t="s">
        <v>98</v>
      </c>
      <c r="B2744" t="s">
        <v>519</v>
      </c>
      <c r="C2744" t="s">
        <v>1367</v>
      </c>
      <c r="D2744" t="s">
        <v>1707</v>
      </c>
      <c r="E2744" t="s">
        <v>304</v>
      </c>
      <c r="F2744" t="s">
        <v>180</v>
      </c>
      <c r="G2744" t="s">
        <v>119</v>
      </c>
      <c r="H2744" t="s">
        <v>125</v>
      </c>
      <c r="I2744">
        <v>2022</v>
      </c>
      <c r="J2744" t="s">
        <v>325</v>
      </c>
      <c r="K2744" t="s">
        <v>127</v>
      </c>
      <c r="L2744" t="s">
        <v>2973</v>
      </c>
      <c r="M2744" t="s">
        <v>2983</v>
      </c>
      <c r="N2744">
        <v>1</v>
      </c>
      <c r="O2744">
        <v>2022</v>
      </c>
      <c r="P2744">
        <v>3914.784397702746</v>
      </c>
      <c r="Q2744">
        <v>7.4806159733468123</v>
      </c>
      <c r="R2744" t="s">
        <v>109</v>
      </c>
      <c r="S2744">
        <v>523.32380269900148</v>
      </c>
      <c r="T2744">
        <v>5.8616647127784294</v>
      </c>
      <c r="U2744" t="s">
        <v>184</v>
      </c>
      <c r="V2744">
        <v>5.8616647127784294</v>
      </c>
      <c r="W2744">
        <v>9</v>
      </c>
      <c r="X2744">
        <v>22</v>
      </c>
      <c r="Y2744">
        <v>16</v>
      </c>
      <c r="Z2744">
        <v>7.2863694504238907E-2</v>
      </c>
      <c r="AA2744">
        <v>31.536000000000001</v>
      </c>
    </row>
    <row r="2745" spans="1:27" x14ac:dyDescent="0.25">
      <c r="A2745" t="s">
        <v>98</v>
      </c>
      <c r="B2745" t="s">
        <v>519</v>
      </c>
      <c r="C2745" t="s">
        <v>1367</v>
      </c>
      <c r="D2745" t="s">
        <v>1707</v>
      </c>
      <c r="E2745" t="s">
        <v>304</v>
      </c>
      <c r="F2745" t="s">
        <v>201</v>
      </c>
      <c r="G2745" t="s">
        <v>103</v>
      </c>
      <c r="H2745" t="s">
        <v>125</v>
      </c>
      <c r="I2745">
        <v>2016</v>
      </c>
      <c r="J2745" t="s">
        <v>327</v>
      </c>
      <c r="K2745" t="s">
        <v>127</v>
      </c>
      <c r="L2745" t="s">
        <v>2973</v>
      </c>
      <c r="M2745" t="s">
        <v>2984</v>
      </c>
      <c r="N2745">
        <v>1</v>
      </c>
      <c r="O2745">
        <v>2020</v>
      </c>
      <c r="P2745">
        <v>9511.0007826155233</v>
      </c>
      <c r="Q2745">
        <v>7.4806159733468123</v>
      </c>
      <c r="R2745" t="s">
        <v>109</v>
      </c>
      <c r="S2745">
        <v>1271.4194681965901</v>
      </c>
      <c r="T2745">
        <v>14.1</v>
      </c>
      <c r="U2745" t="s">
        <v>329</v>
      </c>
      <c r="V2745">
        <v>4.1348973607038122</v>
      </c>
      <c r="W2745">
        <v>8</v>
      </c>
      <c r="X2745">
        <v>20.8</v>
      </c>
      <c r="Y2745">
        <v>15</v>
      </c>
      <c r="Z2745">
        <v>7.2863694504238907E-2</v>
      </c>
      <c r="AA2745">
        <v>31.536000000000001</v>
      </c>
    </row>
    <row r="2746" spans="1:27" x14ac:dyDescent="0.25">
      <c r="A2746" t="s">
        <v>98</v>
      </c>
      <c r="B2746" t="s">
        <v>519</v>
      </c>
      <c r="C2746" t="s">
        <v>1367</v>
      </c>
      <c r="D2746" t="s">
        <v>1707</v>
      </c>
      <c r="E2746" t="s">
        <v>304</v>
      </c>
      <c r="F2746" t="s">
        <v>201</v>
      </c>
      <c r="G2746" t="s">
        <v>111</v>
      </c>
      <c r="H2746" t="s">
        <v>125</v>
      </c>
      <c r="I2746">
        <v>2016</v>
      </c>
      <c r="J2746" t="s">
        <v>330</v>
      </c>
      <c r="K2746" t="s">
        <v>127</v>
      </c>
      <c r="L2746" t="s">
        <v>2973</v>
      </c>
      <c r="M2746" t="s">
        <v>2985</v>
      </c>
      <c r="N2746">
        <v>1</v>
      </c>
      <c r="O2746">
        <v>2020</v>
      </c>
      <c r="P2746">
        <v>9846.3245281564559</v>
      </c>
      <c r="Q2746">
        <v>7.4806159733468123</v>
      </c>
      <c r="R2746" t="s">
        <v>109</v>
      </c>
      <c r="S2746">
        <v>1316.245154575317</v>
      </c>
      <c r="T2746">
        <v>17.3</v>
      </c>
      <c r="U2746" t="s">
        <v>329</v>
      </c>
      <c r="V2746">
        <v>5.0733137829912023</v>
      </c>
      <c r="W2746">
        <v>8</v>
      </c>
      <c r="X2746">
        <v>20.8</v>
      </c>
      <c r="Y2746">
        <v>15</v>
      </c>
      <c r="Z2746">
        <v>7.2863694504238907E-2</v>
      </c>
      <c r="AA2746">
        <v>31.536000000000001</v>
      </c>
    </row>
    <row r="2747" spans="1:27" x14ac:dyDescent="0.25">
      <c r="A2747" t="s">
        <v>98</v>
      </c>
      <c r="B2747" t="s">
        <v>519</v>
      </c>
      <c r="C2747" t="s">
        <v>1367</v>
      </c>
      <c r="D2747" t="s">
        <v>1707</v>
      </c>
      <c r="E2747" t="s">
        <v>304</v>
      </c>
      <c r="F2747" t="s">
        <v>201</v>
      </c>
      <c r="G2747" t="s">
        <v>114</v>
      </c>
      <c r="H2747" t="s">
        <v>125</v>
      </c>
      <c r="I2747">
        <v>2016</v>
      </c>
      <c r="J2747" t="s">
        <v>332</v>
      </c>
      <c r="K2747" t="s">
        <v>127</v>
      </c>
      <c r="L2747" t="s">
        <v>2973</v>
      </c>
      <c r="M2747" t="s">
        <v>2986</v>
      </c>
      <c r="N2747">
        <v>0</v>
      </c>
      <c r="O2747">
        <v>2020</v>
      </c>
      <c r="P2747">
        <v>9846.3245281564559</v>
      </c>
      <c r="Q2747">
        <v>7.4806159733468123</v>
      </c>
      <c r="R2747" t="s">
        <v>109</v>
      </c>
      <c r="S2747">
        <v>1316.245154575317</v>
      </c>
      <c r="T2747">
        <v>17.100000000000001</v>
      </c>
      <c r="U2747" t="s">
        <v>329</v>
      </c>
      <c r="V2747">
        <v>5.0146627565982396</v>
      </c>
      <c r="W2747">
        <v>8</v>
      </c>
      <c r="X2747">
        <v>20.8</v>
      </c>
      <c r="Y2747">
        <v>15</v>
      </c>
      <c r="Z2747">
        <v>7.2863694504238907E-2</v>
      </c>
      <c r="AA2747">
        <v>31.536000000000001</v>
      </c>
    </row>
    <row r="2748" spans="1:27" x14ac:dyDescent="0.25">
      <c r="A2748" t="s">
        <v>98</v>
      </c>
      <c r="B2748" t="s">
        <v>519</v>
      </c>
      <c r="C2748" t="s">
        <v>1367</v>
      </c>
      <c r="D2748" t="s">
        <v>1707</v>
      </c>
      <c r="E2748" t="s">
        <v>304</v>
      </c>
      <c r="F2748" t="s">
        <v>201</v>
      </c>
      <c r="G2748" t="s">
        <v>114</v>
      </c>
      <c r="H2748" t="s">
        <v>125</v>
      </c>
      <c r="I2748">
        <v>2020</v>
      </c>
      <c r="J2748" t="s">
        <v>334</v>
      </c>
      <c r="K2748" t="s">
        <v>127</v>
      </c>
      <c r="L2748" t="s">
        <v>2973</v>
      </c>
      <c r="M2748" t="s">
        <v>2986</v>
      </c>
      <c r="N2748">
        <v>1</v>
      </c>
      <c r="O2748">
        <v>2020</v>
      </c>
      <c r="P2748">
        <v>9846.3245281564559</v>
      </c>
      <c r="Q2748">
        <v>7.4806159733468123</v>
      </c>
      <c r="R2748" t="s">
        <v>109</v>
      </c>
      <c r="S2748">
        <v>1316.245154575317</v>
      </c>
      <c r="T2748">
        <v>17.100000000000001</v>
      </c>
      <c r="U2748" t="s">
        <v>329</v>
      </c>
      <c r="V2748">
        <v>5.0146627565982396</v>
      </c>
      <c r="W2748">
        <v>8</v>
      </c>
      <c r="X2748">
        <v>20.8</v>
      </c>
      <c r="Y2748">
        <v>15</v>
      </c>
      <c r="Z2748">
        <v>7.2863694504238907E-2</v>
      </c>
      <c r="AA2748">
        <v>31.536000000000001</v>
      </c>
    </row>
    <row r="2749" spans="1:27" x14ac:dyDescent="0.25">
      <c r="A2749" t="s">
        <v>98</v>
      </c>
      <c r="B2749" t="s">
        <v>519</v>
      </c>
      <c r="C2749" t="s">
        <v>1367</v>
      </c>
      <c r="D2749" t="s">
        <v>1707</v>
      </c>
      <c r="E2749" t="s">
        <v>304</v>
      </c>
      <c r="F2749" t="s">
        <v>201</v>
      </c>
      <c r="G2749" t="s">
        <v>114</v>
      </c>
      <c r="H2749" t="s">
        <v>125</v>
      </c>
      <c r="I2749">
        <v>2022</v>
      </c>
      <c r="J2749" t="s">
        <v>335</v>
      </c>
      <c r="K2749" t="s">
        <v>127</v>
      </c>
      <c r="L2749" t="s">
        <v>2973</v>
      </c>
      <c r="M2749" t="s">
        <v>2987</v>
      </c>
      <c r="N2749">
        <v>1</v>
      </c>
      <c r="O2749">
        <v>2022</v>
      </c>
      <c r="P2749">
        <v>9846.3245281564559</v>
      </c>
      <c r="Q2749">
        <v>7.4806159733468123</v>
      </c>
      <c r="R2749" t="s">
        <v>109</v>
      </c>
      <c r="S2749">
        <v>1316.245154575317</v>
      </c>
      <c r="T2749">
        <v>17.100000000000001</v>
      </c>
      <c r="U2749" t="s">
        <v>329</v>
      </c>
      <c r="V2749">
        <v>5.0146627565982396</v>
      </c>
      <c r="W2749">
        <v>8</v>
      </c>
      <c r="X2749">
        <v>20.8</v>
      </c>
      <c r="Y2749">
        <v>15</v>
      </c>
      <c r="Z2749">
        <v>7.2863694504238907E-2</v>
      </c>
      <c r="AA2749">
        <v>31.536000000000001</v>
      </c>
    </row>
    <row r="2750" spans="1:27" x14ac:dyDescent="0.25">
      <c r="A2750" t="s">
        <v>98</v>
      </c>
      <c r="B2750" t="s">
        <v>519</v>
      </c>
      <c r="C2750" t="s">
        <v>1367</v>
      </c>
      <c r="D2750" t="s">
        <v>1707</v>
      </c>
      <c r="E2750" t="s">
        <v>304</v>
      </c>
      <c r="F2750" t="s">
        <v>201</v>
      </c>
      <c r="G2750" t="s">
        <v>114</v>
      </c>
      <c r="H2750" t="s">
        <v>125</v>
      </c>
      <c r="I2750">
        <v>2023</v>
      </c>
      <c r="J2750" t="s">
        <v>337</v>
      </c>
      <c r="K2750" t="s">
        <v>127</v>
      </c>
      <c r="L2750" t="s">
        <v>2973</v>
      </c>
      <c r="M2750" t="s">
        <v>2988</v>
      </c>
      <c r="N2750">
        <v>1</v>
      </c>
      <c r="O2750">
        <v>2023</v>
      </c>
      <c r="P2750">
        <v>9846.3245281564559</v>
      </c>
      <c r="Q2750">
        <v>7.4806159733468123</v>
      </c>
      <c r="R2750" t="s">
        <v>109</v>
      </c>
      <c r="S2750">
        <v>1316.245154575317</v>
      </c>
      <c r="T2750">
        <v>17.100000000000001</v>
      </c>
      <c r="U2750" t="s">
        <v>329</v>
      </c>
      <c r="V2750">
        <v>5.0146627565982396</v>
      </c>
      <c r="W2750">
        <v>8</v>
      </c>
      <c r="X2750">
        <v>20.8</v>
      </c>
      <c r="Y2750">
        <v>15</v>
      </c>
      <c r="Z2750">
        <v>7.2863694504238907E-2</v>
      </c>
      <c r="AA2750">
        <v>31.536000000000001</v>
      </c>
    </row>
    <row r="2751" spans="1:27" x14ac:dyDescent="0.25">
      <c r="A2751" t="s">
        <v>98</v>
      </c>
      <c r="B2751" t="s">
        <v>519</v>
      </c>
      <c r="C2751" t="s">
        <v>1367</v>
      </c>
      <c r="D2751" t="s">
        <v>1707</v>
      </c>
      <c r="E2751" t="s">
        <v>304</v>
      </c>
      <c r="F2751" t="s">
        <v>201</v>
      </c>
      <c r="G2751" t="s">
        <v>114</v>
      </c>
      <c r="H2751" t="s">
        <v>125</v>
      </c>
      <c r="I2751">
        <v>2024</v>
      </c>
      <c r="J2751" t="s">
        <v>339</v>
      </c>
      <c r="K2751" t="s">
        <v>127</v>
      </c>
      <c r="L2751" t="s">
        <v>2973</v>
      </c>
      <c r="M2751" t="s">
        <v>2989</v>
      </c>
      <c r="N2751">
        <v>1</v>
      </c>
      <c r="O2751">
        <v>2024</v>
      </c>
      <c r="P2751">
        <v>9846.3245281564559</v>
      </c>
      <c r="Q2751">
        <v>7.4806159733468123</v>
      </c>
      <c r="R2751" t="s">
        <v>109</v>
      </c>
      <c r="S2751">
        <v>1316.245154575317</v>
      </c>
      <c r="T2751">
        <v>17.100000000000001</v>
      </c>
      <c r="U2751" t="s">
        <v>329</v>
      </c>
      <c r="V2751">
        <v>5.0146627565982396</v>
      </c>
      <c r="W2751">
        <v>8</v>
      </c>
      <c r="X2751">
        <v>20.8</v>
      </c>
      <c r="Y2751">
        <v>15</v>
      </c>
      <c r="Z2751">
        <v>7.2863694504238907E-2</v>
      </c>
      <c r="AA2751">
        <v>31.536000000000001</v>
      </c>
    </row>
    <row r="2752" spans="1:27" x14ac:dyDescent="0.25">
      <c r="A2752" t="s">
        <v>98</v>
      </c>
      <c r="B2752" t="s">
        <v>519</v>
      </c>
      <c r="C2752" t="s">
        <v>1367</v>
      </c>
      <c r="D2752" t="s">
        <v>1707</v>
      </c>
      <c r="E2752" t="s">
        <v>304</v>
      </c>
      <c r="F2752" t="s">
        <v>201</v>
      </c>
      <c r="G2752" t="s">
        <v>119</v>
      </c>
      <c r="H2752" t="s">
        <v>125</v>
      </c>
      <c r="I2752">
        <v>2016</v>
      </c>
      <c r="J2752" t="s">
        <v>341</v>
      </c>
      <c r="K2752" t="s">
        <v>127</v>
      </c>
      <c r="L2752" t="s">
        <v>2973</v>
      </c>
      <c r="M2752" t="s">
        <v>2990</v>
      </c>
      <c r="N2752">
        <v>0</v>
      </c>
      <c r="O2752">
        <v>2020</v>
      </c>
      <c r="P2752">
        <v>10395.03611176889</v>
      </c>
      <c r="Q2752">
        <v>7.4806159733468123</v>
      </c>
      <c r="R2752" t="s">
        <v>109</v>
      </c>
      <c r="S2752">
        <v>1389.5962777405041</v>
      </c>
      <c r="T2752">
        <v>22.4</v>
      </c>
      <c r="U2752" t="s">
        <v>329</v>
      </c>
      <c r="V2752">
        <v>6.5689149560117297</v>
      </c>
      <c r="W2752">
        <v>8</v>
      </c>
      <c r="X2752">
        <v>20.8</v>
      </c>
      <c r="Y2752">
        <v>15</v>
      </c>
      <c r="Z2752">
        <v>7.2863694504238907E-2</v>
      </c>
      <c r="AA2752">
        <v>31.536000000000001</v>
      </c>
    </row>
    <row r="2753" spans="1:27" x14ac:dyDescent="0.25">
      <c r="A2753" t="s">
        <v>98</v>
      </c>
      <c r="B2753" t="s">
        <v>519</v>
      </c>
      <c r="C2753" t="s">
        <v>1367</v>
      </c>
      <c r="D2753" t="s">
        <v>1707</v>
      </c>
      <c r="E2753" t="s">
        <v>304</v>
      </c>
      <c r="F2753" t="s">
        <v>201</v>
      </c>
      <c r="G2753" t="s">
        <v>119</v>
      </c>
      <c r="H2753" t="s">
        <v>125</v>
      </c>
      <c r="I2753">
        <v>2020</v>
      </c>
      <c r="J2753" t="s">
        <v>343</v>
      </c>
      <c r="K2753" t="s">
        <v>127</v>
      </c>
      <c r="L2753" t="s">
        <v>2973</v>
      </c>
      <c r="M2753" t="s">
        <v>2990</v>
      </c>
      <c r="N2753">
        <v>1</v>
      </c>
      <c r="O2753">
        <v>2020</v>
      </c>
      <c r="P2753">
        <v>10395.03611176889</v>
      </c>
      <c r="Q2753">
        <v>7.4806159733468123</v>
      </c>
      <c r="R2753" t="s">
        <v>109</v>
      </c>
      <c r="S2753">
        <v>1389.5962777405041</v>
      </c>
      <c r="T2753">
        <v>22.4</v>
      </c>
      <c r="U2753" t="s">
        <v>329</v>
      </c>
      <c r="V2753">
        <v>6.5689149560117297</v>
      </c>
      <c r="W2753">
        <v>8</v>
      </c>
      <c r="X2753">
        <v>20.8</v>
      </c>
      <c r="Y2753">
        <v>15</v>
      </c>
      <c r="Z2753">
        <v>7.2863694504238907E-2</v>
      </c>
      <c r="AA2753">
        <v>31.536000000000001</v>
      </c>
    </row>
    <row r="2754" spans="1:27" x14ac:dyDescent="0.25">
      <c r="A2754" t="s">
        <v>98</v>
      </c>
      <c r="B2754" t="s">
        <v>519</v>
      </c>
      <c r="C2754" t="s">
        <v>1367</v>
      </c>
      <c r="D2754" t="s">
        <v>1707</v>
      </c>
      <c r="E2754" t="s">
        <v>304</v>
      </c>
      <c r="F2754" t="s">
        <v>201</v>
      </c>
      <c r="G2754" t="s">
        <v>119</v>
      </c>
      <c r="H2754" t="s">
        <v>125</v>
      </c>
      <c r="I2754">
        <v>2022</v>
      </c>
      <c r="J2754" t="s">
        <v>344</v>
      </c>
      <c r="K2754" t="s">
        <v>127</v>
      </c>
      <c r="L2754" t="s">
        <v>2973</v>
      </c>
      <c r="M2754" t="s">
        <v>2991</v>
      </c>
      <c r="N2754">
        <v>1</v>
      </c>
      <c r="O2754">
        <v>2022</v>
      </c>
      <c r="P2754">
        <v>10395.03611176889</v>
      </c>
      <c r="Q2754">
        <v>7.4806159733468123</v>
      </c>
      <c r="R2754" t="s">
        <v>109</v>
      </c>
      <c r="S2754">
        <v>1389.5962777405041</v>
      </c>
      <c r="T2754">
        <v>22.4</v>
      </c>
      <c r="U2754" t="s">
        <v>329</v>
      </c>
      <c r="V2754">
        <v>6.5689149560117297</v>
      </c>
      <c r="W2754">
        <v>8</v>
      </c>
      <c r="X2754">
        <v>20.8</v>
      </c>
      <c r="Y2754">
        <v>15</v>
      </c>
      <c r="Z2754">
        <v>7.2863694504238907E-2</v>
      </c>
      <c r="AA2754">
        <v>31.536000000000001</v>
      </c>
    </row>
    <row r="2755" spans="1:27" x14ac:dyDescent="0.25">
      <c r="A2755" t="s">
        <v>98</v>
      </c>
      <c r="B2755" t="s">
        <v>519</v>
      </c>
      <c r="C2755" t="s">
        <v>1367</v>
      </c>
      <c r="D2755" t="s">
        <v>1707</v>
      </c>
      <c r="E2755" t="s">
        <v>304</v>
      </c>
      <c r="F2755" t="s">
        <v>201</v>
      </c>
      <c r="G2755" t="s">
        <v>119</v>
      </c>
      <c r="H2755" t="s">
        <v>125</v>
      </c>
      <c r="I2755">
        <v>2023</v>
      </c>
      <c r="J2755" t="s">
        <v>346</v>
      </c>
      <c r="K2755" t="s">
        <v>127</v>
      </c>
      <c r="L2755" t="s">
        <v>2973</v>
      </c>
      <c r="M2755" t="s">
        <v>2992</v>
      </c>
      <c r="N2755">
        <v>1</v>
      </c>
      <c r="O2755">
        <v>2023</v>
      </c>
      <c r="P2755">
        <v>10395.03611176889</v>
      </c>
      <c r="Q2755">
        <v>7.4806159733468123</v>
      </c>
      <c r="R2755" t="s">
        <v>109</v>
      </c>
      <c r="S2755">
        <v>1389.5962777405041</v>
      </c>
      <c r="T2755">
        <v>22.4</v>
      </c>
      <c r="U2755" t="s">
        <v>329</v>
      </c>
      <c r="V2755">
        <v>6.5689149560117297</v>
      </c>
      <c r="W2755">
        <v>8</v>
      </c>
      <c r="X2755">
        <v>20.8</v>
      </c>
      <c r="Y2755">
        <v>15</v>
      </c>
      <c r="Z2755">
        <v>7.2863694504238907E-2</v>
      </c>
      <c r="AA2755">
        <v>31.536000000000001</v>
      </c>
    </row>
    <row r="2756" spans="1:27" x14ac:dyDescent="0.25">
      <c r="A2756" t="s">
        <v>98</v>
      </c>
      <c r="B2756" t="s">
        <v>519</v>
      </c>
      <c r="C2756" t="s">
        <v>1367</v>
      </c>
      <c r="D2756" t="s">
        <v>1707</v>
      </c>
      <c r="E2756" t="s">
        <v>304</v>
      </c>
      <c r="F2756" t="s">
        <v>201</v>
      </c>
      <c r="G2756" t="s">
        <v>119</v>
      </c>
      <c r="H2756" t="s">
        <v>125</v>
      </c>
      <c r="I2756">
        <v>2024</v>
      </c>
      <c r="J2756" t="s">
        <v>348</v>
      </c>
      <c r="K2756" t="s">
        <v>127</v>
      </c>
      <c r="L2756" t="s">
        <v>2973</v>
      </c>
      <c r="M2756" t="s">
        <v>2993</v>
      </c>
      <c r="N2756">
        <v>1</v>
      </c>
      <c r="O2756">
        <v>2024</v>
      </c>
      <c r="P2756">
        <v>10395.03611176889</v>
      </c>
      <c r="Q2756">
        <v>7.4806159733468123</v>
      </c>
      <c r="R2756" t="s">
        <v>109</v>
      </c>
      <c r="S2756">
        <v>1389.5962777405041</v>
      </c>
      <c r="T2756">
        <v>22.4</v>
      </c>
      <c r="U2756" t="s">
        <v>329</v>
      </c>
      <c r="V2756">
        <v>6.5689149560117297</v>
      </c>
      <c r="W2756">
        <v>8</v>
      </c>
      <c r="X2756">
        <v>20.8</v>
      </c>
      <c r="Y2756">
        <v>15</v>
      </c>
      <c r="Z2756">
        <v>7.2863694504238907E-2</v>
      </c>
      <c r="AA2756">
        <v>31.536000000000001</v>
      </c>
    </row>
    <row r="2757" spans="1:27" x14ac:dyDescent="0.25">
      <c r="A2757" t="s">
        <v>98</v>
      </c>
      <c r="B2757" t="s">
        <v>519</v>
      </c>
      <c r="C2757" t="s">
        <v>1367</v>
      </c>
      <c r="D2757" t="s">
        <v>1707</v>
      </c>
      <c r="E2757" t="s">
        <v>304</v>
      </c>
      <c r="F2757" t="s">
        <v>350</v>
      </c>
      <c r="G2757" t="s">
        <v>103</v>
      </c>
      <c r="H2757" t="s">
        <v>125</v>
      </c>
      <c r="I2757">
        <v>2016</v>
      </c>
      <c r="J2757" t="s">
        <v>351</v>
      </c>
      <c r="K2757" t="s">
        <v>127</v>
      </c>
      <c r="L2757" t="s">
        <v>2973</v>
      </c>
      <c r="M2757" t="s">
        <v>2994</v>
      </c>
      <c r="N2757">
        <v>1</v>
      </c>
      <c r="O2757">
        <v>2020</v>
      </c>
      <c r="P2757">
        <v>756.00262631046473</v>
      </c>
      <c r="Q2757">
        <v>7.4806159733468123</v>
      </c>
      <c r="R2757" t="s">
        <v>109</v>
      </c>
      <c r="S2757">
        <v>101.06154747203669</v>
      </c>
      <c r="T2757">
        <v>3.1946072684642441</v>
      </c>
      <c r="U2757" t="s">
        <v>184</v>
      </c>
      <c r="V2757">
        <v>3.1946072684642441</v>
      </c>
      <c r="W2757">
        <v>6</v>
      </c>
      <c r="X2757">
        <v>13</v>
      </c>
      <c r="Y2757">
        <v>10</v>
      </c>
      <c r="Z2757">
        <v>7.2863694504238907E-2</v>
      </c>
      <c r="AA2757">
        <v>31.536000000000001</v>
      </c>
    </row>
    <row r="2758" spans="1:27" x14ac:dyDescent="0.25">
      <c r="A2758" t="s">
        <v>98</v>
      </c>
      <c r="B2758" t="s">
        <v>519</v>
      </c>
      <c r="C2758" t="s">
        <v>1367</v>
      </c>
      <c r="D2758" t="s">
        <v>1707</v>
      </c>
      <c r="E2758" t="s">
        <v>304</v>
      </c>
      <c r="F2758" t="s">
        <v>350</v>
      </c>
      <c r="G2758" t="s">
        <v>111</v>
      </c>
      <c r="H2758" t="s">
        <v>125</v>
      </c>
      <c r="I2758">
        <v>2016</v>
      </c>
      <c r="J2758" t="s">
        <v>353</v>
      </c>
      <c r="K2758" t="s">
        <v>127</v>
      </c>
      <c r="L2758" t="s">
        <v>2973</v>
      </c>
      <c r="M2758" t="s">
        <v>2995</v>
      </c>
      <c r="N2758">
        <v>1</v>
      </c>
      <c r="O2758">
        <v>2020</v>
      </c>
      <c r="P2758">
        <v>780.38980780435065</v>
      </c>
      <c r="Q2758">
        <v>7.4806159733468123</v>
      </c>
      <c r="R2758" t="s">
        <v>109</v>
      </c>
      <c r="S2758">
        <v>104.3215973904895</v>
      </c>
      <c r="T2758">
        <v>3.5169988276670581</v>
      </c>
      <c r="U2758" t="s">
        <v>184</v>
      </c>
      <c r="V2758">
        <v>3.5169988276670581</v>
      </c>
      <c r="W2758">
        <v>6</v>
      </c>
      <c r="X2758">
        <v>13</v>
      </c>
      <c r="Y2758">
        <v>10</v>
      </c>
      <c r="Z2758">
        <v>7.2863694504238907E-2</v>
      </c>
      <c r="AA2758">
        <v>31.536000000000001</v>
      </c>
    </row>
    <row r="2759" spans="1:27" x14ac:dyDescent="0.25">
      <c r="A2759" t="s">
        <v>98</v>
      </c>
      <c r="B2759" t="s">
        <v>519</v>
      </c>
      <c r="C2759" t="s">
        <v>1367</v>
      </c>
      <c r="D2759" t="s">
        <v>1707</v>
      </c>
      <c r="E2759" t="s">
        <v>304</v>
      </c>
      <c r="F2759" t="s">
        <v>350</v>
      </c>
      <c r="G2759" t="s">
        <v>111</v>
      </c>
      <c r="H2759" t="s">
        <v>125</v>
      </c>
      <c r="I2759">
        <v>2030</v>
      </c>
      <c r="J2759" t="s">
        <v>355</v>
      </c>
      <c r="K2759" t="s">
        <v>127</v>
      </c>
      <c r="L2759" t="s">
        <v>2973</v>
      </c>
      <c r="M2759" t="s">
        <v>2996</v>
      </c>
      <c r="N2759">
        <v>1</v>
      </c>
      <c r="O2759">
        <v>2030</v>
      </c>
      <c r="P2759">
        <v>780.38980780435065</v>
      </c>
      <c r="Q2759">
        <v>7.4806159733468123</v>
      </c>
      <c r="R2759" t="s">
        <v>109</v>
      </c>
      <c r="S2759">
        <v>104.3215973904895</v>
      </c>
      <c r="T2759">
        <v>3.5902696365767879</v>
      </c>
      <c r="U2759" t="s">
        <v>184</v>
      </c>
      <c r="V2759">
        <v>3.5902696365767879</v>
      </c>
      <c r="W2759">
        <v>6</v>
      </c>
      <c r="X2759">
        <v>13</v>
      </c>
      <c r="Y2759">
        <v>10</v>
      </c>
      <c r="Z2759">
        <v>7.2863694504238907E-2</v>
      </c>
      <c r="AA2759">
        <v>31.536000000000001</v>
      </c>
    </row>
    <row r="2760" spans="1:27" x14ac:dyDescent="0.25">
      <c r="A2760" t="s">
        <v>98</v>
      </c>
      <c r="B2760" t="s">
        <v>519</v>
      </c>
      <c r="C2760" t="s">
        <v>1367</v>
      </c>
      <c r="D2760" t="s">
        <v>1707</v>
      </c>
      <c r="E2760" t="s">
        <v>304</v>
      </c>
      <c r="F2760" t="s">
        <v>350</v>
      </c>
      <c r="G2760" t="s">
        <v>111</v>
      </c>
      <c r="H2760" t="s">
        <v>125</v>
      </c>
      <c r="I2760">
        <v>2040</v>
      </c>
      <c r="J2760" t="s">
        <v>357</v>
      </c>
      <c r="K2760" t="s">
        <v>127</v>
      </c>
      <c r="L2760" t="s">
        <v>2973</v>
      </c>
      <c r="M2760" t="s">
        <v>2997</v>
      </c>
      <c r="N2760">
        <v>1</v>
      </c>
      <c r="O2760">
        <v>2040</v>
      </c>
      <c r="P2760">
        <v>780.38980780435065</v>
      </c>
      <c r="Q2760">
        <v>7.4806159733468123</v>
      </c>
      <c r="R2760" t="s">
        <v>109</v>
      </c>
      <c r="S2760">
        <v>104.3215973904895</v>
      </c>
      <c r="T2760">
        <v>3.6635404454865181</v>
      </c>
      <c r="U2760" t="s">
        <v>184</v>
      </c>
      <c r="V2760">
        <v>3.6635404454865181</v>
      </c>
      <c r="W2760">
        <v>6</v>
      </c>
      <c r="X2760">
        <v>13</v>
      </c>
      <c r="Y2760">
        <v>10</v>
      </c>
      <c r="Z2760">
        <v>7.2863694504238907E-2</v>
      </c>
      <c r="AA2760">
        <v>31.536000000000001</v>
      </c>
    </row>
    <row r="2761" spans="1:27" x14ac:dyDescent="0.25">
      <c r="A2761" t="s">
        <v>98</v>
      </c>
      <c r="B2761" t="s">
        <v>519</v>
      </c>
      <c r="C2761" t="s">
        <v>1367</v>
      </c>
      <c r="D2761" t="s">
        <v>1707</v>
      </c>
      <c r="E2761" t="s">
        <v>304</v>
      </c>
      <c r="F2761" t="s">
        <v>350</v>
      </c>
      <c r="G2761" t="s">
        <v>114</v>
      </c>
      <c r="H2761" t="s">
        <v>125</v>
      </c>
      <c r="I2761">
        <v>2016</v>
      </c>
      <c r="J2761" t="s">
        <v>359</v>
      </c>
      <c r="K2761" t="s">
        <v>127</v>
      </c>
      <c r="L2761" t="s">
        <v>2973</v>
      </c>
      <c r="M2761" t="s">
        <v>2998</v>
      </c>
      <c r="N2761">
        <v>1</v>
      </c>
      <c r="O2761">
        <v>2020</v>
      </c>
      <c r="P2761">
        <v>780.38980780435065</v>
      </c>
      <c r="Q2761">
        <v>7.4806159733468123</v>
      </c>
      <c r="R2761" t="s">
        <v>109</v>
      </c>
      <c r="S2761">
        <v>104.3215973904895</v>
      </c>
      <c r="T2761">
        <v>3.5169988276670581</v>
      </c>
      <c r="U2761" t="s">
        <v>184</v>
      </c>
      <c r="V2761">
        <v>3.5169988276670581</v>
      </c>
      <c r="W2761">
        <v>6</v>
      </c>
      <c r="X2761">
        <v>13</v>
      </c>
      <c r="Y2761">
        <v>10</v>
      </c>
      <c r="Z2761">
        <v>7.2863694504238907E-2</v>
      </c>
      <c r="AA2761">
        <v>31.536000000000001</v>
      </c>
    </row>
    <row r="2762" spans="1:27" x14ac:dyDescent="0.25">
      <c r="A2762" t="s">
        <v>98</v>
      </c>
      <c r="B2762" t="s">
        <v>519</v>
      </c>
      <c r="C2762" t="s">
        <v>1367</v>
      </c>
      <c r="D2762" t="s">
        <v>1707</v>
      </c>
      <c r="E2762" t="s">
        <v>304</v>
      </c>
      <c r="F2762" t="s">
        <v>350</v>
      </c>
      <c r="G2762" t="s">
        <v>119</v>
      </c>
      <c r="H2762" t="s">
        <v>125</v>
      </c>
      <c r="I2762">
        <v>2016</v>
      </c>
      <c r="J2762" t="s">
        <v>361</v>
      </c>
      <c r="K2762" t="s">
        <v>127</v>
      </c>
      <c r="L2762" t="s">
        <v>2973</v>
      </c>
      <c r="M2762" t="s">
        <v>2999</v>
      </c>
      <c r="N2762">
        <v>1</v>
      </c>
      <c r="O2762">
        <v>2020</v>
      </c>
      <c r="P2762">
        <v>859.64814765948006</v>
      </c>
      <c r="Q2762">
        <v>7.4806159733468123</v>
      </c>
      <c r="R2762" t="s">
        <v>109</v>
      </c>
      <c r="S2762">
        <v>114.9167596254611</v>
      </c>
      <c r="T2762">
        <v>3.6049237983587341</v>
      </c>
      <c r="U2762" t="s">
        <v>184</v>
      </c>
      <c r="V2762">
        <v>3.6049237983587341</v>
      </c>
      <c r="W2762">
        <v>6</v>
      </c>
      <c r="X2762">
        <v>13</v>
      </c>
      <c r="Y2762">
        <v>10</v>
      </c>
      <c r="Z2762">
        <v>7.2863694504238907E-2</v>
      </c>
      <c r="AA2762">
        <v>31.536000000000001</v>
      </c>
    </row>
    <row r="2763" spans="1:27" x14ac:dyDescent="0.25">
      <c r="A2763" t="s">
        <v>98</v>
      </c>
      <c r="B2763" t="s">
        <v>519</v>
      </c>
      <c r="C2763" t="s">
        <v>1367</v>
      </c>
      <c r="D2763" t="s">
        <v>1707</v>
      </c>
      <c r="E2763" t="s">
        <v>304</v>
      </c>
      <c r="F2763" t="s">
        <v>350</v>
      </c>
      <c r="G2763" t="s">
        <v>119</v>
      </c>
      <c r="H2763" t="s">
        <v>125</v>
      </c>
      <c r="I2763">
        <v>2022</v>
      </c>
      <c r="J2763" t="s">
        <v>363</v>
      </c>
      <c r="K2763" t="s">
        <v>127</v>
      </c>
      <c r="L2763" t="s">
        <v>2973</v>
      </c>
      <c r="M2763" t="s">
        <v>3000</v>
      </c>
      <c r="N2763">
        <v>1</v>
      </c>
      <c r="O2763">
        <v>2022</v>
      </c>
      <c r="P2763">
        <v>859.64814765948006</v>
      </c>
      <c r="Q2763">
        <v>7.4806159733468123</v>
      </c>
      <c r="R2763" t="s">
        <v>109</v>
      </c>
      <c r="S2763">
        <v>114.9167596254611</v>
      </c>
      <c r="T2763">
        <v>3.6635404454865181</v>
      </c>
      <c r="U2763" t="s">
        <v>184</v>
      </c>
      <c r="V2763">
        <v>3.6635404454865181</v>
      </c>
      <c r="W2763">
        <v>6</v>
      </c>
      <c r="X2763">
        <v>13</v>
      </c>
      <c r="Y2763">
        <v>10</v>
      </c>
      <c r="Z2763">
        <v>7.2863694504238907E-2</v>
      </c>
      <c r="AA2763">
        <v>31.536000000000001</v>
      </c>
    </row>
    <row r="2764" spans="1:27" x14ac:dyDescent="0.25">
      <c r="A2764" t="s">
        <v>98</v>
      </c>
      <c r="B2764" t="s">
        <v>519</v>
      </c>
      <c r="C2764" t="s">
        <v>1367</v>
      </c>
      <c r="D2764" t="s">
        <v>1707</v>
      </c>
      <c r="E2764" t="s">
        <v>304</v>
      </c>
      <c r="F2764" t="s">
        <v>350</v>
      </c>
      <c r="G2764" t="s">
        <v>119</v>
      </c>
      <c r="H2764" t="s">
        <v>125</v>
      </c>
      <c r="I2764">
        <v>2030</v>
      </c>
      <c r="J2764" t="s">
        <v>365</v>
      </c>
      <c r="K2764" t="s">
        <v>127</v>
      </c>
      <c r="L2764" t="s">
        <v>2973</v>
      </c>
      <c r="M2764" t="s">
        <v>3001</v>
      </c>
      <c r="N2764">
        <v>1</v>
      </c>
      <c r="O2764">
        <v>2030</v>
      </c>
      <c r="P2764">
        <v>859.64814765948006</v>
      </c>
      <c r="Q2764">
        <v>7.4806159733468123</v>
      </c>
      <c r="R2764" t="s">
        <v>109</v>
      </c>
      <c r="S2764">
        <v>114.9167596254611</v>
      </c>
      <c r="T2764">
        <v>3.8100820633059791</v>
      </c>
      <c r="U2764" t="s">
        <v>184</v>
      </c>
      <c r="V2764">
        <v>3.8100820633059791</v>
      </c>
      <c r="W2764">
        <v>6</v>
      </c>
      <c r="X2764">
        <v>13</v>
      </c>
      <c r="Y2764">
        <v>10</v>
      </c>
      <c r="Z2764">
        <v>7.2863694504238907E-2</v>
      </c>
      <c r="AA2764">
        <v>31.536000000000001</v>
      </c>
    </row>
    <row r="2765" spans="1:27" x14ac:dyDescent="0.25">
      <c r="A2765" t="s">
        <v>98</v>
      </c>
      <c r="B2765" t="s">
        <v>519</v>
      </c>
      <c r="C2765" t="s">
        <v>1367</v>
      </c>
      <c r="D2765" t="s">
        <v>1707</v>
      </c>
      <c r="E2765" t="s">
        <v>304</v>
      </c>
      <c r="F2765" t="s">
        <v>350</v>
      </c>
      <c r="G2765" t="s">
        <v>119</v>
      </c>
      <c r="H2765" t="s">
        <v>125</v>
      </c>
      <c r="I2765">
        <v>2040</v>
      </c>
      <c r="J2765" t="s">
        <v>367</v>
      </c>
      <c r="K2765" t="s">
        <v>127</v>
      </c>
      <c r="L2765" t="s">
        <v>2973</v>
      </c>
      <c r="M2765" t="s">
        <v>3002</v>
      </c>
      <c r="N2765">
        <v>1</v>
      </c>
      <c r="O2765">
        <v>2040</v>
      </c>
      <c r="P2765">
        <v>859.64814765948006</v>
      </c>
      <c r="Q2765">
        <v>7.4806159733468123</v>
      </c>
      <c r="R2765" t="s">
        <v>109</v>
      </c>
      <c r="S2765">
        <v>114.9167596254611</v>
      </c>
      <c r="T2765">
        <v>3.9566236811254401</v>
      </c>
      <c r="U2765" t="s">
        <v>184</v>
      </c>
      <c r="V2765">
        <v>3.9566236811254401</v>
      </c>
      <c r="W2765">
        <v>6</v>
      </c>
      <c r="X2765">
        <v>13</v>
      </c>
      <c r="Y2765">
        <v>10</v>
      </c>
      <c r="Z2765">
        <v>7.2863694504238907E-2</v>
      </c>
      <c r="AA2765">
        <v>31.536000000000001</v>
      </c>
    </row>
    <row r="2766" spans="1:27" x14ac:dyDescent="0.25">
      <c r="A2766" t="s">
        <v>98</v>
      </c>
      <c r="B2766" t="s">
        <v>519</v>
      </c>
      <c r="C2766" t="s">
        <v>1367</v>
      </c>
      <c r="D2766" t="s">
        <v>1707</v>
      </c>
      <c r="E2766" t="s">
        <v>304</v>
      </c>
      <c r="F2766" t="s">
        <v>369</v>
      </c>
      <c r="G2766" t="s">
        <v>103</v>
      </c>
      <c r="H2766" t="s">
        <v>125</v>
      </c>
      <c r="I2766">
        <v>2016</v>
      </c>
      <c r="J2766" t="s">
        <v>370</v>
      </c>
      <c r="K2766" t="s">
        <v>127</v>
      </c>
      <c r="L2766" t="s">
        <v>2973</v>
      </c>
      <c r="M2766" t="s">
        <v>3003</v>
      </c>
      <c r="N2766">
        <v>1</v>
      </c>
      <c r="O2766">
        <v>2020</v>
      </c>
      <c r="P2766">
        <v>4328.724715164758</v>
      </c>
      <c r="Q2766">
        <v>7.4806159733468123</v>
      </c>
      <c r="R2766" t="s">
        <v>109</v>
      </c>
      <c r="S2766">
        <v>578.65886052537132</v>
      </c>
      <c r="T2766">
        <v>3.8100820633059791</v>
      </c>
      <c r="U2766" t="s">
        <v>184</v>
      </c>
      <c r="V2766">
        <v>3.8100820633059791</v>
      </c>
      <c r="W2766">
        <v>11</v>
      </c>
      <c r="X2766">
        <v>25</v>
      </c>
      <c r="Y2766">
        <v>19</v>
      </c>
      <c r="Z2766">
        <v>7.2863694504238907E-2</v>
      </c>
      <c r="AA2766">
        <v>31.536000000000001</v>
      </c>
    </row>
    <row r="2767" spans="1:27" x14ac:dyDescent="0.25">
      <c r="A2767" t="s">
        <v>98</v>
      </c>
      <c r="B2767" t="s">
        <v>519</v>
      </c>
      <c r="C2767" t="s">
        <v>1367</v>
      </c>
      <c r="D2767" t="s">
        <v>1707</v>
      </c>
      <c r="E2767" t="s">
        <v>304</v>
      </c>
      <c r="F2767" t="s">
        <v>369</v>
      </c>
      <c r="G2767" t="s">
        <v>103</v>
      </c>
      <c r="H2767" t="s">
        <v>125</v>
      </c>
      <c r="I2767">
        <v>2023</v>
      </c>
      <c r="J2767" t="s">
        <v>372</v>
      </c>
      <c r="K2767" t="s">
        <v>127</v>
      </c>
      <c r="L2767" t="s">
        <v>2973</v>
      </c>
      <c r="M2767" t="s">
        <v>3004</v>
      </c>
      <c r="N2767">
        <v>1</v>
      </c>
      <c r="O2767">
        <v>2023</v>
      </c>
      <c r="P2767">
        <v>4328.724715164758</v>
      </c>
      <c r="Q2767">
        <v>7.4806159733468123</v>
      </c>
      <c r="R2767" t="s">
        <v>109</v>
      </c>
      <c r="S2767">
        <v>578.65886052537132</v>
      </c>
      <c r="T2767">
        <v>3.8100820633059791</v>
      </c>
      <c r="U2767" t="s">
        <v>184</v>
      </c>
      <c r="V2767">
        <v>3.8100820633059791</v>
      </c>
      <c r="W2767">
        <v>11</v>
      </c>
      <c r="X2767">
        <v>25</v>
      </c>
      <c r="Y2767">
        <v>19</v>
      </c>
      <c r="Z2767">
        <v>7.2863694504238907E-2</v>
      </c>
      <c r="AA2767">
        <v>31.536000000000001</v>
      </c>
    </row>
    <row r="2768" spans="1:27" x14ac:dyDescent="0.25">
      <c r="A2768" t="s">
        <v>98</v>
      </c>
      <c r="B2768" t="s">
        <v>519</v>
      </c>
      <c r="C2768" t="s">
        <v>1367</v>
      </c>
      <c r="D2768" t="s">
        <v>1707</v>
      </c>
      <c r="E2768" t="s">
        <v>304</v>
      </c>
      <c r="F2768" t="s">
        <v>369</v>
      </c>
      <c r="G2768" t="s">
        <v>111</v>
      </c>
      <c r="H2768" t="s">
        <v>125</v>
      </c>
      <c r="I2768">
        <v>2016</v>
      </c>
      <c r="J2768" t="s">
        <v>374</v>
      </c>
      <c r="K2768" t="s">
        <v>127</v>
      </c>
      <c r="L2768" t="s">
        <v>2973</v>
      </c>
      <c r="M2768" t="s">
        <v>3005</v>
      </c>
      <c r="N2768">
        <v>1</v>
      </c>
      <c r="O2768">
        <v>2020</v>
      </c>
      <c r="P2768">
        <v>4450.6606226341873</v>
      </c>
      <c r="Q2768">
        <v>7.4806159733468123</v>
      </c>
      <c r="R2768" t="s">
        <v>109</v>
      </c>
      <c r="S2768">
        <v>594.9591101176353</v>
      </c>
      <c r="T2768">
        <v>4.0738569753810081</v>
      </c>
      <c r="U2768" t="s">
        <v>184</v>
      </c>
      <c r="V2768">
        <v>4.0738569753810081</v>
      </c>
      <c r="W2768">
        <v>11</v>
      </c>
      <c r="X2768">
        <v>25</v>
      </c>
      <c r="Y2768">
        <v>19</v>
      </c>
      <c r="Z2768">
        <v>7.2863694504238907E-2</v>
      </c>
      <c r="AA2768">
        <v>31.536000000000001</v>
      </c>
    </row>
    <row r="2769" spans="1:27" x14ac:dyDescent="0.25">
      <c r="A2769" t="s">
        <v>98</v>
      </c>
      <c r="B2769" t="s">
        <v>519</v>
      </c>
      <c r="C2769" t="s">
        <v>1367</v>
      </c>
      <c r="D2769" t="s">
        <v>1707</v>
      </c>
      <c r="E2769" t="s">
        <v>304</v>
      </c>
      <c r="F2769" t="s">
        <v>369</v>
      </c>
      <c r="G2769" t="s">
        <v>111</v>
      </c>
      <c r="H2769" t="s">
        <v>125</v>
      </c>
      <c r="I2769">
        <v>2023</v>
      </c>
      <c r="J2769" t="s">
        <v>376</v>
      </c>
      <c r="K2769" t="s">
        <v>127</v>
      </c>
      <c r="L2769" t="s">
        <v>2973</v>
      </c>
      <c r="M2769" t="s">
        <v>3006</v>
      </c>
      <c r="N2769">
        <v>1</v>
      </c>
      <c r="O2769">
        <v>2023</v>
      </c>
      <c r="P2769">
        <v>4511.628576368902</v>
      </c>
      <c r="Q2769">
        <v>7.4806159733468123</v>
      </c>
      <c r="R2769" t="s">
        <v>109</v>
      </c>
      <c r="S2769">
        <v>603.10923491376718</v>
      </c>
      <c r="T2769">
        <v>4.2203985932004704</v>
      </c>
      <c r="U2769" t="s">
        <v>184</v>
      </c>
      <c r="V2769">
        <v>4.2203985932004704</v>
      </c>
      <c r="W2769">
        <v>11</v>
      </c>
      <c r="X2769">
        <v>25</v>
      </c>
      <c r="Y2769">
        <v>19</v>
      </c>
      <c r="Z2769">
        <v>7.2863694504238907E-2</v>
      </c>
      <c r="AA2769">
        <v>31.536000000000001</v>
      </c>
    </row>
    <row r="2770" spans="1:27" x14ac:dyDescent="0.25">
      <c r="A2770" t="s">
        <v>98</v>
      </c>
      <c r="B2770" t="s">
        <v>519</v>
      </c>
      <c r="C2770" t="s">
        <v>1367</v>
      </c>
      <c r="D2770" t="s">
        <v>1707</v>
      </c>
      <c r="E2770" t="s">
        <v>304</v>
      </c>
      <c r="F2770" t="s">
        <v>369</v>
      </c>
      <c r="G2770" t="s">
        <v>114</v>
      </c>
      <c r="H2770" t="s">
        <v>125</v>
      </c>
      <c r="I2770">
        <v>2016</v>
      </c>
      <c r="J2770" t="s">
        <v>378</v>
      </c>
      <c r="K2770" t="s">
        <v>127</v>
      </c>
      <c r="L2770" t="s">
        <v>2973</v>
      </c>
      <c r="M2770" t="s">
        <v>3007</v>
      </c>
      <c r="N2770">
        <v>1</v>
      </c>
      <c r="O2770">
        <v>2020</v>
      </c>
      <c r="P2770">
        <v>4877.436298777192</v>
      </c>
      <c r="Q2770">
        <v>7.4806159733468123</v>
      </c>
      <c r="R2770" t="s">
        <v>109</v>
      </c>
      <c r="S2770">
        <v>652.00998369055924</v>
      </c>
      <c r="T2770">
        <v>4.3962485345838216</v>
      </c>
      <c r="U2770" t="s">
        <v>184</v>
      </c>
      <c r="V2770">
        <v>4.3962485345838216</v>
      </c>
      <c r="W2770">
        <v>11</v>
      </c>
      <c r="X2770">
        <v>25</v>
      </c>
      <c r="Y2770">
        <v>19</v>
      </c>
      <c r="Z2770">
        <v>7.2863694504238907E-2</v>
      </c>
      <c r="AA2770">
        <v>31.536000000000001</v>
      </c>
    </row>
    <row r="2771" spans="1:27" x14ac:dyDescent="0.25">
      <c r="A2771" t="s">
        <v>98</v>
      </c>
      <c r="B2771" t="s">
        <v>519</v>
      </c>
      <c r="C2771" t="s">
        <v>1367</v>
      </c>
      <c r="D2771" t="s">
        <v>1707</v>
      </c>
      <c r="E2771" t="s">
        <v>304</v>
      </c>
      <c r="F2771" t="s">
        <v>369</v>
      </c>
      <c r="G2771" t="s">
        <v>114</v>
      </c>
      <c r="H2771" t="s">
        <v>125</v>
      </c>
      <c r="I2771">
        <v>2023</v>
      </c>
      <c r="J2771" t="s">
        <v>380</v>
      </c>
      <c r="K2771" t="s">
        <v>127</v>
      </c>
      <c r="L2771" t="s">
        <v>2973</v>
      </c>
      <c r="M2771" t="s">
        <v>3008</v>
      </c>
      <c r="N2771">
        <v>1</v>
      </c>
      <c r="O2771">
        <v>2023</v>
      </c>
      <c r="P2771">
        <v>5202.5987186956727</v>
      </c>
      <c r="Q2771">
        <v>7.4806159733468123</v>
      </c>
      <c r="R2771" t="s">
        <v>109</v>
      </c>
      <c r="S2771">
        <v>695.47731593659671</v>
      </c>
      <c r="T2771">
        <v>4.6893317702227444</v>
      </c>
      <c r="U2771" t="s">
        <v>184</v>
      </c>
      <c r="V2771">
        <v>4.6893317702227444</v>
      </c>
      <c r="W2771">
        <v>11</v>
      </c>
      <c r="X2771">
        <v>25</v>
      </c>
      <c r="Y2771">
        <v>19</v>
      </c>
      <c r="Z2771">
        <v>7.2863694504238907E-2</v>
      </c>
      <c r="AA2771">
        <v>31.536000000000001</v>
      </c>
    </row>
    <row r="2772" spans="1:27" x14ac:dyDescent="0.25">
      <c r="A2772" t="s">
        <v>98</v>
      </c>
      <c r="B2772" t="s">
        <v>519</v>
      </c>
      <c r="C2772" t="s">
        <v>1367</v>
      </c>
      <c r="D2772" t="s">
        <v>1707</v>
      </c>
      <c r="E2772" t="s">
        <v>304</v>
      </c>
      <c r="F2772" t="s">
        <v>369</v>
      </c>
      <c r="G2772" t="s">
        <v>119</v>
      </c>
      <c r="H2772" t="s">
        <v>125</v>
      </c>
      <c r="I2772">
        <v>2016</v>
      </c>
      <c r="J2772" t="s">
        <v>382</v>
      </c>
      <c r="K2772" t="s">
        <v>127</v>
      </c>
      <c r="L2772" t="s">
        <v>2973</v>
      </c>
      <c r="M2772" t="s">
        <v>3009</v>
      </c>
      <c r="N2772">
        <v>1</v>
      </c>
      <c r="O2772">
        <v>2020</v>
      </c>
      <c r="P2772">
        <v>5670.0196973284856</v>
      </c>
      <c r="Q2772">
        <v>7.4806159733468123</v>
      </c>
      <c r="R2772" t="s">
        <v>109</v>
      </c>
      <c r="S2772">
        <v>757.96160604027511</v>
      </c>
      <c r="T2772">
        <v>4.835873388042204</v>
      </c>
      <c r="U2772" t="s">
        <v>184</v>
      </c>
      <c r="V2772">
        <v>4.835873388042204</v>
      </c>
      <c r="W2772">
        <v>11</v>
      </c>
      <c r="X2772">
        <v>25</v>
      </c>
      <c r="Y2772">
        <v>19</v>
      </c>
      <c r="Z2772">
        <v>7.2863694504238907E-2</v>
      </c>
      <c r="AA2772">
        <v>31.536000000000001</v>
      </c>
    </row>
    <row r="2773" spans="1:27" x14ac:dyDescent="0.25">
      <c r="A2773" t="s">
        <v>98</v>
      </c>
      <c r="B2773" t="s">
        <v>519</v>
      </c>
      <c r="C2773" t="s">
        <v>1367</v>
      </c>
      <c r="D2773" t="s">
        <v>1707</v>
      </c>
      <c r="E2773" t="s">
        <v>304</v>
      </c>
      <c r="F2773" t="s">
        <v>369</v>
      </c>
      <c r="G2773" t="s">
        <v>119</v>
      </c>
      <c r="H2773" t="s">
        <v>125</v>
      </c>
      <c r="I2773">
        <v>2022</v>
      </c>
      <c r="J2773" t="s">
        <v>384</v>
      </c>
      <c r="K2773" t="s">
        <v>127</v>
      </c>
      <c r="L2773" t="s">
        <v>2973</v>
      </c>
      <c r="M2773" t="s">
        <v>3010</v>
      </c>
      <c r="N2773">
        <v>1</v>
      </c>
      <c r="O2773">
        <v>2022</v>
      </c>
      <c r="P2773">
        <v>5670.0196973284856</v>
      </c>
      <c r="Q2773">
        <v>7.4806159733468123</v>
      </c>
      <c r="R2773" t="s">
        <v>109</v>
      </c>
      <c r="S2773">
        <v>757.96160604027511</v>
      </c>
      <c r="T2773">
        <v>4.835873388042204</v>
      </c>
      <c r="U2773" t="s">
        <v>184</v>
      </c>
      <c r="V2773">
        <v>4.835873388042204</v>
      </c>
      <c r="W2773">
        <v>11</v>
      </c>
      <c r="X2773">
        <v>25</v>
      </c>
      <c r="Y2773">
        <v>19</v>
      </c>
      <c r="Z2773">
        <v>7.2863694504238907E-2</v>
      </c>
      <c r="AA2773">
        <v>31.536000000000001</v>
      </c>
    </row>
    <row r="2774" spans="1:27" x14ac:dyDescent="0.25">
      <c r="A2774" t="s">
        <v>98</v>
      </c>
      <c r="B2774" t="s">
        <v>519</v>
      </c>
      <c r="C2774" t="s">
        <v>1367</v>
      </c>
      <c r="D2774" t="s">
        <v>1707</v>
      </c>
      <c r="E2774" t="s">
        <v>386</v>
      </c>
      <c r="G2774" t="s">
        <v>387</v>
      </c>
      <c r="H2774" t="s">
        <v>125</v>
      </c>
      <c r="I2774">
        <v>2016</v>
      </c>
      <c r="J2774" t="s">
        <v>388</v>
      </c>
      <c r="K2774" t="s">
        <v>127</v>
      </c>
      <c r="L2774" t="s">
        <v>3011</v>
      </c>
      <c r="M2774" t="s">
        <v>3012</v>
      </c>
      <c r="N2774">
        <v>1</v>
      </c>
      <c r="O2774">
        <v>2020</v>
      </c>
      <c r="P2774">
        <v>853.55135228600852</v>
      </c>
      <c r="Q2774">
        <v>5.1893066468841136</v>
      </c>
      <c r="R2774" t="s">
        <v>391</v>
      </c>
      <c r="S2774">
        <v>164.4827354341293</v>
      </c>
      <c r="T2774">
        <v>404.78399999999999</v>
      </c>
      <c r="U2774" t="s">
        <v>392</v>
      </c>
      <c r="V2774">
        <v>1.1306815642458099</v>
      </c>
      <c r="W2774">
        <v>11.625999787885601</v>
      </c>
      <c r="X2774">
        <v>21.895260974855479</v>
      </c>
      <c r="Y2774">
        <v>17</v>
      </c>
      <c r="Z2774">
        <v>0.65</v>
      </c>
      <c r="AA2774">
        <v>1</v>
      </c>
    </row>
    <row r="2775" spans="1:27" x14ac:dyDescent="0.25">
      <c r="A2775" t="s">
        <v>98</v>
      </c>
      <c r="B2775" t="s">
        <v>519</v>
      </c>
      <c r="C2775" t="s">
        <v>1367</v>
      </c>
      <c r="D2775" t="s">
        <v>1707</v>
      </c>
      <c r="E2775" t="s">
        <v>386</v>
      </c>
      <c r="G2775" t="s">
        <v>393</v>
      </c>
      <c r="H2775" t="s">
        <v>125</v>
      </c>
      <c r="I2775">
        <v>2016</v>
      </c>
      <c r="J2775" t="s">
        <v>394</v>
      </c>
      <c r="K2775" t="s">
        <v>127</v>
      </c>
      <c r="L2775" t="s">
        <v>3011</v>
      </c>
      <c r="M2775" t="s">
        <v>3013</v>
      </c>
      <c r="N2775">
        <v>1</v>
      </c>
      <c r="O2775">
        <v>2020</v>
      </c>
      <c r="P2775">
        <v>914.51930602072343</v>
      </c>
      <c r="Q2775">
        <v>5.1893066468841136</v>
      </c>
      <c r="R2775" t="s">
        <v>391</v>
      </c>
      <c r="S2775">
        <v>176.23150225085291</v>
      </c>
      <c r="T2775">
        <v>389</v>
      </c>
      <c r="U2775" t="s">
        <v>392</v>
      </c>
      <c r="V2775">
        <v>1.08659217877095</v>
      </c>
      <c r="W2775">
        <v>11.625999787885601</v>
      </c>
      <c r="X2775">
        <v>21.895260974855479</v>
      </c>
      <c r="Y2775">
        <v>17</v>
      </c>
      <c r="Z2775">
        <v>0.65</v>
      </c>
      <c r="AA2775">
        <v>1</v>
      </c>
    </row>
    <row r="2776" spans="1:27" x14ac:dyDescent="0.25">
      <c r="A2776" t="s">
        <v>98</v>
      </c>
      <c r="B2776" t="s">
        <v>519</v>
      </c>
      <c r="C2776" t="s">
        <v>1367</v>
      </c>
      <c r="D2776" t="s">
        <v>1707</v>
      </c>
      <c r="E2776" t="s">
        <v>386</v>
      </c>
      <c r="G2776" t="s">
        <v>396</v>
      </c>
      <c r="H2776" t="s">
        <v>125</v>
      </c>
      <c r="I2776">
        <v>2016</v>
      </c>
      <c r="J2776" t="s">
        <v>397</v>
      </c>
      <c r="K2776" t="s">
        <v>127</v>
      </c>
      <c r="L2776" t="s">
        <v>3011</v>
      </c>
      <c r="M2776" t="s">
        <v>3014</v>
      </c>
      <c r="N2776">
        <v>1</v>
      </c>
      <c r="O2776">
        <v>2020</v>
      </c>
      <c r="P2776">
        <v>1036.455213490153</v>
      </c>
      <c r="Q2776">
        <v>5.1893066468841136</v>
      </c>
      <c r="R2776" t="s">
        <v>391</v>
      </c>
      <c r="S2776">
        <v>199.72903588429989</v>
      </c>
      <c r="T2776">
        <v>364.30560000000003</v>
      </c>
      <c r="U2776" t="s">
        <v>392</v>
      </c>
      <c r="V2776">
        <v>1.0176134078212291</v>
      </c>
      <c r="W2776">
        <v>11.625999787885601</v>
      </c>
      <c r="X2776">
        <v>21.895260974855479</v>
      </c>
      <c r="Y2776">
        <v>17</v>
      </c>
      <c r="Z2776">
        <v>0.65</v>
      </c>
      <c r="AA2776">
        <v>1</v>
      </c>
    </row>
    <row r="2777" spans="1:27" x14ac:dyDescent="0.25">
      <c r="A2777" t="s">
        <v>98</v>
      </c>
      <c r="B2777" t="s">
        <v>519</v>
      </c>
      <c r="C2777" t="s">
        <v>1367</v>
      </c>
      <c r="D2777" t="s">
        <v>1707</v>
      </c>
      <c r="E2777" t="s">
        <v>386</v>
      </c>
      <c r="G2777" t="s">
        <v>399</v>
      </c>
      <c r="H2777" t="s">
        <v>125</v>
      </c>
      <c r="I2777">
        <v>2016</v>
      </c>
      <c r="J2777" t="s">
        <v>400</v>
      </c>
      <c r="K2777" t="s">
        <v>127</v>
      </c>
      <c r="L2777" t="s">
        <v>3011</v>
      </c>
      <c r="M2777" t="s">
        <v>3015</v>
      </c>
      <c r="N2777">
        <v>1</v>
      </c>
      <c r="O2777">
        <v>2020</v>
      </c>
      <c r="P2777">
        <v>1073.035985730982</v>
      </c>
      <c r="Q2777">
        <v>5.1893066468841136</v>
      </c>
      <c r="R2777" t="s">
        <v>391</v>
      </c>
      <c r="S2777">
        <v>206.77829597433399</v>
      </c>
      <c r="T2777">
        <v>358</v>
      </c>
      <c r="U2777" t="s">
        <v>392</v>
      </c>
      <c r="V2777">
        <v>1</v>
      </c>
      <c r="W2777">
        <v>11.625999787885601</v>
      </c>
      <c r="X2777">
        <v>21.895260974855479</v>
      </c>
      <c r="Y2777">
        <v>17</v>
      </c>
      <c r="Z2777">
        <v>0.65</v>
      </c>
      <c r="AA2777">
        <v>1</v>
      </c>
    </row>
    <row r="2778" spans="1:27" x14ac:dyDescent="0.25">
      <c r="A2778" t="s">
        <v>98</v>
      </c>
      <c r="B2778" t="s">
        <v>519</v>
      </c>
      <c r="C2778" t="s">
        <v>1367</v>
      </c>
      <c r="D2778" t="s">
        <v>1707</v>
      </c>
      <c r="E2778" t="s">
        <v>386</v>
      </c>
      <c r="G2778" t="s">
        <v>402</v>
      </c>
      <c r="H2778" t="s">
        <v>125</v>
      </c>
      <c r="I2778">
        <v>2016</v>
      </c>
      <c r="J2778" t="s">
        <v>403</v>
      </c>
      <c r="K2778" t="s">
        <v>127</v>
      </c>
      <c r="L2778" t="s">
        <v>3011</v>
      </c>
      <c r="M2778" t="s">
        <v>3016</v>
      </c>
      <c r="N2778">
        <v>1</v>
      </c>
      <c r="O2778">
        <v>2020</v>
      </c>
      <c r="P2778">
        <v>1597.3603878495301</v>
      </c>
      <c r="Q2778">
        <v>5.1893066468841136</v>
      </c>
      <c r="R2778" t="s">
        <v>391</v>
      </c>
      <c r="S2778">
        <v>307.81769059815628</v>
      </c>
      <c r="T2778">
        <v>705.226</v>
      </c>
      <c r="U2778" t="s">
        <v>392</v>
      </c>
      <c r="V2778">
        <v>1.9699050279329611</v>
      </c>
      <c r="W2778">
        <v>11.625999787885601</v>
      </c>
      <c r="X2778">
        <v>21.895260974855479</v>
      </c>
      <c r="Y2778">
        <v>17</v>
      </c>
      <c r="Z2778">
        <v>0.65</v>
      </c>
      <c r="AA2778">
        <v>1</v>
      </c>
    </row>
    <row r="2779" spans="1:27" x14ac:dyDescent="0.25">
      <c r="A2779" t="s">
        <v>98</v>
      </c>
      <c r="B2779" t="s">
        <v>519</v>
      </c>
      <c r="C2779" t="s">
        <v>1367</v>
      </c>
      <c r="D2779" t="s">
        <v>1707</v>
      </c>
      <c r="E2779" t="s">
        <v>386</v>
      </c>
      <c r="G2779" t="s">
        <v>405</v>
      </c>
      <c r="H2779" t="s">
        <v>125</v>
      </c>
      <c r="I2779">
        <v>2016</v>
      </c>
      <c r="J2779" t="s">
        <v>406</v>
      </c>
      <c r="K2779" t="s">
        <v>127</v>
      </c>
      <c r="L2779" t="s">
        <v>3011</v>
      </c>
      <c r="M2779" t="s">
        <v>3017</v>
      </c>
      <c r="N2779">
        <v>1</v>
      </c>
      <c r="O2779">
        <v>2020</v>
      </c>
      <c r="P2779">
        <v>1731.489886065903</v>
      </c>
      <c r="Q2779">
        <v>5.1893066468841136</v>
      </c>
      <c r="R2779" t="s">
        <v>391</v>
      </c>
      <c r="S2779">
        <v>333.66497759494803</v>
      </c>
      <c r="T2779">
        <v>671</v>
      </c>
      <c r="U2779" t="s">
        <v>392</v>
      </c>
      <c r="V2779">
        <v>1.8743016759776541</v>
      </c>
      <c r="W2779">
        <v>11.625999787885601</v>
      </c>
      <c r="X2779">
        <v>21.895260974855479</v>
      </c>
      <c r="Y2779">
        <v>17</v>
      </c>
      <c r="Z2779">
        <v>0.65</v>
      </c>
      <c r="AA2779">
        <v>1</v>
      </c>
    </row>
    <row r="2780" spans="1:27" x14ac:dyDescent="0.25">
      <c r="A2780" t="s">
        <v>98</v>
      </c>
      <c r="B2780" t="s">
        <v>519</v>
      </c>
      <c r="C2780" t="s">
        <v>1367</v>
      </c>
      <c r="D2780" t="s">
        <v>1707</v>
      </c>
      <c r="E2780" t="s">
        <v>386</v>
      </c>
      <c r="G2780" t="s">
        <v>408</v>
      </c>
      <c r="H2780" t="s">
        <v>125</v>
      </c>
      <c r="I2780">
        <v>2016</v>
      </c>
      <c r="J2780" t="s">
        <v>409</v>
      </c>
      <c r="K2780" t="s">
        <v>127</v>
      </c>
      <c r="L2780" t="s">
        <v>3011</v>
      </c>
      <c r="M2780" t="s">
        <v>3018</v>
      </c>
      <c r="N2780">
        <v>1</v>
      </c>
      <c r="O2780">
        <v>2020</v>
      </c>
      <c r="P2780">
        <v>1890.006565776162</v>
      </c>
      <c r="Q2780">
        <v>5.1893066468841136</v>
      </c>
      <c r="R2780" t="s">
        <v>391</v>
      </c>
      <c r="S2780">
        <v>364.21177131842921</v>
      </c>
      <c r="T2780">
        <v>634.70339999999999</v>
      </c>
      <c r="U2780" t="s">
        <v>392</v>
      </c>
      <c r="V2780">
        <v>1.772914525139665</v>
      </c>
      <c r="W2780">
        <v>11.625999787885601</v>
      </c>
      <c r="X2780">
        <v>21.895260974855479</v>
      </c>
      <c r="Y2780">
        <v>17</v>
      </c>
      <c r="Z2780">
        <v>0.65</v>
      </c>
      <c r="AA2780">
        <v>1</v>
      </c>
    </row>
    <row r="2781" spans="1:27" x14ac:dyDescent="0.25">
      <c r="A2781" t="s">
        <v>98</v>
      </c>
      <c r="B2781" t="s">
        <v>519</v>
      </c>
      <c r="C2781" t="s">
        <v>1367</v>
      </c>
      <c r="D2781" t="s">
        <v>1707</v>
      </c>
      <c r="E2781" t="s">
        <v>386</v>
      </c>
      <c r="G2781" t="s">
        <v>411</v>
      </c>
      <c r="H2781" t="s">
        <v>125</v>
      </c>
      <c r="I2781">
        <v>2016</v>
      </c>
      <c r="J2781" t="s">
        <v>412</v>
      </c>
      <c r="K2781" t="s">
        <v>127</v>
      </c>
      <c r="L2781" t="s">
        <v>3011</v>
      </c>
      <c r="M2781" t="s">
        <v>3019</v>
      </c>
      <c r="N2781">
        <v>1</v>
      </c>
      <c r="O2781">
        <v>2020</v>
      </c>
      <c r="P2781">
        <v>2414.3309678947098</v>
      </c>
      <c r="Q2781">
        <v>5.1893066468841136</v>
      </c>
      <c r="R2781" t="s">
        <v>391</v>
      </c>
      <c r="S2781">
        <v>465.25116594225148</v>
      </c>
      <c r="T2781">
        <v>509</v>
      </c>
      <c r="U2781" t="s">
        <v>392</v>
      </c>
      <c r="V2781">
        <v>1.4217877094972069</v>
      </c>
      <c r="W2781">
        <v>11.625999787885601</v>
      </c>
      <c r="X2781">
        <v>21.895260974855479</v>
      </c>
      <c r="Y2781">
        <v>17</v>
      </c>
      <c r="Z2781">
        <v>0.65</v>
      </c>
      <c r="AA2781">
        <v>1</v>
      </c>
    </row>
    <row r="2782" spans="1:27" x14ac:dyDescent="0.25">
      <c r="A2782" t="s">
        <v>98</v>
      </c>
      <c r="B2782" t="s">
        <v>519</v>
      </c>
      <c r="C2782" t="s">
        <v>1367</v>
      </c>
      <c r="D2782" t="s">
        <v>1707</v>
      </c>
      <c r="E2782" t="s">
        <v>386</v>
      </c>
      <c r="G2782" t="s">
        <v>414</v>
      </c>
      <c r="H2782" t="s">
        <v>125</v>
      </c>
      <c r="I2782">
        <v>2016</v>
      </c>
      <c r="J2782" t="s">
        <v>415</v>
      </c>
      <c r="K2782" t="s">
        <v>127</v>
      </c>
      <c r="L2782" t="s">
        <v>3011</v>
      </c>
      <c r="M2782" t="s">
        <v>3020</v>
      </c>
      <c r="N2782">
        <v>1</v>
      </c>
      <c r="O2782">
        <v>2020</v>
      </c>
      <c r="P2782">
        <v>1255.939846935127</v>
      </c>
      <c r="Q2782">
        <v>5.1893066468841136</v>
      </c>
      <c r="R2782" t="s">
        <v>391</v>
      </c>
      <c r="S2782">
        <v>242.02459642450461</v>
      </c>
      <c r="T2782">
        <v>520.54999999999995</v>
      </c>
      <c r="U2782" t="s">
        <v>392</v>
      </c>
      <c r="V2782">
        <v>1.4540502793296091</v>
      </c>
      <c r="W2782">
        <v>11.625999787885601</v>
      </c>
      <c r="X2782">
        <v>21.895260974855479</v>
      </c>
      <c r="Y2782">
        <v>17</v>
      </c>
      <c r="Z2782">
        <v>0.65</v>
      </c>
      <c r="AA2782">
        <v>1</v>
      </c>
    </row>
    <row r="2783" spans="1:27" x14ac:dyDescent="0.25">
      <c r="A2783" t="s">
        <v>98</v>
      </c>
      <c r="B2783" t="s">
        <v>519</v>
      </c>
      <c r="C2783" t="s">
        <v>1367</v>
      </c>
      <c r="D2783" t="s">
        <v>1707</v>
      </c>
      <c r="E2783" t="s">
        <v>386</v>
      </c>
      <c r="G2783" t="s">
        <v>417</v>
      </c>
      <c r="H2783" t="s">
        <v>125</v>
      </c>
      <c r="I2783">
        <v>2016</v>
      </c>
      <c r="J2783" t="s">
        <v>418</v>
      </c>
      <c r="K2783" t="s">
        <v>127</v>
      </c>
      <c r="L2783" t="s">
        <v>3011</v>
      </c>
      <c r="M2783" t="s">
        <v>3021</v>
      </c>
      <c r="N2783">
        <v>1</v>
      </c>
      <c r="O2783">
        <v>2020</v>
      </c>
      <c r="P2783">
        <v>1365.682163657614</v>
      </c>
      <c r="Q2783">
        <v>5.1893066468841136</v>
      </c>
      <c r="R2783" t="s">
        <v>391</v>
      </c>
      <c r="S2783">
        <v>263.1723766946069</v>
      </c>
      <c r="T2783">
        <v>480</v>
      </c>
      <c r="U2783" t="s">
        <v>392</v>
      </c>
      <c r="V2783">
        <v>1.3407821229050281</v>
      </c>
      <c r="W2783">
        <v>11.625999787885601</v>
      </c>
      <c r="X2783">
        <v>21.895260974855479</v>
      </c>
      <c r="Y2783">
        <v>17</v>
      </c>
      <c r="Z2783">
        <v>0.65</v>
      </c>
      <c r="AA2783">
        <v>1</v>
      </c>
    </row>
    <row r="2784" spans="1:27" x14ac:dyDescent="0.25">
      <c r="A2784" t="s">
        <v>98</v>
      </c>
      <c r="B2784" t="s">
        <v>519</v>
      </c>
      <c r="C2784" t="s">
        <v>1367</v>
      </c>
      <c r="D2784" t="s">
        <v>1707</v>
      </c>
      <c r="E2784" t="s">
        <v>386</v>
      </c>
      <c r="G2784" t="s">
        <v>420</v>
      </c>
      <c r="H2784" t="s">
        <v>125</v>
      </c>
      <c r="I2784">
        <v>2016</v>
      </c>
      <c r="J2784" t="s">
        <v>421</v>
      </c>
      <c r="K2784" t="s">
        <v>127</v>
      </c>
      <c r="L2784" t="s">
        <v>3011</v>
      </c>
      <c r="M2784" t="s">
        <v>3022</v>
      </c>
      <c r="N2784">
        <v>1</v>
      </c>
      <c r="O2784">
        <v>2020</v>
      </c>
      <c r="P2784">
        <v>1414.456526645386</v>
      </c>
      <c r="Q2784">
        <v>5.1893066468841136</v>
      </c>
      <c r="R2784" t="s">
        <v>391</v>
      </c>
      <c r="S2784">
        <v>272.57139014798571</v>
      </c>
      <c r="T2784">
        <v>469</v>
      </c>
      <c r="U2784" t="s">
        <v>392</v>
      </c>
      <c r="V2784">
        <v>1.310055865921788</v>
      </c>
      <c r="W2784">
        <v>11.625999787885601</v>
      </c>
      <c r="X2784">
        <v>21.895260974855479</v>
      </c>
      <c r="Y2784">
        <v>17</v>
      </c>
      <c r="Z2784">
        <v>0.65</v>
      </c>
      <c r="AA2784">
        <v>1</v>
      </c>
    </row>
    <row r="2785" spans="1:27" x14ac:dyDescent="0.25">
      <c r="A2785" t="s">
        <v>98</v>
      </c>
      <c r="B2785" t="s">
        <v>519</v>
      </c>
      <c r="C2785" t="s">
        <v>1367</v>
      </c>
      <c r="D2785" t="s">
        <v>1707</v>
      </c>
      <c r="E2785" t="s">
        <v>386</v>
      </c>
      <c r="G2785" t="s">
        <v>423</v>
      </c>
      <c r="H2785" t="s">
        <v>125</v>
      </c>
      <c r="I2785">
        <v>2016</v>
      </c>
      <c r="J2785" t="s">
        <v>424</v>
      </c>
      <c r="K2785" t="s">
        <v>127</v>
      </c>
      <c r="L2785" t="s">
        <v>3011</v>
      </c>
      <c r="M2785" t="s">
        <v>3023</v>
      </c>
      <c r="N2785">
        <v>1</v>
      </c>
      <c r="O2785">
        <v>2020</v>
      </c>
      <c r="P2785">
        <v>1414.456526645386</v>
      </c>
      <c r="Q2785">
        <v>5.1893066468841136</v>
      </c>
      <c r="R2785" t="s">
        <v>391</v>
      </c>
      <c r="S2785">
        <v>272.57139014798571</v>
      </c>
      <c r="T2785">
        <v>469</v>
      </c>
      <c r="U2785" t="s">
        <v>392</v>
      </c>
      <c r="V2785">
        <v>1.310055865921788</v>
      </c>
      <c r="W2785">
        <v>11.625999787885601</v>
      </c>
      <c r="X2785">
        <v>21.895260974855479</v>
      </c>
      <c r="Y2785">
        <v>17</v>
      </c>
      <c r="Z2785">
        <v>0.65</v>
      </c>
      <c r="AA2785">
        <v>1</v>
      </c>
    </row>
    <row r="2786" spans="1:27" x14ac:dyDescent="0.25">
      <c r="A2786" t="s">
        <v>98</v>
      </c>
      <c r="B2786" t="s">
        <v>519</v>
      </c>
      <c r="C2786" t="s">
        <v>1367</v>
      </c>
      <c r="D2786" t="s">
        <v>1707</v>
      </c>
      <c r="E2786" t="s">
        <v>426</v>
      </c>
      <c r="G2786" t="s">
        <v>427</v>
      </c>
      <c r="H2786" t="s">
        <v>125</v>
      </c>
      <c r="I2786">
        <v>2016</v>
      </c>
      <c r="J2786" t="s">
        <v>428</v>
      </c>
      <c r="K2786" t="s">
        <v>127</v>
      </c>
      <c r="L2786" t="s">
        <v>3024</v>
      </c>
      <c r="M2786" t="s">
        <v>3025</v>
      </c>
      <c r="N2786">
        <v>1</v>
      </c>
      <c r="O2786">
        <v>2020</v>
      </c>
      <c r="P2786">
        <v>609.67953734714899</v>
      </c>
      <c r="Q2786">
        <v>0.7595291822898359</v>
      </c>
      <c r="R2786" t="s">
        <v>391</v>
      </c>
      <c r="S2786">
        <v>802.70719224912625</v>
      </c>
      <c r="T2786">
        <v>300.25599999999997</v>
      </c>
      <c r="U2786" t="s">
        <v>392</v>
      </c>
      <c r="V2786">
        <v>1.0918399999999999</v>
      </c>
      <c r="W2786">
        <v>16.5973520403479</v>
      </c>
      <c r="X2786">
        <v>27.331519839424129</v>
      </c>
      <c r="Y2786">
        <v>22</v>
      </c>
      <c r="Z2786">
        <v>0.65</v>
      </c>
      <c r="AA2786">
        <v>1</v>
      </c>
    </row>
    <row r="2787" spans="1:27" x14ac:dyDescent="0.25">
      <c r="A2787" t="s">
        <v>98</v>
      </c>
      <c r="B2787" t="s">
        <v>519</v>
      </c>
      <c r="C2787" t="s">
        <v>1367</v>
      </c>
      <c r="D2787" t="s">
        <v>1707</v>
      </c>
      <c r="E2787" t="s">
        <v>426</v>
      </c>
      <c r="G2787" t="s">
        <v>431</v>
      </c>
      <c r="H2787" t="s">
        <v>125</v>
      </c>
      <c r="I2787">
        <v>2016</v>
      </c>
      <c r="J2787" t="s">
        <v>432</v>
      </c>
      <c r="K2787" t="s">
        <v>127</v>
      </c>
      <c r="L2787" t="s">
        <v>3024</v>
      </c>
      <c r="M2787" t="s">
        <v>3026</v>
      </c>
      <c r="N2787">
        <v>1</v>
      </c>
      <c r="O2787">
        <v>2020</v>
      </c>
      <c r="P2787">
        <v>609.67953734714899</v>
      </c>
      <c r="Q2787">
        <v>0.7595291822898359</v>
      </c>
      <c r="R2787" t="s">
        <v>391</v>
      </c>
      <c r="S2787">
        <v>802.70719224912625</v>
      </c>
      <c r="T2787">
        <v>297</v>
      </c>
      <c r="U2787" t="s">
        <v>392</v>
      </c>
      <c r="V2787">
        <v>1.08</v>
      </c>
      <c r="W2787">
        <v>16.5973520403479</v>
      </c>
      <c r="X2787">
        <v>27.331519839424129</v>
      </c>
      <c r="Y2787">
        <v>22</v>
      </c>
      <c r="Z2787">
        <v>0.65</v>
      </c>
      <c r="AA2787">
        <v>1</v>
      </c>
    </row>
    <row r="2788" spans="1:27" x14ac:dyDescent="0.25">
      <c r="A2788" t="s">
        <v>98</v>
      </c>
      <c r="B2788" t="s">
        <v>519</v>
      </c>
      <c r="C2788" t="s">
        <v>1367</v>
      </c>
      <c r="D2788" t="s">
        <v>1707</v>
      </c>
      <c r="E2788" t="s">
        <v>426</v>
      </c>
      <c r="G2788" t="s">
        <v>434</v>
      </c>
      <c r="H2788" t="s">
        <v>125</v>
      </c>
      <c r="I2788">
        <v>2016</v>
      </c>
      <c r="J2788" t="s">
        <v>435</v>
      </c>
      <c r="K2788" t="s">
        <v>127</v>
      </c>
      <c r="L2788" t="s">
        <v>3024</v>
      </c>
      <c r="M2788" t="s">
        <v>3027</v>
      </c>
      <c r="N2788">
        <v>1</v>
      </c>
      <c r="O2788">
        <v>2020</v>
      </c>
      <c r="P2788">
        <v>670.6474910818639</v>
      </c>
      <c r="Q2788">
        <v>0.7595291822898359</v>
      </c>
      <c r="R2788" t="s">
        <v>391</v>
      </c>
      <c r="S2788">
        <v>882.97791147403893</v>
      </c>
      <c r="T2788">
        <v>277</v>
      </c>
      <c r="U2788" t="s">
        <v>392</v>
      </c>
      <c r="V2788">
        <v>1.0072727272727271</v>
      </c>
      <c r="W2788">
        <v>16.5973520403479</v>
      </c>
      <c r="X2788">
        <v>27.331519839424129</v>
      </c>
      <c r="Y2788">
        <v>22</v>
      </c>
      <c r="Z2788">
        <v>0.65</v>
      </c>
      <c r="AA2788">
        <v>1</v>
      </c>
    </row>
    <row r="2789" spans="1:27" x14ac:dyDescent="0.25">
      <c r="A2789" t="s">
        <v>98</v>
      </c>
      <c r="B2789" t="s">
        <v>519</v>
      </c>
      <c r="C2789" t="s">
        <v>1367</v>
      </c>
      <c r="D2789" t="s">
        <v>1707</v>
      </c>
      <c r="E2789" t="s">
        <v>426</v>
      </c>
      <c r="G2789" t="s">
        <v>437</v>
      </c>
      <c r="H2789" t="s">
        <v>125</v>
      </c>
      <c r="I2789">
        <v>2016</v>
      </c>
      <c r="J2789" t="s">
        <v>438</v>
      </c>
      <c r="K2789" t="s">
        <v>127</v>
      </c>
      <c r="L2789" t="s">
        <v>3024</v>
      </c>
      <c r="M2789" t="s">
        <v>3028</v>
      </c>
      <c r="N2789">
        <v>1</v>
      </c>
      <c r="O2789">
        <v>2020</v>
      </c>
      <c r="P2789">
        <v>658.45390033492083</v>
      </c>
      <c r="Q2789">
        <v>0.7595291822898359</v>
      </c>
      <c r="R2789" t="s">
        <v>391</v>
      </c>
      <c r="S2789">
        <v>866.92376762905633</v>
      </c>
      <c r="T2789">
        <v>275</v>
      </c>
      <c r="U2789" t="s">
        <v>392</v>
      </c>
      <c r="V2789">
        <v>1</v>
      </c>
      <c r="W2789">
        <v>16.5973520403479</v>
      </c>
      <c r="X2789">
        <v>27.331519839424129</v>
      </c>
      <c r="Y2789">
        <v>22</v>
      </c>
      <c r="Z2789">
        <v>0.65</v>
      </c>
      <c r="AA2789">
        <v>1</v>
      </c>
    </row>
    <row r="2790" spans="1:27" x14ac:dyDescent="0.25">
      <c r="A2790" t="s">
        <v>98</v>
      </c>
      <c r="B2790" t="s">
        <v>519</v>
      </c>
      <c r="C2790" t="s">
        <v>1367</v>
      </c>
      <c r="D2790" t="s">
        <v>1707</v>
      </c>
      <c r="E2790" t="s">
        <v>426</v>
      </c>
      <c r="G2790" t="s">
        <v>440</v>
      </c>
      <c r="H2790" t="s">
        <v>125</v>
      </c>
      <c r="I2790">
        <v>2016</v>
      </c>
      <c r="J2790" t="s">
        <v>441</v>
      </c>
      <c r="K2790" t="s">
        <v>127</v>
      </c>
      <c r="L2790" t="s">
        <v>3024</v>
      </c>
      <c r="M2790" t="s">
        <v>3029</v>
      </c>
      <c r="N2790">
        <v>1</v>
      </c>
      <c r="O2790">
        <v>2020</v>
      </c>
      <c r="P2790">
        <v>841.35776153906556</v>
      </c>
      <c r="Q2790">
        <v>0.7595291822898359</v>
      </c>
      <c r="R2790" t="s">
        <v>391</v>
      </c>
      <c r="S2790">
        <v>1107.7359253037939</v>
      </c>
      <c r="T2790">
        <v>477.41800000000001</v>
      </c>
      <c r="U2790" t="s">
        <v>392</v>
      </c>
      <c r="V2790">
        <v>1.736065454545455</v>
      </c>
      <c r="W2790">
        <v>16.5973520403479</v>
      </c>
      <c r="X2790">
        <v>27.331519839424129</v>
      </c>
      <c r="Y2790">
        <v>22</v>
      </c>
      <c r="Z2790">
        <v>0.65</v>
      </c>
      <c r="AA2790">
        <v>1</v>
      </c>
    </row>
    <row r="2791" spans="1:27" x14ac:dyDescent="0.25">
      <c r="A2791" t="s">
        <v>98</v>
      </c>
      <c r="B2791" t="s">
        <v>519</v>
      </c>
      <c r="C2791" t="s">
        <v>1367</v>
      </c>
      <c r="D2791" t="s">
        <v>1707</v>
      </c>
      <c r="E2791" t="s">
        <v>426</v>
      </c>
      <c r="G2791" t="s">
        <v>443</v>
      </c>
      <c r="H2791" t="s">
        <v>125</v>
      </c>
      <c r="I2791">
        <v>2016</v>
      </c>
      <c r="J2791" t="s">
        <v>444</v>
      </c>
      <c r="K2791" t="s">
        <v>127</v>
      </c>
      <c r="L2791" t="s">
        <v>3024</v>
      </c>
      <c r="M2791" t="s">
        <v>3030</v>
      </c>
      <c r="N2791">
        <v>1</v>
      </c>
      <c r="O2791">
        <v>2020</v>
      </c>
      <c r="P2791">
        <v>914.51930602072343</v>
      </c>
      <c r="Q2791">
        <v>0.7595291822898359</v>
      </c>
      <c r="R2791" t="s">
        <v>391</v>
      </c>
      <c r="S2791">
        <v>1204.0607883736891</v>
      </c>
      <c r="T2791">
        <v>446</v>
      </c>
      <c r="U2791" t="s">
        <v>392</v>
      </c>
      <c r="V2791">
        <v>1.621818181818182</v>
      </c>
      <c r="W2791">
        <v>16.5973520403479</v>
      </c>
      <c r="X2791">
        <v>27.331519839424129</v>
      </c>
      <c r="Y2791">
        <v>22</v>
      </c>
      <c r="Z2791">
        <v>0.65</v>
      </c>
      <c r="AA2791">
        <v>1</v>
      </c>
    </row>
    <row r="2792" spans="1:27" x14ac:dyDescent="0.25">
      <c r="A2792" t="s">
        <v>98</v>
      </c>
      <c r="B2792" t="s">
        <v>519</v>
      </c>
      <c r="C2792" t="s">
        <v>1367</v>
      </c>
      <c r="D2792" t="s">
        <v>1707</v>
      </c>
      <c r="E2792" t="s">
        <v>426</v>
      </c>
      <c r="G2792" t="s">
        <v>446</v>
      </c>
      <c r="H2792" t="s">
        <v>125</v>
      </c>
      <c r="I2792">
        <v>2016</v>
      </c>
      <c r="J2792" t="s">
        <v>447</v>
      </c>
      <c r="K2792" t="s">
        <v>127</v>
      </c>
      <c r="L2792" t="s">
        <v>3024</v>
      </c>
      <c r="M2792" t="s">
        <v>3031</v>
      </c>
      <c r="N2792">
        <v>1</v>
      </c>
      <c r="O2792">
        <v>2020</v>
      </c>
      <c r="P2792">
        <v>963.29366900849539</v>
      </c>
      <c r="Q2792">
        <v>0.7595291822898359</v>
      </c>
      <c r="R2792" t="s">
        <v>391</v>
      </c>
      <c r="S2792">
        <v>1268.27736375362</v>
      </c>
      <c r="T2792">
        <v>429.67619999999999</v>
      </c>
      <c r="U2792" t="s">
        <v>392</v>
      </c>
      <c r="V2792">
        <v>1.5624589090909089</v>
      </c>
      <c r="W2792">
        <v>16.5973520403479</v>
      </c>
      <c r="X2792">
        <v>27.331519839424129</v>
      </c>
      <c r="Y2792">
        <v>22</v>
      </c>
      <c r="Z2792">
        <v>0.65</v>
      </c>
      <c r="AA2792">
        <v>1</v>
      </c>
    </row>
    <row r="2793" spans="1:27" x14ac:dyDescent="0.25">
      <c r="A2793" t="s">
        <v>98</v>
      </c>
      <c r="B2793" t="s">
        <v>519</v>
      </c>
      <c r="C2793" t="s">
        <v>1367</v>
      </c>
      <c r="D2793" t="s">
        <v>1707</v>
      </c>
      <c r="E2793" t="s">
        <v>426</v>
      </c>
      <c r="G2793" t="s">
        <v>449</v>
      </c>
      <c r="H2793" t="s">
        <v>125</v>
      </c>
      <c r="I2793">
        <v>2016</v>
      </c>
      <c r="J2793" t="s">
        <v>450</v>
      </c>
      <c r="K2793" t="s">
        <v>127</v>
      </c>
      <c r="L2793" t="s">
        <v>3024</v>
      </c>
      <c r="M2793" t="s">
        <v>3032</v>
      </c>
      <c r="N2793">
        <v>1</v>
      </c>
      <c r="O2793">
        <v>2020</v>
      </c>
      <c r="P2793">
        <v>987.6808505023813</v>
      </c>
      <c r="Q2793">
        <v>0.7595291822898359</v>
      </c>
      <c r="R2793" t="s">
        <v>391</v>
      </c>
      <c r="S2793">
        <v>1300.385651443584</v>
      </c>
      <c r="T2793">
        <v>419</v>
      </c>
      <c r="U2793" t="s">
        <v>392</v>
      </c>
      <c r="V2793">
        <v>1.5236363636363639</v>
      </c>
      <c r="W2793">
        <v>16.5973520403479</v>
      </c>
      <c r="X2793">
        <v>27.331519839424129</v>
      </c>
      <c r="Y2793">
        <v>22</v>
      </c>
      <c r="Z2793">
        <v>0.65</v>
      </c>
      <c r="AA2793">
        <v>1</v>
      </c>
    </row>
    <row r="2794" spans="1:27" x14ac:dyDescent="0.25">
      <c r="A2794" t="s">
        <v>98</v>
      </c>
      <c r="B2794" t="s">
        <v>519</v>
      </c>
      <c r="C2794" t="s">
        <v>1367</v>
      </c>
      <c r="D2794" t="s">
        <v>1707</v>
      </c>
      <c r="E2794" t="s">
        <v>452</v>
      </c>
      <c r="G2794" t="s">
        <v>111</v>
      </c>
      <c r="H2794" t="s">
        <v>104</v>
      </c>
      <c r="I2794">
        <v>2016</v>
      </c>
      <c r="J2794" t="s">
        <v>453</v>
      </c>
      <c r="K2794" t="s">
        <v>106</v>
      </c>
      <c r="L2794" t="s">
        <v>3033</v>
      </c>
      <c r="M2794" t="s">
        <v>3034</v>
      </c>
      <c r="N2794">
        <v>1</v>
      </c>
      <c r="O2794">
        <v>2020</v>
      </c>
      <c r="P2794">
        <v>451.16285763689018</v>
      </c>
      <c r="Q2794">
        <v>26.4248842618948</v>
      </c>
      <c r="R2794" t="s">
        <v>391</v>
      </c>
      <c r="S2794">
        <v>17.073409032389819</v>
      </c>
      <c r="T2794">
        <v>0.45</v>
      </c>
      <c r="U2794" t="s">
        <v>456</v>
      </c>
      <c r="V2794">
        <v>0.45</v>
      </c>
      <c r="W2794">
        <v>9</v>
      </c>
      <c r="X2794">
        <v>15</v>
      </c>
      <c r="Y2794">
        <v>13</v>
      </c>
      <c r="Z2794">
        <v>9.0000000000000011E-2</v>
      </c>
      <c r="AA2794">
        <v>1</v>
      </c>
    </row>
    <row r="2795" spans="1:27" x14ac:dyDescent="0.25">
      <c r="A2795" t="s">
        <v>98</v>
      </c>
      <c r="B2795" t="s">
        <v>519</v>
      </c>
      <c r="C2795" t="s">
        <v>1367</v>
      </c>
      <c r="D2795" t="s">
        <v>1707</v>
      </c>
      <c r="E2795" t="s">
        <v>452</v>
      </c>
      <c r="G2795" t="s">
        <v>119</v>
      </c>
      <c r="H2795" t="s">
        <v>104</v>
      </c>
      <c r="I2795">
        <v>2016</v>
      </c>
      <c r="J2795" t="s">
        <v>457</v>
      </c>
      <c r="K2795" t="s">
        <v>106</v>
      </c>
      <c r="L2795" t="s">
        <v>3033</v>
      </c>
      <c r="M2795" t="s">
        <v>3035</v>
      </c>
      <c r="N2795">
        <v>1</v>
      </c>
      <c r="O2795">
        <v>2020</v>
      </c>
      <c r="P2795">
        <v>521.3437466026287</v>
      </c>
      <c r="Q2795">
        <v>26.4248842618948</v>
      </c>
      <c r="R2795" t="s">
        <v>391</v>
      </c>
      <c r="S2795">
        <v>19.729272659650459</v>
      </c>
      <c r="T2795">
        <v>0.52</v>
      </c>
      <c r="U2795" t="s">
        <v>456</v>
      </c>
      <c r="V2795">
        <v>0.52</v>
      </c>
      <c r="W2795">
        <v>9</v>
      </c>
      <c r="X2795">
        <v>15</v>
      </c>
      <c r="Y2795">
        <v>13</v>
      </c>
      <c r="Z2795">
        <v>9.0000000000000011E-2</v>
      </c>
      <c r="AA2795">
        <v>1</v>
      </c>
    </row>
    <row r="2796" spans="1:27" x14ac:dyDescent="0.25">
      <c r="A2796" t="s">
        <v>98</v>
      </c>
      <c r="B2796" t="s">
        <v>519</v>
      </c>
      <c r="C2796" t="s">
        <v>1367</v>
      </c>
      <c r="D2796" t="s">
        <v>1707</v>
      </c>
      <c r="E2796" t="s">
        <v>452</v>
      </c>
      <c r="G2796" t="s">
        <v>111</v>
      </c>
      <c r="H2796" t="s">
        <v>156</v>
      </c>
      <c r="I2796">
        <v>2016</v>
      </c>
      <c r="J2796" t="s">
        <v>459</v>
      </c>
      <c r="K2796" t="s">
        <v>158</v>
      </c>
      <c r="L2796" t="s">
        <v>3033</v>
      </c>
      <c r="M2796" t="s">
        <v>3036</v>
      </c>
      <c r="N2796">
        <v>1</v>
      </c>
      <c r="O2796">
        <v>2020</v>
      </c>
      <c r="P2796">
        <v>451.16285763689018</v>
      </c>
      <c r="Q2796">
        <v>26.4248842618948</v>
      </c>
      <c r="R2796" t="s">
        <v>391</v>
      </c>
      <c r="S2796">
        <v>17.073409032389819</v>
      </c>
      <c r="T2796">
        <v>0.45</v>
      </c>
      <c r="U2796" t="s">
        <v>456</v>
      </c>
      <c r="V2796">
        <v>0.45</v>
      </c>
      <c r="W2796">
        <v>9</v>
      </c>
      <c r="X2796">
        <v>15</v>
      </c>
      <c r="Y2796">
        <v>13</v>
      </c>
      <c r="Z2796">
        <v>9.0000000000000011E-2</v>
      </c>
      <c r="AA2796">
        <v>1</v>
      </c>
    </row>
    <row r="2797" spans="1:27" x14ac:dyDescent="0.25">
      <c r="A2797" t="s">
        <v>98</v>
      </c>
      <c r="B2797" t="s">
        <v>519</v>
      </c>
      <c r="C2797" t="s">
        <v>1367</v>
      </c>
      <c r="D2797" t="s">
        <v>1707</v>
      </c>
      <c r="E2797" t="s">
        <v>452</v>
      </c>
      <c r="G2797" t="s">
        <v>119</v>
      </c>
      <c r="H2797" t="s">
        <v>156</v>
      </c>
      <c r="I2797">
        <v>2016</v>
      </c>
      <c r="J2797" t="s">
        <v>461</v>
      </c>
      <c r="K2797" t="s">
        <v>158</v>
      </c>
      <c r="L2797" t="s">
        <v>3033</v>
      </c>
      <c r="M2797" t="s">
        <v>3037</v>
      </c>
      <c r="N2797">
        <v>1</v>
      </c>
      <c r="O2797">
        <v>2020</v>
      </c>
      <c r="P2797">
        <v>521.3437466026287</v>
      </c>
      <c r="Q2797">
        <v>26.4248842618948</v>
      </c>
      <c r="R2797" t="s">
        <v>391</v>
      </c>
      <c r="S2797">
        <v>19.729272659650459</v>
      </c>
      <c r="T2797">
        <v>0.52</v>
      </c>
      <c r="U2797" t="s">
        <v>456</v>
      </c>
      <c r="V2797">
        <v>0.52</v>
      </c>
      <c r="W2797">
        <v>9</v>
      </c>
      <c r="X2797">
        <v>15</v>
      </c>
      <c r="Y2797">
        <v>13</v>
      </c>
      <c r="Z2797">
        <v>9.0000000000000011E-2</v>
      </c>
      <c r="AA2797">
        <v>1</v>
      </c>
    </row>
    <row r="2798" spans="1:27" x14ac:dyDescent="0.25">
      <c r="A2798" t="s">
        <v>98</v>
      </c>
      <c r="B2798" t="s">
        <v>519</v>
      </c>
      <c r="C2798" t="s">
        <v>1367</v>
      </c>
      <c r="D2798" t="s">
        <v>1707</v>
      </c>
      <c r="E2798" t="s">
        <v>452</v>
      </c>
      <c r="G2798" t="s">
        <v>111</v>
      </c>
      <c r="H2798" t="s">
        <v>125</v>
      </c>
      <c r="I2798">
        <v>2016</v>
      </c>
      <c r="J2798" t="s">
        <v>463</v>
      </c>
      <c r="K2798" t="s">
        <v>127</v>
      </c>
      <c r="L2798" t="s">
        <v>3033</v>
      </c>
      <c r="M2798" t="s">
        <v>3038</v>
      </c>
      <c r="N2798">
        <v>1</v>
      </c>
      <c r="O2798">
        <v>2020</v>
      </c>
      <c r="P2798">
        <v>938.90648751460947</v>
      </c>
      <c r="Q2798">
        <v>26.4248842618948</v>
      </c>
      <c r="R2798" t="s">
        <v>391</v>
      </c>
      <c r="S2798">
        <v>35.531148526865302</v>
      </c>
      <c r="T2798">
        <v>228.0913607809874</v>
      </c>
      <c r="U2798" t="s">
        <v>392</v>
      </c>
      <c r="V2798">
        <v>0.9</v>
      </c>
      <c r="W2798">
        <v>10</v>
      </c>
      <c r="X2798">
        <v>20</v>
      </c>
      <c r="Y2798">
        <v>16</v>
      </c>
      <c r="Z2798">
        <v>9.0000000000000011E-2</v>
      </c>
      <c r="AA2798">
        <v>1</v>
      </c>
    </row>
    <row r="2799" spans="1:27" x14ac:dyDescent="0.25">
      <c r="A2799" t="s">
        <v>98</v>
      </c>
      <c r="B2799" t="s">
        <v>519</v>
      </c>
      <c r="C2799" t="s">
        <v>1367</v>
      </c>
      <c r="D2799" t="s">
        <v>1707</v>
      </c>
      <c r="E2799" t="s">
        <v>465</v>
      </c>
      <c r="G2799" t="s">
        <v>466</v>
      </c>
      <c r="H2799" t="s">
        <v>125</v>
      </c>
      <c r="I2799">
        <v>2030</v>
      </c>
      <c r="J2799" t="s">
        <v>467</v>
      </c>
      <c r="K2799" t="s">
        <v>127</v>
      </c>
      <c r="L2799" t="s">
        <v>3039</v>
      </c>
      <c r="M2799" t="s">
        <v>3040</v>
      </c>
      <c r="N2799">
        <v>1</v>
      </c>
      <c r="O2799">
        <v>2030</v>
      </c>
      <c r="P2799">
        <v>1646.1347508373019</v>
      </c>
      <c r="Q2799">
        <v>11.87275774201475</v>
      </c>
      <c r="R2799" t="s">
        <v>391</v>
      </c>
      <c r="S2799">
        <v>138.6480535193638</v>
      </c>
      <c r="T2799">
        <v>0.28000000000000003</v>
      </c>
      <c r="U2799" t="s">
        <v>470</v>
      </c>
      <c r="V2799">
        <v>2.333333333333333</v>
      </c>
      <c r="W2799">
        <v>6</v>
      </c>
      <c r="X2799">
        <v>17</v>
      </c>
      <c r="Y2799">
        <v>12</v>
      </c>
      <c r="Z2799">
        <v>0.02</v>
      </c>
      <c r="AA2799">
        <v>1</v>
      </c>
    </row>
    <row r="2800" spans="1:27" x14ac:dyDescent="0.25">
      <c r="A2800" t="s">
        <v>98</v>
      </c>
      <c r="B2800" t="s">
        <v>519</v>
      </c>
      <c r="C2800" t="s">
        <v>1367</v>
      </c>
      <c r="D2800" t="s">
        <v>1707</v>
      </c>
      <c r="E2800" t="s">
        <v>465</v>
      </c>
      <c r="G2800" t="s">
        <v>471</v>
      </c>
      <c r="H2800" t="s">
        <v>125</v>
      </c>
      <c r="I2800">
        <v>2016</v>
      </c>
      <c r="J2800" t="s">
        <v>472</v>
      </c>
      <c r="K2800" t="s">
        <v>127</v>
      </c>
      <c r="L2800" t="s">
        <v>3039</v>
      </c>
      <c r="M2800" t="s">
        <v>3041</v>
      </c>
      <c r="N2800">
        <v>1</v>
      </c>
      <c r="O2800">
        <v>2020</v>
      </c>
      <c r="P2800">
        <v>792.58339855129361</v>
      </c>
      <c r="Q2800">
        <v>11.87275774201475</v>
      </c>
      <c r="R2800" t="s">
        <v>391</v>
      </c>
      <c r="S2800">
        <v>66.756470213027001</v>
      </c>
      <c r="T2800">
        <v>0.26</v>
      </c>
      <c r="U2800" t="s">
        <v>470</v>
      </c>
      <c r="V2800">
        <v>2.166666666666667</v>
      </c>
      <c r="W2800">
        <v>6</v>
      </c>
      <c r="X2800">
        <v>17</v>
      </c>
      <c r="Y2800">
        <v>12</v>
      </c>
      <c r="Z2800">
        <v>0.02</v>
      </c>
      <c r="AA2800">
        <v>1</v>
      </c>
    </row>
    <row r="2801" spans="1:27" x14ac:dyDescent="0.25">
      <c r="A2801" t="s">
        <v>98</v>
      </c>
      <c r="B2801" t="s">
        <v>519</v>
      </c>
      <c r="C2801" t="s">
        <v>1367</v>
      </c>
      <c r="D2801" t="s">
        <v>1707</v>
      </c>
      <c r="E2801" t="s">
        <v>465</v>
      </c>
      <c r="G2801" t="s">
        <v>474</v>
      </c>
      <c r="H2801" t="s">
        <v>125</v>
      </c>
      <c r="I2801">
        <v>2016</v>
      </c>
      <c r="J2801" t="s">
        <v>475</v>
      </c>
      <c r="K2801" t="s">
        <v>127</v>
      </c>
      <c r="L2801" t="s">
        <v>3039</v>
      </c>
      <c r="M2801" t="s">
        <v>3042</v>
      </c>
      <c r="N2801">
        <v>0</v>
      </c>
      <c r="O2801">
        <v>2020</v>
      </c>
      <c r="P2801">
        <v>792.58339855129361</v>
      </c>
      <c r="Q2801">
        <v>11.87275774201475</v>
      </c>
      <c r="R2801" t="s">
        <v>391</v>
      </c>
      <c r="S2801">
        <v>66.756470213027001</v>
      </c>
      <c r="T2801">
        <v>0.26</v>
      </c>
      <c r="U2801" t="s">
        <v>470</v>
      </c>
      <c r="V2801">
        <v>2.166666666666667</v>
      </c>
      <c r="W2801">
        <v>6</v>
      </c>
      <c r="X2801">
        <v>17</v>
      </c>
      <c r="Y2801">
        <v>12</v>
      </c>
      <c r="Z2801">
        <v>0.02</v>
      </c>
      <c r="AA2801">
        <v>1</v>
      </c>
    </row>
    <row r="2802" spans="1:27" x14ac:dyDescent="0.25">
      <c r="A2802" t="s">
        <v>98</v>
      </c>
      <c r="B2802" t="s">
        <v>519</v>
      </c>
      <c r="C2802" t="s">
        <v>1367</v>
      </c>
      <c r="D2802" t="s">
        <v>1707</v>
      </c>
      <c r="E2802" t="s">
        <v>465</v>
      </c>
      <c r="G2802" t="s">
        <v>474</v>
      </c>
      <c r="H2802" t="s">
        <v>125</v>
      </c>
      <c r="I2802">
        <v>2020</v>
      </c>
      <c r="J2802" t="s">
        <v>477</v>
      </c>
      <c r="K2802" t="s">
        <v>127</v>
      </c>
      <c r="L2802" t="s">
        <v>3039</v>
      </c>
      <c r="M2802" t="s">
        <v>3042</v>
      </c>
      <c r="N2802">
        <v>1</v>
      </c>
      <c r="O2802">
        <v>2020</v>
      </c>
      <c r="P2802">
        <v>914.51930602072343</v>
      </c>
      <c r="Q2802">
        <v>11.87275774201475</v>
      </c>
      <c r="R2802" t="s">
        <v>391</v>
      </c>
      <c r="S2802">
        <v>77.026696399646539</v>
      </c>
      <c r="T2802">
        <v>0.24</v>
      </c>
      <c r="U2802" t="s">
        <v>470</v>
      </c>
      <c r="V2802">
        <v>2</v>
      </c>
      <c r="W2802">
        <v>6</v>
      </c>
      <c r="X2802">
        <v>17</v>
      </c>
      <c r="Y2802">
        <v>12</v>
      </c>
      <c r="Z2802">
        <v>0.02</v>
      </c>
      <c r="AA2802">
        <v>1</v>
      </c>
    </row>
    <row r="2803" spans="1:27" x14ac:dyDescent="0.25">
      <c r="A2803" t="s">
        <v>98</v>
      </c>
      <c r="B2803" t="s">
        <v>519</v>
      </c>
      <c r="C2803" t="s">
        <v>1367</v>
      </c>
      <c r="D2803" t="s">
        <v>1707</v>
      </c>
      <c r="E2803" t="s">
        <v>465</v>
      </c>
      <c r="G2803" t="s">
        <v>478</v>
      </c>
      <c r="H2803" t="s">
        <v>125</v>
      </c>
      <c r="I2803">
        <v>2016</v>
      </c>
      <c r="J2803" t="s">
        <v>479</v>
      </c>
      <c r="K2803" t="s">
        <v>127</v>
      </c>
      <c r="L2803" t="s">
        <v>3039</v>
      </c>
      <c r="M2803" t="s">
        <v>3043</v>
      </c>
      <c r="N2803">
        <v>1</v>
      </c>
      <c r="O2803">
        <v>2020</v>
      </c>
      <c r="P2803">
        <v>1158.3911209595831</v>
      </c>
      <c r="Q2803">
        <v>11.87275774201475</v>
      </c>
      <c r="R2803" t="s">
        <v>391</v>
      </c>
      <c r="S2803">
        <v>97.567148772885631</v>
      </c>
      <c r="T2803">
        <v>0.15</v>
      </c>
      <c r="U2803" t="s">
        <v>470</v>
      </c>
      <c r="V2803">
        <v>1.25</v>
      </c>
      <c r="W2803">
        <v>6</v>
      </c>
      <c r="X2803">
        <v>17</v>
      </c>
      <c r="Y2803">
        <v>12</v>
      </c>
      <c r="Z2803">
        <v>0.02</v>
      </c>
      <c r="AA2803">
        <v>1</v>
      </c>
    </row>
    <row r="2804" spans="1:27" x14ac:dyDescent="0.25">
      <c r="A2804" t="s">
        <v>98</v>
      </c>
      <c r="B2804" t="s">
        <v>519</v>
      </c>
      <c r="C2804" t="s">
        <v>1367</v>
      </c>
      <c r="D2804" t="s">
        <v>1707</v>
      </c>
      <c r="E2804" t="s">
        <v>465</v>
      </c>
      <c r="G2804" t="s">
        <v>481</v>
      </c>
      <c r="H2804" t="s">
        <v>125</v>
      </c>
      <c r="I2804">
        <v>2016</v>
      </c>
      <c r="J2804" t="s">
        <v>482</v>
      </c>
      <c r="K2804" t="s">
        <v>127</v>
      </c>
      <c r="L2804" t="s">
        <v>3039</v>
      </c>
      <c r="M2804" t="s">
        <v>3044</v>
      </c>
      <c r="N2804">
        <v>1</v>
      </c>
      <c r="O2804">
        <v>2020</v>
      </c>
      <c r="P2804">
        <v>1371.7789590310849</v>
      </c>
      <c r="Q2804">
        <v>11.87275774201475</v>
      </c>
      <c r="R2804" t="s">
        <v>391</v>
      </c>
      <c r="S2804">
        <v>115.54004459946979</v>
      </c>
      <c r="T2804">
        <v>0.12</v>
      </c>
      <c r="U2804" t="s">
        <v>470</v>
      </c>
      <c r="V2804">
        <v>1</v>
      </c>
      <c r="W2804">
        <v>6</v>
      </c>
      <c r="X2804">
        <v>17</v>
      </c>
      <c r="Y2804">
        <v>12</v>
      </c>
      <c r="Z2804">
        <v>0.02</v>
      </c>
      <c r="AA2804">
        <v>1</v>
      </c>
    </row>
    <row r="2805" spans="1:27" x14ac:dyDescent="0.25">
      <c r="A2805" t="s">
        <v>98</v>
      </c>
      <c r="B2805" t="s">
        <v>519</v>
      </c>
      <c r="C2805" t="s">
        <v>1367</v>
      </c>
      <c r="D2805" t="s">
        <v>1707</v>
      </c>
      <c r="E2805" t="s">
        <v>465</v>
      </c>
      <c r="G2805" t="s">
        <v>484</v>
      </c>
      <c r="H2805" t="s">
        <v>125</v>
      </c>
      <c r="I2805">
        <v>2016</v>
      </c>
      <c r="J2805" t="s">
        <v>485</v>
      </c>
      <c r="K2805" t="s">
        <v>127</v>
      </c>
      <c r="L2805" t="s">
        <v>3039</v>
      </c>
      <c r="M2805" t="s">
        <v>3045</v>
      </c>
      <c r="N2805">
        <v>1</v>
      </c>
      <c r="O2805">
        <v>2020</v>
      </c>
      <c r="P2805">
        <v>1158.3911209595831</v>
      </c>
      <c r="Q2805">
        <v>11.87275774201475</v>
      </c>
      <c r="R2805" t="s">
        <v>391</v>
      </c>
      <c r="S2805">
        <v>97.567148772885631</v>
      </c>
      <c r="T2805">
        <v>0.15</v>
      </c>
      <c r="U2805" t="s">
        <v>470</v>
      </c>
      <c r="V2805">
        <v>1.25</v>
      </c>
      <c r="W2805">
        <v>6</v>
      </c>
      <c r="X2805">
        <v>17</v>
      </c>
      <c r="Y2805">
        <v>12</v>
      </c>
      <c r="Z2805">
        <v>0.02</v>
      </c>
      <c r="AA2805">
        <v>1</v>
      </c>
    </row>
    <row r="2806" spans="1:27" x14ac:dyDescent="0.25">
      <c r="A2806" t="s">
        <v>98</v>
      </c>
      <c r="B2806" t="s">
        <v>519</v>
      </c>
      <c r="C2806" t="s">
        <v>1367</v>
      </c>
      <c r="D2806" t="s">
        <v>1707</v>
      </c>
      <c r="E2806" t="s">
        <v>465</v>
      </c>
      <c r="G2806" t="s">
        <v>487</v>
      </c>
      <c r="H2806" t="s">
        <v>125</v>
      </c>
      <c r="I2806">
        <v>2016</v>
      </c>
      <c r="J2806" t="s">
        <v>488</v>
      </c>
      <c r="K2806" t="s">
        <v>127</v>
      </c>
      <c r="L2806" t="s">
        <v>3039</v>
      </c>
      <c r="M2806" t="s">
        <v>3046</v>
      </c>
      <c r="N2806">
        <v>1</v>
      </c>
      <c r="O2806">
        <v>2020</v>
      </c>
      <c r="P2806">
        <v>1219.359074694298</v>
      </c>
      <c r="Q2806">
        <v>11.87275774201475</v>
      </c>
      <c r="R2806" t="s">
        <v>391</v>
      </c>
      <c r="S2806">
        <v>102.7022618661954</v>
      </c>
      <c r="T2806">
        <v>0.21</v>
      </c>
      <c r="U2806" t="s">
        <v>470</v>
      </c>
      <c r="V2806">
        <v>1.75</v>
      </c>
      <c r="W2806">
        <v>6</v>
      </c>
      <c r="X2806">
        <v>17</v>
      </c>
      <c r="Y2806">
        <v>12</v>
      </c>
      <c r="Z2806">
        <v>0.02</v>
      </c>
      <c r="AA2806">
        <v>1</v>
      </c>
    </row>
    <row r="2807" spans="1:27" x14ac:dyDescent="0.25">
      <c r="A2807" t="s">
        <v>98</v>
      </c>
      <c r="B2807" t="s">
        <v>519</v>
      </c>
      <c r="C2807" t="s">
        <v>1367</v>
      </c>
      <c r="D2807" t="s">
        <v>1707</v>
      </c>
      <c r="E2807" t="s">
        <v>465</v>
      </c>
      <c r="G2807" t="s">
        <v>487</v>
      </c>
      <c r="H2807" t="s">
        <v>125</v>
      </c>
      <c r="I2807">
        <v>2030</v>
      </c>
      <c r="J2807" t="s">
        <v>490</v>
      </c>
      <c r="K2807" t="s">
        <v>127</v>
      </c>
      <c r="L2807" t="s">
        <v>3039</v>
      </c>
      <c r="M2807" t="s">
        <v>3047</v>
      </c>
      <c r="N2807">
        <v>1</v>
      </c>
      <c r="O2807">
        <v>2030</v>
      </c>
      <c r="P2807">
        <v>1280.3270284290129</v>
      </c>
      <c r="Q2807">
        <v>11.87275774201475</v>
      </c>
      <c r="R2807" t="s">
        <v>391</v>
      </c>
      <c r="S2807">
        <v>107.8373749595052</v>
      </c>
      <c r="T2807">
        <v>0.17</v>
      </c>
      <c r="U2807" t="s">
        <v>470</v>
      </c>
      <c r="V2807">
        <v>1.416666666666667</v>
      </c>
      <c r="W2807">
        <v>6</v>
      </c>
      <c r="X2807">
        <v>17</v>
      </c>
      <c r="Y2807">
        <v>12</v>
      </c>
      <c r="Z2807">
        <v>0.02</v>
      </c>
      <c r="AA2807">
        <v>1</v>
      </c>
    </row>
    <row r="2808" spans="1:27" x14ac:dyDescent="0.25">
      <c r="A2808" t="s">
        <v>98</v>
      </c>
      <c r="B2808" t="s">
        <v>519</v>
      </c>
      <c r="C2808" t="s">
        <v>1367</v>
      </c>
      <c r="D2808" t="s">
        <v>1707</v>
      </c>
      <c r="E2808" t="s">
        <v>465</v>
      </c>
      <c r="G2808" t="s">
        <v>492</v>
      </c>
      <c r="H2808" t="s">
        <v>125</v>
      </c>
      <c r="I2808">
        <v>2016</v>
      </c>
      <c r="J2808" t="s">
        <v>493</v>
      </c>
      <c r="K2808" t="s">
        <v>127</v>
      </c>
      <c r="L2808" t="s">
        <v>3039</v>
      </c>
      <c r="M2808" t="s">
        <v>3048</v>
      </c>
      <c r="N2808">
        <v>1</v>
      </c>
      <c r="O2808">
        <v>2020</v>
      </c>
      <c r="P2808">
        <v>1158.3911209595831</v>
      </c>
      <c r="Q2808">
        <v>11.87275774201475</v>
      </c>
      <c r="R2808" t="s">
        <v>391</v>
      </c>
      <c r="S2808">
        <v>97.567148772885631</v>
      </c>
      <c r="T2808">
        <v>0.28999999999999998</v>
      </c>
      <c r="U2808" t="s">
        <v>470</v>
      </c>
      <c r="V2808">
        <v>2.416666666666667</v>
      </c>
      <c r="W2808">
        <v>6</v>
      </c>
      <c r="X2808">
        <v>17</v>
      </c>
      <c r="Y2808">
        <v>12</v>
      </c>
      <c r="Z2808">
        <v>0.02</v>
      </c>
      <c r="AA2808">
        <v>1</v>
      </c>
    </row>
    <row r="2809" spans="1:27" x14ac:dyDescent="0.25">
      <c r="A2809" t="s">
        <v>98</v>
      </c>
      <c r="B2809" t="s">
        <v>519</v>
      </c>
      <c r="C2809" t="s">
        <v>1367</v>
      </c>
      <c r="D2809" t="s">
        <v>1707</v>
      </c>
      <c r="E2809" t="s">
        <v>465</v>
      </c>
      <c r="G2809" t="s">
        <v>466</v>
      </c>
      <c r="H2809" t="s">
        <v>125</v>
      </c>
      <c r="I2809">
        <v>2016</v>
      </c>
      <c r="J2809" t="s">
        <v>495</v>
      </c>
      <c r="K2809" t="s">
        <v>127</v>
      </c>
      <c r="L2809" t="s">
        <v>3039</v>
      </c>
      <c r="M2809" t="s">
        <v>3049</v>
      </c>
      <c r="N2809">
        <v>0</v>
      </c>
      <c r="O2809">
        <v>2020</v>
      </c>
      <c r="P2809">
        <v>1280.3270284290129</v>
      </c>
      <c r="Q2809">
        <v>11.87275774201475</v>
      </c>
      <c r="R2809" t="s">
        <v>391</v>
      </c>
      <c r="S2809">
        <v>107.8373749595052</v>
      </c>
      <c r="T2809">
        <v>0.17</v>
      </c>
      <c r="U2809" t="s">
        <v>470</v>
      </c>
      <c r="V2809">
        <v>1.416666666666667</v>
      </c>
      <c r="W2809">
        <v>6</v>
      </c>
      <c r="X2809">
        <v>17</v>
      </c>
      <c r="Y2809">
        <v>12</v>
      </c>
      <c r="Z2809">
        <v>0.02</v>
      </c>
      <c r="AA2809">
        <v>1</v>
      </c>
    </row>
    <row r="2810" spans="1:27" x14ac:dyDescent="0.25">
      <c r="A2810" t="s">
        <v>98</v>
      </c>
      <c r="B2810" t="s">
        <v>519</v>
      </c>
      <c r="C2810" t="s">
        <v>1367</v>
      </c>
      <c r="D2810" t="s">
        <v>1707</v>
      </c>
      <c r="E2810" t="s">
        <v>465</v>
      </c>
      <c r="G2810" t="s">
        <v>466</v>
      </c>
      <c r="H2810" t="s">
        <v>125</v>
      </c>
      <c r="I2810">
        <v>2020</v>
      </c>
      <c r="J2810" t="s">
        <v>497</v>
      </c>
      <c r="K2810" t="s">
        <v>127</v>
      </c>
      <c r="L2810" t="s">
        <v>3039</v>
      </c>
      <c r="M2810" t="s">
        <v>3049</v>
      </c>
      <c r="N2810">
        <v>1</v>
      </c>
      <c r="O2810">
        <v>2020</v>
      </c>
      <c r="P2810">
        <v>1646.1347508373019</v>
      </c>
      <c r="Q2810">
        <v>11.87275774201475</v>
      </c>
      <c r="R2810" t="s">
        <v>391</v>
      </c>
      <c r="S2810">
        <v>138.6480535193638</v>
      </c>
      <c r="T2810">
        <v>0.28000000000000003</v>
      </c>
      <c r="U2810" t="s">
        <v>470</v>
      </c>
      <c r="V2810">
        <v>2.333333333333333</v>
      </c>
      <c r="W2810">
        <v>6</v>
      </c>
      <c r="X2810">
        <v>17</v>
      </c>
      <c r="Y2810">
        <v>12</v>
      </c>
      <c r="Z2810">
        <v>0.02</v>
      </c>
      <c r="AA2810">
        <v>1</v>
      </c>
    </row>
    <row r="2811" spans="1:27" x14ac:dyDescent="0.25">
      <c r="A2811" t="s">
        <v>98</v>
      </c>
      <c r="B2811" t="s">
        <v>519</v>
      </c>
      <c r="C2811" t="s">
        <v>1367</v>
      </c>
      <c r="D2811" t="s">
        <v>1707</v>
      </c>
      <c r="E2811" t="s">
        <v>498</v>
      </c>
      <c r="G2811" t="s">
        <v>103</v>
      </c>
      <c r="H2811" t="s">
        <v>104</v>
      </c>
      <c r="I2811">
        <v>2016</v>
      </c>
      <c r="J2811" t="s">
        <v>499</v>
      </c>
      <c r="K2811" t="s">
        <v>106</v>
      </c>
      <c r="L2811" t="s">
        <v>3050</v>
      </c>
      <c r="M2811" t="s">
        <v>3051</v>
      </c>
      <c r="N2811">
        <v>1</v>
      </c>
      <c r="O2811">
        <v>2020</v>
      </c>
      <c r="P2811">
        <v>792.58339855129361</v>
      </c>
      <c r="Q2811">
        <v>150.92524263607899</v>
      </c>
      <c r="R2811" t="s">
        <v>391</v>
      </c>
      <c r="S2811">
        <v>5.2514965999585872</v>
      </c>
      <c r="T2811">
        <v>3.3</v>
      </c>
      <c r="U2811" t="s">
        <v>502</v>
      </c>
      <c r="V2811">
        <v>1</v>
      </c>
      <c r="W2811">
        <v>8</v>
      </c>
      <c r="X2811">
        <v>18</v>
      </c>
      <c r="Y2811">
        <v>14</v>
      </c>
      <c r="Z2811">
        <v>0.02</v>
      </c>
      <c r="AA2811">
        <v>1</v>
      </c>
    </row>
    <row r="2812" spans="1:27" x14ac:dyDescent="0.25">
      <c r="A2812" t="s">
        <v>98</v>
      </c>
      <c r="B2812" t="s">
        <v>519</v>
      </c>
      <c r="C2812" t="s">
        <v>1367</v>
      </c>
      <c r="D2812" t="s">
        <v>1707</v>
      </c>
      <c r="E2812" t="s">
        <v>498</v>
      </c>
      <c r="G2812" t="s">
        <v>111</v>
      </c>
      <c r="H2812" t="s">
        <v>104</v>
      </c>
      <c r="I2812">
        <v>2016</v>
      </c>
      <c r="J2812" t="s">
        <v>503</v>
      </c>
      <c r="K2812" t="s">
        <v>106</v>
      </c>
      <c r="L2812" t="s">
        <v>3050</v>
      </c>
      <c r="M2812" t="s">
        <v>3052</v>
      </c>
      <c r="N2812">
        <v>1</v>
      </c>
      <c r="O2812">
        <v>2020</v>
      </c>
      <c r="P2812">
        <v>804.77698929823669</v>
      </c>
      <c r="Q2812">
        <v>150.92524263607899</v>
      </c>
      <c r="R2812" t="s">
        <v>391</v>
      </c>
      <c r="S2812">
        <v>5.3322888553425658</v>
      </c>
      <c r="T2812">
        <v>3.32</v>
      </c>
      <c r="U2812" t="s">
        <v>502</v>
      </c>
      <c r="V2812">
        <v>1.0060606060606061</v>
      </c>
      <c r="W2812">
        <v>8</v>
      </c>
      <c r="X2812">
        <v>18</v>
      </c>
      <c r="Y2812">
        <v>14</v>
      </c>
      <c r="Z2812">
        <v>0.02</v>
      </c>
      <c r="AA2812">
        <v>1</v>
      </c>
    </row>
    <row r="2813" spans="1:27" x14ac:dyDescent="0.25">
      <c r="A2813" t="s">
        <v>98</v>
      </c>
      <c r="B2813" t="s">
        <v>519</v>
      </c>
      <c r="C2813" t="s">
        <v>1367</v>
      </c>
      <c r="D2813" t="s">
        <v>1707</v>
      </c>
      <c r="E2813" t="s">
        <v>498</v>
      </c>
      <c r="G2813" t="s">
        <v>114</v>
      </c>
      <c r="H2813" t="s">
        <v>104</v>
      </c>
      <c r="I2813">
        <v>2016</v>
      </c>
      <c r="J2813" t="s">
        <v>505</v>
      </c>
      <c r="K2813" t="s">
        <v>106</v>
      </c>
      <c r="L2813" t="s">
        <v>3050</v>
      </c>
      <c r="M2813" t="s">
        <v>3053</v>
      </c>
      <c r="N2813">
        <v>1</v>
      </c>
      <c r="O2813">
        <v>2020</v>
      </c>
      <c r="P2813">
        <v>843.56142251742892</v>
      </c>
      <c r="Q2813">
        <v>150.92524263607899</v>
      </c>
      <c r="R2813" t="s">
        <v>391</v>
      </c>
      <c r="S2813">
        <v>5.5892666315036541</v>
      </c>
      <c r="T2813">
        <v>3.48</v>
      </c>
      <c r="U2813" t="s">
        <v>502</v>
      </c>
      <c r="V2813">
        <v>1.0545454545454549</v>
      </c>
      <c r="W2813">
        <v>8</v>
      </c>
      <c r="X2813">
        <v>18</v>
      </c>
      <c r="Y2813">
        <v>14</v>
      </c>
      <c r="Z2813">
        <v>0.02</v>
      </c>
      <c r="AA2813">
        <v>1</v>
      </c>
    </row>
    <row r="2814" spans="1:27" x14ac:dyDescent="0.25">
      <c r="A2814" t="s">
        <v>98</v>
      </c>
      <c r="B2814" t="s">
        <v>519</v>
      </c>
      <c r="C2814" t="s">
        <v>1367</v>
      </c>
      <c r="D2814" t="s">
        <v>1707</v>
      </c>
      <c r="E2814" t="s">
        <v>498</v>
      </c>
      <c r="G2814" t="s">
        <v>119</v>
      </c>
      <c r="H2814" t="s">
        <v>104</v>
      </c>
      <c r="I2814">
        <v>2016</v>
      </c>
      <c r="J2814" t="s">
        <v>507</v>
      </c>
      <c r="K2814" t="s">
        <v>106</v>
      </c>
      <c r="L2814" t="s">
        <v>3050</v>
      </c>
      <c r="M2814" t="s">
        <v>3054</v>
      </c>
      <c r="N2814">
        <v>1</v>
      </c>
      <c r="O2814">
        <v>2020</v>
      </c>
      <c r="P2814">
        <v>938.90648751460947</v>
      </c>
      <c r="Q2814">
        <v>150.92524263607899</v>
      </c>
      <c r="R2814" t="s">
        <v>391</v>
      </c>
      <c r="S2814">
        <v>6.2210036645663269</v>
      </c>
      <c r="T2814">
        <v>3.49</v>
      </c>
      <c r="U2814" t="s">
        <v>502</v>
      </c>
      <c r="V2814">
        <v>1.0575757575757581</v>
      </c>
      <c r="W2814">
        <v>8</v>
      </c>
      <c r="X2814">
        <v>18</v>
      </c>
      <c r="Y2814">
        <v>14</v>
      </c>
      <c r="Z2814">
        <v>0.02</v>
      </c>
      <c r="AA2814">
        <v>1</v>
      </c>
    </row>
    <row r="2815" spans="1:27" x14ac:dyDescent="0.25">
      <c r="A2815" t="s">
        <v>98</v>
      </c>
      <c r="B2815" t="s">
        <v>519</v>
      </c>
      <c r="C2815" t="s">
        <v>1367</v>
      </c>
      <c r="D2815" t="s">
        <v>1707</v>
      </c>
      <c r="E2815" t="s">
        <v>498</v>
      </c>
      <c r="G2815" t="s">
        <v>119</v>
      </c>
      <c r="H2815" t="s">
        <v>104</v>
      </c>
      <c r="I2815">
        <v>2030</v>
      </c>
      <c r="J2815" t="s">
        <v>509</v>
      </c>
      <c r="K2815" t="s">
        <v>106</v>
      </c>
      <c r="L2815" t="s">
        <v>3050</v>
      </c>
      <c r="M2815" t="s">
        <v>3055</v>
      </c>
      <c r="N2815">
        <v>1</v>
      </c>
      <c r="O2815">
        <v>2030</v>
      </c>
      <c r="P2815">
        <v>987.6808505023813</v>
      </c>
      <c r="Q2815">
        <v>150.92524263607899</v>
      </c>
      <c r="R2815" t="s">
        <v>391</v>
      </c>
      <c r="S2815">
        <v>6.5441726861022396</v>
      </c>
      <c r="T2815">
        <v>3.61</v>
      </c>
      <c r="U2815" t="s">
        <v>502</v>
      </c>
      <c r="V2815">
        <v>1.093939393939394</v>
      </c>
      <c r="W2815">
        <v>8</v>
      </c>
      <c r="X2815">
        <v>18</v>
      </c>
      <c r="Y2815">
        <v>14</v>
      </c>
      <c r="Z2815">
        <v>0.02</v>
      </c>
      <c r="AA2815">
        <v>1</v>
      </c>
    </row>
    <row r="2816" spans="1:27" x14ac:dyDescent="0.25">
      <c r="A2816" t="s">
        <v>98</v>
      </c>
      <c r="B2816" t="s">
        <v>519</v>
      </c>
      <c r="C2816" t="s">
        <v>1367</v>
      </c>
      <c r="D2816" t="s">
        <v>1707</v>
      </c>
      <c r="E2816" t="s">
        <v>498</v>
      </c>
      <c r="G2816" t="s">
        <v>103</v>
      </c>
      <c r="H2816" t="s">
        <v>125</v>
      </c>
      <c r="I2816">
        <v>2016</v>
      </c>
      <c r="J2816" t="s">
        <v>511</v>
      </c>
      <c r="K2816" t="s">
        <v>127</v>
      </c>
      <c r="L2816" t="s">
        <v>3050</v>
      </c>
      <c r="M2816" t="s">
        <v>3056</v>
      </c>
      <c r="N2816">
        <v>1</v>
      </c>
      <c r="O2816">
        <v>2020</v>
      </c>
      <c r="P2816">
        <v>646.26030958797787</v>
      </c>
      <c r="Q2816">
        <v>150.92524263607899</v>
      </c>
      <c r="R2816" t="s">
        <v>391</v>
      </c>
      <c r="S2816">
        <v>4.2819895353508484</v>
      </c>
      <c r="T2816">
        <v>3.73</v>
      </c>
      <c r="U2816" t="s">
        <v>502</v>
      </c>
      <c r="V2816">
        <v>1.1303030303030299</v>
      </c>
      <c r="W2816">
        <v>8</v>
      </c>
      <c r="X2816">
        <v>18</v>
      </c>
      <c r="Y2816">
        <v>14</v>
      </c>
      <c r="Z2816">
        <v>0.02</v>
      </c>
      <c r="AA2816">
        <v>1</v>
      </c>
    </row>
    <row r="2817" spans="1:27" x14ac:dyDescent="0.25">
      <c r="A2817" t="s">
        <v>98</v>
      </c>
      <c r="B2817" t="s">
        <v>519</v>
      </c>
      <c r="C2817" t="s">
        <v>1367</v>
      </c>
      <c r="D2817" t="s">
        <v>1707</v>
      </c>
      <c r="E2817" t="s">
        <v>498</v>
      </c>
      <c r="G2817" t="s">
        <v>111</v>
      </c>
      <c r="H2817" t="s">
        <v>125</v>
      </c>
      <c r="I2817">
        <v>2016</v>
      </c>
      <c r="J2817" t="s">
        <v>513</v>
      </c>
      <c r="K2817" t="s">
        <v>127</v>
      </c>
      <c r="L2817" t="s">
        <v>3050</v>
      </c>
      <c r="M2817" t="s">
        <v>3057</v>
      </c>
      <c r="N2817">
        <v>1</v>
      </c>
      <c r="O2817">
        <v>2020</v>
      </c>
      <c r="P2817">
        <v>658.45390033492083</v>
      </c>
      <c r="Q2817">
        <v>150.92524263607899</v>
      </c>
      <c r="R2817" t="s">
        <v>391</v>
      </c>
      <c r="S2817">
        <v>4.3627817907348261</v>
      </c>
      <c r="T2817">
        <v>3.74</v>
      </c>
      <c r="U2817" t="s">
        <v>502</v>
      </c>
      <c r="V2817">
        <v>1.133333333333334</v>
      </c>
      <c r="W2817">
        <v>8</v>
      </c>
      <c r="X2817">
        <v>18</v>
      </c>
      <c r="Y2817">
        <v>14</v>
      </c>
      <c r="Z2817">
        <v>0.02</v>
      </c>
      <c r="AA2817">
        <v>1</v>
      </c>
    </row>
    <row r="2818" spans="1:27" x14ac:dyDescent="0.25">
      <c r="A2818" t="s">
        <v>98</v>
      </c>
      <c r="B2818" t="s">
        <v>519</v>
      </c>
      <c r="C2818" t="s">
        <v>1367</v>
      </c>
      <c r="D2818" t="s">
        <v>1707</v>
      </c>
      <c r="E2818" t="s">
        <v>498</v>
      </c>
      <c r="G2818" t="s">
        <v>114</v>
      </c>
      <c r="H2818" t="s">
        <v>125</v>
      </c>
      <c r="I2818">
        <v>2016</v>
      </c>
      <c r="J2818" t="s">
        <v>515</v>
      </c>
      <c r="K2818" t="s">
        <v>127</v>
      </c>
      <c r="L2818" t="s">
        <v>3050</v>
      </c>
      <c r="M2818" t="s">
        <v>3058</v>
      </c>
      <c r="N2818">
        <v>1</v>
      </c>
      <c r="O2818">
        <v>2020</v>
      </c>
      <c r="P2818">
        <v>691.90476692947561</v>
      </c>
      <c r="Q2818">
        <v>150.92524263607899</v>
      </c>
      <c r="R2818" t="s">
        <v>391</v>
      </c>
      <c r="S2818">
        <v>4.5844204378577178</v>
      </c>
      <c r="T2818">
        <v>3.93</v>
      </c>
      <c r="U2818" t="s">
        <v>502</v>
      </c>
      <c r="V2818">
        <v>1.1909090909090909</v>
      </c>
      <c r="W2818">
        <v>8</v>
      </c>
      <c r="X2818">
        <v>18</v>
      </c>
      <c r="Y2818">
        <v>14</v>
      </c>
      <c r="Z2818">
        <v>0.02</v>
      </c>
      <c r="AA2818">
        <v>1</v>
      </c>
    </row>
    <row r="2819" spans="1:27" x14ac:dyDescent="0.25">
      <c r="A2819" t="s">
        <v>98</v>
      </c>
      <c r="B2819" t="s">
        <v>519</v>
      </c>
      <c r="C2819" t="s">
        <v>1367</v>
      </c>
      <c r="D2819" t="s">
        <v>1707</v>
      </c>
      <c r="E2819" t="s">
        <v>498</v>
      </c>
      <c r="G2819" t="s">
        <v>119</v>
      </c>
      <c r="H2819" t="s">
        <v>125</v>
      </c>
      <c r="I2819">
        <v>2016</v>
      </c>
      <c r="J2819" t="s">
        <v>517</v>
      </c>
      <c r="K2819" t="s">
        <v>127</v>
      </c>
      <c r="L2819" t="s">
        <v>3050</v>
      </c>
      <c r="M2819" t="s">
        <v>3059</v>
      </c>
      <c r="N2819">
        <v>1</v>
      </c>
      <c r="O2819">
        <v>2020</v>
      </c>
      <c r="P2819">
        <v>938.90648751460947</v>
      </c>
      <c r="Q2819">
        <v>150.92524263607899</v>
      </c>
      <c r="R2819" t="s">
        <v>391</v>
      </c>
      <c r="S2819">
        <v>6.2210036645663269</v>
      </c>
      <c r="T2819">
        <v>4.5</v>
      </c>
      <c r="U2819" t="s">
        <v>502</v>
      </c>
      <c r="V2819">
        <v>1.363636363636364</v>
      </c>
      <c r="W2819">
        <v>8</v>
      </c>
      <c r="X2819">
        <v>18</v>
      </c>
      <c r="Y2819">
        <v>14</v>
      </c>
      <c r="Z2819">
        <v>0.02</v>
      </c>
      <c r="AA2819">
        <v>1</v>
      </c>
    </row>
    <row r="2820" spans="1:27" x14ac:dyDescent="0.25">
      <c r="A2820" t="s">
        <v>1706</v>
      </c>
      <c r="M2820" t="s">
        <v>1706</v>
      </c>
      <c r="N2820" t="s">
        <v>1706</v>
      </c>
    </row>
    <row r="2821" spans="1:27" x14ac:dyDescent="0.25">
      <c r="A2821" t="s">
        <v>98</v>
      </c>
      <c r="B2821" t="s">
        <v>99</v>
      </c>
      <c r="C2821" t="s">
        <v>100</v>
      </c>
      <c r="D2821" t="s">
        <v>101</v>
      </c>
      <c r="E2821" t="s">
        <v>3060</v>
      </c>
      <c r="F2821" t="s">
        <v>3061</v>
      </c>
      <c r="H2821" t="s">
        <v>125</v>
      </c>
      <c r="I2821">
        <v>2015</v>
      </c>
      <c r="J2821" t="s">
        <v>3062</v>
      </c>
      <c r="K2821" t="s">
        <v>127</v>
      </c>
      <c r="L2821" t="s">
        <v>3063</v>
      </c>
      <c r="M2821" t="s">
        <v>3064</v>
      </c>
      <c r="N2821">
        <v>0</v>
      </c>
      <c r="O2821">
        <v>2020</v>
      </c>
      <c r="P2821">
        <v>4.9303278118067926</v>
      </c>
      <c r="Q2821">
        <v>2.699601334377332</v>
      </c>
      <c r="R2821" t="s">
        <v>3065</v>
      </c>
      <c r="S2821">
        <v>54.789510017900277</v>
      </c>
      <c r="T2821">
        <v>15.7</v>
      </c>
      <c r="U2821" t="s">
        <v>3066</v>
      </c>
      <c r="V2821">
        <v>15.7</v>
      </c>
      <c r="W2821">
        <v>0</v>
      </c>
      <c r="X2821">
        <v>1</v>
      </c>
      <c r="Y2821">
        <v>1</v>
      </c>
      <c r="Z2821">
        <v>0.31570170998387043</v>
      </c>
      <c r="AA2821">
        <v>1</v>
      </c>
    </row>
    <row r="2822" spans="1:27" x14ac:dyDescent="0.25">
      <c r="A2822" t="s">
        <v>98</v>
      </c>
      <c r="B2822" t="s">
        <v>99</v>
      </c>
      <c r="C2822" t="s">
        <v>100</v>
      </c>
      <c r="D2822" t="s">
        <v>101</v>
      </c>
      <c r="E2822" t="s">
        <v>3060</v>
      </c>
      <c r="F2822" t="s">
        <v>3061</v>
      </c>
      <c r="H2822" t="s">
        <v>125</v>
      </c>
      <c r="I2822">
        <v>2020</v>
      </c>
      <c r="J2822" t="s">
        <v>3067</v>
      </c>
      <c r="K2822" t="s">
        <v>127</v>
      </c>
      <c r="L2822" t="s">
        <v>3063</v>
      </c>
      <c r="M2822" t="s">
        <v>3064</v>
      </c>
      <c r="N2822">
        <v>1</v>
      </c>
      <c r="O2822">
        <v>2020</v>
      </c>
      <c r="P2822">
        <v>7.0363824083069577</v>
      </c>
      <c r="Q2822">
        <v>2.699601334377332</v>
      </c>
      <c r="R2822" t="s">
        <v>3065</v>
      </c>
      <c r="S2822">
        <v>78.193572347561968</v>
      </c>
      <c r="T2822">
        <v>15.7</v>
      </c>
      <c r="U2822" t="s">
        <v>3066</v>
      </c>
      <c r="V2822">
        <v>15.7</v>
      </c>
      <c r="W2822">
        <v>0</v>
      </c>
      <c r="X2822">
        <v>1</v>
      </c>
      <c r="Y2822">
        <v>1</v>
      </c>
      <c r="Z2822">
        <v>0.31570170998387043</v>
      </c>
      <c r="AA2822">
        <v>1</v>
      </c>
    </row>
    <row r="2823" spans="1:27" x14ac:dyDescent="0.25">
      <c r="A2823" t="s">
        <v>98</v>
      </c>
      <c r="B2823" t="s">
        <v>99</v>
      </c>
      <c r="C2823" t="s">
        <v>100</v>
      </c>
      <c r="D2823" t="s">
        <v>101</v>
      </c>
      <c r="E2823" t="s">
        <v>3060</v>
      </c>
      <c r="F2823" t="s">
        <v>3061</v>
      </c>
      <c r="H2823" t="s">
        <v>125</v>
      </c>
      <c r="I2823">
        <v>2022</v>
      </c>
      <c r="J2823" t="s">
        <v>3068</v>
      </c>
      <c r="K2823" t="s">
        <v>127</v>
      </c>
      <c r="L2823" t="s">
        <v>3063</v>
      </c>
      <c r="M2823" t="s">
        <v>3069</v>
      </c>
      <c r="N2823">
        <v>1</v>
      </c>
      <c r="O2823">
        <v>2022</v>
      </c>
      <c r="P2823">
        <v>7.8788042469070234</v>
      </c>
      <c r="Q2823">
        <v>2.699601334377332</v>
      </c>
      <c r="R2823" t="s">
        <v>3065</v>
      </c>
      <c r="S2823">
        <v>87.555197279426636</v>
      </c>
      <c r="T2823">
        <v>15.7</v>
      </c>
      <c r="U2823" t="s">
        <v>3066</v>
      </c>
      <c r="V2823">
        <v>15.7</v>
      </c>
      <c r="W2823">
        <v>0</v>
      </c>
      <c r="X2823">
        <v>1</v>
      </c>
      <c r="Y2823">
        <v>1</v>
      </c>
      <c r="Z2823">
        <v>0.31570170998387043</v>
      </c>
      <c r="AA2823">
        <v>1</v>
      </c>
    </row>
    <row r="2824" spans="1:27" x14ac:dyDescent="0.25">
      <c r="A2824" t="s">
        <v>98</v>
      </c>
      <c r="B2824" t="s">
        <v>99</v>
      </c>
      <c r="C2824" t="s">
        <v>100</v>
      </c>
      <c r="D2824" t="s">
        <v>101</v>
      </c>
      <c r="E2824" t="s">
        <v>3060</v>
      </c>
      <c r="F2824" t="s">
        <v>3070</v>
      </c>
      <c r="H2824" t="s">
        <v>125</v>
      </c>
      <c r="I2824">
        <v>2015</v>
      </c>
      <c r="J2824" t="s">
        <v>3071</v>
      </c>
      <c r="K2824" t="s">
        <v>127</v>
      </c>
      <c r="L2824" t="s">
        <v>3063</v>
      </c>
      <c r="M2824" t="s">
        <v>3072</v>
      </c>
      <c r="N2824">
        <v>0</v>
      </c>
      <c r="O2824">
        <v>2020</v>
      </c>
      <c r="P2824">
        <v>4.7269225388114773</v>
      </c>
      <c r="Q2824">
        <v>2.699601334377332</v>
      </c>
      <c r="R2824" t="s">
        <v>3065</v>
      </c>
      <c r="S2824">
        <v>52.529117673240627</v>
      </c>
      <c r="T2824">
        <v>59.066666666666663</v>
      </c>
      <c r="U2824" t="s">
        <v>3066</v>
      </c>
      <c r="V2824">
        <v>59.066666666666663</v>
      </c>
      <c r="W2824">
        <v>3</v>
      </c>
      <c r="X2824">
        <v>4</v>
      </c>
      <c r="Y2824">
        <v>4</v>
      </c>
      <c r="Z2824">
        <v>0.31570170998387043</v>
      </c>
      <c r="AA2824">
        <v>1</v>
      </c>
    </row>
    <row r="2825" spans="1:27" x14ac:dyDescent="0.25">
      <c r="A2825" t="s">
        <v>98</v>
      </c>
      <c r="B2825" t="s">
        <v>99</v>
      </c>
      <c r="C2825" t="s">
        <v>100</v>
      </c>
      <c r="D2825" t="s">
        <v>101</v>
      </c>
      <c r="E2825" t="s">
        <v>3060</v>
      </c>
      <c r="F2825" t="s">
        <v>3070</v>
      </c>
      <c r="H2825" t="s">
        <v>125</v>
      </c>
      <c r="I2825">
        <v>2020</v>
      </c>
      <c r="J2825" t="s">
        <v>3073</v>
      </c>
      <c r="K2825" t="s">
        <v>127</v>
      </c>
      <c r="L2825" t="s">
        <v>3063</v>
      </c>
      <c r="M2825" t="s">
        <v>3072</v>
      </c>
      <c r="N2825">
        <v>1</v>
      </c>
      <c r="O2825">
        <v>2020</v>
      </c>
      <c r="P2825">
        <v>6.2353616429714247</v>
      </c>
      <c r="Q2825">
        <v>2.699601334377332</v>
      </c>
      <c r="R2825" t="s">
        <v>3065</v>
      </c>
      <c r="S2825">
        <v>69.292027273459865</v>
      </c>
      <c r="T2825">
        <v>59.933333333333337</v>
      </c>
      <c r="U2825" t="s">
        <v>3066</v>
      </c>
      <c r="V2825">
        <v>59.933333333333337</v>
      </c>
      <c r="W2825">
        <v>3</v>
      </c>
      <c r="X2825">
        <v>4</v>
      </c>
      <c r="Y2825">
        <v>4</v>
      </c>
      <c r="Z2825">
        <v>0.31570170998387043</v>
      </c>
      <c r="AA2825">
        <v>1</v>
      </c>
    </row>
    <row r="2826" spans="1:27" x14ac:dyDescent="0.25">
      <c r="A2826" t="s">
        <v>98</v>
      </c>
      <c r="B2826" t="s">
        <v>99</v>
      </c>
      <c r="C2826" t="s">
        <v>100</v>
      </c>
      <c r="D2826" t="s">
        <v>101</v>
      </c>
      <c r="E2826" t="s">
        <v>3060</v>
      </c>
      <c r="F2826" t="s">
        <v>3070</v>
      </c>
      <c r="H2826" t="s">
        <v>125</v>
      </c>
      <c r="I2826">
        <v>2022</v>
      </c>
      <c r="J2826" t="s">
        <v>3074</v>
      </c>
      <c r="K2826" t="s">
        <v>127</v>
      </c>
      <c r="L2826" t="s">
        <v>3063</v>
      </c>
      <c r="M2826" t="s">
        <v>3075</v>
      </c>
      <c r="N2826">
        <v>1</v>
      </c>
      <c r="O2826">
        <v>2022</v>
      </c>
      <c r="P2826">
        <v>5.7403488104607021</v>
      </c>
      <c r="Q2826">
        <v>2.699601334377332</v>
      </c>
      <c r="R2826" t="s">
        <v>3065</v>
      </c>
      <c r="S2826">
        <v>63.791072452385542</v>
      </c>
      <c r="T2826">
        <v>65.8</v>
      </c>
      <c r="U2826" t="s">
        <v>3066</v>
      </c>
      <c r="V2826">
        <v>65.8</v>
      </c>
      <c r="W2826">
        <v>3</v>
      </c>
      <c r="X2826">
        <v>4</v>
      </c>
      <c r="Y2826">
        <v>4</v>
      </c>
      <c r="Z2826">
        <v>0.31570170998387043</v>
      </c>
      <c r="AA2826">
        <v>1</v>
      </c>
    </row>
    <row r="2827" spans="1:27" x14ac:dyDescent="0.25">
      <c r="A2827" t="s">
        <v>98</v>
      </c>
      <c r="B2827" t="s">
        <v>99</v>
      </c>
      <c r="C2827" t="s">
        <v>100</v>
      </c>
      <c r="D2827" t="s">
        <v>101</v>
      </c>
      <c r="E2827" t="s">
        <v>3060</v>
      </c>
      <c r="F2827" t="s">
        <v>3070</v>
      </c>
      <c r="H2827" t="s">
        <v>125</v>
      </c>
      <c r="I2827">
        <v>2030</v>
      </c>
      <c r="J2827" t="s">
        <v>3076</v>
      </c>
      <c r="K2827" t="s">
        <v>127</v>
      </c>
      <c r="L2827" t="s">
        <v>3063</v>
      </c>
      <c r="M2827" t="s">
        <v>3077</v>
      </c>
      <c r="N2827">
        <v>1</v>
      </c>
      <c r="O2827">
        <v>2030</v>
      </c>
      <c r="P2827">
        <v>5.513542930837608</v>
      </c>
      <c r="Q2827">
        <v>2.699601334377332</v>
      </c>
      <c r="R2827" t="s">
        <v>3065</v>
      </c>
      <c r="S2827">
        <v>61.270634970729667</v>
      </c>
      <c r="T2827">
        <v>68.5</v>
      </c>
      <c r="U2827" t="s">
        <v>3066</v>
      </c>
      <c r="V2827">
        <v>68.5</v>
      </c>
      <c r="W2827">
        <v>3</v>
      </c>
      <c r="X2827">
        <v>4</v>
      </c>
      <c r="Y2827">
        <v>4</v>
      </c>
      <c r="Z2827">
        <v>0.31570170998387043</v>
      </c>
      <c r="AA2827">
        <v>1</v>
      </c>
    </row>
    <row r="2828" spans="1:27" x14ac:dyDescent="0.25">
      <c r="A2828" t="s">
        <v>98</v>
      </c>
      <c r="B2828" t="s">
        <v>99</v>
      </c>
      <c r="C2828" t="s">
        <v>100</v>
      </c>
      <c r="D2828" t="s">
        <v>101</v>
      </c>
      <c r="E2828" t="s">
        <v>3060</v>
      </c>
      <c r="F2828" t="s">
        <v>3070</v>
      </c>
      <c r="H2828" t="s">
        <v>125</v>
      </c>
      <c r="I2828">
        <v>2040</v>
      </c>
      <c r="J2828" t="s">
        <v>3078</v>
      </c>
      <c r="K2828" t="s">
        <v>127</v>
      </c>
      <c r="L2828" t="s">
        <v>3063</v>
      </c>
      <c r="M2828" t="s">
        <v>3079</v>
      </c>
      <c r="N2828">
        <v>1</v>
      </c>
      <c r="O2828">
        <v>2040</v>
      </c>
      <c r="P2828">
        <v>5.2435359312863046</v>
      </c>
      <c r="Q2828">
        <v>2.699601334377332</v>
      </c>
      <c r="R2828" t="s">
        <v>3065</v>
      </c>
      <c r="S2828">
        <v>58.270114159234588</v>
      </c>
      <c r="T2828">
        <v>72</v>
      </c>
      <c r="U2828" t="s">
        <v>3066</v>
      </c>
      <c r="V2828">
        <v>72</v>
      </c>
      <c r="W2828">
        <v>3</v>
      </c>
      <c r="X2828">
        <v>4</v>
      </c>
      <c r="Y2828">
        <v>4</v>
      </c>
      <c r="Z2828">
        <v>0.31570170998387043</v>
      </c>
      <c r="AA2828">
        <v>1</v>
      </c>
    </row>
    <row r="2829" spans="1:27" x14ac:dyDescent="0.25">
      <c r="A2829" t="s">
        <v>98</v>
      </c>
      <c r="B2829" t="s">
        <v>99</v>
      </c>
      <c r="C2829" t="s">
        <v>100</v>
      </c>
      <c r="D2829" t="s">
        <v>101</v>
      </c>
      <c r="E2829" t="s">
        <v>3060</v>
      </c>
      <c r="F2829" t="s">
        <v>3080</v>
      </c>
      <c r="H2829" t="s">
        <v>125</v>
      </c>
      <c r="I2829">
        <v>2015</v>
      </c>
      <c r="J2829" t="s">
        <v>3081</v>
      </c>
      <c r="K2829" t="s">
        <v>127</v>
      </c>
      <c r="L2829" t="s">
        <v>3063</v>
      </c>
      <c r="M2829" t="s">
        <v>3082</v>
      </c>
      <c r="N2829">
        <v>0</v>
      </c>
      <c r="O2829">
        <v>2020</v>
      </c>
      <c r="P2829">
        <v>21.61676038407732</v>
      </c>
      <c r="Q2829">
        <v>2.699601334377332</v>
      </c>
      <c r="R2829" t="s">
        <v>3065</v>
      </c>
      <c r="S2829">
        <v>240.22169616829669</v>
      </c>
      <c r="T2829">
        <v>79.849999999999994</v>
      </c>
      <c r="U2829" t="s">
        <v>3066</v>
      </c>
      <c r="V2829">
        <v>79.849999999999994</v>
      </c>
      <c r="W2829">
        <v>11</v>
      </c>
      <c r="X2829">
        <v>12</v>
      </c>
      <c r="Y2829">
        <v>12</v>
      </c>
      <c r="Z2829">
        <v>0.31570170998387043</v>
      </c>
      <c r="AA2829">
        <v>1</v>
      </c>
    </row>
    <row r="2830" spans="1:27" x14ac:dyDescent="0.25">
      <c r="A2830" t="s">
        <v>98</v>
      </c>
      <c r="B2830" t="s">
        <v>99</v>
      </c>
      <c r="C2830" t="s">
        <v>100</v>
      </c>
      <c r="D2830" t="s">
        <v>101</v>
      </c>
      <c r="E2830" t="s">
        <v>3060</v>
      </c>
      <c r="F2830" t="s">
        <v>3080</v>
      </c>
      <c r="H2830" t="s">
        <v>125</v>
      </c>
      <c r="I2830">
        <v>2016</v>
      </c>
      <c r="J2830" t="s">
        <v>3083</v>
      </c>
      <c r="K2830" t="s">
        <v>127</v>
      </c>
      <c r="L2830" t="s">
        <v>3063</v>
      </c>
      <c r="M2830" t="s">
        <v>3082</v>
      </c>
      <c r="N2830">
        <v>0</v>
      </c>
      <c r="O2830">
        <v>2020</v>
      </c>
      <c r="P2830">
        <v>21.128047714889458</v>
      </c>
      <c r="Q2830">
        <v>2.699601334377332</v>
      </c>
      <c r="R2830" t="s">
        <v>3065</v>
      </c>
      <c r="S2830">
        <v>234.79075349949051</v>
      </c>
      <c r="T2830">
        <v>83.025000000000006</v>
      </c>
      <c r="U2830" t="s">
        <v>3066</v>
      </c>
      <c r="V2830">
        <v>83.025000000000006</v>
      </c>
      <c r="W2830">
        <v>11</v>
      </c>
      <c r="X2830">
        <v>12</v>
      </c>
      <c r="Y2830">
        <v>12</v>
      </c>
      <c r="Z2830">
        <v>0.31570170998387043</v>
      </c>
      <c r="AA2830">
        <v>1</v>
      </c>
    </row>
    <row r="2831" spans="1:27" x14ac:dyDescent="0.25">
      <c r="A2831" t="s">
        <v>98</v>
      </c>
      <c r="B2831" t="s">
        <v>99</v>
      </c>
      <c r="C2831" t="s">
        <v>100</v>
      </c>
      <c r="D2831" t="s">
        <v>101</v>
      </c>
      <c r="E2831" t="s">
        <v>3060</v>
      </c>
      <c r="F2831" t="s">
        <v>3080</v>
      </c>
      <c r="H2831" t="s">
        <v>125</v>
      </c>
      <c r="I2831">
        <v>2017</v>
      </c>
      <c r="J2831" t="s">
        <v>3084</v>
      </c>
      <c r="K2831" t="s">
        <v>127</v>
      </c>
      <c r="L2831" t="s">
        <v>3063</v>
      </c>
      <c r="M2831" t="s">
        <v>3082</v>
      </c>
      <c r="N2831">
        <v>0</v>
      </c>
      <c r="O2831">
        <v>2020</v>
      </c>
      <c r="P2831">
        <v>17.431651891032121</v>
      </c>
      <c r="Q2831">
        <v>2.699601334377332</v>
      </c>
      <c r="R2831" t="s">
        <v>3065</v>
      </c>
      <c r="S2831">
        <v>193.71362359012281</v>
      </c>
      <c r="T2831">
        <v>86.2</v>
      </c>
      <c r="U2831" t="s">
        <v>3066</v>
      </c>
      <c r="V2831">
        <v>86.2</v>
      </c>
      <c r="W2831">
        <v>11</v>
      </c>
      <c r="X2831">
        <v>12</v>
      </c>
      <c r="Y2831">
        <v>12</v>
      </c>
      <c r="Z2831">
        <v>0.31570170998387043</v>
      </c>
      <c r="AA2831">
        <v>1</v>
      </c>
    </row>
    <row r="2832" spans="1:27" x14ac:dyDescent="0.25">
      <c r="A2832" t="s">
        <v>98</v>
      </c>
      <c r="B2832" t="s">
        <v>99</v>
      </c>
      <c r="C2832" t="s">
        <v>100</v>
      </c>
      <c r="D2832" t="s">
        <v>101</v>
      </c>
      <c r="E2832" t="s">
        <v>3060</v>
      </c>
      <c r="F2832" t="s">
        <v>3080</v>
      </c>
      <c r="H2832" t="s">
        <v>125</v>
      </c>
      <c r="I2832">
        <v>2018</v>
      </c>
      <c r="J2832" t="s">
        <v>3085</v>
      </c>
      <c r="K2832" t="s">
        <v>127</v>
      </c>
      <c r="L2832" t="s">
        <v>3063</v>
      </c>
      <c r="M2832" t="s">
        <v>3082</v>
      </c>
      <c r="N2832">
        <v>0</v>
      </c>
      <c r="O2832">
        <v>2020</v>
      </c>
      <c r="P2832">
        <v>15.33639757451401</v>
      </c>
      <c r="Q2832">
        <v>2.699601334377332</v>
      </c>
      <c r="R2832" t="s">
        <v>3065</v>
      </c>
      <c r="S2832">
        <v>170.4295820929209</v>
      </c>
      <c r="T2832">
        <v>89.35</v>
      </c>
      <c r="U2832" t="s">
        <v>3066</v>
      </c>
      <c r="V2832">
        <v>89.35</v>
      </c>
      <c r="W2832">
        <v>10</v>
      </c>
      <c r="X2832">
        <v>11</v>
      </c>
      <c r="Y2832">
        <v>11</v>
      </c>
      <c r="Z2832">
        <v>0.31570170998387043</v>
      </c>
      <c r="AA2832">
        <v>1</v>
      </c>
    </row>
    <row r="2833" spans="1:27" x14ac:dyDescent="0.25">
      <c r="A2833" t="s">
        <v>98</v>
      </c>
      <c r="B2833" t="s">
        <v>99</v>
      </c>
      <c r="C2833" t="s">
        <v>100</v>
      </c>
      <c r="D2833" t="s">
        <v>101</v>
      </c>
      <c r="E2833" t="s">
        <v>3060</v>
      </c>
      <c r="F2833" t="s">
        <v>3080</v>
      </c>
      <c r="H2833" t="s">
        <v>125</v>
      </c>
      <c r="I2833">
        <v>2019</v>
      </c>
      <c r="J2833" t="s">
        <v>3086</v>
      </c>
      <c r="K2833" t="s">
        <v>127</v>
      </c>
      <c r="L2833" t="s">
        <v>3063</v>
      </c>
      <c r="M2833" t="s">
        <v>3082</v>
      </c>
      <c r="N2833">
        <v>0</v>
      </c>
      <c r="O2833">
        <v>2020</v>
      </c>
      <c r="P2833">
        <v>13.24384332799141</v>
      </c>
      <c r="Q2833">
        <v>2.699601334377332</v>
      </c>
      <c r="R2833" t="s">
        <v>3065</v>
      </c>
      <c r="S2833">
        <v>147.17554580383401</v>
      </c>
      <c r="T2833">
        <v>92.55</v>
      </c>
      <c r="U2833" t="s">
        <v>3066</v>
      </c>
      <c r="V2833">
        <v>92.55</v>
      </c>
      <c r="W2833">
        <v>10</v>
      </c>
      <c r="X2833">
        <v>11</v>
      </c>
      <c r="Y2833">
        <v>11</v>
      </c>
      <c r="Z2833">
        <v>0.31570170998387043</v>
      </c>
      <c r="AA2833">
        <v>1</v>
      </c>
    </row>
    <row r="2834" spans="1:27" x14ac:dyDescent="0.25">
      <c r="A2834" t="s">
        <v>98</v>
      </c>
      <c r="B2834" t="s">
        <v>99</v>
      </c>
      <c r="C2834" t="s">
        <v>100</v>
      </c>
      <c r="D2834" t="s">
        <v>101</v>
      </c>
      <c r="E2834" t="s">
        <v>3060</v>
      </c>
      <c r="F2834" t="s">
        <v>3080</v>
      </c>
      <c r="H2834" t="s">
        <v>125</v>
      </c>
      <c r="I2834">
        <v>2020</v>
      </c>
      <c r="J2834" t="s">
        <v>3087</v>
      </c>
      <c r="K2834" t="s">
        <v>127</v>
      </c>
      <c r="L2834" t="s">
        <v>3063</v>
      </c>
      <c r="M2834" t="s">
        <v>3082</v>
      </c>
      <c r="N2834">
        <v>1</v>
      </c>
      <c r="O2834">
        <v>2020</v>
      </c>
      <c r="P2834">
        <v>11.1485890114733</v>
      </c>
      <c r="Q2834">
        <v>2.699601334377332</v>
      </c>
      <c r="R2834" t="s">
        <v>3065</v>
      </c>
      <c r="S2834">
        <v>123.8915043066322</v>
      </c>
      <c r="T2834">
        <v>95.699999999999989</v>
      </c>
      <c r="U2834" t="s">
        <v>3066</v>
      </c>
      <c r="V2834">
        <v>95.699999999999989</v>
      </c>
      <c r="W2834">
        <v>10</v>
      </c>
      <c r="X2834">
        <v>11</v>
      </c>
      <c r="Y2834">
        <v>11</v>
      </c>
      <c r="Z2834">
        <v>0.31570170998387043</v>
      </c>
      <c r="AA2834">
        <v>1</v>
      </c>
    </row>
    <row r="2835" spans="1:27" x14ac:dyDescent="0.25">
      <c r="A2835" t="s">
        <v>98</v>
      </c>
      <c r="B2835" t="s">
        <v>99</v>
      </c>
      <c r="C2835" t="s">
        <v>100</v>
      </c>
      <c r="D2835" t="s">
        <v>101</v>
      </c>
      <c r="E2835" t="s">
        <v>3060</v>
      </c>
      <c r="F2835" t="s">
        <v>3080</v>
      </c>
      <c r="H2835" t="s">
        <v>125</v>
      </c>
      <c r="I2835">
        <v>2021</v>
      </c>
      <c r="J2835" t="s">
        <v>3088</v>
      </c>
      <c r="K2835" t="s">
        <v>127</v>
      </c>
      <c r="L2835" t="s">
        <v>3063</v>
      </c>
      <c r="M2835" t="s">
        <v>3089</v>
      </c>
      <c r="N2835">
        <v>1</v>
      </c>
      <c r="O2835">
        <v>2021</v>
      </c>
      <c r="P2835">
        <v>8.8076283253635061</v>
      </c>
      <c r="Q2835">
        <v>2.699601334377332</v>
      </c>
      <c r="R2835" t="s">
        <v>3065</v>
      </c>
      <c r="S2835">
        <v>97.876988870969754</v>
      </c>
      <c r="T2835">
        <v>97.949999999999989</v>
      </c>
      <c r="U2835" t="s">
        <v>3066</v>
      </c>
      <c r="V2835">
        <v>97.949999999999989</v>
      </c>
      <c r="W2835">
        <v>9</v>
      </c>
      <c r="X2835">
        <v>10</v>
      </c>
      <c r="Y2835">
        <v>10</v>
      </c>
      <c r="Z2835">
        <v>0.31570170998387043</v>
      </c>
      <c r="AA2835">
        <v>1</v>
      </c>
    </row>
    <row r="2836" spans="1:27" x14ac:dyDescent="0.25">
      <c r="A2836" t="s">
        <v>98</v>
      </c>
      <c r="B2836" t="s">
        <v>99</v>
      </c>
      <c r="C2836" t="s">
        <v>100</v>
      </c>
      <c r="D2836" t="s">
        <v>101</v>
      </c>
      <c r="E2836" t="s">
        <v>3060</v>
      </c>
      <c r="F2836" t="s">
        <v>3080</v>
      </c>
      <c r="H2836" t="s">
        <v>125</v>
      </c>
      <c r="I2836">
        <v>2022</v>
      </c>
      <c r="J2836" t="s">
        <v>3090</v>
      </c>
      <c r="K2836" t="s">
        <v>127</v>
      </c>
      <c r="L2836" t="s">
        <v>3063</v>
      </c>
      <c r="M2836" t="s">
        <v>3091</v>
      </c>
      <c r="N2836">
        <v>1</v>
      </c>
      <c r="O2836">
        <v>2022</v>
      </c>
      <c r="P2836">
        <v>6.4693677092492212</v>
      </c>
      <c r="Q2836">
        <v>2.699601334377332</v>
      </c>
      <c r="R2836" t="s">
        <v>3065</v>
      </c>
      <c r="S2836">
        <v>71.89247864342228</v>
      </c>
      <c r="T2836">
        <v>100.22499999999999</v>
      </c>
      <c r="U2836" t="s">
        <v>3066</v>
      </c>
      <c r="V2836">
        <v>100.22499999999999</v>
      </c>
      <c r="W2836">
        <v>9</v>
      </c>
      <c r="X2836">
        <v>10</v>
      </c>
      <c r="Y2836">
        <v>10</v>
      </c>
      <c r="Z2836">
        <v>0.31570170998387043</v>
      </c>
      <c r="AA2836">
        <v>1</v>
      </c>
    </row>
    <row r="2837" spans="1:27" x14ac:dyDescent="0.25">
      <c r="A2837" t="s">
        <v>98</v>
      </c>
      <c r="B2837" t="s">
        <v>99</v>
      </c>
      <c r="C2837" t="s">
        <v>100</v>
      </c>
      <c r="D2837" t="s">
        <v>101</v>
      </c>
      <c r="E2837" t="s">
        <v>3060</v>
      </c>
      <c r="F2837" t="s">
        <v>3080</v>
      </c>
      <c r="H2837" t="s">
        <v>125</v>
      </c>
      <c r="I2837">
        <v>2023</v>
      </c>
      <c r="J2837" t="s">
        <v>3092</v>
      </c>
      <c r="K2837" t="s">
        <v>127</v>
      </c>
      <c r="L2837" t="s">
        <v>3063</v>
      </c>
      <c r="M2837" t="s">
        <v>3093</v>
      </c>
      <c r="N2837">
        <v>1</v>
      </c>
      <c r="O2837">
        <v>2023</v>
      </c>
      <c r="P2837">
        <v>6.3505646294466462</v>
      </c>
      <c r="Q2837">
        <v>2.699601334377332</v>
      </c>
      <c r="R2837" t="s">
        <v>3065</v>
      </c>
      <c r="S2837">
        <v>70.572249486364427</v>
      </c>
      <c r="T2837">
        <v>102.65</v>
      </c>
      <c r="U2837" t="s">
        <v>3066</v>
      </c>
      <c r="V2837">
        <v>102.65</v>
      </c>
      <c r="W2837">
        <v>9</v>
      </c>
      <c r="X2837">
        <v>10</v>
      </c>
      <c r="Y2837">
        <v>10</v>
      </c>
      <c r="Z2837">
        <v>0.31570170998387043</v>
      </c>
      <c r="AA2837">
        <v>1</v>
      </c>
    </row>
    <row r="2838" spans="1:27" x14ac:dyDescent="0.25">
      <c r="A2838" t="s">
        <v>98</v>
      </c>
      <c r="B2838" t="s">
        <v>99</v>
      </c>
      <c r="C2838" t="s">
        <v>100</v>
      </c>
      <c r="D2838" t="s">
        <v>101</v>
      </c>
      <c r="E2838" t="s">
        <v>3060</v>
      </c>
      <c r="F2838" t="s">
        <v>3080</v>
      </c>
      <c r="H2838" t="s">
        <v>125</v>
      </c>
      <c r="I2838">
        <v>2024</v>
      </c>
      <c r="J2838" t="s">
        <v>3094</v>
      </c>
      <c r="K2838" t="s">
        <v>127</v>
      </c>
      <c r="L2838" t="s">
        <v>3063</v>
      </c>
      <c r="M2838" t="s">
        <v>3095</v>
      </c>
      <c r="N2838">
        <v>1</v>
      </c>
      <c r="O2838">
        <v>2024</v>
      </c>
      <c r="P2838">
        <v>6.2857629495543348</v>
      </c>
      <c r="Q2838">
        <v>2.699601334377332</v>
      </c>
      <c r="R2838" t="s">
        <v>3065</v>
      </c>
      <c r="S2838">
        <v>69.852124491605622</v>
      </c>
      <c r="T2838">
        <v>105.05</v>
      </c>
      <c r="U2838" t="s">
        <v>3066</v>
      </c>
      <c r="V2838">
        <v>105.05</v>
      </c>
      <c r="W2838">
        <v>9</v>
      </c>
      <c r="X2838">
        <v>10</v>
      </c>
      <c r="Y2838">
        <v>10</v>
      </c>
      <c r="Z2838">
        <v>0.31570170998387043</v>
      </c>
      <c r="AA2838">
        <v>1</v>
      </c>
    </row>
    <row r="2839" spans="1:27" x14ac:dyDescent="0.25">
      <c r="A2839" t="s">
        <v>98</v>
      </c>
      <c r="B2839" t="s">
        <v>99</v>
      </c>
      <c r="C2839" t="s">
        <v>100</v>
      </c>
      <c r="D2839" t="s">
        <v>101</v>
      </c>
      <c r="E2839" t="s">
        <v>3060</v>
      </c>
      <c r="F2839" t="s">
        <v>3080</v>
      </c>
      <c r="H2839" t="s">
        <v>125</v>
      </c>
      <c r="I2839">
        <v>2025</v>
      </c>
      <c r="J2839" t="s">
        <v>3096</v>
      </c>
      <c r="K2839" t="s">
        <v>127</v>
      </c>
      <c r="L2839" t="s">
        <v>3063</v>
      </c>
      <c r="M2839" t="s">
        <v>3097</v>
      </c>
      <c r="N2839">
        <v>1</v>
      </c>
      <c r="O2839">
        <v>2025</v>
      </c>
      <c r="P2839">
        <v>6.1210586798280389</v>
      </c>
      <c r="Q2839">
        <v>2.699601334377332</v>
      </c>
      <c r="R2839" t="s">
        <v>3065</v>
      </c>
      <c r="S2839">
        <v>68.021806796593609</v>
      </c>
      <c r="T2839">
        <v>107.47499999999999</v>
      </c>
      <c r="U2839" t="s">
        <v>3066</v>
      </c>
      <c r="V2839">
        <v>107.47499999999999</v>
      </c>
      <c r="W2839">
        <v>9</v>
      </c>
      <c r="X2839">
        <v>10</v>
      </c>
      <c r="Y2839">
        <v>10</v>
      </c>
      <c r="Z2839">
        <v>0.31570170998387043</v>
      </c>
      <c r="AA2839">
        <v>1</v>
      </c>
    </row>
    <row r="2840" spans="1:27" x14ac:dyDescent="0.25">
      <c r="A2840" t="s">
        <v>98</v>
      </c>
      <c r="B2840" t="s">
        <v>99</v>
      </c>
      <c r="C2840" t="s">
        <v>100</v>
      </c>
      <c r="D2840" t="s">
        <v>101</v>
      </c>
      <c r="E2840" t="s">
        <v>3060</v>
      </c>
      <c r="F2840" t="s">
        <v>3080</v>
      </c>
      <c r="H2840" t="s">
        <v>125</v>
      </c>
      <c r="I2840">
        <v>2030</v>
      </c>
      <c r="J2840" t="s">
        <v>3098</v>
      </c>
      <c r="K2840" t="s">
        <v>127</v>
      </c>
      <c r="L2840" t="s">
        <v>3063</v>
      </c>
      <c r="M2840" t="s">
        <v>3099</v>
      </c>
      <c r="N2840">
        <v>1</v>
      </c>
      <c r="O2840">
        <v>2030</v>
      </c>
      <c r="P2840">
        <v>5.5459437707837651</v>
      </c>
      <c r="Q2840">
        <v>2.699601334377332</v>
      </c>
      <c r="R2840" t="s">
        <v>3065</v>
      </c>
      <c r="S2840">
        <v>61.630697468109091</v>
      </c>
      <c r="T2840">
        <v>119.575</v>
      </c>
      <c r="U2840" t="s">
        <v>3066</v>
      </c>
      <c r="V2840">
        <v>119.575</v>
      </c>
      <c r="W2840">
        <v>9</v>
      </c>
      <c r="X2840">
        <v>10</v>
      </c>
      <c r="Y2840">
        <v>10</v>
      </c>
      <c r="Z2840">
        <v>0.31570170998387043</v>
      </c>
      <c r="AA2840">
        <v>1</v>
      </c>
    </row>
    <row r="2841" spans="1:27" x14ac:dyDescent="0.25">
      <c r="A2841" t="s">
        <v>98</v>
      </c>
      <c r="B2841" t="s">
        <v>99</v>
      </c>
      <c r="C2841" t="s">
        <v>100</v>
      </c>
      <c r="D2841" t="s">
        <v>101</v>
      </c>
      <c r="E2841" t="s">
        <v>3060</v>
      </c>
      <c r="F2841" t="s">
        <v>3080</v>
      </c>
      <c r="H2841" t="s">
        <v>125</v>
      </c>
      <c r="I2841">
        <v>2040</v>
      </c>
      <c r="J2841" t="s">
        <v>3100</v>
      </c>
      <c r="K2841" t="s">
        <v>127</v>
      </c>
      <c r="L2841" t="s">
        <v>3063</v>
      </c>
      <c r="M2841" t="s">
        <v>3101</v>
      </c>
      <c r="N2841">
        <v>1</v>
      </c>
      <c r="O2841">
        <v>2040</v>
      </c>
      <c r="P2841">
        <v>5.1760341813984789</v>
      </c>
      <c r="Q2841">
        <v>2.699601334377332</v>
      </c>
      <c r="R2841" t="s">
        <v>3065</v>
      </c>
      <c r="S2841">
        <v>57.519983956360811</v>
      </c>
      <c r="T2841">
        <v>144.42500000000001</v>
      </c>
      <c r="U2841" t="s">
        <v>3066</v>
      </c>
      <c r="V2841">
        <v>144.42500000000001</v>
      </c>
      <c r="W2841">
        <v>9</v>
      </c>
      <c r="X2841">
        <v>10</v>
      </c>
      <c r="Y2841">
        <v>10</v>
      </c>
      <c r="Z2841">
        <v>0.31570170998387043</v>
      </c>
      <c r="AA2841">
        <v>1</v>
      </c>
    </row>
    <row r="2842" spans="1:27" x14ac:dyDescent="0.25">
      <c r="A2842" t="s">
        <v>98</v>
      </c>
      <c r="B2842" t="s">
        <v>99</v>
      </c>
      <c r="C2842" t="s">
        <v>100</v>
      </c>
      <c r="D2842" t="s">
        <v>101</v>
      </c>
      <c r="E2842" t="s">
        <v>3060</v>
      </c>
      <c r="F2842" t="s">
        <v>3102</v>
      </c>
      <c r="H2842" t="s">
        <v>125</v>
      </c>
      <c r="I2842">
        <v>2015</v>
      </c>
      <c r="J2842" t="s">
        <v>3103</v>
      </c>
      <c r="K2842" t="s">
        <v>127</v>
      </c>
      <c r="L2842" t="s">
        <v>3063</v>
      </c>
      <c r="M2842" t="s">
        <v>3104</v>
      </c>
      <c r="N2842">
        <v>1</v>
      </c>
      <c r="O2842">
        <v>2020</v>
      </c>
      <c r="P2842">
        <v>2.3976621560155711</v>
      </c>
      <c r="Q2842">
        <v>2.699601334377332</v>
      </c>
      <c r="R2842" t="s">
        <v>3065</v>
      </c>
      <c r="S2842">
        <v>26.644624806076369</v>
      </c>
      <c r="T2842">
        <v>12.7</v>
      </c>
      <c r="U2842" t="s">
        <v>3066</v>
      </c>
      <c r="V2842">
        <v>12.7</v>
      </c>
      <c r="W2842">
        <v>0</v>
      </c>
      <c r="X2842">
        <v>1</v>
      </c>
      <c r="Y2842">
        <v>1</v>
      </c>
      <c r="Z2842">
        <v>0.31570170998387043</v>
      </c>
      <c r="AA2842">
        <v>1</v>
      </c>
    </row>
    <row r="2843" spans="1:27" x14ac:dyDescent="0.25">
      <c r="A2843" t="s">
        <v>98</v>
      </c>
      <c r="B2843" t="s">
        <v>99</v>
      </c>
      <c r="C2843" t="s">
        <v>100</v>
      </c>
      <c r="D2843" t="s">
        <v>101</v>
      </c>
      <c r="E2843" t="s">
        <v>3060</v>
      </c>
      <c r="F2843" t="s">
        <v>3102</v>
      </c>
      <c r="H2843" t="s">
        <v>125</v>
      </c>
      <c r="I2843">
        <v>2022</v>
      </c>
      <c r="J2843" t="s">
        <v>3105</v>
      </c>
      <c r="K2843" t="s">
        <v>127</v>
      </c>
      <c r="L2843" t="s">
        <v>3063</v>
      </c>
      <c r="M2843" t="s">
        <v>3106</v>
      </c>
      <c r="N2843">
        <v>1</v>
      </c>
      <c r="O2843">
        <v>2022</v>
      </c>
      <c r="P2843">
        <v>3.996103593359285</v>
      </c>
      <c r="Q2843">
        <v>2.699601334377332</v>
      </c>
      <c r="R2843" t="s">
        <v>3065</v>
      </c>
      <c r="S2843">
        <v>44.407708010127287</v>
      </c>
      <c r="T2843">
        <v>9.3000000000000007</v>
      </c>
      <c r="U2843" t="s">
        <v>3066</v>
      </c>
      <c r="V2843">
        <v>9.3000000000000007</v>
      </c>
      <c r="W2843">
        <v>0</v>
      </c>
      <c r="X2843">
        <v>1</v>
      </c>
      <c r="Y2843">
        <v>1</v>
      </c>
      <c r="Z2843">
        <v>0.31570170998387043</v>
      </c>
      <c r="AA2843">
        <v>1</v>
      </c>
    </row>
    <row r="2844" spans="1:27" x14ac:dyDescent="0.25">
      <c r="A2844" t="s">
        <v>98</v>
      </c>
      <c r="B2844" t="s">
        <v>99</v>
      </c>
      <c r="C2844" t="s">
        <v>100</v>
      </c>
      <c r="D2844" t="s">
        <v>101</v>
      </c>
      <c r="E2844" t="s">
        <v>3060</v>
      </c>
      <c r="F2844" t="s">
        <v>3107</v>
      </c>
      <c r="H2844" t="s">
        <v>125</v>
      </c>
      <c r="I2844">
        <v>2015</v>
      </c>
      <c r="J2844" t="s">
        <v>3108</v>
      </c>
      <c r="K2844" t="s">
        <v>127</v>
      </c>
      <c r="L2844" t="s">
        <v>3063</v>
      </c>
      <c r="M2844" t="s">
        <v>3109</v>
      </c>
      <c r="N2844">
        <v>1</v>
      </c>
      <c r="O2844">
        <v>2020</v>
      </c>
      <c r="P2844">
        <v>1.188030798025733</v>
      </c>
      <c r="Q2844">
        <v>2.699601334377332</v>
      </c>
      <c r="R2844" t="s">
        <v>3065</v>
      </c>
      <c r="S2844">
        <v>13.20229157057838</v>
      </c>
      <c r="T2844">
        <v>71.5</v>
      </c>
      <c r="U2844" t="s">
        <v>3066</v>
      </c>
      <c r="V2844">
        <v>71.5</v>
      </c>
      <c r="W2844">
        <v>5</v>
      </c>
      <c r="X2844">
        <v>6</v>
      </c>
      <c r="Y2844">
        <v>6</v>
      </c>
      <c r="Z2844">
        <v>0.31570170998387043</v>
      </c>
      <c r="AA2844">
        <v>1</v>
      </c>
    </row>
    <row r="2845" spans="1:27" x14ac:dyDescent="0.25">
      <c r="A2845" t="s">
        <v>98</v>
      </c>
      <c r="B2845" t="s">
        <v>99</v>
      </c>
      <c r="C2845" t="s">
        <v>100</v>
      </c>
      <c r="D2845" t="s">
        <v>101</v>
      </c>
      <c r="E2845" t="s">
        <v>3060</v>
      </c>
      <c r="F2845" t="s">
        <v>3110</v>
      </c>
      <c r="H2845" t="s">
        <v>125</v>
      </c>
      <c r="I2845">
        <v>2015</v>
      </c>
      <c r="J2845" t="s">
        <v>3111</v>
      </c>
      <c r="K2845" t="s">
        <v>127</v>
      </c>
      <c r="L2845" t="s">
        <v>3063</v>
      </c>
      <c r="M2845" t="s">
        <v>3112</v>
      </c>
      <c r="N2845">
        <v>0</v>
      </c>
      <c r="O2845">
        <v>2020</v>
      </c>
      <c r="P2845">
        <v>7.0633831082620873</v>
      </c>
      <c r="Q2845">
        <v>2.699601334377332</v>
      </c>
      <c r="R2845" t="s">
        <v>3065</v>
      </c>
      <c r="S2845">
        <v>78.49362442871147</v>
      </c>
      <c r="T2845">
        <v>90</v>
      </c>
      <c r="U2845" t="s">
        <v>3066</v>
      </c>
      <c r="V2845">
        <v>90</v>
      </c>
      <c r="W2845">
        <v>7</v>
      </c>
      <c r="X2845">
        <v>8</v>
      </c>
      <c r="Y2845">
        <v>8</v>
      </c>
      <c r="Z2845">
        <v>0.31570170998387043</v>
      </c>
      <c r="AA2845">
        <v>1</v>
      </c>
    </row>
    <row r="2846" spans="1:27" x14ac:dyDescent="0.25">
      <c r="A2846" t="s">
        <v>98</v>
      </c>
      <c r="B2846" t="s">
        <v>99</v>
      </c>
      <c r="C2846" t="s">
        <v>100</v>
      </c>
      <c r="D2846" t="s">
        <v>101</v>
      </c>
      <c r="E2846" t="s">
        <v>3060</v>
      </c>
      <c r="F2846" t="s">
        <v>3110</v>
      </c>
      <c r="H2846" t="s">
        <v>125</v>
      </c>
      <c r="I2846">
        <v>2020</v>
      </c>
      <c r="J2846" t="s">
        <v>3113</v>
      </c>
      <c r="K2846" t="s">
        <v>127</v>
      </c>
      <c r="L2846" t="s">
        <v>3063</v>
      </c>
      <c r="M2846" t="s">
        <v>3112</v>
      </c>
      <c r="N2846">
        <v>1</v>
      </c>
      <c r="O2846">
        <v>2020</v>
      </c>
      <c r="P2846">
        <v>4.449715352605474</v>
      </c>
      <c r="Q2846">
        <v>2.699601334377332</v>
      </c>
      <c r="R2846" t="s">
        <v>3065</v>
      </c>
      <c r="S2846">
        <v>49.448582973439017</v>
      </c>
      <c r="T2846">
        <v>89.2</v>
      </c>
      <c r="U2846" t="s">
        <v>3066</v>
      </c>
      <c r="V2846">
        <v>89.2</v>
      </c>
      <c r="W2846">
        <v>11</v>
      </c>
      <c r="X2846">
        <v>12</v>
      </c>
      <c r="Y2846">
        <v>12</v>
      </c>
      <c r="Z2846">
        <v>0.31570170998387043</v>
      </c>
      <c r="AA2846">
        <v>1</v>
      </c>
    </row>
    <row r="2847" spans="1:27" x14ac:dyDescent="0.25">
      <c r="A2847" t="s">
        <v>98</v>
      </c>
      <c r="B2847" t="s">
        <v>99</v>
      </c>
      <c r="C2847" t="s">
        <v>100</v>
      </c>
      <c r="D2847" t="s">
        <v>101</v>
      </c>
      <c r="E2847" t="s">
        <v>3060</v>
      </c>
      <c r="F2847" t="s">
        <v>3110</v>
      </c>
      <c r="H2847" t="s">
        <v>125</v>
      </c>
      <c r="I2847">
        <v>2022</v>
      </c>
      <c r="J2847" t="s">
        <v>3114</v>
      </c>
      <c r="K2847" t="s">
        <v>127</v>
      </c>
      <c r="L2847" t="s">
        <v>3063</v>
      </c>
      <c r="M2847" t="s">
        <v>3115</v>
      </c>
      <c r="N2847">
        <v>1</v>
      </c>
      <c r="O2847">
        <v>2022</v>
      </c>
      <c r="P2847">
        <v>4.4065142326772646</v>
      </c>
      <c r="Q2847">
        <v>2.699601334377332</v>
      </c>
      <c r="R2847" t="s">
        <v>3065</v>
      </c>
      <c r="S2847">
        <v>48.968499643599813</v>
      </c>
      <c r="T2847">
        <v>89.2</v>
      </c>
      <c r="U2847" t="s">
        <v>3066</v>
      </c>
      <c r="V2847">
        <v>89.2</v>
      </c>
      <c r="W2847">
        <v>11</v>
      </c>
      <c r="X2847">
        <v>12</v>
      </c>
      <c r="Y2847">
        <v>12</v>
      </c>
      <c r="Z2847">
        <v>0.31570170998387043</v>
      </c>
      <c r="AA2847">
        <v>1</v>
      </c>
    </row>
    <row r="2848" spans="1:27" x14ac:dyDescent="0.25">
      <c r="A2848" t="s">
        <v>98</v>
      </c>
      <c r="B2848" t="s">
        <v>99</v>
      </c>
      <c r="C2848" t="s">
        <v>100</v>
      </c>
      <c r="D2848" t="s">
        <v>101</v>
      </c>
      <c r="E2848" t="s">
        <v>3060</v>
      </c>
      <c r="F2848" t="s">
        <v>3110</v>
      </c>
      <c r="H2848" t="s">
        <v>125</v>
      </c>
      <c r="I2848">
        <v>2030</v>
      </c>
      <c r="J2848" t="s">
        <v>3116</v>
      </c>
      <c r="K2848" t="s">
        <v>127</v>
      </c>
      <c r="L2848" t="s">
        <v>3063</v>
      </c>
      <c r="M2848" t="s">
        <v>3117</v>
      </c>
      <c r="N2848">
        <v>1</v>
      </c>
      <c r="O2848">
        <v>2030</v>
      </c>
      <c r="P2848">
        <v>4.2337097529644314</v>
      </c>
      <c r="Q2848">
        <v>2.699601334377332</v>
      </c>
      <c r="R2848" t="s">
        <v>3065</v>
      </c>
      <c r="S2848">
        <v>47.048166324242963</v>
      </c>
      <c r="T2848">
        <v>89.2</v>
      </c>
      <c r="U2848" t="s">
        <v>3066</v>
      </c>
      <c r="V2848">
        <v>89.2</v>
      </c>
      <c r="W2848">
        <v>11</v>
      </c>
      <c r="X2848">
        <v>12</v>
      </c>
      <c r="Y2848">
        <v>12</v>
      </c>
      <c r="Z2848">
        <v>0.31570170998387043</v>
      </c>
      <c r="AA2848">
        <v>1</v>
      </c>
    </row>
    <row r="2849" spans="1:27" x14ac:dyDescent="0.25">
      <c r="A2849" t="s">
        <v>98</v>
      </c>
      <c r="B2849" t="s">
        <v>99</v>
      </c>
      <c r="C2849" t="s">
        <v>100</v>
      </c>
      <c r="D2849" t="s">
        <v>101</v>
      </c>
      <c r="E2849" t="s">
        <v>3060</v>
      </c>
      <c r="F2849" t="s">
        <v>3110</v>
      </c>
      <c r="H2849" t="s">
        <v>125</v>
      </c>
      <c r="I2849">
        <v>2040</v>
      </c>
      <c r="J2849" t="s">
        <v>3118</v>
      </c>
      <c r="K2849" t="s">
        <v>127</v>
      </c>
      <c r="L2849" t="s">
        <v>3063</v>
      </c>
      <c r="M2849" t="s">
        <v>3119</v>
      </c>
      <c r="N2849">
        <v>1</v>
      </c>
      <c r="O2849">
        <v>2040</v>
      </c>
      <c r="P2849">
        <v>4.0285044333054412</v>
      </c>
      <c r="Q2849">
        <v>2.699601334377332</v>
      </c>
      <c r="R2849" t="s">
        <v>3065</v>
      </c>
      <c r="S2849">
        <v>44.76777050750669</v>
      </c>
      <c r="T2849">
        <v>89.2</v>
      </c>
      <c r="U2849" t="s">
        <v>3066</v>
      </c>
      <c r="V2849">
        <v>89.2</v>
      </c>
      <c r="W2849">
        <v>11</v>
      </c>
      <c r="X2849">
        <v>12</v>
      </c>
      <c r="Y2849">
        <v>12</v>
      </c>
      <c r="Z2849">
        <v>0.31570170998387043</v>
      </c>
      <c r="AA2849">
        <v>1</v>
      </c>
    </row>
    <row r="2850" spans="1:27" x14ac:dyDescent="0.25">
      <c r="A2850" t="s">
        <v>98</v>
      </c>
      <c r="B2850" t="s">
        <v>519</v>
      </c>
      <c r="C2850" t="s">
        <v>100</v>
      </c>
      <c r="D2850" t="s">
        <v>101</v>
      </c>
      <c r="E2850" t="s">
        <v>3060</v>
      </c>
      <c r="F2850" t="s">
        <v>3061</v>
      </c>
      <c r="H2850" t="s">
        <v>125</v>
      </c>
      <c r="I2850">
        <v>2015</v>
      </c>
      <c r="J2850" t="s">
        <v>3062</v>
      </c>
      <c r="K2850" t="s">
        <v>127</v>
      </c>
      <c r="L2850" t="s">
        <v>3120</v>
      </c>
      <c r="M2850" t="s">
        <v>3121</v>
      </c>
      <c r="N2850">
        <v>0</v>
      </c>
      <c r="O2850">
        <v>2020</v>
      </c>
      <c r="P2850">
        <v>4.9303278118067926</v>
      </c>
      <c r="Q2850">
        <v>6.8817612450097929</v>
      </c>
      <c r="R2850" t="s">
        <v>3065</v>
      </c>
      <c r="S2850">
        <v>42.98604066261624</v>
      </c>
      <c r="T2850">
        <v>15.7</v>
      </c>
      <c r="U2850" t="s">
        <v>3066</v>
      </c>
      <c r="V2850">
        <v>15.7</v>
      </c>
      <c r="W2850">
        <v>0</v>
      </c>
      <c r="X2850">
        <v>1</v>
      </c>
      <c r="Y2850">
        <v>1</v>
      </c>
      <c r="Z2850">
        <v>0.3147059442655511</v>
      </c>
      <c r="AA2850">
        <v>1</v>
      </c>
    </row>
    <row r="2851" spans="1:27" x14ac:dyDescent="0.25">
      <c r="A2851" t="s">
        <v>98</v>
      </c>
      <c r="B2851" t="s">
        <v>519</v>
      </c>
      <c r="C2851" t="s">
        <v>100</v>
      </c>
      <c r="D2851" t="s">
        <v>101</v>
      </c>
      <c r="E2851" t="s">
        <v>3060</v>
      </c>
      <c r="F2851" t="s">
        <v>3061</v>
      </c>
      <c r="H2851" t="s">
        <v>125</v>
      </c>
      <c r="I2851">
        <v>2020</v>
      </c>
      <c r="J2851" t="s">
        <v>3067</v>
      </c>
      <c r="K2851" t="s">
        <v>127</v>
      </c>
      <c r="L2851" t="s">
        <v>3120</v>
      </c>
      <c r="M2851" t="s">
        <v>3121</v>
      </c>
      <c r="N2851">
        <v>1</v>
      </c>
      <c r="O2851">
        <v>2020</v>
      </c>
      <c r="P2851">
        <v>7.0363824083069577</v>
      </c>
      <c r="Q2851">
        <v>6.8817612450097929</v>
      </c>
      <c r="R2851" t="s">
        <v>3065</v>
      </c>
      <c r="S2851">
        <v>61.348095272058018</v>
      </c>
      <c r="T2851">
        <v>15.7</v>
      </c>
      <c r="U2851" t="s">
        <v>3066</v>
      </c>
      <c r="V2851">
        <v>15.7</v>
      </c>
      <c r="W2851">
        <v>0</v>
      </c>
      <c r="X2851">
        <v>1</v>
      </c>
      <c r="Y2851">
        <v>1</v>
      </c>
      <c r="Z2851">
        <v>0.3147059442655511</v>
      </c>
      <c r="AA2851">
        <v>1</v>
      </c>
    </row>
    <row r="2852" spans="1:27" x14ac:dyDescent="0.25">
      <c r="A2852" t="s">
        <v>98</v>
      </c>
      <c r="B2852" t="s">
        <v>519</v>
      </c>
      <c r="C2852" t="s">
        <v>100</v>
      </c>
      <c r="D2852" t="s">
        <v>101</v>
      </c>
      <c r="E2852" t="s">
        <v>3060</v>
      </c>
      <c r="F2852" t="s">
        <v>3061</v>
      </c>
      <c r="H2852" t="s">
        <v>125</v>
      </c>
      <c r="I2852">
        <v>2022</v>
      </c>
      <c r="J2852" t="s">
        <v>3068</v>
      </c>
      <c r="K2852" t="s">
        <v>127</v>
      </c>
      <c r="L2852" t="s">
        <v>3120</v>
      </c>
      <c r="M2852" t="s">
        <v>3122</v>
      </c>
      <c r="N2852">
        <v>1</v>
      </c>
      <c r="O2852">
        <v>2022</v>
      </c>
      <c r="P2852">
        <v>7.8788042469070234</v>
      </c>
      <c r="Q2852">
        <v>6.8817612450097929</v>
      </c>
      <c r="R2852" t="s">
        <v>3065</v>
      </c>
      <c r="S2852">
        <v>68.692917115834732</v>
      </c>
      <c r="T2852">
        <v>15.7</v>
      </c>
      <c r="U2852" t="s">
        <v>3066</v>
      </c>
      <c r="V2852">
        <v>15.7</v>
      </c>
      <c r="W2852">
        <v>0</v>
      </c>
      <c r="X2852">
        <v>1</v>
      </c>
      <c r="Y2852">
        <v>1</v>
      </c>
      <c r="Z2852">
        <v>0.3147059442655511</v>
      </c>
      <c r="AA2852">
        <v>1</v>
      </c>
    </row>
    <row r="2853" spans="1:27" x14ac:dyDescent="0.25">
      <c r="A2853" t="s">
        <v>98</v>
      </c>
      <c r="B2853" t="s">
        <v>519</v>
      </c>
      <c r="C2853" t="s">
        <v>100</v>
      </c>
      <c r="D2853" t="s">
        <v>101</v>
      </c>
      <c r="E2853" t="s">
        <v>3060</v>
      </c>
      <c r="F2853" t="s">
        <v>3070</v>
      </c>
      <c r="H2853" t="s">
        <v>125</v>
      </c>
      <c r="I2853">
        <v>2015</v>
      </c>
      <c r="J2853" t="s">
        <v>3071</v>
      </c>
      <c r="K2853" t="s">
        <v>127</v>
      </c>
      <c r="L2853" t="s">
        <v>3120</v>
      </c>
      <c r="M2853" t="s">
        <v>3123</v>
      </c>
      <c r="N2853">
        <v>0</v>
      </c>
      <c r="O2853">
        <v>2020</v>
      </c>
      <c r="P2853">
        <v>4.7269225388114773</v>
      </c>
      <c r="Q2853">
        <v>6.8817612450097929</v>
      </c>
      <c r="R2853" t="s">
        <v>3065</v>
      </c>
      <c r="S2853">
        <v>41.212611456747076</v>
      </c>
      <c r="T2853">
        <v>59.066666666666663</v>
      </c>
      <c r="U2853" t="s">
        <v>3066</v>
      </c>
      <c r="V2853">
        <v>59.066666666666663</v>
      </c>
      <c r="W2853">
        <v>3</v>
      </c>
      <c r="X2853">
        <v>4</v>
      </c>
      <c r="Y2853">
        <v>4</v>
      </c>
      <c r="Z2853">
        <v>0.3147059442655511</v>
      </c>
      <c r="AA2853">
        <v>1</v>
      </c>
    </row>
    <row r="2854" spans="1:27" x14ac:dyDescent="0.25">
      <c r="A2854" t="s">
        <v>98</v>
      </c>
      <c r="B2854" t="s">
        <v>519</v>
      </c>
      <c r="C2854" t="s">
        <v>100</v>
      </c>
      <c r="D2854" t="s">
        <v>101</v>
      </c>
      <c r="E2854" t="s">
        <v>3060</v>
      </c>
      <c r="F2854" t="s">
        <v>3070</v>
      </c>
      <c r="H2854" t="s">
        <v>125</v>
      </c>
      <c r="I2854">
        <v>2020</v>
      </c>
      <c r="J2854" t="s">
        <v>3073</v>
      </c>
      <c r="K2854" t="s">
        <v>127</v>
      </c>
      <c r="L2854" t="s">
        <v>3120</v>
      </c>
      <c r="M2854" t="s">
        <v>3123</v>
      </c>
      <c r="N2854">
        <v>1</v>
      </c>
      <c r="O2854">
        <v>2020</v>
      </c>
      <c r="P2854">
        <v>6.2353616429714247</v>
      </c>
      <c r="Q2854">
        <v>6.8817612450097929</v>
      </c>
      <c r="R2854" t="s">
        <v>3065</v>
      </c>
      <c r="S2854">
        <v>54.364236894962637</v>
      </c>
      <c r="T2854">
        <v>59.933333333333337</v>
      </c>
      <c r="U2854" t="s">
        <v>3066</v>
      </c>
      <c r="V2854">
        <v>59.933333333333337</v>
      </c>
      <c r="W2854">
        <v>3</v>
      </c>
      <c r="X2854">
        <v>4</v>
      </c>
      <c r="Y2854">
        <v>4</v>
      </c>
      <c r="Z2854">
        <v>0.3147059442655511</v>
      </c>
      <c r="AA2854">
        <v>1</v>
      </c>
    </row>
    <row r="2855" spans="1:27" x14ac:dyDescent="0.25">
      <c r="A2855" t="s">
        <v>98</v>
      </c>
      <c r="B2855" t="s">
        <v>519</v>
      </c>
      <c r="C2855" t="s">
        <v>100</v>
      </c>
      <c r="D2855" t="s">
        <v>101</v>
      </c>
      <c r="E2855" t="s">
        <v>3060</v>
      </c>
      <c r="F2855" t="s">
        <v>3070</v>
      </c>
      <c r="H2855" t="s">
        <v>125</v>
      </c>
      <c r="I2855">
        <v>2022</v>
      </c>
      <c r="J2855" t="s">
        <v>3074</v>
      </c>
      <c r="K2855" t="s">
        <v>127</v>
      </c>
      <c r="L2855" t="s">
        <v>3120</v>
      </c>
      <c r="M2855" t="s">
        <v>3124</v>
      </c>
      <c r="N2855">
        <v>1</v>
      </c>
      <c r="O2855">
        <v>2022</v>
      </c>
      <c r="P2855">
        <v>5.7403488104607021</v>
      </c>
      <c r="Q2855">
        <v>6.8817612450097929</v>
      </c>
      <c r="R2855" t="s">
        <v>3065</v>
      </c>
      <c r="S2855">
        <v>50.048369358555391</v>
      </c>
      <c r="T2855">
        <v>65.8</v>
      </c>
      <c r="U2855" t="s">
        <v>3066</v>
      </c>
      <c r="V2855">
        <v>65.8</v>
      </c>
      <c r="W2855">
        <v>3</v>
      </c>
      <c r="X2855">
        <v>4</v>
      </c>
      <c r="Y2855">
        <v>4</v>
      </c>
      <c r="Z2855">
        <v>0.3147059442655511</v>
      </c>
      <c r="AA2855">
        <v>1</v>
      </c>
    </row>
    <row r="2856" spans="1:27" x14ac:dyDescent="0.25">
      <c r="A2856" t="s">
        <v>98</v>
      </c>
      <c r="B2856" t="s">
        <v>519</v>
      </c>
      <c r="C2856" t="s">
        <v>100</v>
      </c>
      <c r="D2856" t="s">
        <v>101</v>
      </c>
      <c r="E2856" t="s">
        <v>3060</v>
      </c>
      <c r="F2856" t="s">
        <v>3070</v>
      </c>
      <c r="H2856" t="s">
        <v>125</v>
      </c>
      <c r="I2856">
        <v>2030</v>
      </c>
      <c r="J2856" t="s">
        <v>3076</v>
      </c>
      <c r="K2856" t="s">
        <v>127</v>
      </c>
      <c r="L2856" t="s">
        <v>3120</v>
      </c>
      <c r="M2856" t="s">
        <v>3125</v>
      </c>
      <c r="N2856">
        <v>1</v>
      </c>
      <c r="O2856">
        <v>2030</v>
      </c>
      <c r="P2856">
        <v>5.513542930837608</v>
      </c>
      <c r="Q2856">
        <v>6.8817612450097929</v>
      </c>
      <c r="R2856" t="s">
        <v>3065</v>
      </c>
      <c r="S2856">
        <v>48.070917323692427</v>
      </c>
      <c r="T2856">
        <v>68.5</v>
      </c>
      <c r="U2856" t="s">
        <v>3066</v>
      </c>
      <c r="V2856">
        <v>68.5</v>
      </c>
      <c r="W2856">
        <v>3</v>
      </c>
      <c r="X2856">
        <v>4</v>
      </c>
      <c r="Y2856">
        <v>4</v>
      </c>
      <c r="Z2856">
        <v>0.3147059442655511</v>
      </c>
      <c r="AA2856">
        <v>1</v>
      </c>
    </row>
    <row r="2857" spans="1:27" x14ac:dyDescent="0.25">
      <c r="A2857" t="s">
        <v>98</v>
      </c>
      <c r="B2857" t="s">
        <v>519</v>
      </c>
      <c r="C2857" t="s">
        <v>100</v>
      </c>
      <c r="D2857" t="s">
        <v>101</v>
      </c>
      <c r="E2857" t="s">
        <v>3060</v>
      </c>
      <c r="F2857" t="s">
        <v>3070</v>
      </c>
      <c r="H2857" t="s">
        <v>125</v>
      </c>
      <c r="I2857">
        <v>2040</v>
      </c>
      <c r="J2857" t="s">
        <v>3078</v>
      </c>
      <c r="K2857" t="s">
        <v>127</v>
      </c>
      <c r="L2857" t="s">
        <v>3120</v>
      </c>
      <c r="M2857" t="s">
        <v>3126</v>
      </c>
      <c r="N2857">
        <v>1</v>
      </c>
      <c r="O2857">
        <v>2040</v>
      </c>
      <c r="P2857">
        <v>5.2435359312863046</v>
      </c>
      <c r="Q2857">
        <v>6.8817612450097929</v>
      </c>
      <c r="R2857" t="s">
        <v>3065</v>
      </c>
      <c r="S2857">
        <v>45.716807758379389</v>
      </c>
      <c r="T2857">
        <v>72</v>
      </c>
      <c r="U2857" t="s">
        <v>3066</v>
      </c>
      <c r="V2857">
        <v>72</v>
      </c>
      <c r="W2857">
        <v>3</v>
      </c>
      <c r="X2857">
        <v>4</v>
      </c>
      <c r="Y2857">
        <v>4</v>
      </c>
      <c r="Z2857">
        <v>0.3147059442655511</v>
      </c>
      <c r="AA2857">
        <v>1</v>
      </c>
    </row>
    <row r="2858" spans="1:27" x14ac:dyDescent="0.25">
      <c r="A2858" t="s">
        <v>98</v>
      </c>
      <c r="B2858" t="s">
        <v>519</v>
      </c>
      <c r="C2858" t="s">
        <v>100</v>
      </c>
      <c r="D2858" t="s">
        <v>101</v>
      </c>
      <c r="E2858" t="s">
        <v>3060</v>
      </c>
      <c r="F2858" t="s">
        <v>3080</v>
      </c>
      <c r="H2858" t="s">
        <v>125</v>
      </c>
      <c r="I2858">
        <v>2015</v>
      </c>
      <c r="J2858" t="s">
        <v>3081</v>
      </c>
      <c r="K2858" t="s">
        <v>127</v>
      </c>
      <c r="L2858" t="s">
        <v>3120</v>
      </c>
      <c r="M2858" t="s">
        <v>3127</v>
      </c>
      <c r="N2858">
        <v>0</v>
      </c>
      <c r="O2858">
        <v>2020</v>
      </c>
      <c r="P2858">
        <v>21.61676038407732</v>
      </c>
      <c r="Q2858">
        <v>6.8817612450097929</v>
      </c>
      <c r="R2858" t="s">
        <v>3065</v>
      </c>
      <c r="S2858">
        <v>188.47001179896259</v>
      </c>
      <c r="T2858">
        <v>79.849999999999994</v>
      </c>
      <c r="U2858" t="s">
        <v>3066</v>
      </c>
      <c r="V2858">
        <v>79.849999999999994</v>
      </c>
      <c r="W2858">
        <v>11</v>
      </c>
      <c r="X2858">
        <v>12</v>
      </c>
      <c r="Y2858">
        <v>12</v>
      </c>
      <c r="Z2858">
        <v>0.3147059442655511</v>
      </c>
      <c r="AA2858">
        <v>1</v>
      </c>
    </row>
    <row r="2859" spans="1:27" x14ac:dyDescent="0.25">
      <c r="A2859" t="s">
        <v>98</v>
      </c>
      <c r="B2859" t="s">
        <v>519</v>
      </c>
      <c r="C2859" t="s">
        <v>100</v>
      </c>
      <c r="D2859" t="s">
        <v>101</v>
      </c>
      <c r="E2859" t="s">
        <v>3060</v>
      </c>
      <c r="F2859" t="s">
        <v>3080</v>
      </c>
      <c r="H2859" t="s">
        <v>125</v>
      </c>
      <c r="I2859">
        <v>2016</v>
      </c>
      <c r="J2859" t="s">
        <v>3083</v>
      </c>
      <c r="K2859" t="s">
        <v>127</v>
      </c>
      <c r="L2859" t="s">
        <v>3120</v>
      </c>
      <c r="M2859" t="s">
        <v>3127</v>
      </c>
      <c r="N2859">
        <v>0</v>
      </c>
      <c r="O2859">
        <v>2020</v>
      </c>
      <c r="P2859">
        <v>21.128047714889458</v>
      </c>
      <c r="Q2859">
        <v>6.8817612450097929</v>
      </c>
      <c r="R2859" t="s">
        <v>3065</v>
      </c>
      <c r="S2859">
        <v>184.20907348574599</v>
      </c>
      <c r="T2859">
        <v>83.025000000000006</v>
      </c>
      <c r="U2859" t="s">
        <v>3066</v>
      </c>
      <c r="V2859">
        <v>83.025000000000006</v>
      </c>
      <c r="W2859">
        <v>11</v>
      </c>
      <c r="X2859">
        <v>12</v>
      </c>
      <c r="Y2859">
        <v>12</v>
      </c>
      <c r="Z2859">
        <v>0.3147059442655511</v>
      </c>
      <c r="AA2859">
        <v>1</v>
      </c>
    </row>
    <row r="2860" spans="1:27" x14ac:dyDescent="0.25">
      <c r="A2860" t="s">
        <v>98</v>
      </c>
      <c r="B2860" t="s">
        <v>519</v>
      </c>
      <c r="C2860" t="s">
        <v>100</v>
      </c>
      <c r="D2860" t="s">
        <v>101</v>
      </c>
      <c r="E2860" t="s">
        <v>3060</v>
      </c>
      <c r="F2860" t="s">
        <v>3080</v>
      </c>
      <c r="H2860" t="s">
        <v>125</v>
      </c>
      <c r="I2860">
        <v>2017</v>
      </c>
      <c r="J2860" t="s">
        <v>3084</v>
      </c>
      <c r="K2860" t="s">
        <v>127</v>
      </c>
      <c r="L2860" t="s">
        <v>3120</v>
      </c>
      <c r="M2860" t="s">
        <v>3127</v>
      </c>
      <c r="N2860">
        <v>0</v>
      </c>
      <c r="O2860">
        <v>2020</v>
      </c>
      <c r="P2860">
        <v>17.431651891032121</v>
      </c>
      <c r="Q2860">
        <v>6.8817612450097929</v>
      </c>
      <c r="R2860" t="s">
        <v>3065</v>
      </c>
      <c r="S2860">
        <v>151.9813135366104</v>
      </c>
      <c r="T2860">
        <v>86.2</v>
      </c>
      <c r="U2860" t="s">
        <v>3066</v>
      </c>
      <c r="V2860">
        <v>86.2</v>
      </c>
      <c r="W2860">
        <v>11</v>
      </c>
      <c r="X2860">
        <v>12</v>
      </c>
      <c r="Y2860">
        <v>12</v>
      </c>
      <c r="Z2860">
        <v>0.3147059442655511</v>
      </c>
      <c r="AA2860">
        <v>1</v>
      </c>
    </row>
    <row r="2861" spans="1:27" x14ac:dyDescent="0.25">
      <c r="A2861" t="s">
        <v>98</v>
      </c>
      <c r="B2861" t="s">
        <v>519</v>
      </c>
      <c r="C2861" t="s">
        <v>100</v>
      </c>
      <c r="D2861" t="s">
        <v>101</v>
      </c>
      <c r="E2861" t="s">
        <v>3060</v>
      </c>
      <c r="F2861" t="s">
        <v>3080</v>
      </c>
      <c r="H2861" t="s">
        <v>125</v>
      </c>
      <c r="I2861">
        <v>2018</v>
      </c>
      <c r="J2861" t="s">
        <v>3085</v>
      </c>
      <c r="K2861" t="s">
        <v>127</v>
      </c>
      <c r="L2861" t="s">
        <v>3120</v>
      </c>
      <c r="M2861" t="s">
        <v>3127</v>
      </c>
      <c r="N2861">
        <v>0</v>
      </c>
      <c r="O2861">
        <v>2020</v>
      </c>
      <c r="P2861">
        <v>15.33639757451401</v>
      </c>
      <c r="Q2861">
        <v>6.8817612450097929</v>
      </c>
      <c r="R2861" t="s">
        <v>3065</v>
      </c>
      <c r="S2861">
        <v>133.71342330978109</v>
      </c>
      <c r="T2861">
        <v>89.35</v>
      </c>
      <c r="U2861" t="s">
        <v>3066</v>
      </c>
      <c r="V2861">
        <v>89.35</v>
      </c>
      <c r="W2861">
        <v>11</v>
      </c>
      <c r="X2861">
        <v>12</v>
      </c>
      <c r="Y2861">
        <v>12</v>
      </c>
      <c r="Z2861">
        <v>0.3147059442655511</v>
      </c>
      <c r="AA2861">
        <v>1</v>
      </c>
    </row>
    <row r="2862" spans="1:27" x14ac:dyDescent="0.25">
      <c r="A2862" t="s">
        <v>98</v>
      </c>
      <c r="B2862" t="s">
        <v>519</v>
      </c>
      <c r="C2862" t="s">
        <v>100</v>
      </c>
      <c r="D2862" t="s">
        <v>101</v>
      </c>
      <c r="E2862" t="s">
        <v>3060</v>
      </c>
      <c r="F2862" t="s">
        <v>3080</v>
      </c>
      <c r="H2862" t="s">
        <v>125</v>
      </c>
      <c r="I2862">
        <v>2019</v>
      </c>
      <c r="J2862" t="s">
        <v>3086</v>
      </c>
      <c r="K2862" t="s">
        <v>127</v>
      </c>
      <c r="L2862" t="s">
        <v>3120</v>
      </c>
      <c r="M2862" t="s">
        <v>3127</v>
      </c>
      <c r="N2862">
        <v>0</v>
      </c>
      <c r="O2862">
        <v>2020</v>
      </c>
      <c r="P2862">
        <v>13.24384332799141</v>
      </c>
      <c r="Q2862">
        <v>6.8817612450097929</v>
      </c>
      <c r="R2862" t="s">
        <v>3065</v>
      </c>
      <c r="S2862">
        <v>115.469074178605</v>
      </c>
      <c r="T2862">
        <v>92.55</v>
      </c>
      <c r="U2862" t="s">
        <v>3066</v>
      </c>
      <c r="V2862">
        <v>92.55</v>
      </c>
      <c r="W2862">
        <v>10</v>
      </c>
      <c r="X2862">
        <v>11</v>
      </c>
      <c r="Y2862">
        <v>11</v>
      </c>
      <c r="Z2862">
        <v>0.3147059442655511</v>
      </c>
      <c r="AA2862">
        <v>1</v>
      </c>
    </row>
    <row r="2863" spans="1:27" x14ac:dyDescent="0.25">
      <c r="A2863" t="s">
        <v>98</v>
      </c>
      <c r="B2863" t="s">
        <v>519</v>
      </c>
      <c r="C2863" t="s">
        <v>100</v>
      </c>
      <c r="D2863" t="s">
        <v>101</v>
      </c>
      <c r="E2863" t="s">
        <v>3060</v>
      </c>
      <c r="F2863" t="s">
        <v>3080</v>
      </c>
      <c r="H2863" t="s">
        <v>125</v>
      </c>
      <c r="I2863">
        <v>2020</v>
      </c>
      <c r="J2863" t="s">
        <v>3087</v>
      </c>
      <c r="K2863" t="s">
        <v>127</v>
      </c>
      <c r="L2863" t="s">
        <v>3120</v>
      </c>
      <c r="M2863" t="s">
        <v>3127</v>
      </c>
      <c r="N2863">
        <v>1</v>
      </c>
      <c r="O2863">
        <v>2020</v>
      </c>
      <c r="P2863">
        <v>11.1485890114733</v>
      </c>
      <c r="Q2863">
        <v>6.8817612450097929</v>
      </c>
      <c r="R2863" t="s">
        <v>3065</v>
      </c>
      <c r="S2863">
        <v>97.201183951775761</v>
      </c>
      <c r="T2863">
        <v>95.699999999999989</v>
      </c>
      <c r="U2863" t="s">
        <v>3066</v>
      </c>
      <c r="V2863">
        <v>95.699999999999989</v>
      </c>
      <c r="W2863">
        <v>10</v>
      </c>
      <c r="X2863">
        <v>11</v>
      </c>
      <c r="Y2863">
        <v>11</v>
      </c>
      <c r="Z2863">
        <v>0.3147059442655511</v>
      </c>
      <c r="AA2863">
        <v>1</v>
      </c>
    </row>
    <row r="2864" spans="1:27" x14ac:dyDescent="0.25">
      <c r="A2864" t="s">
        <v>98</v>
      </c>
      <c r="B2864" t="s">
        <v>519</v>
      </c>
      <c r="C2864" t="s">
        <v>100</v>
      </c>
      <c r="D2864" t="s">
        <v>101</v>
      </c>
      <c r="E2864" t="s">
        <v>3060</v>
      </c>
      <c r="F2864" t="s">
        <v>3080</v>
      </c>
      <c r="H2864" t="s">
        <v>125</v>
      </c>
      <c r="I2864">
        <v>2021</v>
      </c>
      <c r="J2864" t="s">
        <v>3088</v>
      </c>
      <c r="K2864" t="s">
        <v>127</v>
      </c>
      <c r="L2864" t="s">
        <v>3120</v>
      </c>
      <c r="M2864" t="s">
        <v>3128</v>
      </c>
      <c r="N2864">
        <v>1</v>
      </c>
      <c r="O2864">
        <v>2021</v>
      </c>
      <c r="P2864">
        <v>8.8076283253635061</v>
      </c>
      <c r="Q2864">
        <v>6.8817612450097929</v>
      </c>
      <c r="R2864" t="s">
        <v>3065</v>
      </c>
      <c r="S2864">
        <v>76.791054020511638</v>
      </c>
      <c r="T2864">
        <v>97.949999999999989</v>
      </c>
      <c r="U2864" t="s">
        <v>3066</v>
      </c>
      <c r="V2864">
        <v>97.949999999999989</v>
      </c>
      <c r="W2864">
        <v>10</v>
      </c>
      <c r="X2864">
        <v>11</v>
      </c>
      <c r="Y2864">
        <v>11</v>
      </c>
      <c r="Z2864">
        <v>0.3147059442655511</v>
      </c>
      <c r="AA2864">
        <v>1</v>
      </c>
    </row>
    <row r="2865" spans="1:27" x14ac:dyDescent="0.25">
      <c r="A2865" t="s">
        <v>98</v>
      </c>
      <c r="B2865" t="s">
        <v>519</v>
      </c>
      <c r="C2865" t="s">
        <v>100</v>
      </c>
      <c r="D2865" t="s">
        <v>101</v>
      </c>
      <c r="E2865" t="s">
        <v>3060</v>
      </c>
      <c r="F2865" t="s">
        <v>3080</v>
      </c>
      <c r="H2865" t="s">
        <v>125</v>
      </c>
      <c r="I2865">
        <v>2022</v>
      </c>
      <c r="J2865" t="s">
        <v>3090</v>
      </c>
      <c r="K2865" t="s">
        <v>127</v>
      </c>
      <c r="L2865" t="s">
        <v>3120</v>
      </c>
      <c r="M2865" t="s">
        <v>3129</v>
      </c>
      <c r="N2865">
        <v>1</v>
      </c>
      <c r="O2865">
        <v>2022</v>
      </c>
      <c r="P2865">
        <v>6.4693677092492212</v>
      </c>
      <c r="Q2865">
        <v>6.8817612450097929</v>
      </c>
      <c r="R2865" t="s">
        <v>3065</v>
      </c>
      <c r="S2865">
        <v>56.40446518490063</v>
      </c>
      <c r="T2865">
        <v>100.22499999999999</v>
      </c>
      <c r="U2865" t="s">
        <v>3066</v>
      </c>
      <c r="V2865">
        <v>100.22499999999999</v>
      </c>
      <c r="W2865">
        <v>9</v>
      </c>
      <c r="X2865">
        <v>10</v>
      </c>
      <c r="Y2865">
        <v>10</v>
      </c>
      <c r="Z2865">
        <v>0.3147059442655511</v>
      </c>
      <c r="AA2865">
        <v>1</v>
      </c>
    </row>
    <row r="2866" spans="1:27" x14ac:dyDescent="0.25">
      <c r="A2866" t="s">
        <v>98</v>
      </c>
      <c r="B2866" t="s">
        <v>519</v>
      </c>
      <c r="C2866" t="s">
        <v>100</v>
      </c>
      <c r="D2866" t="s">
        <v>101</v>
      </c>
      <c r="E2866" t="s">
        <v>3060</v>
      </c>
      <c r="F2866" t="s">
        <v>3080</v>
      </c>
      <c r="H2866" t="s">
        <v>125</v>
      </c>
      <c r="I2866">
        <v>2023</v>
      </c>
      <c r="J2866" t="s">
        <v>3092</v>
      </c>
      <c r="K2866" t="s">
        <v>127</v>
      </c>
      <c r="L2866" t="s">
        <v>3120</v>
      </c>
      <c r="M2866" t="s">
        <v>3130</v>
      </c>
      <c r="N2866">
        <v>1</v>
      </c>
      <c r="O2866">
        <v>2023</v>
      </c>
      <c r="P2866">
        <v>6.3505646294466462</v>
      </c>
      <c r="Q2866">
        <v>6.8817612450097929</v>
      </c>
      <c r="R2866" t="s">
        <v>3065</v>
      </c>
      <c r="S2866">
        <v>55.368656976162868</v>
      </c>
      <c r="T2866">
        <v>102.65</v>
      </c>
      <c r="U2866" t="s">
        <v>3066</v>
      </c>
      <c r="V2866">
        <v>102.65</v>
      </c>
      <c r="W2866">
        <v>9</v>
      </c>
      <c r="X2866">
        <v>10</v>
      </c>
      <c r="Y2866">
        <v>10</v>
      </c>
      <c r="Z2866">
        <v>0.3147059442655511</v>
      </c>
      <c r="AA2866">
        <v>1</v>
      </c>
    </row>
    <row r="2867" spans="1:27" x14ac:dyDescent="0.25">
      <c r="A2867" t="s">
        <v>98</v>
      </c>
      <c r="B2867" t="s">
        <v>519</v>
      </c>
      <c r="C2867" t="s">
        <v>100</v>
      </c>
      <c r="D2867" t="s">
        <v>101</v>
      </c>
      <c r="E2867" t="s">
        <v>3060</v>
      </c>
      <c r="F2867" t="s">
        <v>3080</v>
      </c>
      <c r="H2867" t="s">
        <v>125</v>
      </c>
      <c r="I2867">
        <v>2024</v>
      </c>
      <c r="J2867" t="s">
        <v>3094</v>
      </c>
      <c r="K2867" t="s">
        <v>127</v>
      </c>
      <c r="L2867" t="s">
        <v>3120</v>
      </c>
      <c r="M2867" t="s">
        <v>3131</v>
      </c>
      <c r="N2867">
        <v>1</v>
      </c>
      <c r="O2867">
        <v>2024</v>
      </c>
      <c r="P2867">
        <v>6.2857629495543348</v>
      </c>
      <c r="Q2867">
        <v>6.8817612450097929</v>
      </c>
      <c r="R2867" t="s">
        <v>3065</v>
      </c>
      <c r="S2867">
        <v>54.803670680487762</v>
      </c>
      <c r="T2867">
        <v>105.05</v>
      </c>
      <c r="U2867" t="s">
        <v>3066</v>
      </c>
      <c r="V2867">
        <v>105.05</v>
      </c>
      <c r="W2867">
        <v>9</v>
      </c>
      <c r="X2867">
        <v>10</v>
      </c>
      <c r="Y2867">
        <v>10</v>
      </c>
      <c r="Z2867">
        <v>0.3147059442655511</v>
      </c>
      <c r="AA2867">
        <v>1</v>
      </c>
    </row>
    <row r="2868" spans="1:27" x14ac:dyDescent="0.25">
      <c r="A2868" t="s">
        <v>98</v>
      </c>
      <c r="B2868" t="s">
        <v>519</v>
      </c>
      <c r="C2868" t="s">
        <v>100</v>
      </c>
      <c r="D2868" t="s">
        <v>101</v>
      </c>
      <c r="E2868" t="s">
        <v>3060</v>
      </c>
      <c r="F2868" t="s">
        <v>3080</v>
      </c>
      <c r="H2868" t="s">
        <v>125</v>
      </c>
      <c r="I2868">
        <v>2025</v>
      </c>
      <c r="J2868" t="s">
        <v>3096</v>
      </c>
      <c r="K2868" t="s">
        <v>127</v>
      </c>
      <c r="L2868" t="s">
        <v>3120</v>
      </c>
      <c r="M2868" t="s">
        <v>3132</v>
      </c>
      <c r="N2868">
        <v>1</v>
      </c>
      <c r="O2868">
        <v>2025</v>
      </c>
      <c r="P2868">
        <v>6.1210586798280389</v>
      </c>
      <c r="Q2868">
        <v>6.8817612450097929</v>
      </c>
      <c r="R2868" t="s">
        <v>3065</v>
      </c>
      <c r="S2868">
        <v>53.367663845646781</v>
      </c>
      <c r="T2868">
        <v>107.47499999999999</v>
      </c>
      <c r="U2868" t="s">
        <v>3066</v>
      </c>
      <c r="V2868">
        <v>107.47499999999999</v>
      </c>
      <c r="W2868">
        <v>9</v>
      </c>
      <c r="X2868">
        <v>10</v>
      </c>
      <c r="Y2868">
        <v>10</v>
      </c>
      <c r="Z2868">
        <v>0.3147059442655511</v>
      </c>
      <c r="AA2868">
        <v>1</v>
      </c>
    </row>
    <row r="2869" spans="1:27" x14ac:dyDescent="0.25">
      <c r="A2869" t="s">
        <v>98</v>
      </c>
      <c r="B2869" t="s">
        <v>519</v>
      </c>
      <c r="C2869" t="s">
        <v>100</v>
      </c>
      <c r="D2869" t="s">
        <v>101</v>
      </c>
      <c r="E2869" t="s">
        <v>3060</v>
      </c>
      <c r="F2869" t="s">
        <v>3080</v>
      </c>
      <c r="H2869" t="s">
        <v>125</v>
      </c>
      <c r="I2869">
        <v>2030</v>
      </c>
      <c r="J2869" t="s">
        <v>3098</v>
      </c>
      <c r="K2869" t="s">
        <v>127</v>
      </c>
      <c r="L2869" t="s">
        <v>3120</v>
      </c>
      <c r="M2869" t="s">
        <v>3133</v>
      </c>
      <c r="N2869">
        <v>1</v>
      </c>
      <c r="O2869">
        <v>2030</v>
      </c>
      <c r="P2869">
        <v>5.5459437707837651</v>
      </c>
      <c r="Q2869">
        <v>6.8817612450097929</v>
      </c>
      <c r="R2869" t="s">
        <v>3065</v>
      </c>
      <c r="S2869">
        <v>48.353410471530012</v>
      </c>
      <c r="T2869">
        <v>119.575</v>
      </c>
      <c r="U2869" t="s">
        <v>3066</v>
      </c>
      <c r="V2869">
        <v>119.575</v>
      </c>
      <c r="W2869">
        <v>9</v>
      </c>
      <c r="X2869">
        <v>10</v>
      </c>
      <c r="Y2869">
        <v>10</v>
      </c>
      <c r="Z2869">
        <v>0.3147059442655511</v>
      </c>
      <c r="AA2869">
        <v>1</v>
      </c>
    </row>
    <row r="2870" spans="1:27" x14ac:dyDescent="0.25">
      <c r="A2870" t="s">
        <v>98</v>
      </c>
      <c r="B2870" t="s">
        <v>519</v>
      </c>
      <c r="C2870" t="s">
        <v>100</v>
      </c>
      <c r="D2870" t="s">
        <v>101</v>
      </c>
      <c r="E2870" t="s">
        <v>3060</v>
      </c>
      <c r="F2870" t="s">
        <v>3080</v>
      </c>
      <c r="H2870" t="s">
        <v>125</v>
      </c>
      <c r="I2870">
        <v>2040</v>
      </c>
      <c r="J2870" t="s">
        <v>3100</v>
      </c>
      <c r="K2870" t="s">
        <v>127</v>
      </c>
      <c r="L2870" t="s">
        <v>3120</v>
      </c>
      <c r="M2870" t="s">
        <v>3134</v>
      </c>
      <c r="N2870">
        <v>1</v>
      </c>
      <c r="O2870">
        <v>2040</v>
      </c>
      <c r="P2870">
        <v>5.1760341813984789</v>
      </c>
      <c r="Q2870">
        <v>6.8817612450097929</v>
      </c>
      <c r="R2870" t="s">
        <v>3065</v>
      </c>
      <c r="S2870">
        <v>45.128280367051119</v>
      </c>
      <c r="T2870">
        <v>144.42500000000001</v>
      </c>
      <c r="U2870" t="s">
        <v>3066</v>
      </c>
      <c r="V2870">
        <v>144.42500000000001</v>
      </c>
      <c r="W2870">
        <v>9</v>
      </c>
      <c r="X2870">
        <v>10</v>
      </c>
      <c r="Y2870">
        <v>10</v>
      </c>
      <c r="Z2870">
        <v>0.3147059442655511</v>
      </c>
      <c r="AA2870">
        <v>1</v>
      </c>
    </row>
    <row r="2871" spans="1:27" x14ac:dyDescent="0.25">
      <c r="A2871" t="s">
        <v>98</v>
      </c>
      <c r="B2871" t="s">
        <v>519</v>
      </c>
      <c r="C2871" t="s">
        <v>100</v>
      </c>
      <c r="D2871" t="s">
        <v>101</v>
      </c>
      <c r="E2871" t="s">
        <v>3060</v>
      </c>
      <c r="F2871" t="s">
        <v>3102</v>
      </c>
      <c r="H2871" t="s">
        <v>125</v>
      </c>
      <c r="I2871">
        <v>2015</v>
      </c>
      <c r="J2871" t="s">
        <v>3103</v>
      </c>
      <c r="K2871" t="s">
        <v>127</v>
      </c>
      <c r="L2871" t="s">
        <v>3120</v>
      </c>
      <c r="M2871" t="s">
        <v>3135</v>
      </c>
      <c r="N2871">
        <v>1</v>
      </c>
      <c r="O2871">
        <v>2020</v>
      </c>
      <c r="P2871">
        <v>2.3976621560155711</v>
      </c>
      <c r="Q2871">
        <v>6.8817612450097929</v>
      </c>
      <c r="R2871" t="s">
        <v>3065</v>
      </c>
      <c r="S2871">
        <v>20.90449293997986</v>
      </c>
      <c r="T2871">
        <v>12.7</v>
      </c>
      <c r="U2871" t="s">
        <v>3066</v>
      </c>
      <c r="V2871">
        <v>12.7</v>
      </c>
      <c r="W2871">
        <v>0</v>
      </c>
      <c r="X2871">
        <v>1</v>
      </c>
      <c r="Y2871">
        <v>1</v>
      </c>
      <c r="Z2871">
        <v>0.3147059442655511</v>
      </c>
      <c r="AA2871">
        <v>1</v>
      </c>
    </row>
    <row r="2872" spans="1:27" x14ac:dyDescent="0.25">
      <c r="A2872" t="s">
        <v>98</v>
      </c>
      <c r="B2872" t="s">
        <v>519</v>
      </c>
      <c r="C2872" t="s">
        <v>100</v>
      </c>
      <c r="D2872" t="s">
        <v>101</v>
      </c>
      <c r="E2872" t="s">
        <v>3060</v>
      </c>
      <c r="F2872" t="s">
        <v>3102</v>
      </c>
      <c r="H2872" t="s">
        <v>125</v>
      </c>
      <c r="I2872">
        <v>2022</v>
      </c>
      <c r="J2872" t="s">
        <v>3105</v>
      </c>
      <c r="K2872" t="s">
        <v>127</v>
      </c>
      <c r="L2872" t="s">
        <v>3120</v>
      </c>
      <c r="M2872" t="s">
        <v>3136</v>
      </c>
      <c r="N2872">
        <v>1</v>
      </c>
      <c r="O2872">
        <v>2022</v>
      </c>
      <c r="P2872">
        <v>3.996103593359285</v>
      </c>
      <c r="Q2872">
        <v>6.8817612450097929</v>
      </c>
      <c r="R2872" t="s">
        <v>3065</v>
      </c>
      <c r="S2872">
        <v>34.84082156663311</v>
      </c>
      <c r="T2872">
        <v>9.3000000000000007</v>
      </c>
      <c r="U2872" t="s">
        <v>3066</v>
      </c>
      <c r="V2872">
        <v>9.3000000000000007</v>
      </c>
      <c r="W2872">
        <v>0</v>
      </c>
      <c r="X2872">
        <v>1</v>
      </c>
      <c r="Y2872">
        <v>1</v>
      </c>
      <c r="Z2872">
        <v>0.3147059442655511</v>
      </c>
      <c r="AA2872">
        <v>1</v>
      </c>
    </row>
    <row r="2873" spans="1:27" x14ac:dyDescent="0.25">
      <c r="A2873" t="s">
        <v>98</v>
      </c>
      <c r="B2873" t="s">
        <v>519</v>
      </c>
      <c r="C2873" t="s">
        <v>100</v>
      </c>
      <c r="D2873" t="s">
        <v>101</v>
      </c>
      <c r="E2873" t="s">
        <v>3060</v>
      </c>
      <c r="F2873" t="s">
        <v>3107</v>
      </c>
      <c r="H2873" t="s">
        <v>125</v>
      </c>
      <c r="I2873">
        <v>2015</v>
      </c>
      <c r="J2873" t="s">
        <v>3108</v>
      </c>
      <c r="K2873" t="s">
        <v>127</v>
      </c>
      <c r="L2873" t="s">
        <v>3120</v>
      </c>
      <c r="M2873" t="s">
        <v>3137</v>
      </c>
      <c r="N2873">
        <v>1</v>
      </c>
      <c r="O2873">
        <v>2020</v>
      </c>
      <c r="P2873">
        <v>1.188030798025733</v>
      </c>
      <c r="Q2873">
        <v>6.8817612450097929</v>
      </c>
      <c r="R2873" t="s">
        <v>3065</v>
      </c>
      <c r="S2873">
        <v>10.35808208737741</v>
      </c>
      <c r="T2873">
        <v>71.5</v>
      </c>
      <c r="U2873" t="s">
        <v>3066</v>
      </c>
      <c r="V2873">
        <v>71.5</v>
      </c>
      <c r="W2873">
        <v>5</v>
      </c>
      <c r="X2873">
        <v>6</v>
      </c>
      <c r="Y2873">
        <v>6</v>
      </c>
      <c r="Z2873">
        <v>0.3147059442655511</v>
      </c>
      <c r="AA2873">
        <v>1</v>
      </c>
    </row>
    <row r="2874" spans="1:27" x14ac:dyDescent="0.25">
      <c r="A2874" t="s">
        <v>98</v>
      </c>
      <c r="B2874" t="s">
        <v>519</v>
      </c>
      <c r="C2874" t="s">
        <v>100</v>
      </c>
      <c r="D2874" t="s">
        <v>101</v>
      </c>
      <c r="E2874" t="s">
        <v>3060</v>
      </c>
      <c r="F2874" t="s">
        <v>3110</v>
      </c>
      <c r="H2874" t="s">
        <v>125</v>
      </c>
      <c r="I2874">
        <v>2015</v>
      </c>
      <c r="J2874" t="s">
        <v>3111</v>
      </c>
      <c r="K2874" t="s">
        <v>127</v>
      </c>
      <c r="L2874" t="s">
        <v>3120</v>
      </c>
      <c r="M2874" t="s">
        <v>3138</v>
      </c>
      <c r="N2874">
        <v>0</v>
      </c>
      <c r="O2874">
        <v>2020</v>
      </c>
      <c r="P2874">
        <v>7.0633831082620873</v>
      </c>
      <c r="Q2874">
        <v>6.8817612450097929</v>
      </c>
      <c r="R2874" t="s">
        <v>3065</v>
      </c>
      <c r="S2874">
        <v>61.583506228589343</v>
      </c>
      <c r="T2874">
        <v>90</v>
      </c>
      <c r="U2874" t="s">
        <v>3066</v>
      </c>
      <c r="V2874">
        <v>90</v>
      </c>
      <c r="W2874">
        <v>7</v>
      </c>
      <c r="X2874">
        <v>8</v>
      </c>
      <c r="Y2874">
        <v>8</v>
      </c>
      <c r="Z2874">
        <v>0.3147059442655511</v>
      </c>
      <c r="AA2874">
        <v>1</v>
      </c>
    </row>
    <row r="2875" spans="1:27" x14ac:dyDescent="0.25">
      <c r="A2875" t="s">
        <v>98</v>
      </c>
      <c r="B2875" t="s">
        <v>519</v>
      </c>
      <c r="C2875" t="s">
        <v>100</v>
      </c>
      <c r="D2875" t="s">
        <v>101</v>
      </c>
      <c r="E2875" t="s">
        <v>3060</v>
      </c>
      <c r="F2875" t="s">
        <v>3110</v>
      </c>
      <c r="H2875" t="s">
        <v>125</v>
      </c>
      <c r="I2875">
        <v>2020</v>
      </c>
      <c r="J2875" t="s">
        <v>3113</v>
      </c>
      <c r="K2875" t="s">
        <v>127</v>
      </c>
      <c r="L2875" t="s">
        <v>3120</v>
      </c>
      <c r="M2875" t="s">
        <v>3138</v>
      </c>
      <c r="N2875">
        <v>1</v>
      </c>
      <c r="O2875">
        <v>2020</v>
      </c>
      <c r="P2875">
        <v>4.449715352605474</v>
      </c>
      <c r="Q2875">
        <v>6.8817612450097929</v>
      </c>
      <c r="R2875" t="s">
        <v>3065</v>
      </c>
      <c r="S2875">
        <v>38.795725636359023</v>
      </c>
      <c r="T2875">
        <v>89.2</v>
      </c>
      <c r="U2875" t="s">
        <v>3066</v>
      </c>
      <c r="V2875">
        <v>89.2</v>
      </c>
      <c r="W2875">
        <v>11</v>
      </c>
      <c r="X2875">
        <v>12</v>
      </c>
      <c r="Y2875">
        <v>12</v>
      </c>
      <c r="Z2875">
        <v>0.3147059442655511</v>
      </c>
      <c r="AA2875">
        <v>1</v>
      </c>
    </row>
    <row r="2876" spans="1:27" x14ac:dyDescent="0.25">
      <c r="A2876" t="s">
        <v>98</v>
      </c>
      <c r="B2876" t="s">
        <v>519</v>
      </c>
      <c r="C2876" t="s">
        <v>100</v>
      </c>
      <c r="D2876" t="s">
        <v>101</v>
      </c>
      <c r="E2876" t="s">
        <v>3060</v>
      </c>
      <c r="F2876" t="s">
        <v>3110</v>
      </c>
      <c r="H2876" t="s">
        <v>125</v>
      </c>
      <c r="I2876">
        <v>2022</v>
      </c>
      <c r="J2876" t="s">
        <v>3114</v>
      </c>
      <c r="K2876" t="s">
        <v>127</v>
      </c>
      <c r="L2876" t="s">
        <v>3120</v>
      </c>
      <c r="M2876" t="s">
        <v>3139</v>
      </c>
      <c r="N2876">
        <v>1</v>
      </c>
      <c r="O2876">
        <v>2022</v>
      </c>
      <c r="P2876">
        <v>4.4065142326772646</v>
      </c>
      <c r="Q2876">
        <v>6.8817612450097929</v>
      </c>
      <c r="R2876" t="s">
        <v>3065</v>
      </c>
      <c r="S2876">
        <v>38.419068105908927</v>
      </c>
      <c r="T2876">
        <v>89.2</v>
      </c>
      <c r="U2876" t="s">
        <v>3066</v>
      </c>
      <c r="V2876">
        <v>89.2</v>
      </c>
      <c r="W2876">
        <v>11</v>
      </c>
      <c r="X2876">
        <v>12</v>
      </c>
      <c r="Y2876">
        <v>12</v>
      </c>
      <c r="Z2876">
        <v>0.3147059442655511</v>
      </c>
      <c r="AA2876">
        <v>1</v>
      </c>
    </row>
    <row r="2877" spans="1:27" x14ac:dyDescent="0.25">
      <c r="A2877" t="s">
        <v>98</v>
      </c>
      <c r="B2877" t="s">
        <v>519</v>
      </c>
      <c r="C2877" t="s">
        <v>100</v>
      </c>
      <c r="D2877" t="s">
        <v>101</v>
      </c>
      <c r="E2877" t="s">
        <v>3060</v>
      </c>
      <c r="F2877" t="s">
        <v>3110</v>
      </c>
      <c r="H2877" t="s">
        <v>125</v>
      </c>
      <c r="I2877">
        <v>2030</v>
      </c>
      <c r="J2877" t="s">
        <v>3116</v>
      </c>
      <c r="K2877" t="s">
        <v>127</v>
      </c>
      <c r="L2877" t="s">
        <v>3120</v>
      </c>
      <c r="M2877" t="s">
        <v>3140</v>
      </c>
      <c r="N2877">
        <v>1</v>
      </c>
      <c r="O2877">
        <v>2030</v>
      </c>
      <c r="P2877">
        <v>4.2337097529644314</v>
      </c>
      <c r="Q2877">
        <v>6.8817612450097929</v>
      </c>
      <c r="R2877" t="s">
        <v>3065</v>
      </c>
      <c r="S2877">
        <v>36.912437984108593</v>
      </c>
      <c r="T2877">
        <v>89.2</v>
      </c>
      <c r="U2877" t="s">
        <v>3066</v>
      </c>
      <c r="V2877">
        <v>89.2</v>
      </c>
      <c r="W2877">
        <v>11</v>
      </c>
      <c r="X2877">
        <v>12</v>
      </c>
      <c r="Y2877">
        <v>12</v>
      </c>
      <c r="Z2877">
        <v>0.3147059442655511</v>
      </c>
      <c r="AA2877">
        <v>1</v>
      </c>
    </row>
    <row r="2878" spans="1:27" x14ac:dyDescent="0.25">
      <c r="A2878" t="s">
        <v>98</v>
      </c>
      <c r="B2878" t="s">
        <v>519</v>
      </c>
      <c r="C2878" t="s">
        <v>100</v>
      </c>
      <c r="D2878" t="s">
        <v>101</v>
      </c>
      <c r="E2878" t="s">
        <v>3060</v>
      </c>
      <c r="F2878" t="s">
        <v>3110</v>
      </c>
      <c r="H2878" t="s">
        <v>125</v>
      </c>
      <c r="I2878">
        <v>2040</v>
      </c>
      <c r="J2878" t="s">
        <v>3118</v>
      </c>
      <c r="K2878" t="s">
        <v>127</v>
      </c>
      <c r="L2878" t="s">
        <v>3120</v>
      </c>
      <c r="M2878" t="s">
        <v>3141</v>
      </c>
      <c r="N2878">
        <v>1</v>
      </c>
      <c r="O2878">
        <v>2040</v>
      </c>
      <c r="P2878">
        <v>4.0285044333054412</v>
      </c>
      <c r="Q2878">
        <v>6.8817612450097929</v>
      </c>
      <c r="R2878" t="s">
        <v>3065</v>
      </c>
      <c r="S2878">
        <v>35.123314714470673</v>
      </c>
      <c r="T2878">
        <v>89.2</v>
      </c>
      <c r="U2878" t="s">
        <v>3066</v>
      </c>
      <c r="V2878">
        <v>89.2</v>
      </c>
      <c r="W2878">
        <v>11</v>
      </c>
      <c r="X2878">
        <v>12</v>
      </c>
      <c r="Y2878">
        <v>12</v>
      </c>
      <c r="Z2878">
        <v>0.3147059442655511</v>
      </c>
      <c r="AA2878">
        <v>1</v>
      </c>
    </row>
    <row r="2879" spans="1:27" x14ac:dyDescent="0.25">
      <c r="A2879" t="s">
        <v>98</v>
      </c>
      <c r="B2879" t="s">
        <v>99</v>
      </c>
      <c r="C2879" t="s">
        <v>689</v>
      </c>
      <c r="D2879" t="s">
        <v>101</v>
      </c>
      <c r="E2879" t="s">
        <v>3060</v>
      </c>
      <c r="F2879" t="s">
        <v>3061</v>
      </c>
      <c r="H2879" t="s">
        <v>125</v>
      </c>
      <c r="I2879">
        <v>2015</v>
      </c>
      <c r="J2879" t="s">
        <v>3062</v>
      </c>
      <c r="K2879" t="s">
        <v>127</v>
      </c>
      <c r="L2879" t="s">
        <v>3142</v>
      </c>
      <c r="M2879" t="s">
        <v>3143</v>
      </c>
      <c r="N2879">
        <v>0</v>
      </c>
      <c r="O2879">
        <v>2020</v>
      </c>
      <c r="P2879">
        <v>4.9303278118067926</v>
      </c>
      <c r="Q2879">
        <v>3.882778380960195</v>
      </c>
      <c r="R2879" t="s">
        <v>3065</v>
      </c>
      <c r="S2879">
        <v>38.093813203324331</v>
      </c>
      <c r="T2879">
        <v>15.7</v>
      </c>
      <c r="U2879" t="s">
        <v>3066</v>
      </c>
      <c r="V2879">
        <v>15.7</v>
      </c>
      <c r="W2879">
        <v>0</v>
      </c>
      <c r="X2879">
        <v>1</v>
      </c>
      <c r="Y2879">
        <v>1</v>
      </c>
      <c r="Z2879">
        <v>0.29704003815000068</v>
      </c>
      <c r="AA2879">
        <v>1</v>
      </c>
    </row>
    <row r="2880" spans="1:27" x14ac:dyDescent="0.25">
      <c r="A2880" t="s">
        <v>98</v>
      </c>
      <c r="B2880" t="s">
        <v>99</v>
      </c>
      <c r="C2880" t="s">
        <v>689</v>
      </c>
      <c r="D2880" t="s">
        <v>101</v>
      </c>
      <c r="E2880" t="s">
        <v>3060</v>
      </c>
      <c r="F2880" t="s">
        <v>3061</v>
      </c>
      <c r="H2880" t="s">
        <v>125</v>
      </c>
      <c r="I2880">
        <v>2020</v>
      </c>
      <c r="J2880" t="s">
        <v>3067</v>
      </c>
      <c r="K2880" t="s">
        <v>127</v>
      </c>
      <c r="L2880" t="s">
        <v>3142</v>
      </c>
      <c r="M2880" t="s">
        <v>3143</v>
      </c>
      <c r="N2880">
        <v>1</v>
      </c>
      <c r="O2880">
        <v>2020</v>
      </c>
      <c r="P2880">
        <v>7.0363824083069577</v>
      </c>
      <c r="Q2880">
        <v>3.882778380960195</v>
      </c>
      <c r="R2880" t="s">
        <v>3065</v>
      </c>
      <c r="S2880">
        <v>54.366088284700567</v>
      </c>
      <c r="T2880">
        <v>15.7</v>
      </c>
      <c r="U2880" t="s">
        <v>3066</v>
      </c>
      <c r="V2880">
        <v>15.7</v>
      </c>
      <c r="W2880">
        <v>0</v>
      </c>
      <c r="X2880">
        <v>1</v>
      </c>
      <c r="Y2880">
        <v>1</v>
      </c>
      <c r="Z2880">
        <v>0.29704003815000068</v>
      </c>
      <c r="AA2880">
        <v>1</v>
      </c>
    </row>
    <row r="2881" spans="1:27" x14ac:dyDescent="0.25">
      <c r="A2881" t="s">
        <v>98</v>
      </c>
      <c r="B2881" t="s">
        <v>99</v>
      </c>
      <c r="C2881" t="s">
        <v>689</v>
      </c>
      <c r="D2881" t="s">
        <v>101</v>
      </c>
      <c r="E2881" t="s">
        <v>3060</v>
      </c>
      <c r="F2881" t="s">
        <v>3061</v>
      </c>
      <c r="H2881" t="s">
        <v>125</v>
      </c>
      <c r="I2881">
        <v>2022</v>
      </c>
      <c r="J2881" t="s">
        <v>3068</v>
      </c>
      <c r="K2881" t="s">
        <v>127</v>
      </c>
      <c r="L2881" t="s">
        <v>3142</v>
      </c>
      <c r="M2881" t="s">
        <v>3144</v>
      </c>
      <c r="N2881">
        <v>1</v>
      </c>
      <c r="O2881">
        <v>2022</v>
      </c>
      <c r="P2881">
        <v>7.8788042469070234</v>
      </c>
      <c r="Q2881">
        <v>3.882778380960195</v>
      </c>
      <c r="R2881" t="s">
        <v>3065</v>
      </c>
      <c r="S2881">
        <v>60.874998317251048</v>
      </c>
      <c r="T2881">
        <v>15.7</v>
      </c>
      <c r="U2881" t="s">
        <v>3066</v>
      </c>
      <c r="V2881">
        <v>15.7</v>
      </c>
      <c r="W2881">
        <v>0</v>
      </c>
      <c r="X2881">
        <v>1</v>
      </c>
      <c r="Y2881">
        <v>1</v>
      </c>
      <c r="Z2881">
        <v>0.29704003815000068</v>
      </c>
      <c r="AA2881">
        <v>1</v>
      </c>
    </row>
    <row r="2882" spans="1:27" x14ac:dyDescent="0.25">
      <c r="A2882" t="s">
        <v>98</v>
      </c>
      <c r="B2882" t="s">
        <v>99</v>
      </c>
      <c r="C2882" t="s">
        <v>689</v>
      </c>
      <c r="D2882" t="s">
        <v>101</v>
      </c>
      <c r="E2882" t="s">
        <v>3060</v>
      </c>
      <c r="F2882" t="s">
        <v>3070</v>
      </c>
      <c r="H2882" t="s">
        <v>125</v>
      </c>
      <c r="I2882">
        <v>2015</v>
      </c>
      <c r="J2882" t="s">
        <v>3071</v>
      </c>
      <c r="K2882" t="s">
        <v>127</v>
      </c>
      <c r="L2882" t="s">
        <v>3142</v>
      </c>
      <c r="M2882" t="s">
        <v>3145</v>
      </c>
      <c r="N2882">
        <v>0</v>
      </c>
      <c r="O2882">
        <v>2020</v>
      </c>
      <c r="P2882">
        <v>4.7269225388114773</v>
      </c>
      <c r="Q2882">
        <v>3.882778380960195</v>
      </c>
      <c r="R2882" t="s">
        <v>3065</v>
      </c>
      <c r="S2882">
        <v>36.52221740486663</v>
      </c>
      <c r="T2882">
        <v>59.066666666666663</v>
      </c>
      <c r="U2882" t="s">
        <v>3066</v>
      </c>
      <c r="V2882">
        <v>59.066666666666663</v>
      </c>
      <c r="W2882">
        <v>3</v>
      </c>
      <c r="X2882">
        <v>4</v>
      </c>
      <c r="Y2882">
        <v>4</v>
      </c>
      <c r="Z2882">
        <v>0.29704003815000068</v>
      </c>
      <c r="AA2882">
        <v>1</v>
      </c>
    </row>
    <row r="2883" spans="1:27" x14ac:dyDescent="0.25">
      <c r="A2883" t="s">
        <v>98</v>
      </c>
      <c r="B2883" t="s">
        <v>99</v>
      </c>
      <c r="C2883" t="s">
        <v>689</v>
      </c>
      <c r="D2883" t="s">
        <v>101</v>
      </c>
      <c r="E2883" t="s">
        <v>3060</v>
      </c>
      <c r="F2883" t="s">
        <v>3070</v>
      </c>
      <c r="H2883" t="s">
        <v>125</v>
      </c>
      <c r="I2883">
        <v>2020</v>
      </c>
      <c r="J2883" t="s">
        <v>3073</v>
      </c>
      <c r="K2883" t="s">
        <v>127</v>
      </c>
      <c r="L2883" t="s">
        <v>3142</v>
      </c>
      <c r="M2883" t="s">
        <v>3145</v>
      </c>
      <c r="N2883">
        <v>1</v>
      </c>
      <c r="O2883">
        <v>2020</v>
      </c>
      <c r="P2883">
        <v>6.2353616429714247</v>
      </c>
      <c r="Q2883">
        <v>3.882778380960195</v>
      </c>
      <c r="R2883" t="s">
        <v>3065</v>
      </c>
      <c r="S2883">
        <v>48.177060582809602</v>
      </c>
      <c r="T2883">
        <v>59.933333333333337</v>
      </c>
      <c r="U2883" t="s">
        <v>3066</v>
      </c>
      <c r="V2883">
        <v>59.933333333333337</v>
      </c>
      <c r="W2883">
        <v>3</v>
      </c>
      <c r="X2883">
        <v>4</v>
      </c>
      <c r="Y2883">
        <v>4</v>
      </c>
      <c r="Z2883">
        <v>0.29704003815000068</v>
      </c>
      <c r="AA2883">
        <v>1</v>
      </c>
    </row>
    <row r="2884" spans="1:27" x14ac:dyDescent="0.25">
      <c r="A2884" t="s">
        <v>98</v>
      </c>
      <c r="B2884" t="s">
        <v>99</v>
      </c>
      <c r="C2884" t="s">
        <v>689</v>
      </c>
      <c r="D2884" t="s">
        <v>101</v>
      </c>
      <c r="E2884" t="s">
        <v>3060</v>
      </c>
      <c r="F2884" t="s">
        <v>3070</v>
      </c>
      <c r="H2884" t="s">
        <v>125</v>
      </c>
      <c r="I2884">
        <v>2022</v>
      </c>
      <c r="J2884" t="s">
        <v>3074</v>
      </c>
      <c r="K2884" t="s">
        <v>127</v>
      </c>
      <c r="L2884" t="s">
        <v>3142</v>
      </c>
      <c r="M2884" t="s">
        <v>3146</v>
      </c>
      <c r="N2884">
        <v>1</v>
      </c>
      <c r="O2884">
        <v>2022</v>
      </c>
      <c r="P2884">
        <v>5.7403488104607021</v>
      </c>
      <c r="Q2884">
        <v>3.882778380960195</v>
      </c>
      <c r="R2884" t="s">
        <v>3065</v>
      </c>
      <c r="S2884">
        <v>44.352380542315188</v>
      </c>
      <c r="T2884">
        <v>65.8</v>
      </c>
      <c r="U2884" t="s">
        <v>3066</v>
      </c>
      <c r="V2884">
        <v>65.8</v>
      </c>
      <c r="W2884">
        <v>3</v>
      </c>
      <c r="X2884">
        <v>4</v>
      </c>
      <c r="Y2884">
        <v>4</v>
      </c>
      <c r="Z2884">
        <v>0.29704003815000068</v>
      </c>
      <c r="AA2884">
        <v>1</v>
      </c>
    </row>
    <row r="2885" spans="1:27" x14ac:dyDescent="0.25">
      <c r="A2885" t="s">
        <v>98</v>
      </c>
      <c r="B2885" t="s">
        <v>99</v>
      </c>
      <c r="C2885" t="s">
        <v>689</v>
      </c>
      <c r="D2885" t="s">
        <v>101</v>
      </c>
      <c r="E2885" t="s">
        <v>3060</v>
      </c>
      <c r="F2885" t="s">
        <v>3070</v>
      </c>
      <c r="H2885" t="s">
        <v>125</v>
      </c>
      <c r="I2885">
        <v>2030</v>
      </c>
      <c r="J2885" t="s">
        <v>3076</v>
      </c>
      <c r="K2885" t="s">
        <v>127</v>
      </c>
      <c r="L2885" t="s">
        <v>3142</v>
      </c>
      <c r="M2885" t="s">
        <v>3147</v>
      </c>
      <c r="N2885">
        <v>1</v>
      </c>
      <c r="O2885">
        <v>2030</v>
      </c>
      <c r="P2885">
        <v>5.513542930837608</v>
      </c>
      <c r="Q2885">
        <v>3.882778380960195</v>
      </c>
      <c r="R2885" t="s">
        <v>3065</v>
      </c>
      <c r="S2885">
        <v>42.599981687397758</v>
      </c>
      <c r="T2885">
        <v>68.5</v>
      </c>
      <c r="U2885" t="s">
        <v>3066</v>
      </c>
      <c r="V2885">
        <v>68.5</v>
      </c>
      <c r="W2885">
        <v>3</v>
      </c>
      <c r="X2885">
        <v>4</v>
      </c>
      <c r="Y2885">
        <v>4</v>
      </c>
      <c r="Z2885">
        <v>0.29704003815000068</v>
      </c>
      <c r="AA2885">
        <v>1</v>
      </c>
    </row>
    <row r="2886" spans="1:27" x14ac:dyDescent="0.25">
      <c r="A2886" t="s">
        <v>98</v>
      </c>
      <c r="B2886" t="s">
        <v>99</v>
      </c>
      <c r="C2886" t="s">
        <v>689</v>
      </c>
      <c r="D2886" t="s">
        <v>101</v>
      </c>
      <c r="E2886" t="s">
        <v>3060</v>
      </c>
      <c r="F2886" t="s">
        <v>3070</v>
      </c>
      <c r="H2886" t="s">
        <v>125</v>
      </c>
      <c r="I2886">
        <v>2040</v>
      </c>
      <c r="J2886" t="s">
        <v>3078</v>
      </c>
      <c r="K2886" t="s">
        <v>127</v>
      </c>
      <c r="L2886" t="s">
        <v>3142</v>
      </c>
      <c r="M2886" t="s">
        <v>3148</v>
      </c>
      <c r="N2886">
        <v>1</v>
      </c>
      <c r="O2886">
        <v>2040</v>
      </c>
      <c r="P2886">
        <v>5.2435359312863046</v>
      </c>
      <c r="Q2886">
        <v>3.882778380960195</v>
      </c>
      <c r="R2886" t="s">
        <v>3065</v>
      </c>
      <c r="S2886">
        <v>40.51379257440081</v>
      </c>
      <c r="T2886">
        <v>72</v>
      </c>
      <c r="U2886" t="s">
        <v>3066</v>
      </c>
      <c r="V2886">
        <v>72</v>
      </c>
      <c r="W2886">
        <v>3</v>
      </c>
      <c r="X2886">
        <v>4</v>
      </c>
      <c r="Y2886">
        <v>4</v>
      </c>
      <c r="Z2886">
        <v>0.29704003815000068</v>
      </c>
      <c r="AA2886">
        <v>1</v>
      </c>
    </row>
    <row r="2887" spans="1:27" x14ac:dyDescent="0.25">
      <c r="A2887" t="s">
        <v>98</v>
      </c>
      <c r="B2887" t="s">
        <v>99</v>
      </c>
      <c r="C2887" t="s">
        <v>689</v>
      </c>
      <c r="D2887" t="s">
        <v>101</v>
      </c>
      <c r="E2887" t="s">
        <v>3060</v>
      </c>
      <c r="F2887" t="s">
        <v>3080</v>
      </c>
      <c r="H2887" t="s">
        <v>125</v>
      </c>
      <c r="I2887">
        <v>2015</v>
      </c>
      <c r="J2887" t="s">
        <v>3081</v>
      </c>
      <c r="K2887" t="s">
        <v>127</v>
      </c>
      <c r="L2887" t="s">
        <v>3142</v>
      </c>
      <c r="M2887" t="s">
        <v>3149</v>
      </c>
      <c r="N2887">
        <v>0</v>
      </c>
      <c r="O2887">
        <v>2020</v>
      </c>
      <c r="P2887">
        <v>21.61676038407732</v>
      </c>
      <c r="Q2887">
        <v>3.882778380960195</v>
      </c>
      <c r="R2887" t="s">
        <v>3065</v>
      </c>
      <c r="S2887">
        <v>167.02030038653601</v>
      </c>
      <c r="T2887">
        <v>79.849999999999994</v>
      </c>
      <c r="U2887" t="s">
        <v>3066</v>
      </c>
      <c r="V2887">
        <v>79.849999999999994</v>
      </c>
      <c r="W2887">
        <v>12</v>
      </c>
      <c r="X2887">
        <v>13</v>
      </c>
      <c r="Y2887">
        <v>13</v>
      </c>
      <c r="Z2887">
        <v>0.29704003815000068</v>
      </c>
      <c r="AA2887">
        <v>1</v>
      </c>
    </row>
    <row r="2888" spans="1:27" x14ac:dyDescent="0.25">
      <c r="A2888" t="s">
        <v>98</v>
      </c>
      <c r="B2888" t="s">
        <v>99</v>
      </c>
      <c r="C2888" t="s">
        <v>689</v>
      </c>
      <c r="D2888" t="s">
        <v>101</v>
      </c>
      <c r="E2888" t="s">
        <v>3060</v>
      </c>
      <c r="F2888" t="s">
        <v>3080</v>
      </c>
      <c r="H2888" t="s">
        <v>125</v>
      </c>
      <c r="I2888">
        <v>2016</v>
      </c>
      <c r="J2888" t="s">
        <v>3083</v>
      </c>
      <c r="K2888" t="s">
        <v>127</v>
      </c>
      <c r="L2888" t="s">
        <v>3142</v>
      </c>
      <c r="M2888" t="s">
        <v>3149</v>
      </c>
      <c r="N2888">
        <v>0</v>
      </c>
      <c r="O2888">
        <v>2020</v>
      </c>
      <c r="P2888">
        <v>21.128047714889458</v>
      </c>
      <c r="Q2888">
        <v>3.882778380960195</v>
      </c>
      <c r="R2888" t="s">
        <v>3065</v>
      </c>
      <c r="S2888">
        <v>163.24429809201149</v>
      </c>
      <c r="T2888">
        <v>83.025000000000006</v>
      </c>
      <c r="U2888" t="s">
        <v>3066</v>
      </c>
      <c r="V2888">
        <v>83.025000000000006</v>
      </c>
      <c r="W2888">
        <v>12</v>
      </c>
      <c r="X2888">
        <v>13</v>
      </c>
      <c r="Y2888">
        <v>13</v>
      </c>
      <c r="Z2888">
        <v>0.29704003815000068</v>
      </c>
      <c r="AA2888">
        <v>1</v>
      </c>
    </row>
    <row r="2889" spans="1:27" x14ac:dyDescent="0.25">
      <c r="A2889" t="s">
        <v>98</v>
      </c>
      <c r="B2889" t="s">
        <v>99</v>
      </c>
      <c r="C2889" t="s">
        <v>689</v>
      </c>
      <c r="D2889" t="s">
        <v>101</v>
      </c>
      <c r="E2889" t="s">
        <v>3060</v>
      </c>
      <c r="F2889" t="s">
        <v>3080</v>
      </c>
      <c r="H2889" t="s">
        <v>125</v>
      </c>
      <c r="I2889">
        <v>2017</v>
      </c>
      <c r="J2889" t="s">
        <v>3084</v>
      </c>
      <c r="K2889" t="s">
        <v>127</v>
      </c>
      <c r="L2889" t="s">
        <v>3142</v>
      </c>
      <c r="M2889" t="s">
        <v>3149</v>
      </c>
      <c r="N2889">
        <v>0</v>
      </c>
      <c r="O2889">
        <v>2020</v>
      </c>
      <c r="P2889">
        <v>17.431651891032121</v>
      </c>
      <c r="Q2889">
        <v>3.882778380960195</v>
      </c>
      <c r="R2889" t="s">
        <v>3065</v>
      </c>
      <c r="S2889">
        <v>134.68436913508319</v>
      </c>
      <c r="T2889">
        <v>86.2</v>
      </c>
      <c r="U2889" t="s">
        <v>3066</v>
      </c>
      <c r="V2889">
        <v>86.2</v>
      </c>
      <c r="W2889">
        <v>11</v>
      </c>
      <c r="X2889">
        <v>12</v>
      </c>
      <c r="Y2889">
        <v>12</v>
      </c>
      <c r="Z2889">
        <v>0.29704003815000068</v>
      </c>
      <c r="AA2889">
        <v>1</v>
      </c>
    </row>
    <row r="2890" spans="1:27" x14ac:dyDescent="0.25">
      <c r="A2890" t="s">
        <v>98</v>
      </c>
      <c r="B2890" t="s">
        <v>99</v>
      </c>
      <c r="C2890" t="s">
        <v>689</v>
      </c>
      <c r="D2890" t="s">
        <v>101</v>
      </c>
      <c r="E2890" t="s">
        <v>3060</v>
      </c>
      <c r="F2890" t="s">
        <v>3080</v>
      </c>
      <c r="H2890" t="s">
        <v>125</v>
      </c>
      <c r="I2890">
        <v>2018</v>
      </c>
      <c r="J2890" t="s">
        <v>3085</v>
      </c>
      <c r="K2890" t="s">
        <v>127</v>
      </c>
      <c r="L2890" t="s">
        <v>3142</v>
      </c>
      <c r="M2890" t="s">
        <v>3149</v>
      </c>
      <c r="N2890">
        <v>0</v>
      </c>
      <c r="O2890">
        <v>2020</v>
      </c>
      <c r="P2890">
        <v>15.33639757451401</v>
      </c>
      <c r="Q2890">
        <v>3.882778380960195</v>
      </c>
      <c r="R2890" t="s">
        <v>3065</v>
      </c>
      <c r="S2890">
        <v>118.49554161822689</v>
      </c>
      <c r="T2890">
        <v>89.35</v>
      </c>
      <c r="U2890" t="s">
        <v>3066</v>
      </c>
      <c r="V2890">
        <v>89.35</v>
      </c>
      <c r="W2890">
        <v>11</v>
      </c>
      <c r="X2890">
        <v>12</v>
      </c>
      <c r="Y2890">
        <v>12</v>
      </c>
      <c r="Z2890">
        <v>0.29704003815000068</v>
      </c>
      <c r="AA2890">
        <v>1</v>
      </c>
    </row>
    <row r="2891" spans="1:27" x14ac:dyDescent="0.25">
      <c r="A2891" t="s">
        <v>98</v>
      </c>
      <c r="B2891" t="s">
        <v>99</v>
      </c>
      <c r="C2891" t="s">
        <v>689</v>
      </c>
      <c r="D2891" t="s">
        <v>101</v>
      </c>
      <c r="E2891" t="s">
        <v>3060</v>
      </c>
      <c r="F2891" t="s">
        <v>3080</v>
      </c>
      <c r="H2891" t="s">
        <v>125</v>
      </c>
      <c r="I2891">
        <v>2019</v>
      </c>
      <c r="J2891" t="s">
        <v>3086</v>
      </c>
      <c r="K2891" t="s">
        <v>127</v>
      </c>
      <c r="L2891" t="s">
        <v>3142</v>
      </c>
      <c r="M2891" t="s">
        <v>3149</v>
      </c>
      <c r="N2891">
        <v>0</v>
      </c>
      <c r="O2891">
        <v>2020</v>
      </c>
      <c r="P2891">
        <v>13.24384332799141</v>
      </c>
      <c r="Q2891">
        <v>3.882778380960195</v>
      </c>
      <c r="R2891" t="s">
        <v>3065</v>
      </c>
      <c r="S2891">
        <v>102.3275759925005</v>
      </c>
      <c r="T2891">
        <v>92.55</v>
      </c>
      <c r="U2891" t="s">
        <v>3066</v>
      </c>
      <c r="V2891">
        <v>92.55</v>
      </c>
      <c r="W2891">
        <v>11</v>
      </c>
      <c r="X2891">
        <v>12</v>
      </c>
      <c r="Y2891">
        <v>12</v>
      </c>
      <c r="Z2891">
        <v>0.29704003815000068</v>
      </c>
      <c r="AA2891">
        <v>1</v>
      </c>
    </row>
    <row r="2892" spans="1:27" x14ac:dyDescent="0.25">
      <c r="A2892" t="s">
        <v>98</v>
      </c>
      <c r="B2892" t="s">
        <v>99</v>
      </c>
      <c r="C2892" t="s">
        <v>689</v>
      </c>
      <c r="D2892" t="s">
        <v>101</v>
      </c>
      <c r="E2892" t="s">
        <v>3060</v>
      </c>
      <c r="F2892" t="s">
        <v>3080</v>
      </c>
      <c r="H2892" t="s">
        <v>125</v>
      </c>
      <c r="I2892">
        <v>2020</v>
      </c>
      <c r="J2892" t="s">
        <v>3087</v>
      </c>
      <c r="K2892" t="s">
        <v>127</v>
      </c>
      <c r="L2892" t="s">
        <v>3142</v>
      </c>
      <c r="M2892" t="s">
        <v>3149</v>
      </c>
      <c r="N2892">
        <v>1</v>
      </c>
      <c r="O2892">
        <v>2020</v>
      </c>
      <c r="P2892">
        <v>11.1485890114733</v>
      </c>
      <c r="Q2892">
        <v>3.882778380960195</v>
      </c>
      <c r="R2892" t="s">
        <v>3065</v>
      </c>
      <c r="S2892">
        <v>86.138748475644149</v>
      </c>
      <c r="T2892">
        <v>95.699999999999989</v>
      </c>
      <c r="U2892" t="s">
        <v>3066</v>
      </c>
      <c r="V2892">
        <v>95.699999999999989</v>
      </c>
      <c r="W2892">
        <v>11</v>
      </c>
      <c r="X2892">
        <v>12</v>
      </c>
      <c r="Y2892">
        <v>12</v>
      </c>
      <c r="Z2892">
        <v>0.29704003815000068</v>
      </c>
      <c r="AA2892">
        <v>1</v>
      </c>
    </row>
    <row r="2893" spans="1:27" x14ac:dyDescent="0.25">
      <c r="A2893" t="s">
        <v>98</v>
      </c>
      <c r="B2893" t="s">
        <v>99</v>
      </c>
      <c r="C2893" t="s">
        <v>689</v>
      </c>
      <c r="D2893" t="s">
        <v>101</v>
      </c>
      <c r="E2893" t="s">
        <v>3060</v>
      </c>
      <c r="F2893" t="s">
        <v>3080</v>
      </c>
      <c r="H2893" t="s">
        <v>125</v>
      </c>
      <c r="I2893">
        <v>2021</v>
      </c>
      <c r="J2893" t="s">
        <v>3088</v>
      </c>
      <c r="K2893" t="s">
        <v>127</v>
      </c>
      <c r="L2893" t="s">
        <v>3142</v>
      </c>
      <c r="M2893" t="s">
        <v>3150</v>
      </c>
      <c r="N2893">
        <v>1</v>
      </c>
      <c r="O2893">
        <v>2021</v>
      </c>
      <c r="P2893">
        <v>8.8076283253635061</v>
      </c>
      <c r="Q2893">
        <v>3.882778380960195</v>
      </c>
      <c r="R2893" t="s">
        <v>3065</v>
      </c>
      <c r="S2893">
        <v>68.051488865960579</v>
      </c>
      <c r="T2893">
        <v>97.949999999999989</v>
      </c>
      <c r="U2893" t="s">
        <v>3066</v>
      </c>
      <c r="V2893">
        <v>97.949999999999989</v>
      </c>
      <c r="W2893">
        <v>10</v>
      </c>
      <c r="X2893">
        <v>11</v>
      </c>
      <c r="Y2893">
        <v>11</v>
      </c>
      <c r="Z2893">
        <v>0.29704003815000068</v>
      </c>
      <c r="AA2893">
        <v>1</v>
      </c>
    </row>
    <row r="2894" spans="1:27" x14ac:dyDescent="0.25">
      <c r="A2894" t="s">
        <v>98</v>
      </c>
      <c r="B2894" t="s">
        <v>99</v>
      </c>
      <c r="C2894" t="s">
        <v>689</v>
      </c>
      <c r="D2894" t="s">
        <v>101</v>
      </c>
      <c r="E2894" t="s">
        <v>3060</v>
      </c>
      <c r="F2894" t="s">
        <v>3080</v>
      </c>
      <c r="H2894" t="s">
        <v>125</v>
      </c>
      <c r="I2894">
        <v>2022</v>
      </c>
      <c r="J2894" t="s">
        <v>3090</v>
      </c>
      <c r="K2894" t="s">
        <v>127</v>
      </c>
      <c r="L2894" t="s">
        <v>3142</v>
      </c>
      <c r="M2894" t="s">
        <v>3151</v>
      </c>
      <c r="N2894">
        <v>1</v>
      </c>
      <c r="O2894">
        <v>2022</v>
      </c>
      <c r="P2894">
        <v>6.4693677092492212</v>
      </c>
      <c r="Q2894">
        <v>3.882778380960195</v>
      </c>
      <c r="R2894" t="s">
        <v>3065</v>
      </c>
      <c r="S2894">
        <v>49.985091147406983</v>
      </c>
      <c r="T2894">
        <v>100.22499999999999</v>
      </c>
      <c r="U2894" t="s">
        <v>3066</v>
      </c>
      <c r="V2894">
        <v>100.22499999999999</v>
      </c>
      <c r="W2894">
        <v>10</v>
      </c>
      <c r="X2894">
        <v>11</v>
      </c>
      <c r="Y2894">
        <v>11</v>
      </c>
      <c r="Z2894">
        <v>0.29704003815000068</v>
      </c>
      <c r="AA2894">
        <v>1</v>
      </c>
    </row>
    <row r="2895" spans="1:27" x14ac:dyDescent="0.25">
      <c r="A2895" t="s">
        <v>98</v>
      </c>
      <c r="B2895" t="s">
        <v>99</v>
      </c>
      <c r="C2895" t="s">
        <v>689</v>
      </c>
      <c r="D2895" t="s">
        <v>101</v>
      </c>
      <c r="E2895" t="s">
        <v>3060</v>
      </c>
      <c r="F2895" t="s">
        <v>3080</v>
      </c>
      <c r="H2895" t="s">
        <v>125</v>
      </c>
      <c r="I2895">
        <v>2023</v>
      </c>
      <c r="J2895" t="s">
        <v>3092</v>
      </c>
      <c r="K2895" t="s">
        <v>127</v>
      </c>
      <c r="L2895" t="s">
        <v>3142</v>
      </c>
      <c r="M2895" t="s">
        <v>3152</v>
      </c>
      <c r="N2895">
        <v>1</v>
      </c>
      <c r="O2895">
        <v>2023</v>
      </c>
      <c r="P2895">
        <v>6.3505646294466462</v>
      </c>
      <c r="Q2895">
        <v>3.882778380960195</v>
      </c>
      <c r="R2895" t="s">
        <v>3065</v>
      </c>
      <c r="S2895">
        <v>49.067167937688303</v>
      </c>
      <c r="T2895">
        <v>102.65</v>
      </c>
      <c r="U2895" t="s">
        <v>3066</v>
      </c>
      <c r="V2895">
        <v>102.65</v>
      </c>
      <c r="W2895">
        <v>10</v>
      </c>
      <c r="X2895">
        <v>11</v>
      </c>
      <c r="Y2895">
        <v>11</v>
      </c>
      <c r="Z2895">
        <v>0.29704003815000068</v>
      </c>
      <c r="AA2895">
        <v>1</v>
      </c>
    </row>
    <row r="2896" spans="1:27" x14ac:dyDescent="0.25">
      <c r="A2896" t="s">
        <v>98</v>
      </c>
      <c r="B2896" t="s">
        <v>99</v>
      </c>
      <c r="C2896" t="s">
        <v>689</v>
      </c>
      <c r="D2896" t="s">
        <v>101</v>
      </c>
      <c r="E2896" t="s">
        <v>3060</v>
      </c>
      <c r="F2896" t="s">
        <v>3080</v>
      </c>
      <c r="H2896" t="s">
        <v>125</v>
      </c>
      <c r="I2896">
        <v>2024</v>
      </c>
      <c r="J2896" t="s">
        <v>3094</v>
      </c>
      <c r="K2896" t="s">
        <v>127</v>
      </c>
      <c r="L2896" t="s">
        <v>3142</v>
      </c>
      <c r="M2896" t="s">
        <v>3153</v>
      </c>
      <c r="N2896">
        <v>1</v>
      </c>
      <c r="O2896">
        <v>2024</v>
      </c>
      <c r="P2896">
        <v>6.2857629495543348</v>
      </c>
      <c r="Q2896">
        <v>3.882778380960195</v>
      </c>
      <c r="R2896" t="s">
        <v>3065</v>
      </c>
      <c r="S2896">
        <v>48.566482550569042</v>
      </c>
      <c r="T2896">
        <v>105.05</v>
      </c>
      <c r="U2896" t="s">
        <v>3066</v>
      </c>
      <c r="V2896">
        <v>105.05</v>
      </c>
      <c r="W2896">
        <v>10</v>
      </c>
      <c r="X2896">
        <v>11</v>
      </c>
      <c r="Y2896">
        <v>11</v>
      </c>
      <c r="Z2896">
        <v>0.29704003815000068</v>
      </c>
      <c r="AA2896">
        <v>1</v>
      </c>
    </row>
    <row r="2897" spans="1:27" x14ac:dyDescent="0.25">
      <c r="A2897" t="s">
        <v>98</v>
      </c>
      <c r="B2897" t="s">
        <v>99</v>
      </c>
      <c r="C2897" t="s">
        <v>689</v>
      </c>
      <c r="D2897" t="s">
        <v>101</v>
      </c>
      <c r="E2897" t="s">
        <v>3060</v>
      </c>
      <c r="F2897" t="s">
        <v>3080</v>
      </c>
      <c r="H2897" t="s">
        <v>125</v>
      </c>
      <c r="I2897">
        <v>2025</v>
      </c>
      <c r="J2897" t="s">
        <v>3096</v>
      </c>
      <c r="K2897" t="s">
        <v>127</v>
      </c>
      <c r="L2897" t="s">
        <v>3142</v>
      </c>
      <c r="M2897" t="s">
        <v>3154</v>
      </c>
      <c r="N2897">
        <v>1</v>
      </c>
      <c r="O2897">
        <v>2025</v>
      </c>
      <c r="P2897">
        <v>6.1210586798280389</v>
      </c>
      <c r="Q2897">
        <v>3.882778380960195</v>
      </c>
      <c r="R2897" t="s">
        <v>3065</v>
      </c>
      <c r="S2897">
        <v>47.293907191640891</v>
      </c>
      <c r="T2897">
        <v>107.47499999999999</v>
      </c>
      <c r="U2897" t="s">
        <v>3066</v>
      </c>
      <c r="V2897">
        <v>107.47499999999999</v>
      </c>
      <c r="W2897">
        <v>10</v>
      </c>
      <c r="X2897">
        <v>11</v>
      </c>
      <c r="Y2897">
        <v>11</v>
      </c>
      <c r="Z2897">
        <v>0.29704003815000068</v>
      </c>
      <c r="AA2897">
        <v>1</v>
      </c>
    </row>
    <row r="2898" spans="1:27" x14ac:dyDescent="0.25">
      <c r="A2898" t="s">
        <v>98</v>
      </c>
      <c r="B2898" t="s">
        <v>99</v>
      </c>
      <c r="C2898" t="s">
        <v>689</v>
      </c>
      <c r="D2898" t="s">
        <v>101</v>
      </c>
      <c r="E2898" t="s">
        <v>3060</v>
      </c>
      <c r="F2898" t="s">
        <v>3080</v>
      </c>
      <c r="H2898" t="s">
        <v>125</v>
      </c>
      <c r="I2898">
        <v>2030</v>
      </c>
      <c r="J2898" t="s">
        <v>3098</v>
      </c>
      <c r="K2898" t="s">
        <v>127</v>
      </c>
      <c r="L2898" t="s">
        <v>3142</v>
      </c>
      <c r="M2898" t="s">
        <v>3155</v>
      </c>
      <c r="N2898">
        <v>1</v>
      </c>
      <c r="O2898">
        <v>2030</v>
      </c>
      <c r="P2898">
        <v>5.5459437707837651</v>
      </c>
      <c r="Q2898">
        <v>3.882778380960195</v>
      </c>
      <c r="R2898" t="s">
        <v>3065</v>
      </c>
      <c r="S2898">
        <v>42.850324380957403</v>
      </c>
      <c r="T2898">
        <v>119.575</v>
      </c>
      <c r="U2898" t="s">
        <v>3066</v>
      </c>
      <c r="V2898">
        <v>119.575</v>
      </c>
      <c r="W2898">
        <v>10</v>
      </c>
      <c r="X2898">
        <v>11</v>
      </c>
      <c r="Y2898">
        <v>11</v>
      </c>
      <c r="Z2898">
        <v>0.29704003815000068</v>
      </c>
      <c r="AA2898">
        <v>1</v>
      </c>
    </row>
    <row r="2899" spans="1:27" x14ac:dyDescent="0.25">
      <c r="A2899" t="s">
        <v>98</v>
      </c>
      <c r="B2899" t="s">
        <v>99</v>
      </c>
      <c r="C2899" t="s">
        <v>689</v>
      </c>
      <c r="D2899" t="s">
        <v>101</v>
      </c>
      <c r="E2899" t="s">
        <v>3060</v>
      </c>
      <c r="F2899" t="s">
        <v>3080</v>
      </c>
      <c r="H2899" t="s">
        <v>125</v>
      </c>
      <c r="I2899">
        <v>2040</v>
      </c>
      <c r="J2899" t="s">
        <v>3100</v>
      </c>
      <c r="K2899" t="s">
        <v>127</v>
      </c>
      <c r="L2899" t="s">
        <v>3142</v>
      </c>
      <c r="M2899" t="s">
        <v>3156</v>
      </c>
      <c r="N2899">
        <v>1</v>
      </c>
      <c r="O2899">
        <v>2040</v>
      </c>
      <c r="P2899">
        <v>5.1760341813984789</v>
      </c>
      <c r="Q2899">
        <v>3.882778380960195</v>
      </c>
      <c r="R2899" t="s">
        <v>3065</v>
      </c>
      <c r="S2899">
        <v>39.992245296151573</v>
      </c>
      <c r="T2899">
        <v>144.42500000000001</v>
      </c>
      <c r="U2899" t="s">
        <v>3066</v>
      </c>
      <c r="V2899">
        <v>144.42500000000001</v>
      </c>
      <c r="W2899">
        <v>10</v>
      </c>
      <c r="X2899">
        <v>11</v>
      </c>
      <c r="Y2899">
        <v>11</v>
      </c>
      <c r="Z2899">
        <v>0.29704003815000068</v>
      </c>
      <c r="AA2899">
        <v>1</v>
      </c>
    </row>
    <row r="2900" spans="1:27" x14ac:dyDescent="0.25">
      <c r="A2900" t="s">
        <v>98</v>
      </c>
      <c r="B2900" t="s">
        <v>99</v>
      </c>
      <c r="C2900" t="s">
        <v>689</v>
      </c>
      <c r="D2900" t="s">
        <v>101</v>
      </c>
      <c r="E2900" t="s">
        <v>3060</v>
      </c>
      <c r="F2900" t="s">
        <v>3102</v>
      </c>
      <c r="H2900" t="s">
        <v>125</v>
      </c>
      <c r="I2900">
        <v>2015</v>
      </c>
      <c r="J2900" t="s">
        <v>3103</v>
      </c>
      <c r="K2900" t="s">
        <v>127</v>
      </c>
      <c r="L2900" t="s">
        <v>3142</v>
      </c>
      <c r="M2900" t="s">
        <v>3157</v>
      </c>
      <c r="N2900">
        <v>1</v>
      </c>
      <c r="O2900">
        <v>2020</v>
      </c>
      <c r="P2900">
        <v>2.3976621560155711</v>
      </c>
      <c r="Q2900">
        <v>3.882778380960195</v>
      </c>
      <c r="R2900" t="s">
        <v>3065</v>
      </c>
      <c r="S2900">
        <v>18.525359323412928</v>
      </c>
      <c r="T2900">
        <v>12.7</v>
      </c>
      <c r="U2900" t="s">
        <v>3066</v>
      </c>
      <c r="V2900">
        <v>12.7</v>
      </c>
      <c r="W2900">
        <v>0</v>
      </c>
      <c r="X2900">
        <v>1</v>
      </c>
      <c r="Y2900">
        <v>1</v>
      </c>
      <c r="Z2900">
        <v>0.29704003815000068</v>
      </c>
      <c r="AA2900">
        <v>1</v>
      </c>
    </row>
    <row r="2901" spans="1:27" x14ac:dyDescent="0.25">
      <c r="A2901" t="s">
        <v>98</v>
      </c>
      <c r="B2901" t="s">
        <v>99</v>
      </c>
      <c r="C2901" t="s">
        <v>689</v>
      </c>
      <c r="D2901" t="s">
        <v>101</v>
      </c>
      <c r="E2901" t="s">
        <v>3060</v>
      </c>
      <c r="F2901" t="s">
        <v>3102</v>
      </c>
      <c r="H2901" t="s">
        <v>125</v>
      </c>
      <c r="I2901">
        <v>2022</v>
      </c>
      <c r="J2901" t="s">
        <v>3105</v>
      </c>
      <c r="K2901" t="s">
        <v>127</v>
      </c>
      <c r="L2901" t="s">
        <v>3142</v>
      </c>
      <c r="M2901" t="s">
        <v>3158</v>
      </c>
      <c r="N2901">
        <v>1</v>
      </c>
      <c r="O2901">
        <v>2022</v>
      </c>
      <c r="P2901">
        <v>3.996103593359285</v>
      </c>
      <c r="Q2901">
        <v>3.882778380960195</v>
      </c>
      <c r="R2901" t="s">
        <v>3065</v>
      </c>
      <c r="S2901">
        <v>30.875598872354889</v>
      </c>
      <c r="T2901">
        <v>9.3000000000000007</v>
      </c>
      <c r="U2901" t="s">
        <v>3066</v>
      </c>
      <c r="V2901">
        <v>9.3000000000000007</v>
      </c>
      <c r="W2901">
        <v>0</v>
      </c>
      <c r="X2901">
        <v>1</v>
      </c>
      <c r="Y2901">
        <v>1</v>
      </c>
      <c r="Z2901">
        <v>0.29704003815000068</v>
      </c>
      <c r="AA2901">
        <v>1</v>
      </c>
    </row>
    <row r="2902" spans="1:27" x14ac:dyDescent="0.25">
      <c r="A2902" t="s">
        <v>98</v>
      </c>
      <c r="B2902" t="s">
        <v>99</v>
      </c>
      <c r="C2902" t="s">
        <v>689</v>
      </c>
      <c r="D2902" t="s">
        <v>101</v>
      </c>
      <c r="E2902" t="s">
        <v>3060</v>
      </c>
      <c r="F2902" t="s">
        <v>3107</v>
      </c>
      <c r="H2902" t="s">
        <v>125</v>
      </c>
      <c r="I2902">
        <v>2015</v>
      </c>
      <c r="J2902" t="s">
        <v>3108</v>
      </c>
      <c r="K2902" t="s">
        <v>127</v>
      </c>
      <c r="L2902" t="s">
        <v>3142</v>
      </c>
      <c r="M2902" t="s">
        <v>3159</v>
      </c>
      <c r="N2902">
        <v>1</v>
      </c>
      <c r="O2902">
        <v>2020</v>
      </c>
      <c r="P2902">
        <v>1.188030798025733</v>
      </c>
      <c r="Q2902">
        <v>3.882778380960195</v>
      </c>
      <c r="R2902" t="s">
        <v>3065</v>
      </c>
      <c r="S2902">
        <v>9.1792320971865884</v>
      </c>
      <c r="T2902">
        <v>71.5</v>
      </c>
      <c r="U2902" t="s">
        <v>3066</v>
      </c>
      <c r="V2902">
        <v>71.5</v>
      </c>
      <c r="W2902">
        <v>5</v>
      </c>
      <c r="X2902">
        <v>6</v>
      </c>
      <c r="Y2902">
        <v>6</v>
      </c>
      <c r="Z2902">
        <v>0.29704003815000068</v>
      </c>
      <c r="AA2902">
        <v>1</v>
      </c>
    </row>
    <row r="2903" spans="1:27" x14ac:dyDescent="0.25">
      <c r="A2903" t="s">
        <v>98</v>
      </c>
      <c r="B2903" t="s">
        <v>99</v>
      </c>
      <c r="C2903" t="s">
        <v>689</v>
      </c>
      <c r="D2903" t="s">
        <v>101</v>
      </c>
      <c r="E2903" t="s">
        <v>3060</v>
      </c>
      <c r="F2903" t="s">
        <v>3110</v>
      </c>
      <c r="H2903" t="s">
        <v>125</v>
      </c>
      <c r="I2903">
        <v>2015</v>
      </c>
      <c r="J2903" t="s">
        <v>3111</v>
      </c>
      <c r="K2903" t="s">
        <v>127</v>
      </c>
      <c r="L2903" t="s">
        <v>3142</v>
      </c>
      <c r="M2903" t="s">
        <v>3160</v>
      </c>
      <c r="N2903">
        <v>0</v>
      </c>
      <c r="O2903">
        <v>2020</v>
      </c>
      <c r="P2903">
        <v>7.0633831082620873</v>
      </c>
      <c r="Q2903">
        <v>3.882778380960195</v>
      </c>
      <c r="R2903" t="s">
        <v>3065</v>
      </c>
      <c r="S2903">
        <v>54.574707196000261</v>
      </c>
      <c r="T2903">
        <v>90</v>
      </c>
      <c r="U2903" t="s">
        <v>3066</v>
      </c>
      <c r="V2903">
        <v>90</v>
      </c>
      <c r="W2903">
        <v>8</v>
      </c>
      <c r="X2903">
        <v>9</v>
      </c>
      <c r="Y2903">
        <v>9</v>
      </c>
      <c r="Z2903">
        <v>0.29704003815000068</v>
      </c>
      <c r="AA2903">
        <v>1</v>
      </c>
    </row>
    <row r="2904" spans="1:27" x14ac:dyDescent="0.25">
      <c r="A2904" t="s">
        <v>98</v>
      </c>
      <c r="B2904" t="s">
        <v>99</v>
      </c>
      <c r="C2904" t="s">
        <v>689</v>
      </c>
      <c r="D2904" t="s">
        <v>101</v>
      </c>
      <c r="E2904" t="s">
        <v>3060</v>
      </c>
      <c r="F2904" t="s">
        <v>3110</v>
      </c>
      <c r="H2904" t="s">
        <v>125</v>
      </c>
      <c r="I2904">
        <v>2020</v>
      </c>
      <c r="J2904" t="s">
        <v>3113</v>
      </c>
      <c r="K2904" t="s">
        <v>127</v>
      </c>
      <c r="L2904" t="s">
        <v>3142</v>
      </c>
      <c r="M2904" t="s">
        <v>3160</v>
      </c>
      <c r="N2904">
        <v>1</v>
      </c>
      <c r="O2904">
        <v>2020</v>
      </c>
      <c r="P2904">
        <v>4.449715352605474</v>
      </c>
      <c r="Q2904">
        <v>3.882778380960195</v>
      </c>
      <c r="R2904" t="s">
        <v>3065</v>
      </c>
      <c r="S2904">
        <v>34.380396582189768</v>
      </c>
      <c r="T2904">
        <v>89.2</v>
      </c>
      <c r="U2904" t="s">
        <v>3066</v>
      </c>
      <c r="V2904">
        <v>89.2</v>
      </c>
      <c r="W2904">
        <v>11</v>
      </c>
      <c r="X2904">
        <v>12</v>
      </c>
      <c r="Y2904">
        <v>12</v>
      </c>
      <c r="Z2904">
        <v>0.29704003815000068</v>
      </c>
      <c r="AA2904">
        <v>1</v>
      </c>
    </row>
    <row r="2905" spans="1:27" x14ac:dyDescent="0.25">
      <c r="A2905" t="s">
        <v>98</v>
      </c>
      <c r="B2905" t="s">
        <v>99</v>
      </c>
      <c r="C2905" t="s">
        <v>689</v>
      </c>
      <c r="D2905" t="s">
        <v>101</v>
      </c>
      <c r="E2905" t="s">
        <v>3060</v>
      </c>
      <c r="F2905" t="s">
        <v>3110</v>
      </c>
      <c r="H2905" t="s">
        <v>125</v>
      </c>
      <c r="I2905">
        <v>2022</v>
      </c>
      <c r="J2905" t="s">
        <v>3114</v>
      </c>
      <c r="K2905" t="s">
        <v>127</v>
      </c>
      <c r="L2905" t="s">
        <v>3142</v>
      </c>
      <c r="M2905" t="s">
        <v>3161</v>
      </c>
      <c r="N2905">
        <v>1</v>
      </c>
      <c r="O2905">
        <v>2022</v>
      </c>
      <c r="P2905">
        <v>4.4065142326772646</v>
      </c>
      <c r="Q2905">
        <v>3.882778380960195</v>
      </c>
      <c r="R2905" t="s">
        <v>3065</v>
      </c>
      <c r="S2905">
        <v>34.04660632411025</v>
      </c>
      <c r="T2905">
        <v>89.2</v>
      </c>
      <c r="U2905" t="s">
        <v>3066</v>
      </c>
      <c r="V2905">
        <v>89.2</v>
      </c>
      <c r="W2905">
        <v>11</v>
      </c>
      <c r="X2905">
        <v>12</v>
      </c>
      <c r="Y2905">
        <v>12</v>
      </c>
      <c r="Z2905">
        <v>0.29704003815000068</v>
      </c>
      <c r="AA2905">
        <v>1</v>
      </c>
    </row>
    <row r="2906" spans="1:27" x14ac:dyDescent="0.25">
      <c r="A2906" t="s">
        <v>98</v>
      </c>
      <c r="B2906" t="s">
        <v>99</v>
      </c>
      <c r="C2906" t="s">
        <v>689</v>
      </c>
      <c r="D2906" t="s">
        <v>101</v>
      </c>
      <c r="E2906" t="s">
        <v>3060</v>
      </c>
      <c r="F2906" t="s">
        <v>3110</v>
      </c>
      <c r="H2906" t="s">
        <v>125</v>
      </c>
      <c r="I2906">
        <v>2030</v>
      </c>
      <c r="J2906" t="s">
        <v>3116</v>
      </c>
      <c r="K2906" t="s">
        <v>127</v>
      </c>
      <c r="L2906" t="s">
        <v>3142</v>
      </c>
      <c r="M2906" t="s">
        <v>3162</v>
      </c>
      <c r="N2906">
        <v>1</v>
      </c>
      <c r="O2906">
        <v>2030</v>
      </c>
      <c r="P2906">
        <v>4.2337097529644314</v>
      </c>
      <c r="Q2906">
        <v>3.882778380960195</v>
      </c>
      <c r="R2906" t="s">
        <v>3065</v>
      </c>
      <c r="S2906">
        <v>32.711445291792209</v>
      </c>
      <c r="T2906">
        <v>89.2</v>
      </c>
      <c r="U2906" t="s">
        <v>3066</v>
      </c>
      <c r="V2906">
        <v>89.2</v>
      </c>
      <c r="W2906">
        <v>11</v>
      </c>
      <c r="X2906">
        <v>12</v>
      </c>
      <c r="Y2906">
        <v>12</v>
      </c>
      <c r="Z2906">
        <v>0.29704003815000068</v>
      </c>
      <c r="AA2906">
        <v>1</v>
      </c>
    </row>
    <row r="2907" spans="1:27" x14ac:dyDescent="0.25">
      <c r="A2907" t="s">
        <v>98</v>
      </c>
      <c r="B2907" t="s">
        <v>99</v>
      </c>
      <c r="C2907" t="s">
        <v>689</v>
      </c>
      <c r="D2907" t="s">
        <v>101</v>
      </c>
      <c r="E2907" t="s">
        <v>3060</v>
      </c>
      <c r="F2907" t="s">
        <v>3110</v>
      </c>
      <c r="H2907" t="s">
        <v>125</v>
      </c>
      <c r="I2907">
        <v>2040</v>
      </c>
      <c r="J2907" t="s">
        <v>3118</v>
      </c>
      <c r="K2907" t="s">
        <v>127</v>
      </c>
      <c r="L2907" t="s">
        <v>3142</v>
      </c>
      <c r="M2907" t="s">
        <v>3163</v>
      </c>
      <c r="N2907">
        <v>1</v>
      </c>
      <c r="O2907">
        <v>2040</v>
      </c>
      <c r="P2907">
        <v>4.0285044333054412</v>
      </c>
      <c r="Q2907">
        <v>3.882778380960195</v>
      </c>
      <c r="R2907" t="s">
        <v>3065</v>
      </c>
      <c r="S2907">
        <v>31.12594156591452</v>
      </c>
      <c r="T2907">
        <v>89.2</v>
      </c>
      <c r="U2907" t="s">
        <v>3066</v>
      </c>
      <c r="V2907">
        <v>89.2</v>
      </c>
      <c r="W2907">
        <v>11</v>
      </c>
      <c r="X2907">
        <v>12</v>
      </c>
      <c r="Y2907">
        <v>12</v>
      </c>
      <c r="Z2907">
        <v>0.29704003815000068</v>
      </c>
      <c r="AA2907">
        <v>1</v>
      </c>
    </row>
    <row r="2908" spans="1:27" x14ac:dyDescent="0.25">
      <c r="A2908" t="s">
        <v>98</v>
      </c>
      <c r="B2908" t="s">
        <v>519</v>
      </c>
      <c r="C2908" t="s">
        <v>689</v>
      </c>
      <c r="D2908" t="s">
        <v>101</v>
      </c>
      <c r="E2908" t="s">
        <v>3060</v>
      </c>
      <c r="F2908" t="s">
        <v>3061</v>
      </c>
      <c r="H2908" t="s">
        <v>125</v>
      </c>
      <c r="I2908">
        <v>2015</v>
      </c>
      <c r="J2908" t="s">
        <v>3062</v>
      </c>
      <c r="K2908" t="s">
        <v>127</v>
      </c>
      <c r="L2908" t="s">
        <v>3164</v>
      </c>
      <c r="M2908" t="s">
        <v>3165</v>
      </c>
      <c r="N2908">
        <v>0</v>
      </c>
      <c r="O2908">
        <v>2020</v>
      </c>
      <c r="P2908">
        <v>4.9303278118067926</v>
      </c>
      <c r="Q2908">
        <v>7.2601625504301888</v>
      </c>
      <c r="R2908" t="s">
        <v>3065</v>
      </c>
      <c r="S2908">
        <v>40.745598552869772</v>
      </c>
      <c r="T2908">
        <v>15.7</v>
      </c>
      <c r="U2908" t="s">
        <v>3066</v>
      </c>
      <c r="V2908">
        <v>15.7</v>
      </c>
      <c r="W2908">
        <v>0</v>
      </c>
      <c r="X2908">
        <v>1</v>
      </c>
      <c r="Y2908">
        <v>1</v>
      </c>
      <c r="Z2908">
        <v>0.3042078488582064</v>
      </c>
      <c r="AA2908">
        <v>1</v>
      </c>
    </row>
    <row r="2909" spans="1:27" x14ac:dyDescent="0.25">
      <c r="A2909" t="s">
        <v>98</v>
      </c>
      <c r="B2909" t="s">
        <v>519</v>
      </c>
      <c r="C2909" t="s">
        <v>689</v>
      </c>
      <c r="D2909" t="s">
        <v>101</v>
      </c>
      <c r="E2909" t="s">
        <v>3060</v>
      </c>
      <c r="F2909" t="s">
        <v>3061</v>
      </c>
      <c r="H2909" t="s">
        <v>125</v>
      </c>
      <c r="I2909">
        <v>2020</v>
      </c>
      <c r="J2909" t="s">
        <v>3067</v>
      </c>
      <c r="K2909" t="s">
        <v>127</v>
      </c>
      <c r="L2909" t="s">
        <v>3164</v>
      </c>
      <c r="M2909" t="s">
        <v>3165</v>
      </c>
      <c r="N2909">
        <v>1</v>
      </c>
      <c r="O2909">
        <v>2020</v>
      </c>
      <c r="P2909">
        <v>7.0363824083069577</v>
      </c>
      <c r="Q2909">
        <v>7.2601625504301888</v>
      </c>
      <c r="R2909" t="s">
        <v>3065</v>
      </c>
      <c r="S2909">
        <v>58.150618745223788</v>
      </c>
      <c r="T2909">
        <v>15.7</v>
      </c>
      <c r="U2909" t="s">
        <v>3066</v>
      </c>
      <c r="V2909">
        <v>15.7</v>
      </c>
      <c r="W2909">
        <v>0</v>
      </c>
      <c r="X2909">
        <v>1</v>
      </c>
      <c r="Y2909">
        <v>1</v>
      </c>
      <c r="Z2909">
        <v>0.3042078488582064</v>
      </c>
      <c r="AA2909">
        <v>1</v>
      </c>
    </row>
    <row r="2910" spans="1:27" x14ac:dyDescent="0.25">
      <c r="A2910" t="s">
        <v>98</v>
      </c>
      <c r="B2910" t="s">
        <v>519</v>
      </c>
      <c r="C2910" t="s">
        <v>689</v>
      </c>
      <c r="D2910" t="s">
        <v>101</v>
      </c>
      <c r="E2910" t="s">
        <v>3060</v>
      </c>
      <c r="F2910" t="s">
        <v>3061</v>
      </c>
      <c r="H2910" t="s">
        <v>125</v>
      </c>
      <c r="I2910">
        <v>2022</v>
      </c>
      <c r="J2910" t="s">
        <v>3068</v>
      </c>
      <c r="K2910" t="s">
        <v>127</v>
      </c>
      <c r="L2910" t="s">
        <v>3164</v>
      </c>
      <c r="M2910" t="s">
        <v>3166</v>
      </c>
      <c r="N2910">
        <v>1</v>
      </c>
      <c r="O2910">
        <v>2022</v>
      </c>
      <c r="P2910">
        <v>7.8788042469070234</v>
      </c>
      <c r="Q2910">
        <v>7.2601625504301888</v>
      </c>
      <c r="R2910" t="s">
        <v>3065</v>
      </c>
      <c r="S2910">
        <v>65.112626822165382</v>
      </c>
      <c r="T2910">
        <v>15.7</v>
      </c>
      <c r="U2910" t="s">
        <v>3066</v>
      </c>
      <c r="V2910">
        <v>15.7</v>
      </c>
      <c r="W2910">
        <v>0</v>
      </c>
      <c r="X2910">
        <v>1</v>
      </c>
      <c r="Y2910">
        <v>1</v>
      </c>
      <c r="Z2910">
        <v>0.3042078488582064</v>
      </c>
      <c r="AA2910">
        <v>1</v>
      </c>
    </row>
    <row r="2911" spans="1:27" x14ac:dyDescent="0.25">
      <c r="A2911" t="s">
        <v>98</v>
      </c>
      <c r="B2911" t="s">
        <v>519</v>
      </c>
      <c r="C2911" t="s">
        <v>689</v>
      </c>
      <c r="D2911" t="s">
        <v>101</v>
      </c>
      <c r="E2911" t="s">
        <v>3060</v>
      </c>
      <c r="F2911" t="s">
        <v>3070</v>
      </c>
      <c r="H2911" t="s">
        <v>125</v>
      </c>
      <c r="I2911">
        <v>2015</v>
      </c>
      <c r="J2911" t="s">
        <v>3071</v>
      </c>
      <c r="K2911" t="s">
        <v>127</v>
      </c>
      <c r="L2911" t="s">
        <v>3164</v>
      </c>
      <c r="M2911" t="s">
        <v>3167</v>
      </c>
      <c r="N2911">
        <v>0</v>
      </c>
      <c r="O2911">
        <v>2020</v>
      </c>
      <c r="P2911">
        <v>4.7269225388114773</v>
      </c>
      <c r="Q2911">
        <v>7.2601625504301888</v>
      </c>
      <c r="R2911" t="s">
        <v>3065</v>
      </c>
      <c r="S2911">
        <v>39.064600876172321</v>
      </c>
      <c r="T2911">
        <v>59.066666666666663</v>
      </c>
      <c r="U2911" t="s">
        <v>3066</v>
      </c>
      <c r="V2911">
        <v>59.066666666666663</v>
      </c>
      <c r="W2911">
        <v>3</v>
      </c>
      <c r="X2911">
        <v>4</v>
      </c>
      <c r="Y2911">
        <v>4</v>
      </c>
      <c r="Z2911">
        <v>0.3042078488582064</v>
      </c>
      <c r="AA2911">
        <v>1</v>
      </c>
    </row>
    <row r="2912" spans="1:27" x14ac:dyDescent="0.25">
      <c r="A2912" t="s">
        <v>98</v>
      </c>
      <c r="B2912" t="s">
        <v>519</v>
      </c>
      <c r="C2912" t="s">
        <v>689</v>
      </c>
      <c r="D2912" t="s">
        <v>101</v>
      </c>
      <c r="E2912" t="s">
        <v>3060</v>
      </c>
      <c r="F2912" t="s">
        <v>3070</v>
      </c>
      <c r="H2912" t="s">
        <v>125</v>
      </c>
      <c r="I2912">
        <v>2020</v>
      </c>
      <c r="J2912" t="s">
        <v>3073</v>
      </c>
      <c r="K2912" t="s">
        <v>127</v>
      </c>
      <c r="L2912" t="s">
        <v>3164</v>
      </c>
      <c r="M2912" t="s">
        <v>3167</v>
      </c>
      <c r="N2912">
        <v>1</v>
      </c>
      <c r="O2912">
        <v>2020</v>
      </c>
      <c r="P2912">
        <v>6.2353616429714247</v>
      </c>
      <c r="Q2912">
        <v>7.2601625504301888</v>
      </c>
      <c r="R2912" t="s">
        <v>3065</v>
      </c>
      <c r="S2912">
        <v>51.53076063787546</v>
      </c>
      <c r="T2912">
        <v>59.933333333333337</v>
      </c>
      <c r="U2912" t="s">
        <v>3066</v>
      </c>
      <c r="V2912">
        <v>59.933333333333337</v>
      </c>
      <c r="W2912">
        <v>3</v>
      </c>
      <c r="X2912">
        <v>4</v>
      </c>
      <c r="Y2912">
        <v>4</v>
      </c>
      <c r="Z2912">
        <v>0.3042078488582064</v>
      </c>
      <c r="AA2912">
        <v>1</v>
      </c>
    </row>
    <row r="2913" spans="1:27" x14ac:dyDescent="0.25">
      <c r="A2913" t="s">
        <v>98</v>
      </c>
      <c r="B2913" t="s">
        <v>519</v>
      </c>
      <c r="C2913" t="s">
        <v>689</v>
      </c>
      <c r="D2913" t="s">
        <v>101</v>
      </c>
      <c r="E2913" t="s">
        <v>3060</v>
      </c>
      <c r="F2913" t="s">
        <v>3070</v>
      </c>
      <c r="H2913" t="s">
        <v>125</v>
      </c>
      <c r="I2913">
        <v>2022</v>
      </c>
      <c r="J2913" t="s">
        <v>3074</v>
      </c>
      <c r="K2913" t="s">
        <v>127</v>
      </c>
      <c r="L2913" t="s">
        <v>3164</v>
      </c>
      <c r="M2913" t="s">
        <v>3168</v>
      </c>
      <c r="N2913">
        <v>1</v>
      </c>
      <c r="O2913">
        <v>2022</v>
      </c>
      <c r="P2913">
        <v>5.7403488104607021</v>
      </c>
      <c r="Q2913">
        <v>7.2601625504301888</v>
      </c>
      <c r="R2913" t="s">
        <v>3065</v>
      </c>
      <c r="S2913">
        <v>47.43983708839054</v>
      </c>
      <c r="T2913">
        <v>65.8</v>
      </c>
      <c r="U2913" t="s">
        <v>3066</v>
      </c>
      <c r="V2913">
        <v>65.8</v>
      </c>
      <c r="W2913">
        <v>3</v>
      </c>
      <c r="X2913">
        <v>4</v>
      </c>
      <c r="Y2913">
        <v>4</v>
      </c>
      <c r="Z2913">
        <v>0.3042078488582064</v>
      </c>
      <c r="AA2913">
        <v>1</v>
      </c>
    </row>
    <row r="2914" spans="1:27" x14ac:dyDescent="0.25">
      <c r="A2914" t="s">
        <v>98</v>
      </c>
      <c r="B2914" t="s">
        <v>519</v>
      </c>
      <c r="C2914" t="s">
        <v>689</v>
      </c>
      <c r="D2914" t="s">
        <v>101</v>
      </c>
      <c r="E2914" t="s">
        <v>3060</v>
      </c>
      <c r="F2914" t="s">
        <v>3070</v>
      </c>
      <c r="H2914" t="s">
        <v>125</v>
      </c>
      <c r="I2914">
        <v>2030</v>
      </c>
      <c r="J2914" t="s">
        <v>3076</v>
      </c>
      <c r="K2914" t="s">
        <v>127</v>
      </c>
      <c r="L2914" t="s">
        <v>3164</v>
      </c>
      <c r="M2914" t="s">
        <v>3169</v>
      </c>
      <c r="N2914">
        <v>1</v>
      </c>
      <c r="O2914">
        <v>2030</v>
      </c>
      <c r="P2914">
        <v>5.513542930837608</v>
      </c>
      <c r="Q2914">
        <v>7.2601625504301888</v>
      </c>
      <c r="R2914" t="s">
        <v>3065</v>
      </c>
      <c r="S2914">
        <v>45.56545029844473</v>
      </c>
      <c r="T2914">
        <v>68.5</v>
      </c>
      <c r="U2914" t="s">
        <v>3066</v>
      </c>
      <c r="V2914">
        <v>68.5</v>
      </c>
      <c r="W2914">
        <v>3</v>
      </c>
      <c r="X2914">
        <v>4</v>
      </c>
      <c r="Y2914">
        <v>4</v>
      </c>
      <c r="Z2914">
        <v>0.3042078488582064</v>
      </c>
      <c r="AA2914">
        <v>1</v>
      </c>
    </row>
    <row r="2915" spans="1:27" x14ac:dyDescent="0.25">
      <c r="A2915" t="s">
        <v>98</v>
      </c>
      <c r="B2915" t="s">
        <v>519</v>
      </c>
      <c r="C2915" t="s">
        <v>689</v>
      </c>
      <c r="D2915" t="s">
        <v>101</v>
      </c>
      <c r="E2915" t="s">
        <v>3060</v>
      </c>
      <c r="F2915" t="s">
        <v>3070</v>
      </c>
      <c r="H2915" t="s">
        <v>125</v>
      </c>
      <c r="I2915">
        <v>2040</v>
      </c>
      <c r="J2915" t="s">
        <v>3078</v>
      </c>
      <c r="K2915" t="s">
        <v>127</v>
      </c>
      <c r="L2915" t="s">
        <v>3164</v>
      </c>
      <c r="M2915" t="s">
        <v>3170</v>
      </c>
      <c r="N2915">
        <v>1</v>
      </c>
      <c r="O2915">
        <v>2040</v>
      </c>
      <c r="P2915">
        <v>5.2435359312863046</v>
      </c>
      <c r="Q2915">
        <v>7.2601625504301888</v>
      </c>
      <c r="R2915" t="s">
        <v>3065</v>
      </c>
      <c r="S2915">
        <v>43.334037453271137</v>
      </c>
      <c r="T2915">
        <v>72</v>
      </c>
      <c r="U2915" t="s">
        <v>3066</v>
      </c>
      <c r="V2915">
        <v>72</v>
      </c>
      <c r="W2915">
        <v>3</v>
      </c>
      <c r="X2915">
        <v>4</v>
      </c>
      <c r="Y2915">
        <v>4</v>
      </c>
      <c r="Z2915">
        <v>0.3042078488582064</v>
      </c>
      <c r="AA2915">
        <v>1</v>
      </c>
    </row>
    <row r="2916" spans="1:27" x14ac:dyDescent="0.25">
      <c r="A2916" t="s">
        <v>98</v>
      </c>
      <c r="B2916" t="s">
        <v>519</v>
      </c>
      <c r="C2916" t="s">
        <v>689</v>
      </c>
      <c r="D2916" t="s">
        <v>101</v>
      </c>
      <c r="E2916" t="s">
        <v>3060</v>
      </c>
      <c r="F2916" t="s">
        <v>3080</v>
      </c>
      <c r="H2916" t="s">
        <v>125</v>
      </c>
      <c r="I2916">
        <v>2015</v>
      </c>
      <c r="J2916" t="s">
        <v>3081</v>
      </c>
      <c r="K2916" t="s">
        <v>127</v>
      </c>
      <c r="L2916" t="s">
        <v>3164</v>
      </c>
      <c r="M2916" t="s">
        <v>3171</v>
      </c>
      <c r="N2916">
        <v>0</v>
      </c>
      <c r="O2916">
        <v>2020</v>
      </c>
      <c r="P2916">
        <v>21.61676038407732</v>
      </c>
      <c r="Q2916">
        <v>7.2601625504301888</v>
      </c>
      <c r="R2916" t="s">
        <v>3065</v>
      </c>
      <c r="S2916">
        <v>178.6469123845977</v>
      </c>
      <c r="T2916">
        <v>79.849999999999994</v>
      </c>
      <c r="U2916" t="s">
        <v>3066</v>
      </c>
      <c r="V2916">
        <v>79.849999999999994</v>
      </c>
      <c r="W2916">
        <v>12</v>
      </c>
      <c r="X2916">
        <v>13</v>
      </c>
      <c r="Y2916">
        <v>13</v>
      </c>
      <c r="Z2916">
        <v>0.3042078488582064</v>
      </c>
      <c r="AA2916">
        <v>1</v>
      </c>
    </row>
    <row r="2917" spans="1:27" x14ac:dyDescent="0.25">
      <c r="A2917" t="s">
        <v>98</v>
      </c>
      <c r="B2917" t="s">
        <v>519</v>
      </c>
      <c r="C2917" t="s">
        <v>689</v>
      </c>
      <c r="D2917" t="s">
        <v>101</v>
      </c>
      <c r="E2917" t="s">
        <v>3060</v>
      </c>
      <c r="F2917" t="s">
        <v>3080</v>
      </c>
      <c r="H2917" t="s">
        <v>125</v>
      </c>
      <c r="I2917">
        <v>2016</v>
      </c>
      <c r="J2917" t="s">
        <v>3083</v>
      </c>
      <c r="K2917" t="s">
        <v>127</v>
      </c>
      <c r="L2917" t="s">
        <v>3164</v>
      </c>
      <c r="M2917" t="s">
        <v>3171</v>
      </c>
      <c r="N2917">
        <v>0</v>
      </c>
      <c r="O2917">
        <v>2020</v>
      </c>
      <c r="P2917">
        <v>21.128047714889458</v>
      </c>
      <c r="Q2917">
        <v>7.2601625504301888</v>
      </c>
      <c r="R2917" t="s">
        <v>3065</v>
      </c>
      <c r="S2917">
        <v>174.60805513483351</v>
      </c>
      <c r="T2917">
        <v>83.025000000000006</v>
      </c>
      <c r="U2917" t="s">
        <v>3066</v>
      </c>
      <c r="V2917">
        <v>83.025000000000006</v>
      </c>
      <c r="W2917">
        <v>11</v>
      </c>
      <c r="X2917">
        <v>12</v>
      </c>
      <c r="Y2917">
        <v>12</v>
      </c>
      <c r="Z2917">
        <v>0.3042078488582064</v>
      </c>
      <c r="AA2917">
        <v>1</v>
      </c>
    </row>
    <row r="2918" spans="1:27" x14ac:dyDescent="0.25">
      <c r="A2918" t="s">
        <v>98</v>
      </c>
      <c r="B2918" t="s">
        <v>519</v>
      </c>
      <c r="C2918" t="s">
        <v>689</v>
      </c>
      <c r="D2918" t="s">
        <v>101</v>
      </c>
      <c r="E2918" t="s">
        <v>3060</v>
      </c>
      <c r="F2918" t="s">
        <v>3080</v>
      </c>
      <c r="H2918" t="s">
        <v>125</v>
      </c>
      <c r="I2918">
        <v>2017</v>
      </c>
      <c r="J2918" t="s">
        <v>3084</v>
      </c>
      <c r="K2918" t="s">
        <v>127</v>
      </c>
      <c r="L2918" t="s">
        <v>3164</v>
      </c>
      <c r="M2918" t="s">
        <v>3171</v>
      </c>
      <c r="N2918">
        <v>0</v>
      </c>
      <c r="O2918">
        <v>2020</v>
      </c>
      <c r="P2918">
        <v>17.431651891032121</v>
      </c>
      <c r="Q2918">
        <v>7.2601625504301888</v>
      </c>
      <c r="R2918" t="s">
        <v>3065</v>
      </c>
      <c r="S2918">
        <v>144.06001328440701</v>
      </c>
      <c r="T2918">
        <v>86.2</v>
      </c>
      <c r="U2918" t="s">
        <v>3066</v>
      </c>
      <c r="V2918">
        <v>86.2</v>
      </c>
      <c r="W2918">
        <v>11</v>
      </c>
      <c r="X2918">
        <v>12</v>
      </c>
      <c r="Y2918">
        <v>12</v>
      </c>
      <c r="Z2918">
        <v>0.3042078488582064</v>
      </c>
      <c r="AA2918">
        <v>1</v>
      </c>
    </row>
    <row r="2919" spans="1:27" x14ac:dyDescent="0.25">
      <c r="A2919" t="s">
        <v>98</v>
      </c>
      <c r="B2919" t="s">
        <v>519</v>
      </c>
      <c r="C2919" t="s">
        <v>689</v>
      </c>
      <c r="D2919" t="s">
        <v>101</v>
      </c>
      <c r="E2919" t="s">
        <v>3060</v>
      </c>
      <c r="F2919" t="s">
        <v>3080</v>
      </c>
      <c r="H2919" t="s">
        <v>125</v>
      </c>
      <c r="I2919">
        <v>2018</v>
      </c>
      <c r="J2919" t="s">
        <v>3085</v>
      </c>
      <c r="K2919" t="s">
        <v>127</v>
      </c>
      <c r="L2919" t="s">
        <v>3164</v>
      </c>
      <c r="M2919" t="s">
        <v>3171</v>
      </c>
      <c r="N2919">
        <v>0</v>
      </c>
      <c r="O2919">
        <v>2020</v>
      </c>
      <c r="P2919">
        <v>15.33639757451401</v>
      </c>
      <c r="Q2919">
        <v>7.2601625504301888</v>
      </c>
      <c r="R2919" t="s">
        <v>3065</v>
      </c>
      <c r="S2919">
        <v>126.74424960586001</v>
      </c>
      <c r="T2919">
        <v>89.35</v>
      </c>
      <c r="U2919" t="s">
        <v>3066</v>
      </c>
      <c r="V2919">
        <v>89.35</v>
      </c>
      <c r="W2919">
        <v>11</v>
      </c>
      <c r="X2919">
        <v>12</v>
      </c>
      <c r="Y2919">
        <v>12</v>
      </c>
      <c r="Z2919">
        <v>0.3042078488582064</v>
      </c>
      <c r="AA2919">
        <v>1</v>
      </c>
    </row>
    <row r="2920" spans="1:27" x14ac:dyDescent="0.25">
      <c r="A2920" t="s">
        <v>98</v>
      </c>
      <c r="B2920" t="s">
        <v>519</v>
      </c>
      <c r="C2920" t="s">
        <v>689</v>
      </c>
      <c r="D2920" t="s">
        <v>101</v>
      </c>
      <c r="E2920" t="s">
        <v>3060</v>
      </c>
      <c r="F2920" t="s">
        <v>3080</v>
      </c>
      <c r="H2920" t="s">
        <v>125</v>
      </c>
      <c r="I2920">
        <v>2019</v>
      </c>
      <c r="J2920" t="s">
        <v>3086</v>
      </c>
      <c r="K2920" t="s">
        <v>127</v>
      </c>
      <c r="L2920" t="s">
        <v>3164</v>
      </c>
      <c r="M2920" t="s">
        <v>3171</v>
      </c>
      <c r="N2920">
        <v>0</v>
      </c>
      <c r="O2920">
        <v>2020</v>
      </c>
      <c r="P2920">
        <v>13.24384332799141</v>
      </c>
      <c r="Q2920">
        <v>7.2601625504301888</v>
      </c>
      <c r="R2920" t="s">
        <v>3065</v>
      </c>
      <c r="S2920">
        <v>109.4508000557646</v>
      </c>
      <c r="T2920">
        <v>92.55</v>
      </c>
      <c r="U2920" t="s">
        <v>3066</v>
      </c>
      <c r="V2920">
        <v>92.55</v>
      </c>
      <c r="W2920">
        <v>11</v>
      </c>
      <c r="X2920">
        <v>12</v>
      </c>
      <c r="Y2920">
        <v>12</v>
      </c>
      <c r="Z2920">
        <v>0.3042078488582064</v>
      </c>
      <c r="AA2920">
        <v>1</v>
      </c>
    </row>
    <row r="2921" spans="1:27" x14ac:dyDescent="0.25">
      <c r="A2921" t="s">
        <v>98</v>
      </c>
      <c r="B2921" t="s">
        <v>519</v>
      </c>
      <c r="C2921" t="s">
        <v>689</v>
      </c>
      <c r="D2921" t="s">
        <v>101</v>
      </c>
      <c r="E2921" t="s">
        <v>3060</v>
      </c>
      <c r="F2921" t="s">
        <v>3080</v>
      </c>
      <c r="H2921" t="s">
        <v>125</v>
      </c>
      <c r="I2921">
        <v>2020</v>
      </c>
      <c r="J2921" t="s">
        <v>3087</v>
      </c>
      <c r="K2921" t="s">
        <v>127</v>
      </c>
      <c r="L2921" t="s">
        <v>3164</v>
      </c>
      <c r="M2921" t="s">
        <v>3171</v>
      </c>
      <c r="N2921">
        <v>1</v>
      </c>
      <c r="O2921">
        <v>2020</v>
      </c>
      <c r="P2921">
        <v>11.1485890114733</v>
      </c>
      <c r="Q2921">
        <v>7.2601625504301888</v>
      </c>
      <c r="R2921" t="s">
        <v>3065</v>
      </c>
      <c r="S2921">
        <v>92.135036377217588</v>
      </c>
      <c r="T2921">
        <v>95.699999999999989</v>
      </c>
      <c r="U2921" t="s">
        <v>3066</v>
      </c>
      <c r="V2921">
        <v>95.699999999999989</v>
      </c>
      <c r="W2921">
        <v>10</v>
      </c>
      <c r="X2921">
        <v>11</v>
      </c>
      <c r="Y2921">
        <v>11</v>
      </c>
      <c r="Z2921">
        <v>0.3042078488582064</v>
      </c>
      <c r="AA2921">
        <v>1</v>
      </c>
    </row>
    <row r="2922" spans="1:27" x14ac:dyDescent="0.25">
      <c r="A2922" t="s">
        <v>98</v>
      </c>
      <c r="B2922" t="s">
        <v>519</v>
      </c>
      <c r="C2922" t="s">
        <v>689</v>
      </c>
      <c r="D2922" t="s">
        <v>101</v>
      </c>
      <c r="E2922" t="s">
        <v>3060</v>
      </c>
      <c r="F2922" t="s">
        <v>3080</v>
      </c>
      <c r="H2922" t="s">
        <v>125</v>
      </c>
      <c r="I2922">
        <v>2021</v>
      </c>
      <c r="J2922" t="s">
        <v>3088</v>
      </c>
      <c r="K2922" t="s">
        <v>127</v>
      </c>
      <c r="L2922" t="s">
        <v>3164</v>
      </c>
      <c r="M2922" t="s">
        <v>3172</v>
      </c>
      <c r="N2922">
        <v>1</v>
      </c>
      <c r="O2922">
        <v>2021</v>
      </c>
      <c r="P2922">
        <v>8.8076283253635061</v>
      </c>
      <c r="Q2922">
        <v>7.2601625504301888</v>
      </c>
      <c r="R2922" t="s">
        <v>3065</v>
      </c>
      <c r="S2922">
        <v>72.788687009562551</v>
      </c>
      <c r="T2922">
        <v>97.949999999999989</v>
      </c>
      <c r="U2922" t="s">
        <v>3066</v>
      </c>
      <c r="V2922">
        <v>97.949999999999989</v>
      </c>
      <c r="W2922">
        <v>10</v>
      </c>
      <c r="X2922">
        <v>11</v>
      </c>
      <c r="Y2922">
        <v>11</v>
      </c>
      <c r="Z2922">
        <v>0.3042078488582064</v>
      </c>
      <c r="AA2922">
        <v>1</v>
      </c>
    </row>
    <row r="2923" spans="1:27" x14ac:dyDescent="0.25">
      <c r="A2923" t="s">
        <v>98</v>
      </c>
      <c r="B2923" t="s">
        <v>519</v>
      </c>
      <c r="C2923" t="s">
        <v>689</v>
      </c>
      <c r="D2923" t="s">
        <v>101</v>
      </c>
      <c r="E2923" t="s">
        <v>3060</v>
      </c>
      <c r="F2923" t="s">
        <v>3080</v>
      </c>
      <c r="H2923" t="s">
        <v>125</v>
      </c>
      <c r="I2923">
        <v>2022</v>
      </c>
      <c r="J2923" t="s">
        <v>3090</v>
      </c>
      <c r="K2923" t="s">
        <v>127</v>
      </c>
      <c r="L2923" t="s">
        <v>3164</v>
      </c>
      <c r="M2923" t="s">
        <v>3173</v>
      </c>
      <c r="N2923">
        <v>1</v>
      </c>
      <c r="O2923">
        <v>2022</v>
      </c>
      <c r="P2923">
        <v>6.4693677092492212</v>
      </c>
      <c r="Q2923">
        <v>7.2601625504301888</v>
      </c>
      <c r="R2923" t="s">
        <v>3065</v>
      </c>
      <c r="S2923">
        <v>53.464651770359247</v>
      </c>
      <c r="T2923">
        <v>100.22499999999999</v>
      </c>
      <c r="U2923" t="s">
        <v>3066</v>
      </c>
      <c r="V2923">
        <v>100.22499999999999</v>
      </c>
      <c r="W2923">
        <v>9</v>
      </c>
      <c r="X2923">
        <v>10</v>
      </c>
      <c r="Y2923">
        <v>10</v>
      </c>
      <c r="Z2923">
        <v>0.3042078488582064</v>
      </c>
      <c r="AA2923">
        <v>1</v>
      </c>
    </row>
    <row r="2924" spans="1:27" x14ac:dyDescent="0.25">
      <c r="A2924" t="s">
        <v>98</v>
      </c>
      <c r="B2924" t="s">
        <v>519</v>
      </c>
      <c r="C2924" t="s">
        <v>689</v>
      </c>
      <c r="D2924" t="s">
        <v>101</v>
      </c>
      <c r="E2924" t="s">
        <v>3060</v>
      </c>
      <c r="F2924" t="s">
        <v>3080</v>
      </c>
      <c r="H2924" t="s">
        <v>125</v>
      </c>
      <c r="I2924">
        <v>2023</v>
      </c>
      <c r="J2924" t="s">
        <v>3092</v>
      </c>
      <c r="K2924" t="s">
        <v>127</v>
      </c>
      <c r="L2924" t="s">
        <v>3164</v>
      </c>
      <c r="M2924" t="s">
        <v>3174</v>
      </c>
      <c r="N2924">
        <v>1</v>
      </c>
      <c r="O2924">
        <v>2023</v>
      </c>
      <c r="P2924">
        <v>6.3505646294466462</v>
      </c>
      <c r="Q2924">
        <v>7.2601625504301888</v>
      </c>
      <c r="R2924" t="s">
        <v>3065</v>
      </c>
      <c r="S2924">
        <v>52.482830118482852</v>
      </c>
      <c r="T2924">
        <v>102.65</v>
      </c>
      <c r="U2924" t="s">
        <v>3066</v>
      </c>
      <c r="V2924">
        <v>102.65</v>
      </c>
      <c r="W2924">
        <v>9</v>
      </c>
      <c r="X2924">
        <v>10</v>
      </c>
      <c r="Y2924">
        <v>10</v>
      </c>
      <c r="Z2924">
        <v>0.3042078488582064</v>
      </c>
      <c r="AA2924">
        <v>1</v>
      </c>
    </row>
    <row r="2925" spans="1:27" x14ac:dyDescent="0.25">
      <c r="A2925" t="s">
        <v>98</v>
      </c>
      <c r="B2925" t="s">
        <v>519</v>
      </c>
      <c r="C2925" t="s">
        <v>689</v>
      </c>
      <c r="D2925" t="s">
        <v>101</v>
      </c>
      <c r="E2925" t="s">
        <v>3060</v>
      </c>
      <c r="F2925" t="s">
        <v>3080</v>
      </c>
      <c r="H2925" t="s">
        <v>125</v>
      </c>
      <c r="I2925">
        <v>2024</v>
      </c>
      <c r="J2925" t="s">
        <v>3094</v>
      </c>
      <c r="K2925" t="s">
        <v>127</v>
      </c>
      <c r="L2925" t="s">
        <v>3164</v>
      </c>
      <c r="M2925" t="s">
        <v>3175</v>
      </c>
      <c r="N2925">
        <v>1</v>
      </c>
      <c r="O2925">
        <v>2024</v>
      </c>
      <c r="P2925">
        <v>6.2857629495543348</v>
      </c>
      <c r="Q2925">
        <v>7.2601625504301888</v>
      </c>
      <c r="R2925" t="s">
        <v>3065</v>
      </c>
      <c r="S2925">
        <v>51.9472910356412</v>
      </c>
      <c r="T2925">
        <v>105.05</v>
      </c>
      <c r="U2925" t="s">
        <v>3066</v>
      </c>
      <c r="V2925">
        <v>105.05</v>
      </c>
      <c r="W2925">
        <v>9</v>
      </c>
      <c r="X2925">
        <v>10</v>
      </c>
      <c r="Y2925">
        <v>10</v>
      </c>
      <c r="Z2925">
        <v>0.3042078488582064</v>
      </c>
      <c r="AA2925">
        <v>1</v>
      </c>
    </row>
    <row r="2926" spans="1:27" x14ac:dyDescent="0.25">
      <c r="A2926" t="s">
        <v>98</v>
      </c>
      <c r="B2926" t="s">
        <v>519</v>
      </c>
      <c r="C2926" t="s">
        <v>689</v>
      </c>
      <c r="D2926" t="s">
        <v>101</v>
      </c>
      <c r="E2926" t="s">
        <v>3060</v>
      </c>
      <c r="F2926" t="s">
        <v>3080</v>
      </c>
      <c r="H2926" t="s">
        <v>125</v>
      </c>
      <c r="I2926">
        <v>2025</v>
      </c>
      <c r="J2926" t="s">
        <v>3096</v>
      </c>
      <c r="K2926" t="s">
        <v>127</v>
      </c>
      <c r="L2926" t="s">
        <v>3164</v>
      </c>
      <c r="M2926" t="s">
        <v>3176</v>
      </c>
      <c r="N2926">
        <v>1</v>
      </c>
      <c r="O2926">
        <v>2025</v>
      </c>
      <c r="P2926">
        <v>6.1210586798280389</v>
      </c>
      <c r="Q2926">
        <v>7.2601625504301888</v>
      </c>
      <c r="R2926" t="s">
        <v>3065</v>
      </c>
      <c r="S2926">
        <v>50.586129200085303</v>
      </c>
      <c r="T2926">
        <v>107.47499999999999</v>
      </c>
      <c r="U2926" t="s">
        <v>3066</v>
      </c>
      <c r="V2926">
        <v>107.47499999999999</v>
      </c>
      <c r="W2926">
        <v>9</v>
      </c>
      <c r="X2926">
        <v>10</v>
      </c>
      <c r="Y2926">
        <v>10</v>
      </c>
      <c r="Z2926">
        <v>0.3042078488582064</v>
      </c>
      <c r="AA2926">
        <v>1</v>
      </c>
    </row>
    <row r="2927" spans="1:27" x14ac:dyDescent="0.25">
      <c r="A2927" t="s">
        <v>98</v>
      </c>
      <c r="B2927" t="s">
        <v>519</v>
      </c>
      <c r="C2927" t="s">
        <v>689</v>
      </c>
      <c r="D2927" t="s">
        <v>101</v>
      </c>
      <c r="E2927" t="s">
        <v>3060</v>
      </c>
      <c r="F2927" t="s">
        <v>3080</v>
      </c>
      <c r="H2927" t="s">
        <v>125</v>
      </c>
      <c r="I2927">
        <v>2030</v>
      </c>
      <c r="J2927" t="s">
        <v>3098</v>
      </c>
      <c r="K2927" t="s">
        <v>127</v>
      </c>
      <c r="L2927" t="s">
        <v>3164</v>
      </c>
      <c r="M2927" t="s">
        <v>3177</v>
      </c>
      <c r="N2927">
        <v>1</v>
      </c>
      <c r="O2927">
        <v>2030</v>
      </c>
      <c r="P2927">
        <v>5.5459437707837651</v>
      </c>
      <c r="Q2927">
        <v>7.2601625504301888</v>
      </c>
      <c r="R2927" t="s">
        <v>3065</v>
      </c>
      <c r="S2927">
        <v>45.833219839865563</v>
      </c>
      <c r="T2927">
        <v>119.575</v>
      </c>
      <c r="U2927" t="s">
        <v>3066</v>
      </c>
      <c r="V2927">
        <v>119.575</v>
      </c>
      <c r="W2927">
        <v>9</v>
      </c>
      <c r="X2927">
        <v>10</v>
      </c>
      <c r="Y2927">
        <v>10</v>
      </c>
      <c r="Z2927">
        <v>0.3042078488582064</v>
      </c>
      <c r="AA2927">
        <v>1</v>
      </c>
    </row>
    <row r="2928" spans="1:27" x14ac:dyDescent="0.25">
      <c r="A2928" t="s">
        <v>98</v>
      </c>
      <c r="B2928" t="s">
        <v>519</v>
      </c>
      <c r="C2928" t="s">
        <v>689</v>
      </c>
      <c r="D2928" t="s">
        <v>101</v>
      </c>
      <c r="E2928" t="s">
        <v>3060</v>
      </c>
      <c r="F2928" t="s">
        <v>3080</v>
      </c>
      <c r="H2928" t="s">
        <v>125</v>
      </c>
      <c r="I2928">
        <v>2040</v>
      </c>
      <c r="J2928" t="s">
        <v>3100</v>
      </c>
      <c r="K2928" t="s">
        <v>127</v>
      </c>
      <c r="L2928" t="s">
        <v>3164</v>
      </c>
      <c r="M2928" t="s">
        <v>3178</v>
      </c>
      <c r="N2928">
        <v>1</v>
      </c>
      <c r="O2928">
        <v>2040</v>
      </c>
      <c r="P2928">
        <v>5.1760341813984789</v>
      </c>
      <c r="Q2928">
        <v>7.2601625504301888</v>
      </c>
      <c r="R2928" t="s">
        <v>3065</v>
      </c>
      <c r="S2928">
        <v>42.776184241977738</v>
      </c>
      <c r="T2928">
        <v>144.42500000000001</v>
      </c>
      <c r="U2928" t="s">
        <v>3066</v>
      </c>
      <c r="V2928">
        <v>144.42500000000001</v>
      </c>
      <c r="W2928">
        <v>9</v>
      </c>
      <c r="X2928">
        <v>10</v>
      </c>
      <c r="Y2928">
        <v>10</v>
      </c>
      <c r="Z2928">
        <v>0.3042078488582064</v>
      </c>
      <c r="AA2928">
        <v>1</v>
      </c>
    </row>
    <row r="2929" spans="1:27" x14ac:dyDescent="0.25">
      <c r="A2929" t="s">
        <v>98</v>
      </c>
      <c r="B2929" t="s">
        <v>519</v>
      </c>
      <c r="C2929" t="s">
        <v>689</v>
      </c>
      <c r="D2929" t="s">
        <v>101</v>
      </c>
      <c r="E2929" t="s">
        <v>3060</v>
      </c>
      <c r="F2929" t="s">
        <v>3102</v>
      </c>
      <c r="H2929" t="s">
        <v>125</v>
      </c>
      <c r="I2929">
        <v>2015</v>
      </c>
      <c r="J2929" t="s">
        <v>3103</v>
      </c>
      <c r="K2929" t="s">
        <v>127</v>
      </c>
      <c r="L2929" t="s">
        <v>3164</v>
      </c>
      <c r="M2929" t="s">
        <v>3179</v>
      </c>
      <c r="N2929">
        <v>1</v>
      </c>
      <c r="O2929">
        <v>2020</v>
      </c>
      <c r="P2929">
        <v>2.3976621560155711</v>
      </c>
      <c r="Q2929">
        <v>7.2601625504301888</v>
      </c>
      <c r="R2929" t="s">
        <v>3065</v>
      </c>
      <c r="S2929">
        <v>19.814946065141491</v>
      </c>
      <c r="T2929">
        <v>12.7</v>
      </c>
      <c r="U2929" t="s">
        <v>3066</v>
      </c>
      <c r="V2929">
        <v>12.7</v>
      </c>
      <c r="W2929">
        <v>0</v>
      </c>
      <c r="X2929">
        <v>1</v>
      </c>
      <c r="Y2929">
        <v>1</v>
      </c>
      <c r="Z2929">
        <v>0.3042078488582064</v>
      </c>
      <c r="AA2929">
        <v>1</v>
      </c>
    </row>
    <row r="2930" spans="1:27" x14ac:dyDescent="0.25">
      <c r="A2930" t="s">
        <v>98</v>
      </c>
      <c r="B2930" t="s">
        <v>519</v>
      </c>
      <c r="C2930" t="s">
        <v>689</v>
      </c>
      <c r="D2930" t="s">
        <v>101</v>
      </c>
      <c r="E2930" t="s">
        <v>3060</v>
      </c>
      <c r="F2930" t="s">
        <v>3102</v>
      </c>
      <c r="H2930" t="s">
        <v>125</v>
      </c>
      <c r="I2930">
        <v>2022</v>
      </c>
      <c r="J2930" t="s">
        <v>3105</v>
      </c>
      <c r="K2930" t="s">
        <v>127</v>
      </c>
      <c r="L2930" t="s">
        <v>3164</v>
      </c>
      <c r="M2930" t="s">
        <v>3180</v>
      </c>
      <c r="N2930">
        <v>1</v>
      </c>
      <c r="O2930">
        <v>2022</v>
      </c>
      <c r="P2930">
        <v>3.996103593359285</v>
      </c>
      <c r="Q2930">
        <v>7.2601625504301888</v>
      </c>
      <c r="R2930" t="s">
        <v>3065</v>
      </c>
      <c r="S2930">
        <v>33.024910108569138</v>
      </c>
      <c r="T2930">
        <v>9.3000000000000007</v>
      </c>
      <c r="U2930" t="s">
        <v>3066</v>
      </c>
      <c r="V2930">
        <v>9.3000000000000007</v>
      </c>
      <c r="W2930">
        <v>0</v>
      </c>
      <c r="X2930">
        <v>1</v>
      </c>
      <c r="Y2930">
        <v>1</v>
      </c>
      <c r="Z2930">
        <v>0.3042078488582064</v>
      </c>
      <c r="AA2930">
        <v>1</v>
      </c>
    </row>
    <row r="2931" spans="1:27" x14ac:dyDescent="0.25">
      <c r="A2931" t="s">
        <v>98</v>
      </c>
      <c r="B2931" t="s">
        <v>519</v>
      </c>
      <c r="C2931" t="s">
        <v>689</v>
      </c>
      <c r="D2931" t="s">
        <v>101</v>
      </c>
      <c r="E2931" t="s">
        <v>3060</v>
      </c>
      <c r="F2931" t="s">
        <v>3107</v>
      </c>
      <c r="H2931" t="s">
        <v>125</v>
      </c>
      <c r="I2931">
        <v>2015</v>
      </c>
      <c r="J2931" t="s">
        <v>3108</v>
      </c>
      <c r="K2931" t="s">
        <v>127</v>
      </c>
      <c r="L2931" t="s">
        <v>3164</v>
      </c>
      <c r="M2931" t="s">
        <v>3181</v>
      </c>
      <c r="N2931">
        <v>1</v>
      </c>
      <c r="O2931">
        <v>2020</v>
      </c>
      <c r="P2931">
        <v>1.188030798025733</v>
      </c>
      <c r="Q2931">
        <v>7.2601625504301888</v>
      </c>
      <c r="R2931" t="s">
        <v>3065</v>
      </c>
      <c r="S2931">
        <v>9.8182165187638013</v>
      </c>
      <c r="T2931">
        <v>71.5</v>
      </c>
      <c r="U2931" t="s">
        <v>3066</v>
      </c>
      <c r="V2931">
        <v>71.5</v>
      </c>
      <c r="W2931">
        <v>5</v>
      </c>
      <c r="X2931">
        <v>6</v>
      </c>
      <c r="Y2931">
        <v>6</v>
      </c>
      <c r="Z2931">
        <v>0.3042078488582064</v>
      </c>
      <c r="AA2931">
        <v>1</v>
      </c>
    </row>
    <row r="2932" spans="1:27" x14ac:dyDescent="0.25">
      <c r="A2932" t="s">
        <v>98</v>
      </c>
      <c r="B2932" t="s">
        <v>519</v>
      </c>
      <c r="C2932" t="s">
        <v>689</v>
      </c>
      <c r="D2932" t="s">
        <v>101</v>
      </c>
      <c r="E2932" t="s">
        <v>3060</v>
      </c>
      <c r="F2932" t="s">
        <v>3110</v>
      </c>
      <c r="H2932" t="s">
        <v>125</v>
      </c>
      <c r="I2932">
        <v>2015</v>
      </c>
      <c r="J2932" t="s">
        <v>3111</v>
      </c>
      <c r="K2932" t="s">
        <v>127</v>
      </c>
      <c r="L2932" t="s">
        <v>3164</v>
      </c>
      <c r="M2932" t="s">
        <v>3182</v>
      </c>
      <c r="N2932">
        <v>0</v>
      </c>
      <c r="O2932">
        <v>2020</v>
      </c>
      <c r="P2932">
        <v>7.0633831082620873</v>
      </c>
      <c r="Q2932">
        <v>7.2601625504301888</v>
      </c>
      <c r="R2932" t="s">
        <v>3065</v>
      </c>
      <c r="S2932">
        <v>58.373760029741128</v>
      </c>
      <c r="T2932">
        <v>90</v>
      </c>
      <c r="U2932" t="s">
        <v>3066</v>
      </c>
      <c r="V2932">
        <v>90</v>
      </c>
      <c r="W2932">
        <v>7</v>
      </c>
      <c r="X2932">
        <v>8</v>
      </c>
      <c r="Y2932">
        <v>8</v>
      </c>
      <c r="Z2932">
        <v>0.3042078488582064</v>
      </c>
      <c r="AA2932">
        <v>1</v>
      </c>
    </row>
    <row r="2933" spans="1:27" x14ac:dyDescent="0.25">
      <c r="A2933" t="s">
        <v>98</v>
      </c>
      <c r="B2933" t="s">
        <v>519</v>
      </c>
      <c r="C2933" t="s">
        <v>689</v>
      </c>
      <c r="D2933" t="s">
        <v>101</v>
      </c>
      <c r="E2933" t="s">
        <v>3060</v>
      </c>
      <c r="F2933" t="s">
        <v>3110</v>
      </c>
      <c r="H2933" t="s">
        <v>125</v>
      </c>
      <c r="I2933">
        <v>2020</v>
      </c>
      <c r="J2933" t="s">
        <v>3113</v>
      </c>
      <c r="K2933" t="s">
        <v>127</v>
      </c>
      <c r="L2933" t="s">
        <v>3164</v>
      </c>
      <c r="M2933" t="s">
        <v>3182</v>
      </c>
      <c r="N2933">
        <v>1</v>
      </c>
      <c r="O2933">
        <v>2020</v>
      </c>
      <c r="P2933">
        <v>4.449715352605474</v>
      </c>
      <c r="Q2933">
        <v>7.2601625504301888</v>
      </c>
      <c r="R2933" t="s">
        <v>3065</v>
      </c>
      <c r="S2933">
        <v>36.773683688460778</v>
      </c>
      <c r="T2933">
        <v>89.2</v>
      </c>
      <c r="U2933" t="s">
        <v>3066</v>
      </c>
      <c r="V2933">
        <v>89.2</v>
      </c>
      <c r="W2933">
        <v>11</v>
      </c>
      <c r="X2933">
        <v>12</v>
      </c>
      <c r="Y2933">
        <v>12</v>
      </c>
      <c r="Z2933">
        <v>0.3042078488582064</v>
      </c>
      <c r="AA2933">
        <v>1</v>
      </c>
    </row>
    <row r="2934" spans="1:27" x14ac:dyDescent="0.25">
      <c r="A2934" t="s">
        <v>98</v>
      </c>
      <c r="B2934" t="s">
        <v>519</v>
      </c>
      <c r="C2934" t="s">
        <v>689</v>
      </c>
      <c r="D2934" t="s">
        <v>101</v>
      </c>
      <c r="E2934" t="s">
        <v>3060</v>
      </c>
      <c r="F2934" t="s">
        <v>3110</v>
      </c>
      <c r="H2934" t="s">
        <v>125</v>
      </c>
      <c r="I2934">
        <v>2022</v>
      </c>
      <c r="J2934" t="s">
        <v>3114</v>
      </c>
      <c r="K2934" t="s">
        <v>127</v>
      </c>
      <c r="L2934" t="s">
        <v>3164</v>
      </c>
      <c r="M2934" t="s">
        <v>3183</v>
      </c>
      <c r="N2934">
        <v>1</v>
      </c>
      <c r="O2934">
        <v>2022</v>
      </c>
      <c r="P2934">
        <v>4.4065142326772646</v>
      </c>
      <c r="Q2934">
        <v>7.2601625504301888</v>
      </c>
      <c r="R2934" t="s">
        <v>3065</v>
      </c>
      <c r="S2934">
        <v>36.416657633233001</v>
      </c>
      <c r="T2934">
        <v>89.2</v>
      </c>
      <c r="U2934" t="s">
        <v>3066</v>
      </c>
      <c r="V2934">
        <v>89.2</v>
      </c>
      <c r="W2934">
        <v>11</v>
      </c>
      <c r="X2934">
        <v>12</v>
      </c>
      <c r="Y2934">
        <v>12</v>
      </c>
      <c r="Z2934">
        <v>0.3042078488582064</v>
      </c>
      <c r="AA2934">
        <v>1</v>
      </c>
    </row>
    <row r="2935" spans="1:27" x14ac:dyDescent="0.25">
      <c r="A2935" t="s">
        <v>98</v>
      </c>
      <c r="B2935" t="s">
        <v>519</v>
      </c>
      <c r="C2935" t="s">
        <v>689</v>
      </c>
      <c r="D2935" t="s">
        <v>101</v>
      </c>
      <c r="E2935" t="s">
        <v>3060</v>
      </c>
      <c r="F2935" t="s">
        <v>3110</v>
      </c>
      <c r="H2935" t="s">
        <v>125</v>
      </c>
      <c r="I2935">
        <v>2030</v>
      </c>
      <c r="J2935" t="s">
        <v>3116</v>
      </c>
      <c r="K2935" t="s">
        <v>127</v>
      </c>
      <c r="L2935" t="s">
        <v>3164</v>
      </c>
      <c r="M2935" t="s">
        <v>3184</v>
      </c>
      <c r="N2935">
        <v>1</v>
      </c>
      <c r="O2935">
        <v>2030</v>
      </c>
      <c r="P2935">
        <v>4.2337097529644314</v>
      </c>
      <c r="Q2935">
        <v>7.2601625504301888</v>
      </c>
      <c r="R2935" t="s">
        <v>3065</v>
      </c>
      <c r="S2935">
        <v>34.988553412321913</v>
      </c>
      <c r="T2935">
        <v>89.2</v>
      </c>
      <c r="U2935" t="s">
        <v>3066</v>
      </c>
      <c r="V2935">
        <v>89.2</v>
      </c>
      <c r="W2935">
        <v>11</v>
      </c>
      <c r="X2935">
        <v>12</v>
      </c>
      <c r="Y2935">
        <v>12</v>
      </c>
      <c r="Z2935">
        <v>0.3042078488582064</v>
      </c>
      <c r="AA2935">
        <v>1</v>
      </c>
    </row>
    <row r="2936" spans="1:27" x14ac:dyDescent="0.25">
      <c r="A2936" t="s">
        <v>98</v>
      </c>
      <c r="B2936" t="s">
        <v>519</v>
      </c>
      <c r="C2936" t="s">
        <v>689</v>
      </c>
      <c r="D2936" t="s">
        <v>101</v>
      </c>
      <c r="E2936" t="s">
        <v>3060</v>
      </c>
      <c r="F2936" t="s">
        <v>3110</v>
      </c>
      <c r="H2936" t="s">
        <v>125</v>
      </c>
      <c r="I2936">
        <v>2040</v>
      </c>
      <c r="J2936" t="s">
        <v>3118</v>
      </c>
      <c r="K2936" t="s">
        <v>127</v>
      </c>
      <c r="L2936" t="s">
        <v>3164</v>
      </c>
      <c r="M2936" t="s">
        <v>3185</v>
      </c>
      <c r="N2936">
        <v>1</v>
      </c>
      <c r="O2936">
        <v>2040</v>
      </c>
      <c r="P2936">
        <v>4.0285044333054412</v>
      </c>
      <c r="Q2936">
        <v>7.2601625504301888</v>
      </c>
      <c r="R2936" t="s">
        <v>3065</v>
      </c>
      <c r="S2936">
        <v>33.292679649989978</v>
      </c>
      <c r="T2936">
        <v>89.2</v>
      </c>
      <c r="U2936" t="s">
        <v>3066</v>
      </c>
      <c r="V2936">
        <v>89.2</v>
      </c>
      <c r="W2936">
        <v>11</v>
      </c>
      <c r="X2936">
        <v>12</v>
      </c>
      <c r="Y2936">
        <v>12</v>
      </c>
      <c r="Z2936">
        <v>0.3042078488582064</v>
      </c>
      <c r="AA2936">
        <v>1</v>
      </c>
    </row>
    <row r="2937" spans="1:27" x14ac:dyDescent="0.25">
      <c r="A2937" t="s">
        <v>98</v>
      </c>
      <c r="B2937" t="s">
        <v>99</v>
      </c>
      <c r="C2937" t="s">
        <v>1028</v>
      </c>
      <c r="D2937" t="s">
        <v>101</v>
      </c>
      <c r="E2937" t="s">
        <v>3060</v>
      </c>
      <c r="F2937" t="s">
        <v>3061</v>
      </c>
      <c r="H2937" t="s">
        <v>125</v>
      </c>
      <c r="I2937">
        <v>2015</v>
      </c>
      <c r="J2937" t="s">
        <v>3062</v>
      </c>
      <c r="K2937" t="s">
        <v>127</v>
      </c>
      <c r="L2937" t="s">
        <v>3186</v>
      </c>
      <c r="M2937" t="s">
        <v>3187</v>
      </c>
      <c r="N2937">
        <v>0</v>
      </c>
      <c r="O2937">
        <v>2020</v>
      </c>
      <c r="P2937">
        <v>4.9303278118067926</v>
      </c>
      <c r="Q2937">
        <v>3.411735002334328</v>
      </c>
      <c r="R2937" t="s">
        <v>3065</v>
      </c>
      <c r="S2937">
        <v>43.353259925815763</v>
      </c>
      <c r="T2937">
        <v>15.7</v>
      </c>
      <c r="U2937" t="s">
        <v>3066</v>
      </c>
      <c r="V2937">
        <v>15.7</v>
      </c>
      <c r="W2937">
        <v>0</v>
      </c>
      <c r="X2937">
        <v>1</v>
      </c>
      <c r="Y2937">
        <v>1</v>
      </c>
      <c r="Z2937">
        <v>0.31173327880439028</v>
      </c>
      <c r="AA2937">
        <v>1</v>
      </c>
    </row>
    <row r="2938" spans="1:27" x14ac:dyDescent="0.25">
      <c r="A2938" t="s">
        <v>98</v>
      </c>
      <c r="B2938" t="s">
        <v>99</v>
      </c>
      <c r="C2938" t="s">
        <v>1028</v>
      </c>
      <c r="D2938" t="s">
        <v>101</v>
      </c>
      <c r="E2938" t="s">
        <v>3060</v>
      </c>
      <c r="F2938" t="s">
        <v>3061</v>
      </c>
      <c r="H2938" t="s">
        <v>125</v>
      </c>
      <c r="I2938">
        <v>2020</v>
      </c>
      <c r="J2938" t="s">
        <v>3067</v>
      </c>
      <c r="K2938" t="s">
        <v>127</v>
      </c>
      <c r="L2938" t="s">
        <v>3186</v>
      </c>
      <c r="M2938" t="s">
        <v>3187</v>
      </c>
      <c r="N2938">
        <v>1</v>
      </c>
      <c r="O2938">
        <v>2020</v>
      </c>
      <c r="P2938">
        <v>7.0363824083069577</v>
      </c>
      <c r="Q2938">
        <v>3.411735002334328</v>
      </c>
      <c r="R2938" t="s">
        <v>3065</v>
      </c>
      <c r="S2938">
        <v>61.872177090183968</v>
      </c>
      <c r="T2938">
        <v>15.7</v>
      </c>
      <c r="U2938" t="s">
        <v>3066</v>
      </c>
      <c r="V2938">
        <v>15.7</v>
      </c>
      <c r="W2938">
        <v>0</v>
      </c>
      <c r="X2938">
        <v>1</v>
      </c>
      <c r="Y2938">
        <v>1</v>
      </c>
      <c r="Z2938">
        <v>0.31173327880439028</v>
      </c>
      <c r="AA2938">
        <v>1</v>
      </c>
    </row>
    <row r="2939" spans="1:27" x14ac:dyDescent="0.25">
      <c r="A2939" t="s">
        <v>98</v>
      </c>
      <c r="B2939" t="s">
        <v>99</v>
      </c>
      <c r="C2939" t="s">
        <v>1028</v>
      </c>
      <c r="D2939" t="s">
        <v>101</v>
      </c>
      <c r="E2939" t="s">
        <v>3060</v>
      </c>
      <c r="F2939" t="s">
        <v>3061</v>
      </c>
      <c r="H2939" t="s">
        <v>125</v>
      </c>
      <c r="I2939">
        <v>2022</v>
      </c>
      <c r="J2939" t="s">
        <v>3068</v>
      </c>
      <c r="K2939" t="s">
        <v>127</v>
      </c>
      <c r="L2939" t="s">
        <v>3186</v>
      </c>
      <c r="M2939" t="s">
        <v>3188</v>
      </c>
      <c r="N2939">
        <v>1</v>
      </c>
      <c r="O2939">
        <v>2022</v>
      </c>
      <c r="P2939">
        <v>7.8788042469070234</v>
      </c>
      <c r="Q2939">
        <v>3.411735002334328</v>
      </c>
      <c r="R2939" t="s">
        <v>3065</v>
      </c>
      <c r="S2939">
        <v>69.279743955931224</v>
      </c>
      <c r="T2939">
        <v>15.7</v>
      </c>
      <c r="U2939" t="s">
        <v>3066</v>
      </c>
      <c r="V2939">
        <v>15.7</v>
      </c>
      <c r="W2939">
        <v>0</v>
      </c>
      <c r="X2939">
        <v>1</v>
      </c>
      <c r="Y2939">
        <v>1</v>
      </c>
      <c r="Z2939">
        <v>0.31173327880439028</v>
      </c>
      <c r="AA2939">
        <v>1</v>
      </c>
    </row>
    <row r="2940" spans="1:27" x14ac:dyDescent="0.25">
      <c r="A2940" t="s">
        <v>98</v>
      </c>
      <c r="B2940" t="s">
        <v>99</v>
      </c>
      <c r="C2940" t="s">
        <v>1028</v>
      </c>
      <c r="D2940" t="s">
        <v>101</v>
      </c>
      <c r="E2940" t="s">
        <v>3060</v>
      </c>
      <c r="F2940" t="s">
        <v>3070</v>
      </c>
      <c r="H2940" t="s">
        <v>125</v>
      </c>
      <c r="I2940">
        <v>2015</v>
      </c>
      <c r="J2940" t="s">
        <v>3071</v>
      </c>
      <c r="K2940" t="s">
        <v>127</v>
      </c>
      <c r="L2940" t="s">
        <v>3186</v>
      </c>
      <c r="M2940" t="s">
        <v>3189</v>
      </c>
      <c r="N2940">
        <v>0</v>
      </c>
      <c r="O2940">
        <v>2020</v>
      </c>
      <c r="P2940">
        <v>4.7269225388114773</v>
      </c>
      <c r="Q2940">
        <v>3.411735002334328</v>
      </c>
      <c r="R2940" t="s">
        <v>3065</v>
      </c>
      <c r="S2940">
        <v>41.564680746693021</v>
      </c>
      <c r="T2940">
        <v>59.066666666666663</v>
      </c>
      <c r="U2940" t="s">
        <v>3066</v>
      </c>
      <c r="V2940">
        <v>59.066666666666663</v>
      </c>
      <c r="W2940">
        <v>3</v>
      </c>
      <c r="X2940">
        <v>4</v>
      </c>
      <c r="Y2940">
        <v>4</v>
      </c>
      <c r="Z2940">
        <v>0.31173327880439028</v>
      </c>
      <c r="AA2940">
        <v>1</v>
      </c>
    </row>
    <row r="2941" spans="1:27" x14ac:dyDescent="0.25">
      <c r="A2941" t="s">
        <v>98</v>
      </c>
      <c r="B2941" t="s">
        <v>99</v>
      </c>
      <c r="C2941" t="s">
        <v>1028</v>
      </c>
      <c r="D2941" t="s">
        <v>101</v>
      </c>
      <c r="E2941" t="s">
        <v>3060</v>
      </c>
      <c r="F2941" t="s">
        <v>3070</v>
      </c>
      <c r="H2941" t="s">
        <v>125</v>
      </c>
      <c r="I2941">
        <v>2020</v>
      </c>
      <c r="J2941" t="s">
        <v>3073</v>
      </c>
      <c r="K2941" t="s">
        <v>127</v>
      </c>
      <c r="L2941" t="s">
        <v>3186</v>
      </c>
      <c r="M2941" t="s">
        <v>3189</v>
      </c>
      <c r="N2941">
        <v>1</v>
      </c>
      <c r="O2941">
        <v>2020</v>
      </c>
      <c r="P2941">
        <v>6.2353616429714247</v>
      </c>
      <c r="Q2941">
        <v>3.411735002334328</v>
      </c>
      <c r="R2941" t="s">
        <v>3065</v>
      </c>
      <c r="S2941">
        <v>54.828657313992643</v>
      </c>
      <c r="T2941">
        <v>59.933333333333337</v>
      </c>
      <c r="U2941" t="s">
        <v>3066</v>
      </c>
      <c r="V2941">
        <v>59.933333333333337</v>
      </c>
      <c r="W2941">
        <v>3</v>
      </c>
      <c r="X2941">
        <v>4</v>
      </c>
      <c r="Y2941">
        <v>4</v>
      </c>
      <c r="Z2941">
        <v>0.31173327880439028</v>
      </c>
      <c r="AA2941">
        <v>1</v>
      </c>
    </row>
    <row r="2942" spans="1:27" x14ac:dyDescent="0.25">
      <c r="A2942" t="s">
        <v>98</v>
      </c>
      <c r="B2942" t="s">
        <v>99</v>
      </c>
      <c r="C2942" t="s">
        <v>1028</v>
      </c>
      <c r="D2942" t="s">
        <v>101</v>
      </c>
      <c r="E2942" t="s">
        <v>3060</v>
      </c>
      <c r="F2942" t="s">
        <v>3070</v>
      </c>
      <c r="H2942" t="s">
        <v>125</v>
      </c>
      <c r="I2942">
        <v>2022</v>
      </c>
      <c r="J2942" t="s">
        <v>3074</v>
      </c>
      <c r="K2942" t="s">
        <v>127</v>
      </c>
      <c r="L2942" t="s">
        <v>3186</v>
      </c>
      <c r="M2942" t="s">
        <v>3190</v>
      </c>
      <c r="N2942">
        <v>1</v>
      </c>
      <c r="O2942">
        <v>2022</v>
      </c>
      <c r="P2942">
        <v>5.7403488104607021</v>
      </c>
      <c r="Q2942">
        <v>3.411735002334328</v>
      </c>
      <c r="R2942" t="s">
        <v>3065</v>
      </c>
      <c r="S2942">
        <v>50.475920373649693</v>
      </c>
      <c r="T2942">
        <v>65.8</v>
      </c>
      <c r="U2942" t="s">
        <v>3066</v>
      </c>
      <c r="V2942">
        <v>65.8</v>
      </c>
      <c r="W2942">
        <v>3</v>
      </c>
      <c r="X2942">
        <v>4</v>
      </c>
      <c r="Y2942">
        <v>4</v>
      </c>
      <c r="Z2942">
        <v>0.31173327880439028</v>
      </c>
      <c r="AA2942">
        <v>1</v>
      </c>
    </row>
    <row r="2943" spans="1:27" x14ac:dyDescent="0.25">
      <c r="A2943" t="s">
        <v>98</v>
      </c>
      <c r="B2943" t="s">
        <v>99</v>
      </c>
      <c r="C2943" t="s">
        <v>1028</v>
      </c>
      <c r="D2943" t="s">
        <v>101</v>
      </c>
      <c r="E2943" t="s">
        <v>3060</v>
      </c>
      <c r="F2943" t="s">
        <v>3070</v>
      </c>
      <c r="H2943" t="s">
        <v>125</v>
      </c>
      <c r="I2943">
        <v>2030</v>
      </c>
      <c r="J2943" t="s">
        <v>3076</v>
      </c>
      <c r="K2943" t="s">
        <v>127</v>
      </c>
      <c r="L2943" t="s">
        <v>3186</v>
      </c>
      <c r="M2943" t="s">
        <v>3191</v>
      </c>
      <c r="N2943">
        <v>1</v>
      </c>
      <c r="O2943">
        <v>2030</v>
      </c>
      <c r="P2943">
        <v>5.513542930837608</v>
      </c>
      <c r="Q2943">
        <v>3.411735002334328</v>
      </c>
      <c r="R2943" t="s">
        <v>3065</v>
      </c>
      <c r="S2943">
        <v>48.481575448256187</v>
      </c>
      <c r="T2943">
        <v>68.5</v>
      </c>
      <c r="U2943" t="s">
        <v>3066</v>
      </c>
      <c r="V2943">
        <v>68.5</v>
      </c>
      <c r="W2943">
        <v>3</v>
      </c>
      <c r="X2943">
        <v>4</v>
      </c>
      <c r="Y2943">
        <v>4</v>
      </c>
      <c r="Z2943">
        <v>0.31173327880439028</v>
      </c>
      <c r="AA2943">
        <v>1</v>
      </c>
    </row>
    <row r="2944" spans="1:27" x14ac:dyDescent="0.25">
      <c r="A2944" t="s">
        <v>98</v>
      </c>
      <c r="B2944" t="s">
        <v>99</v>
      </c>
      <c r="C2944" t="s">
        <v>1028</v>
      </c>
      <c r="D2944" t="s">
        <v>101</v>
      </c>
      <c r="E2944" t="s">
        <v>3060</v>
      </c>
      <c r="F2944" t="s">
        <v>3070</v>
      </c>
      <c r="H2944" t="s">
        <v>125</v>
      </c>
      <c r="I2944">
        <v>2040</v>
      </c>
      <c r="J2944" t="s">
        <v>3078</v>
      </c>
      <c r="K2944" t="s">
        <v>127</v>
      </c>
      <c r="L2944" t="s">
        <v>3186</v>
      </c>
      <c r="M2944" t="s">
        <v>3192</v>
      </c>
      <c r="N2944">
        <v>1</v>
      </c>
      <c r="O2944">
        <v>2040</v>
      </c>
      <c r="P2944">
        <v>5.2435359312863046</v>
      </c>
      <c r="Q2944">
        <v>3.411735002334328</v>
      </c>
      <c r="R2944" t="s">
        <v>3065</v>
      </c>
      <c r="S2944">
        <v>46.10735529897822</v>
      </c>
      <c r="T2944">
        <v>72</v>
      </c>
      <c r="U2944" t="s">
        <v>3066</v>
      </c>
      <c r="V2944">
        <v>72</v>
      </c>
      <c r="W2944">
        <v>3</v>
      </c>
      <c r="X2944">
        <v>4</v>
      </c>
      <c r="Y2944">
        <v>4</v>
      </c>
      <c r="Z2944">
        <v>0.31173327880439028</v>
      </c>
      <c r="AA2944">
        <v>1</v>
      </c>
    </row>
    <row r="2945" spans="1:27" x14ac:dyDescent="0.25">
      <c r="A2945" t="s">
        <v>98</v>
      </c>
      <c r="B2945" t="s">
        <v>99</v>
      </c>
      <c r="C2945" t="s">
        <v>1028</v>
      </c>
      <c r="D2945" t="s">
        <v>101</v>
      </c>
      <c r="E2945" t="s">
        <v>3060</v>
      </c>
      <c r="F2945" t="s">
        <v>3080</v>
      </c>
      <c r="H2945" t="s">
        <v>125</v>
      </c>
      <c r="I2945">
        <v>2015</v>
      </c>
      <c r="J2945" t="s">
        <v>3081</v>
      </c>
      <c r="K2945" t="s">
        <v>127</v>
      </c>
      <c r="L2945" t="s">
        <v>3186</v>
      </c>
      <c r="M2945" t="s">
        <v>3193</v>
      </c>
      <c r="N2945">
        <v>0</v>
      </c>
      <c r="O2945">
        <v>2020</v>
      </c>
      <c r="P2945">
        <v>21.61676038407732</v>
      </c>
      <c r="Q2945">
        <v>3.411735002334328</v>
      </c>
      <c r="R2945" t="s">
        <v>3065</v>
      </c>
      <c r="S2945">
        <v>190.08006515119439</v>
      </c>
      <c r="T2945">
        <v>79.849999999999994</v>
      </c>
      <c r="U2945" t="s">
        <v>3066</v>
      </c>
      <c r="V2945">
        <v>79.849999999999994</v>
      </c>
      <c r="W2945">
        <v>11</v>
      </c>
      <c r="X2945">
        <v>12</v>
      </c>
      <c r="Y2945">
        <v>12</v>
      </c>
      <c r="Z2945">
        <v>0.31173327880439028</v>
      </c>
      <c r="AA2945">
        <v>1</v>
      </c>
    </row>
    <row r="2946" spans="1:27" x14ac:dyDescent="0.25">
      <c r="A2946" t="s">
        <v>98</v>
      </c>
      <c r="B2946" t="s">
        <v>99</v>
      </c>
      <c r="C2946" t="s">
        <v>1028</v>
      </c>
      <c r="D2946" t="s">
        <v>101</v>
      </c>
      <c r="E2946" t="s">
        <v>3060</v>
      </c>
      <c r="F2946" t="s">
        <v>3080</v>
      </c>
      <c r="H2946" t="s">
        <v>125</v>
      </c>
      <c r="I2946">
        <v>2016</v>
      </c>
      <c r="J2946" t="s">
        <v>3083</v>
      </c>
      <c r="K2946" t="s">
        <v>127</v>
      </c>
      <c r="L2946" t="s">
        <v>3186</v>
      </c>
      <c r="M2946" t="s">
        <v>3193</v>
      </c>
      <c r="N2946">
        <v>0</v>
      </c>
      <c r="O2946">
        <v>2020</v>
      </c>
      <c r="P2946">
        <v>21.128047714889458</v>
      </c>
      <c r="Q2946">
        <v>3.411735002334328</v>
      </c>
      <c r="R2946" t="s">
        <v>3065</v>
      </c>
      <c r="S2946">
        <v>185.78272668100129</v>
      </c>
      <c r="T2946">
        <v>83.025000000000006</v>
      </c>
      <c r="U2946" t="s">
        <v>3066</v>
      </c>
      <c r="V2946">
        <v>83.025000000000006</v>
      </c>
      <c r="W2946">
        <v>11</v>
      </c>
      <c r="X2946">
        <v>12</v>
      </c>
      <c r="Y2946">
        <v>12</v>
      </c>
      <c r="Z2946">
        <v>0.31173327880439028</v>
      </c>
      <c r="AA2946">
        <v>1</v>
      </c>
    </row>
    <row r="2947" spans="1:27" x14ac:dyDescent="0.25">
      <c r="A2947" t="s">
        <v>98</v>
      </c>
      <c r="B2947" t="s">
        <v>99</v>
      </c>
      <c r="C2947" t="s">
        <v>1028</v>
      </c>
      <c r="D2947" t="s">
        <v>101</v>
      </c>
      <c r="E2947" t="s">
        <v>3060</v>
      </c>
      <c r="F2947" t="s">
        <v>3080</v>
      </c>
      <c r="H2947" t="s">
        <v>125</v>
      </c>
      <c r="I2947">
        <v>2017</v>
      </c>
      <c r="J2947" t="s">
        <v>3084</v>
      </c>
      <c r="K2947" t="s">
        <v>127</v>
      </c>
      <c r="L2947" t="s">
        <v>3186</v>
      </c>
      <c r="M2947" t="s">
        <v>3193</v>
      </c>
      <c r="N2947">
        <v>0</v>
      </c>
      <c r="O2947">
        <v>2020</v>
      </c>
      <c r="P2947">
        <v>17.431651891032121</v>
      </c>
      <c r="Q2947">
        <v>3.411735002334328</v>
      </c>
      <c r="R2947" t="s">
        <v>3065</v>
      </c>
      <c r="S2947">
        <v>153.2796528373859</v>
      </c>
      <c r="T2947">
        <v>86.2</v>
      </c>
      <c r="U2947" t="s">
        <v>3066</v>
      </c>
      <c r="V2947">
        <v>86.2</v>
      </c>
      <c r="W2947">
        <v>11</v>
      </c>
      <c r="X2947">
        <v>12</v>
      </c>
      <c r="Y2947">
        <v>12</v>
      </c>
      <c r="Z2947">
        <v>0.31173327880439028</v>
      </c>
      <c r="AA2947">
        <v>1</v>
      </c>
    </row>
    <row r="2948" spans="1:27" x14ac:dyDescent="0.25">
      <c r="A2948" t="s">
        <v>98</v>
      </c>
      <c r="B2948" t="s">
        <v>99</v>
      </c>
      <c r="C2948" t="s">
        <v>1028</v>
      </c>
      <c r="D2948" t="s">
        <v>101</v>
      </c>
      <c r="E2948" t="s">
        <v>3060</v>
      </c>
      <c r="F2948" t="s">
        <v>3080</v>
      </c>
      <c r="H2948" t="s">
        <v>125</v>
      </c>
      <c r="I2948">
        <v>2018</v>
      </c>
      <c r="J2948" t="s">
        <v>3085</v>
      </c>
      <c r="K2948" t="s">
        <v>127</v>
      </c>
      <c r="L2948" t="s">
        <v>3186</v>
      </c>
      <c r="M2948" t="s">
        <v>3193</v>
      </c>
      <c r="N2948">
        <v>0</v>
      </c>
      <c r="O2948">
        <v>2020</v>
      </c>
      <c r="P2948">
        <v>15.33639757451401</v>
      </c>
      <c r="Q2948">
        <v>3.411735002334328</v>
      </c>
      <c r="R2948" t="s">
        <v>3065</v>
      </c>
      <c r="S2948">
        <v>134.8557044789888</v>
      </c>
      <c r="T2948">
        <v>89.35</v>
      </c>
      <c r="U2948" t="s">
        <v>3066</v>
      </c>
      <c r="V2948">
        <v>89.35</v>
      </c>
      <c r="W2948">
        <v>11</v>
      </c>
      <c r="X2948">
        <v>12</v>
      </c>
      <c r="Y2948">
        <v>12</v>
      </c>
      <c r="Z2948">
        <v>0.31173327880439028</v>
      </c>
      <c r="AA2948">
        <v>1</v>
      </c>
    </row>
    <row r="2949" spans="1:27" x14ac:dyDescent="0.25">
      <c r="A2949" t="s">
        <v>98</v>
      </c>
      <c r="B2949" t="s">
        <v>99</v>
      </c>
      <c r="C2949" t="s">
        <v>1028</v>
      </c>
      <c r="D2949" t="s">
        <v>101</v>
      </c>
      <c r="E2949" t="s">
        <v>3060</v>
      </c>
      <c r="F2949" t="s">
        <v>3080</v>
      </c>
      <c r="H2949" t="s">
        <v>125</v>
      </c>
      <c r="I2949">
        <v>2019</v>
      </c>
      <c r="J2949" t="s">
        <v>3086</v>
      </c>
      <c r="K2949" t="s">
        <v>127</v>
      </c>
      <c r="L2949" t="s">
        <v>3186</v>
      </c>
      <c r="M2949" t="s">
        <v>3193</v>
      </c>
      <c r="N2949">
        <v>0</v>
      </c>
      <c r="O2949">
        <v>2020</v>
      </c>
      <c r="P2949">
        <v>13.24384332799141</v>
      </c>
      <c r="Q2949">
        <v>3.411735002334328</v>
      </c>
      <c r="R2949" t="s">
        <v>3065</v>
      </c>
      <c r="S2949">
        <v>116.45549832208449</v>
      </c>
      <c r="T2949">
        <v>92.55</v>
      </c>
      <c r="U2949" t="s">
        <v>3066</v>
      </c>
      <c r="V2949">
        <v>92.55</v>
      </c>
      <c r="W2949">
        <v>10</v>
      </c>
      <c r="X2949">
        <v>11</v>
      </c>
      <c r="Y2949">
        <v>11</v>
      </c>
      <c r="Z2949">
        <v>0.31173327880439028</v>
      </c>
      <c r="AA2949">
        <v>1</v>
      </c>
    </row>
    <row r="2950" spans="1:27" x14ac:dyDescent="0.25">
      <c r="A2950" t="s">
        <v>98</v>
      </c>
      <c r="B2950" t="s">
        <v>99</v>
      </c>
      <c r="C2950" t="s">
        <v>1028</v>
      </c>
      <c r="D2950" t="s">
        <v>101</v>
      </c>
      <c r="E2950" t="s">
        <v>3060</v>
      </c>
      <c r="F2950" t="s">
        <v>3080</v>
      </c>
      <c r="H2950" t="s">
        <v>125</v>
      </c>
      <c r="I2950">
        <v>2020</v>
      </c>
      <c r="J2950" t="s">
        <v>3087</v>
      </c>
      <c r="K2950" t="s">
        <v>127</v>
      </c>
      <c r="L2950" t="s">
        <v>3186</v>
      </c>
      <c r="M2950" t="s">
        <v>3193</v>
      </c>
      <c r="N2950">
        <v>1</v>
      </c>
      <c r="O2950">
        <v>2020</v>
      </c>
      <c r="P2950">
        <v>11.1485890114733</v>
      </c>
      <c r="Q2950">
        <v>3.411735002334328</v>
      </c>
      <c r="R2950" t="s">
        <v>3065</v>
      </c>
      <c r="S2950">
        <v>98.031549963687482</v>
      </c>
      <c r="T2950">
        <v>95.699999999999989</v>
      </c>
      <c r="U2950" t="s">
        <v>3066</v>
      </c>
      <c r="V2950">
        <v>95.699999999999989</v>
      </c>
      <c r="W2950">
        <v>10</v>
      </c>
      <c r="X2950">
        <v>11</v>
      </c>
      <c r="Y2950">
        <v>11</v>
      </c>
      <c r="Z2950">
        <v>0.31173327880439028</v>
      </c>
      <c r="AA2950">
        <v>1</v>
      </c>
    </row>
    <row r="2951" spans="1:27" x14ac:dyDescent="0.25">
      <c r="A2951" t="s">
        <v>98</v>
      </c>
      <c r="B2951" t="s">
        <v>99</v>
      </c>
      <c r="C2951" t="s">
        <v>1028</v>
      </c>
      <c r="D2951" t="s">
        <v>101</v>
      </c>
      <c r="E2951" t="s">
        <v>3060</v>
      </c>
      <c r="F2951" t="s">
        <v>3080</v>
      </c>
      <c r="H2951" t="s">
        <v>125</v>
      </c>
      <c r="I2951">
        <v>2021</v>
      </c>
      <c r="J2951" t="s">
        <v>3088</v>
      </c>
      <c r="K2951" t="s">
        <v>127</v>
      </c>
      <c r="L2951" t="s">
        <v>3186</v>
      </c>
      <c r="M2951" t="s">
        <v>3194</v>
      </c>
      <c r="N2951">
        <v>1</v>
      </c>
      <c r="O2951">
        <v>2021</v>
      </c>
      <c r="P2951">
        <v>8.8076283253635061</v>
      </c>
      <c r="Q2951">
        <v>3.411735002334328</v>
      </c>
      <c r="R2951" t="s">
        <v>3065</v>
      </c>
      <c r="S2951">
        <v>77.44706126944746</v>
      </c>
      <c r="T2951">
        <v>97.949999999999989</v>
      </c>
      <c r="U2951" t="s">
        <v>3066</v>
      </c>
      <c r="V2951">
        <v>97.949999999999989</v>
      </c>
      <c r="W2951">
        <v>10</v>
      </c>
      <c r="X2951">
        <v>11</v>
      </c>
      <c r="Y2951">
        <v>11</v>
      </c>
      <c r="Z2951">
        <v>0.31173327880439028</v>
      </c>
      <c r="AA2951">
        <v>1</v>
      </c>
    </row>
    <row r="2952" spans="1:27" x14ac:dyDescent="0.25">
      <c r="A2952" t="s">
        <v>98</v>
      </c>
      <c r="B2952" t="s">
        <v>99</v>
      </c>
      <c r="C2952" t="s">
        <v>1028</v>
      </c>
      <c r="D2952" t="s">
        <v>101</v>
      </c>
      <c r="E2952" t="s">
        <v>3060</v>
      </c>
      <c r="F2952" t="s">
        <v>3080</v>
      </c>
      <c r="H2952" t="s">
        <v>125</v>
      </c>
      <c r="I2952">
        <v>2022</v>
      </c>
      <c r="J2952" t="s">
        <v>3090</v>
      </c>
      <c r="K2952" t="s">
        <v>127</v>
      </c>
      <c r="L2952" t="s">
        <v>3186</v>
      </c>
      <c r="M2952" t="s">
        <v>3195</v>
      </c>
      <c r="N2952">
        <v>1</v>
      </c>
      <c r="O2952">
        <v>2022</v>
      </c>
      <c r="P2952">
        <v>6.4693677092492212</v>
      </c>
      <c r="Q2952">
        <v>3.411735002334328</v>
      </c>
      <c r="R2952" t="s">
        <v>3065</v>
      </c>
      <c r="S2952">
        <v>56.886314776700218</v>
      </c>
      <c r="T2952">
        <v>100.22499999999999</v>
      </c>
      <c r="U2952" t="s">
        <v>3066</v>
      </c>
      <c r="V2952">
        <v>100.22499999999999</v>
      </c>
      <c r="W2952">
        <v>9</v>
      </c>
      <c r="X2952">
        <v>10</v>
      </c>
      <c r="Y2952">
        <v>10</v>
      </c>
      <c r="Z2952">
        <v>0.31173327880439028</v>
      </c>
      <c r="AA2952">
        <v>1</v>
      </c>
    </row>
    <row r="2953" spans="1:27" x14ac:dyDescent="0.25">
      <c r="A2953" t="s">
        <v>98</v>
      </c>
      <c r="B2953" t="s">
        <v>99</v>
      </c>
      <c r="C2953" t="s">
        <v>1028</v>
      </c>
      <c r="D2953" t="s">
        <v>101</v>
      </c>
      <c r="E2953" t="s">
        <v>3060</v>
      </c>
      <c r="F2953" t="s">
        <v>3080</v>
      </c>
      <c r="H2953" t="s">
        <v>125</v>
      </c>
      <c r="I2953">
        <v>2023</v>
      </c>
      <c r="J2953" t="s">
        <v>3092</v>
      </c>
      <c r="K2953" t="s">
        <v>127</v>
      </c>
      <c r="L2953" t="s">
        <v>3186</v>
      </c>
      <c r="M2953" t="s">
        <v>3196</v>
      </c>
      <c r="N2953">
        <v>1</v>
      </c>
      <c r="O2953">
        <v>2023</v>
      </c>
      <c r="P2953">
        <v>6.3505646294466462</v>
      </c>
      <c r="Q2953">
        <v>3.411735002334328</v>
      </c>
      <c r="R2953" t="s">
        <v>3065</v>
      </c>
      <c r="S2953">
        <v>55.841657911017897</v>
      </c>
      <c r="T2953">
        <v>102.65</v>
      </c>
      <c r="U2953" t="s">
        <v>3066</v>
      </c>
      <c r="V2953">
        <v>102.65</v>
      </c>
      <c r="W2953">
        <v>9</v>
      </c>
      <c r="X2953">
        <v>10</v>
      </c>
      <c r="Y2953">
        <v>10</v>
      </c>
      <c r="Z2953">
        <v>0.31173327880439028</v>
      </c>
      <c r="AA2953">
        <v>1</v>
      </c>
    </row>
    <row r="2954" spans="1:27" x14ac:dyDescent="0.25">
      <c r="A2954" t="s">
        <v>98</v>
      </c>
      <c r="B2954" t="s">
        <v>99</v>
      </c>
      <c r="C2954" t="s">
        <v>1028</v>
      </c>
      <c r="D2954" t="s">
        <v>101</v>
      </c>
      <c r="E2954" t="s">
        <v>3060</v>
      </c>
      <c r="F2954" t="s">
        <v>3080</v>
      </c>
      <c r="H2954" t="s">
        <v>125</v>
      </c>
      <c r="I2954">
        <v>2024</v>
      </c>
      <c r="J2954" t="s">
        <v>3094</v>
      </c>
      <c r="K2954" t="s">
        <v>127</v>
      </c>
      <c r="L2954" t="s">
        <v>3186</v>
      </c>
      <c r="M2954" t="s">
        <v>3197</v>
      </c>
      <c r="N2954">
        <v>1</v>
      </c>
      <c r="O2954">
        <v>2024</v>
      </c>
      <c r="P2954">
        <v>6.2857629495543348</v>
      </c>
      <c r="Q2954">
        <v>3.411735002334328</v>
      </c>
      <c r="R2954" t="s">
        <v>3065</v>
      </c>
      <c r="S2954">
        <v>55.271845075191187</v>
      </c>
      <c r="T2954">
        <v>105.05</v>
      </c>
      <c r="U2954" t="s">
        <v>3066</v>
      </c>
      <c r="V2954">
        <v>105.05</v>
      </c>
      <c r="W2954">
        <v>9</v>
      </c>
      <c r="X2954">
        <v>10</v>
      </c>
      <c r="Y2954">
        <v>10</v>
      </c>
      <c r="Z2954">
        <v>0.31173327880439028</v>
      </c>
      <c r="AA2954">
        <v>1</v>
      </c>
    </row>
    <row r="2955" spans="1:27" x14ac:dyDescent="0.25">
      <c r="A2955" t="s">
        <v>98</v>
      </c>
      <c r="B2955" t="s">
        <v>99</v>
      </c>
      <c r="C2955" t="s">
        <v>1028</v>
      </c>
      <c r="D2955" t="s">
        <v>101</v>
      </c>
      <c r="E2955" t="s">
        <v>3060</v>
      </c>
      <c r="F2955" t="s">
        <v>3080</v>
      </c>
      <c r="H2955" t="s">
        <v>125</v>
      </c>
      <c r="I2955">
        <v>2025</v>
      </c>
      <c r="J2955" t="s">
        <v>3096</v>
      </c>
      <c r="K2955" t="s">
        <v>127</v>
      </c>
      <c r="L2955" t="s">
        <v>3186</v>
      </c>
      <c r="M2955" t="s">
        <v>3198</v>
      </c>
      <c r="N2955">
        <v>1</v>
      </c>
      <c r="O2955">
        <v>2025</v>
      </c>
      <c r="P2955">
        <v>6.1210586798280389</v>
      </c>
      <c r="Q2955">
        <v>3.411735002334328</v>
      </c>
      <c r="R2955" t="s">
        <v>3065</v>
      </c>
      <c r="S2955">
        <v>53.823570784131618</v>
      </c>
      <c r="T2955">
        <v>107.47499999999999</v>
      </c>
      <c r="U2955" t="s">
        <v>3066</v>
      </c>
      <c r="V2955">
        <v>107.47499999999999</v>
      </c>
      <c r="W2955">
        <v>9</v>
      </c>
      <c r="X2955">
        <v>10</v>
      </c>
      <c r="Y2955">
        <v>10</v>
      </c>
      <c r="Z2955">
        <v>0.31173327880439028</v>
      </c>
      <c r="AA2955">
        <v>1</v>
      </c>
    </row>
    <row r="2956" spans="1:27" x14ac:dyDescent="0.25">
      <c r="A2956" t="s">
        <v>98</v>
      </c>
      <c r="B2956" t="s">
        <v>99</v>
      </c>
      <c r="C2956" t="s">
        <v>1028</v>
      </c>
      <c r="D2956" t="s">
        <v>101</v>
      </c>
      <c r="E2956" t="s">
        <v>3060</v>
      </c>
      <c r="F2956" t="s">
        <v>3080</v>
      </c>
      <c r="H2956" t="s">
        <v>125</v>
      </c>
      <c r="I2956">
        <v>2030</v>
      </c>
      <c r="J2956" t="s">
        <v>3098</v>
      </c>
      <c r="K2956" t="s">
        <v>127</v>
      </c>
      <c r="L2956" t="s">
        <v>3186</v>
      </c>
      <c r="M2956" t="s">
        <v>3199</v>
      </c>
      <c r="N2956">
        <v>1</v>
      </c>
      <c r="O2956">
        <v>2030</v>
      </c>
      <c r="P2956">
        <v>5.5459437707837651</v>
      </c>
      <c r="Q2956">
        <v>3.411735002334328</v>
      </c>
      <c r="R2956" t="s">
        <v>3065</v>
      </c>
      <c r="S2956">
        <v>48.766481866169563</v>
      </c>
      <c r="T2956">
        <v>119.575</v>
      </c>
      <c r="U2956" t="s">
        <v>3066</v>
      </c>
      <c r="V2956">
        <v>119.575</v>
      </c>
      <c r="W2956">
        <v>9</v>
      </c>
      <c r="X2956">
        <v>10</v>
      </c>
      <c r="Y2956">
        <v>10</v>
      </c>
      <c r="Z2956">
        <v>0.31173327880439028</v>
      </c>
      <c r="AA2956">
        <v>1</v>
      </c>
    </row>
    <row r="2957" spans="1:27" x14ac:dyDescent="0.25">
      <c r="A2957" t="s">
        <v>98</v>
      </c>
      <c r="B2957" t="s">
        <v>99</v>
      </c>
      <c r="C2957" t="s">
        <v>1028</v>
      </c>
      <c r="D2957" t="s">
        <v>101</v>
      </c>
      <c r="E2957" t="s">
        <v>3060</v>
      </c>
      <c r="F2957" t="s">
        <v>3080</v>
      </c>
      <c r="H2957" t="s">
        <v>125</v>
      </c>
      <c r="I2957">
        <v>2040</v>
      </c>
      <c r="J2957" t="s">
        <v>3100</v>
      </c>
      <c r="K2957" t="s">
        <v>127</v>
      </c>
      <c r="L2957" t="s">
        <v>3186</v>
      </c>
      <c r="M2957" t="s">
        <v>3200</v>
      </c>
      <c r="N2957">
        <v>1</v>
      </c>
      <c r="O2957">
        <v>2040</v>
      </c>
      <c r="P2957">
        <v>5.1760341813984789</v>
      </c>
      <c r="Q2957">
        <v>3.411735002334328</v>
      </c>
      <c r="R2957" t="s">
        <v>3065</v>
      </c>
      <c r="S2957">
        <v>45.513800261658723</v>
      </c>
      <c r="T2957">
        <v>144.42500000000001</v>
      </c>
      <c r="U2957" t="s">
        <v>3066</v>
      </c>
      <c r="V2957">
        <v>144.42500000000001</v>
      </c>
      <c r="W2957">
        <v>9</v>
      </c>
      <c r="X2957">
        <v>10</v>
      </c>
      <c r="Y2957">
        <v>10</v>
      </c>
      <c r="Z2957">
        <v>0.31173327880439028</v>
      </c>
      <c r="AA2957">
        <v>1</v>
      </c>
    </row>
    <row r="2958" spans="1:27" x14ac:dyDescent="0.25">
      <c r="A2958" t="s">
        <v>98</v>
      </c>
      <c r="B2958" t="s">
        <v>99</v>
      </c>
      <c r="C2958" t="s">
        <v>1028</v>
      </c>
      <c r="D2958" t="s">
        <v>101</v>
      </c>
      <c r="E2958" t="s">
        <v>3060</v>
      </c>
      <c r="F2958" t="s">
        <v>3102</v>
      </c>
      <c r="H2958" t="s">
        <v>125</v>
      </c>
      <c r="I2958">
        <v>2015</v>
      </c>
      <c r="J2958" t="s">
        <v>3103</v>
      </c>
      <c r="K2958" t="s">
        <v>127</v>
      </c>
      <c r="L2958" t="s">
        <v>3186</v>
      </c>
      <c r="M2958" t="s">
        <v>3201</v>
      </c>
      <c r="N2958">
        <v>1</v>
      </c>
      <c r="O2958">
        <v>2020</v>
      </c>
      <c r="P2958">
        <v>2.3976621560155711</v>
      </c>
      <c r="Q2958">
        <v>3.411735002334328</v>
      </c>
      <c r="R2958" t="s">
        <v>3065</v>
      </c>
      <c r="S2958">
        <v>21.083074925588392</v>
      </c>
      <c r="T2958">
        <v>12.7</v>
      </c>
      <c r="U2958" t="s">
        <v>3066</v>
      </c>
      <c r="V2958">
        <v>12.7</v>
      </c>
      <c r="W2958">
        <v>0</v>
      </c>
      <c r="X2958">
        <v>1</v>
      </c>
      <c r="Y2958">
        <v>1</v>
      </c>
      <c r="Z2958">
        <v>0.31173327880439028</v>
      </c>
      <c r="AA2958">
        <v>1</v>
      </c>
    </row>
    <row r="2959" spans="1:27" x14ac:dyDescent="0.25">
      <c r="A2959" t="s">
        <v>98</v>
      </c>
      <c r="B2959" t="s">
        <v>99</v>
      </c>
      <c r="C2959" t="s">
        <v>1028</v>
      </c>
      <c r="D2959" t="s">
        <v>101</v>
      </c>
      <c r="E2959" t="s">
        <v>3060</v>
      </c>
      <c r="F2959" t="s">
        <v>3102</v>
      </c>
      <c r="H2959" t="s">
        <v>125</v>
      </c>
      <c r="I2959">
        <v>2022</v>
      </c>
      <c r="J2959" t="s">
        <v>3105</v>
      </c>
      <c r="K2959" t="s">
        <v>127</v>
      </c>
      <c r="L2959" t="s">
        <v>3186</v>
      </c>
      <c r="M2959" t="s">
        <v>3202</v>
      </c>
      <c r="N2959">
        <v>1</v>
      </c>
      <c r="O2959">
        <v>2022</v>
      </c>
      <c r="P2959">
        <v>3.996103593359285</v>
      </c>
      <c r="Q2959">
        <v>3.411735002334328</v>
      </c>
      <c r="R2959" t="s">
        <v>3065</v>
      </c>
      <c r="S2959">
        <v>35.138458209314003</v>
      </c>
      <c r="T2959">
        <v>9.3000000000000007</v>
      </c>
      <c r="U2959" t="s">
        <v>3066</v>
      </c>
      <c r="V2959">
        <v>9.3000000000000007</v>
      </c>
      <c r="W2959">
        <v>0</v>
      </c>
      <c r="X2959">
        <v>1</v>
      </c>
      <c r="Y2959">
        <v>1</v>
      </c>
      <c r="Z2959">
        <v>0.31173327880439028</v>
      </c>
      <c r="AA2959">
        <v>1</v>
      </c>
    </row>
    <row r="2960" spans="1:27" x14ac:dyDescent="0.25">
      <c r="A2960" t="s">
        <v>98</v>
      </c>
      <c r="B2960" t="s">
        <v>99</v>
      </c>
      <c r="C2960" t="s">
        <v>1028</v>
      </c>
      <c r="D2960" t="s">
        <v>101</v>
      </c>
      <c r="E2960" t="s">
        <v>3060</v>
      </c>
      <c r="F2960" t="s">
        <v>3107</v>
      </c>
      <c r="H2960" t="s">
        <v>125</v>
      </c>
      <c r="I2960">
        <v>2015</v>
      </c>
      <c r="J2960" t="s">
        <v>3108</v>
      </c>
      <c r="K2960" t="s">
        <v>127</v>
      </c>
      <c r="L2960" t="s">
        <v>3186</v>
      </c>
      <c r="M2960" t="s">
        <v>3203</v>
      </c>
      <c r="N2960">
        <v>1</v>
      </c>
      <c r="O2960">
        <v>2020</v>
      </c>
      <c r="P2960">
        <v>1.188030798025733</v>
      </c>
      <c r="Q2960">
        <v>3.411735002334328</v>
      </c>
      <c r="R2960" t="s">
        <v>3065</v>
      </c>
      <c r="S2960">
        <v>10.44656865682308</v>
      </c>
      <c r="T2960">
        <v>71.5</v>
      </c>
      <c r="U2960" t="s">
        <v>3066</v>
      </c>
      <c r="V2960">
        <v>71.5</v>
      </c>
      <c r="W2960">
        <v>5</v>
      </c>
      <c r="X2960">
        <v>6</v>
      </c>
      <c r="Y2960">
        <v>6</v>
      </c>
      <c r="Z2960">
        <v>0.31173327880439028</v>
      </c>
      <c r="AA2960">
        <v>1</v>
      </c>
    </row>
    <row r="2961" spans="1:27" x14ac:dyDescent="0.25">
      <c r="A2961" t="s">
        <v>98</v>
      </c>
      <c r="B2961" t="s">
        <v>99</v>
      </c>
      <c r="C2961" t="s">
        <v>1028</v>
      </c>
      <c r="D2961" t="s">
        <v>101</v>
      </c>
      <c r="E2961" t="s">
        <v>3060</v>
      </c>
      <c r="F2961" t="s">
        <v>3110</v>
      </c>
      <c r="H2961" t="s">
        <v>125</v>
      </c>
      <c r="I2961">
        <v>2015</v>
      </c>
      <c r="J2961" t="s">
        <v>3111</v>
      </c>
      <c r="K2961" t="s">
        <v>127</v>
      </c>
      <c r="L2961" t="s">
        <v>3186</v>
      </c>
      <c r="M2961" t="s">
        <v>3204</v>
      </c>
      <c r="N2961">
        <v>0</v>
      </c>
      <c r="O2961">
        <v>2020</v>
      </c>
      <c r="P2961">
        <v>7.0633831082620873</v>
      </c>
      <c r="Q2961">
        <v>3.411735002334328</v>
      </c>
      <c r="R2961" t="s">
        <v>3065</v>
      </c>
      <c r="S2961">
        <v>62.109599105111748</v>
      </c>
      <c r="T2961">
        <v>90</v>
      </c>
      <c r="U2961" t="s">
        <v>3066</v>
      </c>
      <c r="V2961">
        <v>90</v>
      </c>
      <c r="W2961">
        <v>7</v>
      </c>
      <c r="X2961">
        <v>8</v>
      </c>
      <c r="Y2961">
        <v>8</v>
      </c>
      <c r="Z2961">
        <v>0.31173327880439028</v>
      </c>
      <c r="AA2961">
        <v>1</v>
      </c>
    </row>
    <row r="2962" spans="1:27" x14ac:dyDescent="0.25">
      <c r="A2962" t="s">
        <v>98</v>
      </c>
      <c r="B2962" t="s">
        <v>99</v>
      </c>
      <c r="C2962" t="s">
        <v>1028</v>
      </c>
      <c r="D2962" t="s">
        <v>101</v>
      </c>
      <c r="E2962" t="s">
        <v>3060</v>
      </c>
      <c r="F2962" t="s">
        <v>3110</v>
      </c>
      <c r="H2962" t="s">
        <v>125</v>
      </c>
      <c r="I2962">
        <v>2020</v>
      </c>
      <c r="J2962" t="s">
        <v>3113</v>
      </c>
      <c r="K2962" t="s">
        <v>127</v>
      </c>
      <c r="L2962" t="s">
        <v>3186</v>
      </c>
      <c r="M2962" t="s">
        <v>3204</v>
      </c>
      <c r="N2962">
        <v>1</v>
      </c>
      <c r="O2962">
        <v>2020</v>
      </c>
      <c r="P2962">
        <v>4.449715352605474</v>
      </c>
      <c r="Q2962">
        <v>3.411735002334328</v>
      </c>
      <c r="R2962" t="s">
        <v>3065</v>
      </c>
      <c r="S2962">
        <v>39.127148060100978</v>
      </c>
      <c r="T2962">
        <v>89.2</v>
      </c>
      <c r="U2962" t="s">
        <v>3066</v>
      </c>
      <c r="V2962">
        <v>89.2</v>
      </c>
      <c r="W2962">
        <v>11</v>
      </c>
      <c r="X2962">
        <v>12</v>
      </c>
      <c r="Y2962">
        <v>12</v>
      </c>
      <c r="Z2962">
        <v>0.31173327880439028</v>
      </c>
      <c r="AA2962">
        <v>1</v>
      </c>
    </row>
    <row r="2963" spans="1:27" x14ac:dyDescent="0.25">
      <c r="A2963" t="s">
        <v>98</v>
      </c>
      <c r="B2963" t="s">
        <v>99</v>
      </c>
      <c r="C2963" t="s">
        <v>1028</v>
      </c>
      <c r="D2963" t="s">
        <v>101</v>
      </c>
      <c r="E2963" t="s">
        <v>3060</v>
      </c>
      <c r="F2963" t="s">
        <v>3110</v>
      </c>
      <c r="H2963" t="s">
        <v>125</v>
      </c>
      <c r="I2963">
        <v>2022</v>
      </c>
      <c r="J2963" t="s">
        <v>3114</v>
      </c>
      <c r="K2963" t="s">
        <v>127</v>
      </c>
      <c r="L2963" t="s">
        <v>3186</v>
      </c>
      <c r="M2963" t="s">
        <v>3205</v>
      </c>
      <c r="N2963">
        <v>1</v>
      </c>
      <c r="O2963">
        <v>2022</v>
      </c>
      <c r="P2963">
        <v>4.4065142326772646</v>
      </c>
      <c r="Q2963">
        <v>3.411735002334328</v>
      </c>
      <c r="R2963" t="s">
        <v>3065</v>
      </c>
      <c r="S2963">
        <v>38.74727283621651</v>
      </c>
      <c r="T2963">
        <v>89.2</v>
      </c>
      <c r="U2963" t="s">
        <v>3066</v>
      </c>
      <c r="V2963">
        <v>89.2</v>
      </c>
      <c r="W2963">
        <v>11</v>
      </c>
      <c r="X2963">
        <v>12</v>
      </c>
      <c r="Y2963">
        <v>12</v>
      </c>
      <c r="Z2963">
        <v>0.31173327880439028</v>
      </c>
      <c r="AA2963">
        <v>1</v>
      </c>
    </row>
    <row r="2964" spans="1:27" x14ac:dyDescent="0.25">
      <c r="A2964" t="s">
        <v>98</v>
      </c>
      <c r="B2964" t="s">
        <v>99</v>
      </c>
      <c r="C2964" t="s">
        <v>1028</v>
      </c>
      <c r="D2964" t="s">
        <v>101</v>
      </c>
      <c r="E2964" t="s">
        <v>3060</v>
      </c>
      <c r="F2964" t="s">
        <v>3110</v>
      </c>
      <c r="H2964" t="s">
        <v>125</v>
      </c>
      <c r="I2964">
        <v>2030</v>
      </c>
      <c r="J2964" t="s">
        <v>3116</v>
      </c>
      <c r="K2964" t="s">
        <v>127</v>
      </c>
      <c r="L2964" t="s">
        <v>3186</v>
      </c>
      <c r="M2964" t="s">
        <v>3206</v>
      </c>
      <c r="N2964">
        <v>1</v>
      </c>
      <c r="O2964">
        <v>2030</v>
      </c>
      <c r="P2964">
        <v>4.2337097529644314</v>
      </c>
      <c r="Q2964">
        <v>3.411735002334328</v>
      </c>
      <c r="R2964" t="s">
        <v>3065</v>
      </c>
      <c r="S2964">
        <v>37.227771940678601</v>
      </c>
      <c r="T2964">
        <v>89.2</v>
      </c>
      <c r="U2964" t="s">
        <v>3066</v>
      </c>
      <c r="V2964">
        <v>89.2</v>
      </c>
      <c r="W2964">
        <v>11</v>
      </c>
      <c r="X2964">
        <v>12</v>
      </c>
      <c r="Y2964">
        <v>12</v>
      </c>
      <c r="Z2964">
        <v>0.31173327880439028</v>
      </c>
      <c r="AA2964">
        <v>1</v>
      </c>
    </row>
    <row r="2965" spans="1:27" x14ac:dyDescent="0.25">
      <c r="A2965" t="s">
        <v>98</v>
      </c>
      <c r="B2965" t="s">
        <v>99</v>
      </c>
      <c r="C2965" t="s">
        <v>1028</v>
      </c>
      <c r="D2965" t="s">
        <v>101</v>
      </c>
      <c r="E2965" t="s">
        <v>3060</v>
      </c>
      <c r="F2965" t="s">
        <v>3110</v>
      </c>
      <c r="H2965" t="s">
        <v>125</v>
      </c>
      <c r="I2965">
        <v>2040</v>
      </c>
      <c r="J2965" t="s">
        <v>3118</v>
      </c>
      <c r="K2965" t="s">
        <v>127</v>
      </c>
      <c r="L2965" t="s">
        <v>3186</v>
      </c>
      <c r="M2965" t="s">
        <v>3207</v>
      </c>
      <c r="N2965">
        <v>1</v>
      </c>
      <c r="O2965">
        <v>2040</v>
      </c>
      <c r="P2965">
        <v>4.0285044333054412</v>
      </c>
      <c r="Q2965">
        <v>3.411735002334328</v>
      </c>
      <c r="R2965" t="s">
        <v>3065</v>
      </c>
      <c r="S2965">
        <v>35.42336462722735</v>
      </c>
      <c r="T2965">
        <v>89.2</v>
      </c>
      <c r="U2965" t="s">
        <v>3066</v>
      </c>
      <c r="V2965">
        <v>89.2</v>
      </c>
      <c r="W2965">
        <v>11</v>
      </c>
      <c r="X2965">
        <v>12</v>
      </c>
      <c r="Y2965">
        <v>12</v>
      </c>
      <c r="Z2965">
        <v>0.31173327880439028</v>
      </c>
      <c r="AA2965">
        <v>1</v>
      </c>
    </row>
    <row r="2966" spans="1:27" x14ac:dyDescent="0.25">
      <c r="A2966" t="s">
        <v>98</v>
      </c>
      <c r="B2966" t="s">
        <v>519</v>
      </c>
      <c r="C2966" t="s">
        <v>1028</v>
      </c>
      <c r="D2966" t="s">
        <v>101</v>
      </c>
      <c r="E2966" t="s">
        <v>3060</v>
      </c>
      <c r="F2966" t="s">
        <v>3061</v>
      </c>
      <c r="H2966" t="s">
        <v>125</v>
      </c>
      <c r="I2966">
        <v>2015</v>
      </c>
      <c r="J2966" t="s">
        <v>3062</v>
      </c>
      <c r="K2966" t="s">
        <v>127</v>
      </c>
      <c r="L2966" t="s">
        <v>3208</v>
      </c>
      <c r="M2966" t="s">
        <v>3209</v>
      </c>
      <c r="N2966">
        <v>0</v>
      </c>
      <c r="O2966">
        <v>2020</v>
      </c>
      <c r="P2966">
        <v>4.9303278118067926</v>
      </c>
      <c r="Q2966">
        <v>8.7131837912289107</v>
      </c>
      <c r="R2966" t="s">
        <v>3065</v>
      </c>
      <c r="S2966">
        <v>33.950812446558643</v>
      </c>
      <c r="T2966">
        <v>15.7</v>
      </c>
      <c r="U2966" t="s">
        <v>3066</v>
      </c>
      <c r="V2966">
        <v>15.7</v>
      </c>
      <c r="W2966">
        <v>0</v>
      </c>
      <c r="X2966">
        <v>1</v>
      </c>
      <c r="Y2966">
        <v>1</v>
      </c>
      <c r="Z2966">
        <v>0.28949688942237772</v>
      </c>
      <c r="AA2966">
        <v>1</v>
      </c>
    </row>
    <row r="2967" spans="1:27" x14ac:dyDescent="0.25">
      <c r="A2967" t="s">
        <v>98</v>
      </c>
      <c r="B2967" t="s">
        <v>519</v>
      </c>
      <c r="C2967" t="s">
        <v>1028</v>
      </c>
      <c r="D2967" t="s">
        <v>101</v>
      </c>
      <c r="E2967" t="s">
        <v>3060</v>
      </c>
      <c r="F2967" t="s">
        <v>3061</v>
      </c>
      <c r="H2967" t="s">
        <v>125</v>
      </c>
      <c r="I2967">
        <v>2020</v>
      </c>
      <c r="J2967" t="s">
        <v>3067</v>
      </c>
      <c r="K2967" t="s">
        <v>127</v>
      </c>
      <c r="L2967" t="s">
        <v>3208</v>
      </c>
      <c r="M2967" t="s">
        <v>3209</v>
      </c>
      <c r="N2967">
        <v>1</v>
      </c>
      <c r="O2967">
        <v>2020</v>
      </c>
      <c r="P2967">
        <v>7.0363824083069577</v>
      </c>
      <c r="Q2967">
        <v>8.7131837912289107</v>
      </c>
      <c r="R2967" t="s">
        <v>3065</v>
      </c>
      <c r="S2967">
        <v>48.453350074332889</v>
      </c>
      <c r="T2967">
        <v>15.7</v>
      </c>
      <c r="U2967" t="s">
        <v>3066</v>
      </c>
      <c r="V2967">
        <v>15.7</v>
      </c>
      <c r="W2967">
        <v>0</v>
      </c>
      <c r="X2967">
        <v>1</v>
      </c>
      <c r="Y2967">
        <v>1</v>
      </c>
      <c r="Z2967">
        <v>0.28949688942237772</v>
      </c>
      <c r="AA2967">
        <v>1</v>
      </c>
    </row>
    <row r="2968" spans="1:27" x14ac:dyDescent="0.25">
      <c r="A2968" t="s">
        <v>98</v>
      </c>
      <c r="B2968" t="s">
        <v>519</v>
      </c>
      <c r="C2968" t="s">
        <v>1028</v>
      </c>
      <c r="D2968" t="s">
        <v>101</v>
      </c>
      <c r="E2968" t="s">
        <v>3060</v>
      </c>
      <c r="F2968" t="s">
        <v>3061</v>
      </c>
      <c r="H2968" t="s">
        <v>125</v>
      </c>
      <c r="I2968">
        <v>2022</v>
      </c>
      <c r="J2968" t="s">
        <v>3068</v>
      </c>
      <c r="K2968" t="s">
        <v>127</v>
      </c>
      <c r="L2968" t="s">
        <v>3208</v>
      </c>
      <c r="M2968" t="s">
        <v>3210</v>
      </c>
      <c r="N2968">
        <v>1</v>
      </c>
      <c r="O2968">
        <v>2022</v>
      </c>
      <c r="P2968">
        <v>7.8788042469070234</v>
      </c>
      <c r="Q2968">
        <v>8.7131837912289107</v>
      </c>
      <c r="R2968" t="s">
        <v>3065</v>
      </c>
      <c r="S2968">
        <v>54.254365125442582</v>
      </c>
      <c r="T2968">
        <v>15.7</v>
      </c>
      <c r="U2968" t="s">
        <v>3066</v>
      </c>
      <c r="V2968">
        <v>15.7</v>
      </c>
      <c r="W2968">
        <v>0</v>
      </c>
      <c r="X2968">
        <v>1</v>
      </c>
      <c r="Y2968">
        <v>1</v>
      </c>
      <c r="Z2968">
        <v>0.28949688942237772</v>
      </c>
      <c r="AA2968">
        <v>1</v>
      </c>
    </row>
    <row r="2969" spans="1:27" x14ac:dyDescent="0.25">
      <c r="A2969" t="s">
        <v>98</v>
      </c>
      <c r="B2969" t="s">
        <v>519</v>
      </c>
      <c r="C2969" t="s">
        <v>1028</v>
      </c>
      <c r="D2969" t="s">
        <v>101</v>
      </c>
      <c r="E2969" t="s">
        <v>3060</v>
      </c>
      <c r="F2969" t="s">
        <v>3070</v>
      </c>
      <c r="H2969" t="s">
        <v>125</v>
      </c>
      <c r="I2969">
        <v>2015</v>
      </c>
      <c r="J2969" t="s">
        <v>3071</v>
      </c>
      <c r="K2969" t="s">
        <v>127</v>
      </c>
      <c r="L2969" t="s">
        <v>3208</v>
      </c>
      <c r="M2969" t="s">
        <v>3211</v>
      </c>
      <c r="N2969">
        <v>0</v>
      </c>
      <c r="O2969">
        <v>2020</v>
      </c>
      <c r="P2969">
        <v>4.7269225388114773</v>
      </c>
      <c r="Q2969">
        <v>8.7131837912289107</v>
      </c>
      <c r="R2969" t="s">
        <v>3065</v>
      </c>
      <c r="S2969">
        <v>32.55014000900438</v>
      </c>
      <c r="T2969">
        <v>59.066666666666663</v>
      </c>
      <c r="U2969" t="s">
        <v>3066</v>
      </c>
      <c r="V2969">
        <v>59.066666666666663</v>
      </c>
      <c r="W2969">
        <v>3</v>
      </c>
      <c r="X2969">
        <v>4</v>
      </c>
      <c r="Y2969">
        <v>4</v>
      </c>
      <c r="Z2969">
        <v>0.28949688942237772</v>
      </c>
      <c r="AA2969">
        <v>1</v>
      </c>
    </row>
    <row r="2970" spans="1:27" x14ac:dyDescent="0.25">
      <c r="A2970" t="s">
        <v>98</v>
      </c>
      <c r="B2970" t="s">
        <v>519</v>
      </c>
      <c r="C2970" t="s">
        <v>1028</v>
      </c>
      <c r="D2970" t="s">
        <v>101</v>
      </c>
      <c r="E2970" t="s">
        <v>3060</v>
      </c>
      <c r="F2970" t="s">
        <v>3070</v>
      </c>
      <c r="H2970" t="s">
        <v>125</v>
      </c>
      <c r="I2970">
        <v>2020</v>
      </c>
      <c r="J2970" t="s">
        <v>3073</v>
      </c>
      <c r="K2970" t="s">
        <v>127</v>
      </c>
      <c r="L2970" t="s">
        <v>3208</v>
      </c>
      <c r="M2970" t="s">
        <v>3211</v>
      </c>
      <c r="N2970">
        <v>1</v>
      </c>
      <c r="O2970">
        <v>2020</v>
      </c>
      <c r="P2970">
        <v>6.2353616429714247</v>
      </c>
      <c r="Q2970">
        <v>8.7131837912289107</v>
      </c>
      <c r="R2970" t="s">
        <v>3065</v>
      </c>
      <c r="S2970">
        <v>42.937427643256363</v>
      </c>
      <c r="T2970">
        <v>59.933333333333337</v>
      </c>
      <c r="U2970" t="s">
        <v>3066</v>
      </c>
      <c r="V2970">
        <v>59.933333333333337</v>
      </c>
      <c r="W2970">
        <v>3</v>
      </c>
      <c r="X2970">
        <v>4</v>
      </c>
      <c r="Y2970">
        <v>4</v>
      </c>
      <c r="Z2970">
        <v>0.28949688942237772</v>
      </c>
      <c r="AA2970">
        <v>1</v>
      </c>
    </row>
    <row r="2971" spans="1:27" x14ac:dyDescent="0.25">
      <c r="A2971" t="s">
        <v>98</v>
      </c>
      <c r="B2971" t="s">
        <v>519</v>
      </c>
      <c r="C2971" t="s">
        <v>1028</v>
      </c>
      <c r="D2971" t="s">
        <v>101</v>
      </c>
      <c r="E2971" t="s">
        <v>3060</v>
      </c>
      <c r="F2971" t="s">
        <v>3070</v>
      </c>
      <c r="H2971" t="s">
        <v>125</v>
      </c>
      <c r="I2971">
        <v>2022</v>
      </c>
      <c r="J2971" t="s">
        <v>3074</v>
      </c>
      <c r="K2971" t="s">
        <v>127</v>
      </c>
      <c r="L2971" t="s">
        <v>3208</v>
      </c>
      <c r="M2971" t="s">
        <v>3212</v>
      </c>
      <c r="N2971">
        <v>1</v>
      </c>
      <c r="O2971">
        <v>2022</v>
      </c>
      <c r="P2971">
        <v>5.7403488104607021</v>
      </c>
      <c r="Q2971">
        <v>8.7131837912289107</v>
      </c>
      <c r="R2971" t="s">
        <v>3065</v>
      </c>
      <c r="S2971">
        <v>39.528711534164117</v>
      </c>
      <c r="T2971">
        <v>65.8</v>
      </c>
      <c r="U2971" t="s">
        <v>3066</v>
      </c>
      <c r="V2971">
        <v>65.8</v>
      </c>
      <c r="W2971">
        <v>4</v>
      </c>
      <c r="X2971">
        <v>5</v>
      </c>
      <c r="Y2971">
        <v>5</v>
      </c>
      <c r="Z2971">
        <v>0.28949688942237772</v>
      </c>
      <c r="AA2971">
        <v>1</v>
      </c>
    </row>
    <row r="2972" spans="1:27" x14ac:dyDescent="0.25">
      <c r="A2972" t="s">
        <v>98</v>
      </c>
      <c r="B2972" t="s">
        <v>519</v>
      </c>
      <c r="C2972" t="s">
        <v>1028</v>
      </c>
      <c r="D2972" t="s">
        <v>101</v>
      </c>
      <c r="E2972" t="s">
        <v>3060</v>
      </c>
      <c r="F2972" t="s">
        <v>3070</v>
      </c>
      <c r="H2972" t="s">
        <v>125</v>
      </c>
      <c r="I2972">
        <v>2030</v>
      </c>
      <c r="J2972" t="s">
        <v>3076</v>
      </c>
      <c r="K2972" t="s">
        <v>127</v>
      </c>
      <c r="L2972" t="s">
        <v>3208</v>
      </c>
      <c r="M2972" t="s">
        <v>3213</v>
      </c>
      <c r="N2972">
        <v>1</v>
      </c>
      <c r="O2972">
        <v>2030</v>
      </c>
      <c r="P2972">
        <v>5.513542930837608</v>
      </c>
      <c r="Q2972">
        <v>8.7131837912289107</v>
      </c>
      <c r="R2972" t="s">
        <v>3065</v>
      </c>
      <c r="S2972">
        <v>37.966899789634603</v>
      </c>
      <c r="T2972">
        <v>68.5</v>
      </c>
      <c r="U2972" t="s">
        <v>3066</v>
      </c>
      <c r="V2972">
        <v>68.5</v>
      </c>
      <c r="W2972">
        <v>4</v>
      </c>
      <c r="X2972">
        <v>5</v>
      </c>
      <c r="Y2972">
        <v>5</v>
      </c>
      <c r="Z2972">
        <v>0.28949688942237772</v>
      </c>
      <c r="AA2972">
        <v>1</v>
      </c>
    </row>
    <row r="2973" spans="1:27" x14ac:dyDescent="0.25">
      <c r="A2973" t="s">
        <v>98</v>
      </c>
      <c r="B2973" t="s">
        <v>519</v>
      </c>
      <c r="C2973" t="s">
        <v>1028</v>
      </c>
      <c r="D2973" t="s">
        <v>101</v>
      </c>
      <c r="E2973" t="s">
        <v>3060</v>
      </c>
      <c r="F2973" t="s">
        <v>3070</v>
      </c>
      <c r="H2973" t="s">
        <v>125</v>
      </c>
      <c r="I2973">
        <v>2040</v>
      </c>
      <c r="J2973" t="s">
        <v>3078</v>
      </c>
      <c r="K2973" t="s">
        <v>127</v>
      </c>
      <c r="L2973" t="s">
        <v>3208</v>
      </c>
      <c r="M2973" t="s">
        <v>3214</v>
      </c>
      <c r="N2973">
        <v>1</v>
      </c>
      <c r="O2973">
        <v>2040</v>
      </c>
      <c r="P2973">
        <v>5.2435359312863046</v>
      </c>
      <c r="Q2973">
        <v>8.7131837912289107</v>
      </c>
      <c r="R2973" t="s">
        <v>3065</v>
      </c>
      <c r="S2973">
        <v>36.107600093766109</v>
      </c>
      <c r="T2973">
        <v>72</v>
      </c>
      <c r="U2973" t="s">
        <v>3066</v>
      </c>
      <c r="V2973">
        <v>72</v>
      </c>
      <c r="W2973">
        <v>4</v>
      </c>
      <c r="X2973">
        <v>5</v>
      </c>
      <c r="Y2973">
        <v>5</v>
      </c>
      <c r="Z2973">
        <v>0.28949688942237772</v>
      </c>
      <c r="AA2973">
        <v>1</v>
      </c>
    </row>
    <row r="2974" spans="1:27" x14ac:dyDescent="0.25">
      <c r="A2974" t="s">
        <v>98</v>
      </c>
      <c r="B2974" t="s">
        <v>519</v>
      </c>
      <c r="C2974" t="s">
        <v>1028</v>
      </c>
      <c r="D2974" t="s">
        <v>101</v>
      </c>
      <c r="E2974" t="s">
        <v>3060</v>
      </c>
      <c r="F2974" t="s">
        <v>3080</v>
      </c>
      <c r="H2974" t="s">
        <v>125</v>
      </c>
      <c r="I2974">
        <v>2015</v>
      </c>
      <c r="J2974" t="s">
        <v>3081</v>
      </c>
      <c r="K2974" t="s">
        <v>127</v>
      </c>
      <c r="L2974" t="s">
        <v>3208</v>
      </c>
      <c r="M2974" t="s">
        <v>3215</v>
      </c>
      <c r="N2974">
        <v>0</v>
      </c>
      <c r="O2974">
        <v>2020</v>
      </c>
      <c r="P2974">
        <v>21.61676038407732</v>
      </c>
      <c r="Q2974">
        <v>8.7131837912289107</v>
      </c>
      <c r="R2974" t="s">
        <v>3065</v>
      </c>
      <c r="S2974">
        <v>148.85553365123141</v>
      </c>
      <c r="T2974">
        <v>79.849999999999994</v>
      </c>
      <c r="U2974" t="s">
        <v>3066</v>
      </c>
      <c r="V2974">
        <v>79.849999999999994</v>
      </c>
      <c r="W2974">
        <v>12</v>
      </c>
      <c r="X2974">
        <v>13</v>
      </c>
      <c r="Y2974">
        <v>13</v>
      </c>
      <c r="Z2974">
        <v>0.28949688942237772</v>
      </c>
      <c r="AA2974">
        <v>1</v>
      </c>
    </row>
    <row r="2975" spans="1:27" x14ac:dyDescent="0.25">
      <c r="A2975" t="s">
        <v>98</v>
      </c>
      <c r="B2975" t="s">
        <v>519</v>
      </c>
      <c r="C2975" t="s">
        <v>1028</v>
      </c>
      <c r="D2975" t="s">
        <v>101</v>
      </c>
      <c r="E2975" t="s">
        <v>3060</v>
      </c>
      <c r="F2975" t="s">
        <v>3080</v>
      </c>
      <c r="H2975" t="s">
        <v>125</v>
      </c>
      <c r="I2975">
        <v>2016</v>
      </c>
      <c r="J2975" t="s">
        <v>3083</v>
      </c>
      <c r="K2975" t="s">
        <v>127</v>
      </c>
      <c r="L2975" t="s">
        <v>3208</v>
      </c>
      <c r="M2975" t="s">
        <v>3215</v>
      </c>
      <c r="N2975">
        <v>0</v>
      </c>
      <c r="O2975">
        <v>2020</v>
      </c>
      <c r="P2975">
        <v>21.128047714889458</v>
      </c>
      <c r="Q2975">
        <v>8.7131837912289107</v>
      </c>
      <c r="R2975" t="s">
        <v>3065</v>
      </c>
      <c r="S2975">
        <v>145.4902012017094</v>
      </c>
      <c r="T2975">
        <v>83.025000000000006</v>
      </c>
      <c r="U2975" t="s">
        <v>3066</v>
      </c>
      <c r="V2975">
        <v>83.025000000000006</v>
      </c>
      <c r="W2975">
        <v>12</v>
      </c>
      <c r="X2975">
        <v>13</v>
      </c>
      <c r="Y2975">
        <v>13</v>
      </c>
      <c r="Z2975">
        <v>0.28949688942237772</v>
      </c>
      <c r="AA2975">
        <v>1</v>
      </c>
    </row>
    <row r="2976" spans="1:27" x14ac:dyDescent="0.25">
      <c r="A2976" t="s">
        <v>98</v>
      </c>
      <c r="B2976" t="s">
        <v>519</v>
      </c>
      <c r="C2976" t="s">
        <v>1028</v>
      </c>
      <c r="D2976" t="s">
        <v>101</v>
      </c>
      <c r="E2976" t="s">
        <v>3060</v>
      </c>
      <c r="F2976" t="s">
        <v>3080</v>
      </c>
      <c r="H2976" t="s">
        <v>125</v>
      </c>
      <c r="I2976">
        <v>2017</v>
      </c>
      <c r="J2976" t="s">
        <v>3084</v>
      </c>
      <c r="K2976" t="s">
        <v>127</v>
      </c>
      <c r="L2976" t="s">
        <v>3208</v>
      </c>
      <c r="M2976" t="s">
        <v>3215</v>
      </c>
      <c r="N2976">
        <v>0</v>
      </c>
      <c r="O2976">
        <v>2020</v>
      </c>
      <c r="P2976">
        <v>17.431651891032121</v>
      </c>
      <c r="Q2976">
        <v>8.7131837912289107</v>
      </c>
      <c r="R2976" t="s">
        <v>3065</v>
      </c>
      <c r="S2976">
        <v>120.0363883652698</v>
      </c>
      <c r="T2976">
        <v>86.2</v>
      </c>
      <c r="U2976" t="s">
        <v>3066</v>
      </c>
      <c r="V2976">
        <v>86.2</v>
      </c>
      <c r="W2976">
        <v>12</v>
      </c>
      <c r="X2976">
        <v>13</v>
      </c>
      <c r="Y2976">
        <v>13</v>
      </c>
      <c r="Z2976">
        <v>0.28949688942237772</v>
      </c>
      <c r="AA2976">
        <v>1</v>
      </c>
    </row>
    <row r="2977" spans="1:27" x14ac:dyDescent="0.25">
      <c r="A2977" t="s">
        <v>98</v>
      </c>
      <c r="B2977" t="s">
        <v>519</v>
      </c>
      <c r="C2977" t="s">
        <v>1028</v>
      </c>
      <c r="D2977" t="s">
        <v>101</v>
      </c>
      <c r="E2977" t="s">
        <v>3060</v>
      </c>
      <c r="F2977" t="s">
        <v>3080</v>
      </c>
      <c r="H2977" t="s">
        <v>125</v>
      </c>
      <c r="I2977">
        <v>2018</v>
      </c>
      <c r="J2977" t="s">
        <v>3085</v>
      </c>
      <c r="K2977" t="s">
        <v>127</v>
      </c>
      <c r="L2977" t="s">
        <v>3208</v>
      </c>
      <c r="M2977" t="s">
        <v>3215</v>
      </c>
      <c r="N2977">
        <v>0</v>
      </c>
      <c r="O2977">
        <v>2020</v>
      </c>
      <c r="P2977">
        <v>15.33639757451401</v>
      </c>
      <c r="Q2977">
        <v>8.7131837912289107</v>
      </c>
      <c r="R2977" t="s">
        <v>3065</v>
      </c>
      <c r="S2977">
        <v>105.60822272533029</v>
      </c>
      <c r="T2977">
        <v>89.35</v>
      </c>
      <c r="U2977" t="s">
        <v>3066</v>
      </c>
      <c r="V2977">
        <v>89.35</v>
      </c>
      <c r="W2977">
        <v>11</v>
      </c>
      <c r="X2977">
        <v>12</v>
      </c>
      <c r="Y2977">
        <v>12</v>
      </c>
      <c r="Z2977">
        <v>0.28949688942237772</v>
      </c>
      <c r="AA2977">
        <v>1</v>
      </c>
    </row>
    <row r="2978" spans="1:27" x14ac:dyDescent="0.25">
      <c r="A2978" t="s">
        <v>98</v>
      </c>
      <c r="B2978" t="s">
        <v>519</v>
      </c>
      <c r="C2978" t="s">
        <v>1028</v>
      </c>
      <c r="D2978" t="s">
        <v>101</v>
      </c>
      <c r="E2978" t="s">
        <v>3060</v>
      </c>
      <c r="F2978" t="s">
        <v>3080</v>
      </c>
      <c r="H2978" t="s">
        <v>125</v>
      </c>
      <c r="I2978">
        <v>2019</v>
      </c>
      <c r="J2978" t="s">
        <v>3086</v>
      </c>
      <c r="K2978" t="s">
        <v>127</v>
      </c>
      <c r="L2978" t="s">
        <v>3208</v>
      </c>
      <c r="M2978" t="s">
        <v>3215</v>
      </c>
      <c r="N2978">
        <v>0</v>
      </c>
      <c r="O2978">
        <v>2020</v>
      </c>
      <c r="P2978">
        <v>13.24384332799141</v>
      </c>
      <c r="Q2978">
        <v>8.7131837912289107</v>
      </c>
      <c r="R2978" t="s">
        <v>3065</v>
      </c>
      <c r="S2978">
        <v>91.198650082349502</v>
      </c>
      <c r="T2978">
        <v>92.55</v>
      </c>
      <c r="U2978" t="s">
        <v>3066</v>
      </c>
      <c r="V2978">
        <v>92.55</v>
      </c>
      <c r="W2978">
        <v>11</v>
      </c>
      <c r="X2978">
        <v>12</v>
      </c>
      <c r="Y2978">
        <v>12</v>
      </c>
      <c r="Z2978">
        <v>0.28949688942237772</v>
      </c>
      <c r="AA2978">
        <v>1</v>
      </c>
    </row>
    <row r="2979" spans="1:27" x14ac:dyDescent="0.25">
      <c r="A2979" t="s">
        <v>98</v>
      </c>
      <c r="B2979" t="s">
        <v>519</v>
      </c>
      <c r="C2979" t="s">
        <v>1028</v>
      </c>
      <c r="D2979" t="s">
        <v>101</v>
      </c>
      <c r="E2979" t="s">
        <v>3060</v>
      </c>
      <c r="F2979" t="s">
        <v>3080</v>
      </c>
      <c r="H2979" t="s">
        <v>125</v>
      </c>
      <c r="I2979">
        <v>2020</v>
      </c>
      <c r="J2979" t="s">
        <v>3087</v>
      </c>
      <c r="K2979" t="s">
        <v>127</v>
      </c>
      <c r="L2979" t="s">
        <v>3208</v>
      </c>
      <c r="M2979" t="s">
        <v>3215</v>
      </c>
      <c r="N2979">
        <v>1</v>
      </c>
      <c r="O2979">
        <v>2020</v>
      </c>
      <c r="P2979">
        <v>11.1485890114733</v>
      </c>
      <c r="Q2979">
        <v>8.7131837912289107</v>
      </c>
      <c r="R2979" t="s">
        <v>3065</v>
      </c>
      <c r="S2979">
        <v>76.770484442410023</v>
      </c>
      <c r="T2979">
        <v>95.699999999999989</v>
      </c>
      <c r="U2979" t="s">
        <v>3066</v>
      </c>
      <c r="V2979">
        <v>95.699999999999989</v>
      </c>
      <c r="W2979">
        <v>11</v>
      </c>
      <c r="X2979">
        <v>12</v>
      </c>
      <c r="Y2979">
        <v>12</v>
      </c>
      <c r="Z2979">
        <v>0.28949688942237772</v>
      </c>
      <c r="AA2979">
        <v>1</v>
      </c>
    </row>
    <row r="2980" spans="1:27" x14ac:dyDescent="0.25">
      <c r="A2980" t="s">
        <v>98</v>
      </c>
      <c r="B2980" t="s">
        <v>519</v>
      </c>
      <c r="C2980" t="s">
        <v>1028</v>
      </c>
      <c r="D2980" t="s">
        <v>101</v>
      </c>
      <c r="E2980" t="s">
        <v>3060</v>
      </c>
      <c r="F2980" t="s">
        <v>3080</v>
      </c>
      <c r="H2980" t="s">
        <v>125</v>
      </c>
      <c r="I2980">
        <v>2021</v>
      </c>
      <c r="J2980" t="s">
        <v>3088</v>
      </c>
      <c r="K2980" t="s">
        <v>127</v>
      </c>
      <c r="L2980" t="s">
        <v>3208</v>
      </c>
      <c r="M2980" t="s">
        <v>3216</v>
      </c>
      <c r="N2980">
        <v>1</v>
      </c>
      <c r="O2980">
        <v>2021</v>
      </c>
      <c r="P2980">
        <v>8.8076283253635061</v>
      </c>
      <c r="Q2980">
        <v>8.7131837912289107</v>
      </c>
      <c r="R2980" t="s">
        <v>3065</v>
      </c>
      <c r="S2980">
        <v>60.650356079230193</v>
      </c>
      <c r="T2980">
        <v>97.949999999999989</v>
      </c>
      <c r="U2980" t="s">
        <v>3066</v>
      </c>
      <c r="V2980">
        <v>97.949999999999989</v>
      </c>
      <c r="W2980">
        <v>10</v>
      </c>
      <c r="X2980">
        <v>11</v>
      </c>
      <c r="Y2980">
        <v>11</v>
      </c>
      <c r="Z2980">
        <v>0.28949688942237772</v>
      </c>
      <c r="AA2980">
        <v>1</v>
      </c>
    </row>
    <row r="2981" spans="1:27" x14ac:dyDescent="0.25">
      <c r="A2981" t="s">
        <v>98</v>
      </c>
      <c r="B2981" t="s">
        <v>519</v>
      </c>
      <c r="C2981" t="s">
        <v>1028</v>
      </c>
      <c r="D2981" t="s">
        <v>101</v>
      </c>
      <c r="E2981" t="s">
        <v>3060</v>
      </c>
      <c r="F2981" t="s">
        <v>3080</v>
      </c>
      <c r="H2981" t="s">
        <v>125</v>
      </c>
      <c r="I2981">
        <v>2022</v>
      </c>
      <c r="J2981" t="s">
        <v>3090</v>
      </c>
      <c r="K2981" t="s">
        <v>127</v>
      </c>
      <c r="L2981" t="s">
        <v>3208</v>
      </c>
      <c r="M2981" t="s">
        <v>3217</v>
      </c>
      <c r="N2981">
        <v>1</v>
      </c>
      <c r="O2981">
        <v>2022</v>
      </c>
      <c r="P2981">
        <v>6.4693677092492212</v>
      </c>
      <c r="Q2981">
        <v>8.7131837912289107</v>
      </c>
      <c r="R2981" t="s">
        <v>3065</v>
      </c>
      <c r="S2981">
        <v>44.548820713009057</v>
      </c>
      <c r="T2981">
        <v>100.22499999999999</v>
      </c>
      <c r="U2981" t="s">
        <v>3066</v>
      </c>
      <c r="V2981">
        <v>100.22499999999999</v>
      </c>
      <c r="W2981">
        <v>10</v>
      </c>
      <c r="X2981">
        <v>11</v>
      </c>
      <c r="Y2981">
        <v>11</v>
      </c>
      <c r="Z2981">
        <v>0.28949688942237772</v>
      </c>
      <c r="AA2981">
        <v>1</v>
      </c>
    </row>
    <row r="2982" spans="1:27" x14ac:dyDescent="0.25">
      <c r="A2982" t="s">
        <v>98</v>
      </c>
      <c r="B2982" t="s">
        <v>519</v>
      </c>
      <c r="C2982" t="s">
        <v>1028</v>
      </c>
      <c r="D2982" t="s">
        <v>101</v>
      </c>
      <c r="E2982" t="s">
        <v>3060</v>
      </c>
      <c r="F2982" t="s">
        <v>3080</v>
      </c>
      <c r="H2982" t="s">
        <v>125</v>
      </c>
      <c r="I2982">
        <v>2023</v>
      </c>
      <c r="J2982" t="s">
        <v>3092</v>
      </c>
      <c r="K2982" t="s">
        <v>127</v>
      </c>
      <c r="L2982" t="s">
        <v>3208</v>
      </c>
      <c r="M2982" t="s">
        <v>3218</v>
      </c>
      <c r="N2982">
        <v>1</v>
      </c>
      <c r="O2982">
        <v>2023</v>
      </c>
      <c r="P2982">
        <v>6.3505646294466462</v>
      </c>
      <c r="Q2982">
        <v>8.7131837912289107</v>
      </c>
      <c r="R2982" t="s">
        <v>3065</v>
      </c>
      <c r="S2982">
        <v>43.730728846826914</v>
      </c>
      <c r="T2982">
        <v>102.65</v>
      </c>
      <c r="U2982" t="s">
        <v>3066</v>
      </c>
      <c r="V2982">
        <v>102.65</v>
      </c>
      <c r="W2982">
        <v>10</v>
      </c>
      <c r="X2982">
        <v>11</v>
      </c>
      <c r="Y2982">
        <v>11</v>
      </c>
      <c r="Z2982">
        <v>0.28949688942237772</v>
      </c>
      <c r="AA2982">
        <v>1</v>
      </c>
    </row>
    <row r="2983" spans="1:27" x14ac:dyDescent="0.25">
      <c r="A2983" t="s">
        <v>98</v>
      </c>
      <c r="B2983" t="s">
        <v>519</v>
      </c>
      <c r="C2983" t="s">
        <v>1028</v>
      </c>
      <c r="D2983" t="s">
        <v>101</v>
      </c>
      <c r="E2983" t="s">
        <v>3060</v>
      </c>
      <c r="F2983" t="s">
        <v>3080</v>
      </c>
      <c r="H2983" t="s">
        <v>125</v>
      </c>
      <c r="I2983">
        <v>2024</v>
      </c>
      <c r="J2983" t="s">
        <v>3094</v>
      </c>
      <c r="K2983" t="s">
        <v>127</v>
      </c>
      <c r="L2983" t="s">
        <v>3208</v>
      </c>
      <c r="M2983" t="s">
        <v>3219</v>
      </c>
      <c r="N2983">
        <v>1</v>
      </c>
      <c r="O2983">
        <v>2024</v>
      </c>
      <c r="P2983">
        <v>6.2857629495543348</v>
      </c>
      <c r="Q2983">
        <v>8.7131837912289107</v>
      </c>
      <c r="R2983" t="s">
        <v>3065</v>
      </c>
      <c r="S2983">
        <v>43.28449691981848</v>
      </c>
      <c r="T2983">
        <v>105.05</v>
      </c>
      <c r="U2983" t="s">
        <v>3066</v>
      </c>
      <c r="V2983">
        <v>105.05</v>
      </c>
      <c r="W2983">
        <v>10</v>
      </c>
      <c r="X2983">
        <v>11</v>
      </c>
      <c r="Y2983">
        <v>11</v>
      </c>
      <c r="Z2983">
        <v>0.28949688942237772</v>
      </c>
      <c r="AA2983">
        <v>1</v>
      </c>
    </row>
    <row r="2984" spans="1:27" x14ac:dyDescent="0.25">
      <c r="A2984" t="s">
        <v>98</v>
      </c>
      <c r="B2984" t="s">
        <v>519</v>
      </c>
      <c r="C2984" t="s">
        <v>1028</v>
      </c>
      <c r="D2984" t="s">
        <v>101</v>
      </c>
      <c r="E2984" t="s">
        <v>3060</v>
      </c>
      <c r="F2984" t="s">
        <v>3080</v>
      </c>
      <c r="H2984" t="s">
        <v>125</v>
      </c>
      <c r="I2984">
        <v>2025</v>
      </c>
      <c r="J2984" t="s">
        <v>3096</v>
      </c>
      <c r="K2984" t="s">
        <v>127</v>
      </c>
      <c r="L2984" t="s">
        <v>3208</v>
      </c>
      <c r="M2984" t="s">
        <v>3220</v>
      </c>
      <c r="N2984">
        <v>1</v>
      </c>
      <c r="O2984">
        <v>2025</v>
      </c>
      <c r="P2984">
        <v>6.1210586798280389</v>
      </c>
      <c r="Q2984">
        <v>8.7131837912289107</v>
      </c>
      <c r="R2984" t="s">
        <v>3065</v>
      </c>
      <c r="S2984">
        <v>42.150324105338697</v>
      </c>
      <c r="T2984">
        <v>107.47499999999999</v>
      </c>
      <c r="U2984" t="s">
        <v>3066</v>
      </c>
      <c r="V2984">
        <v>107.47499999999999</v>
      </c>
      <c r="W2984">
        <v>10</v>
      </c>
      <c r="X2984">
        <v>11</v>
      </c>
      <c r="Y2984">
        <v>11</v>
      </c>
      <c r="Z2984">
        <v>0.28949688942237772</v>
      </c>
      <c r="AA2984">
        <v>1</v>
      </c>
    </row>
    <row r="2985" spans="1:27" x14ac:dyDescent="0.25">
      <c r="A2985" t="s">
        <v>98</v>
      </c>
      <c r="B2985" t="s">
        <v>519</v>
      </c>
      <c r="C2985" t="s">
        <v>1028</v>
      </c>
      <c r="D2985" t="s">
        <v>101</v>
      </c>
      <c r="E2985" t="s">
        <v>3060</v>
      </c>
      <c r="F2985" t="s">
        <v>3080</v>
      </c>
      <c r="H2985" t="s">
        <v>125</v>
      </c>
      <c r="I2985">
        <v>2030</v>
      </c>
      <c r="J2985" t="s">
        <v>3098</v>
      </c>
      <c r="K2985" t="s">
        <v>127</v>
      </c>
      <c r="L2985" t="s">
        <v>3208</v>
      </c>
      <c r="M2985" t="s">
        <v>3221</v>
      </c>
      <c r="N2985">
        <v>1</v>
      </c>
      <c r="O2985">
        <v>2030</v>
      </c>
      <c r="P2985">
        <v>5.5459437707837651</v>
      </c>
      <c r="Q2985">
        <v>8.7131837912289107</v>
      </c>
      <c r="R2985" t="s">
        <v>3065</v>
      </c>
      <c r="S2985">
        <v>38.190015753138823</v>
      </c>
      <c r="T2985">
        <v>119.575</v>
      </c>
      <c r="U2985" t="s">
        <v>3066</v>
      </c>
      <c r="V2985">
        <v>119.575</v>
      </c>
      <c r="W2985">
        <v>10</v>
      </c>
      <c r="X2985">
        <v>11</v>
      </c>
      <c r="Y2985">
        <v>11</v>
      </c>
      <c r="Z2985">
        <v>0.28949688942237772</v>
      </c>
      <c r="AA2985">
        <v>1</v>
      </c>
    </row>
    <row r="2986" spans="1:27" x14ac:dyDescent="0.25">
      <c r="A2986" t="s">
        <v>98</v>
      </c>
      <c r="B2986" t="s">
        <v>519</v>
      </c>
      <c r="C2986" t="s">
        <v>1028</v>
      </c>
      <c r="D2986" t="s">
        <v>101</v>
      </c>
      <c r="E2986" t="s">
        <v>3060</v>
      </c>
      <c r="F2986" t="s">
        <v>3080</v>
      </c>
      <c r="H2986" t="s">
        <v>125</v>
      </c>
      <c r="I2986">
        <v>2040</v>
      </c>
      <c r="J2986" t="s">
        <v>3100</v>
      </c>
      <c r="K2986" t="s">
        <v>127</v>
      </c>
      <c r="L2986" t="s">
        <v>3208</v>
      </c>
      <c r="M2986" t="s">
        <v>3222</v>
      </c>
      <c r="N2986">
        <v>1</v>
      </c>
      <c r="O2986">
        <v>2040</v>
      </c>
      <c r="P2986">
        <v>5.1760341813984789</v>
      </c>
      <c r="Q2986">
        <v>8.7131837912289107</v>
      </c>
      <c r="R2986" t="s">
        <v>3065</v>
      </c>
      <c r="S2986">
        <v>35.642775169798973</v>
      </c>
      <c r="T2986">
        <v>144.42500000000001</v>
      </c>
      <c r="U2986" t="s">
        <v>3066</v>
      </c>
      <c r="V2986">
        <v>144.42500000000001</v>
      </c>
      <c r="W2986">
        <v>10</v>
      </c>
      <c r="X2986">
        <v>11</v>
      </c>
      <c r="Y2986">
        <v>11</v>
      </c>
      <c r="Z2986">
        <v>0.28949688942237772</v>
      </c>
      <c r="AA2986">
        <v>1</v>
      </c>
    </row>
    <row r="2987" spans="1:27" x14ac:dyDescent="0.25">
      <c r="A2987" t="s">
        <v>98</v>
      </c>
      <c r="B2987" t="s">
        <v>519</v>
      </c>
      <c r="C2987" t="s">
        <v>1028</v>
      </c>
      <c r="D2987" t="s">
        <v>101</v>
      </c>
      <c r="E2987" t="s">
        <v>3060</v>
      </c>
      <c r="F2987" t="s">
        <v>3102</v>
      </c>
      <c r="H2987" t="s">
        <v>125</v>
      </c>
      <c r="I2987">
        <v>2015</v>
      </c>
      <c r="J2987" t="s">
        <v>3103</v>
      </c>
      <c r="K2987" t="s">
        <v>127</v>
      </c>
      <c r="L2987" t="s">
        <v>3208</v>
      </c>
      <c r="M2987" t="s">
        <v>3223</v>
      </c>
      <c r="N2987">
        <v>1</v>
      </c>
      <c r="O2987">
        <v>2020</v>
      </c>
      <c r="P2987">
        <v>2.3976621560155711</v>
      </c>
      <c r="Q2987">
        <v>8.7131837912289107</v>
      </c>
      <c r="R2987" t="s">
        <v>3065</v>
      </c>
      <c r="S2987">
        <v>16.5105812993122</v>
      </c>
      <c r="T2987">
        <v>12.7</v>
      </c>
      <c r="U2987" t="s">
        <v>3066</v>
      </c>
      <c r="V2987">
        <v>12.7</v>
      </c>
      <c r="W2987">
        <v>0</v>
      </c>
      <c r="X2987">
        <v>1</v>
      </c>
      <c r="Y2987">
        <v>1</v>
      </c>
      <c r="Z2987">
        <v>0.28949688942237772</v>
      </c>
      <c r="AA2987">
        <v>1</v>
      </c>
    </row>
    <row r="2988" spans="1:27" x14ac:dyDescent="0.25">
      <c r="A2988" t="s">
        <v>98</v>
      </c>
      <c r="B2988" t="s">
        <v>519</v>
      </c>
      <c r="C2988" t="s">
        <v>1028</v>
      </c>
      <c r="D2988" t="s">
        <v>101</v>
      </c>
      <c r="E2988" t="s">
        <v>3060</v>
      </c>
      <c r="F2988" t="s">
        <v>3102</v>
      </c>
      <c r="H2988" t="s">
        <v>125</v>
      </c>
      <c r="I2988">
        <v>2022</v>
      </c>
      <c r="J2988" t="s">
        <v>3105</v>
      </c>
      <c r="K2988" t="s">
        <v>127</v>
      </c>
      <c r="L2988" t="s">
        <v>3208</v>
      </c>
      <c r="M2988" t="s">
        <v>3224</v>
      </c>
      <c r="N2988">
        <v>1</v>
      </c>
      <c r="O2988">
        <v>2022</v>
      </c>
      <c r="P2988">
        <v>3.996103593359285</v>
      </c>
      <c r="Q2988">
        <v>8.7131837912289107</v>
      </c>
      <c r="R2988" t="s">
        <v>3065</v>
      </c>
      <c r="S2988">
        <v>27.517635498853672</v>
      </c>
      <c r="T2988">
        <v>9.3000000000000007</v>
      </c>
      <c r="U2988" t="s">
        <v>3066</v>
      </c>
      <c r="V2988">
        <v>9.3000000000000007</v>
      </c>
      <c r="W2988">
        <v>0</v>
      </c>
      <c r="X2988">
        <v>1</v>
      </c>
      <c r="Y2988">
        <v>1</v>
      </c>
      <c r="Z2988">
        <v>0.28949688942237772</v>
      </c>
      <c r="AA2988">
        <v>1</v>
      </c>
    </row>
    <row r="2989" spans="1:27" x14ac:dyDescent="0.25">
      <c r="A2989" t="s">
        <v>98</v>
      </c>
      <c r="B2989" t="s">
        <v>519</v>
      </c>
      <c r="C2989" t="s">
        <v>1028</v>
      </c>
      <c r="D2989" t="s">
        <v>101</v>
      </c>
      <c r="E2989" t="s">
        <v>3060</v>
      </c>
      <c r="F2989" t="s">
        <v>3107</v>
      </c>
      <c r="H2989" t="s">
        <v>125</v>
      </c>
      <c r="I2989">
        <v>2015</v>
      </c>
      <c r="J2989" t="s">
        <v>3108</v>
      </c>
      <c r="K2989" t="s">
        <v>127</v>
      </c>
      <c r="L2989" t="s">
        <v>3208</v>
      </c>
      <c r="M2989" t="s">
        <v>3225</v>
      </c>
      <c r="N2989">
        <v>1</v>
      </c>
      <c r="O2989">
        <v>2020</v>
      </c>
      <c r="P2989">
        <v>1.188030798025733</v>
      </c>
      <c r="Q2989">
        <v>8.7131837912289107</v>
      </c>
      <c r="R2989" t="s">
        <v>3065</v>
      </c>
      <c r="S2989">
        <v>8.1809186618213623</v>
      </c>
      <c r="T2989">
        <v>71.5</v>
      </c>
      <c r="U2989" t="s">
        <v>3066</v>
      </c>
      <c r="V2989">
        <v>71.5</v>
      </c>
      <c r="W2989">
        <v>5</v>
      </c>
      <c r="X2989">
        <v>6</v>
      </c>
      <c r="Y2989">
        <v>6</v>
      </c>
      <c r="Z2989">
        <v>0.28949688942237772</v>
      </c>
      <c r="AA2989">
        <v>1</v>
      </c>
    </row>
    <row r="2990" spans="1:27" x14ac:dyDescent="0.25">
      <c r="A2990" t="s">
        <v>98</v>
      </c>
      <c r="B2990" t="s">
        <v>519</v>
      </c>
      <c r="C2990" t="s">
        <v>1028</v>
      </c>
      <c r="D2990" t="s">
        <v>101</v>
      </c>
      <c r="E2990" t="s">
        <v>3060</v>
      </c>
      <c r="F2990" t="s">
        <v>3110</v>
      </c>
      <c r="H2990" t="s">
        <v>125</v>
      </c>
      <c r="I2990">
        <v>2015</v>
      </c>
      <c r="J2990" t="s">
        <v>3111</v>
      </c>
      <c r="K2990" t="s">
        <v>127</v>
      </c>
      <c r="L2990" t="s">
        <v>3208</v>
      </c>
      <c r="M2990" t="s">
        <v>3226</v>
      </c>
      <c r="N2990">
        <v>0</v>
      </c>
      <c r="O2990">
        <v>2020</v>
      </c>
      <c r="P2990">
        <v>7.0633831082620873</v>
      </c>
      <c r="Q2990">
        <v>8.7131837912289107</v>
      </c>
      <c r="R2990" t="s">
        <v>3065</v>
      </c>
      <c r="S2990">
        <v>48.639280043919733</v>
      </c>
      <c r="T2990">
        <v>90</v>
      </c>
      <c r="U2990" t="s">
        <v>3066</v>
      </c>
      <c r="V2990">
        <v>90</v>
      </c>
      <c r="W2990">
        <v>8</v>
      </c>
      <c r="X2990">
        <v>9</v>
      </c>
      <c r="Y2990">
        <v>9</v>
      </c>
      <c r="Z2990">
        <v>0.28949688942237772</v>
      </c>
      <c r="AA2990">
        <v>1</v>
      </c>
    </row>
    <row r="2991" spans="1:27" x14ac:dyDescent="0.25">
      <c r="A2991" t="s">
        <v>98</v>
      </c>
      <c r="B2991" t="s">
        <v>519</v>
      </c>
      <c r="C2991" t="s">
        <v>1028</v>
      </c>
      <c r="D2991" t="s">
        <v>101</v>
      </c>
      <c r="E2991" t="s">
        <v>3060</v>
      </c>
      <c r="F2991" t="s">
        <v>3110</v>
      </c>
      <c r="H2991" t="s">
        <v>125</v>
      </c>
      <c r="I2991">
        <v>2020</v>
      </c>
      <c r="J2991" t="s">
        <v>3113</v>
      </c>
      <c r="K2991" t="s">
        <v>127</v>
      </c>
      <c r="L2991" t="s">
        <v>3208</v>
      </c>
      <c r="M2991" t="s">
        <v>3226</v>
      </c>
      <c r="N2991">
        <v>1</v>
      </c>
      <c r="O2991">
        <v>2020</v>
      </c>
      <c r="P2991">
        <v>4.449715352605474</v>
      </c>
      <c r="Q2991">
        <v>8.7131837912289107</v>
      </c>
      <c r="R2991" t="s">
        <v>3065</v>
      </c>
      <c r="S2991">
        <v>30.641258987912739</v>
      </c>
      <c r="T2991">
        <v>89.2</v>
      </c>
      <c r="U2991" t="s">
        <v>3066</v>
      </c>
      <c r="V2991">
        <v>89.2</v>
      </c>
      <c r="W2991">
        <v>12</v>
      </c>
      <c r="X2991">
        <v>13</v>
      </c>
      <c r="Y2991">
        <v>13</v>
      </c>
      <c r="Z2991">
        <v>0.28949688942237772</v>
      </c>
      <c r="AA2991">
        <v>1</v>
      </c>
    </row>
    <row r="2992" spans="1:27" x14ac:dyDescent="0.25">
      <c r="A2992" t="s">
        <v>98</v>
      </c>
      <c r="B2992" t="s">
        <v>519</v>
      </c>
      <c r="C2992" t="s">
        <v>1028</v>
      </c>
      <c r="D2992" t="s">
        <v>101</v>
      </c>
      <c r="E2992" t="s">
        <v>3060</v>
      </c>
      <c r="F2992" t="s">
        <v>3110</v>
      </c>
      <c r="H2992" t="s">
        <v>125</v>
      </c>
      <c r="I2992">
        <v>2022</v>
      </c>
      <c r="J2992" t="s">
        <v>3114</v>
      </c>
      <c r="K2992" t="s">
        <v>127</v>
      </c>
      <c r="L2992" t="s">
        <v>3208</v>
      </c>
      <c r="M2992" t="s">
        <v>3227</v>
      </c>
      <c r="N2992">
        <v>1</v>
      </c>
      <c r="O2992">
        <v>2022</v>
      </c>
      <c r="P2992">
        <v>4.4065142326772646</v>
      </c>
      <c r="Q2992">
        <v>8.7131837912289107</v>
      </c>
      <c r="R2992" t="s">
        <v>3065</v>
      </c>
      <c r="S2992">
        <v>30.343771036573781</v>
      </c>
      <c r="T2992">
        <v>89.2</v>
      </c>
      <c r="U2992" t="s">
        <v>3066</v>
      </c>
      <c r="V2992">
        <v>89.2</v>
      </c>
      <c r="W2992">
        <v>12</v>
      </c>
      <c r="X2992">
        <v>13</v>
      </c>
      <c r="Y2992">
        <v>13</v>
      </c>
      <c r="Z2992">
        <v>0.28949688942237772</v>
      </c>
      <c r="AA2992">
        <v>1</v>
      </c>
    </row>
    <row r="2993" spans="1:27" x14ac:dyDescent="0.25">
      <c r="A2993" t="s">
        <v>98</v>
      </c>
      <c r="B2993" t="s">
        <v>519</v>
      </c>
      <c r="C2993" t="s">
        <v>1028</v>
      </c>
      <c r="D2993" t="s">
        <v>101</v>
      </c>
      <c r="E2993" t="s">
        <v>3060</v>
      </c>
      <c r="F2993" t="s">
        <v>3110</v>
      </c>
      <c r="H2993" t="s">
        <v>125</v>
      </c>
      <c r="I2993">
        <v>2030</v>
      </c>
      <c r="J2993" t="s">
        <v>3116</v>
      </c>
      <c r="K2993" t="s">
        <v>127</v>
      </c>
      <c r="L2993" t="s">
        <v>3208</v>
      </c>
      <c r="M2993" t="s">
        <v>3228</v>
      </c>
      <c r="N2993">
        <v>1</v>
      </c>
      <c r="O2993">
        <v>2030</v>
      </c>
      <c r="P2993">
        <v>4.2337097529644314</v>
      </c>
      <c r="Q2993">
        <v>8.7131837912289107</v>
      </c>
      <c r="R2993" t="s">
        <v>3065</v>
      </c>
      <c r="S2993">
        <v>29.153819231217941</v>
      </c>
      <c r="T2993">
        <v>89.2</v>
      </c>
      <c r="U2993" t="s">
        <v>3066</v>
      </c>
      <c r="V2993">
        <v>89.2</v>
      </c>
      <c r="W2993">
        <v>12</v>
      </c>
      <c r="X2993">
        <v>13</v>
      </c>
      <c r="Y2993">
        <v>13</v>
      </c>
      <c r="Z2993">
        <v>0.28949688942237772</v>
      </c>
      <c r="AA2993">
        <v>1</v>
      </c>
    </row>
    <row r="2994" spans="1:27" x14ac:dyDescent="0.25">
      <c r="A2994" t="s">
        <v>98</v>
      </c>
      <c r="B2994" t="s">
        <v>519</v>
      </c>
      <c r="C2994" t="s">
        <v>1028</v>
      </c>
      <c r="D2994" t="s">
        <v>101</v>
      </c>
      <c r="E2994" t="s">
        <v>3060</v>
      </c>
      <c r="F2994" t="s">
        <v>3110</v>
      </c>
      <c r="H2994" t="s">
        <v>125</v>
      </c>
      <c r="I2994">
        <v>2040</v>
      </c>
      <c r="J2994" t="s">
        <v>3118</v>
      </c>
      <c r="K2994" t="s">
        <v>127</v>
      </c>
      <c r="L2994" t="s">
        <v>3208</v>
      </c>
      <c r="M2994" t="s">
        <v>3229</v>
      </c>
      <c r="N2994">
        <v>1</v>
      </c>
      <c r="O2994">
        <v>2040</v>
      </c>
      <c r="P2994">
        <v>4.0285044333054412</v>
      </c>
      <c r="Q2994">
        <v>8.7131837912289107</v>
      </c>
      <c r="R2994" t="s">
        <v>3065</v>
      </c>
      <c r="S2994">
        <v>27.740751462357888</v>
      </c>
      <c r="T2994">
        <v>89.2</v>
      </c>
      <c r="U2994" t="s">
        <v>3066</v>
      </c>
      <c r="V2994">
        <v>89.2</v>
      </c>
      <c r="W2994">
        <v>12</v>
      </c>
      <c r="X2994">
        <v>13</v>
      </c>
      <c r="Y2994">
        <v>13</v>
      </c>
      <c r="Z2994">
        <v>0.28949688942237772</v>
      </c>
      <c r="AA2994">
        <v>1</v>
      </c>
    </row>
    <row r="2995" spans="1:27" x14ac:dyDescent="0.25">
      <c r="A2995" t="s">
        <v>98</v>
      </c>
      <c r="B2995" t="s">
        <v>99</v>
      </c>
      <c r="C2995" t="s">
        <v>1367</v>
      </c>
      <c r="D2995" t="s">
        <v>101</v>
      </c>
      <c r="E2995" t="s">
        <v>3060</v>
      </c>
      <c r="F2995" t="s">
        <v>3061</v>
      </c>
      <c r="H2995" t="s">
        <v>125</v>
      </c>
      <c r="I2995">
        <v>2015</v>
      </c>
      <c r="J2995" t="s">
        <v>3062</v>
      </c>
      <c r="K2995" t="s">
        <v>127</v>
      </c>
      <c r="L2995" t="s">
        <v>3230</v>
      </c>
      <c r="M2995" t="s">
        <v>3231</v>
      </c>
      <c r="N2995">
        <v>0</v>
      </c>
      <c r="O2995">
        <v>2020</v>
      </c>
      <c r="P2995">
        <v>4.9303278118067926</v>
      </c>
      <c r="Q2995">
        <v>4.9667411391618446</v>
      </c>
      <c r="R2995" t="s">
        <v>3065</v>
      </c>
      <c r="S2995">
        <v>29.780057025312189</v>
      </c>
      <c r="T2995">
        <v>15.7</v>
      </c>
      <c r="U2995" t="s">
        <v>3066</v>
      </c>
      <c r="V2995">
        <v>15.7</v>
      </c>
      <c r="W2995">
        <v>0</v>
      </c>
      <c r="X2995">
        <v>1</v>
      </c>
      <c r="Y2995">
        <v>1</v>
      </c>
      <c r="Z2995">
        <v>0.28084699848584482</v>
      </c>
      <c r="AA2995">
        <v>1</v>
      </c>
    </row>
    <row r="2996" spans="1:27" x14ac:dyDescent="0.25">
      <c r="A2996" t="s">
        <v>98</v>
      </c>
      <c r="B2996" t="s">
        <v>99</v>
      </c>
      <c r="C2996" t="s">
        <v>1367</v>
      </c>
      <c r="D2996" t="s">
        <v>101</v>
      </c>
      <c r="E2996" t="s">
        <v>3060</v>
      </c>
      <c r="F2996" t="s">
        <v>3061</v>
      </c>
      <c r="H2996" t="s">
        <v>125</v>
      </c>
      <c r="I2996">
        <v>2020</v>
      </c>
      <c r="J2996" t="s">
        <v>3067</v>
      </c>
      <c r="K2996" t="s">
        <v>127</v>
      </c>
      <c r="L2996" t="s">
        <v>3230</v>
      </c>
      <c r="M2996" t="s">
        <v>3231</v>
      </c>
      <c r="N2996">
        <v>1</v>
      </c>
      <c r="O2996">
        <v>2020</v>
      </c>
      <c r="P2996">
        <v>7.0363824083069577</v>
      </c>
      <c r="Q2996">
        <v>4.9667411391618446</v>
      </c>
      <c r="R2996" t="s">
        <v>3065</v>
      </c>
      <c r="S2996">
        <v>42.501001428238553</v>
      </c>
      <c r="T2996">
        <v>15.7</v>
      </c>
      <c r="U2996" t="s">
        <v>3066</v>
      </c>
      <c r="V2996">
        <v>15.7</v>
      </c>
      <c r="W2996">
        <v>0</v>
      </c>
      <c r="X2996">
        <v>1</v>
      </c>
      <c r="Y2996">
        <v>1</v>
      </c>
      <c r="Z2996">
        <v>0.28084699848584482</v>
      </c>
      <c r="AA2996">
        <v>1</v>
      </c>
    </row>
    <row r="2997" spans="1:27" x14ac:dyDescent="0.25">
      <c r="A2997" t="s">
        <v>98</v>
      </c>
      <c r="B2997" t="s">
        <v>99</v>
      </c>
      <c r="C2997" t="s">
        <v>1367</v>
      </c>
      <c r="D2997" t="s">
        <v>101</v>
      </c>
      <c r="E2997" t="s">
        <v>3060</v>
      </c>
      <c r="F2997" t="s">
        <v>3061</v>
      </c>
      <c r="H2997" t="s">
        <v>125</v>
      </c>
      <c r="I2997">
        <v>2022</v>
      </c>
      <c r="J2997" t="s">
        <v>3068</v>
      </c>
      <c r="K2997" t="s">
        <v>127</v>
      </c>
      <c r="L2997" t="s">
        <v>3230</v>
      </c>
      <c r="M2997" t="s">
        <v>3232</v>
      </c>
      <c r="N2997">
        <v>1</v>
      </c>
      <c r="O2997">
        <v>2022</v>
      </c>
      <c r="P2997">
        <v>7.8788042469070234</v>
      </c>
      <c r="Q2997">
        <v>4.9667411391618446</v>
      </c>
      <c r="R2997" t="s">
        <v>3065</v>
      </c>
      <c r="S2997">
        <v>47.58937918940908</v>
      </c>
      <c r="T2997">
        <v>15.7</v>
      </c>
      <c r="U2997" t="s">
        <v>3066</v>
      </c>
      <c r="V2997">
        <v>15.7</v>
      </c>
      <c r="W2997">
        <v>0</v>
      </c>
      <c r="X2997">
        <v>1</v>
      </c>
      <c r="Y2997">
        <v>1</v>
      </c>
      <c r="Z2997">
        <v>0.28084699848584482</v>
      </c>
      <c r="AA2997">
        <v>1</v>
      </c>
    </row>
    <row r="2998" spans="1:27" x14ac:dyDescent="0.25">
      <c r="A2998" t="s">
        <v>98</v>
      </c>
      <c r="B2998" t="s">
        <v>99</v>
      </c>
      <c r="C2998" t="s">
        <v>1367</v>
      </c>
      <c r="D2998" t="s">
        <v>101</v>
      </c>
      <c r="E2998" t="s">
        <v>3060</v>
      </c>
      <c r="F2998" t="s">
        <v>3070</v>
      </c>
      <c r="H2998" t="s">
        <v>125</v>
      </c>
      <c r="I2998">
        <v>2015</v>
      </c>
      <c r="J2998" t="s">
        <v>3071</v>
      </c>
      <c r="K2998" t="s">
        <v>127</v>
      </c>
      <c r="L2998" t="s">
        <v>3230</v>
      </c>
      <c r="M2998" t="s">
        <v>3233</v>
      </c>
      <c r="N2998">
        <v>0</v>
      </c>
      <c r="O2998">
        <v>2020</v>
      </c>
      <c r="P2998">
        <v>4.7269225388114773</v>
      </c>
      <c r="Q2998">
        <v>4.9667411391618446</v>
      </c>
      <c r="R2998" t="s">
        <v>3065</v>
      </c>
      <c r="S2998">
        <v>28.55145299323468</v>
      </c>
      <c r="T2998">
        <v>59.066666666666663</v>
      </c>
      <c r="U2998" t="s">
        <v>3066</v>
      </c>
      <c r="V2998">
        <v>59.066666666666663</v>
      </c>
      <c r="W2998">
        <v>3</v>
      </c>
      <c r="X2998">
        <v>4</v>
      </c>
      <c r="Y2998">
        <v>4</v>
      </c>
      <c r="Z2998">
        <v>0.28084699848584482</v>
      </c>
      <c r="AA2998">
        <v>1</v>
      </c>
    </row>
    <row r="2999" spans="1:27" x14ac:dyDescent="0.25">
      <c r="A2999" t="s">
        <v>98</v>
      </c>
      <c r="B2999" t="s">
        <v>99</v>
      </c>
      <c r="C2999" t="s">
        <v>1367</v>
      </c>
      <c r="D2999" t="s">
        <v>101</v>
      </c>
      <c r="E2999" t="s">
        <v>3060</v>
      </c>
      <c r="F2999" t="s">
        <v>3070</v>
      </c>
      <c r="H2999" t="s">
        <v>125</v>
      </c>
      <c r="I2999">
        <v>2020</v>
      </c>
      <c r="J2999" t="s">
        <v>3073</v>
      </c>
      <c r="K2999" t="s">
        <v>127</v>
      </c>
      <c r="L2999" t="s">
        <v>3230</v>
      </c>
      <c r="M2999" t="s">
        <v>3233</v>
      </c>
      <c r="N2999">
        <v>1</v>
      </c>
      <c r="O2999">
        <v>2020</v>
      </c>
      <c r="P2999">
        <v>6.2353616429714247</v>
      </c>
      <c r="Q2999">
        <v>4.9667411391618446</v>
      </c>
      <c r="R2999" t="s">
        <v>3065</v>
      </c>
      <c r="S2999">
        <v>37.662693514305012</v>
      </c>
      <c r="T2999">
        <v>59.933333333333337</v>
      </c>
      <c r="U2999" t="s">
        <v>3066</v>
      </c>
      <c r="V2999">
        <v>59.933333333333337</v>
      </c>
      <c r="W2999">
        <v>3</v>
      </c>
      <c r="X2999">
        <v>4</v>
      </c>
      <c r="Y2999">
        <v>4</v>
      </c>
      <c r="Z2999">
        <v>0.28084699848584482</v>
      </c>
      <c r="AA2999">
        <v>1</v>
      </c>
    </row>
    <row r="3000" spans="1:27" x14ac:dyDescent="0.25">
      <c r="A3000" t="s">
        <v>98</v>
      </c>
      <c r="B3000" t="s">
        <v>99</v>
      </c>
      <c r="C3000" t="s">
        <v>1367</v>
      </c>
      <c r="D3000" t="s">
        <v>101</v>
      </c>
      <c r="E3000" t="s">
        <v>3060</v>
      </c>
      <c r="F3000" t="s">
        <v>3070</v>
      </c>
      <c r="H3000" t="s">
        <v>125</v>
      </c>
      <c r="I3000">
        <v>2022</v>
      </c>
      <c r="J3000" t="s">
        <v>3074</v>
      </c>
      <c r="K3000" t="s">
        <v>127</v>
      </c>
      <c r="L3000" t="s">
        <v>3230</v>
      </c>
      <c r="M3000" t="s">
        <v>3234</v>
      </c>
      <c r="N3000">
        <v>1</v>
      </c>
      <c r="O3000">
        <v>2022</v>
      </c>
      <c r="P3000">
        <v>5.7403488104607021</v>
      </c>
      <c r="Q3000">
        <v>4.9667411391618446</v>
      </c>
      <c r="R3000" t="s">
        <v>3065</v>
      </c>
      <c r="S3000">
        <v>34.672727949514631</v>
      </c>
      <c r="T3000">
        <v>65.8</v>
      </c>
      <c r="U3000" t="s">
        <v>3066</v>
      </c>
      <c r="V3000">
        <v>65.8</v>
      </c>
      <c r="W3000">
        <v>4</v>
      </c>
      <c r="X3000">
        <v>5</v>
      </c>
      <c r="Y3000">
        <v>5</v>
      </c>
      <c r="Z3000">
        <v>0.28084699848584482</v>
      </c>
      <c r="AA3000">
        <v>1</v>
      </c>
    </row>
    <row r="3001" spans="1:27" x14ac:dyDescent="0.25">
      <c r="A3001" t="s">
        <v>98</v>
      </c>
      <c r="B3001" t="s">
        <v>99</v>
      </c>
      <c r="C3001" t="s">
        <v>1367</v>
      </c>
      <c r="D3001" t="s">
        <v>101</v>
      </c>
      <c r="E3001" t="s">
        <v>3060</v>
      </c>
      <c r="F3001" t="s">
        <v>3070</v>
      </c>
      <c r="H3001" t="s">
        <v>125</v>
      </c>
      <c r="I3001">
        <v>2030</v>
      </c>
      <c r="J3001" t="s">
        <v>3076</v>
      </c>
      <c r="K3001" t="s">
        <v>127</v>
      </c>
      <c r="L3001" t="s">
        <v>3230</v>
      </c>
      <c r="M3001" t="s">
        <v>3235</v>
      </c>
      <c r="N3001">
        <v>1</v>
      </c>
      <c r="O3001">
        <v>2030</v>
      </c>
      <c r="P3001">
        <v>5.513542930837608</v>
      </c>
      <c r="Q3001">
        <v>4.9667411391618446</v>
      </c>
      <c r="R3001" t="s">
        <v>3065</v>
      </c>
      <c r="S3001">
        <v>33.302780090737947</v>
      </c>
      <c r="T3001">
        <v>68.5</v>
      </c>
      <c r="U3001" t="s">
        <v>3066</v>
      </c>
      <c r="V3001">
        <v>68.5</v>
      </c>
      <c r="W3001">
        <v>4</v>
      </c>
      <c r="X3001">
        <v>5</v>
      </c>
      <c r="Y3001">
        <v>5</v>
      </c>
      <c r="Z3001">
        <v>0.28084699848584482</v>
      </c>
      <c r="AA3001">
        <v>1</v>
      </c>
    </row>
    <row r="3002" spans="1:27" x14ac:dyDescent="0.25">
      <c r="A3002" t="s">
        <v>98</v>
      </c>
      <c r="B3002" t="s">
        <v>99</v>
      </c>
      <c r="C3002" t="s">
        <v>1367</v>
      </c>
      <c r="D3002" t="s">
        <v>101</v>
      </c>
      <c r="E3002" t="s">
        <v>3060</v>
      </c>
      <c r="F3002" t="s">
        <v>3070</v>
      </c>
      <c r="H3002" t="s">
        <v>125</v>
      </c>
      <c r="I3002">
        <v>2040</v>
      </c>
      <c r="J3002" t="s">
        <v>3078</v>
      </c>
      <c r="K3002" t="s">
        <v>127</v>
      </c>
      <c r="L3002" t="s">
        <v>3230</v>
      </c>
      <c r="M3002" t="s">
        <v>3236</v>
      </c>
      <c r="N3002">
        <v>1</v>
      </c>
      <c r="O3002">
        <v>2040</v>
      </c>
      <c r="P3002">
        <v>5.2435359312863046</v>
      </c>
      <c r="Q3002">
        <v>4.9667411391618446</v>
      </c>
      <c r="R3002" t="s">
        <v>3065</v>
      </c>
      <c r="S3002">
        <v>31.671889782670469</v>
      </c>
      <c r="T3002">
        <v>72</v>
      </c>
      <c r="U3002" t="s">
        <v>3066</v>
      </c>
      <c r="V3002">
        <v>72</v>
      </c>
      <c r="W3002">
        <v>4</v>
      </c>
      <c r="X3002">
        <v>5</v>
      </c>
      <c r="Y3002">
        <v>5</v>
      </c>
      <c r="Z3002">
        <v>0.28084699848584482</v>
      </c>
      <c r="AA3002">
        <v>1</v>
      </c>
    </row>
    <row r="3003" spans="1:27" x14ac:dyDescent="0.25">
      <c r="A3003" t="s">
        <v>98</v>
      </c>
      <c r="B3003" t="s">
        <v>99</v>
      </c>
      <c r="C3003" t="s">
        <v>1367</v>
      </c>
      <c r="D3003" t="s">
        <v>101</v>
      </c>
      <c r="E3003" t="s">
        <v>3060</v>
      </c>
      <c r="F3003" t="s">
        <v>3080</v>
      </c>
      <c r="H3003" t="s">
        <v>125</v>
      </c>
      <c r="I3003">
        <v>2015</v>
      </c>
      <c r="J3003" t="s">
        <v>3081</v>
      </c>
      <c r="K3003" t="s">
        <v>127</v>
      </c>
      <c r="L3003" t="s">
        <v>3230</v>
      </c>
      <c r="M3003" t="s">
        <v>3237</v>
      </c>
      <c r="N3003">
        <v>0</v>
      </c>
      <c r="O3003">
        <v>2020</v>
      </c>
      <c r="P3003">
        <v>21.61676038407732</v>
      </c>
      <c r="Q3003">
        <v>4.9667411391618446</v>
      </c>
      <c r="R3003" t="s">
        <v>3065</v>
      </c>
      <c r="S3003">
        <v>130.5690780638825</v>
      </c>
      <c r="T3003">
        <v>79.849999999999994</v>
      </c>
      <c r="U3003" t="s">
        <v>3066</v>
      </c>
      <c r="V3003">
        <v>79.849999999999994</v>
      </c>
      <c r="W3003">
        <v>13</v>
      </c>
      <c r="X3003">
        <v>14</v>
      </c>
      <c r="Y3003">
        <v>14</v>
      </c>
      <c r="Z3003">
        <v>0.28084699848584482</v>
      </c>
      <c r="AA3003">
        <v>1</v>
      </c>
    </row>
    <row r="3004" spans="1:27" x14ac:dyDescent="0.25">
      <c r="A3004" t="s">
        <v>98</v>
      </c>
      <c r="B3004" t="s">
        <v>99</v>
      </c>
      <c r="C3004" t="s">
        <v>1367</v>
      </c>
      <c r="D3004" t="s">
        <v>101</v>
      </c>
      <c r="E3004" t="s">
        <v>3060</v>
      </c>
      <c r="F3004" t="s">
        <v>3080</v>
      </c>
      <c r="H3004" t="s">
        <v>125</v>
      </c>
      <c r="I3004">
        <v>2016</v>
      </c>
      <c r="J3004" t="s">
        <v>3083</v>
      </c>
      <c r="K3004" t="s">
        <v>127</v>
      </c>
      <c r="L3004" t="s">
        <v>3230</v>
      </c>
      <c r="M3004" t="s">
        <v>3237</v>
      </c>
      <c r="N3004">
        <v>0</v>
      </c>
      <c r="O3004">
        <v>2020</v>
      </c>
      <c r="P3004">
        <v>21.128047714889458</v>
      </c>
      <c r="Q3004">
        <v>4.9667411391618446</v>
      </c>
      <c r="R3004" t="s">
        <v>3065</v>
      </c>
      <c r="S3004">
        <v>127.61716660628031</v>
      </c>
      <c r="T3004">
        <v>83.025000000000006</v>
      </c>
      <c r="U3004" t="s">
        <v>3066</v>
      </c>
      <c r="V3004">
        <v>83.025000000000006</v>
      </c>
      <c r="W3004">
        <v>12</v>
      </c>
      <c r="X3004">
        <v>13</v>
      </c>
      <c r="Y3004">
        <v>13</v>
      </c>
      <c r="Z3004">
        <v>0.28084699848584482</v>
      </c>
      <c r="AA3004">
        <v>1</v>
      </c>
    </row>
    <row r="3005" spans="1:27" x14ac:dyDescent="0.25">
      <c r="A3005" t="s">
        <v>98</v>
      </c>
      <c r="B3005" t="s">
        <v>99</v>
      </c>
      <c r="C3005" t="s">
        <v>1367</v>
      </c>
      <c r="D3005" t="s">
        <v>101</v>
      </c>
      <c r="E3005" t="s">
        <v>3060</v>
      </c>
      <c r="F3005" t="s">
        <v>3080</v>
      </c>
      <c r="H3005" t="s">
        <v>125</v>
      </c>
      <c r="I3005">
        <v>2017</v>
      </c>
      <c r="J3005" t="s">
        <v>3084</v>
      </c>
      <c r="K3005" t="s">
        <v>127</v>
      </c>
      <c r="L3005" t="s">
        <v>3230</v>
      </c>
      <c r="M3005" t="s">
        <v>3237</v>
      </c>
      <c r="N3005">
        <v>0</v>
      </c>
      <c r="O3005">
        <v>2020</v>
      </c>
      <c r="P3005">
        <v>17.431651891032121</v>
      </c>
      <c r="Q3005">
        <v>4.9667411391618446</v>
      </c>
      <c r="R3005" t="s">
        <v>3065</v>
      </c>
      <c r="S3005">
        <v>105.2902782888365</v>
      </c>
      <c r="T3005">
        <v>86.2</v>
      </c>
      <c r="U3005" t="s">
        <v>3066</v>
      </c>
      <c r="V3005">
        <v>86.2</v>
      </c>
      <c r="W3005">
        <v>12</v>
      </c>
      <c r="X3005">
        <v>13</v>
      </c>
      <c r="Y3005">
        <v>13</v>
      </c>
      <c r="Z3005">
        <v>0.28084699848584482</v>
      </c>
      <c r="AA3005">
        <v>1</v>
      </c>
    </row>
    <row r="3006" spans="1:27" x14ac:dyDescent="0.25">
      <c r="A3006" t="s">
        <v>98</v>
      </c>
      <c r="B3006" t="s">
        <v>99</v>
      </c>
      <c r="C3006" t="s">
        <v>1367</v>
      </c>
      <c r="D3006" t="s">
        <v>101</v>
      </c>
      <c r="E3006" t="s">
        <v>3060</v>
      </c>
      <c r="F3006" t="s">
        <v>3080</v>
      </c>
      <c r="H3006" t="s">
        <v>125</v>
      </c>
      <c r="I3006">
        <v>2018</v>
      </c>
      <c r="J3006" t="s">
        <v>3085</v>
      </c>
      <c r="K3006" t="s">
        <v>127</v>
      </c>
      <c r="L3006" t="s">
        <v>3230</v>
      </c>
      <c r="M3006" t="s">
        <v>3237</v>
      </c>
      <c r="N3006">
        <v>0</v>
      </c>
      <c r="O3006">
        <v>2020</v>
      </c>
      <c r="P3006">
        <v>15.33639757451401</v>
      </c>
      <c r="Q3006">
        <v>4.9667411391618446</v>
      </c>
      <c r="R3006" t="s">
        <v>3065</v>
      </c>
      <c r="S3006">
        <v>92.634569498232878</v>
      </c>
      <c r="T3006">
        <v>89.35</v>
      </c>
      <c r="U3006" t="s">
        <v>3066</v>
      </c>
      <c r="V3006">
        <v>89.35</v>
      </c>
      <c r="W3006">
        <v>12</v>
      </c>
      <c r="X3006">
        <v>13</v>
      </c>
      <c r="Y3006">
        <v>13</v>
      </c>
      <c r="Z3006">
        <v>0.28084699848584482</v>
      </c>
      <c r="AA3006">
        <v>1</v>
      </c>
    </row>
    <row r="3007" spans="1:27" x14ac:dyDescent="0.25">
      <c r="A3007" t="s">
        <v>98</v>
      </c>
      <c r="B3007" t="s">
        <v>99</v>
      </c>
      <c r="C3007" t="s">
        <v>1367</v>
      </c>
      <c r="D3007" t="s">
        <v>101</v>
      </c>
      <c r="E3007" t="s">
        <v>3060</v>
      </c>
      <c r="F3007" t="s">
        <v>3080</v>
      </c>
      <c r="H3007" t="s">
        <v>125</v>
      </c>
      <c r="I3007">
        <v>2019</v>
      </c>
      <c r="J3007" t="s">
        <v>3086</v>
      </c>
      <c r="K3007" t="s">
        <v>127</v>
      </c>
      <c r="L3007" t="s">
        <v>3230</v>
      </c>
      <c r="M3007" t="s">
        <v>3237</v>
      </c>
      <c r="N3007">
        <v>0</v>
      </c>
      <c r="O3007">
        <v>2020</v>
      </c>
      <c r="P3007">
        <v>13.24384332799141</v>
      </c>
      <c r="Q3007">
        <v>4.9667411391618446</v>
      </c>
      <c r="R3007" t="s">
        <v>3065</v>
      </c>
      <c r="S3007">
        <v>79.995169610709922</v>
      </c>
      <c r="T3007">
        <v>92.55</v>
      </c>
      <c r="U3007" t="s">
        <v>3066</v>
      </c>
      <c r="V3007">
        <v>92.55</v>
      </c>
      <c r="W3007">
        <v>12</v>
      </c>
      <c r="X3007">
        <v>13</v>
      </c>
      <c r="Y3007">
        <v>13</v>
      </c>
      <c r="Z3007">
        <v>0.28084699848584482</v>
      </c>
      <c r="AA3007">
        <v>1</v>
      </c>
    </row>
    <row r="3008" spans="1:27" x14ac:dyDescent="0.25">
      <c r="A3008" t="s">
        <v>98</v>
      </c>
      <c r="B3008" t="s">
        <v>99</v>
      </c>
      <c r="C3008" t="s">
        <v>1367</v>
      </c>
      <c r="D3008" t="s">
        <v>101</v>
      </c>
      <c r="E3008" t="s">
        <v>3060</v>
      </c>
      <c r="F3008" t="s">
        <v>3080</v>
      </c>
      <c r="H3008" t="s">
        <v>125</v>
      </c>
      <c r="I3008">
        <v>2020</v>
      </c>
      <c r="J3008" t="s">
        <v>3087</v>
      </c>
      <c r="K3008" t="s">
        <v>127</v>
      </c>
      <c r="L3008" t="s">
        <v>3230</v>
      </c>
      <c r="M3008" t="s">
        <v>3237</v>
      </c>
      <c r="N3008">
        <v>1</v>
      </c>
      <c r="O3008">
        <v>2020</v>
      </c>
      <c r="P3008">
        <v>11.1485890114733</v>
      </c>
      <c r="Q3008">
        <v>4.9667411391618446</v>
      </c>
      <c r="R3008" t="s">
        <v>3065</v>
      </c>
      <c r="S3008">
        <v>67.339460820106268</v>
      </c>
      <c r="T3008">
        <v>95.699999999999989</v>
      </c>
      <c r="U3008" t="s">
        <v>3066</v>
      </c>
      <c r="V3008">
        <v>95.699999999999989</v>
      </c>
      <c r="W3008">
        <v>11</v>
      </c>
      <c r="X3008">
        <v>12</v>
      </c>
      <c r="Y3008">
        <v>12</v>
      </c>
      <c r="Z3008">
        <v>0.28084699848584482</v>
      </c>
      <c r="AA3008">
        <v>1</v>
      </c>
    </row>
    <row r="3009" spans="1:27" x14ac:dyDescent="0.25">
      <c r="A3009" t="s">
        <v>98</v>
      </c>
      <c r="B3009" t="s">
        <v>99</v>
      </c>
      <c r="C3009" t="s">
        <v>1367</v>
      </c>
      <c r="D3009" t="s">
        <v>101</v>
      </c>
      <c r="E3009" t="s">
        <v>3060</v>
      </c>
      <c r="F3009" t="s">
        <v>3080</v>
      </c>
      <c r="H3009" t="s">
        <v>125</v>
      </c>
      <c r="I3009">
        <v>2021</v>
      </c>
      <c r="J3009" t="s">
        <v>3088</v>
      </c>
      <c r="K3009" t="s">
        <v>127</v>
      </c>
      <c r="L3009" t="s">
        <v>3230</v>
      </c>
      <c r="M3009" t="s">
        <v>3238</v>
      </c>
      <c r="N3009">
        <v>1</v>
      </c>
      <c r="O3009">
        <v>2021</v>
      </c>
      <c r="P3009">
        <v>8.8076283253635061</v>
      </c>
      <c r="Q3009">
        <v>4.9667411391618446</v>
      </c>
      <c r="R3009" t="s">
        <v>3065</v>
      </c>
      <c r="S3009">
        <v>53.199641849161218</v>
      </c>
      <c r="T3009">
        <v>97.949999999999989</v>
      </c>
      <c r="U3009" t="s">
        <v>3066</v>
      </c>
      <c r="V3009">
        <v>97.949999999999989</v>
      </c>
      <c r="W3009">
        <v>11</v>
      </c>
      <c r="X3009">
        <v>12</v>
      </c>
      <c r="Y3009">
        <v>12</v>
      </c>
      <c r="Z3009">
        <v>0.28084699848584482</v>
      </c>
      <c r="AA3009">
        <v>1</v>
      </c>
    </row>
    <row r="3010" spans="1:27" x14ac:dyDescent="0.25">
      <c r="A3010" t="s">
        <v>98</v>
      </c>
      <c r="B3010" t="s">
        <v>99</v>
      </c>
      <c r="C3010" t="s">
        <v>1367</v>
      </c>
      <c r="D3010" t="s">
        <v>101</v>
      </c>
      <c r="E3010" t="s">
        <v>3060</v>
      </c>
      <c r="F3010" t="s">
        <v>3080</v>
      </c>
      <c r="H3010" t="s">
        <v>125</v>
      </c>
      <c r="I3010">
        <v>2022</v>
      </c>
      <c r="J3010" t="s">
        <v>3090</v>
      </c>
      <c r="K3010" t="s">
        <v>127</v>
      </c>
      <c r="L3010" t="s">
        <v>3230</v>
      </c>
      <c r="M3010" t="s">
        <v>3239</v>
      </c>
      <c r="N3010">
        <v>1</v>
      </c>
      <c r="O3010">
        <v>2022</v>
      </c>
      <c r="P3010">
        <v>6.4693677092492212</v>
      </c>
      <c r="Q3010">
        <v>4.9667411391618446</v>
      </c>
      <c r="R3010" t="s">
        <v>3065</v>
      </c>
      <c r="S3010">
        <v>39.076131781296837</v>
      </c>
      <c r="T3010">
        <v>100.22499999999999</v>
      </c>
      <c r="U3010" t="s">
        <v>3066</v>
      </c>
      <c r="V3010">
        <v>100.22499999999999</v>
      </c>
      <c r="W3010">
        <v>10</v>
      </c>
      <c r="X3010">
        <v>11</v>
      </c>
      <c r="Y3010">
        <v>11</v>
      </c>
      <c r="Z3010">
        <v>0.28084699848584482</v>
      </c>
      <c r="AA3010">
        <v>1</v>
      </c>
    </row>
    <row r="3011" spans="1:27" x14ac:dyDescent="0.25">
      <c r="A3011" t="s">
        <v>98</v>
      </c>
      <c r="B3011" t="s">
        <v>99</v>
      </c>
      <c r="C3011" t="s">
        <v>1367</v>
      </c>
      <c r="D3011" t="s">
        <v>101</v>
      </c>
      <c r="E3011" t="s">
        <v>3060</v>
      </c>
      <c r="F3011" t="s">
        <v>3080</v>
      </c>
      <c r="H3011" t="s">
        <v>125</v>
      </c>
      <c r="I3011">
        <v>2023</v>
      </c>
      <c r="J3011" t="s">
        <v>3092</v>
      </c>
      <c r="K3011" t="s">
        <v>127</v>
      </c>
      <c r="L3011" t="s">
        <v>3230</v>
      </c>
      <c r="M3011" t="s">
        <v>3240</v>
      </c>
      <c r="N3011">
        <v>1</v>
      </c>
      <c r="O3011">
        <v>2023</v>
      </c>
      <c r="P3011">
        <v>6.3505646294466462</v>
      </c>
      <c r="Q3011">
        <v>4.9667411391618446</v>
      </c>
      <c r="R3011" t="s">
        <v>3065</v>
      </c>
      <c r="S3011">
        <v>38.358540045747127</v>
      </c>
      <c r="T3011">
        <v>102.65</v>
      </c>
      <c r="U3011" t="s">
        <v>3066</v>
      </c>
      <c r="V3011">
        <v>102.65</v>
      </c>
      <c r="W3011">
        <v>10</v>
      </c>
      <c r="X3011">
        <v>11</v>
      </c>
      <c r="Y3011">
        <v>11</v>
      </c>
      <c r="Z3011">
        <v>0.28084699848584482</v>
      </c>
      <c r="AA3011">
        <v>1</v>
      </c>
    </row>
    <row r="3012" spans="1:27" x14ac:dyDescent="0.25">
      <c r="A3012" t="s">
        <v>98</v>
      </c>
      <c r="B3012" t="s">
        <v>99</v>
      </c>
      <c r="C3012" t="s">
        <v>1367</v>
      </c>
      <c r="D3012" t="s">
        <v>101</v>
      </c>
      <c r="E3012" t="s">
        <v>3060</v>
      </c>
      <c r="F3012" t="s">
        <v>3080</v>
      </c>
      <c r="H3012" t="s">
        <v>125</v>
      </c>
      <c r="I3012">
        <v>2024</v>
      </c>
      <c r="J3012" t="s">
        <v>3094</v>
      </c>
      <c r="K3012" t="s">
        <v>127</v>
      </c>
      <c r="L3012" t="s">
        <v>3230</v>
      </c>
      <c r="M3012" t="s">
        <v>3241</v>
      </c>
      <c r="N3012">
        <v>1</v>
      </c>
      <c r="O3012">
        <v>2024</v>
      </c>
      <c r="P3012">
        <v>6.2857629495543348</v>
      </c>
      <c r="Q3012">
        <v>4.9667411391618446</v>
      </c>
      <c r="R3012" t="s">
        <v>3065</v>
      </c>
      <c r="S3012">
        <v>37.967126371810942</v>
      </c>
      <c r="T3012">
        <v>105.05</v>
      </c>
      <c r="U3012" t="s">
        <v>3066</v>
      </c>
      <c r="V3012">
        <v>105.05</v>
      </c>
      <c r="W3012">
        <v>10</v>
      </c>
      <c r="X3012">
        <v>11</v>
      </c>
      <c r="Y3012">
        <v>11</v>
      </c>
      <c r="Z3012">
        <v>0.28084699848584482</v>
      </c>
      <c r="AA3012">
        <v>1</v>
      </c>
    </row>
    <row r="3013" spans="1:27" x14ac:dyDescent="0.25">
      <c r="A3013" t="s">
        <v>98</v>
      </c>
      <c r="B3013" t="s">
        <v>99</v>
      </c>
      <c r="C3013" t="s">
        <v>1367</v>
      </c>
      <c r="D3013" t="s">
        <v>101</v>
      </c>
      <c r="E3013" t="s">
        <v>3060</v>
      </c>
      <c r="F3013" t="s">
        <v>3080</v>
      </c>
      <c r="H3013" t="s">
        <v>125</v>
      </c>
      <c r="I3013">
        <v>2025</v>
      </c>
      <c r="J3013" t="s">
        <v>3096</v>
      </c>
      <c r="K3013" t="s">
        <v>127</v>
      </c>
      <c r="L3013" t="s">
        <v>3230</v>
      </c>
      <c r="M3013" t="s">
        <v>3242</v>
      </c>
      <c r="N3013">
        <v>1</v>
      </c>
      <c r="O3013">
        <v>2025</v>
      </c>
      <c r="P3013">
        <v>6.1210586798280389</v>
      </c>
      <c r="Q3013">
        <v>4.9667411391618446</v>
      </c>
      <c r="R3013" t="s">
        <v>3065</v>
      </c>
      <c r="S3013">
        <v>36.97228328388978</v>
      </c>
      <c r="T3013">
        <v>107.47499999999999</v>
      </c>
      <c r="U3013" t="s">
        <v>3066</v>
      </c>
      <c r="V3013">
        <v>107.47499999999999</v>
      </c>
      <c r="W3013">
        <v>10</v>
      </c>
      <c r="X3013">
        <v>11</v>
      </c>
      <c r="Y3013">
        <v>11</v>
      </c>
      <c r="Z3013">
        <v>0.28084699848584482</v>
      </c>
      <c r="AA3013">
        <v>1</v>
      </c>
    </row>
    <row r="3014" spans="1:27" x14ac:dyDescent="0.25">
      <c r="A3014" t="s">
        <v>98</v>
      </c>
      <c r="B3014" t="s">
        <v>99</v>
      </c>
      <c r="C3014" t="s">
        <v>1367</v>
      </c>
      <c r="D3014" t="s">
        <v>101</v>
      </c>
      <c r="E3014" t="s">
        <v>3060</v>
      </c>
      <c r="F3014" t="s">
        <v>3080</v>
      </c>
      <c r="H3014" t="s">
        <v>125</v>
      </c>
      <c r="I3014">
        <v>2030</v>
      </c>
      <c r="J3014" t="s">
        <v>3098</v>
      </c>
      <c r="K3014" t="s">
        <v>127</v>
      </c>
      <c r="L3014" t="s">
        <v>3230</v>
      </c>
      <c r="M3014" t="s">
        <v>3243</v>
      </c>
      <c r="N3014">
        <v>1</v>
      </c>
      <c r="O3014">
        <v>2030</v>
      </c>
      <c r="P3014">
        <v>5.5459437707837651</v>
      </c>
      <c r="Q3014">
        <v>4.9667411391618446</v>
      </c>
      <c r="R3014" t="s">
        <v>3065</v>
      </c>
      <c r="S3014">
        <v>33.498486927706047</v>
      </c>
      <c r="T3014">
        <v>119.575</v>
      </c>
      <c r="U3014" t="s">
        <v>3066</v>
      </c>
      <c r="V3014">
        <v>119.575</v>
      </c>
      <c r="W3014">
        <v>10</v>
      </c>
      <c r="X3014">
        <v>11</v>
      </c>
      <c r="Y3014">
        <v>11</v>
      </c>
      <c r="Z3014">
        <v>0.28084699848584482</v>
      </c>
      <c r="AA3014">
        <v>1</v>
      </c>
    </row>
    <row r="3015" spans="1:27" x14ac:dyDescent="0.25">
      <c r="A3015" t="s">
        <v>98</v>
      </c>
      <c r="B3015" t="s">
        <v>99</v>
      </c>
      <c r="C3015" t="s">
        <v>1367</v>
      </c>
      <c r="D3015" t="s">
        <v>101</v>
      </c>
      <c r="E3015" t="s">
        <v>3060</v>
      </c>
      <c r="F3015" t="s">
        <v>3080</v>
      </c>
      <c r="H3015" t="s">
        <v>125</v>
      </c>
      <c r="I3015">
        <v>2040</v>
      </c>
      <c r="J3015" t="s">
        <v>3100</v>
      </c>
      <c r="K3015" t="s">
        <v>127</v>
      </c>
      <c r="L3015" t="s">
        <v>3230</v>
      </c>
      <c r="M3015" t="s">
        <v>3244</v>
      </c>
      <c r="N3015">
        <v>1</v>
      </c>
      <c r="O3015">
        <v>2040</v>
      </c>
      <c r="P3015">
        <v>5.1760341813984789</v>
      </c>
      <c r="Q3015">
        <v>4.9667411391618446</v>
      </c>
      <c r="R3015" t="s">
        <v>3065</v>
      </c>
      <c r="S3015">
        <v>31.2641672056536</v>
      </c>
      <c r="T3015">
        <v>144.42500000000001</v>
      </c>
      <c r="U3015" t="s">
        <v>3066</v>
      </c>
      <c r="V3015">
        <v>144.42500000000001</v>
      </c>
      <c r="W3015">
        <v>10</v>
      </c>
      <c r="X3015">
        <v>11</v>
      </c>
      <c r="Y3015">
        <v>11</v>
      </c>
      <c r="Z3015">
        <v>0.28084699848584482</v>
      </c>
      <c r="AA3015">
        <v>1</v>
      </c>
    </row>
    <row r="3016" spans="1:27" x14ac:dyDescent="0.25">
      <c r="A3016" t="s">
        <v>98</v>
      </c>
      <c r="B3016" t="s">
        <v>99</v>
      </c>
      <c r="C3016" t="s">
        <v>1367</v>
      </c>
      <c r="D3016" t="s">
        <v>101</v>
      </c>
      <c r="E3016" t="s">
        <v>3060</v>
      </c>
      <c r="F3016" t="s">
        <v>3102</v>
      </c>
      <c r="H3016" t="s">
        <v>125</v>
      </c>
      <c r="I3016">
        <v>2015</v>
      </c>
      <c r="J3016" t="s">
        <v>3103</v>
      </c>
      <c r="K3016" t="s">
        <v>127</v>
      </c>
      <c r="L3016" t="s">
        <v>3230</v>
      </c>
      <c r="M3016" t="s">
        <v>3245</v>
      </c>
      <c r="N3016">
        <v>1</v>
      </c>
      <c r="O3016">
        <v>2020</v>
      </c>
      <c r="P3016">
        <v>2.3976621560155711</v>
      </c>
      <c r="Q3016">
        <v>4.9667411391618446</v>
      </c>
      <c r="R3016" t="s">
        <v>3065</v>
      </c>
      <c r="S3016">
        <v>14.48230593563923</v>
      </c>
      <c r="T3016">
        <v>12.7</v>
      </c>
      <c r="U3016" t="s">
        <v>3066</v>
      </c>
      <c r="V3016">
        <v>12.7</v>
      </c>
      <c r="W3016">
        <v>0</v>
      </c>
      <c r="X3016">
        <v>1</v>
      </c>
      <c r="Y3016">
        <v>1</v>
      </c>
      <c r="Z3016">
        <v>0.28084699848584482</v>
      </c>
      <c r="AA3016">
        <v>1</v>
      </c>
    </row>
    <row r="3017" spans="1:27" x14ac:dyDescent="0.25">
      <c r="A3017" t="s">
        <v>98</v>
      </c>
      <c r="B3017" t="s">
        <v>99</v>
      </c>
      <c r="C3017" t="s">
        <v>1367</v>
      </c>
      <c r="D3017" t="s">
        <v>101</v>
      </c>
      <c r="E3017" t="s">
        <v>3060</v>
      </c>
      <c r="F3017" t="s">
        <v>3102</v>
      </c>
      <c r="H3017" t="s">
        <v>125</v>
      </c>
      <c r="I3017">
        <v>2022</v>
      </c>
      <c r="J3017" t="s">
        <v>3105</v>
      </c>
      <c r="K3017" t="s">
        <v>127</v>
      </c>
      <c r="L3017" t="s">
        <v>3230</v>
      </c>
      <c r="M3017" t="s">
        <v>3246</v>
      </c>
      <c r="N3017">
        <v>1</v>
      </c>
      <c r="O3017">
        <v>2022</v>
      </c>
      <c r="P3017">
        <v>3.996103593359285</v>
      </c>
      <c r="Q3017">
        <v>4.9667411391618446</v>
      </c>
      <c r="R3017" t="s">
        <v>3065</v>
      </c>
      <c r="S3017">
        <v>24.137176559398711</v>
      </c>
      <c r="T3017">
        <v>9.3000000000000007</v>
      </c>
      <c r="U3017" t="s">
        <v>3066</v>
      </c>
      <c r="V3017">
        <v>9.3000000000000007</v>
      </c>
      <c r="W3017">
        <v>0</v>
      </c>
      <c r="X3017">
        <v>1</v>
      </c>
      <c r="Y3017">
        <v>1</v>
      </c>
      <c r="Z3017">
        <v>0.28084699848584482</v>
      </c>
      <c r="AA3017">
        <v>1</v>
      </c>
    </row>
    <row r="3018" spans="1:27" x14ac:dyDescent="0.25">
      <c r="A3018" t="s">
        <v>98</v>
      </c>
      <c r="B3018" t="s">
        <v>99</v>
      </c>
      <c r="C3018" t="s">
        <v>1367</v>
      </c>
      <c r="D3018" t="s">
        <v>101</v>
      </c>
      <c r="E3018" t="s">
        <v>3060</v>
      </c>
      <c r="F3018" t="s">
        <v>3107</v>
      </c>
      <c r="H3018" t="s">
        <v>125</v>
      </c>
      <c r="I3018">
        <v>2015</v>
      </c>
      <c r="J3018" t="s">
        <v>3108</v>
      </c>
      <c r="K3018" t="s">
        <v>127</v>
      </c>
      <c r="L3018" t="s">
        <v>3230</v>
      </c>
      <c r="M3018" t="s">
        <v>3247</v>
      </c>
      <c r="N3018">
        <v>1</v>
      </c>
      <c r="O3018">
        <v>2020</v>
      </c>
      <c r="P3018">
        <v>1.188030798025733</v>
      </c>
      <c r="Q3018">
        <v>4.9667411391618446</v>
      </c>
      <c r="R3018" t="s">
        <v>3065</v>
      </c>
      <c r="S3018">
        <v>7.1759173554969147</v>
      </c>
      <c r="T3018">
        <v>71.5</v>
      </c>
      <c r="U3018" t="s">
        <v>3066</v>
      </c>
      <c r="V3018">
        <v>71.5</v>
      </c>
      <c r="W3018">
        <v>6</v>
      </c>
      <c r="X3018">
        <v>7</v>
      </c>
      <c r="Y3018">
        <v>7</v>
      </c>
      <c r="Z3018">
        <v>0.28084699848584482</v>
      </c>
      <c r="AA3018">
        <v>1</v>
      </c>
    </row>
    <row r="3019" spans="1:27" x14ac:dyDescent="0.25">
      <c r="A3019" t="s">
        <v>98</v>
      </c>
      <c r="B3019" t="s">
        <v>99</v>
      </c>
      <c r="C3019" t="s">
        <v>1367</v>
      </c>
      <c r="D3019" t="s">
        <v>101</v>
      </c>
      <c r="E3019" t="s">
        <v>3060</v>
      </c>
      <c r="F3019" t="s">
        <v>3110</v>
      </c>
      <c r="H3019" t="s">
        <v>125</v>
      </c>
      <c r="I3019">
        <v>2015</v>
      </c>
      <c r="J3019" t="s">
        <v>3111</v>
      </c>
      <c r="K3019" t="s">
        <v>127</v>
      </c>
      <c r="L3019" t="s">
        <v>3230</v>
      </c>
      <c r="M3019" t="s">
        <v>3248</v>
      </c>
      <c r="N3019">
        <v>0</v>
      </c>
      <c r="O3019">
        <v>2020</v>
      </c>
      <c r="P3019">
        <v>7.0633831082620873</v>
      </c>
      <c r="Q3019">
        <v>4.9667411391618446</v>
      </c>
      <c r="R3019" t="s">
        <v>3065</v>
      </c>
      <c r="S3019">
        <v>42.664090459045283</v>
      </c>
      <c r="T3019">
        <v>90</v>
      </c>
      <c r="U3019" t="s">
        <v>3066</v>
      </c>
      <c r="V3019">
        <v>90</v>
      </c>
      <c r="W3019">
        <v>8</v>
      </c>
      <c r="X3019">
        <v>9</v>
      </c>
      <c r="Y3019">
        <v>9</v>
      </c>
      <c r="Z3019">
        <v>0.28084699848584482</v>
      </c>
      <c r="AA3019">
        <v>1</v>
      </c>
    </row>
    <row r="3020" spans="1:27" x14ac:dyDescent="0.25">
      <c r="A3020" t="s">
        <v>98</v>
      </c>
      <c r="B3020" t="s">
        <v>99</v>
      </c>
      <c r="C3020" t="s">
        <v>1367</v>
      </c>
      <c r="D3020" t="s">
        <v>101</v>
      </c>
      <c r="E3020" t="s">
        <v>3060</v>
      </c>
      <c r="F3020" t="s">
        <v>3110</v>
      </c>
      <c r="H3020" t="s">
        <v>125</v>
      </c>
      <c r="I3020">
        <v>2020</v>
      </c>
      <c r="J3020" t="s">
        <v>3113</v>
      </c>
      <c r="K3020" t="s">
        <v>127</v>
      </c>
      <c r="L3020" t="s">
        <v>3230</v>
      </c>
      <c r="M3020" t="s">
        <v>3248</v>
      </c>
      <c r="N3020">
        <v>1</v>
      </c>
      <c r="O3020">
        <v>2020</v>
      </c>
      <c r="P3020">
        <v>4.449715352605474</v>
      </c>
      <c r="Q3020">
        <v>4.9667411391618446</v>
      </c>
      <c r="R3020" t="s">
        <v>3065</v>
      </c>
      <c r="S3020">
        <v>26.877072276952081</v>
      </c>
      <c r="T3020">
        <v>89.2</v>
      </c>
      <c r="U3020" t="s">
        <v>3066</v>
      </c>
      <c r="V3020">
        <v>89.2</v>
      </c>
      <c r="W3020">
        <v>12</v>
      </c>
      <c r="X3020">
        <v>13</v>
      </c>
      <c r="Y3020">
        <v>13</v>
      </c>
      <c r="Z3020">
        <v>0.28084699848584482</v>
      </c>
      <c r="AA3020">
        <v>1</v>
      </c>
    </row>
    <row r="3021" spans="1:27" x14ac:dyDescent="0.25">
      <c r="A3021" t="s">
        <v>98</v>
      </c>
      <c r="B3021" t="s">
        <v>99</v>
      </c>
      <c r="C3021" t="s">
        <v>1367</v>
      </c>
      <c r="D3021" t="s">
        <v>101</v>
      </c>
      <c r="E3021" t="s">
        <v>3060</v>
      </c>
      <c r="F3021" t="s">
        <v>3110</v>
      </c>
      <c r="H3021" t="s">
        <v>125</v>
      </c>
      <c r="I3021">
        <v>2022</v>
      </c>
      <c r="J3021" t="s">
        <v>3114</v>
      </c>
      <c r="K3021" t="s">
        <v>127</v>
      </c>
      <c r="L3021" t="s">
        <v>3230</v>
      </c>
      <c r="M3021" t="s">
        <v>3249</v>
      </c>
      <c r="N3021">
        <v>1</v>
      </c>
      <c r="O3021">
        <v>2022</v>
      </c>
      <c r="P3021">
        <v>4.4065142326772646</v>
      </c>
      <c r="Q3021">
        <v>4.9667411391618446</v>
      </c>
      <c r="R3021" t="s">
        <v>3065</v>
      </c>
      <c r="S3021">
        <v>26.616129827661279</v>
      </c>
      <c r="T3021">
        <v>89.2</v>
      </c>
      <c r="U3021" t="s">
        <v>3066</v>
      </c>
      <c r="V3021">
        <v>89.2</v>
      </c>
      <c r="W3021">
        <v>12</v>
      </c>
      <c r="X3021">
        <v>13</v>
      </c>
      <c r="Y3021">
        <v>13</v>
      </c>
      <c r="Z3021">
        <v>0.28084699848584482</v>
      </c>
      <c r="AA3021">
        <v>1</v>
      </c>
    </row>
    <row r="3022" spans="1:27" x14ac:dyDescent="0.25">
      <c r="A3022" t="s">
        <v>98</v>
      </c>
      <c r="B3022" t="s">
        <v>99</v>
      </c>
      <c r="C3022" t="s">
        <v>1367</v>
      </c>
      <c r="D3022" t="s">
        <v>101</v>
      </c>
      <c r="E3022" t="s">
        <v>3060</v>
      </c>
      <c r="F3022" t="s">
        <v>3110</v>
      </c>
      <c r="H3022" t="s">
        <v>125</v>
      </c>
      <c r="I3022">
        <v>2030</v>
      </c>
      <c r="J3022" t="s">
        <v>3116</v>
      </c>
      <c r="K3022" t="s">
        <v>127</v>
      </c>
      <c r="L3022" t="s">
        <v>3230</v>
      </c>
      <c r="M3022" t="s">
        <v>3250</v>
      </c>
      <c r="N3022">
        <v>1</v>
      </c>
      <c r="O3022">
        <v>2030</v>
      </c>
      <c r="P3022">
        <v>4.2337097529644314</v>
      </c>
      <c r="Q3022">
        <v>4.9667411391618446</v>
      </c>
      <c r="R3022" t="s">
        <v>3065</v>
      </c>
      <c r="S3022">
        <v>25.572360030498089</v>
      </c>
      <c r="T3022">
        <v>89.2</v>
      </c>
      <c r="U3022" t="s">
        <v>3066</v>
      </c>
      <c r="V3022">
        <v>89.2</v>
      </c>
      <c r="W3022">
        <v>12</v>
      </c>
      <c r="X3022">
        <v>13</v>
      </c>
      <c r="Y3022">
        <v>13</v>
      </c>
      <c r="Z3022">
        <v>0.28084699848584482</v>
      </c>
      <c r="AA3022">
        <v>1</v>
      </c>
    </row>
    <row r="3023" spans="1:27" x14ac:dyDescent="0.25">
      <c r="A3023" t="s">
        <v>98</v>
      </c>
      <c r="B3023" t="s">
        <v>99</v>
      </c>
      <c r="C3023" t="s">
        <v>1367</v>
      </c>
      <c r="D3023" t="s">
        <v>101</v>
      </c>
      <c r="E3023" t="s">
        <v>3060</v>
      </c>
      <c r="F3023" t="s">
        <v>3110</v>
      </c>
      <c r="H3023" t="s">
        <v>125</v>
      </c>
      <c r="I3023">
        <v>2040</v>
      </c>
      <c r="J3023" t="s">
        <v>3118</v>
      </c>
      <c r="K3023" t="s">
        <v>127</v>
      </c>
      <c r="L3023" t="s">
        <v>3230</v>
      </c>
      <c r="M3023" t="s">
        <v>3251</v>
      </c>
      <c r="N3023">
        <v>1</v>
      </c>
      <c r="O3023">
        <v>2040</v>
      </c>
      <c r="P3023">
        <v>4.0285044333054412</v>
      </c>
      <c r="Q3023">
        <v>4.9667411391618446</v>
      </c>
      <c r="R3023" t="s">
        <v>3065</v>
      </c>
      <c r="S3023">
        <v>24.33288339636681</v>
      </c>
      <c r="T3023">
        <v>89.2</v>
      </c>
      <c r="U3023" t="s">
        <v>3066</v>
      </c>
      <c r="V3023">
        <v>89.2</v>
      </c>
      <c r="W3023">
        <v>12</v>
      </c>
      <c r="X3023">
        <v>13</v>
      </c>
      <c r="Y3023">
        <v>13</v>
      </c>
      <c r="Z3023">
        <v>0.28084699848584482</v>
      </c>
      <c r="AA3023">
        <v>1</v>
      </c>
    </row>
    <row r="3024" spans="1:27" x14ac:dyDescent="0.25">
      <c r="A3024" t="s">
        <v>98</v>
      </c>
      <c r="B3024" t="s">
        <v>519</v>
      </c>
      <c r="C3024" t="s">
        <v>1367</v>
      </c>
      <c r="D3024" t="s">
        <v>101</v>
      </c>
      <c r="E3024" t="s">
        <v>3060</v>
      </c>
      <c r="F3024" t="s">
        <v>3061</v>
      </c>
      <c r="H3024" t="s">
        <v>125</v>
      </c>
      <c r="I3024">
        <v>2015</v>
      </c>
      <c r="J3024" t="s">
        <v>3062</v>
      </c>
      <c r="K3024" t="s">
        <v>127</v>
      </c>
      <c r="L3024" t="s">
        <v>3252</v>
      </c>
      <c r="M3024" t="s">
        <v>3253</v>
      </c>
      <c r="N3024">
        <v>0</v>
      </c>
      <c r="O3024">
        <v>2020</v>
      </c>
      <c r="P3024">
        <v>4.9303278118067926</v>
      </c>
      <c r="Q3024">
        <v>11.116831646955321</v>
      </c>
      <c r="R3024" t="s">
        <v>3065</v>
      </c>
      <c r="S3024">
        <v>26.610070036405268</v>
      </c>
      <c r="T3024">
        <v>15.7</v>
      </c>
      <c r="U3024" t="s">
        <v>3066</v>
      </c>
      <c r="V3024">
        <v>15.7</v>
      </c>
      <c r="W3024">
        <v>0</v>
      </c>
      <c r="X3024">
        <v>1</v>
      </c>
      <c r="Y3024">
        <v>1</v>
      </c>
      <c r="Z3024">
        <v>0.31944737730523498</v>
      </c>
      <c r="AA3024">
        <v>1</v>
      </c>
    </row>
    <row r="3025" spans="1:27" x14ac:dyDescent="0.25">
      <c r="A3025" t="s">
        <v>98</v>
      </c>
      <c r="B3025" t="s">
        <v>519</v>
      </c>
      <c r="C3025" t="s">
        <v>1367</v>
      </c>
      <c r="D3025" t="s">
        <v>101</v>
      </c>
      <c r="E3025" t="s">
        <v>3060</v>
      </c>
      <c r="F3025" t="s">
        <v>3061</v>
      </c>
      <c r="H3025" t="s">
        <v>125</v>
      </c>
      <c r="I3025">
        <v>2020</v>
      </c>
      <c r="J3025" t="s">
        <v>3067</v>
      </c>
      <c r="K3025" t="s">
        <v>127</v>
      </c>
      <c r="L3025" t="s">
        <v>3252</v>
      </c>
      <c r="M3025" t="s">
        <v>3253</v>
      </c>
      <c r="N3025">
        <v>1</v>
      </c>
      <c r="O3025">
        <v>2020</v>
      </c>
      <c r="P3025">
        <v>7.0363824083069577</v>
      </c>
      <c r="Q3025">
        <v>11.116831646955321</v>
      </c>
      <c r="R3025" t="s">
        <v>3065</v>
      </c>
      <c r="S3025">
        <v>37.976912658747061</v>
      </c>
      <c r="T3025">
        <v>15.7</v>
      </c>
      <c r="U3025" t="s">
        <v>3066</v>
      </c>
      <c r="V3025">
        <v>15.7</v>
      </c>
      <c r="W3025">
        <v>0</v>
      </c>
      <c r="X3025">
        <v>1</v>
      </c>
      <c r="Y3025">
        <v>1</v>
      </c>
      <c r="Z3025">
        <v>0.31944737730523498</v>
      </c>
      <c r="AA3025">
        <v>1</v>
      </c>
    </row>
    <row r="3026" spans="1:27" x14ac:dyDescent="0.25">
      <c r="A3026" t="s">
        <v>98</v>
      </c>
      <c r="B3026" t="s">
        <v>519</v>
      </c>
      <c r="C3026" t="s">
        <v>1367</v>
      </c>
      <c r="D3026" t="s">
        <v>101</v>
      </c>
      <c r="E3026" t="s">
        <v>3060</v>
      </c>
      <c r="F3026" t="s">
        <v>3061</v>
      </c>
      <c r="H3026" t="s">
        <v>125</v>
      </c>
      <c r="I3026">
        <v>2022</v>
      </c>
      <c r="J3026" t="s">
        <v>3068</v>
      </c>
      <c r="K3026" t="s">
        <v>127</v>
      </c>
      <c r="L3026" t="s">
        <v>3252</v>
      </c>
      <c r="M3026" t="s">
        <v>3254</v>
      </c>
      <c r="N3026">
        <v>1</v>
      </c>
      <c r="O3026">
        <v>2022</v>
      </c>
      <c r="P3026">
        <v>7.8788042469070234</v>
      </c>
      <c r="Q3026">
        <v>11.116831646955321</v>
      </c>
      <c r="R3026" t="s">
        <v>3065</v>
      </c>
      <c r="S3026">
        <v>42.523649707683781</v>
      </c>
      <c r="T3026">
        <v>15.7</v>
      </c>
      <c r="U3026" t="s">
        <v>3066</v>
      </c>
      <c r="V3026">
        <v>15.7</v>
      </c>
      <c r="W3026">
        <v>0</v>
      </c>
      <c r="X3026">
        <v>1</v>
      </c>
      <c r="Y3026">
        <v>1</v>
      </c>
      <c r="Z3026">
        <v>0.31944737730523498</v>
      </c>
      <c r="AA3026">
        <v>1</v>
      </c>
    </row>
    <row r="3027" spans="1:27" x14ac:dyDescent="0.25">
      <c r="A3027" t="s">
        <v>98</v>
      </c>
      <c r="B3027" t="s">
        <v>519</v>
      </c>
      <c r="C3027" t="s">
        <v>1367</v>
      </c>
      <c r="D3027" t="s">
        <v>101</v>
      </c>
      <c r="E3027" t="s">
        <v>3060</v>
      </c>
      <c r="F3027" t="s">
        <v>3070</v>
      </c>
      <c r="H3027" t="s">
        <v>125</v>
      </c>
      <c r="I3027">
        <v>2015</v>
      </c>
      <c r="J3027" t="s">
        <v>3071</v>
      </c>
      <c r="K3027" t="s">
        <v>127</v>
      </c>
      <c r="L3027" t="s">
        <v>3252</v>
      </c>
      <c r="M3027" t="s">
        <v>3255</v>
      </c>
      <c r="N3027">
        <v>0</v>
      </c>
      <c r="O3027">
        <v>2020</v>
      </c>
      <c r="P3027">
        <v>4.7269225388114773</v>
      </c>
      <c r="Q3027">
        <v>11.116831646955321</v>
      </c>
      <c r="R3027" t="s">
        <v>3065</v>
      </c>
      <c r="S3027">
        <v>25.51224677458935</v>
      </c>
      <c r="T3027">
        <v>59.066666666666663</v>
      </c>
      <c r="U3027" t="s">
        <v>3066</v>
      </c>
      <c r="V3027">
        <v>59.066666666666663</v>
      </c>
      <c r="W3027">
        <v>3</v>
      </c>
      <c r="X3027">
        <v>4</v>
      </c>
      <c r="Y3027">
        <v>4</v>
      </c>
      <c r="Z3027">
        <v>0.31944737730523498</v>
      </c>
      <c r="AA3027">
        <v>1</v>
      </c>
    </row>
    <row r="3028" spans="1:27" x14ac:dyDescent="0.25">
      <c r="A3028" t="s">
        <v>98</v>
      </c>
      <c r="B3028" t="s">
        <v>519</v>
      </c>
      <c r="C3028" t="s">
        <v>1367</v>
      </c>
      <c r="D3028" t="s">
        <v>101</v>
      </c>
      <c r="E3028" t="s">
        <v>3060</v>
      </c>
      <c r="F3028" t="s">
        <v>3070</v>
      </c>
      <c r="H3028" t="s">
        <v>125</v>
      </c>
      <c r="I3028">
        <v>2020</v>
      </c>
      <c r="J3028" t="s">
        <v>3073</v>
      </c>
      <c r="K3028" t="s">
        <v>127</v>
      </c>
      <c r="L3028" t="s">
        <v>3252</v>
      </c>
      <c r="M3028" t="s">
        <v>3255</v>
      </c>
      <c r="N3028">
        <v>1</v>
      </c>
      <c r="O3028">
        <v>2020</v>
      </c>
      <c r="P3028">
        <v>6.2353616429714247</v>
      </c>
      <c r="Q3028">
        <v>11.116831646955321</v>
      </c>
      <c r="R3028" t="s">
        <v>3065</v>
      </c>
      <c r="S3028">
        <v>33.653626362215363</v>
      </c>
      <c r="T3028">
        <v>59.933333333333337</v>
      </c>
      <c r="U3028" t="s">
        <v>3066</v>
      </c>
      <c r="V3028">
        <v>59.933333333333337</v>
      </c>
      <c r="W3028">
        <v>3</v>
      </c>
      <c r="X3028">
        <v>4</v>
      </c>
      <c r="Y3028">
        <v>4</v>
      </c>
      <c r="Z3028">
        <v>0.31944737730523498</v>
      </c>
      <c r="AA3028">
        <v>1</v>
      </c>
    </row>
    <row r="3029" spans="1:27" x14ac:dyDescent="0.25">
      <c r="A3029" t="s">
        <v>98</v>
      </c>
      <c r="B3029" t="s">
        <v>519</v>
      </c>
      <c r="C3029" t="s">
        <v>1367</v>
      </c>
      <c r="D3029" t="s">
        <v>101</v>
      </c>
      <c r="E3029" t="s">
        <v>3060</v>
      </c>
      <c r="F3029" t="s">
        <v>3070</v>
      </c>
      <c r="H3029" t="s">
        <v>125</v>
      </c>
      <c r="I3029">
        <v>2022</v>
      </c>
      <c r="J3029" t="s">
        <v>3074</v>
      </c>
      <c r="K3029" t="s">
        <v>127</v>
      </c>
      <c r="L3029" t="s">
        <v>3252</v>
      </c>
      <c r="M3029" t="s">
        <v>3256</v>
      </c>
      <c r="N3029">
        <v>1</v>
      </c>
      <c r="O3029">
        <v>2022</v>
      </c>
      <c r="P3029">
        <v>5.7403488104607021</v>
      </c>
      <c r="Q3029">
        <v>11.116831646955321</v>
      </c>
      <c r="R3029" t="s">
        <v>3065</v>
      </c>
      <c r="S3029">
        <v>30.981932583459809</v>
      </c>
      <c r="T3029">
        <v>65.8</v>
      </c>
      <c r="U3029" t="s">
        <v>3066</v>
      </c>
      <c r="V3029">
        <v>65.8</v>
      </c>
      <c r="W3029">
        <v>3</v>
      </c>
      <c r="X3029">
        <v>4</v>
      </c>
      <c r="Y3029">
        <v>4</v>
      </c>
      <c r="Z3029">
        <v>0.31944737730523498</v>
      </c>
      <c r="AA3029">
        <v>1</v>
      </c>
    </row>
    <row r="3030" spans="1:27" x14ac:dyDescent="0.25">
      <c r="A3030" t="s">
        <v>98</v>
      </c>
      <c r="B3030" t="s">
        <v>519</v>
      </c>
      <c r="C3030" t="s">
        <v>1367</v>
      </c>
      <c r="D3030" t="s">
        <v>101</v>
      </c>
      <c r="E3030" t="s">
        <v>3060</v>
      </c>
      <c r="F3030" t="s">
        <v>3070</v>
      </c>
      <c r="H3030" t="s">
        <v>125</v>
      </c>
      <c r="I3030">
        <v>2030</v>
      </c>
      <c r="J3030" t="s">
        <v>3076</v>
      </c>
      <c r="K3030" t="s">
        <v>127</v>
      </c>
      <c r="L3030" t="s">
        <v>3252</v>
      </c>
      <c r="M3030" t="s">
        <v>3257</v>
      </c>
      <c r="N3030">
        <v>1</v>
      </c>
      <c r="O3030">
        <v>2030</v>
      </c>
      <c r="P3030">
        <v>5.513542930837608</v>
      </c>
      <c r="Q3030">
        <v>11.116831646955321</v>
      </c>
      <c r="R3030" t="s">
        <v>3065</v>
      </c>
      <c r="S3030">
        <v>29.757811070284539</v>
      </c>
      <c r="T3030">
        <v>68.5</v>
      </c>
      <c r="U3030" t="s">
        <v>3066</v>
      </c>
      <c r="V3030">
        <v>68.5</v>
      </c>
      <c r="W3030">
        <v>3</v>
      </c>
      <c r="X3030">
        <v>4</v>
      </c>
      <c r="Y3030">
        <v>4</v>
      </c>
      <c r="Z3030">
        <v>0.31944737730523498</v>
      </c>
      <c r="AA3030">
        <v>1</v>
      </c>
    </row>
    <row r="3031" spans="1:27" x14ac:dyDescent="0.25">
      <c r="A3031" t="s">
        <v>98</v>
      </c>
      <c r="B3031" t="s">
        <v>519</v>
      </c>
      <c r="C3031" t="s">
        <v>1367</v>
      </c>
      <c r="D3031" t="s">
        <v>101</v>
      </c>
      <c r="E3031" t="s">
        <v>3060</v>
      </c>
      <c r="F3031" t="s">
        <v>3070</v>
      </c>
      <c r="H3031" t="s">
        <v>125</v>
      </c>
      <c r="I3031">
        <v>2040</v>
      </c>
      <c r="J3031" t="s">
        <v>3078</v>
      </c>
      <c r="K3031" t="s">
        <v>127</v>
      </c>
      <c r="L3031" t="s">
        <v>3252</v>
      </c>
      <c r="M3031" t="s">
        <v>3258</v>
      </c>
      <c r="N3031">
        <v>1</v>
      </c>
      <c r="O3031">
        <v>2040</v>
      </c>
      <c r="P3031">
        <v>5.2435359312863046</v>
      </c>
      <c r="Q3031">
        <v>11.116831646955321</v>
      </c>
      <c r="R3031" t="s">
        <v>3065</v>
      </c>
      <c r="S3031">
        <v>28.3005235545997</v>
      </c>
      <c r="T3031">
        <v>72</v>
      </c>
      <c r="U3031" t="s">
        <v>3066</v>
      </c>
      <c r="V3031">
        <v>72</v>
      </c>
      <c r="W3031">
        <v>3</v>
      </c>
      <c r="X3031">
        <v>4</v>
      </c>
      <c r="Y3031">
        <v>4</v>
      </c>
      <c r="Z3031">
        <v>0.31944737730523498</v>
      </c>
      <c r="AA3031">
        <v>1</v>
      </c>
    </row>
    <row r="3032" spans="1:27" x14ac:dyDescent="0.25">
      <c r="A3032" t="s">
        <v>98</v>
      </c>
      <c r="B3032" t="s">
        <v>519</v>
      </c>
      <c r="C3032" t="s">
        <v>1367</v>
      </c>
      <c r="D3032" t="s">
        <v>101</v>
      </c>
      <c r="E3032" t="s">
        <v>3060</v>
      </c>
      <c r="F3032" t="s">
        <v>3080</v>
      </c>
      <c r="H3032" t="s">
        <v>125</v>
      </c>
      <c r="I3032">
        <v>2015</v>
      </c>
      <c r="J3032" t="s">
        <v>3081</v>
      </c>
      <c r="K3032" t="s">
        <v>127</v>
      </c>
      <c r="L3032" t="s">
        <v>3252</v>
      </c>
      <c r="M3032" t="s">
        <v>3259</v>
      </c>
      <c r="N3032">
        <v>0</v>
      </c>
      <c r="O3032">
        <v>2020</v>
      </c>
      <c r="P3032">
        <v>21.61676038407732</v>
      </c>
      <c r="Q3032">
        <v>11.116831646955321</v>
      </c>
      <c r="R3032" t="s">
        <v>3065</v>
      </c>
      <c r="S3032">
        <v>116.6704385057287</v>
      </c>
      <c r="T3032">
        <v>79.849999999999994</v>
      </c>
      <c r="U3032" t="s">
        <v>3066</v>
      </c>
      <c r="V3032">
        <v>79.849999999999994</v>
      </c>
      <c r="W3032">
        <v>11</v>
      </c>
      <c r="X3032">
        <v>12</v>
      </c>
      <c r="Y3032">
        <v>12</v>
      </c>
      <c r="Z3032">
        <v>0.31944737730523498</v>
      </c>
      <c r="AA3032">
        <v>1</v>
      </c>
    </row>
    <row r="3033" spans="1:27" x14ac:dyDescent="0.25">
      <c r="A3033" t="s">
        <v>98</v>
      </c>
      <c r="B3033" t="s">
        <v>519</v>
      </c>
      <c r="C3033" t="s">
        <v>1367</v>
      </c>
      <c r="D3033" t="s">
        <v>101</v>
      </c>
      <c r="E3033" t="s">
        <v>3060</v>
      </c>
      <c r="F3033" t="s">
        <v>3080</v>
      </c>
      <c r="H3033" t="s">
        <v>125</v>
      </c>
      <c r="I3033">
        <v>2016</v>
      </c>
      <c r="J3033" t="s">
        <v>3083</v>
      </c>
      <c r="K3033" t="s">
        <v>127</v>
      </c>
      <c r="L3033" t="s">
        <v>3252</v>
      </c>
      <c r="M3033" t="s">
        <v>3259</v>
      </c>
      <c r="N3033">
        <v>0</v>
      </c>
      <c r="O3033">
        <v>2020</v>
      </c>
      <c r="P3033">
        <v>21.128047714889458</v>
      </c>
      <c r="Q3033">
        <v>11.116831646955321</v>
      </c>
      <c r="R3033" t="s">
        <v>3065</v>
      </c>
      <c r="S3033">
        <v>114.0327481023391</v>
      </c>
      <c r="T3033">
        <v>83.025000000000006</v>
      </c>
      <c r="U3033" t="s">
        <v>3066</v>
      </c>
      <c r="V3033">
        <v>83.025000000000006</v>
      </c>
      <c r="W3033">
        <v>11</v>
      </c>
      <c r="X3033">
        <v>12</v>
      </c>
      <c r="Y3033">
        <v>12</v>
      </c>
      <c r="Z3033">
        <v>0.31944737730523498</v>
      </c>
      <c r="AA3033">
        <v>1</v>
      </c>
    </row>
    <row r="3034" spans="1:27" x14ac:dyDescent="0.25">
      <c r="A3034" t="s">
        <v>98</v>
      </c>
      <c r="B3034" t="s">
        <v>519</v>
      </c>
      <c r="C3034" t="s">
        <v>1367</v>
      </c>
      <c r="D3034" t="s">
        <v>101</v>
      </c>
      <c r="E3034" t="s">
        <v>3060</v>
      </c>
      <c r="F3034" t="s">
        <v>3080</v>
      </c>
      <c r="H3034" t="s">
        <v>125</v>
      </c>
      <c r="I3034">
        <v>2017</v>
      </c>
      <c r="J3034" t="s">
        <v>3084</v>
      </c>
      <c r="K3034" t="s">
        <v>127</v>
      </c>
      <c r="L3034" t="s">
        <v>3252</v>
      </c>
      <c r="M3034" t="s">
        <v>3259</v>
      </c>
      <c r="N3034">
        <v>0</v>
      </c>
      <c r="O3034">
        <v>2020</v>
      </c>
      <c r="P3034">
        <v>17.431651891032121</v>
      </c>
      <c r="Q3034">
        <v>11.116831646955321</v>
      </c>
      <c r="R3034" t="s">
        <v>3065</v>
      </c>
      <c r="S3034">
        <v>94.08248201261361</v>
      </c>
      <c r="T3034">
        <v>86.2</v>
      </c>
      <c r="U3034" t="s">
        <v>3066</v>
      </c>
      <c r="V3034">
        <v>86.2</v>
      </c>
      <c r="W3034">
        <v>11</v>
      </c>
      <c r="X3034">
        <v>12</v>
      </c>
      <c r="Y3034">
        <v>12</v>
      </c>
      <c r="Z3034">
        <v>0.31944737730523498</v>
      </c>
      <c r="AA3034">
        <v>1</v>
      </c>
    </row>
    <row r="3035" spans="1:27" x14ac:dyDescent="0.25">
      <c r="A3035" t="s">
        <v>98</v>
      </c>
      <c r="B3035" t="s">
        <v>519</v>
      </c>
      <c r="C3035" t="s">
        <v>1367</v>
      </c>
      <c r="D3035" t="s">
        <v>101</v>
      </c>
      <c r="E3035" t="s">
        <v>3060</v>
      </c>
      <c r="F3035" t="s">
        <v>3080</v>
      </c>
      <c r="H3035" t="s">
        <v>125</v>
      </c>
      <c r="I3035">
        <v>2018</v>
      </c>
      <c r="J3035" t="s">
        <v>3085</v>
      </c>
      <c r="K3035" t="s">
        <v>127</v>
      </c>
      <c r="L3035" t="s">
        <v>3252</v>
      </c>
      <c r="M3035" t="s">
        <v>3259</v>
      </c>
      <c r="N3035">
        <v>0</v>
      </c>
      <c r="O3035">
        <v>2020</v>
      </c>
      <c r="P3035">
        <v>15.33639757451401</v>
      </c>
      <c r="Q3035">
        <v>11.116831646955321</v>
      </c>
      <c r="R3035" t="s">
        <v>3065</v>
      </c>
      <c r="S3035">
        <v>82.773930890899194</v>
      </c>
      <c r="T3035">
        <v>89.35</v>
      </c>
      <c r="U3035" t="s">
        <v>3066</v>
      </c>
      <c r="V3035">
        <v>89.35</v>
      </c>
      <c r="W3035">
        <v>10</v>
      </c>
      <c r="X3035">
        <v>11</v>
      </c>
      <c r="Y3035">
        <v>11</v>
      </c>
      <c r="Z3035">
        <v>0.31944737730523498</v>
      </c>
      <c r="AA3035">
        <v>1</v>
      </c>
    </row>
    <row r="3036" spans="1:27" x14ac:dyDescent="0.25">
      <c r="A3036" t="s">
        <v>98</v>
      </c>
      <c r="B3036" t="s">
        <v>519</v>
      </c>
      <c r="C3036" t="s">
        <v>1367</v>
      </c>
      <c r="D3036" t="s">
        <v>101</v>
      </c>
      <c r="E3036" t="s">
        <v>3060</v>
      </c>
      <c r="F3036" t="s">
        <v>3080</v>
      </c>
      <c r="H3036" t="s">
        <v>125</v>
      </c>
      <c r="I3036">
        <v>2019</v>
      </c>
      <c r="J3036" t="s">
        <v>3086</v>
      </c>
      <c r="K3036" t="s">
        <v>127</v>
      </c>
      <c r="L3036" t="s">
        <v>3252</v>
      </c>
      <c r="M3036" t="s">
        <v>3259</v>
      </c>
      <c r="N3036">
        <v>0</v>
      </c>
      <c r="O3036">
        <v>2020</v>
      </c>
      <c r="P3036">
        <v>13.24384332799141</v>
      </c>
      <c r="Q3036">
        <v>11.116831646955321</v>
      </c>
      <c r="R3036" t="s">
        <v>3065</v>
      </c>
      <c r="S3036">
        <v>71.479952644341651</v>
      </c>
      <c r="T3036">
        <v>92.55</v>
      </c>
      <c r="U3036" t="s">
        <v>3066</v>
      </c>
      <c r="V3036">
        <v>92.55</v>
      </c>
      <c r="W3036">
        <v>10</v>
      </c>
      <c r="X3036">
        <v>11</v>
      </c>
      <c r="Y3036">
        <v>11</v>
      </c>
      <c r="Z3036">
        <v>0.31944737730523498</v>
      </c>
      <c r="AA3036">
        <v>1</v>
      </c>
    </row>
    <row r="3037" spans="1:27" x14ac:dyDescent="0.25">
      <c r="A3037" t="s">
        <v>98</v>
      </c>
      <c r="B3037" t="s">
        <v>519</v>
      </c>
      <c r="C3037" t="s">
        <v>1367</v>
      </c>
      <c r="D3037" t="s">
        <v>101</v>
      </c>
      <c r="E3037" t="s">
        <v>3060</v>
      </c>
      <c r="F3037" t="s">
        <v>3080</v>
      </c>
      <c r="H3037" t="s">
        <v>125</v>
      </c>
      <c r="I3037">
        <v>2020</v>
      </c>
      <c r="J3037" t="s">
        <v>3087</v>
      </c>
      <c r="K3037" t="s">
        <v>127</v>
      </c>
      <c r="L3037" t="s">
        <v>3252</v>
      </c>
      <c r="M3037" t="s">
        <v>3259</v>
      </c>
      <c r="N3037">
        <v>1</v>
      </c>
      <c r="O3037">
        <v>2020</v>
      </c>
      <c r="P3037">
        <v>11.1485890114733</v>
      </c>
      <c r="Q3037">
        <v>11.116831646955321</v>
      </c>
      <c r="R3037" t="s">
        <v>3065</v>
      </c>
      <c r="S3037">
        <v>60.171401522627271</v>
      </c>
      <c r="T3037">
        <v>95.699999999999989</v>
      </c>
      <c r="U3037" t="s">
        <v>3066</v>
      </c>
      <c r="V3037">
        <v>95.699999999999989</v>
      </c>
      <c r="W3037">
        <v>10</v>
      </c>
      <c r="X3037">
        <v>11</v>
      </c>
      <c r="Y3037">
        <v>11</v>
      </c>
      <c r="Z3037">
        <v>0.31944737730523498</v>
      </c>
      <c r="AA3037">
        <v>1</v>
      </c>
    </row>
    <row r="3038" spans="1:27" x14ac:dyDescent="0.25">
      <c r="A3038" t="s">
        <v>98</v>
      </c>
      <c r="B3038" t="s">
        <v>519</v>
      </c>
      <c r="C3038" t="s">
        <v>1367</v>
      </c>
      <c r="D3038" t="s">
        <v>101</v>
      </c>
      <c r="E3038" t="s">
        <v>3060</v>
      </c>
      <c r="F3038" t="s">
        <v>3080</v>
      </c>
      <c r="H3038" t="s">
        <v>125</v>
      </c>
      <c r="I3038">
        <v>2021</v>
      </c>
      <c r="J3038" t="s">
        <v>3088</v>
      </c>
      <c r="K3038" t="s">
        <v>127</v>
      </c>
      <c r="L3038" t="s">
        <v>3252</v>
      </c>
      <c r="M3038" t="s">
        <v>3260</v>
      </c>
      <c r="N3038">
        <v>1</v>
      </c>
      <c r="O3038">
        <v>2021</v>
      </c>
      <c r="P3038">
        <v>8.8076283253635061</v>
      </c>
      <c r="Q3038">
        <v>11.116831646955321</v>
      </c>
      <c r="R3038" t="s">
        <v>3065</v>
      </c>
      <c r="S3038">
        <v>47.536718761639648</v>
      </c>
      <c r="T3038">
        <v>97.949999999999989</v>
      </c>
      <c r="U3038" t="s">
        <v>3066</v>
      </c>
      <c r="V3038">
        <v>97.949999999999989</v>
      </c>
      <c r="W3038">
        <v>9</v>
      </c>
      <c r="X3038">
        <v>10</v>
      </c>
      <c r="Y3038">
        <v>10</v>
      </c>
      <c r="Z3038">
        <v>0.31944737730523498</v>
      </c>
      <c r="AA3038">
        <v>1</v>
      </c>
    </row>
    <row r="3039" spans="1:27" x14ac:dyDescent="0.25">
      <c r="A3039" t="s">
        <v>98</v>
      </c>
      <c r="B3039" t="s">
        <v>519</v>
      </c>
      <c r="C3039" t="s">
        <v>1367</v>
      </c>
      <c r="D3039" t="s">
        <v>101</v>
      </c>
      <c r="E3039" t="s">
        <v>3060</v>
      </c>
      <c r="F3039" t="s">
        <v>3080</v>
      </c>
      <c r="H3039" t="s">
        <v>125</v>
      </c>
      <c r="I3039">
        <v>2022</v>
      </c>
      <c r="J3039" t="s">
        <v>3090</v>
      </c>
      <c r="K3039" t="s">
        <v>127</v>
      </c>
      <c r="L3039" t="s">
        <v>3252</v>
      </c>
      <c r="M3039" t="s">
        <v>3261</v>
      </c>
      <c r="N3039">
        <v>1</v>
      </c>
      <c r="O3039">
        <v>2022</v>
      </c>
      <c r="P3039">
        <v>6.4693677092492212</v>
      </c>
      <c r="Q3039">
        <v>11.116831646955321</v>
      </c>
      <c r="R3039" t="s">
        <v>3065</v>
      </c>
      <c r="S3039">
        <v>34.91660887580889</v>
      </c>
      <c r="T3039">
        <v>100.22499999999999</v>
      </c>
      <c r="U3039" t="s">
        <v>3066</v>
      </c>
      <c r="V3039">
        <v>100.22499999999999</v>
      </c>
      <c r="W3039">
        <v>9</v>
      </c>
      <c r="X3039">
        <v>10</v>
      </c>
      <c r="Y3039">
        <v>10</v>
      </c>
      <c r="Z3039">
        <v>0.31944737730523498</v>
      </c>
      <c r="AA3039">
        <v>1</v>
      </c>
    </row>
    <row r="3040" spans="1:27" x14ac:dyDescent="0.25">
      <c r="A3040" t="s">
        <v>98</v>
      </c>
      <c r="B3040" t="s">
        <v>519</v>
      </c>
      <c r="C3040" t="s">
        <v>1367</v>
      </c>
      <c r="D3040" t="s">
        <v>101</v>
      </c>
      <c r="E3040" t="s">
        <v>3060</v>
      </c>
      <c r="F3040" t="s">
        <v>3080</v>
      </c>
      <c r="H3040" t="s">
        <v>125</v>
      </c>
      <c r="I3040">
        <v>2023</v>
      </c>
      <c r="J3040" t="s">
        <v>3092</v>
      </c>
      <c r="K3040" t="s">
        <v>127</v>
      </c>
      <c r="L3040" t="s">
        <v>3252</v>
      </c>
      <c r="M3040" t="s">
        <v>3262</v>
      </c>
      <c r="N3040">
        <v>1</v>
      </c>
      <c r="O3040">
        <v>2023</v>
      </c>
      <c r="P3040">
        <v>6.3505646294466462</v>
      </c>
      <c r="Q3040">
        <v>11.116831646955321</v>
      </c>
      <c r="R3040" t="s">
        <v>3065</v>
      </c>
      <c r="S3040">
        <v>34.27540236890755</v>
      </c>
      <c r="T3040">
        <v>102.65</v>
      </c>
      <c r="U3040" t="s">
        <v>3066</v>
      </c>
      <c r="V3040">
        <v>102.65</v>
      </c>
      <c r="W3040">
        <v>9</v>
      </c>
      <c r="X3040">
        <v>10</v>
      </c>
      <c r="Y3040">
        <v>10</v>
      </c>
      <c r="Z3040">
        <v>0.31944737730523498</v>
      </c>
      <c r="AA3040">
        <v>1</v>
      </c>
    </row>
    <row r="3041" spans="1:27" x14ac:dyDescent="0.25">
      <c r="A3041" t="s">
        <v>98</v>
      </c>
      <c r="B3041" t="s">
        <v>519</v>
      </c>
      <c r="C3041" t="s">
        <v>1367</v>
      </c>
      <c r="D3041" t="s">
        <v>101</v>
      </c>
      <c r="E3041" t="s">
        <v>3060</v>
      </c>
      <c r="F3041" t="s">
        <v>3080</v>
      </c>
      <c r="H3041" t="s">
        <v>125</v>
      </c>
      <c r="I3041">
        <v>2024</v>
      </c>
      <c r="J3041" t="s">
        <v>3094</v>
      </c>
      <c r="K3041" t="s">
        <v>127</v>
      </c>
      <c r="L3041" t="s">
        <v>3252</v>
      </c>
      <c r="M3041" t="s">
        <v>3263</v>
      </c>
      <c r="N3041">
        <v>1</v>
      </c>
      <c r="O3041">
        <v>2024</v>
      </c>
      <c r="P3041">
        <v>6.2857629495543348</v>
      </c>
      <c r="Q3041">
        <v>11.116831646955321</v>
      </c>
      <c r="R3041" t="s">
        <v>3065</v>
      </c>
      <c r="S3041">
        <v>33.925653365143198</v>
      </c>
      <c r="T3041">
        <v>105.05</v>
      </c>
      <c r="U3041" t="s">
        <v>3066</v>
      </c>
      <c r="V3041">
        <v>105.05</v>
      </c>
      <c r="W3041">
        <v>9</v>
      </c>
      <c r="X3041">
        <v>10</v>
      </c>
      <c r="Y3041">
        <v>10</v>
      </c>
      <c r="Z3041">
        <v>0.31944737730523498</v>
      </c>
      <c r="AA3041">
        <v>1</v>
      </c>
    </row>
    <row r="3042" spans="1:27" x14ac:dyDescent="0.25">
      <c r="A3042" t="s">
        <v>98</v>
      </c>
      <c r="B3042" t="s">
        <v>519</v>
      </c>
      <c r="C3042" t="s">
        <v>1367</v>
      </c>
      <c r="D3042" t="s">
        <v>101</v>
      </c>
      <c r="E3042" t="s">
        <v>3060</v>
      </c>
      <c r="F3042" t="s">
        <v>3080</v>
      </c>
      <c r="H3042" t="s">
        <v>125</v>
      </c>
      <c r="I3042">
        <v>2025</v>
      </c>
      <c r="J3042" t="s">
        <v>3096</v>
      </c>
      <c r="K3042" t="s">
        <v>127</v>
      </c>
      <c r="L3042" t="s">
        <v>3252</v>
      </c>
      <c r="M3042" t="s">
        <v>3264</v>
      </c>
      <c r="N3042">
        <v>1</v>
      </c>
      <c r="O3042">
        <v>2025</v>
      </c>
      <c r="P3042">
        <v>6.1210586798280389</v>
      </c>
      <c r="Q3042">
        <v>11.116831646955321</v>
      </c>
      <c r="R3042" t="s">
        <v>3065</v>
      </c>
      <c r="S3042">
        <v>33.036707980575443</v>
      </c>
      <c r="T3042">
        <v>107.47499999999999</v>
      </c>
      <c r="U3042" t="s">
        <v>3066</v>
      </c>
      <c r="V3042">
        <v>107.47499999999999</v>
      </c>
      <c r="W3042">
        <v>9</v>
      </c>
      <c r="X3042">
        <v>10</v>
      </c>
      <c r="Y3042">
        <v>10</v>
      </c>
      <c r="Z3042">
        <v>0.31944737730523498</v>
      </c>
      <c r="AA3042">
        <v>1</v>
      </c>
    </row>
    <row r="3043" spans="1:27" x14ac:dyDescent="0.25">
      <c r="A3043" t="s">
        <v>98</v>
      </c>
      <c r="B3043" t="s">
        <v>519</v>
      </c>
      <c r="C3043" t="s">
        <v>1367</v>
      </c>
      <c r="D3043" t="s">
        <v>101</v>
      </c>
      <c r="E3043" t="s">
        <v>3060</v>
      </c>
      <c r="F3043" t="s">
        <v>3080</v>
      </c>
      <c r="H3043" t="s">
        <v>125</v>
      </c>
      <c r="I3043">
        <v>2030</v>
      </c>
      <c r="J3043" t="s">
        <v>3098</v>
      </c>
      <c r="K3043" t="s">
        <v>127</v>
      </c>
      <c r="L3043" t="s">
        <v>3252</v>
      </c>
      <c r="M3043" t="s">
        <v>3265</v>
      </c>
      <c r="N3043">
        <v>1</v>
      </c>
      <c r="O3043">
        <v>2030</v>
      </c>
      <c r="P3043">
        <v>5.5459437707837651</v>
      </c>
      <c r="Q3043">
        <v>11.116831646955321</v>
      </c>
      <c r="R3043" t="s">
        <v>3065</v>
      </c>
      <c r="S3043">
        <v>29.932685572166729</v>
      </c>
      <c r="T3043">
        <v>119.575</v>
      </c>
      <c r="U3043" t="s">
        <v>3066</v>
      </c>
      <c r="V3043">
        <v>119.575</v>
      </c>
      <c r="W3043">
        <v>9</v>
      </c>
      <c r="X3043">
        <v>10</v>
      </c>
      <c r="Y3043">
        <v>10</v>
      </c>
      <c r="Z3043">
        <v>0.31944737730523498</v>
      </c>
      <c r="AA3043">
        <v>1</v>
      </c>
    </row>
    <row r="3044" spans="1:27" x14ac:dyDescent="0.25">
      <c r="A3044" t="s">
        <v>98</v>
      </c>
      <c r="B3044" t="s">
        <v>519</v>
      </c>
      <c r="C3044" t="s">
        <v>1367</v>
      </c>
      <c r="D3044" t="s">
        <v>101</v>
      </c>
      <c r="E3044" t="s">
        <v>3060</v>
      </c>
      <c r="F3044" t="s">
        <v>3080</v>
      </c>
      <c r="H3044" t="s">
        <v>125</v>
      </c>
      <c r="I3044">
        <v>2040</v>
      </c>
      <c r="J3044" t="s">
        <v>3100</v>
      </c>
      <c r="K3044" t="s">
        <v>127</v>
      </c>
      <c r="L3044" t="s">
        <v>3252</v>
      </c>
      <c r="M3044" t="s">
        <v>3266</v>
      </c>
      <c r="N3044">
        <v>1</v>
      </c>
      <c r="O3044">
        <v>2040</v>
      </c>
      <c r="P3044">
        <v>5.1760341813984789</v>
      </c>
      <c r="Q3044">
        <v>11.116831646955321</v>
      </c>
      <c r="R3044" t="s">
        <v>3065</v>
      </c>
      <c r="S3044">
        <v>27.936201675678479</v>
      </c>
      <c r="T3044">
        <v>144.42500000000001</v>
      </c>
      <c r="U3044" t="s">
        <v>3066</v>
      </c>
      <c r="V3044">
        <v>144.42500000000001</v>
      </c>
      <c r="W3044">
        <v>9</v>
      </c>
      <c r="X3044">
        <v>10</v>
      </c>
      <c r="Y3044">
        <v>10</v>
      </c>
      <c r="Z3044">
        <v>0.31944737730523498</v>
      </c>
      <c r="AA3044">
        <v>1</v>
      </c>
    </row>
    <row r="3045" spans="1:27" x14ac:dyDescent="0.25">
      <c r="A3045" t="s">
        <v>98</v>
      </c>
      <c r="B3045" t="s">
        <v>519</v>
      </c>
      <c r="C3045" t="s">
        <v>1367</v>
      </c>
      <c r="D3045" t="s">
        <v>101</v>
      </c>
      <c r="E3045" t="s">
        <v>3060</v>
      </c>
      <c r="F3045" t="s">
        <v>3102</v>
      </c>
      <c r="H3045" t="s">
        <v>125</v>
      </c>
      <c r="I3045">
        <v>2015</v>
      </c>
      <c r="J3045" t="s">
        <v>3103</v>
      </c>
      <c r="K3045" t="s">
        <v>127</v>
      </c>
      <c r="L3045" t="s">
        <v>3252</v>
      </c>
      <c r="M3045" t="s">
        <v>3267</v>
      </c>
      <c r="N3045">
        <v>1</v>
      </c>
      <c r="O3045">
        <v>2020</v>
      </c>
      <c r="P3045">
        <v>2.3976621560155711</v>
      </c>
      <c r="Q3045">
        <v>11.116831646955321</v>
      </c>
      <c r="R3045" t="s">
        <v>3065</v>
      </c>
      <c r="S3045">
        <v>12.94071313928143</v>
      </c>
      <c r="T3045">
        <v>12.7</v>
      </c>
      <c r="U3045" t="s">
        <v>3066</v>
      </c>
      <c r="V3045">
        <v>12.7</v>
      </c>
      <c r="W3045">
        <v>0</v>
      </c>
      <c r="X3045">
        <v>1</v>
      </c>
      <c r="Y3045">
        <v>1</v>
      </c>
      <c r="Z3045">
        <v>0.31944737730523498</v>
      </c>
      <c r="AA3045">
        <v>1</v>
      </c>
    </row>
    <row r="3046" spans="1:27" x14ac:dyDescent="0.25">
      <c r="A3046" t="s">
        <v>98</v>
      </c>
      <c r="B3046" t="s">
        <v>519</v>
      </c>
      <c r="C3046" t="s">
        <v>1367</v>
      </c>
      <c r="D3046" t="s">
        <v>101</v>
      </c>
      <c r="E3046" t="s">
        <v>3060</v>
      </c>
      <c r="F3046" t="s">
        <v>3102</v>
      </c>
      <c r="H3046" t="s">
        <v>125</v>
      </c>
      <c r="I3046">
        <v>2022</v>
      </c>
      <c r="J3046" t="s">
        <v>3105</v>
      </c>
      <c r="K3046" t="s">
        <v>127</v>
      </c>
      <c r="L3046" t="s">
        <v>3252</v>
      </c>
      <c r="M3046" t="s">
        <v>3268</v>
      </c>
      <c r="N3046">
        <v>1</v>
      </c>
      <c r="O3046">
        <v>2022</v>
      </c>
      <c r="P3046">
        <v>3.996103593359285</v>
      </c>
      <c r="Q3046">
        <v>11.116831646955321</v>
      </c>
      <c r="R3046" t="s">
        <v>3065</v>
      </c>
      <c r="S3046">
        <v>21.56785523213571</v>
      </c>
      <c r="T3046">
        <v>9.3000000000000007</v>
      </c>
      <c r="U3046" t="s">
        <v>3066</v>
      </c>
      <c r="V3046">
        <v>9.3000000000000007</v>
      </c>
      <c r="W3046">
        <v>0</v>
      </c>
      <c r="X3046">
        <v>1</v>
      </c>
      <c r="Y3046">
        <v>1</v>
      </c>
      <c r="Z3046">
        <v>0.31944737730523498</v>
      </c>
      <c r="AA3046">
        <v>1</v>
      </c>
    </row>
    <row r="3047" spans="1:27" x14ac:dyDescent="0.25">
      <c r="A3047" t="s">
        <v>98</v>
      </c>
      <c r="B3047" t="s">
        <v>519</v>
      </c>
      <c r="C3047" t="s">
        <v>1367</v>
      </c>
      <c r="D3047" t="s">
        <v>101</v>
      </c>
      <c r="E3047" t="s">
        <v>3060</v>
      </c>
      <c r="F3047" t="s">
        <v>3107</v>
      </c>
      <c r="H3047" t="s">
        <v>125</v>
      </c>
      <c r="I3047">
        <v>2015</v>
      </c>
      <c r="J3047" t="s">
        <v>3108</v>
      </c>
      <c r="K3047" t="s">
        <v>127</v>
      </c>
      <c r="L3047" t="s">
        <v>3252</v>
      </c>
      <c r="M3047" t="s">
        <v>3269</v>
      </c>
      <c r="N3047">
        <v>1</v>
      </c>
      <c r="O3047">
        <v>2020</v>
      </c>
      <c r="P3047">
        <v>1.188030798025733</v>
      </c>
      <c r="Q3047">
        <v>11.116831646955321</v>
      </c>
      <c r="R3047" t="s">
        <v>3065</v>
      </c>
      <c r="S3047">
        <v>6.4120650690133187</v>
      </c>
      <c r="T3047">
        <v>71.5</v>
      </c>
      <c r="U3047" t="s">
        <v>3066</v>
      </c>
      <c r="V3047">
        <v>71.5</v>
      </c>
      <c r="W3047">
        <v>5</v>
      </c>
      <c r="X3047">
        <v>6</v>
      </c>
      <c r="Y3047">
        <v>6</v>
      </c>
      <c r="Z3047">
        <v>0.31944737730523498</v>
      </c>
      <c r="AA3047">
        <v>1</v>
      </c>
    </row>
    <row r="3048" spans="1:27" x14ac:dyDescent="0.25">
      <c r="A3048" t="s">
        <v>98</v>
      </c>
      <c r="B3048" t="s">
        <v>519</v>
      </c>
      <c r="C3048" t="s">
        <v>1367</v>
      </c>
      <c r="D3048" t="s">
        <v>101</v>
      </c>
      <c r="E3048" t="s">
        <v>3060</v>
      </c>
      <c r="F3048" t="s">
        <v>3110</v>
      </c>
      <c r="H3048" t="s">
        <v>125</v>
      </c>
      <c r="I3048">
        <v>2015</v>
      </c>
      <c r="J3048" t="s">
        <v>3111</v>
      </c>
      <c r="K3048" t="s">
        <v>127</v>
      </c>
      <c r="L3048" t="s">
        <v>3252</v>
      </c>
      <c r="M3048" t="s">
        <v>3270</v>
      </c>
      <c r="N3048">
        <v>0</v>
      </c>
      <c r="O3048">
        <v>2020</v>
      </c>
      <c r="P3048">
        <v>7.0633831082620873</v>
      </c>
      <c r="Q3048">
        <v>11.116831646955321</v>
      </c>
      <c r="R3048" t="s">
        <v>3065</v>
      </c>
      <c r="S3048">
        <v>38.122641410315538</v>
      </c>
      <c r="T3048">
        <v>90</v>
      </c>
      <c r="U3048" t="s">
        <v>3066</v>
      </c>
      <c r="V3048">
        <v>90</v>
      </c>
      <c r="W3048">
        <v>7</v>
      </c>
      <c r="X3048">
        <v>8</v>
      </c>
      <c r="Y3048">
        <v>8</v>
      </c>
      <c r="Z3048">
        <v>0.31944737730523498</v>
      </c>
      <c r="AA3048">
        <v>1</v>
      </c>
    </row>
    <row r="3049" spans="1:27" x14ac:dyDescent="0.25">
      <c r="A3049" t="s">
        <v>98</v>
      </c>
      <c r="B3049" t="s">
        <v>519</v>
      </c>
      <c r="C3049" t="s">
        <v>1367</v>
      </c>
      <c r="D3049" t="s">
        <v>101</v>
      </c>
      <c r="E3049" t="s">
        <v>3060</v>
      </c>
      <c r="F3049" t="s">
        <v>3110</v>
      </c>
      <c r="H3049" t="s">
        <v>125</v>
      </c>
      <c r="I3049">
        <v>2020</v>
      </c>
      <c r="J3049" t="s">
        <v>3113</v>
      </c>
      <c r="K3049" t="s">
        <v>127</v>
      </c>
      <c r="L3049" t="s">
        <v>3252</v>
      </c>
      <c r="M3049" t="s">
        <v>3270</v>
      </c>
      <c r="N3049">
        <v>1</v>
      </c>
      <c r="O3049">
        <v>2020</v>
      </c>
      <c r="P3049">
        <v>4.449715352605474</v>
      </c>
      <c r="Q3049">
        <v>11.116831646955321</v>
      </c>
      <c r="R3049" t="s">
        <v>3065</v>
      </c>
      <c r="S3049">
        <v>24.016098258486249</v>
      </c>
      <c r="T3049">
        <v>89.2</v>
      </c>
      <c r="U3049" t="s">
        <v>3066</v>
      </c>
      <c r="V3049">
        <v>89.2</v>
      </c>
      <c r="W3049">
        <v>10</v>
      </c>
      <c r="X3049">
        <v>11</v>
      </c>
      <c r="Y3049">
        <v>11</v>
      </c>
      <c r="Z3049">
        <v>0.31944737730523498</v>
      </c>
      <c r="AA3049">
        <v>1</v>
      </c>
    </row>
    <row r="3050" spans="1:27" x14ac:dyDescent="0.25">
      <c r="A3050" t="s">
        <v>98</v>
      </c>
      <c r="B3050" t="s">
        <v>519</v>
      </c>
      <c r="C3050" t="s">
        <v>1367</v>
      </c>
      <c r="D3050" t="s">
        <v>101</v>
      </c>
      <c r="E3050" t="s">
        <v>3060</v>
      </c>
      <c r="F3050" t="s">
        <v>3110</v>
      </c>
      <c r="H3050" t="s">
        <v>125</v>
      </c>
      <c r="I3050">
        <v>2022</v>
      </c>
      <c r="J3050" t="s">
        <v>3114</v>
      </c>
      <c r="K3050" t="s">
        <v>127</v>
      </c>
      <c r="L3050" t="s">
        <v>3252</v>
      </c>
      <c r="M3050" t="s">
        <v>3271</v>
      </c>
      <c r="N3050">
        <v>1</v>
      </c>
      <c r="O3050">
        <v>2022</v>
      </c>
      <c r="P3050">
        <v>4.4065142326772646</v>
      </c>
      <c r="Q3050">
        <v>11.116831646955321</v>
      </c>
      <c r="R3050" t="s">
        <v>3065</v>
      </c>
      <c r="S3050">
        <v>23.782932255976672</v>
      </c>
      <c r="T3050">
        <v>89.2</v>
      </c>
      <c r="U3050" t="s">
        <v>3066</v>
      </c>
      <c r="V3050">
        <v>89.2</v>
      </c>
      <c r="W3050">
        <v>11</v>
      </c>
      <c r="X3050">
        <v>12</v>
      </c>
      <c r="Y3050">
        <v>12</v>
      </c>
      <c r="Z3050">
        <v>0.31944737730523498</v>
      </c>
      <c r="AA3050">
        <v>1</v>
      </c>
    </row>
    <row r="3051" spans="1:27" x14ac:dyDescent="0.25">
      <c r="A3051" t="s">
        <v>98</v>
      </c>
      <c r="B3051" t="s">
        <v>519</v>
      </c>
      <c r="C3051" t="s">
        <v>1367</v>
      </c>
      <c r="D3051" t="s">
        <v>101</v>
      </c>
      <c r="E3051" t="s">
        <v>3060</v>
      </c>
      <c r="F3051" t="s">
        <v>3110</v>
      </c>
      <c r="H3051" t="s">
        <v>125</v>
      </c>
      <c r="I3051">
        <v>2030</v>
      </c>
      <c r="J3051" t="s">
        <v>3116</v>
      </c>
      <c r="K3051" t="s">
        <v>127</v>
      </c>
      <c r="L3051" t="s">
        <v>3252</v>
      </c>
      <c r="M3051" t="s">
        <v>3272</v>
      </c>
      <c r="N3051">
        <v>1</v>
      </c>
      <c r="O3051">
        <v>2030</v>
      </c>
      <c r="P3051">
        <v>4.2337097529644314</v>
      </c>
      <c r="Q3051">
        <v>11.116831646955321</v>
      </c>
      <c r="R3051" t="s">
        <v>3065</v>
      </c>
      <c r="S3051">
        <v>22.85026824593837</v>
      </c>
      <c r="T3051">
        <v>89.2</v>
      </c>
      <c r="U3051" t="s">
        <v>3066</v>
      </c>
      <c r="V3051">
        <v>89.2</v>
      </c>
      <c r="W3051">
        <v>11</v>
      </c>
      <c r="X3051">
        <v>12</v>
      </c>
      <c r="Y3051">
        <v>12</v>
      </c>
      <c r="Z3051">
        <v>0.31944737730523498</v>
      </c>
      <c r="AA3051">
        <v>1</v>
      </c>
    </row>
    <row r="3052" spans="1:27" x14ac:dyDescent="0.25">
      <c r="A3052" t="s">
        <v>98</v>
      </c>
      <c r="B3052" t="s">
        <v>519</v>
      </c>
      <c r="C3052" t="s">
        <v>1367</v>
      </c>
      <c r="D3052" t="s">
        <v>101</v>
      </c>
      <c r="E3052" t="s">
        <v>3060</v>
      </c>
      <c r="F3052" t="s">
        <v>3110</v>
      </c>
      <c r="H3052" t="s">
        <v>125</v>
      </c>
      <c r="I3052">
        <v>2040</v>
      </c>
      <c r="J3052" t="s">
        <v>3118</v>
      </c>
      <c r="K3052" t="s">
        <v>127</v>
      </c>
      <c r="L3052" t="s">
        <v>3252</v>
      </c>
      <c r="M3052" t="s">
        <v>3273</v>
      </c>
      <c r="N3052">
        <v>1</v>
      </c>
      <c r="O3052">
        <v>2040</v>
      </c>
      <c r="P3052">
        <v>4.0285044333054412</v>
      </c>
      <c r="Q3052">
        <v>11.116831646955321</v>
      </c>
      <c r="R3052" t="s">
        <v>3065</v>
      </c>
      <c r="S3052">
        <v>21.742729734017889</v>
      </c>
      <c r="T3052">
        <v>89.2</v>
      </c>
      <c r="U3052" t="s">
        <v>3066</v>
      </c>
      <c r="V3052">
        <v>89.2</v>
      </c>
      <c r="W3052">
        <v>11</v>
      </c>
      <c r="X3052">
        <v>12</v>
      </c>
      <c r="Y3052">
        <v>12</v>
      </c>
      <c r="Z3052">
        <v>0.31944737730523498</v>
      </c>
      <c r="AA3052">
        <v>1</v>
      </c>
    </row>
    <row r="3053" spans="1:27" x14ac:dyDescent="0.25">
      <c r="A3053" t="s">
        <v>1706</v>
      </c>
      <c r="M3053" t="s">
        <v>1706</v>
      </c>
      <c r="N3053" t="s">
        <v>1706</v>
      </c>
    </row>
    <row r="3054" spans="1:27" x14ac:dyDescent="0.25">
      <c r="A3054" t="s">
        <v>98</v>
      </c>
      <c r="B3054" t="s">
        <v>99</v>
      </c>
      <c r="C3054" t="s">
        <v>100</v>
      </c>
      <c r="D3054" t="s">
        <v>1707</v>
      </c>
      <c r="E3054" t="s">
        <v>3060</v>
      </c>
      <c r="F3054" t="s">
        <v>3061</v>
      </c>
      <c r="H3054" t="s">
        <v>125</v>
      </c>
      <c r="I3054">
        <v>2015</v>
      </c>
      <c r="J3054" t="s">
        <v>3062</v>
      </c>
      <c r="K3054" t="s">
        <v>127</v>
      </c>
      <c r="L3054" t="s">
        <v>3274</v>
      </c>
      <c r="M3054" t="s">
        <v>3275</v>
      </c>
      <c r="N3054">
        <v>0</v>
      </c>
      <c r="O3054">
        <v>2020</v>
      </c>
      <c r="P3054">
        <v>4.9303278118067926</v>
      </c>
      <c r="Q3054">
        <v>2.699601334377332</v>
      </c>
      <c r="R3054" t="s">
        <v>3065</v>
      </c>
      <c r="S3054">
        <v>54.789510017900277</v>
      </c>
      <c r="T3054">
        <v>15.7</v>
      </c>
      <c r="U3054" t="s">
        <v>3066</v>
      </c>
      <c r="V3054">
        <v>15.7</v>
      </c>
      <c r="W3054">
        <v>0</v>
      </c>
      <c r="X3054">
        <v>1</v>
      </c>
      <c r="Y3054">
        <v>1</v>
      </c>
      <c r="Z3054">
        <v>0.31570170998387043</v>
      </c>
      <c r="AA3054">
        <v>1</v>
      </c>
    </row>
    <row r="3055" spans="1:27" x14ac:dyDescent="0.25">
      <c r="A3055" t="s">
        <v>98</v>
      </c>
      <c r="B3055" t="s">
        <v>99</v>
      </c>
      <c r="C3055" t="s">
        <v>100</v>
      </c>
      <c r="D3055" t="s">
        <v>1707</v>
      </c>
      <c r="E3055" t="s">
        <v>3060</v>
      </c>
      <c r="F3055" t="s">
        <v>3061</v>
      </c>
      <c r="H3055" t="s">
        <v>125</v>
      </c>
      <c r="I3055">
        <v>2020</v>
      </c>
      <c r="J3055" t="s">
        <v>3067</v>
      </c>
      <c r="K3055" t="s">
        <v>127</v>
      </c>
      <c r="L3055" t="s">
        <v>3274</v>
      </c>
      <c r="M3055" t="s">
        <v>3275</v>
      </c>
      <c r="N3055">
        <v>1</v>
      </c>
      <c r="O3055">
        <v>2020</v>
      </c>
      <c r="P3055">
        <v>7.0363824083069577</v>
      </c>
      <c r="Q3055">
        <v>2.699601334377332</v>
      </c>
      <c r="R3055" t="s">
        <v>3065</v>
      </c>
      <c r="S3055">
        <v>78.193572347561968</v>
      </c>
      <c r="T3055">
        <v>15.7</v>
      </c>
      <c r="U3055" t="s">
        <v>3066</v>
      </c>
      <c r="V3055">
        <v>15.7</v>
      </c>
      <c r="W3055">
        <v>0</v>
      </c>
      <c r="X3055">
        <v>1</v>
      </c>
      <c r="Y3055">
        <v>1</v>
      </c>
      <c r="Z3055">
        <v>0.31570170998387043</v>
      </c>
      <c r="AA3055">
        <v>1</v>
      </c>
    </row>
    <row r="3056" spans="1:27" x14ac:dyDescent="0.25">
      <c r="A3056" t="s">
        <v>98</v>
      </c>
      <c r="B3056" t="s">
        <v>99</v>
      </c>
      <c r="C3056" t="s">
        <v>100</v>
      </c>
      <c r="D3056" t="s">
        <v>1707</v>
      </c>
      <c r="E3056" t="s">
        <v>3060</v>
      </c>
      <c r="F3056" t="s">
        <v>3061</v>
      </c>
      <c r="H3056" t="s">
        <v>125</v>
      </c>
      <c r="I3056">
        <v>2022</v>
      </c>
      <c r="J3056" t="s">
        <v>3068</v>
      </c>
      <c r="K3056" t="s">
        <v>127</v>
      </c>
      <c r="L3056" t="s">
        <v>3274</v>
      </c>
      <c r="M3056" t="s">
        <v>3276</v>
      </c>
      <c r="N3056">
        <v>1</v>
      </c>
      <c r="O3056">
        <v>2022</v>
      </c>
      <c r="P3056">
        <v>7.8788042469070234</v>
      </c>
      <c r="Q3056">
        <v>2.699601334377332</v>
      </c>
      <c r="R3056" t="s">
        <v>3065</v>
      </c>
      <c r="S3056">
        <v>87.555197279426636</v>
      </c>
      <c r="T3056">
        <v>15.7</v>
      </c>
      <c r="U3056" t="s">
        <v>3066</v>
      </c>
      <c r="V3056">
        <v>15.7</v>
      </c>
      <c r="W3056">
        <v>0</v>
      </c>
      <c r="X3056">
        <v>1</v>
      </c>
      <c r="Y3056">
        <v>1</v>
      </c>
      <c r="Z3056">
        <v>0.31570170998387043</v>
      </c>
      <c r="AA3056">
        <v>1</v>
      </c>
    </row>
    <row r="3057" spans="1:27" x14ac:dyDescent="0.25">
      <c r="A3057" t="s">
        <v>98</v>
      </c>
      <c r="B3057" t="s">
        <v>99</v>
      </c>
      <c r="C3057" t="s">
        <v>100</v>
      </c>
      <c r="D3057" t="s">
        <v>1707</v>
      </c>
      <c r="E3057" t="s">
        <v>3060</v>
      </c>
      <c r="F3057" t="s">
        <v>3070</v>
      </c>
      <c r="H3057" t="s">
        <v>125</v>
      </c>
      <c r="I3057">
        <v>2015</v>
      </c>
      <c r="J3057" t="s">
        <v>3071</v>
      </c>
      <c r="K3057" t="s">
        <v>127</v>
      </c>
      <c r="L3057" t="s">
        <v>3274</v>
      </c>
      <c r="M3057" t="s">
        <v>3277</v>
      </c>
      <c r="N3057">
        <v>0</v>
      </c>
      <c r="O3057">
        <v>2020</v>
      </c>
      <c r="P3057">
        <v>4.7269225388114773</v>
      </c>
      <c r="Q3057">
        <v>2.699601334377332</v>
      </c>
      <c r="R3057" t="s">
        <v>3065</v>
      </c>
      <c r="S3057">
        <v>52.529117673240627</v>
      </c>
      <c r="T3057">
        <v>59.066666666666663</v>
      </c>
      <c r="U3057" t="s">
        <v>3066</v>
      </c>
      <c r="V3057">
        <v>59.066666666666663</v>
      </c>
      <c r="W3057">
        <v>3</v>
      </c>
      <c r="X3057">
        <v>4</v>
      </c>
      <c r="Y3057">
        <v>4</v>
      </c>
      <c r="Z3057">
        <v>0.31570170998387043</v>
      </c>
      <c r="AA3057">
        <v>1</v>
      </c>
    </row>
    <row r="3058" spans="1:27" x14ac:dyDescent="0.25">
      <c r="A3058" t="s">
        <v>98</v>
      </c>
      <c r="B3058" t="s">
        <v>99</v>
      </c>
      <c r="C3058" t="s">
        <v>100</v>
      </c>
      <c r="D3058" t="s">
        <v>1707</v>
      </c>
      <c r="E3058" t="s">
        <v>3060</v>
      </c>
      <c r="F3058" t="s">
        <v>3070</v>
      </c>
      <c r="H3058" t="s">
        <v>125</v>
      </c>
      <c r="I3058">
        <v>2020</v>
      </c>
      <c r="J3058" t="s">
        <v>3073</v>
      </c>
      <c r="K3058" t="s">
        <v>127</v>
      </c>
      <c r="L3058" t="s">
        <v>3274</v>
      </c>
      <c r="M3058" t="s">
        <v>3277</v>
      </c>
      <c r="N3058">
        <v>1</v>
      </c>
      <c r="O3058">
        <v>2020</v>
      </c>
      <c r="P3058">
        <v>6.2353616429714247</v>
      </c>
      <c r="Q3058">
        <v>2.699601334377332</v>
      </c>
      <c r="R3058" t="s">
        <v>3065</v>
      </c>
      <c r="S3058">
        <v>69.292027273459865</v>
      </c>
      <c r="T3058">
        <v>59.933333333333337</v>
      </c>
      <c r="U3058" t="s">
        <v>3066</v>
      </c>
      <c r="V3058">
        <v>59.933333333333337</v>
      </c>
      <c r="W3058">
        <v>3</v>
      </c>
      <c r="X3058">
        <v>4</v>
      </c>
      <c r="Y3058">
        <v>4</v>
      </c>
      <c r="Z3058">
        <v>0.31570170998387043</v>
      </c>
      <c r="AA3058">
        <v>1</v>
      </c>
    </row>
    <row r="3059" spans="1:27" x14ac:dyDescent="0.25">
      <c r="A3059" t="s">
        <v>98</v>
      </c>
      <c r="B3059" t="s">
        <v>99</v>
      </c>
      <c r="C3059" t="s">
        <v>100</v>
      </c>
      <c r="D3059" t="s">
        <v>1707</v>
      </c>
      <c r="E3059" t="s">
        <v>3060</v>
      </c>
      <c r="F3059" t="s">
        <v>3070</v>
      </c>
      <c r="H3059" t="s">
        <v>125</v>
      </c>
      <c r="I3059">
        <v>2022</v>
      </c>
      <c r="J3059" t="s">
        <v>3074</v>
      </c>
      <c r="K3059" t="s">
        <v>127</v>
      </c>
      <c r="L3059" t="s">
        <v>3274</v>
      </c>
      <c r="M3059" t="s">
        <v>3278</v>
      </c>
      <c r="N3059">
        <v>1</v>
      </c>
      <c r="O3059">
        <v>2022</v>
      </c>
      <c r="P3059">
        <v>5.7403488104607021</v>
      </c>
      <c r="Q3059">
        <v>2.699601334377332</v>
      </c>
      <c r="R3059" t="s">
        <v>3065</v>
      </c>
      <c r="S3059">
        <v>63.791072452385542</v>
      </c>
      <c r="T3059">
        <v>65.8</v>
      </c>
      <c r="U3059" t="s">
        <v>3066</v>
      </c>
      <c r="V3059">
        <v>65.8</v>
      </c>
      <c r="W3059">
        <v>3</v>
      </c>
      <c r="X3059">
        <v>4</v>
      </c>
      <c r="Y3059">
        <v>4</v>
      </c>
      <c r="Z3059">
        <v>0.31570170998387043</v>
      </c>
      <c r="AA3059">
        <v>1</v>
      </c>
    </row>
    <row r="3060" spans="1:27" x14ac:dyDescent="0.25">
      <c r="A3060" t="s">
        <v>98</v>
      </c>
      <c r="B3060" t="s">
        <v>99</v>
      </c>
      <c r="C3060" t="s">
        <v>100</v>
      </c>
      <c r="D3060" t="s">
        <v>1707</v>
      </c>
      <c r="E3060" t="s">
        <v>3060</v>
      </c>
      <c r="F3060" t="s">
        <v>3070</v>
      </c>
      <c r="H3060" t="s">
        <v>125</v>
      </c>
      <c r="I3060">
        <v>2030</v>
      </c>
      <c r="J3060" t="s">
        <v>3076</v>
      </c>
      <c r="K3060" t="s">
        <v>127</v>
      </c>
      <c r="L3060" t="s">
        <v>3274</v>
      </c>
      <c r="M3060" t="s">
        <v>3279</v>
      </c>
      <c r="N3060">
        <v>1</v>
      </c>
      <c r="O3060">
        <v>2030</v>
      </c>
      <c r="P3060">
        <v>5.513542930837608</v>
      </c>
      <c r="Q3060">
        <v>2.699601334377332</v>
      </c>
      <c r="R3060" t="s">
        <v>3065</v>
      </c>
      <c r="S3060">
        <v>61.270634970729667</v>
      </c>
      <c r="T3060">
        <v>68.5</v>
      </c>
      <c r="U3060" t="s">
        <v>3066</v>
      </c>
      <c r="V3060">
        <v>68.5</v>
      </c>
      <c r="W3060">
        <v>3</v>
      </c>
      <c r="X3060">
        <v>4</v>
      </c>
      <c r="Y3060">
        <v>4</v>
      </c>
      <c r="Z3060">
        <v>0.31570170998387043</v>
      </c>
      <c r="AA3060">
        <v>1</v>
      </c>
    </row>
    <row r="3061" spans="1:27" x14ac:dyDescent="0.25">
      <c r="A3061" t="s">
        <v>98</v>
      </c>
      <c r="B3061" t="s">
        <v>99</v>
      </c>
      <c r="C3061" t="s">
        <v>100</v>
      </c>
      <c r="D3061" t="s">
        <v>1707</v>
      </c>
      <c r="E3061" t="s">
        <v>3060</v>
      </c>
      <c r="F3061" t="s">
        <v>3070</v>
      </c>
      <c r="H3061" t="s">
        <v>125</v>
      </c>
      <c r="I3061">
        <v>2040</v>
      </c>
      <c r="J3061" t="s">
        <v>3078</v>
      </c>
      <c r="K3061" t="s">
        <v>127</v>
      </c>
      <c r="L3061" t="s">
        <v>3274</v>
      </c>
      <c r="M3061" t="s">
        <v>3280</v>
      </c>
      <c r="N3061">
        <v>1</v>
      </c>
      <c r="O3061">
        <v>2040</v>
      </c>
      <c r="P3061">
        <v>5.2435359312863046</v>
      </c>
      <c r="Q3061">
        <v>2.699601334377332</v>
      </c>
      <c r="R3061" t="s">
        <v>3065</v>
      </c>
      <c r="S3061">
        <v>58.270114159234588</v>
      </c>
      <c r="T3061">
        <v>72</v>
      </c>
      <c r="U3061" t="s">
        <v>3066</v>
      </c>
      <c r="V3061">
        <v>72</v>
      </c>
      <c r="W3061">
        <v>3</v>
      </c>
      <c r="X3061">
        <v>4</v>
      </c>
      <c r="Y3061">
        <v>4</v>
      </c>
      <c r="Z3061">
        <v>0.31570170998387043</v>
      </c>
      <c r="AA3061">
        <v>1</v>
      </c>
    </row>
    <row r="3062" spans="1:27" x14ac:dyDescent="0.25">
      <c r="A3062" t="s">
        <v>98</v>
      </c>
      <c r="B3062" t="s">
        <v>99</v>
      </c>
      <c r="C3062" t="s">
        <v>100</v>
      </c>
      <c r="D3062" t="s">
        <v>1707</v>
      </c>
      <c r="E3062" t="s">
        <v>3060</v>
      </c>
      <c r="F3062" t="s">
        <v>3080</v>
      </c>
      <c r="H3062" t="s">
        <v>125</v>
      </c>
      <c r="I3062">
        <v>2015</v>
      </c>
      <c r="J3062" t="s">
        <v>3081</v>
      </c>
      <c r="K3062" t="s">
        <v>127</v>
      </c>
      <c r="L3062" t="s">
        <v>3274</v>
      </c>
      <c r="M3062" t="s">
        <v>3281</v>
      </c>
      <c r="N3062">
        <v>0</v>
      </c>
      <c r="O3062">
        <v>2020</v>
      </c>
      <c r="P3062">
        <v>21.61676038407732</v>
      </c>
      <c r="Q3062">
        <v>2.699601334377332</v>
      </c>
      <c r="R3062" t="s">
        <v>3065</v>
      </c>
      <c r="S3062">
        <v>240.22169616829669</v>
      </c>
      <c r="T3062">
        <v>79.849999999999994</v>
      </c>
      <c r="U3062" t="s">
        <v>3066</v>
      </c>
      <c r="V3062">
        <v>79.849999999999994</v>
      </c>
      <c r="W3062">
        <v>11</v>
      </c>
      <c r="X3062">
        <v>12</v>
      </c>
      <c r="Y3062">
        <v>12</v>
      </c>
      <c r="Z3062">
        <v>0.31570170998387043</v>
      </c>
      <c r="AA3062">
        <v>1</v>
      </c>
    </row>
    <row r="3063" spans="1:27" x14ac:dyDescent="0.25">
      <c r="A3063" t="s">
        <v>98</v>
      </c>
      <c r="B3063" t="s">
        <v>99</v>
      </c>
      <c r="C3063" t="s">
        <v>100</v>
      </c>
      <c r="D3063" t="s">
        <v>1707</v>
      </c>
      <c r="E3063" t="s">
        <v>3060</v>
      </c>
      <c r="F3063" t="s">
        <v>3080</v>
      </c>
      <c r="H3063" t="s">
        <v>125</v>
      </c>
      <c r="I3063">
        <v>2016</v>
      </c>
      <c r="J3063" t="s">
        <v>3083</v>
      </c>
      <c r="K3063" t="s">
        <v>127</v>
      </c>
      <c r="L3063" t="s">
        <v>3274</v>
      </c>
      <c r="M3063" t="s">
        <v>3281</v>
      </c>
      <c r="N3063">
        <v>0</v>
      </c>
      <c r="O3063">
        <v>2020</v>
      </c>
      <c r="P3063">
        <v>21.128047714889458</v>
      </c>
      <c r="Q3063">
        <v>2.699601334377332</v>
      </c>
      <c r="R3063" t="s">
        <v>3065</v>
      </c>
      <c r="S3063">
        <v>234.79075349949051</v>
      </c>
      <c r="T3063">
        <v>83.025000000000006</v>
      </c>
      <c r="U3063" t="s">
        <v>3066</v>
      </c>
      <c r="V3063">
        <v>83.025000000000006</v>
      </c>
      <c r="W3063">
        <v>11</v>
      </c>
      <c r="X3063">
        <v>12</v>
      </c>
      <c r="Y3063">
        <v>12</v>
      </c>
      <c r="Z3063">
        <v>0.31570170998387043</v>
      </c>
      <c r="AA3063">
        <v>1</v>
      </c>
    </row>
    <row r="3064" spans="1:27" x14ac:dyDescent="0.25">
      <c r="A3064" t="s">
        <v>98</v>
      </c>
      <c r="B3064" t="s">
        <v>99</v>
      </c>
      <c r="C3064" t="s">
        <v>100</v>
      </c>
      <c r="D3064" t="s">
        <v>1707</v>
      </c>
      <c r="E3064" t="s">
        <v>3060</v>
      </c>
      <c r="F3064" t="s">
        <v>3080</v>
      </c>
      <c r="H3064" t="s">
        <v>125</v>
      </c>
      <c r="I3064">
        <v>2017</v>
      </c>
      <c r="J3064" t="s">
        <v>3084</v>
      </c>
      <c r="K3064" t="s">
        <v>127</v>
      </c>
      <c r="L3064" t="s">
        <v>3274</v>
      </c>
      <c r="M3064" t="s">
        <v>3281</v>
      </c>
      <c r="N3064">
        <v>0</v>
      </c>
      <c r="O3064">
        <v>2020</v>
      </c>
      <c r="P3064">
        <v>17.431651891032121</v>
      </c>
      <c r="Q3064">
        <v>2.699601334377332</v>
      </c>
      <c r="R3064" t="s">
        <v>3065</v>
      </c>
      <c r="S3064">
        <v>193.71362359012281</v>
      </c>
      <c r="T3064">
        <v>86.2</v>
      </c>
      <c r="U3064" t="s">
        <v>3066</v>
      </c>
      <c r="V3064">
        <v>86.2</v>
      </c>
      <c r="W3064">
        <v>11</v>
      </c>
      <c r="X3064">
        <v>12</v>
      </c>
      <c r="Y3064">
        <v>12</v>
      </c>
      <c r="Z3064">
        <v>0.31570170998387043</v>
      </c>
      <c r="AA3064">
        <v>1</v>
      </c>
    </row>
    <row r="3065" spans="1:27" x14ac:dyDescent="0.25">
      <c r="A3065" t="s">
        <v>98</v>
      </c>
      <c r="B3065" t="s">
        <v>99</v>
      </c>
      <c r="C3065" t="s">
        <v>100</v>
      </c>
      <c r="D3065" t="s">
        <v>1707</v>
      </c>
      <c r="E3065" t="s">
        <v>3060</v>
      </c>
      <c r="F3065" t="s">
        <v>3080</v>
      </c>
      <c r="H3065" t="s">
        <v>125</v>
      </c>
      <c r="I3065">
        <v>2018</v>
      </c>
      <c r="J3065" t="s">
        <v>3085</v>
      </c>
      <c r="K3065" t="s">
        <v>127</v>
      </c>
      <c r="L3065" t="s">
        <v>3274</v>
      </c>
      <c r="M3065" t="s">
        <v>3281</v>
      </c>
      <c r="N3065">
        <v>0</v>
      </c>
      <c r="O3065">
        <v>2020</v>
      </c>
      <c r="P3065">
        <v>15.33639757451401</v>
      </c>
      <c r="Q3065">
        <v>2.699601334377332</v>
      </c>
      <c r="R3065" t="s">
        <v>3065</v>
      </c>
      <c r="S3065">
        <v>170.4295820929209</v>
      </c>
      <c r="T3065">
        <v>89.35</v>
      </c>
      <c r="U3065" t="s">
        <v>3066</v>
      </c>
      <c r="V3065">
        <v>89.35</v>
      </c>
      <c r="W3065">
        <v>10</v>
      </c>
      <c r="X3065">
        <v>11</v>
      </c>
      <c r="Y3065">
        <v>11</v>
      </c>
      <c r="Z3065">
        <v>0.31570170998387043</v>
      </c>
      <c r="AA3065">
        <v>1</v>
      </c>
    </row>
    <row r="3066" spans="1:27" x14ac:dyDescent="0.25">
      <c r="A3066" t="s">
        <v>98</v>
      </c>
      <c r="B3066" t="s">
        <v>99</v>
      </c>
      <c r="C3066" t="s">
        <v>100</v>
      </c>
      <c r="D3066" t="s">
        <v>1707</v>
      </c>
      <c r="E3066" t="s">
        <v>3060</v>
      </c>
      <c r="F3066" t="s">
        <v>3080</v>
      </c>
      <c r="H3066" t="s">
        <v>125</v>
      </c>
      <c r="I3066">
        <v>2019</v>
      </c>
      <c r="J3066" t="s">
        <v>3086</v>
      </c>
      <c r="K3066" t="s">
        <v>127</v>
      </c>
      <c r="L3066" t="s">
        <v>3274</v>
      </c>
      <c r="M3066" t="s">
        <v>3281</v>
      </c>
      <c r="N3066">
        <v>0</v>
      </c>
      <c r="O3066">
        <v>2020</v>
      </c>
      <c r="P3066">
        <v>13.24384332799141</v>
      </c>
      <c r="Q3066">
        <v>2.699601334377332</v>
      </c>
      <c r="R3066" t="s">
        <v>3065</v>
      </c>
      <c r="S3066">
        <v>147.17554580383401</v>
      </c>
      <c r="T3066">
        <v>92.55</v>
      </c>
      <c r="U3066" t="s">
        <v>3066</v>
      </c>
      <c r="V3066">
        <v>92.55</v>
      </c>
      <c r="W3066">
        <v>10</v>
      </c>
      <c r="X3066">
        <v>11</v>
      </c>
      <c r="Y3066">
        <v>11</v>
      </c>
      <c r="Z3066">
        <v>0.31570170998387043</v>
      </c>
      <c r="AA3066">
        <v>1</v>
      </c>
    </row>
    <row r="3067" spans="1:27" x14ac:dyDescent="0.25">
      <c r="A3067" t="s">
        <v>98</v>
      </c>
      <c r="B3067" t="s">
        <v>99</v>
      </c>
      <c r="C3067" t="s">
        <v>100</v>
      </c>
      <c r="D3067" t="s">
        <v>1707</v>
      </c>
      <c r="E3067" t="s">
        <v>3060</v>
      </c>
      <c r="F3067" t="s">
        <v>3080</v>
      </c>
      <c r="H3067" t="s">
        <v>125</v>
      </c>
      <c r="I3067">
        <v>2020</v>
      </c>
      <c r="J3067" t="s">
        <v>3087</v>
      </c>
      <c r="K3067" t="s">
        <v>127</v>
      </c>
      <c r="L3067" t="s">
        <v>3274</v>
      </c>
      <c r="M3067" t="s">
        <v>3281</v>
      </c>
      <c r="N3067">
        <v>1</v>
      </c>
      <c r="O3067">
        <v>2020</v>
      </c>
      <c r="P3067">
        <v>11.1485890114733</v>
      </c>
      <c r="Q3067">
        <v>2.699601334377332</v>
      </c>
      <c r="R3067" t="s">
        <v>3065</v>
      </c>
      <c r="S3067">
        <v>123.8915043066322</v>
      </c>
      <c r="T3067">
        <v>95.699999999999989</v>
      </c>
      <c r="U3067" t="s">
        <v>3066</v>
      </c>
      <c r="V3067">
        <v>95.699999999999989</v>
      </c>
      <c r="W3067">
        <v>10</v>
      </c>
      <c r="X3067">
        <v>11</v>
      </c>
      <c r="Y3067">
        <v>11</v>
      </c>
      <c r="Z3067">
        <v>0.31570170998387043</v>
      </c>
      <c r="AA3067">
        <v>1</v>
      </c>
    </row>
    <row r="3068" spans="1:27" x14ac:dyDescent="0.25">
      <c r="A3068" t="s">
        <v>98</v>
      </c>
      <c r="B3068" t="s">
        <v>99</v>
      </c>
      <c r="C3068" t="s">
        <v>100</v>
      </c>
      <c r="D3068" t="s">
        <v>1707</v>
      </c>
      <c r="E3068" t="s">
        <v>3060</v>
      </c>
      <c r="F3068" t="s">
        <v>3080</v>
      </c>
      <c r="H3068" t="s">
        <v>125</v>
      </c>
      <c r="I3068">
        <v>2021</v>
      </c>
      <c r="J3068" t="s">
        <v>3088</v>
      </c>
      <c r="K3068" t="s">
        <v>127</v>
      </c>
      <c r="L3068" t="s">
        <v>3274</v>
      </c>
      <c r="M3068" t="s">
        <v>3282</v>
      </c>
      <c r="N3068">
        <v>1</v>
      </c>
      <c r="O3068">
        <v>2021</v>
      </c>
      <c r="P3068">
        <v>8.8076283253635061</v>
      </c>
      <c r="Q3068">
        <v>2.699601334377332</v>
      </c>
      <c r="R3068" t="s">
        <v>3065</v>
      </c>
      <c r="S3068">
        <v>97.876988870969754</v>
      </c>
      <c r="T3068">
        <v>97.949999999999989</v>
      </c>
      <c r="U3068" t="s">
        <v>3066</v>
      </c>
      <c r="V3068">
        <v>97.949999999999989</v>
      </c>
      <c r="W3068">
        <v>9</v>
      </c>
      <c r="X3068">
        <v>10</v>
      </c>
      <c r="Y3068">
        <v>10</v>
      </c>
      <c r="Z3068">
        <v>0.31570170998387043</v>
      </c>
      <c r="AA3068">
        <v>1</v>
      </c>
    </row>
    <row r="3069" spans="1:27" x14ac:dyDescent="0.25">
      <c r="A3069" t="s">
        <v>98</v>
      </c>
      <c r="B3069" t="s">
        <v>99</v>
      </c>
      <c r="C3069" t="s">
        <v>100</v>
      </c>
      <c r="D3069" t="s">
        <v>1707</v>
      </c>
      <c r="E3069" t="s">
        <v>3060</v>
      </c>
      <c r="F3069" t="s">
        <v>3080</v>
      </c>
      <c r="H3069" t="s">
        <v>125</v>
      </c>
      <c r="I3069">
        <v>2022</v>
      </c>
      <c r="J3069" t="s">
        <v>3090</v>
      </c>
      <c r="K3069" t="s">
        <v>127</v>
      </c>
      <c r="L3069" t="s">
        <v>3274</v>
      </c>
      <c r="M3069" t="s">
        <v>3283</v>
      </c>
      <c r="N3069">
        <v>1</v>
      </c>
      <c r="O3069">
        <v>2022</v>
      </c>
      <c r="P3069">
        <v>6.4693677092492212</v>
      </c>
      <c r="Q3069">
        <v>2.699601334377332</v>
      </c>
      <c r="R3069" t="s">
        <v>3065</v>
      </c>
      <c r="S3069">
        <v>71.89247864342228</v>
      </c>
      <c r="T3069">
        <v>100.22499999999999</v>
      </c>
      <c r="U3069" t="s">
        <v>3066</v>
      </c>
      <c r="V3069">
        <v>100.22499999999999</v>
      </c>
      <c r="W3069">
        <v>9</v>
      </c>
      <c r="X3069">
        <v>10</v>
      </c>
      <c r="Y3069">
        <v>10</v>
      </c>
      <c r="Z3069">
        <v>0.31570170998387043</v>
      </c>
      <c r="AA3069">
        <v>1</v>
      </c>
    </row>
    <row r="3070" spans="1:27" x14ac:dyDescent="0.25">
      <c r="A3070" t="s">
        <v>98</v>
      </c>
      <c r="B3070" t="s">
        <v>99</v>
      </c>
      <c r="C3070" t="s">
        <v>100</v>
      </c>
      <c r="D3070" t="s">
        <v>1707</v>
      </c>
      <c r="E3070" t="s">
        <v>3060</v>
      </c>
      <c r="F3070" t="s">
        <v>3080</v>
      </c>
      <c r="H3070" t="s">
        <v>125</v>
      </c>
      <c r="I3070">
        <v>2023</v>
      </c>
      <c r="J3070" t="s">
        <v>3092</v>
      </c>
      <c r="K3070" t="s">
        <v>127</v>
      </c>
      <c r="L3070" t="s">
        <v>3274</v>
      </c>
      <c r="M3070" t="s">
        <v>3284</v>
      </c>
      <c r="N3070">
        <v>1</v>
      </c>
      <c r="O3070">
        <v>2023</v>
      </c>
      <c r="P3070">
        <v>6.3505646294466462</v>
      </c>
      <c r="Q3070">
        <v>2.699601334377332</v>
      </c>
      <c r="R3070" t="s">
        <v>3065</v>
      </c>
      <c r="S3070">
        <v>70.572249486364427</v>
      </c>
      <c r="T3070">
        <v>102.65</v>
      </c>
      <c r="U3070" t="s">
        <v>3066</v>
      </c>
      <c r="V3070">
        <v>102.65</v>
      </c>
      <c r="W3070">
        <v>9</v>
      </c>
      <c r="X3070">
        <v>10</v>
      </c>
      <c r="Y3070">
        <v>10</v>
      </c>
      <c r="Z3070">
        <v>0.31570170998387043</v>
      </c>
      <c r="AA3070">
        <v>1</v>
      </c>
    </row>
    <row r="3071" spans="1:27" x14ac:dyDescent="0.25">
      <c r="A3071" t="s">
        <v>98</v>
      </c>
      <c r="B3071" t="s">
        <v>99</v>
      </c>
      <c r="C3071" t="s">
        <v>100</v>
      </c>
      <c r="D3071" t="s">
        <v>1707</v>
      </c>
      <c r="E3071" t="s">
        <v>3060</v>
      </c>
      <c r="F3071" t="s">
        <v>3080</v>
      </c>
      <c r="H3071" t="s">
        <v>125</v>
      </c>
      <c r="I3071">
        <v>2024</v>
      </c>
      <c r="J3071" t="s">
        <v>3094</v>
      </c>
      <c r="K3071" t="s">
        <v>127</v>
      </c>
      <c r="L3071" t="s">
        <v>3274</v>
      </c>
      <c r="M3071" t="s">
        <v>3285</v>
      </c>
      <c r="N3071">
        <v>1</v>
      </c>
      <c r="O3071">
        <v>2024</v>
      </c>
      <c r="P3071">
        <v>6.2857629495543348</v>
      </c>
      <c r="Q3071">
        <v>2.699601334377332</v>
      </c>
      <c r="R3071" t="s">
        <v>3065</v>
      </c>
      <c r="S3071">
        <v>69.852124491605622</v>
      </c>
      <c r="T3071">
        <v>105.05</v>
      </c>
      <c r="U3071" t="s">
        <v>3066</v>
      </c>
      <c r="V3071">
        <v>105.05</v>
      </c>
      <c r="W3071">
        <v>9</v>
      </c>
      <c r="X3071">
        <v>10</v>
      </c>
      <c r="Y3071">
        <v>10</v>
      </c>
      <c r="Z3071">
        <v>0.31570170998387043</v>
      </c>
      <c r="AA3071">
        <v>1</v>
      </c>
    </row>
    <row r="3072" spans="1:27" x14ac:dyDescent="0.25">
      <c r="A3072" t="s">
        <v>98</v>
      </c>
      <c r="B3072" t="s">
        <v>99</v>
      </c>
      <c r="C3072" t="s">
        <v>100</v>
      </c>
      <c r="D3072" t="s">
        <v>1707</v>
      </c>
      <c r="E3072" t="s">
        <v>3060</v>
      </c>
      <c r="F3072" t="s">
        <v>3080</v>
      </c>
      <c r="H3072" t="s">
        <v>125</v>
      </c>
      <c r="I3072">
        <v>2025</v>
      </c>
      <c r="J3072" t="s">
        <v>3096</v>
      </c>
      <c r="K3072" t="s">
        <v>127</v>
      </c>
      <c r="L3072" t="s">
        <v>3274</v>
      </c>
      <c r="M3072" t="s">
        <v>3286</v>
      </c>
      <c r="N3072">
        <v>1</v>
      </c>
      <c r="O3072">
        <v>2025</v>
      </c>
      <c r="P3072">
        <v>6.1210586798280389</v>
      </c>
      <c r="Q3072">
        <v>2.699601334377332</v>
      </c>
      <c r="R3072" t="s">
        <v>3065</v>
      </c>
      <c r="S3072">
        <v>68.021806796593609</v>
      </c>
      <c r="T3072">
        <v>107.47499999999999</v>
      </c>
      <c r="U3072" t="s">
        <v>3066</v>
      </c>
      <c r="V3072">
        <v>107.47499999999999</v>
      </c>
      <c r="W3072">
        <v>9</v>
      </c>
      <c r="X3072">
        <v>10</v>
      </c>
      <c r="Y3072">
        <v>10</v>
      </c>
      <c r="Z3072">
        <v>0.31570170998387043</v>
      </c>
      <c r="AA3072">
        <v>1</v>
      </c>
    </row>
    <row r="3073" spans="1:27" x14ac:dyDescent="0.25">
      <c r="A3073" t="s">
        <v>98</v>
      </c>
      <c r="B3073" t="s">
        <v>99</v>
      </c>
      <c r="C3073" t="s">
        <v>100</v>
      </c>
      <c r="D3073" t="s">
        <v>1707</v>
      </c>
      <c r="E3073" t="s">
        <v>3060</v>
      </c>
      <c r="F3073" t="s">
        <v>3080</v>
      </c>
      <c r="H3073" t="s">
        <v>125</v>
      </c>
      <c r="I3073">
        <v>2030</v>
      </c>
      <c r="J3073" t="s">
        <v>3098</v>
      </c>
      <c r="K3073" t="s">
        <v>127</v>
      </c>
      <c r="L3073" t="s">
        <v>3274</v>
      </c>
      <c r="M3073" t="s">
        <v>3287</v>
      </c>
      <c r="N3073">
        <v>1</v>
      </c>
      <c r="O3073">
        <v>2030</v>
      </c>
      <c r="P3073">
        <v>5.5459437707837651</v>
      </c>
      <c r="Q3073">
        <v>2.699601334377332</v>
      </c>
      <c r="R3073" t="s">
        <v>3065</v>
      </c>
      <c r="S3073">
        <v>61.630697468109091</v>
      </c>
      <c r="T3073">
        <v>119.575</v>
      </c>
      <c r="U3073" t="s">
        <v>3066</v>
      </c>
      <c r="V3073">
        <v>119.575</v>
      </c>
      <c r="W3073">
        <v>9</v>
      </c>
      <c r="X3073">
        <v>10</v>
      </c>
      <c r="Y3073">
        <v>10</v>
      </c>
      <c r="Z3073">
        <v>0.31570170998387043</v>
      </c>
      <c r="AA3073">
        <v>1</v>
      </c>
    </row>
    <row r="3074" spans="1:27" x14ac:dyDescent="0.25">
      <c r="A3074" t="s">
        <v>98</v>
      </c>
      <c r="B3074" t="s">
        <v>99</v>
      </c>
      <c r="C3074" t="s">
        <v>100</v>
      </c>
      <c r="D3074" t="s">
        <v>1707</v>
      </c>
      <c r="E3074" t="s">
        <v>3060</v>
      </c>
      <c r="F3074" t="s">
        <v>3080</v>
      </c>
      <c r="H3074" t="s">
        <v>125</v>
      </c>
      <c r="I3074">
        <v>2040</v>
      </c>
      <c r="J3074" t="s">
        <v>3100</v>
      </c>
      <c r="K3074" t="s">
        <v>127</v>
      </c>
      <c r="L3074" t="s">
        <v>3274</v>
      </c>
      <c r="M3074" t="s">
        <v>3288</v>
      </c>
      <c r="N3074">
        <v>1</v>
      </c>
      <c r="O3074">
        <v>2040</v>
      </c>
      <c r="P3074">
        <v>5.1760341813984789</v>
      </c>
      <c r="Q3074">
        <v>2.699601334377332</v>
      </c>
      <c r="R3074" t="s">
        <v>3065</v>
      </c>
      <c r="S3074">
        <v>57.519983956360811</v>
      </c>
      <c r="T3074">
        <v>144.42500000000001</v>
      </c>
      <c r="U3074" t="s">
        <v>3066</v>
      </c>
      <c r="V3074">
        <v>144.42500000000001</v>
      </c>
      <c r="W3074">
        <v>9</v>
      </c>
      <c r="X3074">
        <v>10</v>
      </c>
      <c r="Y3074">
        <v>10</v>
      </c>
      <c r="Z3074">
        <v>0.31570170998387043</v>
      </c>
      <c r="AA3074">
        <v>1</v>
      </c>
    </row>
    <row r="3075" spans="1:27" x14ac:dyDescent="0.25">
      <c r="A3075" t="s">
        <v>98</v>
      </c>
      <c r="B3075" t="s">
        <v>99</v>
      </c>
      <c r="C3075" t="s">
        <v>100</v>
      </c>
      <c r="D3075" t="s">
        <v>1707</v>
      </c>
      <c r="E3075" t="s">
        <v>3060</v>
      </c>
      <c r="F3075" t="s">
        <v>3102</v>
      </c>
      <c r="H3075" t="s">
        <v>125</v>
      </c>
      <c r="I3075">
        <v>2015</v>
      </c>
      <c r="J3075" t="s">
        <v>3103</v>
      </c>
      <c r="K3075" t="s">
        <v>127</v>
      </c>
      <c r="L3075" t="s">
        <v>3274</v>
      </c>
      <c r="M3075" t="s">
        <v>3289</v>
      </c>
      <c r="N3075">
        <v>1</v>
      </c>
      <c r="O3075">
        <v>2020</v>
      </c>
      <c r="P3075">
        <v>2.3976621560155711</v>
      </c>
      <c r="Q3075">
        <v>2.699601334377332</v>
      </c>
      <c r="R3075" t="s">
        <v>3065</v>
      </c>
      <c r="S3075">
        <v>26.644624806076369</v>
      </c>
      <c r="T3075">
        <v>12.7</v>
      </c>
      <c r="U3075" t="s">
        <v>3066</v>
      </c>
      <c r="V3075">
        <v>12.7</v>
      </c>
      <c r="W3075">
        <v>0</v>
      </c>
      <c r="X3075">
        <v>1</v>
      </c>
      <c r="Y3075">
        <v>1</v>
      </c>
      <c r="Z3075">
        <v>0.31570170998387043</v>
      </c>
      <c r="AA3075">
        <v>1</v>
      </c>
    </row>
    <row r="3076" spans="1:27" x14ac:dyDescent="0.25">
      <c r="A3076" t="s">
        <v>98</v>
      </c>
      <c r="B3076" t="s">
        <v>99</v>
      </c>
      <c r="C3076" t="s">
        <v>100</v>
      </c>
      <c r="D3076" t="s">
        <v>1707</v>
      </c>
      <c r="E3076" t="s">
        <v>3060</v>
      </c>
      <c r="F3076" t="s">
        <v>3102</v>
      </c>
      <c r="H3076" t="s">
        <v>125</v>
      </c>
      <c r="I3076">
        <v>2022</v>
      </c>
      <c r="J3076" t="s">
        <v>3105</v>
      </c>
      <c r="K3076" t="s">
        <v>127</v>
      </c>
      <c r="L3076" t="s">
        <v>3274</v>
      </c>
      <c r="M3076" t="s">
        <v>3290</v>
      </c>
      <c r="N3076">
        <v>1</v>
      </c>
      <c r="O3076">
        <v>2022</v>
      </c>
      <c r="P3076">
        <v>3.996103593359285</v>
      </c>
      <c r="Q3076">
        <v>2.699601334377332</v>
      </c>
      <c r="R3076" t="s">
        <v>3065</v>
      </c>
      <c r="S3076">
        <v>44.407708010127287</v>
      </c>
      <c r="T3076">
        <v>9.3000000000000007</v>
      </c>
      <c r="U3076" t="s">
        <v>3066</v>
      </c>
      <c r="V3076">
        <v>9.3000000000000007</v>
      </c>
      <c r="W3076">
        <v>0</v>
      </c>
      <c r="X3076">
        <v>1</v>
      </c>
      <c r="Y3076">
        <v>1</v>
      </c>
      <c r="Z3076">
        <v>0.31570170998387043</v>
      </c>
      <c r="AA3076">
        <v>1</v>
      </c>
    </row>
    <row r="3077" spans="1:27" x14ac:dyDescent="0.25">
      <c r="A3077" t="s">
        <v>98</v>
      </c>
      <c r="B3077" t="s">
        <v>99</v>
      </c>
      <c r="C3077" t="s">
        <v>100</v>
      </c>
      <c r="D3077" t="s">
        <v>1707</v>
      </c>
      <c r="E3077" t="s">
        <v>3060</v>
      </c>
      <c r="F3077" t="s">
        <v>3107</v>
      </c>
      <c r="H3077" t="s">
        <v>125</v>
      </c>
      <c r="I3077">
        <v>2015</v>
      </c>
      <c r="J3077" t="s">
        <v>3108</v>
      </c>
      <c r="K3077" t="s">
        <v>127</v>
      </c>
      <c r="L3077" t="s">
        <v>3274</v>
      </c>
      <c r="M3077" t="s">
        <v>3291</v>
      </c>
      <c r="N3077">
        <v>1</v>
      </c>
      <c r="O3077">
        <v>2020</v>
      </c>
      <c r="P3077">
        <v>1.188030798025733</v>
      </c>
      <c r="Q3077">
        <v>2.699601334377332</v>
      </c>
      <c r="R3077" t="s">
        <v>3065</v>
      </c>
      <c r="S3077">
        <v>13.20229157057838</v>
      </c>
      <c r="T3077">
        <v>71.5</v>
      </c>
      <c r="U3077" t="s">
        <v>3066</v>
      </c>
      <c r="V3077">
        <v>71.5</v>
      </c>
      <c r="W3077">
        <v>5</v>
      </c>
      <c r="X3077">
        <v>6</v>
      </c>
      <c r="Y3077">
        <v>6</v>
      </c>
      <c r="Z3077">
        <v>0.31570170998387043</v>
      </c>
      <c r="AA3077">
        <v>1</v>
      </c>
    </row>
    <row r="3078" spans="1:27" x14ac:dyDescent="0.25">
      <c r="A3078" t="s">
        <v>98</v>
      </c>
      <c r="B3078" t="s">
        <v>99</v>
      </c>
      <c r="C3078" t="s">
        <v>100</v>
      </c>
      <c r="D3078" t="s">
        <v>1707</v>
      </c>
      <c r="E3078" t="s">
        <v>3060</v>
      </c>
      <c r="F3078" t="s">
        <v>3110</v>
      </c>
      <c r="H3078" t="s">
        <v>125</v>
      </c>
      <c r="I3078">
        <v>2015</v>
      </c>
      <c r="J3078" t="s">
        <v>3111</v>
      </c>
      <c r="K3078" t="s">
        <v>127</v>
      </c>
      <c r="L3078" t="s">
        <v>3274</v>
      </c>
      <c r="M3078" t="s">
        <v>3292</v>
      </c>
      <c r="N3078">
        <v>0</v>
      </c>
      <c r="O3078">
        <v>2020</v>
      </c>
      <c r="P3078">
        <v>7.0633831082620873</v>
      </c>
      <c r="Q3078">
        <v>2.699601334377332</v>
      </c>
      <c r="R3078" t="s">
        <v>3065</v>
      </c>
      <c r="S3078">
        <v>78.49362442871147</v>
      </c>
      <c r="T3078">
        <v>90</v>
      </c>
      <c r="U3078" t="s">
        <v>3066</v>
      </c>
      <c r="V3078">
        <v>90</v>
      </c>
      <c r="W3078">
        <v>7</v>
      </c>
      <c r="X3078">
        <v>8</v>
      </c>
      <c r="Y3078">
        <v>8</v>
      </c>
      <c r="Z3078">
        <v>0.31570170998387043</v>
      </c>
      <c r="AA3078">
        <v>1</v>
      </c>
    </row>
    <row r="3079" spans="1:27" x14ac:dyDescent="0.25">
      <c r="A3079" t="s">
        <v>98</v>
      </c>
      <c r="B3079" t="s">
        <v>99</v>
      </c>
      <c r="C3079" t="s">
        <v>100</v>
      </c>
      <c r="D3079" t="s">
        <v>1707</v>
      </c>
      <c r="E3079" t="s">
        <v>3060</v>
      </c>
      <c r="F3079" t="s">
        <v>3110</v>
      </c>
      <c r="H3079" t="s">
        <v>125</v>
      </c>
      <c r="I3079">
        <v>2020</v>
      </c>
      <c r="J3079" t="s">
        <v>3113</v>
      </c>
      <c r="K3079" t="s">
        <v>127</v>
      </c>
      <c r="L3079" t="s">
        <v>3274</v>
      </c>
      <c r="M3079" t="s">
        <v>3292</v>
      </c>
      <c r="N3079">
        <v>1</v>
      </c>
      <c r="O3079">
        <v>2020</v>
      </c>
      <c r="P3079">
        <v>4.449715352605474</v>
      </c>
      <c r="Q3079">
        <v>2.699601334377332</v>
      </c>
      <c r="R3079" t="s">
        <v>3065</v>
      </c>
      <c r="S3079">
        <v>49.448582973439017</v>
      </c>
      <c r="T3079">
        <v>89.2</v>
      </c>
      <c r="U3079" t="s">
        <v>3066</v>
      </c>
      <c r="V3079">
        <v>89.2</v>
      </c>
      <c r="W3079">
        <v>11</v>
      </c>
      <c r="X3079">
        <v>12</v>
      </c>
      <c r="Y3079">
        <v>12</v>
      </c>
      <c r="Z3079">
        <v>0.31570170998387043</v>
      </c>
      <c r="AA3079">
        <v>1</v>
      </c>
    </row>
    <row r="3080" spans="1:27" x14ac:dyDescent="0.25">
      <c r="A3080" t="s">
        <v>98</v>
      </c>
      <c r="B3080" t="s">
        <v>99</v>
      </c>
      <c r="C3080" t="s">
        <v>100</v>
      </c>
      <c r="D3080" t="s">
        <v>1707</v>
      </c>
      <c r="E3080" t="s">
        <v>3060</v>
      </c>
      <c r="F3080" t="s">
        <v>3110</v>
      </c>
      <c r="H3080" t="s">
        <v>125</v>
      </c>
      <c r="I3080">
        <v>2022</v>
      </c>
      <c r="J3080" t="s">
        <v>3114</v>
      </c>
      <c r="K3080" t="s">
        <v>127</v>
      </c>
      <c r="L3080" t="s">
        <v>3274</v>
      </c>
      <c r="M3080" t="s">
        <v>3293</v>
      </c>
      <c r="N3080">
        <v>1</v>
      </c>
      <c r="O3080">
        <v>2022</v>
      </c>
      <c r="P3080">
        <v>4.4065142326772646</v>
      </c>
      <c r="Q3080">
        <v>2.699601334377332</v>
      </c>
      <c r="R3080" t="s">
        <v>3065</v>
      </c>
      <c r="S3080">
        <v>48.968499643599813</v>
      </c>
      <c r="T3080">
        <v>89.2</v>
      </c>
      <c r="U3080" t="s">
        <v>3066</v>
      </c>
      <c r="V3080">
        <v>89.2</v>
      </c>
      <c r="W3080">
        <v>11</v>
      </c>
      <c r="X3080">
        <v>12</v>
      </c>
      <c r="Y3080">
        <v>12</v>
      </c>
      <c r="Z3080">
        <v>0.31570170998387043</v>
      </c>
      <c r="AA3080">
        <v>1</v>
      </c>
    </row>
    <row r="3081" spans="1:27" x14ac:dyDescent="0.25">
      <c r="A3081" t="s">
        <v>98</v>
      </c>
      <c r="B3081" t="s">
        <v>99</v>
      </c>
      <c r="C3081" t="s">
        <v>100</v>
      </c>
      <c r="D3081" t="s">
        <v>1707</v>
      </c>
      <c r="E3081" t="s">
        <v>3060</v>
      </c>
      <c r="F3081" t="s">
        <v>3110</v>
      </c>
      <c r="H3081" t="s">
        <v>125</v>
      </c>
      <c r="I3081">
        <v>2030</v>
      </c>
      <c r="J3081" t="s">
        <v>3116</v>
      </c>
      <c r="K3081" t="s">
        <v>127</v>
      </c>
      <c r="L3081" t="s">
        <v>3274</v>
      </c>
      <c r="M3081" t="s">
        <v>3294</v>
      </c>
      <c r="N3081">
        <v>1</v>
      </c>
      <c r="O3081">
        <v>2030</v>
      </c>
      <c r="P3081">
        <v>4.2337097529644314</v>
      </c>
      <c r="Q3081">
        <v>2.699601334377332</v>
      </c>
      <c r="R3081" t="s">
        <v>3065</v>
      </c>
      <c r="S3081">
        <v>47.048166324242963</v>
      </c>
      <c r="T3081">
        <v>89.2</v>
      </c>
      <c r="U3081" t="s">
        <v>3066</v>
      </c>
      <c r="V3081">
        <v>89.2</v>
      </c>
      <c r="W3081">
        <v>11</v>
      </c>
      <c r="X3081">
        <v>12</v>
      </c>
      <c r="Y3081">
        <v>12</v>
      </c>
      <c r="Z3081">
        <v>0.31570170998387043</v>
      </c>
      <c r="AA3081">
        <v>1</v>
      </c>
    </row>
    <row r="3082" spans="1:27" x14ac:dyDescent="0.25">
      <c r="A3082" t="s">
        <v>98</v>
      </c>
      <c r="B3082" t="s">
        <v>99</v>
      </c>
      <c r="C3082" t="s">
        <v>100</v>
      </c>
      <c r="D3082" t="s">
        <v>1707</v>
      </c>
      <c r="E3082" t="s">
        <v>3060</v>
      </c>
      <c r="F3082" t="s">
        <v>3110</v>
      </c>
      <c r="H3082" t="s">
        <v>125</v>
      </c>
      <c r="I3082">
        <v>2040</v>
      </c>
      <c r="J3082" t="s">
        <v>3118</v>
      </c>
      <c r="K3082" t="s">
        <v>127</v>
      </c>
      <c r="L3082" t="s">
        <v>3274</v>
      </c>
      <c r="M3082" t="s">
        <v>3295</v>
      </c>
      <c r="N3082">
        <v>1</v>
      </c>
      <c r="O3082">
        <v>2040</v>
      </c>
      <c r="P3082">
        <v>4.0285044333054412</v>
      </c>
      <c r="Q3082">
        <v>2.699601334377332</v>
      </c>
      <c r="R3082" t="s">
        <v>3065</v>
      </c>
      <c r="S3082">
        <v>44.76777050750669</v>
      </c>
      <c r="T3082">
        <v>89.2</v>
      </c>
      <c r="U3082" t="s">
        <v>3066</v>
      </c>
      <c r="V3082">
        <v>89.2</v>
      </c>
      <c r="W3082">
        <v>11</v>
      </c>
      <c r="X3082">
        <v>12</v>
      </c>
      <c r="Y3082">
        <v>12</v>
      </c>
      <c r="Z3082">
        <v>0.31570170998387043</v>
      </c>
      <c r="AA3082">
        <v>1</v>
      </c>
    </row>
    <row r="3083" spans="1:27" x14ac:dyDescent="0.25">
      <c r="A3083" t="s">
        <v>98</v>
      </c>
      <c r="B3083" t="s">
        <v>519</v>
      </c>
      <c r="C3083" t="s">
        <v>100</v>
      </c>
      <c r="D3083" t="s">
        <v>1707</v>
      </c>
      <c r="E3083" t="s">
        <v>3060</v>
      </c>
      <c r="F3083" t="s">
        <v>3061</v>
      </c>
      <c r="H3083" t="s">
        <v>125</v>
      </c>
      <c r="I3083">
        <v>2015</v>
      </c>
      <c r="J3083" t="s">
        <v>3062</v>
      </c>
      <c r="K3083" t="s">
        <v>127</v>
      </c>
      <c r="L3083" t="s">
        <v>3296</v>
      </c>
      <c r="M3083" t="s">
        <v>3297</v>
      </c>
      <c r="N3083">
        <v>0</v>
      </c>
      <c r="O3083">
        <v>2020</v>
      </c>
      <c r="P3083">
        <v>4.9303278118067926</v>
      </c>
      <c r="Q3083">
        <v>6.8817612450097929</v>
      </c>
      <c r="R3083" t="s">
        <v>3065</v>
      </c>
      <c r="S3083">
        <v>42.98604066261624</v>
      </c>
      <c r="T3083">
        <v>15.7</v>
      </c>
      <c r="U3083" t="s">
        <v>3066</v>
      </c>
      <c r="V3083">
        <v>15.7</v>
      </c>
      <c r="W3083">
        <v>0</v>
      </c>
      <c r="X3083">
        <v>1</v>
      </c>
      <c r="Y3083">
        <v>1</v>
      </c>
      <c r="Z3083">
        <v>0.3147059442655511</v>
      </c>
      <c r="AA3083">
        <v>1</v>
      </c>
    </row>
    <row r="3084" spans="1:27" x14ac:dyDescent="0.25">
      <c r="A3084" t="s">
        <v>98</v>
      </c>
      <c r="B3084" t="s">
        <v>519</v>
      </c>
      <c r="C3084" t="s">
        <v>100</v>
      </c>
      <c r="D3084" t="s">
        <v>1707</v>
      </c>
      <c r="E3084" t="s">
        <v>3060</v>
      </c>
      <c r="F3084" t="s">
        <v>3061</v>
      </c>
      <c r="H3084" t="s">
        <v>125</v>
      </c>
      <c r="I3084">
        <v>2020</v>
      </c>
      <c r="J3084" t="s">
        <v>3067</v>
      </c>
      <c r="K3084" t="s">
        <v>127</v>
      </c>
      <c r="L3084" t="s">
        <v>3296</v>
      </c>
      <c r="M3084" t="s">
        <v>3297</v>
      </c>
      <c r="N3084">
        <v>1</v>
      </c>
      <c r="O3084">
        <v>2020</v>
      </c>
      <c r="P3084">
        <v>7.0363824083069577</v>
      </c>
      <c r="Q3084">
        <v>6.8817612450097929</v>
      </c>
      <c r="R3084" t="s">
        <v>3065</v>
      </c>
      <c r="S3084">
        <v>61.348095272058018</v>
      </c>
      <c r="T3084">
        <v>15.7</v>
      </c>
      <c r="U3084" t="s">
        <v>3066</v>
      </c>
      <c r="V3084">
        <v>15.7</v>
      </c>
      <c r="W3084">
        <v>0</v>
      </c>
      <c r="X3084">
        <v>1</v>
      </c>
      <c r="Y3084">
        <v>1</v>
      </c>
      <c r="Z3084">
        <v>0.3147059442655511</v>
      </c>
      <c r="AA3084">
        <v>1</v>
      </c>
    </row>
    <row r="3085" spans="1:27" x14ac:dyDescent="0.25">
      <c r="A3085" t="s">
        <v>98</v>
      </c>
      <c r="B3085" t="s">
        <v>519</v>
      </c>
      <c r="C3085" t="s">
        <v>100</v>
      </c>
      <c r="D3085" t="s">
        <v>1707</v>
      </c>
      <c r="E3085" t="s">
        <v>3060</v>
      </c>
      <c r="F3085" t="s">
        <v>3061</v>
      </c>
      <c r="H3085" t="s">
        <v>125</v>
      </c>
      <c r="I3085">
        <v>2022</v>
      </c>
      <c r="J3085" t="s">
        <v>3068</v>
      </c>
      <c r="K3085" t="s">
        <v>127</v>
      </c>
      <c r="L3085" t="s">
        <v>3296</v>
      </c>
      <c r="M3085" t="s">
        <v>3298</v>
      </c>
      <c r="N3085">
        <v>1</v>
      </c>
      <c r="O3085">
        <v>2022</v>
      </c>
      <c r="P3085">
        <v>7.8788042469070234</v>
      </c>
      <c r="Q3085">
        <v>6.8817612450097929</v>
      </c>
      <c r="R3085" t="s">
        <v>3065</v>
      </c>
      <c r="S3085">
        <v>68.692917115834732</v>
      </c>
      <c r="T3085">
        <v>15.7</v>
      </c>
      <c r="U3085" t="s">
        <v>3066</v>
      </c>
      <c r="V3085">
        <v>15.7</v>
      </c>
      <c r="W3085">
        <v>0</v>
      </c>
      <c r="X3085">
        <v>1</v>
      </c>
      <c r="Y3085">
        <v>1</v>
      </c>
      <c r="Z3085">
        <v>0.3147059442655511</v>
      </c>
      <c r="AA3085">
        <v>1</v>
      </c>
    </row>
    <row r="3086" spans="1:27" x14ac:dyDescent="0.25">
      <c r="A3086" t="s">
        <v>98</v>
      </c>
      <c r="B3086" t="s">
        <v>519</v>
      </c>
      <c r="C3086" t="s">
        <v>100</v>
      </c>
      <c r="D3086" t="s">
        <v>1707</v>
      </c>
      <c r="E3086" t="s">
        <v>3060</v>
      </c>
      <c r="F3086" t="s">
        <v>3070</v>
      </c>
      <c r="H3086" t="s">
        <v>125</v>
      </c>
      <c r="I3086">
        <v>2015</v>
      </c>
      <c r="J3086" t="s">
        <v>3071</v>
      </c>
      <c r="K3086" t="s">
        <v>127</v>
      </c>
      <c r="L3086" t="s">
        <v>3296</v>
      </c>
      <c r="M3086" t="s">
        <v>3299</v>
      </c>
      <c r="N3086">
        <v>0</v>
      </c>
      <c r="O3086">
        <v>2020</v>
      </c>
      <c r="P3086">
        <v>4.7269225388114773</v>
      </c>
      <c r="Q3086">
        <v>6.8817612450097929</v>
      </c>
      <c r="R3086" t="s">
        <v>3065</v>
      </c>
      <c r="S3086">
        <v>41.212611456747076</v>
      </c>
      <c r="T3086">
        <v>59.066666666666663</v>
      </c>
      <c r="U3086" t="s">
        <v>3066</v>
      </c>
      <c r="V3086">
        <v>59.066666666666663</v>
      </c>
      <c r="W3086">
        <v>3</v>
      </c>
      <c r="X3086">
        <v>4</v>
      </c>
      <c r="Y3086">
        <v>4</v>
      </c>
      <c r="Z3086">
        <v>0.3147059442655511</v>
      </c>
      <c r="AA3086">
        <v>1</v>
      </c>
    </row>
    <row r="3087" spans="1:27" x14ac:dyDescent="0.25">
      <c r="A3087" t="s">
        <v>98</v>
      </c>
      <c r="B3087" t="s">
        <v>519</v>
      </c>
      <c r="C3087" t="s">
        <v>100</v>
      </c>
      <c r="D3087" t="s">
        <v>1707</v>
      </c>
      <c r="E3087" t="s">
        <v>3060</v>
      </c>
      <c r="F3087" t="s">
        <v>3070</v>
      </c>
      <c r="H3087" t="s">
        <v>125</v>
      </c>
      <c r="I3087">
        <v>2020</v>
      </c>
      <c r="J3087" t="s">
        <v>3073</v>
      </c>
      <c r="K3087" t="s">
        <v>127</v>
      </c>
      <c r="L3087" t="s">
        <v>3296</v>
      </c>
      <c r="M3087" t="s">
        <v>3299</v>
      </c>
      <c r="N3087">
        <v>1</v>
      </c>
      <c r="O3087">
        <v>2020</v>
      </c>
      <c r="P3087">
        <v>6.2353616429714247</v>
      </c>
      <c r="Q3087">
        <v>6.8817612450097929</v>
      </c>
      <c r="R3087" t="s">
        <v>3065</v>
      </c>
      <c r="S3087">
        <v>54.364236894962637</v>
      </c>
      <c r="T3087">
        <v>59.933333333333337</v>
      </c>
      <c r="U3087" t="s">
        <v>3066</v>
      </c>
      <c r="V3087">
        <v>59.933333333333337</v>
      </c>
      <c r="W3087">
        <v>3</v>
      </c>
      <c r="X3087">
        <v>4</v>
      </c>
      <c r="Y3087">
        <v>4</v>
      </c>
      <c r="Z3087">
        <v>0.3147059442655511</v>
      </c>
      <c r="AA3087">
        <v>1</v>
      </c>
    </row>
    <row r="3088" spans="1:27" x14ac:dyDescent="0.25">
      <c r="A3088" t="s">
        <v>98</v>
      </c>
      <c r="B3088" t="s">
        <v>519</v>
      </c>
      <c r="C3088" t="s">
        <v>100</v>
      </c>
      <c r="D3088" t="s">
        <v>1707</v>
      </c>
      <c r="E3088" t="s">
        <v>3060</v>
      </c>
      <c r="F3088" t="s">
        <v>3070</v>
      </c>
      <c r="H3088" t="s">
        <v>125</v>
      </c>
      <c r="I3088">
        <v>2022</v>
      </c>
      <c r="J3088" t="s">
        <v>3074</v>
      </c>
      <c r="K3088" t="s">
        <v>127</v>
      </c>
      <c r="L3088" t="s">
        <v>3296</v>
      </c>
      <c r="M3088" t="s">
        <v>3300</v>
      </c>
      <c r="N3088">
        <v>1</v>
      </c>
      <c r="O3088">
        <v>2022</v>
      </c>
      <c r="P3088">
        <v>5.7403488104607021</v>
      </c>
      <c r="Q3088">
        <v>6.8817612450097929</v>
      </c>
      <c r="R3088" t="s">
        <v>3065</v>
      </c>
      <c r="S3088">
        <v>50.048369358555391</v>
      </c>
      <c r="T3088">
        <v>65.8</v>
      </c>
      <c r="U3088" t="s">
        <v>3066</v>
      </c>
      <c r="V3088">
        <v>65.8</v>
      </c>
      <c r="W3088">
        <v>3</v>
      </c>
      <c r="X3088">
        <v>4</v>
      </c>
      <c r="Y3088">
        <v>4</v>
      </c>
      <c r="Z3088">
        <v>0.3147059442655511</v>
      </c>
      <c r="AA3088">
        <v>1</v>
      </c>
    </row>
    <row r="3089" spans="1:27" x14ac:dyDescent="0.25">
      <c r="A3089" t="s">
        <v>98</v>
      </c>
      <c r="B3089" t="s">
        <v>519</v>
      </c>
      <c r="C3089" t="s">
        <v>100</v>
      </c>
      <c r="D3089" t="s">
        <v>1707</v>
      </c>
      <c r="E3089" t="s">
        <v>3060</v>
      </c>
      <c r="F3089" t="s">
        <v>3070</v>
      </c>
      <c r="H3089" t="s">
        <v>125</v>
      </c>
      <c r="I3089">
        <v>2030</v>
      </c>
      <c r="J3089" t="s">
        <v>3076</v>
      </c>
      <c r="K3089" t="s">
        <v>127</v>
      </c>
      <c r="L3089" t="s">
        <v>3296</v>
      </c>
      <c r="M3089" t="s">
        <v>3301</v>
      </c>
      <c r="N3089">
        <v>1</v>
      </c>
      <c r="O3089">
        <v>2030</v>
      </c>
      <c r="P3089">
        <v>5.513542930837608</v>
      </c>
      <c r="Q3089">
        <v>6.8817612450097929</v>
      </c>
      <c r="R3089" t="s">
        <v>3065</v>
      </c>
      <c r="S3089">
        <v>48.070917323692427</v>
      </c>
      <c r="T3089">
        <v>68.5</v>
      </c>
      <c r="U3089" t="s">
        <v>3066</v>
      </c>
      <c r="V3089">
        <v>68.5</v>
      </c>
      <c r="W3089">
        <v>3</v>
      </c>
      <c r="X3089">
        <v>4</v>
      </c>
      <c r="Y3089">
        <v>4</v>
      </c>
      <c r="Z3089">
        <v>0.3147059442655511</v>
      </c>
      <c r="AA3089">
        <v>1</v>
      </c>
    </row>
    <row r="3090" spans="1:27" x14ac:dyDescent="0.25">
      <c r="A3090" t="s">
        <v>98</v>
      </c>
      <c r="B3090" t="s">
        <v>519</v>
      </c>
      <c r="C3090" t="s">
        <v>100</v>
      </c>
      <c r="D3090" t="s">
        <v>1707</v>
      </c>
      <c r="E3090" t="s">
        <v>3060</v>
      </c>
      <c r="F3090" t="s">
        <v>3070</v>
      </c>
      <c r="H3090" t="s">
        <v>125</v>
      </c>
      <c r="I3090">
        <v>2040</v>
      </c>
      <c r="J3090" t="s">
        <v>3078</v>
      </c>
      <c r="K3090" t="s">
        <v>127</v>
      </c>
      <c r="L3090" t="s">
        <v>3296</v>
      </c>
      <c r="M3090" t="s">
        <v>3302</v>
      </c>
      <c r="N3090">
        <v>1</v>
      </c>
      <c r="O3090">
        <v>2040</v>
      </c>
      <c r="P3090">
        <v>5.2435359312863046</v>
      </c>
      <c r="Q3090">
        <v>6.8817612450097929</v>
      </c>
      <c r="R3090" t="s">
        <v>3065</v>
      </c>
      <c r="S3090">
        <v>45.716807758379389</v>
      </c>
      <c r="T3090">
        <v>72</v>
      </c>
      <c r="U3090" t="s">
        <v>3066</v>
      </c>
      <c r="V3090">
        <v>72</v>
      </c>
      <c r="W3090">
        <v>3</v>
      </c>
      <c r="X3090">
        <v>4</v>
      </c>
      <c r="Y3090">
        <v>4</v>
      </c>
      <c r="Z3090">
        <v>0.3147059442655511</v>
      </c>
      <c r="AA3090">
        <v>1</v>
      </c>
    </row>
    <row r="3091" spans="1:27" x14ac:dyDescent="0.25">
      <c r="A3091" t="s">
        <v>98</v>
      </c>
      <c r="B3091" t="s">
        <v>519</v>
      </c>
      <c r="C3091" t="s">
        <v>100</v>
      </c>
      <c r="D3091" t="s">
        <v>1707</v>
      </c>
      <c r="E3091" t="s">
        <v>3060</v>
      </c>
      <c r="F3091" t="s">
        <v>3080</v>
      </c>
      <c r="H3091" t="s">
        <v>125</v>
      </c>
      <c r="I3091">
        <v>2015</v>
      </c>
      <c r="J3091" t="s">
        <v>3081</v>
      </c>
      <c r="K3091" t="s">
        <v>127</v>
      </c>
      <c r="L3091" t="s">
        <v>3296</v>
      </c>
      <c r="M3091" t="s">
        <v>3303</v>
      </c>
      <c r="N3091">
        <v>0</v>
      </c>
      <c r="O3091">
        <v>2020</v>
      </c>
      <c r="P3091">
        <v>21.61676038407732</v>
      </c>
      <c r="Q3091">
        <v>6.8817612450097929</v>
      </c>
      <c r="R3091" t="s">
        <v>3065</v>
      </c>
      <c r="S3091">
        <v>188.47001179896259</v>
      </c>
      <c r="T3091">
        <v>79.849999999999994</v>
      </c>
      <c r="U3091" t="s">
        <v>3066</v>
      </c>
      <c r="V3091">
        <v>79.849999999999994</v>
      </c>
      <c r="W3091">
        <v>11</v>
      </c>
      <c r="X3091">
        <v>12</v>
      </c>
      <c r="Y3091">
        <v>12</v>
      </c>
      <c r="Z3091">
        <v>0.3147059442655511</v>
      </c>
      <c r="AA3091">
        <v>1</v>
      </c>
    </row>
    <row r="3092" spans="1:27" x14ac:dyDescent="0.25">
      <c r="A3092" t="s">
        <v>98</v>
      </c>
      <c r="B3092" t="s">
        <v>519</v>
      </c>
      <c r="C3092" t="s">
        <v>100</v>
      </c>
      <c r="D3092" t="s">
        <v>1707</v>
      </c>
      <c r="E3092" t="s">
        <v>3060</v>
      </c>
      <c r="F3092" t="s">
        <v>3080</v>
      </c>
      <c r="H3092" t="s">
        <v>125</v>
      </c>
      <c r="I3092">
        <v>2016</v>
      </c>
      <c r="J3092" t="s">
        <v>3083</v>
      </c>
      <c r="K3092" t="s">
        <v>127</v>
      </c>
      <c r="L3092" t="s">
        <v>3296</v>
      </c>
      <c r="M3092" t="s">
        <v>3303</v>
      </c>
      <c r="N3092">
        <v>0</v>
      </c>
      <c r="O3092">
        <v>2020</v>
      </c>
      <c r="P3092">
        <v>21.128047714889458</v>
      </c>
      <c r="Q3092">
        <v>6.8817612450097929</v>
      </c>
      <c r="R3092" t="s">
        <v>3065</v>
      </c>
      <c r="S3092">
        <v>184.20907348574599</v>
      </c>
      <c r="T3092">
        <v>83.025000000000006</v>
      </c>
      <c r="U3092" t="s">
        <v>3066</v>
      </c>
      <c r="V3092">
        <v>83.025000000000006</v>
      </c>
      <c r="W3092">
        <v>11</v>
      </c>
      <c r="X3092">
        <v>12</v>
      </c>
      <c r="Y3092">
        <v>12</v>
      </c>
      <c r="Z3092">
        <v>0.3147059442655511</v>
      </c>
      <c r="AA3092">
        <v>1</v>
      </c>
    </row>
    <row r="3093" spans="1:27" x14ac:dyDescent="0.25">
      <c r="A3093" t="s">
        <v>98</v>
      </c>
      <c r="B3093" t="s">
        <v>519</v>
      </c>
      <c r="C3093" t="s">
        <v>100</v>
      </c>
      <c r="D3093" t="s">
        <v>1707</v>
      </c>
      <c r="E3093" t="s">
        <v>3060</v>
      </c>
      <c r="F3093" t="s">
        <v>3080</v>
      </c>
      <c r="H3093" t="s">
        <v>125</v>
      </c>
      <c r="I3093">
        <v>2017</v>
      </c>
      <c r="J3093" t="s">
        <v>3084</v>
      </c>
      <c r="K3093" t="s">
        <v>127</v>
      </c>
      <c r="L3093" t="s">
        <v>3296</v>
      </c>
      <c r="M3093" t="s">
        <v>3303</v>
      </c>
      <c r="N3093">
        <v>0</v>
      </c>
      <c r="O3093">
        <v>2020</v>
      </c>
      <c r="P3093">
        <v>17.431651891032121</v>
      </c>
      <c r="Q3093">
        <v>6.8817612450097929</v>
      </c>
      <c r="R3093" t="s">
        <v>3065</v>
      </c>
      <c r="S3093">
        <v>151.9813135366104</v>
      </c>
      <c r="T3093">
        <v>86.2</v>
      </c>
      <c r="U3093" t="s">
        <v>3066</v>
      </c>
      <c r="V3093">
        <v>86.2</v>
      </c>
      <c r="W3093">
        <v>11</v>
      </c>
      <c r="X3093">
        <v>12</v>
      </c>
      <c r="Y3093">
        <v>12</v>
      </c>
      <c r="Z3093">
        <v>0.3147059442655511</v>
      </c>
      <c r="AA3093">
        <v>1</v>
      </c>
    </row>
    <row r="3094" spans="1:27" x14ac:dyDescent="0.25">
      <c r="A3094" t="s">
        <v>98</v>
      </c>
      <c r="B3094" t="s">
        <v>519</v>
      </c>
      <c r="C3094" t="s">
        <v>100</v>
      </c>
      <c r="D3094" t="s">
        <v>1707</v>
      </c>
      <c r="E3094" t="s">
        <v>3060</v>
      </c>
      <c r="F3094" t="s">
        <v>3080</v>
      </c>
      <c r="H3094" t="s">
        <v>125</v>
      </c>
      <c r="I3094">
        <v>2018</v>
      </c>
      <c r="J3094" t="s">
        <v>3085</v>
      </c>
      <c r="K3094" t="s">
        <v>127</v>
      </c>
      <c r="L3094" t="s">
        <v>3296</v>
      </c>
      <c r="M3094" t="s">
        <v>3303</v>
      </c>
      <c r="N3094">
        <v>0</v>
      </c>
      <c r="O3094">
        <v>2020</v>
      </c>
      <c r="P3094">
        <v>15.33639757451401</v>
      </c>
      <c r="Q3094">
        <v>6.8817612450097929</v>
      </c>
      <c r="R3094" t="s">
        <v>3065</v>
      </c>
      <c r="S3094">
        <v>133.71342330978109</v>
      </c>
      <c r="T3094">
        <v>89.35</v>
      </c>
      <c r="U3094" t="s">
        <v>3066</v>
      </c>
      <c r="V3094">
        <v>89.35</v>
      </c>
      <c r="W3094">
        <v>11</v>
      </c>
      <c r="X3094">
        <v>12</v>
      </c>
      <c r="Y3094">
        <v>12</v>
      </c>
      <c r="Z3094">
        <v>0.3147059442655511</v>
      </c>
      <c r="AA3094">
        <v>1</v>
      </c>
    </row>
    <row r="3095" spans="1:27" x14ac:dyDescent="0.25">
      <c r="A3095" t="s">
        <v>98</v>
      </c>
      <c r="B3095" t="s">
        <v>519</v>
      </c>
      <c r="C3095" t="s">
        <v>100</v>
      </c>
      <c r="D3095" t="s">
        <v>1707</v>
      </c>
      <c r="E3095" t="s">
        <v>3060</v>
      </c>
      <c r="F3095" t="s">
        <v>3080</v>
      </c>
      <c r="H3095" t="s">
        <v>125</v>
      </c>
      <c r="I3095">
        <v>2019</v>
      </c>
      <c r="J3095" t="s">
        <v>3086</v>
      </c>
      <c r="K3095" t="s">
        <v>127</v>
      </c>
      <c r="L3095" t="s">
        <v>3296</v>
      </c>
      <c r="M3095" t="s">
        <v>3303</v>
      </c>
      <c r="N3095">
        <v>0</v>
      </c>
      <c r="O3095">
        <v>2020</v>
      </c>
      <c r="P3095">
        <v>13.24384332799141</v>
      </c>
      <c r="Q3095">
        <v>6.8817612450097929</v>
      </c>
      <c r="R3095" t="s">
        <v>3065</v>
      </c>
      <c r="S3095">
        <v>115.469074178605</v>
      </c>
      <c r="T3095">
        <v>92.55</v>
      </c>
      <c r="U3095" t="s">
        <v>3066</v>
      </c>
      <c r="V3095">
        <v>92.55</v>
      </c>
      <c r="W3095">
        <v>10</v>
      </c>
      <c r="X3095">
        <v>11</v>
      </c>
      <c r="Y3095">
        <v>11</v>
      </c>
      <c r="Z3095">
        <v>0.3147059442655511</v>
      </c>
      <c r="AA3095">
        <v>1</v>
      </c>
    </row>
    <row r="3096" spans="1:27" x14ac:dyDescent="0.25">
      <c r="A3096" t="s">
        <v>98</v>
      </c>
      <c r="B3096" t="s">
        <v>519</v>
      </c>
      <c r="C3096" t="s">
        <v>100</v>
      </c>
      <c r="D3096" t="s">
        <v>1707</v>
      </c>
      <c r="E3096" t="s">
        <v>3060</v>
      </c>
      <c r="F3096" t="s">
        <v>3080</v>
      </c>
      <c r="H3096" t="s">
        <v>125</v>
      </c>
      <c r="I3096">
        <v>2020</v>
      </c>
      <c r="J3096" t="s">
        <v>3087</v>
      </c>
      <c r="K3096" t="s">
        <v>127</v>
      </c>
      <c r="L3096" t="s">
        <v>3296</v>
      </c>
      <c r="M3096" t="s">
        <v>3303</v>
      </c>
      <c r="N3096">
        <v>1</v>
      </c>
      <c r="O3096">
        <v>2020</v>
      </c>
      <c r="P3096">
        <v>11.1485890114733</v>
      </c>
      <c r="Q3096">
        <v>6.8817612450097929</v>
      </c>
      <c r="R3096" t="s">
        <v>3065</v>
      </c>
      <c r="S3096">
        <v>97.201183951775761</v>
      </c>
      <c r="T3096">
        <v>95.699999999999989</v>
      </c>
      <c r="U3096" t="s">
        <v>3066</v>
      </c>
      <c r="V3096">
        <v>95.699999999999989</v>
      </c>
      <c r="W3096">
        <v>10</v>
      </c>
      <c r="X3096">
        <v>11</v>
      </c>
      <c r="Y3096">
        <v>11</v>
      </c>
      <c r="Z3096">
        <v>0.3147059442655511</v>
      </c>
      <c r="AA3096">
        <v>1</v>
      </c>
    </row>
    <row r="3097" spans="1:27" x14ac:dyDescent="0.25">
      <c r="A3097" t="s">
        <v>98</v>
      </c>
      <c r="B3097" t="s">
        <v>519</v>
      </c>
      <c r="C3097" t="s">
        <v>100</v>
      </c>
      <c r="D3097" t="s">
        <v>1707</v>
      </c>
      <c r="E3097" t="s">
        <v>3060</v>
      </c>
      <c r="F3097" t="s">
        <v>3080</v>
      </c>
      <c r="H3097" t="s">
        <v>125</v>
      </c>
      <c r="I3097">
        <v>2021</v>
      </c>
      <c r="J3097" t="s">
        <v>3088</v>
      </c>
      <c r="K3097" t="s">
        <v>127</v>
      </c>
      <c r="L3097" t="s">
        <v>3296</v>
      </c>
      <c r="M3097" t="s">
        <v>3304</v>
      </c>
      <c r="N3097">
        <v>1</v>
      </c>
      <c r="O3097">
        <v>2021</v>
      </c>
      <c r="P3097">
        <v>8.8076283253635061</v>
      </c>
      <c r="Q3097">
        <v>6.8817612450097929</v>
      </c>
      <c r="R3097" t="s">
        <v>3065</v>
      </c>
      <c r="S3097">
        <v>76.791054020511638</v>
      </c>
      <c r="T3097">
        <v>97.949999999999989</v>
      </c>
      <c r="U3097" t="s">
        <v>3066</v>
      </c>
      <c r="V3097">
        <v>97.949999999999989</v>
      </c>
      <c r="W3097">
        <v>10</v>
      </c>
      <c r="X3097">
        <v>11</v>
      </c>
      <c r="Y3097">
        <v>11</v>
      </c>
      <c r="Z3097">
        <v>0.3147059442655511</v>
      </c>
      <c r="AA3097">
        <v>1</v>
      </c>
    </row>
    <row r="3098" spans="1:27" x14ac:dyDescent="0.25">
      <c r="A3098" t="s">
        <v>98</v>
      </c>
      <c r="B3098" t="s">
        <v>519</v>
      </c>
      <c r="C3098" t="s">
        <v>100</v>
      </c>
      <c r="D3098" t="s">
        <v>1707</v>
      </c>
      <c r="E3098" t="s">
        <v>3060</v>
      </c>
      <c r="F3098" t="s">
        <v>3080</v>
      </c>
      <c r="H3098" t="s">
        <v>125</v>
      </c>
      <c r="I3098">
        <v>2022</v>
      </c>
      <c r="J3098" t="s">
        <v>3090</v>
      </c>
      <c r="K3098" t="s">
        <v>127</v>
      </c>
      <c r="L3098" t="s">
        <v>3296</v>
      </c>
      <c r="M3098" t="s">
        <v>3305</v>
      </c>
      <c r="N3098">
        <v>1</v>
      </c>
      <c r="O3098">
        <v>2022</v>
      </c>
      <c r="P3098">
        <v>6.4693677092492212</v>
      </c>
      <c r="Q3098">
        <v>6.8817612450097929</v>
      </c>
      <c r="R3098" t="s">
        <v>3065</v>
      </c>
      <c r="S3098">
        <v>56.40446518490063</v>
      </c>
      <c r="T3098">
        <v>100.22499999999999</v>
      </c>
      <c r="U3098" t="s">
        <v>3066</v>
      </c>
      <c r="V3098">
        <v>100.22499999999999</v>
      </c>
      <c r="W3098">
        <v>9</v>
      </c>
      <c r="X3098">
        <v>10</v>
      </c>
      <c r="Y3098">
        <v>10</v>
      </c>
      <c r="Z3098">
        <v>0.3147059442655511</v>
      </c>
      <c r="AA3098">
        <v>1</v>
      </c>
    </row>
    <row r="3099" spans="1:27" x14ac:dyDescent="0.25">
      <c r="A3099" t="s">
        <v>98</v>
      </c>
      <c r="B3099" t="s">
        <v>519</v>
      </c>
      <c r="C3099" t="s">
        <v>100</v>
      </c>
      <c r="D3099" t="s">
        <v>1707</v>
      </c>
      <c r="E3099" t="s">
        <v>3060</v>
      </c>
      <c r="F3099" t="s">
        <v>3080</v>
      </c>
      <c r="H3099" t="s">
        <v>125</v>
      </c>
      <c r="I3099">
        <v>2023</v>
      </c>
      <c r="J3099" t="s">
        <v>3092</v>
      </c>
      <c r="K3099" t="s">
        <v>127</v>
      </c>
      <c r="L3099" t="s">
        <v>3296</v>
      </c>
      <c r="M3099" t="s">
        <v>3306</v>
      </c>
      <c r="N3099">
        <v>1</v>
      </c>
      <c r="O3099">
        <v>2023</v>
      </c>
      <c r="P3099">
        <v>6.3505646294466462</v>
      </c>
      <c r="Q3099">
        <v>6.8817612450097929</v>
      </c>
      <c r="R3099" t="s">
        <v>3065</v>
      </c>
      <c r="S3099">
        <v>55.368656976162868</v>
      </c>
      <c r="T3099">
        <v>102.65</v>
      </c>
      <c r="U3099" t="s">
        <v>3066</v>
      </c>
      <c r="V3099">
        <v>102.65</v>
      </c>
      <c r="W3099">
        <v>9</v>
      </c>
      <c r="X3099">
        <v>10</v>
      </c>
      <c r="Y3099">
        <v>10</v>
      </c>
      <c r="Z3099">
        <v>0.3147059442655511</v>
      </c>
      <c r="AA3099">
        <v>1</v>
      </c>
    </row>
    <row r="3100" spans="1:27" x14ac:dyDescent="0.25">
      <c r="A3100" t="s">
        <v>98</v>
      </c>
      <c r="B3100" t="s">
        <v>519</v>
      </c>
      <c r="C3100" t="s">
        <v>100</v>
      </c>
      <c r="D3100" t="s">
        <v>1707</v>
      </c>
      <c r="E3100" t="s">
        <v>3060</v>
      </c>
      <c r="F3100" t="s">
        <v>3080</v>
      </c>
      <c r="H3100" t="s">
        <v>125</v>
      </c>
      <c r="I3100">
        <v>2024</v>
      </c>
      <c r="J3100" t="s">
        <v>3094</v>
      </c>
      <c r="K3100" t="s">
        <v>127</v>
      </c>
      <c r="L3100" t="s">
        <v>3296</v>
      </c>
      <c r="M3100" t="s">
        <v>3307</v>
      </c>
      <c r="N3100">
        <v>1</v>
      </c>
      <c r="O3100">
        <v>2024</v>
      </c>
      <c r="P3100">
        <v>6.2857629495543348</v>
      </c>
      <c r="Q3100">
        <v>6.8817612450097929</v>
      </c>
      <c r="R3100" t="s">
        <v>3065</v>
      </c>
      <c r="S3100">
        <v>54.803670680487762</v>
      </c>
      <c r="T3100">
        <v>105.05</v>
      </c>
      <c r="U3100" t="s">
        <v>3066</v>
      </c>
      <c r="V3100">
        <v>105.05</v>
      </c>
      <c r="W3100">
        <v>9</v>
      </c>
      <c r="X3100">
        <v>10</v>
      </c>
      <c r="Y3100">
        <v>10</v>
      </c>
      <c r="Z3100">
        <v>0.3147059442655511</v>
      </c>
      <c r="AA3100">
        <v>1</v>
      </c>
    </row>
    <row r="3101" spans="1:27" x14ac:dyDescent="0.25">
      <c r="A3101" t="s">
        <v>98</v>
      </c>
      <c r="B3101" t="s">
        <v>519</v>
      </c>
      <c r="C3101" t="s">
        <v>100</v>
      </c>
      <c r="D3101" t="s">
        <v>1707</v>
      </c>
      <c r="E3101" t="s">
        <v>3060</v>
      </c>
      <c r="F3101" t="s">
        <v>3080</v>
      </c>
      <c r="H3101" t="s">
        <v>125</v>
      </c>
      <c r="I3101">
        <v>2025</v>
      </c>
      <c r="J3101" t="s">
        <v>3096</v>
      </c>
      <c r="K3101" t="s">
        <v>127</v>
      </c>
      <c r="L3101" t="s">
        <v>3296</v>
      </c>
      <c r="M3101" t="s">
        <v>3308</v>
      </c>
      <c r="N3101">
        <v>1</v>
      </c>
      <c r="O3101">
        <v>2025</v>
      </c>
      <c r="P3101">
        <v>6.1210586798280389</v>
      </c>
      <c r="Q3101">
        <v>6.8817612450097929</v>
      </c>
      <c r="R3101" t="s">
        <v>3065</v>
      </c>
      <c r="S3101">
        <v>53.367663845646781</v>
      </c>
      <c r="T3101">
        <v>107.47499999999999</v>
      </c>
      <c r="U3101" t="s">
        <v>3066</v>
      </c>
      <c r="V3101">
        <v>107.47499999999999</v>
      </c>
      <c r="W3101">
        <v>9</v>
      </c>
      <c r="X3101">
        <v>10</v>
      </c>
      <c r="Y3101">
        <v>10</v>
      </c>
      <c r="Z3101">
        <v>0.3147059442655511</v>
      </c>
      <c r="AA3101">
        <v>1</v>
      </c>
    </row>
    <row r="3102" spans="1:27" x14ac:dyDescent="0.25">
      <c r="A3102" t="s">
        <v>98</v>
      </c>
      <c r="B3102" t="s">
        <v>519</v>
      </c>
      <c r="C3102" t="s">
        <v>100</v>
      </c>
      <c r="D3102" t="s">
        <v>1707</v>
      </c>
      <c r="E3102" t="s">
        <v>3060</v>
      </c>
      <c r="F3102" t="s">
        <v>3080</v>
      </c>
      <c r="H3102" t="s">
        <v>125</v>
      </c>
      <c r="I3102">
        <v>2030</v>
      </c>
      <c r="J3102" t="s">
        <v>3098</v>
      </c>
      <c r="K3102" t="s">
        <v>127</v>
      </c>
      <c r="L3102" t="s">
        <v>3296</v>
      </c>
      <c r="M3102" t="s">
        <v>3309</v>
      </c>
      <c r="N3102">
        <v>1</v>
      </c>
      <c r="O3102">
        <v>2030</v>
      </c>
      <c r="P3102">
        <v>5.5459437707837651</v>
      </c>
      <c r="Q3102">
        <v>6.8817612450097929</v>
      </c>
      <c r="R3102" t="s">
        <v>3065</v>
      </c>
      <c r="S3102">
        <v>48.353410471530012</v>
      </c>
      <c r="T3102">
        <v>119.575</v>
      </c>
      <c r="U3102" t="s">
        <v>3066</v>
      </c>
      <c r="V3102">
        <v>119.575</v>
      </c>
      <c r="W3102">
        <v>9</v>
      </c>
      <c r="X3102">
        <v>10</v>
      </c>
      <c r="Y3102">
        <v>10</v>
      </c>
      <c r="Z3102">
        <v>0.3147059442655511</v>
      </c>
      <c r="AA3102">
        <v>1</v>
      </c>
    </row>
    <row r="3103" spans="1:27" x14ac:dyDescent="0.25">
      <c r="A3103" t="s">
        <v>98</v>
      </c>
      <c r="B3103" t="s">
        <v>519</v>
      </c>
      <c r="C3103" t="s">
        <v>100</v>
      </c>
      <c r="D3103" t="s">
        <v>1707</v>
      </c>
      <c r="E3103" t="s">
        <v>3060</v>
      </c>
      <c r="F3103" t="s">
        <v>3080</v>
      </c>
      <c r="H3103" t="s">
        <v>125</v>
      </c>
      <c r="I3103">
        <v>2040</v>
      </c>
      <c r="J3103" t="s">
        <v>3100</v>
      </c>
      <c r="K3103" t="s">
        <v>127</v>
      </c>
      <c r="L3103" t="s">
        <v>3296</v>
      </c>
      <c r="M3103" t="s">
        <v>3310</v>
      </c>
      <c r="N3103">
        <v>1</v>
      </c>
      <c r="O3103">
        <v>2040</v>
      </c>
      <c r="P3103">
        <v>5.1760341813984789</v>
      </c>
      <c r="Q3103">
        <v>6.8817612450097929</v>
      </c>
      <c r="R3103" t="s">
        <v>3065</v>
      </c>
      <c r="S3103">
        <v>45.128280367051119</v>
      </c>
      <c r="T3103">
        <v>144.42500000000001</v>
      </c>
      <c r="U3103" t="s">
        <v>3066</v>
      </c>
      <c r="V3103">
        <v>144.42500000000001</v>
      </c>
      <c r="W3103">
        <v>9</v>
      </c>
      <c r="X3103">
        <v>10</v>
      </c>
      <c r="Y3103">
        <v>10</v>
      </c>
      <c r="Z3103">
        <v>0.3147059442655511</v>
      </c>
      <c r="AA3103">
        <v>1</v>
      </c>
    </row>
    <row r="3104" spans="1:27" x14ac:dyDescent="0.25">
      <c r="A3104" t="s">
        <v>98</v>
      </c>
      <c r="B3104" t="s">
        <v>519</v>
      </c>
      <c r="C3104" t="s">
        <v>100</v>
      </c>
      <c r="D3104" t="s">
        <v>1707</v>
      </c>
      <c r="E3104" t="s">
        <v>3060</v>
      </c>
      <c r="F3104" t="s">
        <v>3102</v>
      </c>
      <c r="H3104" t="s">
        <v>125</v>
      </c>
      <c r="I3104">
        <v>2015</v>
      </c>
      <c r="J3104" t="s">
        <v>3103</v>
      </c>
      <c r="K3104" t="s">
        <v>127</v>
      </c>
      <c r="L3104" t="s">
        <v>3296</v>
      </c>
      <c r="M3104" t="s">
        <v>3311</v>
      </c>
      <c r="N3104">
        <v>1</v>
      </c>
      <c r="O3104">
        <v>2020</v>
      </c>
      <c r="P3104">
        <v>2.3976621560155711</v>
      </c>
      <c r="Q3104">
        <v>6.8817612450097929</v>
      </c>
      <c r="R3104" t="s">
        <v>3065</v>
      </c>
      <c r="S3104">
        <v>20.90449293997986</v>
      </c>
      <c r="T3104">
        <v>12.7</v>
      </c>
      <c r="U3104" t="s">
        <v>3066</v>
      </c>
      <c r="V3104">
        <v>12.7</v>
      </c>
      <c r="W3104">
        <v>0</v>
      </c>
      <c r="X3104">
        <v>1</v>
      </c>
      <c r="Y3104">
        <v>1</v>
      </c>
      <c r="Z3104">
        <v>0.3147059442655511</v>
      </c>
      <c r="AA3104">
        <v>1</v>
      </c>
    </row>
    <row r="3105" spans="1:27" x14ac:dyDescent="0.25">
      <c r="A3105" t="s">
        <v>98</v>
      </c>
      <c r="B3105" t="s">
        <v>519</v>
      </c>
      <c r="C3105" t="s">
        <v>100</v>
      </c>
      <c r="D3105" t="s">
        <v>1707</v>
      </c>
      <c r="E3105" t="s">
        <v>3060</v>
      </c>
      <c r="F3105" t="s">
        <v>3102</v>
      </c>
      <c r="H3105" t="s">
        <v>125</v>
      </c>
      <c r="I3105">
        <v>2022</v>
      </c>
      <c r="J3105" t="s">
        <v>3105</v>
      </c>
      <c r="K3105" t="s">
        <v>127</v>
      </c>
      <c r="L3105" t="s">
        <v>3296</v>
      </c>
      <c r="M3105" t="s">
        <v>3312</v>
      </c>
      <c r="N3105">
        <v>1</v>
      </c>
      <c r="O3105">
        <v>2022</v>
      </c>
      <c r="P3105">
        <v>3.996103593359285</v>
      </c>
      <c r="Q3105">
        <v>6.8817612450097929</v>
      </c>
      <c r="R3105" t="s">
        <v>3065</v>
      </c>
      <c r="S3105">
        <v>34.84082156663311</v>
      </c>
      <c r="T3105">
        <v>9.3000000000000007</v>
      </c>
      <c r="U3105" t="s">
        <v>3066</v>
      </c>
      <c r="V3105">
        <v>9.3000000000000007</v>
      </c>
      <c r="W3105">
        <v>0</v>
      </c>
      <c r="X3105">
        <v>1</v>
      </c>
      <c r="Y3105">
        <v>1</v>
      </c>
      <c r="Z3105">
        <v>0.3147059442655511</v>
      </c>
      <c r="AA3105">
        <v>1</v>
      </c>
    </row>
    <row r="3106" spans="1:27" x14ac:dyDescent="0.25">
      <c r="A3106" t="s">
        <v>98</v>
      </c>
      <c r="B3106" t="s">
        <v>519</v>
      </c>
      <c r="C3106" t="s">
        <v>100</v>
      </c>
      <c r="D3106" t="s">
        <v>1707</v>
      </c>
      <c r="E3106" t="s">
        <v>3060</v>
      </c>
      <c r="F3106" t="s">
        <v>3107</v>
      </c>
      <c r="H3106" t="s">
        <v>125</v>
      </c>
      <c r="I3106">
        <v>2015</v>
      </c>
      <c r="J3106" t="s">
        <v>3108</v>
      </c>
      <c r="K3106" t="s">
        <v>127</v>
      </c>
      <c r="L3106" t="s">
        <v>3296</v>
      </c>
      <c r="M3106" t="s">
        <v>3313</v>
      </c>
      <c r="N3106">
        <v>1</v>
      </c>
      <c r="O3106">
        <v>2020</v>
      </c>
      <c r="P3106">
        <v>1.188030798025733</v>
      </c>
      <c r="Q3106">
        <v>6.8817612450097929</v>
      </c>
      <c r="R3106" t="s">
        <v>3065</v>
      </c>
      <c r="S3106">
        <v>10.35808208737741</v>
      </c>
      <c r="T3106">
        <v>71.5</v>
      </c>
      <c r="U3106" t="s">
        <v>3066</v>
      </c>
      <c r="V3106">
        <v>71.5</v>
      </c>
      <c r="W3106">
        <v>5</v>
      </c>
      <c r="X3106">
        <v>6</v>
      </c>
      <c r="Y3106">
        <v>6</v>
      </c>
      <c r="Z3106">
        <v>0.3147059442655511</v>
      </c>
      <c r="AA3106">
        <v>1</v>
      </c>
    </row>
    <row r="3107" spans="1:27" x14ac:dyDescent="0.25">
      <c r="A3107" t="s">
        <v>98</v>
      </c>
      <c r="B3107" t="s">
        <v>519</v>
      </c>
      <c r="C3107" t="s">
        <v>100</v>
      </c>
      <c r="D3107" t="s">
        <v>1707</v>
      </c>
      <c r="E3107" t="s">
        <v>3060</v>
      </c>
      <c r="F3107" t="s">
        <v>3110</v>
      </c>
      <c r="H3107" t="s">
        <v>125</v>
      </c>
      <c r="I3107">
        <v>2015</v>
      </c>
      <c r="J3107" t="s">
        <v>3111</v>
      </c>
      <c r="K3107" t="s">
        <v>127</v>
      </c>
      <c r="L3107" t="s">
        <v>3296</v>
      </c>
      <c r="M3107" t="s">
        <v>3314</v>
      </c>
      <c r="N3107">
        <v>0</v>
      </c>
      <c r="O3107">
        <v>2020</v>
      </c>
      <c r="P3107">
        <v>7.0633831082620873</v>
      </c>
      <c r="Q3107">
        <v>6.8817612450097929</v>
      </c>
      <c r="R3107" t="s">
        <v>3065</v>
      </c>
      <c r="S3107">
        <v>61.583506228589343</v>
      </c>
      <c r="T3107">
        <v>90</v>
      </c>
      <c r="U3107" t="s">
        <v>3066</v>
      </c>
      <c r="V3107">
        <v>90</v>
      </c>
      <c r="W3107">
        <v>7</v>
      </c>
      <c r="X3107">
        <v>8</v>
      </c>
      <c r="Y3107">
        <v>8</v>
      </c>
      <c r="Z3107">
        <v>0.3147059442655511</v>
      </c>
      <c r="AA3107">
        <v>1</v>
      </c>
    </row>
    <row r="3108" spans="1:27" x14ac:dyDescent="0.25">
      <c r="A3108" t="s">
        <v>98</v>
      </c>
      <c r="B3108" t="s">
        <v>519</v>
      </c>
      <c r="C3108" t="s">
        <v>100</v>
      </c>
      <c r="D3108" t="s">
        <v>1707</v>
      </c>
      <c r="E3108" t="s">
        <v>3060</v>
      </c>
      <c r="F3108" t="s">
        <v>3110</v>
      </c>
      <c r="H3108" t="s">
        <v>125</v>
      </c>
      <c r="I3108">
        <v>2020</v>
      </c>
      <c r="J3108" t="s">
        <v>3113</v>
      </c>
      <c r="K3108" t="s">
        <v>127</v>
      </c>
      <c r="L3108" t="s">
        <v>3296</v>
      </c>
      <c r="M3108" t="s">
        <v>3314</v>
      </c>
      <c r="N3108">
        <v>1</v>
      </c>
      <c r="O3108">
        <v>2020</v>
      </c>
      <c r="P3108">
        <v>4.449715352605474</v>
      </c>
      <c r="Q3108">
        <v>6.8817612450097929</v>
      </c>
      <c r="R3108" t="s">
        <v>3065</v>
      </c>
      <c r="S3108">
        <v>38.795725636359023</v>
      </c>
      <c r="T3108">
        <v>89.2</v>
      </c>
      <c r="U3108" t="s">
        <v>3066</v>
      </c>
      <c r="V3108">
        <v>89.2</v>
      </c>
      <c r="W3108">
        <v>11</v>
      </c>
      <c r="X3108">
        <v>12</v>
      </c>
      <c r="Y3108">
        <v>12</v>
      </c>
      <c r="Z3108">
        <v>0.3147059442655511</v>
      </c>
      <c r="AA3108">
        <v>1</v>
      </c>
    </row>
    <row r="3109" spans="1:27" x14ac:dyDescent="0.25">
      <c r="A3109" t="s">
        <v>98</v>
      </c>
      <c r="B3109" t="s">
        <v>519</v>
      </c>
      <c r="C3109" t="s">
        <v>100</v>
      </c>
      <c r="D3109" t="s">
        <v>1707</v>
      </c>
      <c r="E3109" t="s">
        <v>3060</v>
      </c>
      <c r="F3109" t="s">
        <v>3110</v>
      </c>
      <c r="H3109" t="s">
        <v>125</v>
      </c>
      <c r="I3109">
        <v>2022</v>
      </c>
      <c r="J3109" t="s">
        <v>3114</v>
      </c>
      <c r="K3109" t="s">
        <v>127</v>
      </c>
      <c r="L3109" t="s">
        <v>3296</v>
      </c>
      <c r="M3109" t="s">
        <v>3315</v>
      </c>
      <c r="N3109">
        <v>1</v>
      </c>
      <c r="O3109">
        <v>2022</v>
      </c>
      <c r="P3109">
        <v>4.4065142326772646</v>
      </c>
      <c r="Q3109">
        <v>6.8817612450097929</v>
      </c>
      <c r="R3109" t="s">
        <v>3065</v>
      </c>
      <c r="S3109">
        <v>38.419068105908927</v>
      </c>
      <c r="T3109">
        <v>89.2</v>
      </c>
      <c r="U3109" t="s">
        <v>3066</v>
      </c>
      <c r="V3109">
        <v>89.2</v>
      </c>
      <c r="W3109">
        <v>11</v>
      </c>
      <c r="X3109">
        <v>12</v>
      </c>
      <c r="Y3109">
        <v>12</v>
      </c>
      <c r="Z3109">
        <v>0.3147059442655511</v>
      </c>
      <c r="AA3109">
        <v>1</v>
      </c>
    </row>
    <row r="3110" spans="1:27" x14ac:dyDescent="0.25">
      <c r="A3110" t="s">
        <v>98</v>
      </c>
      <c r="B3110" t="s">
        <v>519</v>
      </c>
      <c r="C3110" t="s">
        <v>100</v>
      </c>
      <c r="D3110" t="s">
        <v>1707</v>
      </c>
      <c r="E3110" t="s">
        <v>3060</v>
      </c>
      <c r="F3110" t="s">
        <v>3110</v>
      </c>
      <c r="H3110" t="s">
        <v>125</v>
      </c>
      <c r="I3110">
        <v>2030</v>
      </c>
      <c r="J3110" t="s">
        <v>3116</v>
      </c>
      <c r="K3110" t="s">
        <v>127</v>
      </c>
      <c r="L3110" t="s">
        <v>3296</v>
      </c>
      <c r="M3110" t="s">
        <v>3316</v>
      </c>
      <c r="N3110">
        <v>1</v>
      </c>
      <c r="O3110">
        <v>2030</v>
      </c>
      <c r="P3110">
        <v>4.2337097529644314</v>
      </c>
      <c r="Q3110">
        <v>6.8817612450097929</v>
      </c>
      <c r="R3110" t="s">
        <v>3065</v>
      </c>
      <c r="S3110">
        <v>36.912437984108593</v>
      </c>
      <c r="T3110">
        <v>89.2</v>
      </c>
      <c r="U3110" t="s">
        <v>3066</v>
      </c>
      <c r="V3110">
        <v>89.2</v>
      </c>
      <c r="W3110">
        <v>11</v>
      </c>
      <c r="X3110">
        <v>12</v>
      </c>
      <c r="Y3110">
        <v>12</v>
      </c>
      <c r="Z3110">
        <v>0.3147059442655511</v>
      </c>
      <c r="AA3110">
        <v>1</v>
      </c>
    </row>
    <row r="3111" spans="1:27" x14ac:dyDescent="0.25">
      <c r="A3111" t="s">
        <v>98</v>
      </c>
      <c r="B3111" t="s">
        <v>519</v>
      </c>
      <c r="C3111" t="s">
        <v>100</v>
      </c>
      <c r="D3111" t="s">
        <v>1707</v>
      </c>
      <c r="E3111" t="s">
        <v>3060</v>
      </c>
      <c r="F3111" t="s">
        <v>3110</v>
      </c>
      <c r="H3111" t="s">
        <v>125</v>
      </c>
      <c r="I3111">
        <v>2040</v>
      </c>
      <c r="J3111" t="s">
        <v>3118</v>
      </c>
      <c r="K3111" t="s">
        <v>127</v>
      </c>
      <c r="L3111" t="s">
        <v>3296</v>
      </c>
      <c r="M3111" t="s">
        <v>3317</v>
      </c>
      <c r="N3111">
        <v>1</v>
      </c>
      <c r="O3111">
        <v>2040</v>
      </c>
      <c r="P3111">
        <v>4.0285044333054412</v>
      </c>
      <c r="Q3111">
        <v>6.8817612450097929</v>
      </c>
      <c r="R3111" t="s">
        <v>3065</v>
      </c>
      <c r="S3111">
        <v>35.123314714470673</v>
      </c>
      <c r="T3111">
        <v>89.2</v>
      </c>
      <c r="U3111" t="s">
        <v>3066</v>
      </c>
      <c r="V3111">
        <v>89.2</v>
      </c>
      <c r="W3111">
        <v>11</v>
      </c>
      <c r="X3111">
        <v>12</v>
      </c>
      <c r="Y3111">
        <v>12</v>
      </c>
      <c r="Z3111">
        <v>0.3147059442655511</v>
      </c>
      <c r="AA3111">
        <v>1</v>
      </c>
    </row>
    <row r="3112" spans="1:27" x14ac:dyDescent="0.25">
      <c r="A3112" t="s">
        <v>98</v>
      </c>
      <c r="B3112" t="s">
        <v>99</v>
      </c>
      <c r="C3112" t="s">
        <v>689</v>
      </c>
      <c r="D3112" t="s">
        <v>1707</v>
      </c>
      <c r="E3112" t="s">
        <v>3060</v>
      </c>
      <c r="F3112" t="s">
        <v>3061</v>
      </c>
      <c r="H3112" t="s">
        <v>125</v>
      </c>
      <c r="I3112">
        <v>2015</v>
      </c>
      <c r="J3112" t="s">
        <v>3062</v>
      </c>
      <c r="K3112" t="s">
        <v>127</v>
      </c>
      <c r="L3112" t="s">
        <v>3318</v>
      </c>
      <c r="M3112" t="s">
        <v>3319</v>
      </c>
      <c r="N3112">
        <v>0</v>
      </c>
      <c r="O3112">
        <v>2020</v>
      </c>
      <c r="P3112">
        <v>4.9303278118067926</v>
      </c>
      <c r="Q3112">
        <v>3.882778380960195</v>
      </c>
      <c r="R3112" t="s">
        <v>3065</v>
      </c>
      <c r="S3112">
        <v>38.093813203324331</v>
      </c>
      <c r="T3112">
        <v>15.7</v>
      </c>
      <c r="U3112" t="s">
        <v>3066</v>
      </c>
      <c r="V3112">
        <v>15.7</v>
      </c>
      <c r="W3112">
        <v>0</v>
      </c>
      <c r="X3112">
        <v>1</v>
      </c>
      <c r="Y3112">
        <v>1</v>
      </c>
      <c r="Z3112">
        <v>0.29704003815000068</v>
      </c>
      <c r="AA3112">
        <v>1</v>
      </c>
    </row>
    <row r="3113" spans="1:27" x14ac:dyDescent="0.25">
      <c r="A3113" t="s">
        <v>98</v>
      </c>
      <c r="B3113" t="s">
        <v>99</v>
      </c>
      <c r="C3113" t="s">
        <v>689</v>
      </c>
      <c r="D3113" t="s">
        <v>1707</v>
      </c>
      <c r="E3113" t="s">
        <v>3060</v>
      </c>
      <c r="F3113" t="s">
        <v>3061</v>
      </c>
      <c r="H3113" t="s">
        <v>125</v>
      </c>
      <c r="I3113">
        <v>2020</v>
      </c>
      <c r="J3113" t="s">
        <v>3067</v>
      </c>
      <c r="K3113" t="s">
        <v>127</v>
      </c>
      <c r="L3113" t="s">
        <v>3318</v>
      </c>
      <c r="M3113" t="s">
        <v>3319</v>
      </c>
      <c r="N3113">
        <v>1</v>
      </c>
      <c r="O3113">
        <v>2020</v>
      </c>
      <c r="P3113">
        <v>7.0363824083069577</v>
      </c>
      <c r="Q3113">
        <v>3.882778380960195</v>
      </c>
      <c r="R3113" t="s">
        <v>3065</v>
      </c>
      <c r="S3113">
        <v>54.366088284700567</v>
      </c>
      <c r="T3113">
        <v>15.7</v>
      </c>
      <c r="U3113" t="s">
        <v>3066</v>
      </c>
      <c r="V3113">
        <v>15.7</v>
      </c>
      <c r="W3113">
        <v>0</v>
      </c>
      <c r="X3113">
        <v>1</v>
      </c>
      <c r="Y3113">
        <v>1</v>
      </c>
      <c r="Z3113">
        <v>0.29704003815000068</v>
      </c>
      <c r="AA3113">
        <v>1</v>
      </c>
    </row>
    <row r="3114" spans="1:27" x14ac:dyDescent="0.25">
      <c r="A3114" t="s">
        <v>98</v>
      </c>
      <c r="B3114" t="s">
        <v>99</v>
      </c>
      <c r="C3114" t="s">
        <v>689</v>
      </c>
      <c r="D3114" t="s">
        <v>1707</v>
      </c>
      <c r="E3114" t="s">
        <v>3060</v>
      </c>
      <c r="F3114" t="s">
        <v>3061</v>
      </c>
      <c r="H3114" t="s">
        <v>125</v>
      </c>
      <c r="I3114">
        <v>2022</v>
      </c>
      <c r="J3114" t="s">
        <v>3068</v>
      </c>
      <c r="K3114" t="s">
        <v>127</v>
      </c>
      <c r="L3114" t="s">
        <v>3318</v>
      </c>
      <c r="M3114" t="s">
        <v>3320</v>
      </c>
      <c r="N3114">
        <v>1</v>
      </c>
      <c r="O3114">
        <v>2022</v>
      </c>
      <c r="P3114">
        <v>7.8788042469070234</v>
      </c>
      <c r="Q3114">
        <v>3.882778380960195</v>
      </c>
      <c r="R3114" t="s">
        <v>3065</v>
      </c>
      <c r="S3114">
        <v>60.874998317251048</v>
      </c>
      <c r="T3114">
        <v>15.7</v>
      </c>
      <c r="U3114" t="s">
        <v>3066</v>
      </c>
      <c r="V3114">
        <v>15.7</v>
      </c>
      <c r="W3114">
        <v>0</v>
      </c>
      <c r="X3114">
        <v>1</v>
      </c>
      <c r="Y3114">
        <v>1</v>
      </c>
      <c r="Z3114">
        <v>0.29704003815000068</v>
      </c>
      <c r="AA3114">
        <v>1</v>
      </c>
    </row>
    <row r="3115" spans="1:27" x14ac:dyDescent="0.25">
      <c r="A3115" t="s">
        <v>98</v>
      </c>
      <c r="B3115" t="s">
        <v>99</v>
      </c>
      <c r="C3115" t="s">
        <v>689</v>
      </c>
      <c r="D3115" t="s">
        <v>1707</v>
      </c>
      <c r="E3115" t="s">
        <v>3060</v>
      </c>
      <c r="F3115" t="s">
        <v>3070</v>
      </c>
      <c r="H3115" t="s">
        <v>125</v>
      </c>
      <c r="I3115">
        <v>2015</v>
      </c>
      <c r="J3115" t="s">
        <v>3071</v>
      </c>
      <c r="K3115" t="s">
        <v>127</v>
      </c>
      <c r="L3115" t="s">
        <v>3318</v>
      </c>
      <c r="M3115" t="s">
        <v>3321</v>
      </c>
      <c r="N3115">
        <v>0</v>
      </c>
      <c r="O3115">
        <v>2020</v>
      </c>
      <c r="P3115">
        <v>4.7269225388114773</v>
      </c>
      <c r="Q3115">
        <v>3.882778380960195</v>
      </c>
      <c r="R3115" t="s">
        <v>3065</v>
      </c>
      <c r="S3115">
        <v>36.52221740486663</v>
      </c>
      <c r="T3115">
        <v>59.066666666666663</v>
      </c>
      <c r="U3115" t="s">
        <v>3066</v>
      </c>
      <c r="V3115">
        <v>59.066666666666663</v>
      </c>
      <c r="W3115">
        <v>3</v>
      </c>
      <c r="X3115">
        <v>4</v>
      </c>
      <c r="Y3115">
        <v>4</v>
      </c>
      <c r="Z3115">
        <v>0.29704003815000068</v>
      </c>
      <c r="AA3115">
        <v>1</v>
      </c>
    </row>
    <row r="3116" spans="1:27" x14ac:dyDescent="0.25">
      <c r="A3116" t="s">
        <v>98</v>
      </c>
      <c r="B3116" t="s">
        <v>99</v>
      </c>
      <c r="C3116" t="s">
        <v>689</v>
      </c>
      <c r="D3116" t="s">
        <v>1707</v>
      </c>
      <c r="E3116" t="s">
        <v>3060</v>
      </c>
      <c r="F3116" t="s">
        <v>3070</v>
      </c>
      <c r="H3116" t="s">
        <v>125</v>
      </c>
      <c r="I3116">
        <v>2020</v>
      </c>
      <c r="J3116" t="s">
        <v>3073</v>
      </c>
      <c r="K3116" t="s">
        <v>127</v>
      </c>
      <c r="L3116" t="s">
        <v>3318</v>
      </c>
      <c r="M3116" t="s">
        <v>3321</v>
      </c>
      <c r="N3116">
        <v>1</v>
      </c>
      <c r="O3116">
        <v>2020</v>
      </c>
      <c r="P3116">
        <v>6.2353616429714247</v>
      </c>
      <c r="Q3116">
        <v>3.882778380960195</v>
      </c>
      <c r="R3116" t="s">
        <v>3065</v>
      </c>
      <c r="S3116">
        <v>48.177060582809602</v>
      </c>
      <c r="T3116">
        <v>59.933333333333337</v>
      </c>
      <c r="U3116" t="s">
        <v>3066</v>
      </c>
      <c r="V3116">
        <v>59.933333333333337</v>
      </c>
      <c r="W3116">
        <v>3</v>
      </c>
      <c r="X3116">
        <v>4</v>
      </c>
      <c r="Y3116">
        <v>4</v>
      </c>
      <c r="Z3116">
        <v>0.29704003815000068</v>
      </c>
      <c r="AA3116">
        <v>1</v>
      </c>
    </row>
    <row r="3117" spans="1:27" x14ac:dyDescent="0.25">
      <c r="A3117" t="s">
        <v>98</v>
      </c>
      <c r="B3117" t="s">
        <v>99</v>
      </c>
      <c r="C3117" t="s">
        <v>689</v>
      </c>
      <c r="D3117" t="s">
        <v>1707</v>
      </c>
      <c r="E3117" t="s">
        <v>3060</v>
      </c>
      <c r="F3117" t="s">
        <v>3070</v>
      </c>
      <c r="H3117" t="s">
        <v>125</v>
      </c>
      <c r="I3117">
        <v>2022</v>
      </c>
      <c r="J3117" t="s">
        <v>3074</v>
      </c>
      <c r="K3117" t="s">
        <v>127</v>
      </c>
      <c r="L3117" t="s">
        <v>3318</v>
      </c>
      <c r="M3117" t="s">
        <v>3322</v>
      </c>
      <c r="N3117">
        <v>1</v>
      </c>
      <c r="O3117">
        <v>2022</v>
      </c>
      <c r="P3117">
        <v>5.7403488104607021</v>
      </c>
      <c r="Q3117">
        <v>3.882778380960195</v>
      </c>
      <c r="R3117" t="s">
        <v>3065</v>
      </c>
      <c r="S3117">
        <v>44.352380542315188</v>
      </c>
      <c r="T3117">
        <v>65.8</v>
      </c>
      <c r="U3117" t="s">
        <v>3066</v>
      </c>
      <c r="V3117">
        <v>65.8</v>
      </c>
      <c r="W3117">
        <v>3</v>
      </c>
      <c r="X3117">
        <v>4</v>
      </c>
      <c r="Y3117">
        <v>4</v>
      </c>
      <c r="Z3117">
        <v>0.29704003815000068</v>
      </c>
      <c r="AA3117">
        <v>1</v>
      </c>
    </row>
    <row r="3118" spans="1:27" x14ac:dyDescent="0.25">
      <c r="A3118" t="s">
        <v>98</v>
      </c>
      <c r="B3118" t="s">
        <v>99</v>
      </c>
      <c r="C3118" t="s">
        <v>689</v>
      </c>
      <c r="D3118" t="s">
        <v>1707</v>
      </c>
      <c r="E3118" t="s">
        <v>3060</v>
      </c>
      <c r="F3118" t="s">
        <v>3070</v>
      </c>
      <c r="H3118" t="s">
        <v>125</v>
      </c>
      <c r="I3118">
        <v>2030</v>
      </c>
      <c r="J3118" t="s">
        <v>3076</v>
      </c>
      <c r="K3118" t="s">
        <v>127</v>
      </c>
      <c r="L3118" t="s">
        <v>3318</v>
      </c>
      <c r="M3118" t="s">
        <v>3323</v>
      </c>
      <c r="N3118">
        <v>1</v>
      </c>
      <c r="O3118">
        <v>2030</v>
      </c>
      <c r="P3118">
        <v>5.513542930837608</v>
      </c>
      <c r="Q3118">
        <v>3.882778380960195</v>
      </c>
      <c r="R3118" t="s">
        <v>3065</v>
      </c>
      <c r="S3118">
        <v>42.599981687397758</v>
      </c>
      <c r="T3118">
        <v>68.5</v>
      </c>
      <c r="U3118" t="s">
        <v>3066</v>
      </c>
      <c r="V3118">
        <v>68.5</v>
      </c>
      <c r="W3118">
        <v>3</v>
      </c>
      <c r="X3118">
        <v>4</v>
      </c>
      <c r="Y3118">
        <v>4</v>
      </c>
      <c r="Z3118">
        <v>0.29704003815000068</v>
      </c>
      <c r="AA3118">
        <v>1</v>
      </c>
    </row>
    <row r="3119" spans="1:27" x14ac:dyDescent="0.25">
      <c r="A3119" t="s">
        <v>98</v>
      </c>
      <c r="B3119" t="s">
        <v>99</v>
      </c>
      <c r="C3119" t="s">
        <v>689</v>
      </c>
      <c r="D3119" t="s">
        <v>1707</v>
      </c>
      <c r="E3119" t="s">
        <v>3060</v>
      </c>
      <c r="F3119" t="s">
        <v>3070</v>
      </c>
      <c r="H3119" t="s">
        <v>125</v>
      </c>
      <c r="I3119">
        <v>2040</v>
      </c>
      <c r="J3119" t="s">
        <v>3078</v>
      </c>
      <c r="K3119" t="s">
        <v>127</v>
      </c>
      <c r="L3119" t="s">
        <v>3318</v>
      </c>
      <c r="M3119" t="s">
        <v>3324</v>
      </c>
      <c r="N3119">
        <v>1</v>
      </c>
      <c r="O3119">
        <v>2040</v>
      </c>
      <c r="P3119">
        <v>5.2435359312863046</v>
      </c>
      <c r="Q3119">
        <v>3.882778380960195</v>
      </c>
      <c r="R3119" t="s">
        <v>3065</v>
      </c>
      <c r="S3119">
        <v>40.51379257440081</v>
      </c>
      <c r="T3119">
        <v>72</v>
      </c>
      <c r="U3119" t="s">
        <v>3066</v>
      </c>
      <c r="V3119">
        <v>72</v>
      </c>
      <c r="W3119">
        <v>3</v>
      </c>
      <c r="X3119">
        <v>4</v>
      </c>
      <c r="Y3119">
        <v>4</v>
      </c>
      <c r="Z3119">
        <v>0.29704003815000068</v>
      </c>
      <c r="AA3119">
        <v>1</v>
      </c>
    </row>
    <row r="3120" spans="1:27" x14ac:dyDescent="0.25">
      <c r="A3120" t="s">
        <v>98</v>
      </c>
      <c r="B3120" t="s">
        <v>99</v>
      </c>
      <c r="C3120" t="s">
        <v>689</v>
      </c>
      <c r="D3120" t="s">
        <v>1707</v>
      </c>
      <c r="E3120" t="s">
        <v>3060</v>
      </c>
      <c r="F3120" t="s">
        <v>3080</v>
      </c>
      <c r="H3120" t="s">
        <v>125</v>
      </c>
      <c r="I3120">
        <v>2015</v>
      </c>
      <c r="J3120" t="s">
        <v>3081</v>
      </c>
      <c r="K3120" t="s">
        <v>127</v>
      </c>
      <c r="L3120" t="s">
        <v>3318</v>
      </c>
      <c r="M3120" t="s">
        <v>3325</v>
      </c>
      <c r="N3120">
        <v>0</v>
      </c>
      <c r="O3120">
        <v>2020</v>
      </c>
      <c r="P3120">
        <v>21.61676038407732</v>
      </c>
      <c r="Q3120">
        <v>3.882778380960195</v>
      </c>
      <c r="R3120" t="s">
        <v>3065</v>
      </c>
      <c r="S3120">
        <v>167.02030038653601</v>
      </c>
      <c r="T3120">
        <v>79.849999999999994</v>
      </c>
      <c r="U3120" t="s">
        <v>3066</v>
      </c>
      <c r="V3120">
        <v>79.849999999999994</v>
      </c>
      <c r="W3120">
        <v>12</v>
      </c>
      <c r="X3120">
        <v>13</v>
      </c>
      <c r="Y3120">
        <v>13</v>
      </c>
      <c r="Z3120">
        <v>0.29704003815000068</v>
      </c>
      <c r="AA3120">
        <v>1</v>
      </c>
    </row>
    <row r="3121" spans="1:27" x14ac:dyDescent="0.25">
      <c r="A3121" t="s">
        <v>98</v>
      </c>
      <c r="B3121" t="s">
        <v>99</v>
      </c>
      <c r="C3121" t="s">
        <v>689</v>
      </c>
      <c r="D3121" t="s">
        <v>1707</v>
      </c>
      <c r="E3121" t="s">
        <v>3060</v>
      </c>
      <c r="F3121" t="s">
        <v>3080</v>
      </c>
      <c r="H3121" t="s">
        <v>125</v>
      </c>
      <c r="I3121">
        <v>2016</v>
      </c>
      <c r="J3121" t="s">
        <v>3083</v>
      </c>
      <c r="K3121" t="s">
        <v>127</v>
      </c>
      <c r="L3121" t="s">
        <v>3318</v>
      </c>
      <c r="M3121" t="s">
        <v>3325</v>
      </c>
      <c r="N3121">
        <v>0</v>
      </c>
      <c r="O3121">
        <v>2020</v>
      </c>
      <c r="P3121">
        <v>21.128047714889458</v>
      </c>
      <c r="Q3121">
        <v>3.882778380960195</v>
      </c>
      <c r="R3121" t="s">
        <v>3065</v>
      </c>
      <c r="S3121">
        <v>163.24429809201149</v>
      </c>
      <c r="T3121">
        <v>83.025000000000006</v>
      </c>
      <c r="U3121" t="s">
        <v>3066</v>
      </c>
      <c r="V3121">
        <v>83.025000000000006</v>
      </c>
      <c r="W3121">
        <v>12</v>
      </c>
      <c r="X3121">
        <v>13</v>
      </c>
      <c r="Y3121">
        <v>13</v>
      </c>
      <c r="Z3121">
        <v>0.29704003815000068</v>
      </c>
      <c r="AA3121">
        <v>1</v>
      </c>
    </row>
    <row r="3122" spans="1:27" x14ac:dyDescent="0.25">
      <c r="A3122" t="s">
        <v>98</v>
      </c>
      <c r="B3122" t="s">
        <v>99</v>
      </c>
      <c r="C3122" t="s">
        <v>689</v>
      </c>
      <c r="D3122" t="s">
        <v>1707</v>
      </c>
      <c r="E3122" t="s">
        <v>3060</v>
      </c>
      <c r="F3122" t="s">
        <v>3080</v>
      </c>
      <c r="H3122" t="s">
        <v>125</v>
      </c>
      <c r="I3122">
        <v>2017</v>
      </c>
      <c r="J3122" t="s">
        <v>3084</v>
      </c>
      <c r="K3122" t="s">
        <v>127</v>
      </c>
      <c r="L3122" t="s">
        <v>3318</v>
      </c>
      <c r="M3122" t="s">
        <v>3325</v>
      </c>
      <c r="N3122">
        <v>0</v>
      </c>
      <c r="O3122">
        <v>2020</v>
      </c>
      <c r="P3122">
        <v>17.431651891032121</v>
      </c>
      <c r="Q3122">
        <v>3.882778380960195</v>
      </c>
      <c r="R3122" t="s">
        <v>3065</v>
      </c>
      <c r="S3122">
        <v>134.68436913508319</v>
      </c>
      <c r="T3122">
        <v>86.2</v>
      </c>
      <c r="U3122" t="s">
        <v>3066</v>
      </c>
      <c r="V3122">
        <v>86.2</v>
      </c>
      <c r="W3122">
        <v>11</v>
      </c>
      <c r="X3122">
        <v>12</v>
      </c>
      <c r="Y3122">
        <v>12</v>
      </c>
      <c r="Z3122">
        <v>0.29704003815000068</v>
      </c>
      <c r="AA3122">
        <v>1</v>
      </c>
    </row>
    <row r="3123" spans="1:27" x14ac:dyDescent="0.25">
      <c r="A3123" t="s">
        <v>98</v>
      </c>
      <c r="B3123" t="s">
        <v>99</v>
      </c>
      <c r="C3123" t="s">
        <v>689</v>
      </c>
      <c r="D3123" t="s">
        <v>1707</v>
      </c>
      <c r="E3123" t="s">
        <v>3060</v>
      </c>
      <c r="F3123" t="s">
        <v>3080</v>
      </c>
      <c r="H3123" t="s">
        <v>125</v>
      </c>
      <c r="I3123">
        <v>2018</v>
      </c>
      <c r="J3123" t="s">
        <v>3085</v>
      </c>
      <c r="K3123" t="s">
        <v>127</v>
      </c>
      <c r="L3123" t="s">
        <v>3318</v>
      </c>
      <c r="M3123" t="s">
        <v>3325</v>
      </c>
      <c r="N3123">
        <v>0</v>
      </c>
      <c r="O3123">
        <v>2020</v>
      </c>
      <c r="P3123">
        <v>15.33639757451401</v>
      </c>
      <c r="Q3123">
        <v>3.882778380960195</v>
      </c>
      <c r="R3123" t="s">
        <v>3065</v>
      </c>
      <c r="S3123">
        <v>118.49554161822689</v>
      </c>
      <c r="T3123">
        <v>89.35</v>
      </c>
      <c r="U3123" t="s">
        <v>3066</v>
      </c>
      <c r="V3123">
        <v>89.35</v>
      </c>
      <c r="W3123">
        <v>11</v>
      </c>
      <c r="X3123">
        <v>12</v>
      </c>
      <c r="Y3123">
        <v>12</v>
      </c>
      <c r="Z3123">
        <v>0.29704003815000068</v>
      </c>
      <c r="AA3123">
        <v>1</v>
      </c>
    </row>
    <row r="3124" spans="1:27" x14ac:dyDescent="0.25">
      <c r="A3124" t="s">
        <v>98</v>
      </c>
      <c r="B3124" t="s">
        <v>99</v>
      </c>
      <c r="C3124" t="s">
        <v>689</v>
      </c>
      <c r="D3124" t="s">
        <v>1707</v>
      </c>
      <c r="E3124" t="s">
        <v>3060</v>
      </c>
      <c r="F3124" t="s">
        <v>3080</v>
      </c>
      <c r="H3124" t="s">
        <v>125</v>
      </c>
      <c r="I3124">
        <v>2019</v>
      </c>
      <c r="J3124" t="s">
        <v>3086</v>
      </c>
      <c r="K3124" t="s">
        <v>127</v>
      </c>
      <c r="L3124" t="s">
        <v>3318</v>
      </c>
      <c r="M3124" t="s">
        <v>3325</v>
      </c>
      <c r="N3124">
        <v>0</v>
      </c>
      <c r="O3124">
        <v>2020</v>
      </c>
      <c r="P3124">
        <v>13.24384332799141</v>
      </c>
      <c r="Q3124">
        <v>3.882778380960195</v>
      </c>
      <c r="R3124" t="s">
        <v>3065</v>
      </c>
      <c r="S3124">
        <v>102.3275759925005</v>
      </c>
      <c r="T3124">
        <v>92.55</v>
      </c>
      <c r="U3124" t="s">
        <v>3066</v>
      </c>
      <c r="V3124">
        <v>92.55</v>
      </c>
      <c r="W3124">
        <v>11</v>
      </c>
      <c r="X3124">
        <v>12</v>
      </c>
      <c r="Y3124">
        <v>12</v>
      </c>
      <c r="Z3124">
        <v>0.29704003815000068</v>
      </c>
      <c r="AA3124">
        <v>1</v>
      </c>
    </row>
    <row r="3125" spans="1:27" x14ac:dyDescent="0.25">
      <c r="A3125" t="s">
        <v>98</v>
      </c>
      <c r="B3125" t="s">
        <v>99</v>
      </c>
      <c r="C3125" t="s">
        <v>689</v>
      </c>
      <c r="D3125" t="s">
        <v>1707</v>
      </c>
      <c r="E3125" t="s">
        <v>3060</v>
      </c>
      <c r="F3125" t="s">
        <v>3080</v>
      </c>
      <c r="H3125" t="s">
        <v>125</v>
      </c>
      <c r="I3125">
        <v>2020</v>
      </c>
      <c r="J3125" t="s">
        <v>3087</v>
      </c>
      <c r="K3125" t="s">
        <v>127</v>
      </c>
      <c r="L3125" t="s">
        <v>3318</v>
      </c>
      <c r="M3125" t="s">
        <v>3325</v>
      </c>
      <c r="N3125">
        <v>1</v>
      </c>
      <c r="O3125">
        <v>2020</v>
      </c>
      <c r="P3125">
        <v>11.1485890114733</v>
      </c>
      <c r="Q3125">
        <v>3.882778380960195</v>
      </c>
      <c r="R3125" t="s">
        <v>3065</v>
      </c>
      <c r="S3125">
        <v>86.138748475644149</v>
      </c>
      <c r="T3125">
        <v>95.699999999999989</v>
      </c>
      <c r="U3125" t="s">
        <v>3066</v>
      </c>
      <c r="V3125">
        <v>95.699999999999989</v>
      </c>
      <c r="W3125">
        <v>11</v>
      </c>
      <c r="X3125">
        <v>12</v>
      </c>
      <c r="Y3125">
        <v>12</v>
      </c>
      <c r="Z3125">
        <v>0.29704003815000068</v>
      </c>
      <c r="AA3125">
        <v>1</v>
      </c>
    </row>
    <row r="3126" spans="1:27" x14ac:dyDescent="0.25">
      <c r="A3126" t="s">
        <v>98</v>
      </c>
      <c r="B3126" t="s">
        <v>99</v>
      </c>
      <c r="C3126" t="s">
        <v>689</v>
      </c>
      <c r="D3126" t="s">
        <v>1707</v>
      </c>
      <c r="E3126" t="s">
        <v>3060</v>
      </c>
      <c r="F3126" t="s">
        <v>3080</v>
      </c>
      <c r="H3126" t="s">
        <v>125</v>
      </c>
      <c r="I3126">
        <v>2021</v>
      </c>
      <c r="J3126" t="s">
        <v>3088</v>
      </c>
      <c r="K3126" t="s">
        <v>127</v>
      </c>
      <c r="L3126" t="s">
        <v>3318</v>
      </c>
      <c r="M3126" t="s">
        <v>3326</v>
      </c>
      <c r="N3126">
        <v>1</v>
      </c>
      <c r="O3126">
        <v>2021</v>
      </c>
      <c r="P3126">
        <v>8.8076283253635061</v>
      </c>
      <c r="Q3126">
        <v>3.882778380960195</v>
      </c>
      <c r="R3126" t="s">
        <v>3065</v>
      </c>
      <c r="S3126">
        <v>68.051488865960579</v>
      </c>
      <c r="T3126">
        <v>97.949999999999989</v>
      </c>
      <c r="U3126" t="s">
        <v>3066</v>
      </c>
      <c r="V3126">
        <v>97.949999999999989</v>
      </c>
      <c r="W3126">
        <v>10</v>
      </c>
      <c r="X3126">
        <v>11</v>
      </c>
      <c r="Y3126">
        <v>11</v>
      </c>
      <c r="Z3126">
        <v>0.29704003815000068</v>
      </c>
      <c r="AA3126">
        <v>1</v>
      </c>
    </row>
    <row r="3127" spans="1:27" x14ac:dyDescent="0.25">
      <c r="A3127" t="s">
        <v>98</v>
      </c>
      <c r="B3127" t="s">
        <v>99</v>
      </c>
      <c r="C3127" t="s">
        <v>689</v>
      </c>
      <c r="D3127" t="s">
        <v>1707</v>
      </c>
      <c r="E3127" t="s">
        <v>3060</v>
      </c>
      <c r="F3127" t="s">
        <v>3080</v>
      </c>
      <c r="H3127" t="s">
        <v>125</v>
      </c>
      <c r="I3127">
        <v>2022</v>
      </c>
      <c r="J3127" t="s">
        <v>3090</v>
      </c>
      <c r="K3127" t="s">
        <v>127</v>
      </c>
      <c r="L3127" t="s">
        <v>3318</v>
      </c>
      <c r="M3127" t="s">
        <v>3327</v>
      </c>
      <c r="N3127">
        <v>1</v>
      </c>
      <c r="O3127">
        <v>2022</v>
      </c>
      <c r="P3127">
        <v>6.4693677092492212</v>
      </c>
      <c r="Q3127">
        <v>3.882778380960195</v>
      </c>
      <c r="R3127" t="s">
        <v>3065</v>
      </c>
      <c r="S3127">
        <v>49.985091147406983</v>
      </c>
      <c r="T3127">
        <v>100.22499999999999</v>
      </c>
      <c r="U3127" t="s">
        <v>3066</v>
      </c>
      <c r="V3127">
        <v>100.22499999999999</v>
      </c>
      <c r="W3127">
        <v>10</v>
      </c>
      <c r="X3127">
        <v>11</v>
      </c>
      <c r="Y3127">
        <v>11</v>
      </c>
      <c r="Z3127">
        <v>0.29704003815000068</v>
      </c>
      <c r="AA3127">
        <v>1</v>
      </c>
    </row>
    <row r="3128" spans="1:27" x14ac:dyDescent="0.25">
      <c r="A3128" t="s">
        <v>98</v>
      </c>
      <c r="B3128" t="s">
        <v>99</v>
      </c>
      <c r="C3128" t="s">
        <v>689</v>
      </c>
      <c r="D3128" t="s">
        <v>1707</v>
      </c>
      <c r="E3128" t="s">
        <v>3060</v>
      </c>
      <c r="F3128" t="s">
        <v>3080</v>
      </c>
      <c r="H3128" t="s">
        <v>125</v>
      </c>
      <c r="I3128">
        <v>2023</v>
      </c>
      <c r="J3128" t="s">
        <v>3092</v>
      </c>
      <c r="K3128" t="s">
        <v>127</v>
      </c>
      <c r="L3128" t="s">
        <v>3318</v>
      </c>
      <c r="M3128" t="s">
        <v>3328</v>
      </c>
      <c r="N3128">
        <v>1</v>
      </c>
      <c r="O3128">
        <v>2023</v>
      </c>
      <c r="P3128">
        <v>6.3505646294466462</v>
      </c>
      <c r="Q3128">
        <v>3.882778380960195</v>
      </c>
      <c r="R3128" t="s">
        <v>3065</v>
      </c>
      <c r="S3128">
        <v>49.067167937688303</v>
      </c>
      <c r="T3128">
        <v>102.65</v>
      </c>
      <c r="U3128" t="s">
        <v>3066</v>
      </c>
      <c r="V3128">
        <v>102.65</v>
      </c>
      <c r="W3128">
        <v>10</v>
      </c>
      <c r="X3128">
        <v>11</v>
      </c>
      <c r="Y3128">
        <v>11</v>
      </c>
      <c r="Z3128">
        <v>0.29704003815000068</v>
      </c>
      <c r="AA3128">
        <v>1</v>
      </c>
    </row>
    <row r="3129" spans="1:27" x14ac:dyDescent="0.25">
      <c r="A3129" t="s">
        <v>98</v>
      </c>
      <c r="B3129" t="s">
        <v>99</v>
      </c>
      <c r="C3129" t="s">
        <v>689</v>
      </c>
      <c r="D3129" t="s">
        <v>1707</v>
      </c>
      <c r="E3129" t="s">
        <v>3060</v>
      </c>
      <c r="F3129" t="s">
        <v>3080</v>
      </c>
      <c r="H3129" t="s">
        <v>125</v>
      </c>
      <c r="I3129">
        <v>2024</v>
      </c>
      <c r="J3129" t="s">
        <v>3094</v>
      </c>
      <c r="K3129" t="s">
        <v>127</v>
      </c>
      <c r="L3129" t="s">
        <v>3318</v>
      </c>
      <c r="M3129" t="s">
        <v>3329</v>
      </c>
      <c r="N3129">
        <v>1</v>
      </c>
      <c r="O3129">
        <v>2024</v>
      </c>
      <c r="P3129">
        <v>6.2857629495543348</v>
      </c>
      <c r="Q3129">
        <v>3.882778380960195</v>
      </c>
      <c r="R3129" t="s">
        <v>3065</v>
      </c>
      <c r="S3129">
        <v>48.566482550569042</v>
      </c>
      <c r="T3129">
        <v>105.05</v>
      </c>
      <c r="U3129" t="s">
        <v>3066</v>
      </c>
      <c r="V3129">
        <v>105.05</v>
      </c>
      <c r="W3129">
        <v>10</v>
      </c>
      <c r="X3129">
        <v>11</v>
      </c>
      <c r="Y3129">
        <v>11</v>
      </c>
      <c r="Z3129">
        <v>0.29704003815000068</v>
      </c>
      <c r="AA3129">
        <v>1</v>
      </c>
    </row>
    <row r="3130" spans="1:27" x14ac:dyDescent="0.25">
      <c r="A3130" t="s">
        <v>98</v>
      </c>
      <c r="B3130" t="s">
        <v>99</v>
      </c>
      <c r="C3130" t="s">
        <v>689</v>
      </c>
      <c r="D3130" t="s">
        <v>1707</v>
      </c>
      <c r="E3130" t="s">
        <v>3060</v>
      </c>
      <c r="F3130" t="s">
        <v>3080</v>
      </c>
      <c r="H3130" t="s">
        <v>125</v>
      </c>
      <c r="I3130">
        <v>2025</v>
      </c>
      <c r="J3130" t="s">
        <v>3096</v>
      </c>
      <c r="K3130" t="s">
        <v>127</v>
      </c>
      <c r="L3130" t="s">
        <v>3318</v>
      </c>
      <c r="M3130" t="s">
        <v>3330</v>
      </c>
      <c r="N3130">
        <v>1</v>
      </c>
      <c r="O3130">
        <v>2025</v>
      </c>
      <c r="P3130">
        <v>6.1210586798280389</v>
      </c>
      <c r="Q3130">
        <v>3.882778380960195</v>
      </c>
      <c r="R3130" t="s">
        <v>3065</v>
      </c>
      <c r="S3130">
        <v>47.293907191640891</v>
      </c>
      <c r="T3130">
        <v>107.47499999999999</v>
      </c>
      <c r="U3130" t="s">
        <v>3066</v>
      </c>
      <c r="V3130">
        <v>107.47499999999999</v>
      </c>
      <c r="W3130">
        <v>10</v>
      </c>
      <c r="X3130">
        <v>11</v>
      </c>
      <c r="Y3130">
        <v>11</v>
      </c>
      <c r="Z3130">
        <v>0.29704003815000068</v>
      </c>
      <c r="AA3130">
        <v>1</v>
      </c>
    </row>
    <row r="3131" spans="1:27" x14ac:dyDescent="0.25">
      <c r="A3131" t="s">
        <v>98</v>
      </c>
      <c r="B3131" t="s">
        <v>99</v>
      </c>
      <c r="C3131" t="s">
        <v>689</v>
      </c>
      <c r="D3131" t="s">
        <v>1707</v>
      </c>
      <c r="E3131" t="s">
        <v>3060</v>
      </c>
      <c r="F3131" t="s">
        <v>3080</v>
      </c>
      <c r="H3131" t="s">
        <v>125</v>
      </c>
      <c r="I3131">
        <v>2030</v>
      </c>
      <c r="J3131" t="s">
        <v>3098</v>
      </c>
      <c r="K3131" t="s">
        <v>127</v>
      </c>
      <c r="L3131" t="s">
        <v>3318</v>
      </c>
      <c r="M3131" t="s">
        <v>3331</v>
      </c>
      <c r="N3131">
        <v>1</v>
      </c>
      <c r="O3131">
        <v>2030</v>
      </c>
      <c r="P3131">
        <v>5.5459437707837651</v>
      </c>
      <c r="Q3131">
        <v>3.882778380960195</v>
      </c>
      <c r="R3131" t="s">
        <v>3065</v>
      </c>
      <c r="S3131">
        <v>42.850324380957403</v>
      </c>
      <c r="T3131">
        <v>119.575</v>
      </c>
      <c r="U3131" t="s">
        <v>3066</v>
      </c>
      <c r="V3131">
        <v>119.575</v>
      </c>
      <c r="W3131">
        <v>10</v>
      </c>
      <c r="X3131">
        <v>11</v>
      </c>
      <c r="Y3131">
        <v>11</v>
      </c>
      <c r="Z3131">
        <v>0.29704003815000068</v>
      </c>
      <c r="AA3131">
        <v>1</v>
      </c>
    </row>
    <row r="3132" spans="1:27" x14ac:dyDescent="0.25">
      <c r="A3132" t="s">
        <v>98</v>
      </c>
      <c r="B3132" t="s">
        <v>99</v>
      </c>
      <c r="C3132" t="s">
        <v>689</v>
      </c>
      <c r="D3132" t="s">
        <v>1707</v>
      </c>
      <c r="E3132" t="s">
        <v>3060</v>
      </c>
      <c r="F3132" t="s">
        <v>3080</v>
      </c>
      <c r="H3132" t="s">
        <v>125</v>
      </c>
      <c r="I3132">
        <v>2040</v>
      </c>
      <c r="J3132" t="s">
        <v>3100</v>
      </c>
      <c r="K3132" t="s">
        <v>127</v>
      </c>
      <c r="L3132" t="s">
        <v>3318</v>
      </c>
      <c r="M3132" t="s">
        <v>3332</v>
      </c>
      <c r="N3132">
        <v>1</v>
      </c>
      <c r="O3132">
        <v>2040</v>
      </c>
      <c r="P3132">
        <v>5.1760341813984789</v>
      </c>
      <c r="Q3132">
        <v>3.882778380960195</v>
      </c>
      <c r="R3132" t="s">
        <v>3065</v>
      </c>
      <c r="S3132">
        <v>39.992245296151573</v>
      </c>
      <c r="T3132">
        <v>144.42500000000001</v>
      </c>
      <c r="U3132" t="s">
        <v>3066</v>
      </c>
      <c r="V3132">
        <v>144.42500000000001</v>
      </c>
      <c r="W3132">
        <v>10</v>
      </c>
      <c r="X3132">
        <v>11</v>
      </c>
      <c r="Y3132">
        <v>11</v>
      </c>
      <c r="Z3132">
        <v>0.29704003815000068</v>
      </c>
      <c r="AA3132">
        <v>1</v>
      </c>
    </row>
    <row r="3133" spans="1:27" x14ac:dyDescent="0.25">
      <c r="A3133" t="s">
        <v>98</v>
      </c>
      <c r="B3133" t="s">
        <v>99</v>
      </c>
      <c r="C3133" t="s">
        <v>689</v>
      </c>
      <c r="D3133" t="s">
        <v>1707</v>
      </c>
      <c r="E3133" t="s">
        <v>3060</v>
      </c>
      <c r="F3133" t="s">
        <v>3102</v>
      </c>
      <c r="H3133" t="s">
        <v>125</v>
      </c>
      <c r="I3133">
        <v>2015</v>
      </c>
      <c r="J3133" t="s">
        <v>3103</v>
      </c>
      <c r="K3133" t="s">
        <v>127</v>
      </c>
      <c r="L3133" t="s">
        <v>3318</v>
      </c>
      <c r="M3133" t="s">
        <v>3333</v>
      </c>
      <c r="N3133">
        <v>1</v>
      </c>
      <c r="O3133">
        <v>2020</v>
      </c>
      <c r="P3133">
        <v>2.3976621560155711</v>
      </c>
      <c r="Q3133">
        <v>3.882778380960195</v>
      </c>
      <c r="R3133" t="s">
        <v>3065</v>
      </c>
      <c r="S3133">
        <v>18.525359323412928</v>
      </c>
      <c r="T3133">
        <v>12.7</v>
      </c>
      <c r="U3133" t="s">
        <v>3066</v>
      </c>
      <c r="V3133">
        <v>12.7</v>
      </c>
      <c r="W3133">
        <v>0</v>
      </c>
      <c r="X3133">
        <v>1</v>
      </c>
      <c r="Y3133">
        <v>1</v>
      </c>
      <c r="Z3133">
        <v>0.29704003815000068</v>
      </c>
      <c r="AA3133">
        <v>1</v>
      </c>
    </row>
    <row r="3134" spans="1:27" x14ac:dyDescent="0.25">
      <c r="A3134" t="s">
        <v>98</v>
      </c>
      <c r="B3134" t="s">
        <v>99</v>
      </c>
      <c r="C3134" t="s">
        <v>689</v>
      </c>
      <c r="D3134" t="s">
        <v>1707</v>
      </c>
      <c r="E3134" t="s">
        <v>3060</v>
      </c>
      <c r="F3134" t="s">
        <v>3102</v>
      </c>
      <c r="H3134" t="s">
        <v>125</v>
      </c>
      <c r="I3134">
        <v>2022</v>
      </c>
      <c r="J3134" t="s">
        <v>3105</v>
      </c>
      <c r="K3134" t="s">
        <v>127</v>
      </c>
      <c r="L3134" t="s">
        <v>3318</v>
      </c>
      <c r="M3134" t="s">
        <v>3334</v>
      </c>
      <c r="N3134">
        <v>1</v>
      </c>
      <c r="O3134">
        <v>2022</v>
      </c>
      <c r="P3134">
        <v>3.996103593359285</v>
      </c>
      <c r="Q3134">
        <v>3.882778380960195</v>
      </c>
      <c r="R3134" t="s">
        <v>3065</v>
      </c>
      <c r="S3134">
        <v>30.875598872354889</v>
      </c>
      <c r="T3134">
        <v>9.3000000000000007</v>
      </c>
      <c r="U3134" t="s">
        <v>3066</v>
      </c>
      <c r="V3134">
        <v>9.3000000000000007</v>
      </c>
      <c r="W3134">
        <v>0</v>
      </c>
      <c r="X3134">
        <v>1</v>
      </c>
      <c r="Y3134">
        <v>1</v>
      </c>
      <c r="Z3134">
        <v>0.29704003815000068</v>
      </c>
      <c r="AA3134">
        <v>1</v>
      </c>
    </row>
    <row r="3135" spans="1:27" x14ac:dyDescent="0.25">
      <c r="A3135" t="s">
        <v>98</v>
      </c>
      <c r="B3135" t="s">
        <v>99</v>
      </c>
      <c r="C3135" t="s">
        <v>689</v>
      </c>
      <c r="D3135" t="s">
        <v>1707</v>
      </c>
      <c r="E3135" t="s">
        <v>3060</v>
      </c>
      <c r="F3135" t="s">
        <v>3107</v>
      </c>
      <c r="H3135" t="s">
        <v>125</v>
      </c>
      <c r="I3135">
        <v>2015</v>
      </c>
      <c r="J3135" t="s">
        <v>3108</v>
      </c>
      <c r="K3135" t="s">
        <v>127</v>
      </c>
      <c r="L3135" t="s">
        <v>3318</v>
      </c>
      <c r="M3135" t="s">
        <v>3335</v>
      </c>
      <c r="N3135">
        <v>1</v>
      </c>
      <c r="O3135">
        <v>2020</v>
      </c>
      <c r="P3135">
        <v>1.188030798025733</v>
      </c>
      <c r="Q3135">
        <v>3.882778380960195</v>
      </c>
      <c r="R3135" t="s">
        <v>3065</v>
      </c>
      <c r="S3135">
        <v>9.1792320971865884</v>
      </c>
      <c r="T3135">
        <v>71.5</v>
      </c>
      <c r="U3135" t="s">
        <v>3066</v>
      </c>
      <c r="V3135">
        <v>71.5</v>
      </c>
      <c r="W3135">
        <v>5</v>
      </c>
      <c r="X3135">
        <v>6</v>
      </c>
      <c r="Y3135">
        <v>6</v>
      </c>
      <c r="Z3135">
        <v>0.29704003815000068</v>
      </c>
      <c r="AA3135">
        <v>1</v>
      </c>
    </row>
    <row r="3136" spans="1:27" x14ac:dyDescent="0.25">
      <c r="A3136" t="s">
        <v>98</v>
      </c>
      <c r="B3136" t="s">
        <v>99</v>
      </c>
      <c r="C3136" t="s">
        <v>689</v>
      </c>
      <c r="D3136" t="s">
        <v>1707</v>
      </c>
      <c r="E3136" t="s">
        <v>3060</v>
      </c>
      <c r="F3136" t="s">
        <v>3110</v>
      </c>
      <c r="H3136" t="s">
        <v>125</v>
      </c>
      <c r="I3136">
        <v>2015</v>
      </c>
      <c r="J3136" t="s">
        <v>3111</v>
      </c>
      <c r="K3136" t="s">
        <v>127</v>
      </c>
      <c r="L3136" t="s">
        <v>3318</v>
      </c>
      <c r="M3136" t="s">
        <v>3336</v>
      </c>
      <c r="N3136">
        <v>0</v>
      </c>
      <c r="O3136">
        <v>2020</v>
      </c>
      <c r="P3136">
        <v>7.0633831082620873</v>
      </c>
      <c r="Q3136">
        <v>3.882778380960195</v>
      </c>
      <c r="R3136" t="s">
        <v>3065</v>
      </c>
      <c r="S3136">
        <v>54.574707196000261</v>
      </c>
      <c r="T3136">
        <v>90</v>
      </c>
      <c r="U3136" t="s">
        <v>3066</v>
      </c>
      <c r="V3136">
        <v>90</v>
      </c>
      <c r="W3136">
        <v>8</v>
      </c>
      <c r="X3136">
        <v>9</v>
      </c>
      <c r="Y3136">
        <v>9</v>
      </c>
      <c r="Z3136">
        <v>0.29704003815000068</v>
      </c>
      <c r="AA3136">
        <v>1</v>
      </c>
    </row>
    <row r="3137" spans="1:27" x14ac:dyDescent="0.25">
      <c r="A3137" t="s">
        <v>98</v>
      </c>
      <c r="B3137" t="s">
        <v>99</v>
      </c>
      <c r="C3137" t="s">
        <v>689</v>
      </c>
      <c r="D3137" t="s">
        <v>1707</v>
      </c>
      <c r="E3137" t="s">
        <v>3060</v>
      </c>
      <c r="F3137" t="s">
        <v>3110</v>
      </c>
      <c r="H3137" t="s">
        <v>125</v>
      </c>
      <c r="I3137">
        <v>2020</v>
      </c>
      <c r="J3137" t="s">
        <v>3113</v>
      </c>
      <c r="K3137" t="s">
        <v>127</v>
      </c>
      <c r="L3137" t="s">
        <v>3318</v>
      </c>
      <c r="M3137" t="s">
        <v>3336</v>
      </c>
      <c r="N3137">
        <v>1</v>
      </c>
      <c r="O3137">
        <v>2020</v>
      </c>
      <c r="P3137">
        <v>4.449715352605474</v>
      </c>
      <c r="Q3137">
        <v>3.882778380960195</v>
      </c>
      <c r="R3137" t="s">
        <v>3065</v>
      </c>
      <c r="S3137">
        <v>34.380396582189768</v>
      </c>
      <c r="T3137">
        <v>89.2</v>
      </c>
      <c r="U3137" t="s">
        <v>3066</v>
      </c>
      <c r="V3137">
        <v>89.2</v>
      </c>
      <c r="W3137">
        <v>11</v>
      </c>
      <c r="X3137">
        <v>12</v>
      </c>
      <c r="Y3137">
        <v>12</v>
      </c>
      <c r="Z3137">
        <v>0.29704003815000068</v>
      </c>
      <c r="AA3137">
        <v>1</v>
      </c>
    </row>
    <row r="3138" spans="1:27" x14ac:dyDescent="0.25">
      <c r="A3138" t="s">
        <v>98</v>
      </c>
      <c r="B3138" t="s">
        <v>99</v>
      </c>
      <c r="C3138" t="s">
        <v>689</v>
      </c>
      <c r="D3138" t="s">
        <v>1707</v>
      </c>
      <c r="E3138" t="s">
        <v>3060</v>
      </c>
      <c r="F3138" t="s">
        <v>3110</v>
      </c>
      <c r="H3138" t="s">
        <v>125</v>
      </c>
      <c r="I3138">
        <v>2022</v>
      </c>
      <c r="J3138" t="s">
        <v>3114</v>
      </c>
      <c r="K3138" t="s">
        <v>127</v>
      </c>
      <c r="L3138" t="s">
        <v>3318</v>
      </c>
      <c r="M3138" t="s">
        <v>3337</v>
      </c>
      <c r="N3138">
        <v>1</v>
      </c>
      <c r="O3138">
        <v>2022</v>
      </c>
      <c r="P3138">
        <v>4.4065142326772646</v>
      </c>
      <c r="Q3138">
        <v>3.882778380960195</v>
      </c>
      <c r="R3138" t="s">
        <v>3065</v>
      </c>
      <c r="S3138">
        <v>34.04660632411025</v>
      </c>
      <c r="T3138">
        <v>89.2</v>
      </c>
      <c r="U3138" t="s">
        <v>3066</v>
      </c>
      <c r="V3138">
        <v>89.2</v>
      </c>
      <c r="W3138">
        <v>11</v>
      </c>
      <c r="X3138">
        <v>12</v>
      </c>
      <c r="Y3138">
        <v>12</v>
      </c>
      <c r="Z3138">
        <v>0.29704003815000068</v>
      </c>
      <c r="AA3138">
        <v>1</v>
      </c>
    </row>
    <row r="3139" spans="1:27" x14ac:dyDescent="0.25">
      <c r="A3139" t="s">
        <v>98</v>
      </c>
      <c r="B3139" t="s">
        <v>99</v>
      </c>
      <c r="C3139" t="s">
        <v>689</v>
      </c>
      <c r="D3139" t="s">
        <v>1707</v>
      </c>
      <c r="E3139" t="s">
        <v>3060</v>
      </c>
      <c r="F3139" t="s">
        <v>3110</v>
      </c>
      <c r="H3139" t="s">
        <v>125</v>
      </c>
      <c r="I3139">
        <v>2030</v>
      </c>
      <c r="J3139" t="s">
        <v>3116</v>
      </c>
      <c r="K3139" t="s">
        <v>127</v>
      </c>
      <c r="L3139" t="s">
        <v>3318</v>
      </c>
      <c r="M3139" t="s">
        <v>3338</v>
      </c>
      <c r="N3139">
        <v>1</v>
      </c>
      <c r="O3139">
        <v>2030</v>
      </c>
      <c r="P3139">
        <v>4.2337097529644314</v>
      </c>
      <c r="Q3139">
        <v>3.882778380960195</v>
      </c>
      <c r="R3139" t="s">
        <v>3065</v>
      </c>
      <c r="S3139">
        <v>32.711445291792209</v>
      </c>
      <c r="T3139">
        <v>89.2</v>
      </c>
      <c r="U3139" t="s">
        <v>3066</v>
      </c>
      <c r="V3139">
        <v>89.2</v>
      </c>
      <c r="W3139">
        <v>11</v>
      </c>
      <c r="X3139">
        <v>12</v>
      </c>
      <c r="Y3139">
        <v>12</v>
      </c>
      <c r="Z3139">
        <v>0.29704003815000068</v>
      </c>
      <c r="AA3139">
        <v>1</v>
      </c>
    </row>
    <row r="3140" spans="1:27" x14ac:dyDescent="0.25">
      <c r="A3140" t="s">
        <v>98</v>
      </c>
      <c r="B3140" t="s">
        <v>99</v>
      </c>
      <c r="C3140" t="s">
        <v>689</v>
      </c>
      <c r="D3140" t="s">
        <v>1707</v>
      </c>
      <c r="E3140" t="s">
        <v>3060</v>
      </c>
      <c r="F3140" t="s">
        <v>3110</v>
      </c>
      <c r="H3140" t="s">
        <v>125</v>
      </c>
      <c r="I3140">
        <v>2040</v>
      </c>
      <c r="J3140" t="s">
        <v>3118</v>
      </c>
      <c r="K3140" t="s">
        <v>127</v>
      </c>
      <c r="L3140" t="s">
        <v>3318</v>
      </c>
      <c r="M3140" t="s">
        <v>3339</v>
      </c>
      <c r="N3140">
        <v>1</v>
      </c>
      <c r="O3140">
        <v>2040</v>
      </c>
      <c r="P3140">
        <v>4.0285044333054412</v>
      </c>
      <c r="Q3140">
        <v>3.882778380960195</v>
      </c>
      <c r="R3140" t="s">
        <v>3065</v>
      </c>
      <c r="S3140">
        <v>31.12594156591452</v>
      </c>
      <c r="T3140">
        <v>89.2</v>
      </c>
      <c r="U3140" t="s">
        <v>3066</v>
      </c>
      <c r="V3140">
        <v>89.2</v>
      </c>
      <c r="W3140">
        <v>11</v>
      </c>
      <c r="X3140">
        <v>12</v>
      </c>
      <c r="Y3140">
        <v>12</v>
      </c>
      <c r="Z3140">
        <v>0.29704003815000068</v>
      </c>
      <c r="AA3140">
        <v>1</v>
      </c>
    </row>
    <row r="3141" spans="1:27" x14ac:dyDescent="0.25">
      <c r="A3141" t="s">
        <v>98</v>
      </c>
      <c r="B3141" t="s">
        <v>519</v>
      </c>
      <c r="C3141" t="s">
        <v>689</v>
      </c>
      <c r="D3141" t="s">
        <v>1707</v>
      </c>
      <c r="E3141" t="s">
        <v>3060</v>
      </c>
      <c r="F3141" t="s">
        <v>3061</v>
      </c>
      <c r="H3141" t="s">
        <v>125</v>
      </c>
      <c r="I3141">
        <v>2015</v>
      </c>
      <c r="J3141" t="s">
        <v>3062</v>
      </c>
      <c r="K3141" t="s">
        <v>127</v>
      </c>
      <c r="L3141" t="s">
        <v>3340</v>
      </c>
      <c r="M3141" t="s">
        <v>3341</v>
      </c>
      <c r="N3141">
        <v>0</v>
      </c>
      <c r="O3141">
        <v>2020</v>
      </c>
      <c r="P3141">
        <v>4.9303278118067926</v>
      </c>
      <c r="Q3141">
        <v>7.2601625504301888</v>
      </c>
      <c r="R3141" t="s">
        <v>3065</v>
      </c>
      <c r="S3141">
        <v>40.745598552869772</v>
      </c>
      <c r="T3141">
        <v>15.7</v>
      </c>
      <c r="U3141" t="s">
        <v>3066</v>
      </c>
      <c r="V3141">
        <v>15.7</v>
      </c>
      <c r="W3141">
        <v>0</v>
      </c>
      <c r="X3141">
        <v>1</v>
      </c>
      <c r="Y3141">
        <v>1</v>
      </c>
      <c r="Z3141">
        <v>0.3042078488582064</v>
      </c>
      <c r="AA3141">
        <v>1</v>
      </c>
    </row>
    <row r="3142" spans="1:27" x14ac:dyDescent="0.25">
      <c r="A3142" t="s">
        <v>98</v>
      </c>
      <c r="B3142" t="s">
        <v>519</v>
      </c>
      <c r="C3142" t="s">
        <v>689</v>
      </c>
      <c r="D3142" t="s">
        <v>1707</v>
      </c>
      <c r="E3142" t="s">
        <v>3060</v>
      </c>
      <c r="F3142" t="s">
        <v>3061</v>
      </c>
      <c r="H3142" t="s">
        <v>125</v>
      </c>
      <c r="I3142">
        <v>2020</v>
      </c>
      <c r="J3142" t="s">
        <v>3067</v>
      </c>
      <c r="K3142" t="s">
        <v>127</v>
      </c>
      <c r="L3142" t="s">
        <v>3340</v>
      </c>
      <c r="M3142" t="s">
        <v>3341</v>
      </c>
      <c r="N3142">
        <v>1</v>
      </c>
      <c r="O3142">
        <v>2020</v>
      </c>
      <c r="P3142">
        <v>7.0363824083069577</v>
      </c>
      <c r="Q3142">
        <v>7.2601625504301888</v>
      </c>
      <c r="R3142" t="s">
        <v>3065</v>
      </c>
      <c r="S3142">
        <v>58.150618745223788</v>
      </c>
      <c r="T3142">
        <v>15.7</v>
      </c>
      <c r="U3142" t="s">
        <v>3066</v>
      </c>
      <c r="V3142">
        <v>15.7</v>
      </c>
      <c r="W3142">
        <v>0</v>
      </c>
      <c r="X3142">
        <v>1</v>
      </c>
      <c r="Y3142">
        <v>1</v>
      </c>
      <c r="Z3142">
        <v>0.3042078488582064</v>
      </c>
      <c r="AA3142">
        <v>1</v>
      </c>
    </row>
    <row r="3143" spans="1:27" x14ac:dyDescent="0.25">
      <c r="A3143" t="s">
        <v>98</v>
      </c>
      <c r="B3143" t="s">
        <v>519</v>
      </c>
      <c r="C3143" t="s">
        <v>689</v>
      </c>
      <c r="D3143" t="s">
        <v>1707</v>
      </c>
      <c r="E3143" t="s">
        <v>3060</v>
      </c>
      <c r="F3143" t="s">
        <v>3061</v>
      </c>
      <c r="H3143" t="s">
        <v>125</v>
      </c>
      <c r="I3143">
        <v>2022</v>
      </c>
      <c r="J3143" t="s">
        <v>3068</v>
      </c>
      <c r="K3143" t="s">
        <v>127</v>
      </c>
      <c r="L3143" t="s">
        <v>3340</v>
      </c>
      <c r="M3143" t="s">
        <v>3342</v>
      </c>
      <c r="N3143">
        <v>1</v>
      </c>
      <c r="O3143">
        <v>2022</v>
      </c>
      <c r="P3143">
        <v>7.8788042469070234</v>
      </c>
      <c r="Q3143">
        <v>7.2601625504301888</v>
      </c>
      <c r="R3143" t="s">
        <v>3065</v>
      </c>
      <c r="S3143">
        <v>65.112626822165382</v>
      </c>
      <c r="T3143">
        <v>15.7</v>
      </c>
      <c r="U3143" t="s">
        <v>3066</v>
      </c>
      <c r="V3143">
        <v>15.7</v>
      </c>
      <c r="W3143">
        <v>0</v>
      </c>
      <c r="X3143">
        <v>1</v>
      </c>
      <c r="Y3143">
        <v>1</v>
      </c>
      <c r="Z3143">
        <v>0.3042078488582064</v>
      </c>
      <c r="AA3143">
        <v>1</v>
      </c>
    </row>
    <row r="3144" spans="1:27" x14ac:dyDescent="0.25">
      <c r="A3144" t="s">
        <v>98</v>
      </c>
      <c r="B3144" t="s">
        <v>519</v>
      </c>
      <c r="C3144" t="s">
        <v>689</v>
      </c>
      <c r="D3144" t="s">
        <v>1707</v>
      </c>
      <c r="E3144" t="s">
        <v>3060</v>
      </c>
      <c r="F3144" t="s">
        <v>3070</v>
      </c>
      <c r="H3144" t="s">
        <v>125</v>
      </c>
      <c r="I3144">
        <v>2015</v>
      </c>
      <c r="J3144" t="s">
        <v>3071</v>
      </c>
      <c r="K3144" t="s">
        <v>127</v>
      </c>
      <c r="L3144" t="s">
        <v>3340</v>
      </c>
      <c r="M3144" t="s">
        <v>3343</v>
      </c>
      <c r="N3144">
        <v>0</v>
      </c>
      <c r="O3144">
        <v>2020</v>
      </c>
      <c r="P3144">
        <v>4.7269225388114773</v>
      </c>
      <c r="Q3144">
        <v>7.2601625504301888</v>
      </c>
      <c r="R3144" t="s">
        <v>3065</v>
      </c>
      <c r="S3144">
        <v>39.064600876172321</v>
      </c>
      <c r="T3144">
        <v>59.066666666666663</v>
      </c>
      <c r="U3144" t="s">
        <v>3066</v>
      </c>
      <c r="V3144">
        <v>59.066666666666663</v>
      </c>
      <c r="W3144">
        <v>3</v>
      </c>
      <c r="X3144">
        <v>4</v>
      </c>
      <c r="Y3144">
        <v>4</v>
      </c>
      <c r="Z3144">
        <v>0.3042078488582064</v>
      </c>
      <c r="AA3144">
        <v>1</v>
      </c>
    </row>
    <row r="3145" spans="1:27" x14ac:dyDescent="0.25">
      <c r="A3145" t="s">
        <v>98</v>
      </c>
      <c r="B3145" t="s">
        <v>519</v>
      </c>
      <c r="C3145" t="s">
        <v>689</v>
      </c>
      <c r="D3145" t="s">
        <v>1707</v>
      </c>
      <c r="E3145" t="s">
        <v>3060</v>
      </c>
      <c r="F3145" t="s">
        <v>3070</v>
      </c>
      <c r="H3145" t="s">
        <v>125</v>
      </c>
      <c r="I3145">
        <v>2020</v>
      </c>
      <c r="J3145" t="s">
        <v>3073</v>
      </c>
      <c r="K3145" t="s">
        <v>127</v>
      </c>
      <c r="L3145" t="s">
        <v>3340</v>
      </c>
      <c r="M3145" t="s">
        <v>3343</v>
      </c>
      <c r="N3145">
        <v>1</v>
      </c>
      <c r="O3145">
        <v>2020</v>
      </c>
      <c r="P3145">
        <v>6.2353616429714247</v>
      </c>
      <c r="Q3145">
        <v>7.2601625504301888</v>
      </c>
      <c r="R3145" t="s">
        <v>3065</v>
      </c>
      <c r="S3145">
        <v>51.53076063787546</v>
      </c>
      <c r="T3145">
        <v>59.933333333333337</v>
      </c>
      <c r="U3145" t="s">
        <v>3066</v>
      </c>
      <c r="V3145">
        <v>59.933333333333337</v>
      </c>
      <c r="W3145">
        <v>3</v>
      </c>
      <c r="X3145">
        <v>4</v>
      </c>
      <c r="Y3145">
        <v>4</v>
      </c>
      <c r="Z3145">
        <v>0.3042078488582064</v>
      </c>
      <c r="AA3145">
        <v>1</v>
      </c>
    </row>
    <row r="3146" spans="1:27" x14ac:dyDescent="0.25">
      <c r="A3146" t="s">
        <v>98</v>
      </c>
      <c r="B3146" t="s">
        <v>519</v>
      </c>
      <c r="C3146" t="s">
        <v>689</v>
      </c>
      <c r="D3146" t="s">
        <v>1707</v>
      </c>
      <c r="E3146" t="s">
        <v>3060</v>
      </c>
      <c r="F3146" t="s">
        <v>3070</v>
      </c>
      <c r="H3146" t="s">
        <v>125</v>
      </c>
      <c r="I3146">
        <v>2022</v>
      </c>
      <c r="J3146" t="s">
        <v>3074</v>
      </c>
      <c r="K3146" t="s">
        <v>127</v>
      </c>
      <c r="L3146" t="s">
        <v>3340</v>
      </c>
      <c r="M3146" t="s">
        <v>3344</v>
      </c>
      <c r="N3146">
        <v>1</v>
      </c>
      <c r="O3146">
        <v>2022</v>
      </c>
      <c r="P3146">
        <v>5.7403488104607021</v>
      </c>
      <c r="Q3146">
        <v>7.2601625504301888</v>
      </c>
      <c r="R3146" t="s">
        <v>3065</v>
      </c>
      <c r="S3146">
        <v>47.43983708839054</v>
      </c>
      <c r="T3146">
        <v>65.8</v>
      </c>
      <c r="U3146" t="s">
        <v>3066</v>
      </c>
      <c r="V3146">
        <v>65.8</v>
      </c>
      <c r="W3146">
        <v>3</v>
      </c>
      <c r="X3146">
        <v>4</v>
      </c>
      <c r="Y3146">
        <v>4</v>
      </c>
      <c r="Z3146">
        <v>0.3042078488582064</v>
      </c>
      <c r="AA3146">
        <v>1</v>
      </c>
    </row>
    <row r="3147" spans="1:27" x14ac:dyDescent="0.25">
      <c r="A3147" t="s">
        <v>98</v>
      </c>
      <c r="B3147" t="s">
        <v>519</v>
      </c>
      <c r="C3147" t="s">
        <v>689</v>
      </c>
      <c r="D3147" t="s">
        <v>1707</v>
      </c>
      <c r="E3147" t="s">
        <v>3060</v>
      </c>
      <c r="F3147" t="s">
        <v>3070</v>
      </c>
      <c r="H3147" t="s">
        <v>125</v>
      </c>
      <c r="I3147">
        <v>2030</v>
      </c>
      <c r="J3147" t="s">
        <v>3076</v>
      </c>
      <c r="K3147" t="s">
        <v>127</v>
      </c>
      <c r="L3147" t="s">
        <v>3340</v>
      </c>
      <c r="M3147" t="s">
        <v>3345</v>
      </c>
      <c r="N3147">
        <v>1</v>
      </c>
      <c r="O3147">
        <v>2030</v>
      </c>
      <c r="P3147">
        <v>5.513542930837608</v>
      </c>
      <c r="Q3147">
        <v>7.2601625504301888</v>
      </c>
      <c r="R3147" t="s">
        <v>3065</v>
      </c>
      <c r="S3147">
        <v>45.56545029844473</v>
      </c>
      <c r="T3147">
        <v>68.5</v>
      </c>
      <c r="U3147" t="s">
        <v>3066</v>
      </c>
      <c r="V3147">
        <v>68.5</v>
      </c>
      <c r="W3147">
        <v>3</v>
      </c>
      <c r="X3147">
        <v>4</v>
      </c>
      <c r="Y3147">
        <v>4</v>
      </c>
      <c r="Z3147">
        <v>0.3042078488582064</v>
      </c>
      <c r="AA3147">
        <v>1</v>
      </c>
    </row>
    <row r="3148" spans="1:27" x14ac:dyDescent="0.25">
      <c r="A3148" t="s">
        <v>98</v>
      </c>
      <c r="B3148" t="s">
        <v>519</v>
      </c>
      <c r="C3148" t="s">
        <v>689</v>
      </c>
      <c r="D3148" t="s">
        <v>1707</v>
      </c>
      <c r="E3148" t="s">
        <v>3060</v>
      </c>
      <c r="F3148" t="s">
        <v>3070</v>
      </c>
      <c r="H3148" t="s">
        <v>125</v>
      </c>
      <c r="I3148">
        <v>2040</v>
      </c>
      <c r="J3148" t="s">
        <v>3078</v>
      </c>
      <c r="K3148" t="s">
        <v>127</v>
      </c>
      <c r="L3148" t="s">
        <v>3340</v>
      </c>
      <c r="M3148" t="s">
        <v>3346</v>
      </c>
      <c r="N3148">
        <v>1</v>
      </c>
      <c r="O3148">
        <v>2040</v>
      </c>
      <c r="P3148">
        <v>5.2435359312863046</v>
      </c>
      <c r="Q3148">
        <v>7.2601625504301888</v>
      </c>
      <c r="R3148" t="s">
        <v>3065</v>
      </c>
      <c r="S3148">
        <v>43.334037453271137</v>
      </c>
      <c r="T3148">
        <v>72</v>
      </c>
      <c r="U3148" t="s">
        <v>3066</v>
      </c>
      <c r="V3148">
        <v>72</v>
      </c>
      <c r="W3148">
        <v>3</v>
      </c>
      <c r="X3148">
        <v>4</v>
      </c>
      <c r="Y3148">
        <v>4</v>
      </c>
      <c r="Z3148">
        <v>0.3042078488582064</v>
      </c>
      <c r="AA3148">
        <v>1</v>
      </c>
    </row>
    <row r="3149" spans="1:27" x14ac:dyDescent="0.25">
      <c r="A3149" t="s">
        <v>98</v>
      </c>
      <c r="B3149" t="s">
        <v>519</v>
      </c>
      <c r="C3149" t="s">
        <v>689</v>
      </c>
      <c r="D3149" t="s">
        <v>1707</v>
      </c>
      <c r="E3149" t="s">
        <v>3060</v>
      </c>
      <c r="F3149" t="s">
        <v>3080</v>
      </c>
      <c r="H3149" t="s">
        <v>125</v>
      </c>
      <c r="I3149">
        <v>2015</v>
      </c>
      <c r="J3149" t="s">
        <v>3081</v>
      </c>
      <c r="K3149" t="s">
        <v>127</v>
      </c>
      <c r="L3149" t="s">
        <v>3340</v>
      </c>
      <c r="M3149" t="s">
        <v>3347</v>
      </c>
      <c r="N3149">
        <v>0</v>
      </c>
      <c r="O3149">
        <v>2020</v>
      </c>
      <c r="P3149">
        <v>21.61676038407732</v>
      </c>
      <c r="Q3149">
        <v>7.2601625504301888</v>
      </c>
      <c r="R3149" t="s">
        <v>3065</v>
      </c>
      <c r="S3149">
        <v>178.6469123845977</v>
      </c>
      <c r="T3149">
        <v>79.849999999999994</v>
      </c>
      <c r="U3149" t="s">
        <v>3066</v>
      </c>
      <c r="V3149">
        <v>79.849999999999994</v>
      </c>
      <c r="W3149">
        <v>12</v>
      </c>
      <c r="X3149">
        <v>13</v>
      </c>
      <c r="Y3149">
        <v>13</v>
      </c>
      <c r="Z3149">
        <v>0.3042078488582064</v>
      </c>
      <c r="AA3149">
        <v>1</v>
      </c>
    </row>
    <row r="3150" spans="1:27" x14ac:dyDescent="0.25">
      <c r="A3150" t="s">
        <v>98</v>
      </c>
      <c r="B3150" t="s">
        <v>519</v>
      </c>
      <c r="C3150" t="s">
        <v>689</v>
      </c>
      <c r="D3150" t="s">
        <v>1707</v>
      </c>
      <c r="E3150" t="s">
        <v>3060</v>
      </c>
      <c r="F3150" t="s">
        <v>3080</v>
      </c>
      <c r="H3150" t="s">
        <v>125</v>
      </c>
      <c r="I3150">
        <v>2016</v>
      </c>
      <c r="J3150" t="s">
        <v>3083</v>
      </c>
      <c r="K3150" t="s">
        <v>127</v>
      </c>
      <c r="L3150" t="s">
        <v>3340</v>
      </c>
      <c r="M3150" t="s">
        <v>3347</v>
      </c>
      <c r="N3150">
        <v>0</v>
      </c>
      <c r="O3150">
        <v>2020</v>
      </c>
      <c r="P3150">
        <v>21.128047714889458</v>
      </c>
      <c r="Q3150">
        <v>7.2601625504301888</v>
      </c>
      <c r="R3150" t="s">
        <v>3065</v>
      </c>
      <c r="S3150">
        <v>174.60805513483351</v>
      </c>
      <c r="T3150">
        <v>83.025000000000006</v>
      </c>
      <c r="U3150" t="s">
        <v>3066</v>
      </c>
      <c r="V3150">
        <v>83.025000000000006</v>
      </c>
      <c r="W3150">
        <v>11</v>
      </c>
      <c r="X3150">
        <v>12</v>
      </c>
      <c r="Y3150">
        <v>12</v>
      </c>
      <c r="Z3150">
        <v>0.3042078488582064</v>
      </c>
      <c r="AA3150">
        <v>1</v>
      </c>
    </row>
    <row r="3151" spans="1:27" x14ac:dyDescent="0.25">
      <c r="A3151" t="s">
        <v>98</v>
      </c>
      <c r="B3151" t="s">
        <v>519</v>
      </c>
      <c r="C3151" t="s">
        <v>689</v>
      </c>
      <c r="D3151" t="s">
        <v>1707</v>
      </c>
      <c r="E3151" t="s">
        <v>3060</v>
      </c>
      <c r="F3151" t="s">
        <v>3080</v>
      </c>
      <c r="H3151" t="s">
        <v>125</v>
      </c>
      <c r="I3151">
        <v>2017</v>
      </c>
      <c r="J3151" t="s">
        <v>3084</v>
      </c>
      <c r="K3151" t="s">
        <v>127</v>
      </c>
      <c r="L3151" t="s">
        <v>3340</v>
      </c>
      <c r="M3151" t="s">
        <v>3347</v>
      </c>
      <c r="N3151">
        <v>0</v>
      </c>
      <c r="O3151">
        <v>2020</v>
      </c>
      <c r="P3151">
        <v>17.431651891032121</v>
      </c>
      <c r="Q3151">
        <v>7.2601625504301888</v>
      </c>
      <c r="R3151" t="s">
        <v>3065</v>
      </c>
      <c r="S3151">
        <v>144.06001328440701</v>
      </c>
      <c r="T3151">
        <v>86.2</v>
      </c>
      <c r="U3151" t="s">
        <v>3066</v>
      </c>
      <c r="V3151">
        <v>86.2</v>
      </c>
      <c r="W3151">
        <v>11</v>
      </c>
      <c r="X3151">
        <v>12</v>
      </c>
      <c r="Y3151">
        <v>12</v>
      </c>
      <c r="Z3151">
        <v>0.3042078488582064</v>
      </c>
      <c r="AA3151">
        <v>1</v>
      </c>
    </row>
    <row r="3152" spans="1:27" x14ac:dyDescent="0.25">
      <c r="A3152" t="s">
        <v>98</v>
      </c>
      <c r="B3152" t="s">
        <v>519</v>
      </c>
      <c r="C3152" t="s">
        <v>689</v>
      </c>
      <c r="D3152" t="s">
        <v>1707</v>
      </c>
      <c r="E3152" t="s">
        <v>3060</v>
      </c>
      <c r="F3152" t="s">
        <v>3080</v>
      </c>
      <c r="H3152" t="s">
        <v>125</v>
      </c>
      <c r="I3152">
        <v>2018</v>
      </c>
      <c r="J3152" t="s">
        <v>3085</v>
      </c>
      <c r="K3152" t="s">
        <v>127</v>
      </c>
      <c r="L3152" t="s">
        <v>3340</v>
      </c>
      <c r="M3152" t="s">
        <v>3347</v>
      </c>
      <c r="N3152">
        <v>0</v>
      </c>
      <c r="O3152">
        <v>2020</v>
      </c>
      <c r="P3152">
        <v>15.33639757451401</v>
      </c>
      <c r="Q3152">
        <v>7.2601625504301888</v>
      </c>
      <c r="R3152" t="s">
        <v>3065</v>
      </c>
      <c r="S3152">
        <v>126.74424960586001</v>
      </c>
      <c r="T3152">
        <v>89.35</v>
      </c>
      <c r="U3152" t="s">
        <v>3066</v>
      </c>
      <c r="V3152">
        <v>89.35</v>
      </c>
      <c r="W3152">
        <v>11</v>
      </c>
      <c r="X3152">
        <v>12</v>
      </c>
      <c r="Y3152">
        <v>12</v>
      </c>
      <c r="Z3152">
        <v>0.3042078488582064</v>
      </c>
      <c r="AA3152">
        <v>1</v>
      </c>
    </row>
    <row r="3153" spans="1:27" x14ac:dyDescent="0.25">
      <c r="A3153" t="s">
        <v>98</v>
      </c>
      <c r="B3153" t="s">
        <v>519</v>
      </c>
      <c r="C3153" t="s">
        <v>689</v>
      </c>
      <c r="D3153" t="s">
        <v>1707</v>
      </c>
      <c r="E3153" t="s">
        <v>3060</v>
      </c>
      <c r="F3153" t="s">
        <v>3080</v>
      </c>
      <c r="H3153" t="s">
        <v>125</v>
      </c>
      <c r="I3153">
        <v>2019</v>
      </c>
      <c r="J3153" t="s">
        <v>3086</v>
      </c>
      <c r="K3153" t="s">
        <v>127</v>
      </c>
      <c r="L3153" t="s">
        <v>3340</v>
      </c>
      <c r="M3153" t="s">
        <v>3347</v>
      </c>
      <c r="N3153">
        <v>0</v>
      </c>
      <c r="O3153">
        <v>2020</v>
      </c>
      <c r="P3153">
        <v>13.24384332799141</v>
      </c>
      <c r="Q3153">
        <v>7.2601625504301888</v>
      </c>
      <c r="R3153" t="s">
        <v>3065</v>
      </c>
      <c r="S3153">
        <v>109.4508000557646</v>
      </c>
      <c r="T3153">
        <v>92.55</v>
      </c>
      <c r="U3153" t="s">
        <v>3066</v>
      </c>
      <c r="V3153">
        <v>92.55</v>
      </c>
      <c r="W3153">
        <v>11</v>
      </c>
      <c r="X3153">
        <v>12</v>
      </c>
      <c r="Y3153">
        <v>12</v>
      </c>
      <c r="Z3153">
        <v>0.3042078488582064</v>
      </c>
      <c r="AA3153">
        <v>1</v>
      </c>
    </row>
    <row r="3154" spans="1:27" x14ac:dyDescent="0.25">
      <c r="A3154" t="s">
        <v>98</v>
      </c>
      <c r="B3154" t="s">
        <v>519</v>
      </c>
      <c r="C3154" t="s">
        <v>689</v>
      </c>
      <c r="D3154" t="s">
        <v>1707</v>
      </c>
      <c r="E3154" t="s">
        <v>3060</v>
      </c>
      <c r="F3154" t="s">
        <v>3080</v>
      </c>
      <c r="H3154" t="s">
        <v>125</v>
      </c>
      <c r="I3154">
        <v>2020</v>
      </c>
      <c r="J3154" t="s">
        <v>3087</v>
      </c>
      <c r="K3154" t="s">
        <v>127</v>
      </c>
      <c r="L3154" t="s">
        <v>3340</v>
      </c>
      <c r="M3154" t="s">
        <v>3347</v>
      </c>
      <c r="N3154">
        <v>1</v>
      </c>
      <c r="O3154">
        <v>2020</v>
      </c>
      <c r="P3154">
        <v>11.1485890114733</v>
      </c>
      <c r="Q3154">
        <v>7.2601625504301888</v>
      </c>
      <c r="R3154" t="s">
        <v>3065</v>
      </c>
      <c r="S3154">
        <v>92.135036377217588</v>
      </c>
      <c r="T3154">
        <v>95.699999999999989</v>
      </c>
      <c r="U3154" t="s">
        <v>3066</v>
      </c>
      <c r="V3154">
        <v>95.699999999999989</v>
      </c>
      <c r="W3154">
        <v>10</v>
      </c>
      <c r="X3154">
        <v>11</v>
      </c>
      <c r="Y3154">
        <v>11</v>
      </c>
      <c r="Z3154">
        <v>0.3042078488582064</v>
      </c>
      <c r="AA3154">
        <v>1</v>
      </c>
    </row>
    <row r="3155" spans="1:27" x14ac:dyDescent="0.25">
      <c r="A3155" t="s">
        <v>98</v>
      </c>
      <c r="B3155" t="s">
        <v>519</v>
      </c>
      <c r="C3155" t="s">
        <v>689</v>
      </c>
      <c r="D3155" t="s">
        <v>1707</v>
      </c>
      <c r="E3155" t="s">
        <v>3060</v>
      </c>
      <c r="F3155" t="s">
        <v>3080</v>
      </c>
      <c r="H3155" t="s">
        <v>125</v>
      </c>
      <c r="I3155">
        <v>2021</v>
      </c>
      <c r="J3155" t="s">
        <v>3088</v>
      </c>
      <c r="K3155" t="s">
        <v>127</v>
      </c>
      <c r="L3155" t="s">
        <v>3340</v>
      </c>
      <c r="M3155" t="s">
        <v>3348</v>
      </c>
      <c r="N3155">
        <v>1</v>
      </c>
      <c r="O3155">
        <v>2021</v>
      </c>
      <c r="P3155">
        <v>8.8076283253635061</v>
      </c>
      <c r="Q3155">
        <v>7.2601625504301888</v>
      </c>
      <c r="R3155" t="s">
        <v>3065</v>
      </c>
      <c r="S3155">
        <v>72.788687009562551</v>
      </c>
      <c r="T3155">
        <v>97.949999999999989</v>
      </c>
      <c r="U3155" t="s">
        <v>3066</v>
      </c>
      <c r="V3155">
        <v>97.949999999999989</v>
      </c>
      <c r="W3155">
        <v>10</v>
      </c>
      <c r="X3155">
        <v>11</v>
      </c>
      <c r="Y3155">
        <v>11</v>
      </c>
      <c r="Z3155">
        <v>0.3042078488582064</v>
      </c>
      <c r="AA3155">
        <v>1</v>
      </c>
    </row>
    <row r="3156" spans="1:27" x14ac:dyDescent="0.25">
      <c r="A3156" t="s">
        <v>98</v>
      </c>
      <c r="B3156" t="s">
        <v>519</v>
      </c>
      <c r="C3156" t="s">
        <v>689</v>
      </c>
      <c r="D3156" t="s">
        <v>1707</v>
      </c>
      <c r="E3156" t="s">
        <v>3060</v>
      </c>
      <c r="F3156" t="s">
        <v>3080</v>
      </c>
      <c r="H3156" t="s">
        <v>125</v>
      </c>
      <c r="I3156">
        <v>2022</v>
      </c>
      <c r="J3156" t="s">
        <v>3090</v>
      </c>
      <c r="K3156" t="s">
        <v>127</v>
      </c>
      <c r="L3156" t="s">
        <v>3340</v>
      </c>
      <c r="M3156" t="s">
        <v>3349</v>
      </c>
      <c r="N3156">
        <v>1</v>
      </c>
      <c r="O3156">
        <v>2022</v>
      </c>
      <c r="P3156">
        <v>6.4693677092492212</v>
      </c>
      <c r="Q3156">
        <v>7.2601625504301888</v>
      </c>
      <c r="R3156" t="s">
        <v>3065</v>
      </c>
      <c r="S3156">
        <v>53.464651770359247</v>
      </c>
      <c r="T3156">
        <v>100.22499999999999</v>
      </c>
      <c r="U3156" t="s">
        <v>3066</v>
      </c>
      <c r="V3156">
        <v>100.22499999999999</v>
      </c>
      <c r="W3156">
        <v>9</v>
      </c>
      <c r="X3156">
        <v>10</v>
      </c>
      <c r="Y3156">
        <v>10</v>
      </c>
      <c r="Z3156">
        <v>0.3042078488582064</v>
      </c>
      <c r="AA3156">
        <v>1</v>
      </c>
    </row>
    <row r="3157" spans="1:27" x14ac:dyDescent="0.25">
      <c r="A3157" t="s">
        <v>98</v>
      </c>
      <c r="B3157" t="s">
        <v>519</v>
      </c>
      <c r="C3157" t="s">
        <v>689</v>
      </c>
      <c r="D3157" t="s">
        <v>1707</v>
      </c>
      <c r="E3157" t="s">
        <v>3060</v>
      </c>
      <c r="F3157" t="s">
        <v>3080</v>
      </c>
      <c r="H3157" t="s">
        <v>125</v>
      </c>
      <c r="I3157">
        <v>2023</v>
      </c>
      <c r="J3157" t="s">
        <v>3092</v>
      </c>
      <c r="K3157" t="s">
        <v>127</v>
      </c>
      <c r="L3157" t="s">
        <v>3340</v>
      </c>
      <c r="M3157" t="s">
        <v>3350</v>
      </c>
      <c r="N3157">
        <v>1</v>
      </c>
      <c r="O3157">
        <v>2023</v>
      </c>
      <c r="P3157">
        <v>6.3505646294466462</v>
      </c>
      <c r="Q3157">
        <v>7.2601625504301888</v>
      </c>
      <c r="R3157" t="s">
        <v>3065</v>
      </c>
      <c r="S3157">
        <v>52.482830118482852</v>
      </c>
      <c r="T3157">
        <v>102.65</v>
      </c>
      <c r="U3157" t="s">
        <v>3066</v>
      </c>
      <c r="V3157">
        <v>102.65</v>
      </c>
      <c r="W3157">
        <v>9</v>
      </c>
      <c r="X3157">
        <v>10</v>
      </c>
      <c r="Y3157">
        <v>10</v>
      </c>
      <c r="Z3157">
        <v>0.3042078488582064</v>
      </c>
      <c r="AA3157">
        <v>1</v>
      </c>
    </row>
    <row r="3158" spans="1:27" x14ac:dyDescent="0.25">
      <c r="A3158" t="s">
        <v>98</v>
      </c>
      <c r="B3158" t="s">
        <v>519</v>
      </c>
      <c r="C3158" t="s">
        <v>689</v>
      </c>
      <c r="D3158" t="s">
        <v>1707</v>
      </c>
      <c r="E3158" t="s">
        <v>3060</v>
      </c>
      <c r="F3158" t="s">
        <v>3080</v>
      </c>
      <c r="H3158" t="s">
        <v>125</v>
      </c>
      <c r="I3158">
        <v>2024</v>
      </c>
      <c r="J3158" t="s">
        <v>3094</v>
      </c>
      <c r="K3158" t="s">
        <v>127</v>
      </c>
      <c r="L3158" t="s">
        <v>3340</v>
      </c>
      <c r="M3158" t="s">
        <v>3351</v>
      </c>
      <c r="N3158">
        <v>1</v>
      </c>
      <c r="O3158">
        <v>2024</v>
      </c>
      <c r="P3158">
        <v>6.2857629495543348</v>
      </c>
      <c r="Q3158">
        <v>7.2601625504301888</v>
      </c>
      <c r="R3158" t="s">
        <v>3065</v>
      </c>
      <c r="S3158">
        <v>51.9472910356412</v>
      </c>
      <c r="T3158">
        <v>105.05</v>
      </c>
      <c r="U3158" t="s">
        <v>3066</v>
      </c>
      <c r="V3158">
        <v>105.05</v>
      </c>
      <c r="W3158">
        <v>9</v>
      </c>
      <c r="X3158">
        <v>10</v>
      </c>
      <c r="Y3158">
        <v>10</v>
      </c>
      <c r="Z3158">
        <v>0.3042078488582064</v>
      </c>
      <c r="AA3158">
        <v>1</v>
      </c>
    </row>
    <row r="3159" spans="1:27" x14ac:dyDescent="0.25">
      <c r="A3159" t="s">
        <v>98</v>
      </c>
      <c r="B3159" t="s">
        <v>519</v>
      </c>
      <c r="C3159" t="s">
        <v>689</v>
      </c>
      <c r="D3159" t="s">
        <v>1707</v>
      </c>
      <c r="E3159" t="s">
        <v>3060</v>
      </c>
      <c r="F3159" t="s">
        <v>3080</v>
      </c>
      <c r="H3159" t="s">
        <v>125</v>
      </c>
      <c r="I3159">
        <v>2025</v>
      </c>
      <c r="J3159" t="s">
        <v>3096</v>
      </c>
      <c r="K3159" t="s">
        <v>127</v>
      </c>
      <c r="L3159" t="s">
        <v>3340</v>
      </c>
      <c r="M3159" t="s">
        <v>3352</v>
      </c>
      <c r="N3159">
        <v>1</v>
      </c>
      <c r="O3159">
        <v>2025</v>
      </c>
      <c r="P3159">
        <v>6.1210586798280389</v>
      </c>
      <c r="Q3159">
        <v>7.2601625504301888</v>
      </c>
      <c r="R3159" t="s">
        <v>3065</v>
      </c>
      <c r="S3159">
        <v>50.586129200085303</v>
      </c>
      <c r="T3159">
        <v>107.47499999999999</v>
      </c>
      <c r="U3159" t="s">
        <v>3066</v>
      </c>
      <c r="V3159">
        <v>107.47499999999999</v>
      </c>
      <c r="W3159">
        <v>9</v>
      </c>
      <c r="X3159">
        <v>10</v>
      </c>
      <c r="Y3159">
        <v>10</v>
      </c>
      <c r="Z3159">
        <v>0.3042078488582064</v>
      </c>
      <c r="AA3159">
        <v>1</v>
      </c>
    </row>
    <row r="3160" spans="1:27" x14ac:dyDescent="0.25">
      <c r="A3160" t="s">
        <v>98</v>
      </c>
      <c r="B3160" t="s">
        <v>519</v>
      </c>
      <c r="C3160" t="s">
        <v>689</v>
      </c>
      <c r="D3160" t="s">
        <v>1707</v>
      </c>
      <c r="E3160" t="s">
        <v>3060</v>
      </c>
      <c r="F3160" t="s">
        <v>3080</v>
      </c>
      <c r="H3160" t="s">
        <v>125</v>
      </c>
      <c r="I3160">
        <v>2030</v>
      </c>
      <c r="J3160" t="s">
        <v>3098</v>
      </c>
      <c r="K3160" t="s">
        <v>127</v>
      </c>
      <c r="L3160" t="s">
        <v>3340</v>
      </c>
      <c r="M3160" t="s">
        <v>3353</v>
      </c>
      <c r="N3160">
        <v>1</v>
      </c>
      <c r="O3160">
        <v>2030</v>
      </c>
      <c r="P3160">
        <v>5.5459437707837651</v>
      </c>
      <c r="Q3160">
        <v>7.2601625504301888</v>
      </c>
      <c r="R3160" t="s">
        <v>3065</v>
      </c>
      <c r="S3160">
        <v>45.833219839865563</v>
      </c>
      <c r="T3160">
        <v>119.575</v>
      </c>
      <c r="U3160" t="s">
        <v>3066</v>
      </c>
      <c r="V3160">
        <v>119.575</v>
      </c>
      <c r="W3160">
        <v>9</v>
      </c>
      <c r="X3160">
        <v>10</v>
      </c>
      <c r="Y3160">
        <v>10</v>
      </c>
      <c r="Z3160">
        <v>0.3042078488582064</v>
      </c>
      <c r="AA3160">
        <v>1</v>
      </c>
    </row>
    <row r="3161" spans="1:27" x14ac:dyDescent="0.25">
      <c r="A3161" t="s">
        <v>98</v>
      </c>
      <c r="B3161" t="s">
        <v>519</v>
      </c>
      <c r="C3161" t="s">
        <v>689</v>
      </c>
      <c r="D3161" t="s">
        <v>1707</v>
      </c>
      <c r="E3161" t="s">
        <v>3060</v>
      </c>
      <c r="F3161" t="s">
        <v>3080</v>
      </c>
      <c r="H3161" t="s">
        <v>125</v>
      </c>
      <c r="I3161">
        <v>2040</v>
      </c>
      <c r="J3161" t="s">
        <v>3100</v>
      </c>
      <c r="K3161" t="s">
        <v>127</v>
      </c>
      <c r="L3161" t="s">
        <v>3340</v>
      </c>
      <c r="M3161" t="s">
        <v>3354</v>
      </c>
      <c r="N3161">
        <v>1</v>
      </c>
      <c r="O3161">
        <v>2040</v>
      </c>
      <c r="P3161">
        <v>5.1760341813984789</v>
      </c>
      <c r="Q3161">
        <v>7.2601625504301888</v>
      </c>
      <c r="R3161" t="s">
        <v>3065</v>
      </c>
      <c r="S3161">
        <v>42.776184241977738</v>
      </c>
      <c r="T3161">
        <v>144.42500000000001</v>
      </c>
      <c r="U3161" t="s">
        <v>3066</v>
      </c>
      <c r="V3161">
        <v>144.42500000000001</v>
      </c>
      <c r="W3161">
        <v>9</v>
      </c>
      <c r="X3161">
        <v>10</v>
      </c>
      <c r="Y3161">
        <v>10</v>
      </c>
      <c r="Z3161">
        <v>0.3042078488582064</v>
      </c>
      <c r="AA3161">
        <v>1</v>
      </c>
    </row>
    <row r="3162" spans="1:27" x14ac:dyDescent="0.25">
      <c r="A3162" t="s">
        <v>98</v>
      </c>
      <c r="B3162" t="s">
        <v>519</v>
      </c>
      <c r="C3162" t="s">
        <v>689</v>
      </c>
      <c r="D3162" t="s">
        <v>1707</v>
      </c>
      <c r="E3162" t="s">
        <v>3060</v>
      </c>
      <c r="F3162" t="s">
        <v>3102</v>
      </c>
      <c r="H3162" t="s">
        <v>125</v>
      </c>
      <c r="I3162">
        <v>2015</v>
      </c>
      <c r="J3162" t="s">
        <v>3103</v>
      </c>
      <c r="K3162" t="s">
        <v>127</v>
      </c>
      <c r="L3162" t="s">
        <v>3340</v>
      </c>
      <c r="M3162" t="s">
        <v>3355</v>
      </c>
      <c r="N3162">
        <v>1</v>
      </c>
      <c r="O3162">
        <v>2020</v>
      </c>
      <c r="P3162">
        <v>2.3976621560155711</v>
      </c>
      <c r="Q3162">
        <v>7.2601625504301888</v>
      </c>
      <c r="R3162" t="s">
        <v>3065</v>
      </c>
      <c r="S3162">
        <v>19.814946065141491</v>
      </c>
      <c r="T3162">
        <v>12.7</v>
      </c>
      <c r="U3162" t="s">
        <v>3066</v>
      </c>
      <c r="V3162">
        <v>12.7</v>
      </c>
      <c r="W3162">
        <v>0</v>
      </c>
      <c r="X3162">
        <v>1</v>
      </c>
      <c r="Y3162">
        <v>1</v>
      </c>
      <c r="Z3162">
        <v>0.3042078488582064</v>
      </c>
      <c r="AA3162">
        <v>1</v>
      </c>
    </row>
    <row r="3163" spans="1:27" x14ac:dyDescent="0.25">
      <c r="A3163" t="s">
        <v>98</v>
      </c>
      <c r="B3163" t="s">
        <v>519</v>
      </c>
      <c r="C3163" t="s">
        <v>689</v>
      </c>
      <c r="D3163" t="s">
        <v>1707</v>
      </c>
      <c r="E3163" t="s">
        <v>3060</v>
      </c>
      <c r="F3163" t="s">
        <v>3102</v>
      </c>
      <c r="H3163" t="s">
        <v>125</v>
      </c>
      <c r="I3163">
        <v>2022</v>
      </c>
      <c r="J3163" t="s">
        <v>3105</v>
      </c>
      <c r="K3163" t="s">
        <v>127</v>
      </c>
      <c r="L3163" t="s">
        <v>3340</v>
      </c>
      <c r="M3163" t="s">
        <v>3356</v>
      </c>
      <c r="N3163">
        <v>1</v>
      </c>
      <c r="O3163">
        <v>2022</v>
      </c>
      <c r="P3163">
        <v>3.996103593359285</v>
      </c>
      <c r="Q3163">
        <v>7.2601625504301888</v>
      </c>
      <c r="R3163" t="s">
        <v>3065</v>
      </c>
      <c r="S3163">
        <v>33.024910108569138</v>
      </c>
      <c r="T3163">
        <v>9.3000000000000007</v>
      </c>
      <c r="U3163" t="s">
        <v>3066</v>
      </c>
      <c r="V3163">
        <v>9.3000000000000007</v>
      </c>
      <c r="W3163">
        <v>0</v>
      </c>
      <c r="X3163">
        <v>1</v>
      </c>
      <c r="Y3163">
        <v>1</v>
      </c>
      <c r="Z3163">
        <v>0.3042078488582064</v>
      </c>
      <c r="AA3163">
        <v>1</v>
      </c>
    </row>
    <row r="3164" spans="1:27" x14ac:dyDescent="0.25">
      <c r="A3164" t="s">
        <v>98</v>
      </c>
      <c r="B3164" t="s">
        <v>519</v>
      </c>
      <c r="C3164" t="s">
        <v>689</v>
      </c>
      <c r="D3164" t="s">
        <v>1707</v>
      </c>
      <c r="E3164" t="s">
        <v>3060</v>
      </c>
      <c r="F3164" t="s">
        <v>3107</v>
      </c>
      <c r="H3164" t="s">
        <v>125</v>
      </c>
      <c r="I3164">
        <v>2015</v>
      </c>
      <c r="J3164" t="s">
        <v>3108</v>
      </c>
      <c r="K3164" t="s">
        <v>127</v>
      </c>
      <c r="L3164" t="s">
        <v>3340</v>
      </c>
      <c r="M3164" t="s">
        <v>3357</v>
      </c>
      <c r="N3164">
        <v>1</v>
      </c>
      <c r="O3164">
        <v>2020</v>
      </c>
      <c r="P3164">
        <v>1.188030798025733</v>
      </c>
      <c r="Q3164">
        <v>7.2601625504301888</v>
      </c>
      <c r="R3164" t="s">
        <v>3065</v>
      </c>
      <c r="S3164">
        <v>9.8182165187638013</v>
      </c>
      <c r="T3164">
        <v>71.5</v>
      </c>
      <c r="U3164" t="s">
        <v>3066</v>
      </c>
      <c r="V3164">
        <v>71.5</v>
      </c>
      <c r="W3164">
        <v>5</v>
      </c>
      <c r="X3164">
        <v>6</v>
      </c>
      <c r="Y3164">
        <v>6</v>
      </c>
      <c r="Z3164">
        <v>0.3042078488582064</v>
      </c>
      <c r="AA3164">
        <v>1</v>
      </c>
    </row>
    <row r="3165" spans="1:27" x14ac:dyDescent="0.25">
      <c r="A3165" t="s">
        <v>98</v>
      </c>
      <c r="B3165" t="s">
        <v>519</v>
      </c>
      <c r="C3165" t="s">
        <v>689</v>
      </c>
      <c r="D3165" t="s">
        <v>1707</v>
      </c>
      <c r="E3165" t="s">
        <v>3060</v>
      </c>
      <c r="F3165" t="s">
        <v>3110</v>
      </c>
      <c r="H3165" t="s">
        <v>125</v>
      </c>
      <c r="I3165">
        <v>2015</v>
      </c>
      <c r="J3165" t="s">
        <v>3111</v>
      </c>
      <c r="K3165" t="s">
        <v>127</v>
      </c>
      <c r="L3165" t="s">
        <v>3340</v>
      </c>
      <c r="M3165" t="s">
        <v>3358</v>
      </c>
      <c r="N3165">
        <v>0</v>
      </c>
      <c r="O3165">
        <v>2020</v>
      </c>
      <c r="P3165">
        <v>7.0633831082620873</v>
      </c>
      <c r="Q3165">
        <v>7.2601625504301888</v>
      </c>
      <c r="R3165" t="s">
        <v>3065</v>
      </c>
      <c r="S3165">
        <v>58.373760029741128</v>
      </c>
      <c r="T3165">
        <v>90</v>
      </c>
      <c r="U3165" t="s">
        <v>3066</v>
      </c>
      <c r="V3165">
        <v>90</v>
      </c>
      <c r="W3165">
        <v>7</v>
      </c>
      <c r="X3165">
        <v>8</v>
      </c>
      <c r="Y3165">
        <v>8</v>
      </c>
      <c r="Z3165">
        <v>0.3042078488582064</v>
      </c>
      <c r="AA3165">
        <v>1</v>
      </c>
    </row>
    <row r="3166" spans="1:27" x14ac:dyDescent="0.25">
      <c r="A3166" t="s">
        <v>98</v>
      </c>
      <c r="B3166" t="s">
        <v>519</v>
      </c>
      <c r="C3166" t="s">
        <v>689</v>
      </c>
      <c r="D3166" t="s">
        <v>1707</v>
      </c>
      <c r="E3166" t="s">
        <v>3060</v>
      </c>
      <c r="F3166" t="s">
        <v>3110</v>
      </c>
      <c r="H3166" t="s">
        <v>125</v>
      </c>
      <c r="I3166">
        <v>2020</v>
      </c>
      <c r="J3166" t="s">
        <v>3113</v>
      </c>
      <c r="K3166" t="s">
        <v>127</v>
      </c>
      <c r="L3166" t="s">
        <v>3340</v>
      </c>
      <c r="M3166" t="s">
        <v>3358</v>
      </c>
      <c r="N3166">
        <v>1</v>
      </c>
      <c r="O3166">
        <v>2020</v>
      </c>
      <c r="P3166">
        <v>4.449715352605474</v>
      </c>
      <c r="Q3166">
        <v>7.2601625504301888</v>
      </c>
      <c r="R3166" t="s">
        <v>3065</v>
      </c>
      <c r="S3166">
        <v>36.773683688460778</v>
      </c>
      <c r="T3166">
        <v>89.2</v>
      </c>
      <c r="U3166" t="s">
        <v>3066</v>
      </c>
      <c r="V3166">
        <v>89.2</v>
      </c>
      <c r="W3166">
        <v>11</v>
      </c>
      <c r="X3166">
        <v>12</v>
      </c>
      <c r="Y3166">
        <v>12</v>
      </c>
      <c r="Z3166">
        <v>0.3042078488582064</v>
      </c>
      <c r="AA3166">
        <v>1</v>
      </c>
    </row>
    <row r="3167" spans="1:27" x14ac:dyDescent="0.25">
      <c r="A3167" t="s">
        <v>98</v>
      </c>
      <c r="B3167" t="s">
        <v>519</v>
      </c>
      <c r="C3167" t="s">
        <v>689</v>
      </c>
      <c r="D3167" t="s">
        <v>1707</v>
      </c>
      <c r="E3167" t="s">
        <v>3060</v>
      </c>
      <c r="F3167" t="s">
        <v>3110</v>
      </c>
      <c r="H3167" t="s">
        <v>125</v>
      </c>
      <c r="I3167">
        <v>2022</v>
      </c>
      <c r="J3167" t="s">
        <v>3114</v>
      </c>
      <c r="K3167" t="s">
        <v>127</v>
      </c>
      <c r="L3167" t="s">
        <v>3340</v>
      </c>
      <c r="M3167" t="s">
        <v>3359</v>
      </c>
      <c r="N3167">
        <v>1</v>
      </c>
      <c r="O3167">
        <v>2022</v>
      </c>
      <c r="P3167">
        <v>4.4065142326772646</v>
      </c>
      <c r="Q3167">
        <v>7.2601625504301888</v>
      </c>
      <c r="R3167" t="s">
        <v>3065</v>
      </c>
      <c r="S3167">
        <v>36.416657633233001</v>
      </c>
      <c r="T3167">
        <v>89.2</v>
      </c>
      <c r="U3167" t="s">
        <v>3066</v>
      </c>
      <c r="V3167">
        <v>89.2</v>
      </c>
      <c r="W3167">
        <v>11</v>
      </c>
      <c r="X3167">
        <v>12</v>
      </c>
      <c r="Y3167">
        <v>12</v>
      </c>
      <c r="Z3167">
        <v>0.3042078488582064</v>
      </c>
      <c r="AA3167">
        <v>1</v>
      </c>
    </row>
    <row r="3168" spans="1:27" x14ac:dyDescent="0.25">
      <c r="A3168" t="s">
        <v>98</v>
      </c>
      <c r="B3168" t="s">
        <v>519</v>
      </c>
      <c r="C3168" t="s">
        <v>689</v>
      </c>
      <c r="D3168" t="s">
        <v>1707</v>
      </c>
      <c r="E3168" t="s">
        <v>3060</v>
      </c>
      <c r="F3168" t="s">
        <v>3110</v>
      </c>
      <c r="H3168" t="s">
        <v>125</v>
      </c>
      <c r="I3168">
        <v>2030</v>
      </c>
      <c r="J3168" t="s">
        <v>3116</v>
      </c>
      <c r="K3168" t="s">
        <v>127</v>
      </c>
      <c r="L3168" t="s">
        <v>3340</v>
      </c>
      <c r="M3168" t="s">
        <v>3360</v>
      </c>
      <c r="N3168">
        <v>1</v>
      </c>
      <c r="O3168">
        <v>2030</v>
      </c>
      <c r="P3168">
        <v>4.2337097529644314</v>
      </c>
      <c r="Q3168">
        <v>7.2601625504301888</v>
      </c>
      <c r="R3168" t="s">
        <v>3065</v>
      </c>
      <c r="S3168">
        <v>34.988553412321913</v>
      </c>
      <c r="T3168">
        <v>89.2</v>
      </c>
      <c r="U3168" t="s">
        <v>3066</v>
      </c>
      <c r="V3168">
        <v>89.2</v>
      </c>
      <c r="W3168">
        <v>11</v>
      </c>
      <c r="X3168">
        <v>12</v>
      </c>
      <c r="Y3168">
        <v>12</v>
      </c>
      <c r="Z3168">
        <v>0.3042078488582064</v>
      </c>
      <c r="AA3168">
        <v>1</v>
      </c>
    </row>
    <row r="3169" spans="1:27" x14ac:dyDescent="0.25">
      <c r="A3169" t="s">
        <v>98</v>
      </c>
      <c r="B3169" t="s">
        <v>519</v>
      </c>
      <c r="C3169" t="s">
        <v>689</v>
      </c>
      <c r="D3169" t="s">
        <v>1707</v>
      </c>
      <c r="E3169" t="s">
        <v>3060</v>
      </c>
      <c r="F3169" t="s">
        <v>3110</v>
      </c>
      <c r="H3169" t="s">
        <v>125</v>
      </c>
      <c r="I3169">
        <v>2040</v>
      </c>
      <c r="J3169" t="s">
        <v>3118</v>
      </c>
      <c r="K3169" t="s">
        <v>127</v>
      </c>
      <c r="L3169" t="s">
        <v>3340</v>
      </c>
      <c r="M3169" t="s">
        <v>3361</v>
      </c>
      <c r="N3169">
        <v>1</v>
      </c>
      <c r="O3169">
        <v>2040</v>
      </c>
      <c r="P3169">
        <v>4.0285044333054412</v>
      </c>
      <c r="Q3169">
        <v>7.2601625504301888</v>
      </c>
      <c r="R3169" t="s">
        <v>3065</v>
      </c>
      <c r="S3169">
        <v>33.292679649989978</v>
      </c>
      <c r="T3169">
        <v>89.2</v>
      </c>
      <c r="U3169" t="s">
        <v>3066</v>
      </c>
      <c r="V3169">
        <v>89.2</v>
      </c>
      <c r="W3169">
        <v>11</v>
      </c>
      <c r="X3169">
        <v>12</v>
      </c>
      <c r="Y3169">
        <v>12</v>
      </c>
      <c r="Z3169">
        <v>0.3042078488582064</v>
      </c>
      <c r="AA3169">
        <v>1</v>
      </c>
    </row>
    <row r="3170" spans="1:27" x14ac:dyDescent="0.25">
      <c r="A3170" t="s">
        <v>98</v>
      </c>
      <c r="B3170" t="s">
        <v>99</v>
      </c>
      <c r="C3170" t="s">
        <v>1028</v>
      </c>
      <c r="D3170" t="s">
        <v>1707</v>
      </c>
      <c r="E3170" t="s">
        <v>3060</v>
      </c>
      <c r="F3170" t="s">
        <v>3061</v>
      </c>
      <c r="H3170" t="s">
        <v>125</v>
      </c>
      <c r="I3170">
        <v>2015</v>
      </c>
      <c r="J3170" t="s">
        <v>3062</v>
      </c>
      <c r="K3170" t="s">
        <v>127</v>
      </c>
      <c r="L3170" t="s">
        <v>3362</v>
      </c>
      <c r="M3170" t="s">
        <v>3363</v>
      </c>
      <c r="N3170">
        <v>0</v>
      </c>
      <c r="O3170">
        <v>2020</v>
      </c>
      <c r="P3170">
        <v>4.9303278118067926</v>
      </c>
      <c r="Q3170">
        <v>3.411735002334328</v>
      </c>
      <c r="R3170" t="s">
        <v>3065</v>
      </c>
      <c r="S3170">
        <v>43.353259925815763</v>
      </c>
      <c r="T3170">
        <v>15.7</v>
      </c>
      <c r="U3170" t="s">
        <v>3066</v>
      </c>
      <c r="V3170">
        <v>15.7</v>
      </c>
      <c r="W3170">
        <v>0</v>
      </c>
      <c r="X3170">
        <v>1</v>
      </c>
      <c r="Y3170">
        <v>1</v>
      </c>
      <c r="Z3170">
        <v>0.31173327880439028</v>
      </c>
      <c r="AA3170">
        <v>1</v>
      </c>
    </row>
    <row r="3171" spans="1:27" x14ac:dyDescent="0.25">
      <c r="A3171" t="s">
        <v>98</v>
      </c>
      <c r="B3171" t="s">
        <v>99</v>
      </c>
      <c r="C3171" t="s">
        <v>1028</v>
      </c>
      <c r="D3171" t="s">
        <v>1707</v>
      </c>
      <c r="E3171" t="s">
        <v>3060</v>
      </c>
      <c r="F3171" t="s">
        <v>3061</v>
      </c>
      <c r="H3171" t="s">
        <v>125</v>
      </c>
      <c r="I3171">
        <v>2020</v>
      </c>
      <c r="J3171" t="s">
        <v>3067</v>
      </c>
      <c r="K3171" t="s">
        <v>127</v>
      </c>
      <c r="L3171" t="s">
        <v>3362</v>
      </c>
      <c r="M3171" t="s">
        <v>3363</v>
      </c>
      <c r="N3171">
        <v>1</v>
      </c>
      <c r="O3171">
        <v>2020</v>
      </c>
      <c r="P3171">
        <v>7.0363824083069577</v>
      </c>
      <c r="Q3171">
        <v>3.411735002334328</v>
      </c>
      <c r="R3171" t="s">
        <v>3065</v>
      </c>
      <c r="S3171">
        <v>61.872177090183968</v>
      </c>
      <c r="T3171">
        <v>15.7</v>
      </c>
      <c r="U3171" t="s">
        <v>3066</v>
      </c>
      <c r="V3171">
        <v>15.7</v>
      </c>
      <c r="W3171">
        <v>0</v>
      </c>
      <c r="X3171">
        <v>1</v>
      </c>
      <c r="Y3171">
        <v>1</v>
      </c>
      <c r="Z3171">
        <v>0.31173327880439028</v>
      </c>
      <c r="AA3171">
        <v>1</v>
      </c>
    </row>
    <row r="3172" spans="1:27" x14ac:dyDescent="0.25">
      <c r="A3172" t="s">
        <v>98</v>
      </c>
      <c r="B3172" t="s">
        <v>99</v>
      </c>
      <c r="C3172" t="s">
        <v>1028</v>
      </c>
      <c r="D3172" t="s">
        <v>1707</v>
      </c>
      <c r="E3172" t="s">
        <v>3060</v>
      </c>
      <c r="F3172" t="s">
        <v>3061</v>
      </c>
      <c r="H3172" t="s">
        <v>125</v>
      </c>
      <c r="I3172">
        <v>2022</v>
      </c>
      <c r="J3172" t="s">
        <v>3068</v>
      </c>
      <c r="K3172" t="s">
        <v>127</v>
      </c>
      <c r="L3172" t="s">
        <v>3362</v>
      </c>
      <c r="M3172" t="s">
        <v>3364</v>
      </c>
      <c r="N3172">
        <v>1</v>
      </c>
      <c r="O3172">
        <v>2022</v>
      </c>
      <c r="P3172">
        <v>7.8788042469070234</v>
      </c>
      <c r="Q3172">
        <v>3.411735002334328</v>
      </c>
      <c r="R3172" t="s">
        <v>3065</v>
      </c>
      <c r="S3172">
        <v>69.279743955931224</v>
      </c>
      <c r="T3172">
        <v>15.7</v>
      </c>
      <c r="U3172" t="s">
        <v>3066</v>
      </c>
      <c r="V3172">
        <v>15.7</v>
      </c>
      <c r="W3172">
        <v>0</v>
      </c>
      <c r="X3172">
        <v>1</v>
      </c>
      <c r="Y3172">
        <v>1</v>
      </c>
      <c r="Z3172">
        <v>0.31173327880439028</v>
      </c>
      <c r="AA3172">
        <v>1</v>
      </c>
    </row>
    <row r="3173" spans="1:27" x14ac:dyDescent="0.25">
      <c r="A3173" t="s">
        <v>98</v>
      </c>
      <c r="B3173" t="s">
        <v>99</v>
      </c>
      <c r="C3173" t="s">
        <v>1028</v>
      </c>
      <c r="D3173" t="s">
        <v>1707</v>
      </c>
      <c r="E3173" t="s">
        <v>3060</v>
      </c>
      <c r="F3173" t="s">
        <v>3070</v>
      </c>
      <c r="H3173" t="s">
        <v>125</v>
      </c>
      <c r="I3173">
        <v>2015</v>
      </c>
      <c r="J3173" t="s">
        <v>3071</v>
      </c>
      <c r="K3173" t="s">
        <v>127</v>
      </c>
      <c r="L3173" t="s">
        <v>3362</v>
      </c>
      <c r="M3173" t="s">
        <v>3365</v>
      </c>
      <c r="N3173">
        <v>0</v>
      </c>
      <c r="O3173">
        <v>2020</v>
      </c>
      <c r="P3173">
        <v>4.7269225388114773</v>
      </c>
      <c r="Q3173">
        <v>3.411735002334328</v>
      </c>
      <c r="R3173" t="s">
        <v>3065</v>
      </c>
      <c r="S3173">
        <v>41.564680746693021</v>
      </c>
      <c r="T3173">
        <v>59.066666666666663</v>
      </c>
      <c r="U3173" t="s">
        <v>3066</v>
      </c>
      <c r="V3173">
        <v>59.066666666666663</v>
      </c>
      <c r="W3173">
        <v>3</v>
      </c>
      <c r="X3173">
        <v>4</v>
      </c>
      <c r="Y3173">
        <v>4</v>
      </c>
      <c r="Z3173">
        <v>0.31173327880439028</v>
      </c>
      <c r="AA3173">
        <v>1</v>
      </c>
    </row>
    <row r="3174" spans="1:27" x14ac:dyDescent="0.25">
      <c r="A3174" t="s">
        <v>98</v>
      </c>
      <c r="B3174" t="s">
        <v>99</v>
      </c>
      <c r="C3174" t="s">
        <v>1028</v>
      </c>
      <c r="D3174" t="s">
        <v>1707</v>
      </c>
      <c r="E3174" t="s">
        <v>3060</v>
      </c>
      <c r="F3174" t="s">
        <v>3070</v>
      </c>
      <c r="H3174" t="s">
        <v>125</v>
      </c>
      <c r="I3174">
        <v>2020</v>
      </c>
      <c r="J3174" t="s">
        <v>3073</v>
      </c>
      <c r="K3174" t="s">
        <v>127</v>
      </c>
      <c r="L3174" t="s">
        <v>3362</v>
      </c>
      <c r="M3174" t="s">
        <v>3365</v>
      </c>
      <c r="N3174">
        <v>1</v>
      </c>
      <c r="O3174">
        <v>2020</v>
      </c>
      <c r="P3174">
        <v>6.2353616429714247</v>
      </c>
      <c r="Q3174">
        <v>3.411735002334328</v>
      </c>
      <c r="R3174" t="s">
        <v>3065</v>
      </c>
      <c r="S3174">
        <v>54.828657313992643</v>
      </c>
      <c r="T3174">
        <v>59.933333333333337</v>
      </c>
      <c r="U3174" t="s">
        <v>3066</v>
      </c>
      <c r="V3174">
        <v>59.933333333333337</v>
      </c>
      <c r="W3174">
        <v>3</v>
      </c>
      <c r="X3174">
        <v>4</v>
      </c>
      <c r="Y3174">
        <v>4</v>
      </c>
      <c r="Z3174">
        <v>0.31173327880439028</v>
      </c>
      <c r="AA3174">
        <v>1</v>
      </c>
    </row>
    <row r="3175" spans="1:27" x14ac:dyDescent="0.25">
      <c r="A3175" t="s">
        <v>98</v>
      </c>
      <c r="B3175" t="s">
        <v>99</v>
      </c>
      <c r="C3175" t="s">
        <v>1028</v>
      </c>
      <c r="D3175" t="s">
        <v>1707</v>
      </c>
      <c r="E3175" t="s">
        <v>3060</v>
      </c>
      <c r="F3175" t="s">
        <v>3070</v>
      </c>
      <c r="H3175" t="s">
        <v>125</v>
      </c>
      <c r="I3175">
        <v>2022</v>
      </c>
      <c r="J3175" t="s">
        <v>3074</v>
      </c>
      <c r="K3175" t="s">
        <v>127</v>
      </c>
      <c r="L3175" t="s">
        <v>3362</v>
      </c>
      <c r="M3175" t="s">
        <v>3366</v>
      </c>
      <c r="N3175">
        <v>1</v>
      </c>
      <c r="O3175">
        <v>2022</v>
      </c>
      <c r="P3175">
        <v>5.7403488104607021</v>
      </c>
      <c r="Q3175">
        <v>3.411735002334328</v>
      </c>
      <c r="R3175" t="s">
        <v>3065</v>
      </c>
      <c r="S3175">
        <v>50.475920373649693</v>
      </c>
      <c r="T3175">
        <v>65.8</v>
      </c>
      <c r="U3175" t="s">
        <v>3066</v>
      </c>
      <c r="V3175">
        <v>65.8</v>
      </c>
      <c r="W3175">
        <v>3</v>
      </c>
      <c r="X3175">
        <v>4</v>
      </c>
      <c r="Y3175">
        <v>4</v>
      </c>
      <c r="Z3175">
        <v>0.31173327880439028</v>
      </c>
      <c r="AA3175">
        <v>1</v>
      </c>
    </row>
    <row r="3176" spans="1:27" x14ac:dyDescent="0.25">
      <c r="A3176" t="s">
        <v>98</v>
      </c>
      <c r="B3176" t="s">
        <v>99</v>
      </c>
      <c r="C3176" t="s">
        <v>1028</v>
      </c>
      <c r="D3176" t="s">
        <v>1707</v>
      </c>
      <c r="E3176" t="s">
        <v>3060</v>
      </c>
      <c r="F3176" t="s">
        <v>3070</v>
      </c>
      <c r="H3176" t="s">
        <v>125</v>
      </c>
      <c r="I3176">
        <v>2030</v>
      </c>
      <c r="J3176" t="s">
        <v>3076</v>
      </c>
      <c r="K3176" t="s">
        <v>127</v>
      </c>
      <c r="L3176" t="s">
        <v>3362</v>
      </c>
      <c r="M3176" t="s">
        <v>3367</v>
      </c>
      <c r="N3176">
        <v>1</v>
      </c>
      <c r="O3176">
        <v>2030</v>
      </c>
      <c r="P3176">
        <v>5.513542930837608</v>
      </c>
      <c r="Q3176">
        <v>3.411735002334328</v>
      </c>
      <c r="R3176" t="s">
        <v>3065</v>
      </c>
      <c r="S3176">
        <v>48.481575448256187</v>
      </c>
      <c r="T3176">
        <v>68.5</v>
      </c>
      <c r="U3176" t="s">
        <v>3066</v>
      </c>
      <c r="V3176">
        <v>68.5</v>
      </c>
      <c r="W3176">
        <v>3</v>
      </c>
      <c r="X3176">
        <v>4</v>
      </c>
      <c r="Y3176">
        <v>4</v>
      </c>
      <c r="Z3176">
        <v>0.31173327880439028</v>
      </c>
      <c r="AA3176">
        <v>1</v>
      </c>
    </row>
    <row r="3177" spans="1:27" x14ac:dyDescent="0.25">
      <c r="A3177" t="s">
        <v>98</v>
      </c>
      <c r="B3177" t="s">
        <v>99</v>
      </c>
      <c r="C3177" t="s">
        <v>1028</v>
      </c>
      <c r="D3177" t="s">
        <v>1707</v>
      </c>
      <c r="E3177" t="s">
        <v>3060</v>
      </c>
      <c r="F3177" t="s">
        <v>3070</v>
      </c>
      <c r="H3177" t="s">
        <v>125</v>
      </c>
      <c r="I3177">
        <v>2040</v>
      </c>
      <c r="J3177" t="s">
        <v>3078</v>
      </c>
      <c r="K3177" t="s">
        <v>127</v>
      </c>
      <c r="L3177" t="s">
        <v>3362</v>
      </c>
      <c r="M3177" t="s">
        <v>3368</v>
      </c>
      <c r="N3177">
        <v>1</v>
      </c>
      <c r="O3177">
        <v>2040</v>
      </c>
      <c r="P3177">
        <v>5.2435359312863046</v>
      </c>
      <c r="Q3177">
        <v>3.411735002334328</v>
      </c>
      <c r="R3177" t="s">
        <v>3065</v>
      </c>
      <c r="S3177">
        <v>46.10735529897822</v>
      </c>
      <c r="T3177">
        <v>72</v>
      </c>
      <c r="U3177" t="s">
        <v>3066</v>
      </c>
      <c r="V3177">
        <v>72</v>
      </c>
      <c r="W3177">
        <v>3</v>
      </c>
      <c r="X3177">
        <v>4</v>
      </c>
      <c r="Y3177">
        <v>4</v>
      </c>
      <c r="Z3177">
        <v>0.31173327880439028</v>
      </c>
      <c r="AA3177">
        <v>1</v>
      </c>
    </row>
    <row r="3178" spans="1:27" x14ac:dyDescent="0.25">
      <c r="A3178" t="s">
        <v>98</v>
      </c>
      <c r="B3178" t="s">
        <v>99</v>
      </c>
      <c r="C3178" t="s">
        <v>1028</v>
      </c>
      <c r="D3178" t="s">
        <v>1707</v>
      </c>
      <c r="E3178" t="s">
        <v>3060</v>
      </c>
      <c r="F3178" t="s">
        <v>3080</v>
      </c>
      <c r="H3178" t="s">
        <v>125</v>
      </c>
      <c r="I3178">
        <v>2015</v>
      </c>
      <c r="J3178" t="s">
        <v>3081</v>
      </c>
      <c r="K3178" t="s">
        <v>127</v>
      </c>
      <c r="L3178" t="s">
        <v>3362</v>
      </c>
      <c r="M3178" t="s">
        <v>3369</v>
      </c>
      <c r="N3178">
        <v>0</v>
      </c>
      <c r="O3178">
        <v>2020</v>
      </c>
      <c r="P3178">
        <v>21.61676038407732</v>
      </c>
      <c r="Q3178">
        <v>3.411735002334328</v>
      </c>
      <c r="R3178" t="s">
        <v>3065</v>
      </c>
      <c r="S3178">
        <v>190.08006515119439</v>
      </c>
      <c r="T3178">
        <v>79.849999999999994</v>
      </c>
      <c r="U3178" t="s">
        <v>3066</v>
      </c>
      <c r="V3178">
        <v>79.849999999999994</v>
      </c>
      <c r="W3178">
        <v>11</v>
      </c>
      <c r="X3178">
        <v>12</v>
      </c>
      <c r="Y3178">
        <v>12</v>
      </c>
      <c r="Z3178">
        <v>0.31173327880439028</v>
      </c>
      <c r="AA3178">
        <v>1</v>
      </c>
    </row>
    <row r="3179" spans="1:27" x14ac:dyDescent="0.25">
      <c r="A3179" t="s">
        <v>98</v>
      </c>
      <c r="B3179" t="s">
        <v>99</v>
      </c>
      <c r="C3179" t="s">
        <v>1028</v>
      </c>
      <c r="D3179" t="s">
        <v>1707</v>
      </c>
      <c r="E3179" t="s">
        <v>3060</v>
      </c>
      <c r="F3179" t="s">
        <v>3080</v>
      </c>
      <c r="H3179" t="s">
        <v>125</v>
      </c>
      <c r="I3179">
        <v>2016</v>
      </c>
      <c r="J3179" t="s">
        <v>3083</v>
      </c>
      <c r="K3179" t="s">
        <v>127</v>
      </c>
      <c r="L3179" t="s">
        <v>3362</v>
      </c>
      <c r="M3179" t="s">
        <v>3369</v>
      </c>
      <c r="N3179">
        <v>0</v>
      </c>
      <c r="O3179">
        <v>2020</v>
      </c>
      <c r="P3179">
        <v>21.128047714889458</v>
      </c>
      <c r="Q3179">
        <v>3.411735002334328</v>
      </c>
      <c r="R3179" t="s">
        <v>3065</v>
      </c>
      <c r="S3179">
        <v>185.78272668100129</v>
      </c>
      <c r="T3179">
        <v>83.025000000000006</v>
      </c>
      <c r="U3179" t="s">
        <v>3066</v>
      </c>
      <c r="V3179">
        <v>83.025000000000006</v>
      </c>
      <c r="W3179">
        <v>11</v>
      </c>
      <c r="X3179">
        <v>12</v>
      </c>
      <c r="Y3179">
        <v>12</v>
      </c>
      <c r="Z3179">
        <v>0.31173327880439028</v>
      </c>
      <c r="AA3179">
        <v>1</v>
      </c>
    </row>
    <row r="3180" spans="1:27" x14ac:dyDescent="0.25">
      <c r="A3180" t="s">
        <v>98</v>
      </c>
      <c r="B3180" t="s">
        <v>99</v>
      </c>
      <c r="C3180" t="s">
        <v>1028</v>
      </c>
      <c r="D3180" t="s">
        <v>1707</v>
      </c>
      <c r="E3180" t="s">
        <v>3060</v>
      </c>
      <c r="F3180" t="s">
        <v>3080</v>
      </c>
      <c r="H3180" t="s">
        <v>125</v>
      </c>
      <c r="I3180">
        <v>2017</v>
      </c>
      <c r="J3180" t="s">
        <v>3084</v>
      </c>
      <c r="K3180" t="s">
        <v>127</v>
      </c>
      <c r="L3180" t="s">
        <v>3362</v>
      </c>
      <c r="M3180" t="s">
        <v>3369</v>
      </c>
      <c r="N3180">
        <v>0</v>
      </c>
      <c r="O3180">
        <v>2020</v>
      </c>
      <c r="P3180">
        <v>17.431651891032121</v>
      </c>
      <c r="Q3180">
        <v>3.411735002334328</v>
      </c>
      <c r="R3180" t="s">
        <v>3065</v>
      </c>
      <c r="S3180">
        <v>153.2796528373859</v>
      </c>
      <c r="T3180">
        <v>86.2</v>
      </c>
      <c r="U3180" t="s">
        <v>3066</v>
      </c>
      <c r="V3180">
        <v>86.2</v>
      </c>
      <c r="W3180">
        <v>11</v>
      </c>
      <c r="X3180">
        <v>12</v>
      </c>
      <c r="Y3180">
        <v>12</v>
      </c>
      <c r="Z3180">
        <v>0.31173327880439028</v>
      </c>
      <c r="AA3180">
        <v>1</v>
      </c>
    </row>
    <row r="3181" spans="1:27" x14ac:dyDescent="0.25">
      <c r="A3181" t="s">
        <v>98</v>
      </c>
      <c r="B3181" t="s">
        <v>99</v>
      </c>
      <c r="C3181" t="s">
        <v>1028</v>
      </c>
      <c r="D3181" t="s">
        <v>1707</v>
      </c>
      <c r="E3181" t="s">
        <v>3060</v>
      </c>
      <c r="F3181" t="s">
        <v>3080</v>
      </c>
      <c r="H3181" t="s">
        <v>125</v>
      </c>
      <c r="I3181">
        <v>2018</v>
      </c>
      <c r="J3181" t="s">
        <v>3085</v>
      </c>
      <c r="K3181" t="s">
        <v>127</v>
      </c>
      <c r="L3181" t="s">
        <v>3362</v>
      </c>
      <c r="M3181" t="s">
        <v>3369</v>
      </c>
      <c r="N3181">
        <v>0</v>
      </c>
      <c r="O3181">
        <v>2020</v>
      </c>
      <c r="P3181">
        <v>15.33639757451401</v>
      </c>
      <c r="Q3181">
        <v>3.411735002334328</v>
      </c>
      <c r="R3181" t="s">
        <v>3065</v>
      </c>
      <c r="S3181">
        <v>134.8557044789888</v>
      </c>
      <c r="T3181">
        <v>89.35</v>
      </c>
      <c r="U3181" t="s">
        <v>3066</v>
      </c>
      <c r="V3181">
        <v>89.35</v>
      </c>
      <c r="W3181">
        <v>11</v>
      </c>
      <c r="X3181">
        <v>12</v>
      </c>
      <c r="Y3181">
        <v>12</v>
      </c>
      <c r="Z3181">
        <v>0.31173327880439028</v>
      </c>
      <c r="AA3181">
        <v>1</v>
      </c>
    </row>
    <row r="3182" spans="1:27" x14ac:dyDescent="0.25">
      <c r="A3182" t="s">
        <v>98</v>
      </c>
      <c r="B3182" t="s">
        <v>99</v>
      </c>
      <c r="C3182" t="s">
        <v>1028</v>
      </c>
      <c r="D3182" t="s">
        <v>1707</v>
      </c>
      <c r="E3182" t="s">
        <v>3060</v>
      </c>
      <c r="F3182" t="s">
        <v>3080</v>
      </c>
      <c r="H3182" t="s">
        <v>125</v>
      </c>
      <c r="I3182">
        <v>2019</v>
      </c>
      <c r="J3182" t="s">
        <v>3086</v>
      </c>
      <c r="K3182" t="s">
        <v>127</v>
      </c>
      <c r="L3182" t="s">
        <v>3362</v>
      </c>
      <c r="M3182" t="s">
        <v>3369</v>
      </c>
      <c r="N3182">
        <v>0</v>
      </c>
      <c r="O3182">
        <v>2020</v>
      </c>
      <c r="P3182">
        <v>13.24384332799141</v>
      </c>
      <c r="Q3182">
        <v>3.411735002334328</v>
      </c>
      <c r="R3182" t="s">
        <v>3065</v>
      </c>
      <c r="S3182">
        <v>116.45549832208449</v>
      </c>
      <c r="T3182">
        <v>92.55</v>
      </c>
      <c r="U3182" t="s">
        <v>3066</v>
      </c>
      <c r="V3182">
        <v>92.55</v>
      </c>
      <c r="W3182">
        <v>10</v>
      </c>
      <c r="X3182">
        <v>11</v>
      </c>
      <c r="Y3182">
        <v>11</v>
      </c>
      <c r="Z3182">
        <v>0.31173327880439028</v>
      </c>
      <c r="AA3182">
        <v>1</v>
      </c>
    </row>
    <row r="3183" spans="1:27" x14ac:dyDescent="0.25">
      <c r="A3183" t="s">
        <v>98</v>
      </c>
      <c r="B3183" t="s">
        <v>99</v>
      </c>
      <c r="C3183" t="s">
        <v>1028</v>
      </c>
      <c r="D3183" t="s">
        <v>1707</v>
      </c>
      <c r="E3183" t="s">
        <v>3060</v>
      </c>
      <c r="F3183" t="s">
        <v>3080</v>
      </c>
      <c r="H3183" t="s">
        <v>125</v>
      </c>
      <c r="I3183">
        <v>2020</v>
      </c>
      <c r="J3183" t="s">
        <v>3087</v>
      </c>
      <c r="K3183" t="s">
        <v>127</v>
      </c>
      <c r="L3183" t="s">
        <v>3362</v>
      </c>
      <c r="M3183" t="s">
        <v>3369</v>
      </c>
      <c r="N3183">
        <v>1</v>
      </c>
      <c r="O3183">
        <v>2020</v>
      </c>
      <c r="P3183">
        <v>11.1485890114733</v>
      </c>
      <c r="Q3183">
        <v>3.411735002334328</v>
      </c>
      <c r="R3183" t="s">
        <v>3065</v>
      </c>
      <c r="S3183">
        <v>98.031549963687482</v>
      </c>
      <c r="T3183">
        <v>95.699999999999989</v>
      </c>
      <c r="U3183" t="s">
        <v>3066</v>
      </c>
      <c r="V3183">
        <v>95.699999999999989</v>
      </c>
      <c r="W3183">
        <v>10</v>
      </c>
      <c r="X3183">
        <v>11</v>
      </c>
      <c r="Y3183">
        <v>11</v>
      </c>
      <c r="Z3183">
        <v>0.31173327880439028</v>
      </c>
      <c r="AA3183">
        <v>1</v>
      </c>
    </row>
    <row r="3184" spans="1:27" x14ac:dyDescent="0.25">
      <c r="A3184" t="s">
        <v>98</v>
      </c>
      <c r="B3184" t="s">
        <v>99</v>
      </c>
      <c r="C3184" t="s">
        <v>1028</v>
      </c>
      <c r="D3184" t="s">
        <v>1707</v>
      </c>
      <c r="E3184" t="s">
        <v>3060</v>
      </c>
      <c r="F3184" t="s">
        <v>3080</v>
      </c>
      <c r="H3184" t="s">
        <v>125</v>
      </c>
      <c r="I3184">
        <v>2021</v>
      </c>
      <c r="J3184" t="s">
        <v>3088</v>
      </c>
      <c r="K3184" t="s">
        <v>127</v>
      </c>
      <c r="L3184" t="s">
        <v>3362</v>
      </c>
      <c r="M3184" t="s">
        <v>3370</v>
      </c>
      <c r="N3184">
        <v>1</v>
      </c>
      <c r="O3184">
        <v>2021</v>
      </c>
      <c r="P3184">
        <v>8.8076283253635061</v>
      </c>
      <c r="Q3184">
        <v>3.411735002334328</v>
      </c>
      <c r="R3184" t="s">
        <v>3065</v>
      </c>
      <c r="S3184">
        <v>77.44706126944746</v>
      </c>
      <c r="T3184">
        <v>97.949999999999989</v>
      </c>
      <c r="U3184" t="s">
        <v>3066</v>
      </c>
      <c r="V3184">
        <v>97.949999999999989</v>
      </c>
      <c r="W3184">
        <v>10</v>
      </c>
      <c r="X3184">
        <v>11</v>
      </c>
      <c r="Y3184">
        <v>11</v>
      </c>
      <c r="Z3184">
        <v>0.31173327880439028</v>
      </c>
      <c r="AA3184">
        <v>1</v>
      </c>
    </row>
    <row r="3185" spans="1:27" x14ac:dyDescent="0.25">
      <c r="A3185" t="s">
        <v>98</v>
      </c>
      <c r="B3185" t="s">
        <v>99</v>
      </c>
      <c r="C3185" t="s">
        <v>1028</v>
      </c>
      <c r="D3185" t="s">
        <v>1707</v>
      </c>
      <c r="E3185" t="s">
        <v>3060</v>
      </c>
      <c r="F3185" t="s">
        <v>3080</v>
      </c>
      <c r="H3185" t="s">
        <v>125</v>
      </c>
      <c r="I3185">
        <v>2022</v>
      </c>
      <c r="J3185" t="s">
        <v>3090</v>
      </c>
      <c r="K3185" t="s">
        <v>127</v>
      </c>
      <c r="L3185" t="s">
        <v>3362</v>
      </c>
      <c r="M3185" t="s">
        <v>3371</v>
      </c>
      <c r="N3185">
        <v>1</v>
      </c>
      <c r="O3185">
        <v>2022</v>
      </c>
      <c r="P3185">
        <v>6.4693677092492212</v>
      </c>
      <c r="Q3185">
        <v>3.411735002334328</v>
      </c>
      <c r="R3185" t="s">
        <v>3065</v>
      </c>
      <c r="S3185">
        <v>56.886314776700218</v>
      </c>
      <c r="T3185">
        <v>100.22499999999999</v>
      </c>
      <c r="U3185" t="s">
        <v>3066</v>
      </c>
      <c r="V3185">
        <v>100.22499999999999</v>
      </c>
      <c r="W3185">
        <v>9</v>
      </c>
      <c r="X3185">
        <v>10</v>
      </c>
      <c r="Y3185">
        <v>10</v>
      </c>
      <c r="Z3185">
        <v>0.31173327880439028</v>
      </c>
      <c r="AA3185">
        <v>1</v>
      </c>
    </row>
    <row r="3186" spans="1:27" x14ac:dyDescent="0.25">
      <c r="A3186" t="s">
        <v>98</v>
      </c>
      <c r="B3186" t="s">
        <v>99</v>
      </c>
      <c r="C3186" t="s">
        <v>1028</v>
      </c>
      <c r="D3186" t="s">
        <v>1707</v>
      </c>
      <c r="E3186" t="s">
        <v>3060</v>
      </c>
      <c r="F3186" t="s">
        <v>3080</v>
      </c>
      <c r="H3186" t="s">
        <v>125</v>
      </c>
      <c r="I3186">
        <v>2023</v>
      </c>
      <c r="J3186" t="s">
        <v>3092</v>
      </c>
      <c r="K3186" t="s">
        <v>127</v>
      </c>
      <c r="L3186" t="s">
        <v>3362</v>
      </c>
      <c r="M3186" t="s">
        <v>3372</v>
      </c>
      <c r="N3186">
        <v>1</v>
      </c>
      <c r="O3186">
        <v>2023</v>
      </c>
      <c r="P3186">
        <v>6.3505646294466462</v>
      </c>
      <c r="Q3186">
        <v>3.411735002334328</v>
      </c>
      <c r="R3186" t="s">
        <v>3065</v>
      </c>
      <c r="S3186">
        <v>55.841657911017897</v>
      </c>
      <c r="T3186">
        <v>102.65</v>
      </c>
      <c r="U3186" t="s">
        <v>3066</v>
      </c>
      <c r="V3186">
        <v>102.65</v>
      </c>
      <c r="W3186">
        <v>9</v>
      </c>
      <c r="X3186">
        <v>10</v>
      </c>
      <c r="Y3186">
        <v>10</v>
      </c>
      <c r="Z3186">
        <v>0.31173327880439028</v>
      </c>
      <c r="AA3186">
        <v>1</v>
      </c>
    </row>
    <row r="3187" spans="1:27" x14ac:dyDescent="0.25">
      <c r="A3187" t="s">
        <v>98</v>
      </c>
      <c r="B3187" t="s">
        <v>99</v>
      </c>
      <c r="C3187" t="s">
        <v>1028</v>
      </c>
      <c r="D3187" t="s">
        <v>1707</v>
      </c>
      <c r="E3187" t="s">
        <v>3060</v>
      </c>
      <c r="F3187" t="s">
        <v>3080</v>
      </c>
      <c r="H3187" t="s">
        <v>125</v>
      </c>
      <c r="I3187">
        <v>2024</v>
      </c>
      <c r="J3187" t="s">
        <v>3094</v>
      </c>
      <c r="K3187" t="s">
        <v>127</v>
      </c>
      <c r="L3187" t="s">
        <v>3362</v>
      </c>
      <c r="M3187" t="s">
        <v>3373</v>
      </c>
      <c r="N3187">
        <v>1</v>
      </c>
      <c r="O3187">
        <v>2024</v>
      </c>
      <c r="P3187">
        <v>6.2857629495543348</v>
      </c>
      <c r="Q3187">
        <v>3.411735002334328</v>
      </c>
      <c r="R3187" t="s">
        <v>3065</v>
      </c>
      <c r="S3187">
        <v>55.271845075191187</v>
      </c>
      <c r="T3187">
        <v>105.05</v>
      </c>
      <c r="U3187" t="s">
        <v>3066</v>
      </c>
      <c r="V3187">
        <v>105.05</v>
      </c>
      <c r="W3187">
        <v>9</v>
      </c>
      <c r="X3187">
        <v>10</v>
      </c>
      <c r="Y3187">
        <v>10</v>
      </c>
      <c r="Z3187">
        <v>0.31173327880439028</v>
      </c>
      <c r="AA3187">
        <v>1</v>
      </c>
    </row>
    <row r="3188" spans="1:27" x14ac:dyDescent="0.25">
      <c r="A3188" t="s">
        <v>98</v>
      </c>
      <c r="B3188" t="s">
        <v>99</v>
      </c>
      <c r="C3188" t="s">
        <v>1028</v>
      </c>
      <c r="D3188" t="s">
        <v>1707</v>
      </c>
      <c r="E3188" t="s">
        <v>3060</v>
      </c>
      <c r="F3188" t="s">
        <v>3080</v>
      </c>
      <c r="H3188" t="s">
        <v>125</v>
      </c>
      <c r="I3188">
        <v>2025</v>
      </c>
      <c r="J3188" t="s">
        <v>3096</v>
      </c>
      <c r="K3188" t="s">
        <v>127</v>
      </c>
      <c r="L3188" t="s">
        <v>3362</v>
      </c>
      <c r="M3188" t="s">
        <v>3374</v>
      </c>
      <c r="N3188">
        <v>1</v>
      </c>
      <c r="O3188">
        <v>2025</v>
      </c>
      <c r="P3188">
        <v>6.1210586798280389</v>
      </c>
      <c r="Q3188">
        <v>3.411735002334328</v>
      </c>
      <c r="R3188" t="s">
        <v>3065</v>
      </c>
      <c r="S3188">
        <v>53.823570784131618</v>
      </c>
      <c r="T3188">
        <v>107.47499999999999</v>
      </c>
      <c r="U3188" t="s">
        <v>3066</v>
      </c>
      <c r="V3188">
        <v>107.47499999999999</v>
      </c>
      <c r="W3188">
        <v>9</v>
      </c>
      <c r="X3188">
        <v>10</v>
      </c>
      <c r="Y3188">
        <v>10</v>
      </c>
      <c r="Z3188">
        <v>0.31173327880439028</v>
      </c>
      <c r="AA3188">
        <v>1</v>
      </c>
    </row>
    <row r="3189" spans="1:27" x14ac:dyDescent="0.25">
      <c r="A3189" t="s">
        <v>98</v>
      </c>
      <c r="B3189" t="s">
        <v>99</v>
      </c>
      <c r="C3189" t="s">
        <v>1028</v>
      </c>
      <c r="D3189" t="s">
        <v>1707</v>
      </c>
      <c r="E3189" t="s">
        <v>3060</v>
      </c>
      <c r="F3189" t="s">
        <v>3080</v>
      </c>
      <c r="H3189" t="s">
        <v>125</v>
      </c>
      <c r="I3189">
        <v>2030</v>
      </c>
      <c r="J3189" t="s">
        <v>3098</v>
      </c>
      <c r="K3189" t="s">
        <v>127</v>
      </c>
      <c r="L3189" t="s">
        <v>3362</v>
      </c>
      <c r="M3189" t="s">
        <v>3375</v>
      </c>
      <c r="N3189">
        <v>1</v>
      </c>
      <c r="O3189">
        <v>2030</v>
      </c>
      <c r="P3189">
        <v>5.5459437707837651</v>
      </c>
      <c r="Q3189">
        <v>3.411735002334328</v>
      </c>
      <c r="R3189" t="s">
        <v>3065</v>
      </c>
      <c r="S3189">
        <v>48.766481866169563</v>
      </c>
      <c r="T3189">
        <v>119.575</v>
      </c>
      <c r="U3189" t="s">
        <v>3066</v>
      </c>
      <c r="V3189">
        <v>119.575</v>
      </c>
      <c r="W3189">
        <v>9</v>
      </c>
      <c r="X3189">
        <v>10</v>
      </c>
      <c r="Y3189">
        <v>10</v>
      </c>
      <c r="Z3189">
        <v>0.31173327880439028</v>
      </c>
      <c r="AA3189">
        <v>1</v>
      </c>
    </row>
    <row r="3190" spans="1:27" x14ac:dyDescent="0.25">
      <c r="A3190" t="s">
        <v>98</v>
      </c>
      <c r="B3190" t="s">
        <v>99</v>
      </c>
      <c r="C3190" t="s">
        <v>1028</v>
      </c>
      <c r="D3190" t="s">
        <v>1707</v>
      </c>
      <c r="E3190" t="s">
        <v>3060</v>
      </c>
      <c r="F3190" t="s">
        <v>3080</v>
      </c>
      <c r="H3190" t="s">
        <v>125</v>
      </c>
      <c r="I3190">
        <v>2040</v>
      </c>
      <c r="J3190" t="s">
        <v>3100</v>
      </c>
      <c r="K3190" t="s">
        <v>127</v>
      </c>
      <c r="L3190" t="s">
        <v>3362</v>
      </c>
      <c r="M3190" t="s">
        <v>3376</v>
      </c>
      <c r="N3190">
        <v>1</v>
      </c>
      <c r="O3190">
        <v>2040</v>
      </c>
      <c r="P3190">
        <v>5.1760341813984789</v>
      </c>
      <c r="Q3190">
        <v>3.411735002334328</v>
      </c>
      <c r="R3190" t="s">
        <v>3065</v>
      </c>
      <c r="S3190">
        <v>45.513800261658723</v>
      </c>
      <c r="T3190">
        <v>144.42500000000001</v>
      </c>
      <c r="U3190" t="s">
        <v>3066</v>
      </c>
      <c r="V3190">
        <v>144.42500000000001</v>
      </c>
      <c r="W3190">
        <v>9</v>
      </c>
      <c r="X3190">
        <v>10</v>
      </c>
      <c r="Y3190">
        <v>10</v>
      </c>
      <c r="Z3190">
        <v>0.31173327880439028</v>
      </c>
      <c r="AA3190">
        <v>1</v>
      </c>
    </row>
    <row r="3191" spans="1:27" x14ac:dyDescent="0.25">
      <c r="A3191" t="s">
        <v>98</v>
      </c>
      <c r="B3191" t="s">
        <v>99</v>
      </c>
      <c r="C3191" t="s">
        <v>1028</v>
      </c>
      <c r="D3191" t="s">
        <v>1707</v>
      </c>
      <c r="E3191" t="s">
        <v>3060</v>
      </c>
      <c r="F3191" t="s">
        <v>3102</v>
      </c>
      <c r="H3191" t="s">
        <v>125</v>
      </c>
      <c r="I3191">
        <v>2015</v>
      </c>
      <c r="J3191" t="s">
        <v>3103</v>
      </c>
      <c r="K3191" t="s">
        <v>127</v>
      </c>
      <c r="L3191" t="s">
        <v>3362</v>
      </c>
      <c r="M3191" t="s">
        <v>3377</v>
      </c>
      <c r="N3191">
        <v>1</v>
      </c>
      <c r="O3191">
        <v>2020</v>
      </c>
      <c r="P3191">
        <v>2.3976621560155711</v>
      </c>
      <c r="Q3191">
        <v>3.411735002334328</v>
      </c>
      <c r="R3191" t="s">
        <v>3065</v>
      </c>
      <c r="S3191">
        <v>21.083074925588392</v>
      </c>
      <c r="T3191">
        <v>12.7</v>
      </c>
      <c r="U3191" t="s">
        <v>3066</v>
      </c>
      <c r="V3191">
        <v>12.7</v>
      </c>
      <c r="W3191">
        <v>0</v>
      </c>
      <c r="X3191">
        <v>1</v>
      </c>
      <c r="Y3191">
        <v>1</v>
      </c>
      <c r="Z3191">
        <v>0.31173327880439028</v>
      </c>
      <c r="AA3191">
        <v>1</v>
      </c>
    </row>
    <row r="3192" spans="1:27" x14ac:dyDescent="0.25">
      <c r="A3192" t="s">
        <v>98</v>
      </c>
      <c r="B3192" t="s">
        <v>99</v>
      </c>
      <c r="C3192" t="s">
        <v>1028</v>
      </c>
      <c r="D3192" t="s">
        <v>1707</v>
      </c>
      <c r="E3192" t="s">
        <v>3060</v>
      </c>
      <c r="F3192" t="s">
        <v>3102</v>
      </c>
      <c r="H3192" t="s">
        <v>125</v>
      </c>
      <c r="I3192">
        <v>2022</v>
      </c>
      <c r="J3192" t="s">
        <v>3105</v>
      </c>
      <c r="K3192" t="s">
        <v>127</v>
      </c>
      <c r="L3192" t="s">
        <v>3362</v>
      </c>
      <c r="M3192" t="s">
        <v>3378</v>
      </c>
      <c r="N3192">
        <v>1</v>
      </c>
      <c r="O3192">
        <v>2022</v>
      </c>
      <c r="P3192">
        <v>3.996103593359285</v>
      </c>
      <c r="Q3192">
        <v>3.411735002334328</v>
      </c>
      <c r="R3192" t="s">
        <v>3065</v>
      </c>
      <c r="S3192">
        <v>35.138458209314003</v>
      </c>
      <c r="T3192">
        <v>9.3000000000000007</v>
      </c>
      <c r="U3192" t="s">
        <v>3066</v>
      </c>
      <c r="V3192">
        <v>9.3000000000000007</v>
      </c>
      <c r="W3192">
        <v>0</v>
      </c>
      <c r="X3192">
        <v>1</v>
      </c>
      <c r="Y3192">
        <v>1</v>
      </c>
      <c r="Z3192">
        <v>0.31173327880439028</v>
      </c>
      <c r="AA3192">
        <v>1</v>
      </c>
    </row>
    <row r="3193" spans="1:27" x14ac:dyDescent="0.25">
      <c r="A3193" t="s">
        <v>98</v>
      </c>
      <c r="B3193" t="s">
        <v>99</v>
      </c>
      <c r="C3193" t="s">
        <v>1028</v>
      </c>
      <c r="D3193" t="s">
        <v>1707</v>
      </c>
      <c r="E3193" t="s">
        <v>3060</v>
      </c>
      <c r="F3193" t="s">
        <v>3107</v>
      </c>
      <c r="H3193" t="s">
        <v>125</v>
      </c>
      <c r="I3193">
        <v>2015</v>
      </c>
      <c r="J3193" t="s">
        <v>3108</v>
      </c>
      <c r="K3193" t="s">
        <v>127</v>
      </c>
      <c r="L3193" t="s">
        <v>3362</v>
      </c>
      <c r="M3193" t="s">
        <v>3379</v>
      </c>
      <c r="N3193">
        <v>1</v>
      </c>
      <c r="O3193">
        <v>2020</v>
      </c>
      <c r="P3193">
        <v>1.188030798025733</v>
      </c>
      <c r="Q3193">
        <v>3.411735002334328</v>
      </c>
      <c r="R3193" t="s">
        <v>3065</v>
      </c>
      <c r="S3193">
        <v>10.44656865682308</v>
      </c>
      <c r="T3193">
        <v>71.5</v>
      </c>
      <c r="U3193" t="s">
        <v>3066</v>
      </c>
      <c r="V3193">
        <v>71.5</v>
      </c>
      <c r="W3193">
        <v>5</v>
      </c>
      <c r="X3193">
        <v>6</v>
      </c>
      <c r="Y3193">
        <v>6</v>
      </c>
      <c r="Z3193">
        <v>0.31173327880439028</v>
      </c>
      <c r="AA3193">
        <v>1</v>
      </c>
    </row>
    <row r="3194" spans="1:27" x14ac:dyDescent="0.25">
      <c r="A3194" t="s">
        <v>98</v>
      </c>
      <c r="B3194" t="s">
        <v>99</v>
      </c>
      <c r="C3194" t="s">
        <v>1028</v>
      </c>
      <c r="D3194" t="s">
        <v>1707</v>
      </c>
      <c r="E3194" t="s">
        <v>3060</v>
      </c>
      <c r="F3194" t="s">
        <v>3110</v>
      </c>
      <c r="H3194" t="s">
        <v>125</v>
      </c>
      <c r="I3194">
        <v>2015</v>
      </c>
      <c r="J3194" t="s">
        <v>3111</v>
      </c>
      <c r="K3194" t="s">
        <v>127</v>
      </c>
      <c r="L3194" t="s">
        <v>3362</v>
      </c>
      <c r="M3194" t="s">
        <v>3380</v>
      </c>
      <c r="N3194">
        <v>0</v>
      </c>
      <c r="O3194">
        <v>2020</v>
      </c>
      <c r="P3194">
        <v>7.0633831082620873</v>
      </c>
      <c r="Q3194">
        <v>3.411735002334328</v>
      </c>
      <c r="R3194" t="s">
        <v>3065</v>
      </c>
      <c r="S3194">
        <v>62.109599105111748</v>
      </c>
      <c r="T3194">
        <v>90</v>
      </c>
      <c r="U3194" t="s">
        <v>3066</v>
      </c>
      <c r="V3194">
        <v>90</v>
      </c>
      <c r="W3194">
        <v>7</v>
      </c>
      <c r="X3194">
        <v>8</v>
      </c>
      <c r="Y3194">
        <v>8</v>
      </c>
      <c r="Z3194">
        <v>0.31173327880439028</v>
      </c>
      <c r="AA3194">
        <v>1</v>
      </c>
    </row>
    <row r="3195" spans="1:27" x14ac:dyDescent="0.25">
      <c r="A3195" t="s">
        <v>98</v>
      </c>
      <c r="B3195" t="s">
        <v>99</v>
      </c>
      <c r="C3195" t="s">
        <v>1028</v>
      </c>
      <c r="D3195" t="s">
        <v>1707</v>
      </c>
      <c r="E3195" t="s">
        <v>3060</v>
      </c>
      <c r="F3195" t="s">
        <v>3110</v>
      </c>
      <c r="H3195" t="s">
        <v>125</v>
      </c>
      <c r="I3195">
        <v>2020</v>
      </c>
      <c r="J3195" t="s">
        <v>3113</v>
      </c>
      <c r="K3195" t="s">
        <v>127</v>
      </c>
      <c r="L3195" t="s">
        <v>3362</v>
      </c>
      <c r="M3195" t="s">
        <v>3380</v>
      </c>
      <c r="N3195">
        <v>1</v>
      </c>
      <c r="O3195">
        <v>2020</v>
      </c>
      <c r="P3195">
        <v>4.449715352605474</v>
      </c>
      <c r="Q3195">
        <v>3.411735002334328</v>
      </c>
      <c r="R3195" t="s">
        <v>3065</v>
      </c>
      <c r="S3195">
        <v>39.127148060100978</v>
      </c>
      <c r="T3195">
        <v>89.2</v>
      </c>
      <c r="U3195" t="s">
        <v>3066</v>
      </c>
      <c r="V3195">
        <v>89.2</v>
      </c>
      <c r="W3195">
        <v>11</v>
      </c>
      <c r="X3195">
        <v>12</v>
      </c>
      <c r="Y3195">
        <v>12</v>
      </c>
      <c r="Z3195">
        <v>0.31173327880439028</v>
      </c>
      <c r="AA3195">
        <v>1</v>
      </c>
    </row>
    <row r="3196" spans="1:27" x14ac:dyDescent="0.25">
      <c r="A3196" t="s">
        <v>98</v>
      </c>
      <c r="B3196" t="s">
        <v>99</v>
      </c>
      <c r="C3196" t="s">
        <v>1028</v>
      </c>
      <c r="D3196" t="s">
        <v>1707</v>
      </c>
      <c r="E3196" t="s">
        <v>3060</v>
      </c>
      <c r="F3196" t="s">
        <v>3110</v>
      </c>
      <c r="H3196" t="s">
        <v>125</v>
      </c>
      <c r="I3196">
        <v>2022</v>
      </c>
      <c r="J3196" t="s">
        <v>3114</v>
      </c>
      <c r="K3196" t="s">
        <v>127</v>
      </c>
      <c r="L3196" t="s">
        <v>3362</v>
      </c>
      <c r="M3196" t="s">
        <v>3381</v>
      </c>
      <c r="N3196">
        <v>1</v>
      </c>
      <c r="O3196">
        <v>2022</v>
      </c>
      <c r="P3196">
        <v>4.4065142326772646</v>
      </c>
      <c r="Q3196">
        <v>3.411735002334328</v>
      </c>
      <c r="R3196" t="s">
        <v>3065</v>
      </c>
      <c r="S3196">
        <v>38.74727283621651</v>
      </c>
      <c r="T3196">
        <v>89.2</v>
      </c>
      <c r="U3196" t="s">
        <v>3066</v>
      </c>
      <c r="V3196">
        <v>89.2</v>
      </c>
      <c r="W3196">
        <v>11</v>
      </c>
      <c r="X3196">
        <v>12</v>
      </c>
      <c r="Y3196">
        <v>12</v>
      </c>
      <c r="Z3196">
        <v>0.31173327880439028</v>
      </c>
      <c r="AA3196">
        <v>1</v>
      </c>
    </row>
    <row r="3197" spans="1:27" x14ac:dyDescent="0.25">
      <c r="A3197" t="s">
        <v>98</v>
      </c>
      <c r="B3197" t="s">
        <v>99</v>
      </c>
      <c r="C3197" t="s">
        <v>1028</v>
      </c>
      <c r="D3197" t="s">
        <v>1707</v>
      </c>
      <c r="E3197" t="s">
        <v>3060</v>
      </c>
      <c r="F3197" t="s">
        <v>3110</v>
      </c>
      <c r="H3197" t="s">
        <v>125</v>
      </c>
      <c r="I3197">
        <v>2030</v>
      </c>
      <c r="J3197" t="s">
        <v>3116</v>
      </c>
      <c r="K3197" t="s">
        <v>127</v>
      </c>
      <c r="L3197" t="s">
        <v>3362</v>
      </c>
      <c r="M3197" t="s">
        <v>3382</v>
      </c>
      <c r="N3197">
        <v>1</v>
      </c>
      <c r="O3197">
        <v>2030</v>
      </c>
      <c r="P3197">
        <v>4.2337097529644314</v>
      </c>
      <c r="Q3197">
        <v>3.411735002334328</v>
      </c>
      <c r="R3197" t="s">
        <v>3065</v>
      </c>
      <c r="S3197">
        <v>37.227771940678601</v>
      </c>
      <c r="T3197">
        <v>89.2</v>
      </c>
      <c r="U3197" t="s">
        <v>3066</v>
      </c>
      <c r="V3197">
        <v>89.2</v>
      </c>
      <c r="W3197">
        <v>11</v>
      </c>
      <c r="X3197">
        <v>12</v>
      </c>
      <c r="Y3197">
        <v>12</v>
      </c>
      <c r="Z3197">
        <v>0.31173327880439028</v>
      </c>
      <c r="AA3197">
        <v>1</v>
      </c>
    </row>
    <row r="3198" spans="1:27" x14ac:dyDescent="0.25">
      <c r="A3198" t="s">
        <v>98</v>
      </c>
      <c r="B3198" t="s">
        <v>99</v>
      </c>
      <c r="C3198" t="s">
        <v>1028</v>
      </c>
      <c r="D3198" t="s">
        <v>1707</v>
      </c>
      <c r="E3198" t="s">
        <v>3060</v>
      </c>
      <c r="F3198" t="s">
        <v>3110</v>
      </c>
      <c r="H3198" t="s">
        <v>125</v>
      </c>
      <c r="I3198">
        <v>2040</v>
      </c>
      <c r="J3198" t="s">
        <v>3118</v>
      </c>
      <c r="K3198" t="s">
        <v>127</v>
      </c>
      <c r="L3198" t="s">
        <v>3362</v>
      </c>
      <c r="M3198" t="s">
        <v>3383</v>
      </c>
      <c r="N3198">
        <v>1</v>
      </c>
      <c r="O3198">
        <v>2040</v>
      </c>
      <c r="P3198">
        <v>4.0285044333054412</v>
      </c>
      <c r="Q3198">
        <v>3.411735002334328</v>
      </c>
      <c r="R3198" t="s">
        <v>3065</v>
      </c>
      <c r="S3198">
        <v>35.42336462722735</v>
      </c>
      <c r="T3198">
        <v>89.2</v>
      </c>
      <c r="U3198" t="s">
        <v>3066</v>
      </c>
      <c r="V3198">
        <v>89.2</v>
      </c>
      <c r="W3198">
        <v>11</v>
      </c>
      <c r="X3198">
        <v>12</v>
      </c>
      <c r="Y3198">
        <v>12</v>
      </c>
      <c r="Z3198">
        <v>0.31173327880439028</v>
      </c>
      <c r="AA3198">
        <v>1</v>
      </c>
    </row>
    <row r="3199" spans="1:27" x14ac:dyDescent="0.25">
      <c r="A3199" t="s">
        <v>98</v>
      </c>
      <c r="B3199" t="s">
        <v>519</v>
      </c>
      <c r="C3199" t="s">
        <v>1028</v>
      </c>
      <c r="D3199" t="s">
        <v>1707</v>
      </c>
      <c r="E3199" t="s">
        <v>3060</v>
      </c>
      <c r="F3199" t="s">
        <v>3061</v>
      </c>
      <c r="H3199" t="s">
        <v>125</v>
      </c>
      <c r="I3199">
        <v>2015</v>
      </c>
      <c r="J3199" t="s">
        <v>3062</v>
      </c>
      <c r="K3199" t="s">
        <v>127</v>
      </c>
      <c r="L3199" t="s">
        <v>3384</v>
      </c>
      <c r="M3199" t="s">
        <v>3385</v>
      </c>
      <c r="N3199">
        <v>0</v>
      </c>
      <c r="O3199">
        <v>2020</v>
      </c>
      <c r="P3199">
        <v>4.9303278118067926</v>
      </c>
      <c r="Q3199">
        <v>8.7131837912289107</v>
      </c>
      <c r="R3199" t="s">
        <v>3065</v>
      </c>
      <c r="S3199">
        <v>33.950812446558643</v>
      </c>
      <c r="T3199">
        <v>15.7</v>
      </c>
      <c r="U3199" t="s">
        <v>3066</v>
      </c>
      <c r="V3199">
        <v>15.7</v>
      </c>
      <c r="W3199">
        <v>0</v>
      </c>
      <c r="X3199">
        <v>1</v>
      </c>
      <c r="Y3199">
        <v>1</v>
      </c>
      <c r="Z3199">
        <v>0.28949688942237772</v>
      </c>
      <c r="AA3199">
        <v>1</v>
      </c>
    </row>
    <row r="3200" spans="1:27" x14ac:dyDescent="0.25">
      <c r="A3200" t="s">
        <v>98</v>
      </c>
      <c r="B3200" t="s">
        <v>519</v>
      </c>
      <c r="C3200" t="s">
        <v>1028</v>
      </c>
      <c r="D3200" t="s">
        <v>1707</v>
      </c>
      <c r="E3200" t="s">
        <v>3060</v>
      </c>
      <c r="F3200" t="s">
        <v>3061</v>
      </c>
      <c r="H3200" t="s">
        <v>125</v>
      </c>
      <c r="I3200">
        <v>2020</v>
      </c>
      <c r="J3200" t="s">
        <v>3067</v>
      </c>
      <c r="K3200" t="s">
        <v>127</v>
      </c>
      <c r="L3200" t="s">
        <v>3384</v>
      </c>
      <c r="M3200" t="s">
        <v>3385</v>
      </c>
      <c r="N3200">
        <v>1</v>
      </c>
      <c r="O3200">
        <v>2020</v>
      </c>
      <c r="P3200">
        <v>7.0363824083069577</v>
      </c>
      <c r="Q3200">
        <v>8.7131837912289107</v>
      </c>
      <c r="R3200" t="s">
        <v>3065</v>
      </c>
      <c r="S3200">
        <v>48.453350074332889</v>
      </c>
      <c r="T3200">
        <v>15.7</v>
      </c>
      <c r="U3200" t="s">
        <v>3066</v>
      </c>
      <c r="V3200">
        <v>15.7</v>
      </c>
      <c r="W3200">
        <v>0</v>
      </c>
      <c r="X3200">
        <v>1</v>
      </c>
      <c r="Y3200">
        <v>1</v>
      </c>
      <c r="Z3200">
        <v>0.28949688942237772</v>
      </c>
      <c r="AA3200">
        <v>1</v>
      </c>
    </row>
    <row r="3201" spans="1:27" x14ac:dyDescent="0.25">
      <c r="A3201" t="s">
        <v>98</v>
      </c>
      <c r="B3201" t="s">
        <v>519</v>
      </c>
      <c r="C3201" t="s">
        <v>1028</v>
      </c>
      <c r="D3201" t="s">
        <v>1707</v>
      </c>
      <c r="E3201" t="s">
        <v>3060</v>
      </c>
      <c r="F3201" t="s">
        <v>3061</v>
      </c>
      <c r="H3201" t="s">
        <v>125</v>
      </c>
      <c r="I3201">
        <v>2022</v>
      </c>
      <c r="J3201" t="s">
        <v>3068</v>
      </c>
      <c r="K3201" t="s">
        <v>127</v>
      </c>
      <c r="L3201" t="s">
        <v>3384</v>
      </c>
      <c r="M3201" t="s">
        <v>3386</v>
      </c>
      <c r="N3201">
        <v>1</v>
      </c>
      <c r="O3201">
        <v>2022</v>
      </c>
      <c r="P3201">
        <v>7.8788042469070234</v>
      </c>
      <c r="Q3201">
        <v>8.7131837912289107</v>
      </c>
      <c r="R3201" t="s">
        <v>3065</v>
      </c>
      <c r="S3201">
        <v>54.254365125442582</v>
      </c>
      <c r="T3201">
        <v>15.7</v>
      </c>
      <c r="U3201" t="s">
        <v>3066</v>
      </c>
      <c r="V3201">
        <v>15.7</v>
      </c>
      <c r="W3201">
        <v>0</v>
      </c>
      <c r="X3201">
        <v>1</v>
      </c>
      <c r="Y3201">
        <v>1</v>
      </c>
      <c r="Z3201">
        <v>0.28949688942237772</v>
      </c>
      <c r="AA3201">
        <v>1</v>
      </c>
    </row>
    <row r="3202" spans="1:27" x14ac:dyDescent="0.25">
      <c r="A3202" t="s">
        <v>98</v>
      </c>
      <c r="B3202" t="s">
        <v>519</v>
      </c>
      <c r="C3202" t="s">
        <v>1028</v>
      </c>
      <c r="D3202" t="s">
        <v>1707</v>
      </c>
      <c r="E3202" t="s">
        <v>3060</v>
      </c>
      <c r="F3202" t="s">
        <v>3070</v>
      </c>
      <c r="H3202" t="s">
        <v>125</v>
      </c>
      <c r="I3202">
        <v>2015</v>
      </c>
      <c r="J3202" t="s">
        <v>3071</v>
      </c>
      <c r="K3202" t="s">
        <v>127</v>
      </c>
      <c r="L3202" t="s">
        <v>3384</v>
      </c>
      <c r="M3202" t="s">
        <v>3387</v>
      </c>
      <c r="N3202">
        <v>0</v>
      </c>
      <c r="O3202">
        <v>2020</v>
      </c>
      <c r="P3202">
        <v>4.7269225388114773</v>
      </c>
      <c r="Q3202">
        <v>8.7131837912289107</v>
      </c>
      <c r="R3202" t="s">
        <v>3065</v>
      </c>
      <c r="S3202">
        <v>32.55014000900438</v>
      </c>
      <c r="T3202">
        <v>59.066666666666663</v>
      </c>
      <c r="U3202" t="s">
        <v>3066</v>
      </c>
      <c r="V3202">
        <v>59.066666666666663</v>
      </c>
      <c r="W3202">
        <v>3</v>
      </c>
      <c r="X3202">
        <v>4</v>
      </c>
      <c r="Y3202">
        <v>4</v>
      </c>
      <c r="Z3202">
        <v>0.28949688942237772</v>
      </c>
      <c r="AA3202">
        <v>1</v>
      </c>
    </row>
    <row r="3203" spans="1:27" x14ac:dyDescent="0.25">
      <c r="A3203" t="s">
        <v>98</v>
      </c>
      <c r="B3203" t="s">
        <v>519</v>
      </c>
      <c r="C3203" t="s">
        <v>1028</v>
      </c>
      <c r="D3203" t="s">
        <v>1707</v>
      </c>
      <c r="E3203" t="s">
        <v>3060</v>
      </c>
      <c r="F3203" t="s">
        <v>3070</v>
      </c>
      <c r="H3203" t="s">
        <v>125</v>
      </c>
      <c r="I3203">
        <v>2020</v>
      </c>
      <c r="J3203" t="s">
        <v>3073</v>
      </c>
      <c r="K3203" t="s">
        <v>127</v>
      </c>
      <c r="L3203" t="s">
        <v>3384</v>
      </c>
      <c r="M3203" t="s">
        <v>3387</v>
      </c>
      <c r="N3203">
        <v>1</v>
      </c>
      <c r="O3203">
        <v>2020</v>
      </c>
      <c r="P3203">
        <v>6.2353616429714247</v>
      </c>
      <c r="Q3203">
        <v>8.7131837912289107</v>
      </c>
      <c r="R3203" t="s">
        <v>3065</v>
      </c>
      <c r="S3203">
        <v>42.937427643256363</v>
      </c>
      <c r="T3203">
        <v>59.933333333333337</v>
      </c>
      <c r="U3203" t="s">
        <v>3066</v>
      </c>
      <c r="V3203">
        <v>59.933333333333337</v>
      </c>
      <c r="W3203">
        <v>3</v>
      </c>
      <c r="X3203">
        <v>4</v>
      </c>
      <c r="Y3203">
        <v>4</v>
      </c>
      <c r="Z3203">
        <v>0.28949688942237772</v>
      </c>
      <c r="AA3203">
        <v>1</v>
      </c>
    </row>
    <row r="3204" spans="1:27" x14ac:dyDescent="0.25">
      <c r="A3204" t="s">
        <v>98</v>
      </c>
      <c r="B3204" t="s">
        <v>519</v>
      </c>
      <c r="C3204" t="s">
        <v>1028</v>
      </c>
      <c r="D3204" t="s">
        <v>1707</v>
      </c>
      <c r="E3204" t="s">
        <v>3060</v>
      </c>
      <c r="F3204" t="s">
        <v>3070</v>
      </c>
      <c r="H3204" t="s">
        <v>125</v>
      </c>
      <c r="I3204">
        <v>2022</v>
      </c>
      <c r="J3204" t="s">
        <v>3074</v>
      </c>
      <c r="K3204" t="s">
        <v>127</v>
      </c>
      <c r="L3204" t="s">
        <v>3384</v>
      </c>
      <c r="M3204" t="s">
        <v>3388</v>
      </c>
      <c r="N3204">
        <v>1</v>
      </c>
      <c r="O3204">
        <v>2022</v>
      </c>
      <c r="P3204">
        <v>5.7403488104607021</v>
      </c>
      <c r="Q3204">
        <v>8.7131837912289107</v>
      </c>
      <c r="R3204" t="s">
        <v>3065</v>
      </c>
      <c r="S3204">
        <v>39.528711534164117</v>
      </c>
      <c r="T3204">
        <v>65.8</v>
      </c>
      <c r="U3204" t="s">
        <v>3066</v>
      </c>
      <c r="V3204">
        <v>65.8</v>
      </c>
      <c r="W3204">
        <v>4</v>
      </c>
      <c r="X3204">
        <v>5</v>
      </c>
      <c r="Y3204">
        <v>5</v>
      </c>
      <c r="Z3204">
        <v>0.28949688942237772</v>
      </c>
      <c r="AA3204">
        <v>1</v>
      </c>
    </row>
    <row r="3205" spans="1:27" x14ac:dyDescent="0.25">
      <c r="A3205" t="s">
        <v>98</v>
      </c>
      <c r="B3205" t="s">
        <v>519</v>
      </c>
      <c r="C3205" t="s">
        <v>1028</v>
      </c>
      <c r="D3205" t="s">
        <v>1707</v>
      </c>
      <c r="E3205" t="s">
        <v>3060</v>
      </c>
      <c r="F3205" t="s">
        <v>3070</v>
      </c>
      <c r="H3205" t="s">
        <v>125</v>
      </c>
      <c r="I3205">
        <v>2030</v>
      </c>
      <c r="J3205" t="s">
        <v>3076</v>
      </c>
      <c r="K3205" t="s">
        <v>127</v>
      </c>
      <c r="L3205" t="s">
        <v>3384</v>
      </c>
      <c r="M3205" t="s">
        <v>3389</v>
      </c>
      <c r="N3205">
        <v>1</v>
      </c>
      <c r="O3205">
        <v>2030</v>
      </c>
      <c r="P3205">
        <v>5.513542930837608</v>
      </c>
      <c r="Q3205">
        <v>8.7131837912289107</v>
      </c>
      <c r="R3205" t="s">
        <v>3065</v>
      </c>
      <c r="S3205">
        <v>37.966899789634603</v>
      </c>
      <c r="T3205">
        <v>68.5</v>
      </c>
      <c r="U3205" t="s">
        <v>3066</v>
      </c>
      <c r="V3205">
        <v>68.5</v>
      </c>
      <c r="W3205">
        <v>4</v>
      </c>
      <c r="X3205">
        <v>5</v>
      </c>
      <c r="Y3205">
        <v>5</v>
      </c>
      <c r="Z3205">
        <v>0.28949688942237772</v>
      </c>
      <c r="AA3205">
        <v>1</v>
      </c>
    </row>
    <row r="3206" spans="1:27" x14ac:dyDescent="0.25">
      <c r="A3206" t="s">
        <v>98</v>
      </c>
      <c r="B3206" t="s">
        <v>519</v>
      </c>
      <c r="C3206" t="s">
        <v>1028</v>
      </c>
      <c r="D3206" t="s">
        <v>1707</v>
      </c>
      <c r="E3206" t="s">
        <v>3060</v>
      </c>
      <c r="F3206" t="s">
        <v>3070</v>
      </c>
      <c r="H3206" t="s">
        <v>125</v>
      </c>
      <c r="I3206">
        <v>2040</v>
      </c>
      <c r="J3206" t="s">
        <v>3078</v>
      </c>
      <c r="K3206" t="s">
        <v>127</v>
      </c>
      <c r="L3206" t="s">
        <v>3384</v>
      </c>
      <c r="M3206" t="s">
        <v>3390</v>
      </c>
      <c r="N3206">
        <v>1</v>
      </c>
      <c r="O3206">
        <v>2040</v>
      </c>
      <c r="P3206">
        <v>5.2435359312863046</v>
      </c>
      <c r="Q3206">
        <v>8.7131837912289107</v>
      </c>
      <c r="R3206" t="s">
        <v>3065</v>
      </c>
      <c r="S3206">
        <v>36.107600093766109</v>
      </c>
      <c r="T3206">
        <v>72</v>
      </c>
      <c r="U3206" t="s">
        <v>3066</v>
      </c>
      <c r="V3206">
        <v>72</v>
      </c>
      <c r="W3206">
        <v>4</v>
      </c>
      <c r="X3206">
        <v>5</v>
      </c>
      <c r="Y3206">
        <v>5</v>
      </c>
      <c r="Z3206">
        <v>0.28949688942237772</v>
      </c>
      <c r="AA3206">
        <v>1</v>
      </c>
    </row>
    <row r="3207" spans="1:27" x14ac:dyDescent="0.25">
      <c r="A3207" t="s">
        <v>98</v>
      </c>
      <c r="B3207" t="s">
        <v>519</v>
      </c>
      <c r="C3207" t="s">
        <v>1028</v>
      </c>
      <c r="D3207" t="s">
        <v>1707</v>
      </c>
      <c r="E3207" t="s">
        <v>3060</v>
      </c>
      <c r="F3207" t="s">
        <v>3080</v>
      </c>
      <c r="H3207" t="s">
        <v>125</v>
      </c>
      <c r="I3207">
        <v>2015</v>
      </c>
      <c r="J3207" t="s">
        <v>3081</v>
      </c>
      <c r="K3207" t="s">
        <v>127</v>
      </c>
      <c r="L3207" t="s">
        <v>3384</v>
      </c>
      <c r="M3207" t="s">
        <v>3391</v>
      </c>
      <c r="N3207">
        <v>0</v>
      </c>
      <c r="O3207">
        <v>2020</v>
      </c>
      <c r="P3207">
        <v>21.61676038407732</v>
      </c>
      <c r="Q3207">
        <v>8.7131837912289107</v>
      </c>
      <c r="R3207" t="s">
        <v>3065</v>
      </c>
      <c r="S3207">
        <v>148.85553365123141</v>
      </c>
      <c r="T3207">
        <v>79.849999999999994</v>
      </c>
      <c r="U3207" t="s">
        <v>3066</v>
      </c>
      <c r="V3207">
        <v>79.849999999999994</v>
      </c>
      <c r="W3207">
        <v>12</v>
      </c>
      <c r="X3207">
        <v>13</v>
      </c>
      <c r="Y3207">
        <v>13</v>
      </c>
      <c r="Z3207">
        <v>0.28949688942237772</v>
      </c>
      <c r="AA3207">
        <v>1</v>
      </c>
    </row>
    <row r="3208" spans="1:27" x14ac:dyDescent="0.25">
      <c r="A3208" t="s">
        <v>98</v>
      </c>
      <c r="B3208" t="s">
        <v>519</v>
      </c>
      <c r="C3208" t="s">
        <v>1028</v>
      </c>
      <c r="D3208" t="s">
        <v>1707</v>
      </c>
      <c r="E3208" t="s">
        <v>3060</v>
      </c>
      <c r="F3208" t="s">
        <v>3080</v>
      </c>
      <c r="H3208" t="s">
        <v>125</v>
      </c>
      <c r="I3208">
        <v>2016</v>
      </c>
      <c r="J3208" t="s">
        <v>3083</v>
      </c>
      <c r="K3208" t="s">
        <v>127</v>
      </c>
      <c r="L3208" t="s">
        <v>3384</v>
      </c>
      <c r="M3208" t="s">
        <v>3391</v>
      </c>
      <c r="N3208">
        <v>0</v>
      </c>
      <c r="O3208">
        <v>2020</v>
      </c>
      <c r="P3208">
        <v>21.128047714889458</v>
      </c>
      <c r="Q3208">
        <v>8.7131837912289107</v>
      </c>
      <c r="R3208" t="s">
        <v>3065</v>
      </c>
      <c r="S3208">
        <v>145.4902012017094</v>
      </c>
      <c r="T3208">
        <v>83.025000000000006</v>
      </c>
      <c r="U3208" t="s">
        <v>3066</v>
      </c>
      <c r="V3208">
        <v>83.025000000000006</v>
      </c>
      <c r="W3208">
        <v>12</v>
      </c>
      <c r="X3208">
        <v>13</v>
      </c>
      <c r="Y3208">
        <v>13</v>
      </c>
      <c r="Z3208">
        <v>0.28949688942237772</v>
      </c>
      <c r="AA3208">
        <v>1</v>
      </c>
    </row>
    <row r="3209" spans="1:27" x14ac:dyDescent="0.25">
      <c r="A3209" t="s">
        <v>98</v>
      </c>
      <c r="B3209" t="s">
        <v>519</v>
      </c>
      <c r="C3209" t="s">
        <v>1028</v>
      </c>
      <c r="D3209" t="s">
        <v>1707</v>
      </c>
      <c r="E3209" t="s">
        <v>3060</v>
      </c>
      <c r="F3209" t="s">
        <v>3080</v>
      </c>
      <c r="H3209" t="s">
        <v>125</v>
      </c>
      <c r="I3209">
        <v>2017</v>
      </c>
      <c r="J3209" t="s">
        <v>3084</v>
      </c>
      <c r="K3209" t="s">
        <v>127</v>
      </c>
      <c r="L3209" t="s">
        <v>3384</v>
      </c>
      <c r="M3209" t="s">
        <v>3391</v>
      </c>
      <c r="N3209">
        <v>0</v>
      </c>
      <c r="O3209">
        <v>2020</v>
      </c>
      <c r="P3209">
        <v>17.431651891032121</v>
      </c>
      <c r="Q3209">
        <v>8.7131837912289107</v>
      </c>
      <c r="R3209" t="s">
        <v>3065</v>
      </c>
      <c r="S3209">
        <v>120.0363883652698</v>
      </c>
      <c r="T3209">
        <v>86.2</v>
      </c>
      <c r="U3209" t="s">
        <v>3066</v>
      </c>
      <c r="V3209">
        <v>86.2</v>
      </c>
      <c r="W3209">
        <v>12</v>
      </c>
      <c r="X3209">
        <v>13</v>
      </c>
      <c r="Y3209">
        <v>13</v>
      </c>
      <c r="Z3209">
        <v>0.28949688942237772</v>
      </c>
      <c r="AA3209">
        <v>1</v>
      </c>
    </row>
    <row r="3210" spans="1:27" x14ac:dyDescent="0.25">
      <c r="A3210" t="s">
        <v>98</v>
      </c>
      <c r="B3210" t="s">
        <v>519</v>
      </c>
      <c r="C3210" t="s">
        <v>1028</v>
      </c>
      <c r="D3210" t="s">
        <v>1707</v>
      </c>
      <c r="E3210" t="s">
        <v>3060</v>
      </c>
      <c r="F3210" t="s">
        <v>3080</v>
      </c>
      <c r="H3210" t="s">
        <v>125</v>
      </c>
      <c r="I3210">
        <v>2018</v>
      </c>
      <c r="J3210" t="s">
        <v>3085</v>
      </c>
      <c r="K3210" t="s">
        <v>127</v>
      </c>
      <c r="L3210" t="s">
        <v>3384</v>
      </c>
      <c r="M3210" t="s">
        <v>3391</v>
      </c>
      <c r="N3210">
        <v>0</v>
      </c>
      <c r="O3210">
        <v>2020</v>
      </c>
      <c r="P3210">
        <v>15.33639757451401</v>
      </c>
      <c r="Q3210">
        <v>8.7131837912289107</v>
      </c>
      <c r="R3210" t="s">
        <v>3065</v>
      </c>
      <c r="S3210">
        <v>105.60822272533029</v>
      </c>
      <c r="T3210">
        <v>89.35</v>
      </c>
      <c r="U3210" t="s">
        <v>3066</v>
      </c>
      <c r="V3210">
        <v>89.35</v>
      </c>
      <c r="W3210">
        <v>11</v>
      </c>
      <c r="X3210">
        <v>12</v>
      </c>
      <c r="Y3210">
        <v>12</v>
      </c>
      <c r="Z3210">
        <v>0.28949688942237772</v>
      </c>
      <c r="AA3210">
        <v>1</v>
      </c>
    </row>
    <row r="3211" spans="1:27" x14ac:dyDescent="0.25">
      <c r="A3211" t="s">
        <v>98</v>
      </c>
      <c r="B3211" t="s">
        <v>519</v>
      </c>
      <c r="C3211" t="s">
        <v>1028</v>
      </c>
      <c r="D3211" t="s">
        <v>1707</v>
      </c>
      <c r="E3211" t="s">
        <v>3060</v>
      </c>
      <c r="F3211" t="s">
        <v>3080</v>
      </c>
      <c r="H3211" t="s">
        <v>125</v>
      </c>
      <c r="I3211">
        <v>2019</v>
      </c>
      <c r="J3211" t="s">
        <v>3086</v>
      </c>
      <c r="K3211" t="s">
        <v>127</v>
      </c>
      <c r="L3211" t="s">
        <v>3384</v>
      </c>
      <c r="M3211" t="s">
        <v>3391</v>
      </c>
      <c r="N3211">
        <v>0</v>
      </c>
      <c r="O3211">
        <v>2020</v>
      </c>
      <c r="P3211">
        <v>13.24384332799141</v>
      </c>
      <c r="Q3211">
        <v>8.7131837912289107</v>
      </c>
      <c r="R3211" t="s">
        <v>3065</v>
      </c>
      <c r="S3211">
        <v>91.198650082349502</v>
      </c>
      <c r="T3211">
        <v>92.55</v>
      </c>
      <c r="U3211" t="s">
        <v>3066</v>
      </c>
      <c r="V3211">
        <v>92.55</v>
      </c>
      <c r="W3211">
        <v>11</v>
      </c>
      <c r="X3211">
        <v>12</v>
      </c>
      <c r="Y3211">
        <v>12</v>
      </c>
      <c r="Z3211">
        <v>0.28949688942237772</v>
      </c>
      <c r="AA3211">
        <v>1</v>
      </c>
    </row>
    <row r="3212" spans="1:27" x14ac:dyDescent="0.25">
      <c r="A3212" t="s">
        <v>98</v>
      </c>
      <c r="B3212" t="s">
        <v>519</v>
      </c>
      <c r="C3212" t="s">
        <v>1028</v>
      </c>
      <c r="D3212" t="s">
        <v>1707</v>
      </c>
      <c r="E3212" t="s">
        <v>3060</v>
      </c>
      <c r="F3212" t="s">
        <v>3080</v>
      </c>
      <c r="H3212" t="s">
        <v>125</v>
      </c>
      <c r="I3212">
        <v>2020</v>
      </c>
      <c r="J3212" t="s">
        <v>3087</v>
      </c>
      <c r="K3212" t="s">
        <v>127</v>
      </c>
      <c r="L3212" t="s">
        <v>3384</v>
      </c>
      <c r="M3212" t="s">
        <v>3391</v>
      </c>
      <c r="N3212">
        <v>1</v>
      </c>
      <c r="O3212">
        <v>2020</v>
      </c>
      <c r="P3212">
        <v>11.1485890114733</v>
      </c>
      <c r="Q3212">
        <v>8.7131837912289107</v>
      </c>
      <c r="R3212" t="s">
        <v>3065</v>
      </c>
      <c r="S3212">
        <v>76.770484442410023</v>
      </c>
      <c r="T3212">
        <v>95.699999999999989</v>
      </c>
      <c r="U3212" t="s">
        <v>3066</v>
      </c>
      <c r="V3212">
        <v>95.699999999999989</v>
      </c>
      <c r="W3212">
        <v>11</v>
      </c>
      <c r="X3212">
        <v>12</v>
      </c>
      <c r="Y3212">
        <v>12</v>
      </c>
      <c r="Z3212">
        <v>0.28949688942237772</v>
      </c>
      <c r="AA3212">
        <v>1</v>
      </c>
    </row>
    <row r="3213" spans="1:27" x14ac:dyDescent="0.25">
      <c r="A3213" t="s">
        <v>98</v>
      </c>
      <c r="B3213" t="s">
        <v>519</v>
      </c>
      <c r="C3213" t="s">
        <v>1028</v>
      </c>
      <c r="D3213" t="s">
        <v>1707</v>
      </c>
      <c r="E3213" t="s">
        <v>3060</v>
      </c>
      <c r="F3213" t="s">
        <v>3080</v>
      </c>
      <c r="H3213" t="s">
        <v>125</v>
      </c>
      <c r="I3213">
        <v>2021</v>
      </c>
      <c r="J3213" t="s">
        <v>3088</v>
      </c>
      <c r="K3213" t="s">
        <v>127</v>
      </c>
      <c r="L3213" t="s">
        <v>3384</v>
      </c>
      <c r="M3213" t="s">
        <v>3392</v>
      </c>
      <c r="N3213">
        <v>1</v>
      </c>
      <c r="O3213">
        <v>2021</v>
      </c>
      <c r="P3213">
        <v>8.8076283253635061</v>
      </c>
      <c r="Q3213">
        <v>8.7131837912289107</v>
      </c>
      <c r="R3213" t="s">
        <v>3065</v>
      </c>
      <c r="S3213">
        <v>60.650356079230193</v>
      </c>
      <c r="T3213">
        <v>97.949999999999989</v>
      </c>
      <c r="U3213" t="s">
        <v>3066</v>
      </c>
      <c r="V3213">
        <v>97.949999999999989</v>
      </c>
      <c r="W3213">
        <v>10</v>
      </c>
      <c r="X3213">
        <v>11</v>
      </c>
      <c r="Y3213">
        <v>11</v>
      </c>
      <c r="Z3213">
        <v>0.28949688942237772</v>
      </c>
      <c r="AA3213">
        <v>1</v>
      </c>
    </row>
    <row r="3214" spans="1:27" x14ac:dyDescent="0.25">
      <c r="A3214" t="s">
        <v>98</v>
      </c>
      <c r="B3214" t="s">
        <v>519</v>
      </c>
      <c r="C3214" t="s">
        <v>1028</v>
      </c>
      <c r="D3214" t="s">
        <v>1707</v>
      </c>
      <c r="E3214" t="s">
        <v>3060</v>
      </c>
      <c r="F3214" t="s">
        <v>3080</v>
      </c>
      <c r="H3214" t="s">
        <v>125</v>
      </c>
      <c r="I3214">
        <v>2022</v>
      </c>
      <c r="J3214" t="s">
        <v>3090</v>
      </c>
      <c r="K3214" t="s">
        <v>127</v>
      </c>
      <c r="L3214" t="s">
        <v>3384</v>
      </c>
      <c r="M3214" t="s">
        <v>3393</v>
      </c>
      <c r="N3214">
        <v>1</v>
      </c>
      <c r="O3214">
        <v>2022</v>
      </c>
      <c r="P3214">
        <v>6.4693677092492212</v>
      </c>
      <c r="Q3214">
        <v>8.7131837912289107</v>
      </c>
      <c r="R3214" t="s">
        <v>3065</v>
      </c>
      <c r="S3214">
        <v>44.548820713009057</v>
      </c>
      <c r="T3214">
        <v>100.22499999999999</v>
      </c>
      <c r="U3214" t="s">
        <v>3066</v>
      </c>
      <c r="V3214">
        <v>100.22499999999999</v>
      </c>
      <c r="W3214">
        <v>10</v>
      </c>
      <c r="X3214">
        <v>11</v>
      </c>
      <c r="Y3214">
        <v>11</v>
      </c>
      <c r="Z3214">
        <v>0.28949688942237772</v>
      </c>
      <c r="AA3214">
        <v>1</v>
      </c>
    </row>
    <row r="3215" spans="1:27" x14ac:dyDescent="0.25">
      <c r="A3215" t="s">
        <v>98</v>
      </c>
      <c r="B3215" t="s">
        <v>519</v>
      </c>
      <c r="C3215" t="s">
        <v>1028</v>
      </c>
      <c r="D3215" t="s">
        <v>1707</v>
      </c>
      <c r="E3215" t="s">
        <v>3060</v>
      </c>
      <c r="F3215" t="s">
        <v>3080</v>
      </c>
      <c r="H3215" t="s">
        <v>125</v>
      </c>
      <c r="I3215">
        <v>2023</v>
      </c>
      <c r="J3215" t="s">
        <v>3092</v>
      </c>
      <c r="K3215" t="s">
        <v>127</v>
      </c>
      <c r="L3215" t="s">
        <v>3384</v>
      </c>
      <c r="M3215" t="s">
        <v>3394</v>
      </c>
      <c r="N3215">
        <v>1</v>
      </c>
      <c r="O3215">
        <v>2023</v>
      </c>
      <c r="P3215">
        <v>6.3505646294466462</v>
      </c>
      <c r="Q3215">
        <v>8.7131837912289107</v>
      </c>
      <c r="R3215" t="s">
        <v>3065</v>
      </c>
      <c r="S3215">
        <v>43.730728846826914</v>
      </c>
      <c r="T3215">
        <v>102.65</v>
      </c>
      <c r="U3215" t="s">
        <v>3066</v>
      </c>
      <c r="V3215">
        <v>102.65</v>
      </c>
      <c r="W3215">
        <v>10</v>
      </c>
      <c r="X3215">
        <v>11</v>
      </c>
      <c r="Y3215">
        <v>11</v>
      </c>
      <c r="Z3215">
        <v>0.28949688942237772</v>
      </c>
      <c r="AA3215">
        <v>1</v>
      </c>
    </row>
    <row r="3216" spans="1:27" x14ac:dyDescent="0.25">
      <c r="A3216" t="s">
        <v>98</v>
      </c>
      <c r="B3216" t="s">
        <v>519</v>
      </c>
      <c r="C3216" t="s">
        <v>1028</v>
      </c>
      <c r="D3216" t="s">
        <v>1707</v>
      </c>
      <c r="E3216" t="s">
        <v>3060</v>
      </c>
      <c r="F3216" t="s">
        <v>3080</v>
      </c>
      <c r="H3216" t="s">
        <v>125</v>
      </c>
      <c r="I3216">
        <v>2024</v>
      </c>
      <c r="J3216" t="s">
        <v>3094</v>
      </c>
      <c r="K3216" t="s">
        <v>127</v>
      </c>
      <c r="L3216" t="s">
        <v>3384</v>
      </c>
      <c r="M3216" t="s">
        <v>3395</v>
      </c>
      <c r="N3216">
        <v>1</v>
      </c>
      <c r="O3216">
        <v>2024</v>
      </c>
      <c r="P3216">
        <v>6.2857629495543348</v>
      </c>
      <c r="Q3216">
        <v>8.7131837912289107</v>
      </c>
      <c r="R3216" t="s">
        <v>3065</v>
      </c>
      <c r="S3216">
        <v>43.28449691981848</v>
      </c>
      <c r="T3216">
        <v>105.05</v>
      </c>
      <c r="U3216" t="s">
        <v>3066</v>
      </c>
      <c r="V3216">
        <v>105.05</v>
      </c>
      <c r="W3216">
        <v>10</v>
      </c>
      <c r="X3216">
        <v>11</v>
      </c>
      <c r="Y3216">
        <v>11</v>
      </c>
      <c r="Z3216">
        <v>0.28949688942237772</v>
      </c>
      <c r="AA3216">
        <v>1</v>
      </c>
    </row>
    <row r="3217" spans="1:27" x14ac:dyDescent="0.25">
      <c r="A3217" t="s">
        <v>98</v>
      </c>
      <c r="B3217" t="s">
        <v>519</v>
      </c>
      <c r="C3217" t="s">
        <v>1028</v>
      </c>
      <c r="D3217" t="s">
        <v>1707</v>
      </c>
      <c r="E3217" t="s">
        <v>3060</v>
      </c>
      <c r="F3217" t="s">
        <v>3080</v>
      </c>
      <c r="H3217" t="s">
        <v>125</v>
      </c>
      <c r="I3217">
        <v>2025</v>
      </c>
      <c r="J3217" t="s">
        <v>3096</v>
      </c>
      <c r="K3217" t="s">
        <v>127</v>
      </c>
      <c r="L3217" t="s">
        <v>3384</v>
      </c>
      <c r="M3217" t="s">
        <v>3396</v>
      </c>
      <c r="N3217">
        <v>1</v>
      </c>
      <c r="O3217">
        <v>2025</v>
      </c>
      <c r="P3217">
        <v>6.1210586798280389</v>
      </c>
      <c r="Q3217">
        <v>8.7131837912289107</v>
      </c>
      <c r="R3217" t="s">
        <v>3065</v>
      </c>
      <c r="S3217">
        <v>42.150324105338697</v>
      </c>
      <c r="T3217">
        <v>107.47499999999999</v>
      </c>
      <c r="U3217" t="s">
        <v>3066</v>
      </c>
      <c r="V3217">
        <v>107.47499999999999</v>
      </c>
      <c r="W3217">
        <v>10</v>
      </c>
      <c r="X3217">
        <v>11</v>
      </c>
      <c r="Y3217">
        <v>11</v>
      </c>
      <c r="Z3217">
        <v>0.28949688942237772</v>
      </c>
      <c r="AA3217">
        <v>1</v>
      </c>
    </row>
    <row r="3218" spans="1:27" x14ac:dyDescent="0.25">
      <c r="A3218" t="s">
        <v>98</v>
      </c>
      <c r="B3218" t="s">
        <v>519</v>
      </c>
      <c r="C3218" t="s">
        <v>1028</v>
      </c>
      <c r="D3218" t="s">
        <v>1707</v>
      </c>
      <c r="E3218" t="s">
        <v>3060</v>
      </c>
      <c r="F3218" t="s">
        <v>3080</v>
      </c>
      <c r="H3218" t="s">
        <v>125</v>
      </c>
      <c r="I3218">
        <v>2030</v>
      </c>
      <c r="J3218" t="s">
        <v>3098</v>
      </c>
      <c r="K3218" t="s">
        <v>127</v>
      </c>
      <c r="L3218" t="s">
        <v>3384</v>
      </c>
      <c r="M3218" t="s">
        <v>3397</v>
      </c>
      <c r="N3218">
        <v>1</v>
      </c>
      <c r="O3218">
        <v>2030</v>
      </c>
      <c r="P3218">
        <v>5.5459437707837651</v>
      </c>
      <c r="Q3218">
        <v>8.7131837912289107</v>
      </c>
      <c r="R3218" t="s">
        <v>3065</v>
      </c>
      <c r="S3218">
        <v>38.190015753138823</v>
      </c>
      <c r="T3218">
        <v>119.575</v>
      </c>
      <c r="U3218" t="s">
        <v>3066</v>
      </c>
      <c r="V3218">
        <v>119.575</v>
      </c>
      <c r="W3218">
        <v>10</v>
      </c>
      <c r="X3218">
        <v>11</v>
      </c>
      <c r="Y3218">
        <v>11</v>
      </c>
      <c r="Z3218">
        <v>0.28949688942237772</v>
      </c>
      <c r="AA3218">
        <v>1</v>
      </c>
    </row>
    <row r="3219" spans="1:27" x14ac:dyDescent="0.25">
      <c r="A3219" t="s">
        <v>98</v>
      </c>
      <c r="B3219" t="s">
        <v>519</v>
      </c>
      <c r="C3219" t="s">
        <v>1028</v>
      </c>
      <c r="D3219" t="s">
        <v>1707</v>
      </c>
      <c r="E3219" t="s">
        <v>3060</v>
      </c>
      <c r="F3219" t="s">
        <v>3080</v>
      </c>
      <c r="H3219" t="s">
        <v>125</v>
      </c>
      <c r="I3219">
        <v>2040</v>
      </c>
      <c r="J3219" t="s">
        <v>3100</v>
      </c>
      <c r="K3219" t="s">
        <v>127</v>
      </c>
      <c r="L3219" t="s">
        <v>3384</v>
      </c>
      <c r="M3219" t="s">
        <v>3398</v>
      </c>
      <c r="N3219">
        <v>1</v>
      </c>
      <c r="O3219">
        <v>2040</v>
      </c>
      <c r="P3219">
        <v>5.1760341813984789</v>
      </c>
      <c r="Q3219">
        <v>8.7131837912289107</v>
      </c>
      <c r="R3219" t="s">
        <v>3065</v>
      </c>
      <c r="S3219">
        <v>35.642775169798973</v>
      </c>
      <c r="T3219">
        <v>144.42500000000001</v>
      </c>
      <c r="U3219" t="s">
        <v>3066</v>
      </c>
      <c r="V3219">
        <v>144.42500000000001</v>
      </c>
      <c r="W3219">
        <v>10</v>
      </c>
      <c r="X3219">
        <v>11</v>
      </c>
      <c r="Y3219">
        <v>11</v>
      </c>
      <c r="Z3219">
        <v>0.28949688942237772</v>
      </c>
      <c r="AA3219">
        <v>1</v>
      </c>
    </row>
    <row r="3220" spans="1:27" x14ac:dyDescent="0.25">
      <c r="A3220" t="s">
        <v>98</v>
      </c>
      <c r="B3220" t="s">
        <v>519</v>
      </c>
      <c r="C3220" t="s">
        <v>1028</v>
      </c>
      <c r="D3220" t="s">
        <v>1707</v>
      </c>
      <c r="E3220" t="s">
        <v>3060</v>
      </c>
      <c r="F3220" t="s">
        <v>3102</v>
      </c>
      <c r="H3220" t="s">
        <v>125</v>
      </c>
      <c r="I3220">
        <v>2015</v>
      </c>
      <c r="J3220" t="s">
        <v>3103</v>
      </c>
      <c r="K3220" t="s">
        <v>127</v>
      </c>
      <c r="L3220" t="s">
        <v>3384</v>
      </c>
      <c r="M3220" t="s">
        <v>3399</v>
      </c>
      <c r="N3220">
        <v>1</v>
      </c>
      <c r="O3220">
        <v>2020</v>
      </c>
      <c r="P3220">
        <v>2.3976621560155711</v>
      </c>
      <c r="Q3220">
        <v>8.7131837912289107</v>
      </c>
      <c r="R3220" t="s">
        <v>3065</v>
      </c>
      <c r="S3220">
        <v>16.5105812993122</v>
      </c>
      <c r="T3220">
        <v>12.7</v>
      </c>
      <c r="U3220" t="s">
        <v>3066</v>
      </c>
      <c r="V3220">
        <v>12.7</v>
      </c>
      <c r="W3220">
        <v>0</v>
      </c>
      <c r="X3220">
        <v>1</v>
      </c>
      <c r="Y3220">
        <v>1</v>
      </c>
      <c r="Z3220">
        <v>0.28949688942237772</v>
      </c>
      <c r="AA3220">
        <v>1</v>
      </c>
    </row>
    <row r="3221" spans="1:27" x14ac:dyDescent="0.25">
      <c r="A3221" t="s">
        <v>98</v>
      </c>
      <c r="B3221" t="s">
        <v>519</v>
      </c>
      <c r="C3221" t="s">
        <v>1028</v>
      </c>
      <c r="D3221" t="s">
        <v>1707</v>
      </c>
      <c r="E3221" t="s">
        <v>3060</v>
      </c>
      <c r="F3221" t="s">
        <v>3102</v>
      </c>
      <c r="H3221" t="s">
        <v>125</v>
      </c>
      <c r="I3221">
        <v>2022</v>
      </c>
      <c r="J3221" t="s">
        <v>3105</v>
      </c>
      <c r="K3221" t="s">
        <v>127</v>
      </c>
      <c r="L3221" t="s">
        <v>3384</v>
      </c>
      <c r="M3221" t="s">
        <v>3400</v>
      </c>
      <c r="N3221">
        <v>1</v>
      </c>
      <c r="O3221">
        <v>2022</v>
      </c>
      <c r="P3221">
        <v>3.996103593359285</v>
      </c>
      <c r="Q3221">
        <v>8.7131837912289107</v>
      </c>
      <c r="R3221" t="s">
        <v>3065</v>
      </c>
      <c r="S3221">
        <v>27.517635498853672</v>
      </c>
      <c r="T3221">
        <v>9.3000000000000007</v>
      </c>
      <c r="U3221" t="s">
        <v>3066</v>
      </c>
      <c r="V3221">
        <v>9.3000000000000007</v>
      </c>
      <c r="W3221">
        <v>0</v>
      </c>
      <c r="X3221">
        <v>1</v>
      </c>
      <c r="Y3221">
        <v>1</v>
      </c>
      <c r="Z3221">
        <v>0.28949688942237772</v>
      </c>
      <c r="AA3221">
        <v>1</v>
      </c>
    </row>
    <row r="3222" spans="1:27" x14ac:dyDescent="0.25">
      <c r="A3222" t="s">
        <v>98</v>
      </c>
      <c r="B3222" t="s">
        <v>519</v>
      </c>
      <c r="C3222" t="s">
        <v>1028</v>
      </c>
      <c r="D3222" t="s">
        <v>1707</v>
      </c>
      <c r="E3222" t="s">
        <v>3060</v>
      </c>
      <c r="F3222" t="s">
        <v>3107</v>
      </c>
      <c r="H3222" t="s">
        <v>125</v>
      </c>
      <c r="I3222">
        <v>2015</v>
      </c>
      <c r="J3222" t="s">
        <v>3108</v>
      </c>
      <c r="K3222" t="s">
        <v>127</v>
      </c>
      <c r="L3222" t="s">
        <v>3384</v>
      </c>
      <c r="M3222" t="s">
        <v>3401</v>
      </c>
      <c r="N3222">
        <v>1</v>
      </c>
      <c r="O3222">
        <v>2020</v>
      </c>
      <c r="P3222">
        <v>1.188030798025733</v>
      </c>
      <c r="Q3222">
        <v>8.7131837912289107</v>
      </c>
      <c r="R3222" t="s">
        <v>3065</v>
      </c>
      <c r="S3222">
        <v>8.1809186618213623</v>
      </c>
      <c r="T3222">
        <v>71.5</v>
      </c>
      <c r="U3222" t="s">
        <v>3066</v>
      </c>
      <c r="V3222">
        <v>71.5</v>
      </c>
      <c r="W3222">
        <v>5</v>
      </c>
      <c r="X3222">
        <v>6</v>
      </c>
      <c r="Y3222">
        <v>6</v>
      </c>
      <c r="Z3222">
        <v>0.28949688942237772</v>
      </c>
      <c r="AA3222">
        <v>1</v>
      </c>
    </row>
    <row r="3223" spans="1:27" x14ac:dyDescent="0.25">
      <c r="A3223" t="s">
        <v>98</v>
      </c>
      <c r="B3223" t="s">
        <v>519</v>
      </c>
      <c r="C3223" t="s">
        <v>1028</v>
      </c>
      <c r="D3223" t="s">
        <v>1707</v>
      </c>
      <c r="E3223" t="s">
        <v>3060</v>
      </c>
      <c r="F3223" t="s">
        <v>3110</v>
      </c>
      <c r="H3223" t="s">
        <v>125</v>
      </c>
      <c r="I3223">
        <v>2015</v>
      </c>
      <c r="J3223" t="s">
        <v>3111</v>
      </c>
      <c r="K3223" t="s">
        <v>127</v>
      </c>
      <c r="L3223" t="s">
        <v>3384</v>
      </c>
      <c r="M3223" t="s">
        <v>3402</v>
      </c>
      <c r="N3223">
        <v>0</v>
      </c>
      <c r="O3223">
        <v>2020</v>
      </c>
      <c r="P3223">
        <v>7.0633831082620873</v>
      </c>
      <c r="Q3223">
        <v>8.7131837912289107</v>
      </c>
      <c r="R3223" t="s">
        <v>3065</v>
      </c>
      <c r="S3223">
        <v>48.639280043919733</v>
      </c>
      <c r="T3223">
        <v>90</v>
      </c>
      <c r="U3223" t="s">
        <v>3066</v>
      </c>
      <c r="V3223">
        <v>90</v>
      </c>
      <c r="W3223">
        <v>8</v>
      </c>
      <c r="X3223">
        <v>9</v>
      </c>
      <c r="Y3223">
        <v>9</v>
      </c>
      <c r="Z3223">
        <v>0.28949688942237772</v>
      </c>
      <c r="AA3223">
        <v>1</v>
      </c>
    </row>
    <row r="3224" spans="1:27" x14ac:dyDescent="0.25">
      <c r="A3224" t="s">
        <v>98</v>
      </c>
      <c r="B3224" t="s">
        <v>519</v>
      </c>
      <c r="C3224" t="s">
        <v>1028</v>
      </c>
      <c r="D3224" t="s">
        <v>1707</v>
      </c>
      <c r="E3224" t="s">
        <v>3060</v>
      </c>
      <c r="F3224" t="s">
        <v>3110</v>
      </c>
      <c r="H3224" t="s">
        <v>125</v>
      </c>
      <c r="I3224">
        <v>2020</v>
      </c>
      <c r="J3224" t="s">
        <v>3113</v>
      </c>
      <c r="K3224" t="s">
        <v>127</v>
      </c>
      <c r="L3224" t="s">
        <v>3384</v>
      </c>
      <c r="M3224" t="s">
        <v>3402</v>
      </c>
      <c r="N3224">
        <v>1</v>
      </c>
      <c r="O3224">
        <v>2020</v>
      </c>
      <c r="P3224">
        <v>4.449715352605474</v>
      </c>
      <c r="Q3224">
        <v>8.7131837912289107</v>
      </c>
      <c r="R3224" t="s">
        <v>3065</v>
      </c>
      <c r="S3224">
        <v>30.641258987912739</v>
      </c>
      <c r="T3224">
        <v>89.2</v>
      </c>
      <c r="U3224" t="s">
        <v>3066</v>
      </c>
      <c r="V3224">
        <v>89.2</v>
      </c>
      <c r="W3224">
        <v>12</v>
      </c>
      <c r="X3224">
        <v>13</v>
      </c>
      <c r="Y3224">
        <v>13</v>
      </c>
      <c r="Z3224">
        <v>0.28949688942237772</v>
      </c>
      <c r="AA3224">
        <v>1</v>
      </c>
    </row>
    <row r="3225" spans="1:27" x14ac:dyDescent="0.25">
      <c r="A3225" t="s">
        <v>98</v>
      </c>
      <c r="B3225" t="s">
        <v>519</v>
      </c>
      <c r="C3225" t="s">
        <v>1028</v>
      </c>
      <c r="D3225" t="s">
        <v>1707</v>
      </c>
      <c r="E3225" t="s">
        <v>3060</v>
      </c>
      <c r="F3225" t="s">
        <v>3110</v>
      </c>
      <c r="H3225" t="s">
        <v>125</v>
      </c>
      <c r="I3225">
        <v>2022</v>
      </c>
      <c r="J3225" t="s">
        <v>3114</v>
      </c>
      <c r="K3225" t="s">
        <v>127</v>
      </c>
      <c r="L3225" t="s">
        <v>3384</v>
      </c>
      <c r="M3225" t="s">
        <v>3403</v>
      </c>
      <c r="N3225">
        <v>1</v>
      </c>
      <c r="O3225">
        <v>2022</v>
      </c>
      <c r="P3225">
        <v>4.4065142326772646</v>
      </c>
      <c r="Q3225">
        <v>8.7131837912289107</v>
      </c>
      <c r="R3225" t="s">
        <v>3065</v>
      </c>
      <c r="S3225">
        <v>30.343771036573781</v>
      </c>
      <c r="T3225">
        <v>89.2</v>
      </c>
      <c r="U3225" t="s">
        <v>3066</v>
      </c>
      <c r="V3225">
        <v>89.2</v>
      </c>
      <c r="W3225">
        <v>12</v>
      </c>
      <c r="X3225">
        <v>13</v>
      </c>
      <c r="Y3225">
        <v>13</v>
      </c>
      <c r="Z3225">
        <v>0.28949688942237772</v>
      </c>
      <c r="AA3225">
        <v>1</v>
      </c>
    </row>
    <row r="3226" spans="1:27" x14ac:dyDescent="0.25">
      <c r="A3226" t="s">
        <v>98</v>
      </c>
      <c r="B3226" t="s">
        <v>519</v>
      </c>
      <c r="C3226" t="s">
        <v>1028</v>
      </c>
      <c r="D3226" t="s">
        <v>1707</v>
      </c>
      <c r="E3226" t="s">
        <v>3060</v>
      </c>
      <c r="F3226" t="s">
        <v>3110</v>
      </c>
      <c r="H3226" t="s">
        <v>125</v>
      </c>
      <c r="I3226">
        <v>2030</v>
      </c>
      <c r="J3226" t="s">
        <v>3116</v>
      </c>
      <c r="K3226" t="s">
        <v>127</v>
      </c>
      <c r="L3226" t="s">
        <v>3384</v>
      </c>
      <c r="M3226" t="s">
        <v>3404</v>
      </c>
      <c r="N3226">
        <v>1</v>
      </c>
      <c r="O3226">
        <v>2030</v>
      </c>
      <c r="P3226">
        <v>4.2337097529644314</v>
      </c>
      <c r="Q3226">
        <v>8.7131837912289107</v>
      </c>
      <c r="R3226" t="s">
        <v>3065</v>
      </c>
      <c r="S3226">
        <v>29.153819231217941</v>
      </c>
      <c r="T3226">
        <v>89.2</v>
      </c>
      <c r="U3226" t="s">
        <v>3066</v>
      </c>
      <c r="V3226">
        <v>89.2</v>
      </c>
      <c r="W3226">
        <v>12</v>
      </c>
      <c r="X3226">
        <v>13</v>
      </c>
      <c r="Y3226">
        <v>13</v>
      </c>
      <c r="Z3226">
        <v>0.28949688942237772</v>
      </c>
      <c r="AA3226">
        <v>1</v>
      </c>
    </row>
    <row r="3227" spans="1:27" x14ac:dyDescent="0.25">
      <c r="A3227" t="s">
        <v>98</v>
      </c>
      <c r="B3227" t="s">
        <v>519</v>
      </c>
      <c r="C3227" t="s">
        <v>1028</v>
      </c>
      <c r="D3227" t="s">
        <v>1707</v>
      </c>
      <c r="E3227" t="s">
        <v>3060</v>
      </c>
      <c r="F3227" t="s">
        <v>3110</v>
      </c>
      <c r="H3227" t="s">
        <v>125</v>
      </c>
      <c r="I3227">
        <v>2040</v>
      </c>
      <c r="J3227" t="s">
        <v>3118</v>
      </c>
      <c r="K3227" t="s">
        <v>127</v>
      </c>
      <c r="L3227" t="s">
        <v>3384</v>
      </c>
      <c r="M3227" t="s">
        <v>3405</v>
      </c>
      <c r="N3227">
        <v>1</v>
      </c>
      <c r="O3227">
        <v>2040</v>
      </c>
      <c r="P3227">
        <v>4.0285044333054412</v>
      </c>
      <c r="Q3227">
        <v>8.7131837912289107</v>
      </c>
      <c r="R3227" t="s">
        <v>3065</v>
      </c>
      <c r="S3227">
        <v>27.740751462357888</v>
      </c>
      <c r="T3227">
        <v>89.2</v>
      </c>
      <c r="U3227" t="s">
        <v>3066</v>
      </c>
      <c r="V3227">
        <v>89.2</v>
      </c>
      <c r="W3227">
        <v>12</v>
      </c>
      <c r="X3227">
        <v>13</v>
      </c>
      <c r="Y3227">
        <v>13</v>
      </c>
      <c r="Z3227">
        <v>0.28949688942237772</v>
      </c>
      <c r="AA3227">
        <v>1</v>
      </c>
    </row>
    <row r="3228" spans="1:27" x14ac:dyDescent="0.25">
      <c r="A3228" t="s">
        <v>98</v>
      </c>
      <c r="B3228" t="s">
        <v>99</v>
      </c>
      <c r="C3228" t="s">
        <v>1367</v>
      </c>
      <c r="D3228" t="s">
        <v>1707</v>
      </c>
      <c r="E3228" t="s">
        <v>3060</v>
      </c>
      <c r="F3228" t="s">
        <v>3061</v>
      </c>
      <c r="H3228" t="s">
        <v>125</v>
      </c>
      <c r="I3228">
        <v>2015</v>
      </c>
      <c r="J3228" t="s">
        <v>3062</v>
      </c>
      <c r="K3228" t="s">
        <v>127</v>
      </c>
      <c r="L3228" t="s">
        <v>3406</v>
      </c>
      <c r="M3228" t="s">
        <v>3407</v>
      </c>
      <c r="N3228">
        <v>0</v>
      </c>
      <c r="O3228">
        <v>2020</v>
      </c>
      <c r="P3228">
        <v>4.9303278118067926</v>
      </c>
      <c r="Q3228">
        <v>4.9667411391618446</v>
      </c>
      <c r="R3228" t="s">
        <v>3065</v>
      </c>
      <c r="S3228">
        <v>29.780057025312189</v>
      </c>
      <c r="T3228">
        <v>15.7</v>
      </c>
      <c r="U3228" t="s">
        <v>3066</v>
      </c>
      <c r="V3228">
        <v>15.7</v>
      </c>
      <c r="W3228">
        <v>0</v>
      </c>
      <c r="X3228">
        <v>1</v>
      </c>
      <c r="Y3228">
        <v>1</v>
      </c>
      <c r="Z3228">
        <v>0.28084699848584482</v>
      </c>
      <c r="AA3228">
        <v>1</v>
      </c>
    </row>
    <row r="3229" spans="1:27" x14ac:dyDescent="0.25">
      <c r="A3229" t="s">
        <v>98</v>
      </c>
      <c r="B3229" t="s">
        <v>99</v>
      </c>
      <c r="C3229" t="s">
        <v>1367</v>
      </c>
      <c r="D3229" t="s">
        <v>1707</v>
      </c>
      <c r="E3229" t="s">
        <v>3060</v>
      </c>
      <c r="F3229" t="s">
        <v>3061</v>
      </c>
      <c r="H3229" t="s">
        <v>125</v>
      </c>
      <c r="I3229">
        <v>2020</v>
      </c>
      <c r="J3229" t="s">
        <v>3067</v>
      </c>
      <c r="K3229" t="s">
        <v>127</v>
      </c>
      <c r="L3229" t="s">
        <v>3406</v>
      </c>
      <c r="M3229" t="s">
        <v>3407</v>
      </c>
      <c r="N3229">
        <v>1</v>
      </c>
      <c r="O3229">
        <v>2020</v>
      </c>
      <c r="P3229">
        <v>7.0363824083069577</v>
      </c>
      <c r="Q3229">
        <v>4.9667411391618446</v>
      </c>
      <c r="R3229" t="s">
        <v>3065</v>
      </c>
      <c r="S3229">
        <v>42.501001428238553</v>
      </c>
      <c r="T3229">
        <v>15.7</v>
      </c>
      <c r="U3229" t="s">
        <v>3066</v>
      </c>
      <c r="V3229">
        <v>15.7</v>
      </c>
      <c r="W3229">
        <v>0</v>
      </c>
      <c r="X3229">
        <v>1</v>
      </c>
      <c r="Y3229">
        <v>1</v>
      </c>
      <c r="Z3229">
        <v>0.28084699848584482</v>
      </c>
      <c r="AA3229">
        <v>1</v>
      </c>
    </row>
    <row r="3230" spans="1:27" x14ac:dyDescent="0.25">
      <c r="A3230" t="s">
        <v>98</v>
      </c>
      <c r="B3230" t="s">
        <v>99</v>
      </c>
      <c r="C3230" t="s">
        <v>1367</v>
      </c>
      <c r="D3230" t="s">
        <v>1707</v>
      </c>
      <c r="E3230" t="s">
        <v>3060</v>
      </c>
      <c r="F3230" t="s">
        <v>3061</v>
      </c>
      <c r="H3230" t="s">
        <v>125</v>
      </c>
      <c r="I3230">
        <v>2022</v>
      </c>
      <c r="J3230" t="s">
        <v>3068</v>
      </c>
      <c r="K3230" t="s">
        <v>127</v>
      </c>
      <c r="L3230" t="s">
        <v>3406</v>
      </c>
      <c r="M3230" t="s">
        <v>3408</v>
      </c>
      <c r="N3230">
        <v>1</v>
      </c>
      <c r="O3230">
        <v>2022</v>
      </c>
      <c r="P3230">
        <v>7.8788042469070234</v>
      </c>
      <c r="Q3230">
        <v>4.9667411391618446</v>
      </c>
      <c r="R3230" t="s">
        <v>3065</v>
      </c>
      <c r="S3230">
        <v>47.58937918940908</v>
      </c>
      <c r="T3230">
        <v>15.7</v>
      </c>
      <c r="U3230" t="s">
        <v>3066</v>
      </c>
      <c r="V3230">
        <v>15.7</v>
      </c>
      <c r="W3230">
        <v>0</v>
      </c>
      <c r="X3230">
        <v>1</v>
      </c>
      <c r="Y3230">
        <v>1</v>
      </c>
      <c r="Z3230">
        <v>0.28084699848584482</v>
      </c>
      <c r="AA3230">
        <v>1</v>
      </c>
    </row>
    <row r="3231" spans="1:27" x14ac:dyDescent="0.25">
      <c r="A3231" t="s">
        <v>98</v>
      </c>
      <c r="B3231" t="s">
        <v>99</v>
      </c>
      <c r="C3231" t="s">
        <v>1367</v>
      </c>
      <c r="D3231" t="s">
        <v>1707</v>
      </c>
      <c r="E3231" t="s">
        <v>3060</v>
      </c>
      <c r="F3231" t="s">
        <v>3070</v>
      </c>
      <c r="H3231" t="s">
        <v>125</v>
      </c>
      <c r="I3231">
        <v>2015</v>
      </c>
      <c r="J3231" t="s">
        <v>3071</v>
      </c>
      <c r="K3231" t="s">
        <v>127</v>
      </c>
      <c r="L3231" t="s">
        <v>3406</v>
      </c>
      <c r="M3231" t="s">
        <v>3409</v>
      </c>
      <c r="N3231">
        <v>0</v>
      </c>
      <c r="O3231">
        <v>2020</v>
      </c>
      <c r="P3231">
        <v>4.7269225388114773</v>
      </c>
      <c r="Q3231">
        <v>4.9667411391618446</v>
      </c>
      <c r="R3231" t="s">
        <v>3065</v>
      </c>
      <c r="S3231">
        <v>28.55145299323468</v>
      </c>
      <c r="T3231">
        <v>59.066666666666663</v>
      </c>
      <c r="U3231" t="s">
        <v>3066</v>
      </c>
      <c r="V3231">
        <v>59.066666666666663</v>
      </c>
      <c r="W3231">
        <v>3</v>
      </c>
      <c r="X3231">
        <v>4</v>
      </c>
      <c r="Y3231">
        <v>4</v>
      </c>
      <c r="Z3231">
        <v>0.28084699848584482</v>
      </c>
      <c r="AA3231">
        <v>1</v>
      </c>
    </row>
    <row r="3232" spans="1:27" x14ac:dyDescent="0.25">
      <c r="A3232" t="s">
        <v>98</v>
      </c>
      <c r="B3232" t="s">
        <v>99</v>
      </c>
      <c r="C3232" t="s">
        <v>1367</v>
      </c>
      <c r="D3232" t="s">
        <v>1707</v>
      </c>
      <c r="E3232" t="s">
        <v>3060</v>
      </c>
      <c r="F3232" t="s">
        <v>3070</v>
      </c>
      <c r="H3232" t="s">
        <v>125</v>
      </c>
      <c r="I3232">
        <v>2020</v>
      </c>
      <c r="J3232" t="s">
        <v>3073</v>
      </c>
      <c r="K3232" t="s">
        <v>127</v>
      </c>
      <c r="L3232" t="s">
        <v>3406</v>
      </c>
      <c r="M3232" t="s">
        <v>3409</v>
      </c>
      <c r="N3232">
        <v>1</v>
      </c>
      <c r="O3232">
        <v>2020</v>
      </c>
      <c r="P3232">
        <v>6.2353616429714247</v>
      </c>
      <c r="Q3232">
        <v>4.9667411391618446</v>
      </c>
      <c r="R3232" t="s">
        <v>3065</v>
      </c>
      <c r="S3232">
        <v>37.662693514305012</v>
      </c>
      <c r="T3232">
        <v>59.933333333333337</v>
      </c>
      <c r="U3232" t="s">
        <v>3066</v>
      </c>
      <c r="V3232">
        <v>59.933333333333337</v>
      </c>
      <c r="W3232">
        <v>3</v>
      </c>
      <c r="X3232">
        <v>4</v>
      </c>
      <c r="Y3232">
        <v>4</v>
      </c>
      <c r="Z3232">
        <v>0.28084699848584482</v>
      </c>
      <c r="AA3232">
        <v>1</v>
      </c>
    </row>
    <row r="3233" spans="1:27" x14ac:dyDescent="0.25">
      <c r="A3233" t="s">
        <v>98</v>
      </c>
      <c r="B3233" t="s">
        <v>99</v>
      </c>
      <c r="C3233" t="s">
        <v>1367</v>
      </c>
      <c r="D3233" t="s">
        <v>1707</v>
      </c>
      <c r="E3233" t="s">
        <v>3060</v>
      </c>
      <c r="F3233" t="s">
        <v>3070</v>
      </c>
      <c r="H3233" t="s">
        <v>125</v>
      </c>
      <c r="I3233">
        <v>2022</v>
      </c>
      <c r="J3233" t="s">
        <v>3074</v>
      </c>
      <c r="K3233" t="s">
        <v>127</v>
      </c>
      <c r="L3233" t="s">
        <v>3406</v>
      </c>
      <c r="M3233" t="s">
        <v>3410</v>
      </c>
      <c r="N3233">
        <v>1</v>
      </c>
      <c r="O3233">
        <v>2022</v>
      </c>
      <c r="P3233">
        <v>5.7403488104607021</v>
      </c>
      <c r="Q3233">
        <v>4.9667411391618446</v>
      </c>
      <c r="R3233" t="s">
        <v>3065</v>
      </c>
      <c r="S3233">
        <v>34.672727949514631</v>
      </c>
      <c r="T3233">
        <v>65.8</v>
      </c>
      <c r="U3233" t="s">
        <v>3066</v>
      </c>
      <c r="V3233">
        <v>65.8</v>
      </c>
      <c r="W3233">
        <v>4</v>
      </c>
      <c r="X3233">
        <v>5</v>
      </c>
      <c r="Y3233">
        <v>5</v>
      </c>
      <c r="Z3233">
        <v>0.28084699848584482</v>
      </c>
      <c r="AA3233">
        <v>1</v>
      </c>
    </row>
    <row r="3234" spans="1:27" x14ac:dyDescent="0.25">
      <c r="A3234" t="s">
        <v>98</v>
      </c>
      <c r="B3234" t="s">
        <v>99</v>
      </c>
      <c r="C3234" t="s">
        <v>1367</v>
      </c>
      <c r="D3234" t="s">
        <v>1707</v>
      </c>
      <c r="E3234" t="s">
        <v>3060</v>
      </c>
      <c r="F3234" t="s">
        <v>3070</v>
      </c>
      <c r="H3234" t="s">
        <v>125</v>
      </c>
      <c r="I3234">
        <v>2030</v>
      </c>
      <c r="J3234" t="s">
        <v>3076</v>
      </c>
      <c r="K3234" t="s">
        <v>127</v>
      </c>
      <c r="L3234" t="s">
        <v>3406</v>
      </c>
      <c r="M3234" t="s">
        <v>3411</v>
      </c>
      <c r="N3234">
        <v>1</v>
      </c>
      <c r="O3234">
        <v>2030</v>
      </c>
      <c r="P3234">
        <v>5.513542930837608</v>
      </c>
      <c r="Q3234">
        <v>4.9667411391618446</v>
      </c>
      <c r="R3234" t="s">
        <v>3065</v>
      </c>
      <c r="S3234">
        <v>33.302780090737947</v>
      </c>
      <c r="T3234">
        <v>68.5</v>
      </c>
      <c r="U3234" t="s">
        <v>3066</v>
      </c>
      <c r="V3234">
        <v>68.5</v>
      </c>
      <c r="W3234">
        <v>4</v>
      </c>
      <c r="X3234">
        <v>5</v>
      </c>
      <c r="Y3234">
        <v>5</v>
      </c>
      <c r="Z3234">
        <v>0.28084699848584482</v>
      </c>
      <c r="AA3234">
        <v>1</v>
      </c>
    </row>
    <row r="3235" spans="1:27" x14ac:dyDescent="0.25">
      <c r="A3235" t="s">
        <v>98</v>
      </c>
      <c r="B3235" t="s">
        <v>99</v>
      </c>
      <c r="C3235" t="s">
        <v>1367</v>
      </c>
      <c r="D3235" t="s">
        <v>1707</v>
      </c>
      <c r="E3235" t="s">
        <v>3060</v>
      </c>
      <c r="F3235" t="s">
        <v>3070</v>
      </c>
      <c r="H3235" t="s">
        <v>125</v>
      </c>
      <c r="I3235">
        <v>2040</v>
      </c>
      <c r="J3235" t="s">
        <v>3078</v>
      </c>
      <c r="K3235" t="s">
        <v>127</v>
      </c>
      <c r="L3235" t="s">
        <v>3406</v>
      </c>
      <c r="M3235" t="s">
        <v>3412</v>
      </c>
      <c r="N3235">
        <v>1</v>
      </c>
      <c r="O3235">
        <v>2040</v>
      </c>
      <c r="P3235">
        <v>5.2435359312863046</v>
      </c>
      <c r="Q3235">
        <v>4.9667411391618446</v>
      </c>
      <c r="R3235" t="s">
        <v>3065</v>
      </c>
      <c r="S3235">
        <v>31.671889782670469</v>
      </c>
      <c r="T3235">
        <v>72</v>
      </c>
      <c r="U3235" t="s">
        <v>3066</v>
      </c>
      <c r="V3235">
        <v>72</v>
      </c>
      <c r="W3235">
        <v>4</v>
      </c>
      <c r="X3235">
        <v>5</v>
      </c>
      <c r="Y3235">
        <v>5</v>
      </c>
      <c r="Z3235">
        <v>0.28084699848584482</v>
      </c>
      <c r="AA3235">
        <v>1</v>
      </c>
    </row>
    <row r="3236" spans="1:27" x14ac:dyDescent="0.25">
      <c r="A3236" t="s">
        <v>98</v>
      </c>
      <c r="B3236" t="s">
        <v>99</v>
      </c>
      <c r="C3236" t="s">
        <v>1367</v>
      </c>
      <c r="D3236" t="s">
        <v>1707</v>
      </c>
      <c r="E3236" t="s">
        <v>3060</v>
      </c>
      <c r="F3236" t="s">
        <v>3080</v>
      </c>
      <c r="H3236" t="s">
        <v>125</v>
      </c>
      <c r="I3236">
        <v>2015</v>
      </c>
      <c r="J3236" t="s">
        <v>3081</v>
      </c>
      <c r="K3236" t="s">
        <v>127</v>
      </c>
      <c r="L3236" t="s">
        <v>3406</v>
      </c>
      <c r="M3236" t="s">
        <v>3413</v>
      </c>
      <c r="N3236">
        <v>0</v>
      </c>
      <c r="O3236">
        <v>2020</v>
      </c>
      <c r="P3236">
        <v>21.61676038407732</v>
      </c>
      <c r="Q3236">
        <v>4.9667411391618446</v>
      </c>
      <c r="R3236" t="s">
        <v>3065</v>
      </c>
      <c r="S3236">
        <v>130.5690780638825</v>
      </c>
      <c r="T3236">
        <v>79.849999999999994</v>
      </c>
      <c r="U3236" t="s">
        <v>3066</v>
      </c>
      <c r="V3236">
        <v>79.849999999999994</v>
      </c>
      <c r="W3236">
        <v>13</v>
      </c>
      <c r="X3236">
        <v>14</v>
      </c>
      <c r="Y3236">
        <v>14</v>
      </c>
      <c r="Z3236">
        <v>0.28084699848584482</v>
      </c>
      <c r="AA3236">
        <v>1</v>
      </c>
    </row>
    <row r="3237" spans="1:27" x14ac:dyDescent="0.25">
      <c r="A3237" t="s">
        <v>98</v>
      </c>
      <c r="B3237" t="s">
        <v>99</v>
      </c>
      <c r="C3237" t="s">
        <v>1367</v>
      </c>
      <c r="D3237" t="s">
        <v>1707</v>
      </c>
      <c r="E3237" t="s">
        <v>3060</v>
      </c>
      <c r="F3237" t="s">
        <v>3080</v>
      </c>
      <c r="H3237" t="s">
        <v>125</v>
      </c>
      <c r="I3237">
        <v>2016</v>
      </c>
      <c r="J3237" t="s">
        <v>3083</v>
      </c>
      <c r="K3237" t="s">
        <v>127</v>
      </c>
      <c r="L3237" t="s">
        <v>3406</v>
      </c>
      <c r="M3237" t="s">
        <v>3413</v>
      </c>
      <c r="N3237">
        <v>0</v>
      </c>
      <c r="O3237">
        <v>2020</v>
      </c>
      <c r="P3237">
        <v>21.128047714889458</v>
      </c>
      <c r="Q3237">
        <v>4.9667411391618446</v>
      </c>
      <c r="R3237" t="s">
        <v>3065</v>
      </c>
      <c r="S3237">
        <v>127.61716660628031</v>
      </c>
      <c r="T3237">
        <v>83.025000000000006</v>
      </c>
      <c r="U3237" t="s">
        <v>3066</v>
      </c>
      <c r="V3237">
        <v>83.025000000000006</v>
      </c>
      <c r="W3237">
        <v>12</v>
      </c>
      <c r="X3237">
        <v>13</v>
      </c>
      <c r="Y3237">
        <v>13</v>
      </c>
      <c r="Z3237">
        <v>0.28084699848584482</v>
      </c>
      <c r="AA3237">
        <v>1</v>
      </c>
    </row>
    <row r="3238" spans="1:27" x14ac:dyDescent="0.25">
      <c r="A3238" t="s">
        <v>98</v>
      </c>
      <c r="B3238" t="s">
        <v>99</v>
      </c>
      <c r="C3238" t="s">
        <v>1367</v>
      </c>
      <c r="D3238" t="s">
        <v>1707</v>
      </c>
      <c r="E3238" t="s">
        <v>3060</v>
      </c>
      <c r="F3238" t="s">
        <v>3080</v>
      </c>
      <c r="H3238" t="s">
        <v>125</v>
      </c>
      <c r="I3238">
        <v>2017</v>
      </c>
      <c r="J3238" t="s">
        <v>3084</v>
      </c>
      <c r="K3238" t="s">
        <v>127</v>
      </c>
      <c r="L3238" t="s">
        <v>3406</v>
      </c>
      <c r="M3238" t="s">
        <v>3413</v>
      </c>
      <c r="N3238">
        <v>0</v>
      </c>
      <c r="O3238">
        <v>2020</v>
      </c>
      <c r="P3238">
        <v>17.431651891032121</v>
      </c>
      <c r="Q3238">
        <v>4.9667411391618446</v>
      </c>
      <c r="R3238" t="s">
        <v>3065</v>
      </c>
      <c r="S3238">
        <v>105.2902782888365</v>
      </c>
      <c r="T3238">
        <v>86.2</v>
      </c>
      <c r="U3238" t="s">
        <v>3066</v>
      </c>
      <c r="V3238">
        <v>86.2</v>
      </c>
      <c r="W3238">
        <v>12</v>
      </c>
      <c r="X3238">
        <v>13</v>
      </c>
      <c r="Y3238">
        <v>13</v>
      </c>
      <c r="Z3238">
        <v>0.28084699848584482</v>
      </c>
      <c r="AA3238">
        <v>1</v>
      </c>
    </row>
    <row r="3239" spans="1:27" x14ac:dyDescent="0.25">
      <c r="A3239" t="s">
        <v>98</v>
      </c>
      <c r="B3239" t="s">
        <v>99</v>
      </c>
      <c r="C3239" t="s">
        <v>1367</v>
      </c>
      <c r="D3239" t="s">
        <v>1707</v>
      </c>
      <c r="E3239" t="s">
        <v>3060</v>
      </c>
      <c r="F3239" t="s">
        <v>3080</v>
      </c>
      <c r="H3239" t="s">
        <v>125</v>
      </c>
      <c r="I3239">
        <v>2018</v>
      </c>
      <c r="J3239" t="s">
        <v>3085</v>
      </c>
      <c r="K3239" t="s">
        <v>127</v>
      </c>
      <c r="L3239" t="s">
        <v>3406</v>
      </c>
      <c r="M3239" t="s">
        <v>3413</v>
      </c>
      <c r="N3239">
        <v>0</v>
      </c>
      <c r="O3239">
        <v>2020</v>
      </c>
      <c r="P3239">
        <v>15.33639757451401</v>
      </c>
      <c r="Q3239">
        <v>4.9667411391618446</v>
      </c>
      <c r="R3239" t="s">
        <v>3065</v>
      </c>
      <c r="S3239">
        <v>92.634569498232878</v>
      </c>
      <c r="T3239">
        <v>89.35</v>
      </c>
      <c r="U3239" t="s">
        <v>3066</v>
      </c>
      <c r="V3239">
        <v>89.35</v>
      </c>
      <c r="W3239">
        <v>12</v>
      </c>
      <c r="X3239">
        <v>13</v>
      </c>
      <c r="Y3239">
        <v>13</v>
      </c>
      <c r="Z3239">
        <v>0.28084699848584482</v>
      </c>
      <c r="AA3239">
        <v>1</v>
      </c>
    </row>
    <row r="3240" spans="1:27" x14ac:dyDescent="0.25">
      <c r="A3240" t="s">
        <v>98</v>
      </c>
      <c r="B3240" t="s">
        <v>99</v>
      </c>
      <c r="C3240" t="s">
        <v>1367</v>
      </c>
      <c r="D3240" t="s">
        <v>1707</v>
      </c>
      <c r="E3240" t="s">
        <v>3060</v>
      </c>
      <c r="F3240" t="s">
        <v>3080</v>
      </c>
      <c r="H3240" t="s">
        <v>125</v>
      </c>
      <c r="I3240">
        <v>2019</v>
      </c>
      <c r="J3240" t="s">
        <v>3086</v>
      </c>
      <c r="K3240" t="s">
        <v>127</v>
      </c>
      <c r="L3240" t="s">
        <v>3406</v>
      </c>
      <c r="M3240" t="s">
        <v>3413</v>
      </c>
      <c r="N3240">
        <v>0</v>
      </c>
      <c r="O3240">
        <v>2020</v>
      </c>
      <c r="P3240">
        <v>13.24384332799141</v>
      </c>
      <c r="Q3240">
        <v>4.9667411391618446</v>
      </c>
      <c r="R3240" t="s">
        <v>3065</v>
      </c>
      <c r="S3240">
        <v>79.995169610709922</v>
      </c>
      <c r="T3240">
        <v>92.55</v>
      </c>
      <c r="U3240" t="s">
        <v>3066</v>
      </c>
      <c r="V3240">
        <v>92.55</v>
      </c>
      <c r="W3240">
        <v>12</v>
      </c>
      <c r="X3240">
        <v>13</v>
      </c>
      <c r="Y3240">
        <v>13</v>
      </c>
      <c r="Z3240">
        <v>0.28084699848584482</v>
      </c>
      <c r="AA3240">
        <v>1</v>
      </c>
    </row>
    <row r="3241" spans="1:27" x14ac:dyDescent="0.25">
      <c r="A3241" t="s">
        <v>98</v>
      </c>
      <c r="B3241" t="s">
        <v>99</v>
      </c>
      <c r="C3241" t="s">
        <v>1367</v>
      </c>
      <c r="D3241" t="s">
        <v>1707</v>
      </c>
      <c r="E3241" t="s">
        <v>3060</v>
      </c>
      <c r="F3241" t="s">
        <v>3080</v>
      </c>
      <c r="H3241" t="s">
        <v>125</v>
      </c>
      <c r="I3241">
        <v>2020</v>
      </c>
      <c r="J3241" t="s">
        <v>3087</v>
      </c>
      <c r="K3241" t="s">
        <v>127</v>
      </c>
      <c r="L3241" t="s">
        <v>3406</v>
      </c>
      <c r="M3241" t="s">
        <v>3413</v>
      </c>
      <c r="N3241">
        <v>1</v>
      </c>
      <c r="O3241">
        <v>2020</v>
      </c>
      <c r="P3241">
        <v>11.1485890114733</v>
      </c>
      <c r="Q3241">
        <v>4.9667411391618446</v>
      </c>
      <c r="R3241" t="s">
        <v>3065</v>
      </c>
      <c r="S3241">
        <v>67.339460820106268</v>
      </c>
      <c r="T3241">
        <v>95.699999999999989</v>
      </c>
      <c r="U3241" t="s">
        <v>3066</v>
      </c>
      <c r="V3241">
        <v>95.699999999999989</v>
      </c>
      <c r="W3241">
        <v>11</v>
      </c>
      <c r="X3241">
        <v>12</v>
      </c>
      <c r="Y3241">
        <v>12</v>
      </c>
      <c r="Z3241">
        <v>0.28084699848584482</v>
      </c>
      <c r="AA3241">
        <v>1</v>
      </c>
    </row>
    <row r="3242" spans="1:27" x14ac:dyDescent="0.25">
      <c r="A3242" t="s">
        <v>98</v>
      </c>
      <c r="B3242" t="s">
        <v>99</v>
      </c>
      <c r="C3242" t="s">
        <v>1367</v>
      </c>
      <c r="D3242" t="s">
        <v>1707</v>
      </c>
      <c r="E3242" t="s">
        <v>3060</v>
      </c>
      <c r="F3242" t="s">
        <v>3080</v>
      </c>
      <c r="H3242" t="s">
        <v>125</v>
      </c>
      <c r="I3242">
        <v>2021</v>
      </c>
      <c r="J3242" t="s">
        <v>3088</v>
      </c>
      <c r="K3242" t="s">
        <v>127</v>
      </c>
      <c r="L3242" t="s">
        <v>3406</v>
      </c>
      <c r="M3242" t="s">
        <v>3414</v>
      </c>
      <c r="N3242">
        <v>1</v>
      </c>
      <c r="O3242">
        <v>2021</v>
      </c>
      <c r="P3242">
        <v>8.8076283253635061</v>
      </c>
      <c r="Q3242">
        <v>4.9667411391618446</v>
      </c>
      <c r="R3242" t="s">
        <v>3065</v>
      </c>
      <c r="S3242">
        <v>53.199641849161218</v>
      </c>
      <c r="T3242">
        <v>97.949999999999989</v>
      </c>
      <c r="U3242" t="s">
        <v>3066</v>
      </c>
      <c r="V3242">
        <v>97.949999999999989</v>
      </c>
      <c r="W3242">
        <v>11</v>
      </c>
      <c r="X3242">
        <v>12</v>
      </c>
      <c r="Y3242">
        <v>12</v>
      </c>
      <c r="Z3242">
        <v>0.28084699848584482</v>
      </c>
      <c r="AA3242">
        <v>1</v>
      </c>
    </row>
    <row r="3243" spans="1:27" x14ac:dyDescent="0.25">
      <c r="A3243" t="s">
        <v>98</v>
      </c>
      <c r="B3243" t="s">
        <v>99</v>
      </c>
      <c r="C3243" t="s">
        <v>1367</v>
      </c>
      <c r="D3243" t="s">
        <v>1707</v>
      </c>
      <c r="E3243" t="s">
        <v>3060</v>
      </c>
      <c r="F3243" t="s">
        <v>3080</v>
      </c>
      <c r="H3243" t="s">
        <v>125</v>
      </c>
      <c r="I3243">
        <v>2022</v>
      </c>
      <c r="J3243" t="s">
        <v>3090</v>
      </c>
      <c r="K3243" t="s">
        <v>127</v>
      </c>
      <c r="L3243" t="s">
        <v>3406</v>
      </c>
      <c r="M3243" t="s">
        <v>3415</v>
      </c>
      <c r="N3243">
        <v>1</v>
      </c>
      <c r="O3243">
        <v>2022</v>
      </c>
      <c r="P3243">
        <v>6.4693677092492212</v>
      </c>
      <c r="Q3243">
        <v>4.9667411391618446</v>
      </c>
      <c r="R3243" t="s">
        <v>3065</v>
      </c>
      <c r="S3243">
        <v>39.076131781296837</v>
      </c>
      <c r="T3243">
        <v>100.22499999999999</v>
      </c>
      <c r="U3243" t="s">
        <v>3066</v>
      </c>
      <c r="V3243">
        <v>100.22499999999999</v>
      </c>
      <c r="W3243">
        <v>10</v>
      </c>
      <c r="X3243">
        <v>11</v>
      </c>
      <c r="Y3243">
        <v>11</v>
      </c>
      <c r="Z3243">
        <v>0.28084699848584482</v>
      </c>
      <c r="AA3243">
        <v>1</v>
      </c>
    </row>
    <row r="3244" spans="1:27" x14ac:dyDescent="0.25">
      <c r="A3244" t="s">
        <v>98</v>
      </c>
      <c r="B3244" t="s">
        <v>99</v>
      </c>
      <c r="C3244" t="s">
        <v>1367</v>
      </c>
      <c r="D3244" t="s">
        <v>1707</v>
      </c>
      <c r="E3244" t="s">
        <v>3060</v>
      </c>
      <c r="F3244" t="s">
        <v>3080</v>
      </c>
      <c r="H3244" t="s">
        <v>125</v>
      </c>
      <c r="I3244">
        <v>2023</v>
      </c>
      <c r="J3244" t="s">
        <v>3092</v>
      </c>
      <c r="K3244" t="s">
        <v>127</v>
      </c>
      <c r="L3244" t="s">
        <v>3406</v>
      </c>
      <c r="M3244" t="s">
        <v>3416</v>
      </c>
      <c r="N3244">
        <v>1</v>
      </c>
      <c r="O3244">
        <v>2023</v>
      </c>
      <c r="P3244">
        <v>6.3505646294466462</v>
      </c>
      <c r="Q3244">
        <v>4.9667411391618446</v>
      </c>
      <c r="R3244" t="s">
        <v>3065</v>
      </c>
      <c r="S3244">
        <v>38.358540045747127</v>
      </c>
      <c r="T3244">
        <v>102.65</v>
      </c>
      <c r="U3244" t="s">
        <v>3066</v>
      </c>
      <c r="V3244">
        <v>102.65</v>
      </c>
      <c r="W3244">
        <v>10</v>
      </c>
      <c r="X3244">
        <v>11</v>
      </c>
      <c r="Y3244">
        <v>11</v>
      </c>
      <c r="Z3244">
        <v>0.28084699848584482</v>
      </c>
      <c r="AA3244">
        <v>1</v>
      </c>
    </row>
    <row r="3245" spans="1:27" x14ac:dyDescent="0.25">
      <c r="A3245" t="s">
        <v>98</v>
      </c>
      <c r="B3245" t="s">
        <v>99</v>
      </c>
      <c r="C3245" t="s">
        <v>1367</v>
      </c>
      <c r="D3245" t="s">
        <v>1707</v>
      </c>
      <c r="E3245" t="s">
        <v>3060</v>
      </c>
      <c r="F3245" t="s">
        <v>3080</v>
      </c>
      <c r="H3245" t="s">
        <v>125</v>
      </c>
      <c r="I3245">
        <v>2024</v>
      </c>
      <c r="J3245" t="s">
        <v>3094</v>
      </c>
      <c r="K3245" t="s">
        <v>127</v>
      </c>
      <c r="L3245" t="s">
        <v>3406</v>
      </c>
      <c r="M3245" t="s">
        <v>3417</v>
      </c>
      <c r="N3245">
        <v>1</v>
      </c>
      <c r="O3245">
        <v>2024</v>
      </c>
      <c r="P3245">
        <v>6.2857629495543348</v>
      </c>
      <c r="Q3245">
        <v>4.9667411391618446</v>
      </c>
      <c r="R3245" t="s">
        <v>3065</v>
      </c>
      <c r="S3245">
        <v>37.967126371810942</v>
      </c>
      <c r="T3245">
        <v>105.05</v>
      </c>
      <c r="U3245" t="s">
        <v>3066</v>
      </c>
      <c r="V3245">
        <v>105.05</v>
      </c>
      <c r="W3245">
        <v>10</v>
      </c>
      <c r="X3245">
        <v>11</v>
      </c>
      <c r="Y3245">
        <v>11</v>
      </c>
      <c r="Z3245">
        <v>0.28084699848584482</v>
      </c>
      <c r="AA3245">
        <v>1</v>
      </c>
    </row>
    <row r="3246" spans="1:27" x14ac:dyDescent="0.25">
      <c r="A3246" t="s">
        <v>98</v>
      </c>
      <c r="B3246" t="s">
        <v>99</v>
      </c>
      <c r="C3246" t="s">
        <v>1367</v>
      </c>
      <c r="D3246" t="s">
        <v>1707</v>
      </c>
      <c r="E3246" t="s">
        <v>3060</v>
      </c>
      <c r="F3246" t="s">
        <v>3080</v>
      </c>
      <c r="H3246" t="s">
        <v>125</v>
      </c>
      <c r="I3246">
        <v>2025</v>
      </c>
      <c r="J3246" t="s">
        <v>3096</v>
      </c>
      <c r="K3246" t="s">
        <v>127</v>
      </c>
      <c r="L3246" t="s">
        <v>3406</v>
      </c>
      <c r="M3246" t="s">
        <v>3418</v>
      </c>
      <c r="N3246">
        <v>1</v>
      </c>
      <c r="O3246">
        <v>2025</v>
      </c>
      <c r="P3246">
        <v>6.1210586798280389</v>
      </c>
      <c r="Q3246">
        <v>4.9667411391618446</v>
      </c>
      <c r="R3246" t="s">
        <v>3065</v>
      </c>
      <c r="S3246">
        <v>36.97228328388978</v>
      </c>
      <c r="T3246">
        <v>107.47499999999999</v>
      </c>
      <c r="U3246" t="s">
        <v>3066</v>
      </c>
      <c r="V3246">
        <v>107.47499999999999</v>
      </c>
      <c r="W3246">
        <v>10</v>
      </c>
      <c r="X3246">
        <v>11</v>
      </c>
      <c r="Y3246">
        <v>11</v>
      </c>
      <c r="Z3246">
        <v>0.28084699848584482</v>
      </c>
      <c r="AA3246">
        <v>1</v>
      </c>
    </row>
    <row r="3247" spans="1:27" x14ac:dyDescent="0.25">
      <c r="A3247" t="s">
        <v>98</v>
      </c>
      <c r="B3247" t="s">
        <v>99</v>
      </c>
      <c r="C3247" t="s">
        <v>1367</v>
      </c>
      <c r="D3247" t="s">
        <v>1707</v>
      </c>
      <c r="E3247" t="s">
        <v>3060</v>
      </c>
      <c r="F3247" t="s">
        <v>3080</v>
      </c>
      <c r="H3247" t="s">
        <v>125</v>
      </c>
      <c r="I3247">
        <v>2030</v>
      </c>
      <c r="J3247" t="s">
        <v>3098</v>
      </c>
      <c r="K3247" t="s">
        <v>127</v>
      </c>
      <c r="L3247" t="s">
        <v>3406</v>
      </c>
      <c r="M3247" t="s">
        <v>3419</v>
      </c>
      <c r="N3247">
        <v>1</v>
      </c>
      <c r="O3247">
        <v>2030</v>
      </c>
      <c r="P3247">
        <v>5.5459437707837651</v>
      </c>
      <c r="Q3247">
        <v>4.9667411391618446</v>
      </c>
      <c r="R3247" t="s">
        <v>3065</v>
      </c>
      <c r="S3247">
        <v>33.498486927706047</v>
      </c>
      <c r="T3247">
        <v>119.575</v>
      </c>
      <c r="U3247" t="s">
        <v>3066</v>
      </c>
      <c r="V3247">
        <v>119.575</v>
      </c>
      <c r="W3247">
        <v>10</v>
      </c>
      <c r="X3247">
        <v>11</v>
      </c>
      <c r="Y3247">
        <v>11</v>
      </c>
      <c r="Z3247">
        <v>0.28084699848584482</v>
      </c>
      <c r="AA3247">
        <v>1</v>
      </c>
    </row>
    <row r="3248" spans="1:27" x14ac:dyDescent="0.25">
      <c r="A3248" t="s">
        <v>98</v>
      </c>
      <c r="B3248" t="s">
        <v>99</v>
      </c>
      <c r="C3248" t="s">
        <v>1367</v>
      </c>
      <c r="D3248" t="s">
        <v>1707</v>
      </c>
      <c r="E3248" t="s">
        <v>3060</v>
      </c>
      <c r="F3248" t="s">
        <v>3080</v>
      </c>
      <c r="H3248" t="s">
        <v>125</v>
      </c>
      <c r="I3248">
        <v>2040</v>
      </c>
      <c r="J3248" t="s">
        <v>3100</v>
      </c>
      <c r="K3248" t="s">
        <v>127</v>
      </c>
      <c r="L3248" t="s">
        <v>3406</v>
      </c>
      <c r="M3248" t="s">
        <v>3420</v>
      </c>
      <c r="N3248">
        <v>1</v>
      </c>
      <c r="O3248">
        <v>2040</v>
      </c>
      <c r="P3248">
        <v>5.1760341813984789</v>
      </c>
      <c r="Q3248">
        <v>4.9667411391618446</v>
      </c>
      <c r="R3248" t="s">
        <v>3065</v>
      </c>
      <c r="S3248">
        <v>31.2641672056536</v>
      </c>
      <c r="T3248">
        <v>144.42500000000001</v>
      </c>
      <c r="U3248" t="s">
        <v>3066</v>
      </c>
      <c r="V3248">
        <v>144.42500000000001</v>
      </c>
      <c r="W3248">
        <v>10</v>
      </c>
      <c r="X3248">
        <v>11</v>
      </c>
      <c r="Y3248">
        <v>11</v>
      </c>
      <c r="Z3248">
        <v>0.28084699848584482</v>
      </c>
      <c r="AA3248">
        <v>1</v>
      </c>
    </row>
    <row r="3249" spans="1:27" x14ac:dyDescent="0.25">
      <c r="A3249" t="s">
        <v>98</v>
      </c>
      <c r="B3249" t="s">
        <v>99</v>
      </c>
      <c r="C3249" t="s">
        <v>1367</v>
      </c>
      <c r="D3249" t="s">
        <v>1707</v>
      </c>
      <c r="E3249" t="s">
        <v>3060</v>
      </c>
      <c r="F3249" t="s">
        <v>3102</v>
      </c>
      <c r="H3249" t="s">
        <v>125</v>
      </c>
      <c r="I3249">
        <v>2015</v>
      </c>
      <c r="J3249" t="s">
        <v>3103</v>
      </c>
      <c r="K3249" t="s">
        <v>127</v>
      </c>
      <c r="L3249" t="s">
        <v>3406</v>
      </c>
      <c r="M3249" t="s">
        <v>3421</v>
      </c>
      <c r="N3249">
        <v>1</v>
      </c>
      <c r="O3249">
        <v>2020</v>
      </c>
      <c r="P3249">
        <v>2.3976621560155711</v>
      </c>
      <c r="Q3249">
        <v>4.9667411391618446</v>
      </c>
      <c r="R3249" t="s">
        <v>3065</v>
      </c>
      <c r="S3249">
        <v>14.48230593563923</v>
      </c>
      <c r="T3249">
        <v>12.7</v>
      </c>
      <c r="U3249" t="s">
        <v>3066</v>
      </c>
      <c r="V3249">
        <v>12.7</v>
      </c>
      <c r="W3249">
        <v>0</v>
      </c>
      <c r="X3249">
        <v>1</v>
      </c>
      <c r="Y3249">
        <v>1</v>
      </c>
      <c r="Z3249">
        <v>0.28084699848584482</v>
      </c>
      <c r="AA3249">
        <v>1</v>
      </c>
    </row>
    <row r="3250" spans="1:27" x14ac:dyDescent="0.25">
      <c r="A3250" t="s">
        <v>98</v>
      </c>
      <c r="B3250" t="s">
        <v>99</v>
      </c>
      <c r="C3250" t="s">
        <v>1367</v>
      </c>
      <c r="D3250" t="s">
        <v>1707</v>
      </c>
      <c r="E3250" t="s">
        <v>3060</v>
      </c>
      <c r="F3250" t="s">
        <v>3102</v>
      </c>
      <c r="H3250" t="s">
        <v>125</v>
      </c>
      <c r="I3250">
        <v>2022</v>
      </c>
      <c r="J3250" t="s">
        <v>3105</v>
      </c>
      <c r="K3250" t="s">
        <v>127</v>
      </c>
      <c r="L3250" t="s">
        <v>3406</v>
      </c>
      <c r="M3250" t="s">
        <v>3422</v>
      </c>
      <c r="N3250">
        <v>1</v>
      </c>
      <c r="O3250">
        <v>2022</v>
      </c>
      <c r="P3250">
        <v>3.996103593359285</v>
      </c>
      <c r="Q3250">
        <v>4.9667411391618446</v>
      </c>
      <c r="R3250" t="s">
        <v>3065</v>
      </c>
      <c r="S3250">
        <v>24.137176559398711</v>
      </c>
      <c r="T3250">
        <v>9.3000000000000007</v>
      </c>
      <c r="U3250" t="s">
        <v>3066</v>
      </c>
      <c r="V3250">
        <v>9.3000000000000007</v>
      </c>
      <c r="W3250">
        <v>0</v>
      </c>
      <c r="X3250">
        <v>1</v>
      </c>
      <c r="Y3250">
        <v>1</v>
      </c>
      <c r="Z3250">
        <v>0.28084699848584482</v>
      </c>
      <c r="AA3250">
        <v>1</v>
      </c>
    </row>
    <row r="3251" spans="1:27" x14ac:dyDescent="0.25">
      <c r="A3251" t="s">
        <v>98</v>
      </c>
      <c r="B3251" t="s">
        <v>99</v>
      </c>
      <c r="C3251" t="s">
        <v>1367</v>
      </c>
      <c r="D3251" t="s">
        <v>1707</v>
      </c>
      <c r="E3251" t="s">
        <v>3060</v>
      </c>
      <c r="F3251" t="s">
        <v>3107</v>
      </c>
      <c r="H3251" t="s">
        <v>125</v>
      </c>
      <c r="I3251">
        <v>2015</v>
      </c>
      <c r="J3251" t="s">
        <v>3108</v>
      </c>
      <c r="K3251" t="s">
        <v>127</v>
      </c>
      <c r="L3251" t="s">
        <v>3406</v>
      </c>
      <c r="M3251" t="s">
        <v>3423</v>
      </c>
      <c r="N3251">
        <v>1</v>
      </c>
      <c r="O3251">
        <v>2020</v>
      </c>
      <c r="P3251">
        <v>1.188030798025733</v>
      </c>
      <c r="Q3251">
        <v>4.9667411391618446</v>
      </c>
      <c r="R3251" t="s">
        <v>3065</v>
      </c>
      <c r="S3251">
        <v>7.1759173554969147</v>
      </c>
      <c r="T3251">
        <v>71.5</v>
      </c>
      <c r="U3251" t="s">
        <v>3066</v>
      </c>
      <c r="V3251">
        <v>71.5</v>
      </c>
      <c r="W3251">
        <v>6</v>
      </c>
      <c r="X3251">
        <v>7</v>
      </c>
      <c r="Y3251">
        <v>7</v>
      </c>
      <c r="Z3251">
        <v>0.28084699848584482</v>
      </c>
      <c r="AA3251">
        <v>1</v>
      </c>
    </row>
    <row r="3252" spans="1:27" x14ac:dyDescent="0.25">
      <c r="A3252" t="s">
        <v>98</v>
      </c>
      <c r="B3252" t="s">
        <v>99</v>
      </c>
      <c r="C3252" t="s">
        <v>1367</v>
      </c>
      <c r="D3252" t="s">
        <v>1707</v>
      </c>
      <c r="E3252" t="s">
        <v>3060</v>
      </c>
      <c r="F3252" t="s">
        <v>3110</v>
      </c>
      <c r="H3252" t="s">
        <v>125</v>
      </c>
      <c r="I3252">
        <v>2015</v>
      </c>
      <c r="J3252" t="s">
        <v>3111</v>
      </c>
      <c r="K3252" t="s">
        <v>127</v>
      </c>
      <c r="L3252" t="s">
        <v>3406</v>
      </c>
      <c r="M3252" t="s">
        <v>3424</v>
      </c>
      <c r="N3252">
        <v>0</v>
      </c>
      <c r="O3252">
        <v>2020</v>
      </c>
      <c r="P3252">
        <v>7.0633831082620873</v>
      </c>
      <c r="Q3252">
        <v>4.9667411391618446</v>
      </c>
      <c r="R3252" t="s">
        <v>3065</v>
      </c>
      <c r="S3252">
        <v>42.664090459045283</v>
      </c>
      <c r="T3252">
        <v>90</v>
      </c>
      <c r="U3252" t="s">
        <v>3066</v>
      </c>
      <c r="V3252">
        <v>90</v>
      </c>
      <c r="W3252">
        <v>8</v>
      </c>
      <c r="X3252">
        <v>9</v>
      </c>
      <c r="Y3252">
        <v>9</v>
      </c>
      <c r="Z3252">
        <v>0.28084699848584482</v>
      </c>
      <c r="AA3252">
        <v>1</v>
      </c>
    </row>
    <row r="3253" spans="1:27" x14ac:dyDescent="0.25">
      <c r="A3253" t="s">
        <v>98</v>
      </c>
      <c r="B3253" t="s">
        <v>99</v>
      </c>
      <c r="C3253" t="s">
        <v>1367</v>
      </c>
      <c r="D3253" t="s">
        <v>1707</v>
      </c>
      <c r="E3253" t="s">
        <v>3060</v>
      </c>
      <c r="F3253" t="s">
        <v>3110</v>
      </c>
      <c r="H3253" t="s">
        <v>125</v>
      </c>
      <c r="I3253">
        <v>2020</v>
      </c>
      <c r="J3253" t="s">
        <v>3113</v>
      </c>
      <c r="K3253" t="s">
        <v>127</v>
      </c>
      <c r="L3253" t="s">
        <v>3406</v>
      </c>
      <c r="M3253" t="s">
        <v>3424</v>
      </c>
      <c r="N3253">
        <v>1</v>
      </c>
      <c r="O3253">
        <v>2020</v>
      </c>
      <c r="P3253">
        <v>4.449715352605474</v>
      </c>
      <c r="Q3253">
        <v>4.9667411391618446</v>
      </c>
      <c r="R3253" t="s">
        <v>3065</v>
      </c>
      <c r="S3253">
        <v>26.877072276952081</v>
      </c>
      <c r="T3253">
        <v>89.2</v>
      </c>
      <c r="U3253" t="s">
        <v>3066</v>
      </c>
      <c r="V3253">
        <v>89.2</v>
      </c>
      <c r="W3253">
        <v>12</v>
      </c>
      <c r="X3253">
        <v>13</v>
      </c>
      <c r="Y3253">
        <v>13</v>
      </c>
      <c r="Z3253">
        <v>0.28084699848584482</v>
      </c>
      <c r="AA3253">
        <v>1</v>
      </c>
    </row>
    <row r="3254" spans="1:27" x14ac:dyDescent="0.25">
      <c r="A3254" t="s">
        <v>98</v>
      </c>
      <c r="B3254" t="s">
        <v>99</v>
      </c>
      <c r="C3254" t="s">
        <v>1367</v>
      </c>
      <c r="D3254" t="s">
        <v>1707</v>
      </c>
      <c r="E3254" t="s">
        <v>3060</v>
      </c>
      <c r="F3254" t="s">
        <v>3110</v>
      </c>
      <c r="H3254" t="s">
        <v>125</v>
      </c>
      <c r="I3254">
        <v>2022</v>
      </c>
      <c r="J3254" t="s">
        <v>3114</v>
      </c>
      <c r="K3254" t="s">
        <v>127</v>
      </c>
      <c r="L3254" t="s">
        <v>3406</v>
      </c>
      <c r="M3254" t="s">
        <v>3425</v>
      </c>
      <c r="N3254">
        <v>1</v>
      </c>
      <c r="O3254">
        <v>2022</v>
      </c>
      <c r="P3254">
        <v>4.4065142326772646</v>
      </c>
      <c r="Q3254">
        <v>4.9667411391618446</v>
      </c>
      <c r="R3254" t="s">
        <v>3065</v>
      </c>
      <c r="S3254">
        <v>26.616129827661279</v>
      </c>
      <c r="T3254">
        <v>89.2</v>
      </c>
      <c r="U3254" t="s">
        <v>3066</v>
      </c>
      <c r="V3254">
        <v>89.2</v>
      </c>
      <c r="W3254">
        <v>12</v>
      </c>
      <c r="X3254">
        <v>13</v>
      </c>
      <c r="Y3254">
        <v>13</v>
      </c>
      <c r="Z3254">
        <v>0.28084699848584482</v>
      </c>
      <c r="AA3254">
        <v>1</v>
      </c>
    </row>
    <row r="3255" spans="1:27" x14ac:dyDescent="0.25">
      <c r="A3255" t="s">
        <v>98</v>
      </c>
      <c r="B3255" t="s">
        <v>99</v>
      </c>
      <c r="C3255" t="s">
        <v>1367</v>
      </c>
      <c r="D3255" t="s">
        <v>1707</v>
      </c>
      <c r="E3255" t="s">
        <v>3060</v>
      </c>
      <c r="F3255" t="s">
        <v>3110</v>
      </c>
      <c r="H3255" t="s">
        <v>125</v>
      </c>
      <c r="I3255">
        <v>2030</v>
      </c>
      <c r="J3255" t="s">
        <v>3116</v>
      </c>
      <c r="K3255" t="s">
        <v>127</v>
      </c>
      <c r="L3255" t="s">
        <v>3406</v>
      </c>
      <c r="M3255" t="s">
        <v>3426</v>
      </c>
      <c r="N3255">
        <v>1</v>
      </c>
      <c r="O3255">
        <v>2030</v>
      </c>
      <c r="P3255">
        <v>4.2337097529644314</v>
      </c>
      <c r="Q3255">
        <v>4.9667411391618446</v>
      </c>
      <c r="R3255" t="s">
        <v>3065</v>
      </c>
      <c r="S3255">
        <v>25.572360030498089</v>
      </c>
      <c r="T3255">
        <v>89.2</v>
      </c>
      <c r="U3255" t="s">
        <v>3066</v>
      </c>
      <c r="V3255">
        <v>89.2</v>
      </c>
      <c r="W3255">
        <v>12</v>
      </c>
      <c r="X3255">
        <v>13</v>
      </c>
      <c r="Y3255">
        <v>13</v>
      </c>
      <c r="Z3255">
        <v>0.28084699848584482</v>
      </c>
      <c r="AA3255">
        <v>1</v>
      </c>
    </row>
    <row r="3256" spans="1:27" x14ac:dyDescent="0.25">
      <c r="A3256" t="s">
        <v>98</v>
      </c>
      <c r="B3256" t="s">
        <v>99</v>
      </c>
      <c r="C3256" t="s">
        <v>1367</v>
      </c>
      <c r="D3256" t="s">
        <v>1707</v>
      </c>
      <c r="E3256" t="s">
        <v>3060</v>
      </c>
      <c r="F3256" t="s">
        <v>3110</v>
      </c>
      <c r="H3256" t="s">
        <v>125</v>
      </c>
      <c r="I3256">
        <v>2040</v>
      </c>
      <c r="J3256" t="s">
        <v>3118</v>
      </c>
      <c r="K3256" t="s">
        <v>127</v>
      </c>
      <c r="L3256" t="s">
        <v>3406</v>
      </c>
      <c r="M3256" t="s">
        <v>3427</v>
      </c>
      <c r="N3256">
        <v>1</v>
      </c>
      <c r="O3256">
        <v>2040</v>
      </c>
      <c r="P3256">
        <v>4.0285044333054412</v>
      </c>
      <c r="Q3256">
        <v>4.9667411391618446</v>
      </c>
      <c r="R3256" t="s">
        <v>3065</v>
      </c>
      <c r="S3256">
        <v>24.33288339636681</v>
      </c>
      <c r="T3256">
        <v>89.2</v>
      </c>
      <c r="U3256" t="s">
        <v>3066</v>
      </c>
      <c r="V3256">
        <v>89.2</v>
      </c>
      <c r="W3256">
        <v>12</v>
      </c>
      <c r="X3256">
        <v>13</v>
      </c>
      <c r="Y3256">
        <v>13</v>
      </c>
      <c r="Z3256">
        <v>0.28084699848584482</v>
      </c>
      <c r="AA3256">
        <v>1</v>
      </c>
    </row>
    <row r="3257" spans="1:27" x14ac:dyDescent="0.25">
      <c r="A3257" t="s">
        <v>98</v>
      </c>
      <c r="B3257" t="s">
        <v>519</v>
      </c>
      <c r="C3257" t="s">
        <v>1367</v>
      </c>
      <c r="D3257" t="s">
        <v>1707</v>
      </c>
      <c r="E3257" t="s">
        <v>3060</v>
      </c>
      <c r="F3257" t="s">
        <v>3061</v>
      </c>
      <c r="H3257" t="s">
        <v>125</v>
      </c>
      <c r="I3257">
        <v>2015</v>
      </c>
      <c r="J3257" t="s">
        <v>3062</v>
      </c>
      <c r="K3257" t="s">
        <v>127</v>
      </c>
      <c r="L3257" t="s">
        <v>3428</v>
      </c>
      <c r="M3257" t="s">
        <v>3429</v>
      </c>
      <c r="N3257">
        <v>0</v>
      </c>
      <c r="O3257">
        <v>2020</v>
      </c>
      <c r="P3257">
        <v>4.9303278118067926</v>
      </c>
      <c r="Q3257">
        <v>11.116831646955321</v>
      </c>
      <c r="R3257" t="s">
        <v>3065</v>
      </c>
      <c r="S3257">
        <v>26.610070036405268</v>
      </c>
      <c r="T3257">
        <v>15.7</v>
      </c>
      <c r="U3257" t="s">
        <v>3066</v>
      </c>
      <c r="V3257">
        <v>15.7</v>
      </c>
      <c r="W3257">
        <v>0</v>
      </c>
      <c r="X3257">
        <v>1</v>
      </c>
      <c r="Y3257">
        <v>1</v>
      </c>
      <c r="Z3257">
        <v>0.31944737730523498</v>
      </c>
      <c r="AA3257">
        <v>1</v>
      </c>
    </row>
    <row r="3258" spans="1:27" x14ac:dyDescent="0.25">
      <c r="A3258" t="s">
        <v>98</v>
      </c>
      <c r="B3258" t="s">
        <v>519</v>
      </c>
      <c r="C3258" t="s">
        <v>1367</v>
      </c>
      <c r="D3258" t="s">
        <v>1707</v>
      </c>
      <c r="E3258" t="s">
        <v>3060</v>
      </c>
      <c r="F3258" t="s">
        <v>3061</v>
      </c>
      <c r="H3258" t="s">
        <v>125</v>
      </c>
      <c r="I3258">
        <v>2020</v>
      </c>
      <c r="J3258" t="s">
        <v>3067</v>
      </c>
      <c r="K3258" t="s">
        <v>127</v>
      </c>
      <c r="L3258" t="s">
        <v>3428</v>
      </c>
      <c r="M3258" t="s">
        <v>3429</v>
      </c>
      <c r="N3258">
        <v>1</v>
      </c>
      <c r="O3258">
        <v>2020</v>
      </c>
      <c r="P3258">
        <v>7.0363824083069577</v>
      </c>
      <c r="Q3258">
        <v>11.116831646955321</v>
      </c>
      <c r="R3258" t="s">
        <v>3065</v>
      </c>
      <c r="S3258">
        <v>37.976912658747061</v>
      </c>
      <c r="T3258">
        <v>15.7</v>
      </c>
      <c r="U3258" t="s">
        <v>3066</v>
      </c>
      <c r="V3258">
        <v>15.7</v>
      </c>
      <c r="W3258">
        <v>0</v>
      </c>
      <c r="X3258">
        <v>1</v>
      </c>
      <c r="Y3258">
        <v>1</v>
      </c>
      <c r="Z3258">
        <v>0.31944737730523498</v>
      </c>
      <c r="AA3258">
        <v>1</v>
      </c>
    </row>
    <row r="3259" spans="1:27" x14ac:dyDescent="0.25">
      <c r="A3259" t="s">
        <v>98</v>
      </c>
      <c r="B3259" t="s">
        <v>519</v>
      </c>
      <c r="C3259" t="s">
        <v>1367</v>
      </c>
      <c r="D3259" t="s">
        <v>1707</v>
      </c>
      <c r="E3259" t="s">
        <v>3060</v>
      </c>
      <c r="F3259" t="s">
        <v>3061</v>
      </c>
      <c r="H3259" t="s">
        <v>125</v>
      </c>
      <c r="I3259">
        <v>2022</v>
      </c>
      <c r="J3259" t="s">
        <v>3068</v>
      </c>
      <c r="K3259" t="s">
        <v>127</v>
      </c>
      <c r="L3259" t="s">
        <v>3428</v>
      </c>
      <c r="M3259" t="s">
        <v>3430</v>
      </c>
      <c r="N3259">
        <v>1</v>
      </c>
      <c r="O3259">
        <v>2022</v>
      </c>
      <c r="P3259">
        <v>7.8788042469070234</v>
      </c>
      <c r="Q3259">
        <v>11.116831646955321</v>
      </c>
      <c r="R3259" t="s">
        <v>3065</v>
      </c>
      <c r="S3259">
        <v>42.523649707683781</v>
      </c>
      <c r="T3259">
        <v>15.7</v>
      </c>
      <c r="U3259" t="s">
        <v>3066</v>
      </c>
      <c r="V3259">
        <v>15.7</v>
      </c>
      <c r="W3259">
        <v>0</v>
      </c>
      <c r="X3259">
        <v>1</v>
      </c>
      <c r="Y3259">
        <v>1</v>
      </c>
      <c r="Z3259">
        <v>0.31944737730523498</v>
      </c>
      <c r="AA3259">
        <v>1</v>
      </c>
    </row>
    <row r="3260" spans="1:27" x14ac:dyDescent="0.25">
      <c r="A3260" t="s">
        <v>98</v>
      </c>
      <c r="B3260" t="s">
        <v>519</v>
      </c>
      <c r="C3260" t="s">
        <v>1367</v>
      </c>
      <c r="D3260" t="s">
        <v>1707</v>
      </c>
      <c r="E3260" t="s">
        <v>3060</v>
      </c>
      <c r="F3260" t="s">
        <v>3070</v>
      </c>
      <c r="H3260" t="s">
        <v>125</v>
      </c>
      <c r="I3260">
        <v>2015</v>
      </c>
      <c r="J3260" t="s">
        <v>3071</v>
      </c>
      <c r="K3260" t="s">
        <v>127</v>
      </c>
      <c r="L3260" t="s">
        <v>3428</v>
      </c>
      <c r="M3260" t="s">
        <v>3431</v>
      </c>
      <c r="N3260">
        <v>0</v>
      </c>
      <c r="O3260">
        <v>2020</v>
      </c>
      <c r="P3260">
        <v>4.7269225388114773</v>
      </c>
      <c r="Q3260">
        <v>11.116831646955321</v>
      </c>
      <c r="R3260" t="s">
        <v>3065</v>
      </c>
      <c r="S3260">
        <v>25.51224677458935</v>
      </c>
      <c r="T3260">
        <v>59.066666666666663</v>
      </c>
      <c r="U3260" t="s">
        <v>3066</v>
      </c>
      <c r="V3260">
        <v>59.066666666666663</v>
      </c>
      <c r="W3260">
        <v>3</v>
      </c>
      <c r="X3260">
        <v>4</v>
      </c>
      <c r="Y3260">
        <v>4</v>
      </c>
      <c r="Z3260">
        <v>0.31944737730523498</v>
      </c>
      <c r="AA3260">
        <v>1</v>
      </c>
    </row>
    <row r="3261" spans="1:27" x14ac:dyDescent="0.25">
      <c r="A3261" t="s">
        <v>98</v>
      </c>
      <c r="B3261" t="s">
        <v>519</v>
      </c>
      <c r="C3261" t="s">
        <v>1367</v>
      </c>
      <c r="D3261" t="s">
        <v>1707</v>
      </c>
      <c r="E3261" t="s">
        <v>3060</v>
      </c>
      <c r="F3261" t="s">
        <v>3070</v>
      </c>
      <c r="H3261" t="s">
        <v>125</v>
      </c>
      <c r="I3261">
        <v>2020</v>
      </c>
      <c r="J3261" t="s">
        <v>3073</v>
      </c>
      <c r="K3261" t="s">
        <v>127</v>
      </c>
      <c r="L3261" t="s">
        <v>3428</v>
      </c>
      <c r="M3261" t="s">
        <v>3431</v>
      </c>
      <c r="N3261">
        <v>1</v>
      </c>
      <c r="O3261">
        <v>2020</v>
      </c>
      <c r="P3261">
        <v>6.2353616429714247</v>
      </c>
      <c r="Q3261">
        <v>11.116831646955321</v>
      </c>
      <c r="R3261" t="s">
        <v>3065</v>
      </c>
      <c r="S3261">
        <v>33.653626362215363</v>
      </c>
      <c r="T3261">
        <v>59.933333333333337</v>
      </c>
      <c r="U3261" t="s">
        <v>3066</v>
      </c>
      <c r="V3261">
        <v>59.933333333333337</v>
      </c>
      <c r="W3261">
        <v>3</v>
      </c>
      <c r="X3261">
        <v>4</v>
      </c>
      <c r="Y3261">
        <v>4</v>
      </c>
      <c r="Z3261">
        <v>0.31944737730523498</v>
      </c>
      <c r="AA3261">
        <v>1</v>
      </c>
    </row>
    <row r="3262" spans="1:27" x14ac:dyDescent="0.25">
      <c r="A3262" t="s">
        <v>98</v>
      </c>
      <c r="B3262" t="s">
        <v>519</v>
      </c>
      <c r="C3262" t="s">
        <v>1367</v>
      </c>
      <c r="D3262" t="s">
        <v>1707</v>
      </c>
      <c r="E3262" t="s">
        <v>3060</v>
      </c>
      <c r="F3262" t="s">
        <v>3070</v>
      </c>
      <c r="H3262" t="s">
        <v>125</v>
      </c>
      <c r="I3262">
        <v>2022</v>
      </c>
      <c r="J3262" t="s">
        <v>3074</v>
      </c>
      <c r="K3262" t="s">
        <v>127</v>
      </c>
      <c r="L3262" t="s">
        <v>3428</v>
      </c>
      <c r="M3262" t="s">
        <v>3432</v>
      </c>
      <c r="N3262">
        <v>1</v>
      </c>
      <c r="O3262">
        <v>2022</v>
      </c>
      <c r="P3262">
        <v>5.7403488104607021</v>
      </c>
      <c r="Q3262">
        <v>11.116831646955321</v>
      </c>
      <c r="R3262" t="s">
        <v>3065</v>
      </c>
      <c r="S3262">
        <v>30.981932583459809</v>
      </c>
      <c r="T3262">
        <v>65.8</v>
      </c>
      <c r="U3262" t="s">
        <v>3066</v>
      </c>
      <c r="V3262">
        <v>65.8</v>
      </c>
      <c r="W3262">
        <v>3</v>
      </c>
      <c r="X3262">
        <v>4</v>
      </c>
      <c r="Y3262">
        <v>4</v>
      </c>
      <c r="Z3262">
        <v>0.31944737730523498</v>
      </c>
      <c r="AA3262">
        <v>1</v>
      </c>
    </row>
    <row r="3263" spans="1:27" x14ac:dyDescent="0.25">
      <c r="A3263" t="s">
        <v>98</v>
      </c>
      <c r="B3263" t="s">
        <v>519</v>
      </c>
      <c r="C3263" t="s">
        <v>1367</v>
      </c>
      <c r="D3263" t="s">
        <v>1707</v>
      </c>
      <c r="E3263" t="s">
        <v>3060</v>
      </c>
      <c r="F3263" t="s">
        <v>3070</v>
      </c>
      <c r="H3263" t="s">
        <v>125</v>
      </c>
      <c r="I3263">
        <v>2030</v>
      </c>
      <c r="J3263" t="s">
        <v>3076</v>
      </c>
      <c r="K3263" t="s">
        <v>127</v>
      </c>
      <c r="L3263" t="s">
        <v>3428</v>
      </c>
      <c r="M3263" t="s">
        <v>3433</v>
      </c>
      <c r="N3263">
        <v>1</v>
      </c>
      <c r="O3263">
        <v>2030</v>
      </c>
      <c r="P3263">
        <v>5.513542930837608</v>
      </c>
      <c r="Q3263">
        <v>11.116831646955321</v>
      </c>
      <c r="R3263" t="s">
        <v>3065</v>
      </c>
      <c r="S3263">
        <v>29.757811070284539</v>
      </c>
      <c r="T3263">
        <v>68.5</v>
      </c>
      <c r="U3263" t="s">
        <v>3066</v>
      </c>
      <c r="V3263">
        <v>68.5</v>
      </c>
      <c r="W3263">
        <v>3</v>
      </c>
      <c r="X3263">
        <v>4</v>
      </c>
      <c r="Y3263">
        <v>4</v>
      </c>
      <c r="Z3263">
        <v>0.31944737730523498</v>
      </c>
      <c r="AA3263">
        <v>1</v>
      </c>
    </row>
    <row r="3264" spans="1:27" x14ac:dyDescent="0.25">
      <c r="A3264" t="s">
        <v>98</v>
      </c>
      <c r="B3264" t="s">
        <v>519</v>
      </c>
      <c r="C3264" t="s">
        <v>1367</v>
      </c>
      <c r="D3264" t="s">
        <v>1707</v>
      </c>
      <c r="E3264" t="s">
        <v>3060</v>
      </c>
      <c r="F3264" t="s">
        <v>3070</v>
      </c>
      <c r="H3264" t="s">
        <v>125</v>
      </c>
      <c r="I3264">
        <v>2040</v>
      </c>
      <c r="J3264" t="s">
        <v>3078</v>
      </c>
      <c r="K3264" t="s">
        <v>127</v>
      </c>
      <c r="L3264" t="s">
        <v>3428</v>
      </c>
      <c r="M3264" t="s">
        <v>3434</v>
      </c>
      <c r="N3264">
        <v>1</v>
      </c>
      <c r="O3264">
        <v>2040</v>
      </c>
      <c r="P3264">
        <v>5.2435359312863046</v>
      </c>
      <c r="Q3264">
        <v>11.116831646955321</v>
      </c>
      <c r="R3264" t="s">
        <v>3065</v>
      </c>
      <c r="S3264">
        <v>28.3005235545997</v>
      </c>
      <c r="T3264">
        <v>72</v>
      </c>
      <c r="U3264" t="s">
        <v>3066</v>
      </c>
      <c r="V3264">
        <v>72</v>
      </c>
      <c r="W3264">
        <v>3</v>
      </c>
      <c r="X3264">
        <v>4</v>
      </c>
      <c r="Y3264">
        <v>4</v>
      </c>
      <c r="Z3264">
        <v>0.31944737730523498</v>
      </c>
      <c r="AA3264">
        <v>1</v>
      </c>
    </row>
    <row r="3265" spans="1:27" x14ac:dyDescent="0.25">
      <c r="A3265" t="s">
        <v>98</v>
      </c>
      <c r="B3265" t="s">
        <v>519</v>
      </c>
      <c r="C3265" t="s">
        <v>1367</v>
      </c>
      <c r="D3265" t="s">
        <v>1707</v>
      </c>
      <c r="E3265" t="s">
        <v>3060</v>
      </c>
      <c r="F3265" t="s">
        <v>3080</v>
      </c>
      <c r="H3265" t="s">
        <v>125</v>
      </c>
      <c r="I3265">
        <v>2015</v>
      </c>
      <c r="J3265" t="s">
        <v>3081</v>
      </c>
      <c r="K3265" t="s">
        <v>127</v>
      </c>
      <c r="L3265" t="s">
        <v>3428</v>
      </c>
      <c r="M3265" t="s">
        <v>3435</v>
      </c>
      <c r="N3265">
        <v>0</v>
      </c>
      <c r="O3265">
        <v>2020</v>
      </c>
      <c r="P3265">
        <v>21.61676038407732</v>
      </c>
      <c r="Q3265">
        <v>11.116831646955321</v>
      </c>
      <c r="R3265" t="s">
        <v>3065</v>
      </c>
      <c r="S3265">
        <v>116.6704385057287</v>
      </c>
      <c r="T3265">
        <v>79.849999999999994</v>
      </c>
      <c r="U3265" t="s">
        <v>3066</v>
      </c>
      <c r="V3265">
        <v>79.849999999999994</v>
      </c>
      <c r="W3265">
        <v>11</v>
      </c>
      <c r="X3265">
        <v>12</v>
      </c>
      <c r="Y3265">
        <v>12</v>
      </c>
      <c r="Z3265">
        <v>0.31944737730523498</v>
      </c>
      <c r="AA3265">
        <v>1</v>
      </c>
    </row>
    <row r="3266" spans="1:27" x14ac:dyDescent="0.25">
      <c r="A3266" t="s">
        <v>98</v>
      </c>
      <c r="B3266" t="s">
        <v>519</v>
      </c>
      <c r="C3266" t="s">
        <v>1367</v>
      </c>
      <c r="D3266" t="s">
        <v>1707</v>
      </c>
      <c r="E3266" t="s">
        <v>3060</v>
      </c>
      <c r="F3266" t="s">
        <v>3080</v>
      </c>
      <c r="H3266" t="s">
        <v>125</v>
      </c>
      <c r="I3266">
        <v>2016</v>
      </c>
      <c r="J3266" t="s">
        <v>3083</v>
      </c>
      <c r="K3266" t="s">
        <v>127</v>
      </c>
      <c r="L3266" t="s">
        <v>3428</v>
      </c>
      <c r="M3266" t="s">
        <v>3435</v>
      </c>
      <c r="N3266">
        <v>0</v>
      </c>
      <c r="O3266">
        <v>2020</v>
      </c>
      <c r="P3266">
        <v>21.128047714889458</v>
      </c>
      <c r="Q3266">
        <v>11.116831646955321</v>
      </c>
      <c r="R3266" t="s">
        <v>3065</v>
      </c>
      <c r="S3266">
        <v>114.0327481023391</v>
      </c>
      <c r="T3266">
        <v>83.025000000000006</v>
      </c>
      <c r="U3266" t="s">
        <v>3066</v>
      </c>
      <c r="V3266">
        <v>83.025000000000006</v>
      </c>
      <c r="W3266">
        <v>11</v>
      </c>
      <c r="X3266">
        <v>12</v>
      </c>
      <c r="Y3266">
        <v>12</v>
      </c>
      <c r="Z3266">
        <v>0.31944737730523498</v>
      </c>
      <c r="AA3266">
        <v>1</v>
      </c>
    </row>
    <row r="3267" spans="1:27" x14ac:dyDescent="0.25">
      <c r="A3267" t="s">
        <v>98</v>
      </c>
      <c r="B3267" t="s">
        <v>519</v>
      </c>
      <c r="C3267" t="s">
        <v>1367</v>
      </c>
      <c r="D3267" t="s">
        <v>1707</v>
      </c>
      <c r="E3267" t="s">
        <v>3060</v>
      </c>
      <c r="F3267" t="s">
        <v>3080</v>
      </c>
      <c r="H3267" t="s">
        <v>125</v>
      </c>
      <c r="I3267">
        <v>2017</v>
      </c>
      <c r="J3267" t="s">
        <v>3084</v>
      </c>
      <c r="K3267" t="s">
        <v>127</v>
      </c>
      <c r="L3267" t="s">
        <v>3428</v>
      </c>
      <c r="M3267" t="s">
        <v>3435</v>
      </c>
      <c r="N3267">
        <v>0</v>
      </c>
      <c r="O3267">
        <v>2020</v>
      </c>
      <c r="P3267">
        <v>17.431651891032121</v>
      </c>
      <c r="Q3267">
        <v>11.116831646955321</v>
      </c>
      <c r="R3267" t="s">
        <v>3065</v>
      </c>
      <c r="S3267">
        <v>94.08248201261361</v>
      </c>
      <c r="T3267">
        <v>86.2</v>
      </c>
      <c r="U3267" t="s">
        <v>3066</v>
      </c>
      <c r="V3267">
        <v>86.2</v>
      </c>
      <c r="W3267">
        <v>11</v>
      </c>
      <c r="X3267">
        <v>12</v>
      </c>
      <c r="Y3267">
        <v>12</v>
      </c>
      <c r="Z3267">
        <v>0.31944737730523498</v>
      </c>
      <c r="AA3267">
        <v>1</v>
      </c>
    </row>
    <row r="3268" spans="1:27" x14ac:dyDescent="0.25">
      <c r="A3268" t="s">
        <v>98</v>
      </c>
      <c r="B3268" t="s">
        <v>519</v>
      </c>
      <c r="C3268" t="s">
        <v>1367</v>
      </c>
      <c r="D3268" t="s">
        <v>1707</v>
      </c>
      <c r="E3268" t="s">
        <v>3060</v>
      </c>
      <c r="F3268" t="s">
        <v>3080</v>
      </c>
      <c r="H3268" t="s">
        <v>125</v>
      </c>
      <c r="I3268">
        <v>2018</v>
      </c>
      <c r="J3268" t="s">
        <v>3085</v>
      </c>
      <c r="K3268" t="s">
        <v>127</v>
      </c>
      <c r="L3268" t="s">
        <v>3428</v>
      </c>
      <c r="M3268" t="s">
        <v>3435</v>
      </c>
      <c r="N3268">
        <v>0</v>
      </c>
      <c r="O3268">
        <v>2020</v>
      </c>
      <c r="P3268">
        <v>15.33639757451401</v>
      </c>
      <c r="Q3268">
        <v>11.116831646955321</v>
      </c>
      <c r="R3268" t="s">
        <v>3065</v>
      </c>
      <c r="S3268">
        <v>82.773930890899194</v>
      </c>
      <c r="T3268">
        <v>89.35</v>
      </c>
      <c r="U3268" t="s">
        <v>3066</v>
      </c>
      <c r="V3268">
        <v>89.35</v>
      </c>
      <c r="W3268">
        <v>10</v>
      </c>
      <c r="X3268">
        <v>11</v>
      </c>
      <c r="Y3268">
        <v>11</v>
      </c>
      <c r="Z3268">
        <v>0.31944737730523498</v>
      </c>
      <c r="AA3268">
        <v>1</v>
      </c>
    </row>
    <row r="3269" spans="1:27" x14ac:dyDescent="0.25">
      <c r="A3269" t="s">
        <v>98</v>
      </c>
      <c r="B3269" t="s">
        <v>519</v>
      </c>
      <c r="C3269" t="s">
        <v>1367</v>
      </c>
      <c r="D3269" t="s">
        <v>1707</v>
      </c>
      <c r="E3269" t="s">
        <v>3060</v>
      </c>
      <c r="F3269" t="s">
        <v>3080</v>
      </c>
      <c r="H3269" t="s">
        <v>125</v>
      </c>
      <c r="I3269">
        <v>2019</v>
      </c>
      <c r="J3269" t="s">
        <v>3086</v>
      </c>
      <c r="K3269" t="s">
        <v>127</v>
      </c>
      <c r="L3269" t="s">
        <v>3428</v>
      </c>
      <c r="M3269" t="s">
        <v>3435</v>
      </c>
      <c r="N3269">
        <v>0</v>
      </c>
      <c r="O3269">
        <v>2020</v>
      </c>
      <c r="P3269">
        <v>13.24384332799141</v>
      </c>
      <c r="Q3269">
        <v>11.116831646955321</v>
      </c>
      <c r="R3269" t="s">
        <v>3065</v>
      </c>
      <c r="S3269">
        <v>71.479952644341651</v>
      </c>
      <c r="T3269">
        <v>92.55</v>
      </c>
      <c r="U3269" t="s">
        <v>3066</v>
      </c>
      <c r="V3269">
        <v>92.55</v>
      </c>
      <c r="W3269">
        <v>10</v>
      </c>
      <c r="X3269">
        <v>11</v>
      </c>
      <c r="Y3269">
        <v>11</v>
      </c>
      <c r="Z3269">
        <v>0.31944737730523498</v>
      </c>
      <c r="AA3269">
        <v>1</v>
      </c>
    </row>
    <row r="3270" spans="1:27" x14ac:dyDescent="0.25">
      <c r="A3270" t="s">
        <v>98</v>
      </c>
      <c r="B3270" t="s">
        <v>519</v>
      </c>
      <c r="C3270" t="s">
        <v>1367</v>
      </c>
      <c r="D3270" t="s">
        <v>1707</v>
      </c>
      <c r="E3270" t="s">
        <v>3060</v>
      </c>
      <c r="F3270" t="s">
        <v>3080</v>
      </c>
      <c r="H3270" t="s">
        <v>125</v>
      </c>
      <c r="I3270">
        <v>2020</v>
      </c>
      <c r="J3270" t="s">
        <v>3087</v>
      </c>
      <c r="K3270" t="s">
        <v>127</v>
      </c>
      <c r="L3270" t="s">
        <v>3428</v>
      </c>
      <c r="M3270" t="s">
        <v>3435</v>
      </c>
      <c r="N3270">
        <v>1</v>
      </c>
      <c r="O3270">
        <v>2020</v>
      </c>
      <c r="P3270">
        <v>11.1485890114733</v>
      </c>
      <c r="Q3270">
        <v>11.116831646955321</v>
      </c>
      <c r="R3270" t="s">
        <v>3065</v>
      </c>
      <c r="S3270">
        <v>60.171401522627271</v>
      </c>
      <c r="T3270">
        <v>95.699999999999989</v>
      </c>
      <c r="U3270" t="s">
        <v>3066</v>
      </c>
      <c r="V3270">
        <v>95.699999999999989</v>
      </c>
      <c r="W3270">
        <v>10</v>
      </c>
      <c r="X3270">
        <v>11</v>
      </c>
      <c r="Y3270">
        <v>11</v>
      </c>
      <c r="Z3270">
        <v>0.31944737730523498</v>
      </c>
      <c r="AA3270">
        <v>1</v>
      </c>
    </row>
    <row r="3271" spans="1:27" x14ac:dyDescent="0.25">
      <c r="A3271" t="s">
        <v>98</v>
      </c>
      <c r="B3271" t="s">
        <v>519</v>
      </c>
      <c r="C3271" t="s">
        <v>1367</v>
      </c>
      <c r="D3271" t="s">
        <v>1707</v>
      </c>
      <c r="E3271" t="s">
        <v>3060</v>
      </c>
      <c r="F3271" t="s">
        <v>3080</v>
      </c>
      <c r="H3271" t="s">
        <v>125</v>
      </c>
      <c r="I3271">
        <v>2021</v>
      </c>
      <c r="J3271" t="s">
        <v>3088</v>
      </c>
      <c r="K3271" t="s">
        <v>127</v>
      </c>
      <c r="L3271" t="s">
        <v>3428</v>
      </c>
      <c r="M3271" t="s">
        <v>3436</v>
      </c>
      <c r="N3271">
        <v>1</v>
      </c>
      <c r="O3271">
        <v>2021</v>
      </c>
      <c r="P3271">
        <v>8.8076283253635061</v>
      </c>
      <c r="Q3271">
        <v>11.116831646955321</v>
      </c>
      <c r="R3271" t="s">
        <v>3065</v>
      </c>
      <c r="S3271">
        <v>47.536718761639648</v>
      </c>
      <c r="T3271">
        <v>97.949999999999989</v>
      </c>
      <c r="U3271" t="s">
        <v>3066</v>
      </c>
      <c r="V3271">
        <v>97.949999999999989</v>
      </c>
      <c r="W3271">
        <v>9</v>
      </c>
      <c r="X3271">
        <v>10</v>
      </c>
      <c r="Y3271">
        <v>10</v>
      </c>
      <c r="Z3271">
        <v>0.31944737730523498</v>
      </c>
      <c r="AA3271">
        <v>1</v>
      </c>
    </row>
    <row r="3272" spans="1:27" x14ac:dyDescent="0.25">
      <c r="A3272" t="s">
        <v>98</v>
      </c>
      <c r="B3272" t="s">
        <v>519</v>
      </c>
      <c r="C3272" t="s">
        <v>1367</v>
      </c>
      <c r="D3272" t="s">
        <v>1707</v>
      </c>
      <c r="E3272" t="s">
        <v>3060</v>
      </c>
      <c r="F3272" t="s">
        <v>3080</v>
      </c>
      <c r="H3272" t="s">
        <v>125</v>
      </c>
      <c r="I3272">
        <v>2022</v>
      </c>
      <c r="J3272" t="s">
        <v>3090</v>
      </c>
      <c r="K3272" t="s">
        <v>127</v>
      </c>
      <c r="L3272" t="s">
        <v>3428</v>
      </c>
      <c r="M3272" t="s">
        <v>3437</v>
      </c>
      <c r="N3272">
        <v>1</v>
      </c>
      <c r="O3272">
        <v>2022</v>
      </c>
      <c r="P3272">
        <v>6.4693677092492212</v>
      </c>
      <c r="Q3272">
        <v>11.116831646955321</v>
      </c>
      <c r="R3272" t="s">
        <v>3065</v>
      </c>
      <c r="S3272">
        <v>34.91660887580889</v>
      </c>
      <c r="T3272">
        <v>100.22499999999999</v>
      </c>
      <c r="U3272" t="s">
        <v>3066</v>
      </c>
      <c r="V3272">
        <v>100.22499999999999</v>
      </c>
      <c r="W3272">
        <v>9</v>
      </c>
      <c r="X3272">
        <v>10</v>
      </c>
      <c r="Y3272">
        <v>10</v>
      </c>
      <c r="Z3272">
        <v>0.31944737730523498</v>
      </c>
      <c r="AA3272">
        <v>1</v>
      </c>
    </row>
    <row r="3273" spans="1:27" x14ac:dyDescent="0.25">
      <c r="A3273" t="s">
        <v>98</v>
      </c>
      <c r="B3273" t="s">
        <v>519</v>
      </c>
      <c r="C3273" t="s">
        <v>1367</v>
      </c>
      <c r="D3273" t="s">
        <v>1707</v>
      </c>
      <c r="E3273" t="s">
        <v>3060</v>
      </c>
      <c r="F3273" t="s">
        <v>3080</v>
      </c>
      <c r="H3273" t="s">
        <v>125</v>
      </c>
      <c r="I3273">
        <v>2023</v>
      </c>
      <c r="J3273" t="s">
        <v>3092</v>
      </c>
      <c r="K3273" t="s">
        <v>127</v>
      </c>
      <c r="L3273" t="s">
        <v>3428</v>
      </c>
      <c r="M3273" t="s">
        <v>3438</v>
      </c>
      <c r="N3273">
        <v>1</v>
      </c>
      <c r="O3273">
        <v>2023</v>
      </c>
      <c r="P3273">
        <v>6.3505646294466462</v>
      </c>
      <c r="Q3273">
        <v>11.116831646955321</v>
      </c>
      <c r="R3273" t="s">
        <v>3065</v>
      </c>
      <c r="S3273">
        <v>34.27540236890755</v>
      </c>
      <c r="T3273">
        <v>102.65</v>
      </c>
      <c r="U3273" t="s">
        <v>3066</v>
      </c>
      <c r="V3273">
        <v>102.65</v>
      </c>
      <c r="W3273">
        <v>9</v>
      </c>
      <c r="X3273">
        <v>10</v>
      </c>
      <c r="Y3273">
        <v>10</v>
      </c>
      <c r="Z3273">
        <v>0.31944737730523498</v>
      </c>
      <c r="AA3273">
        <v>1</v>
      </c>
    </row>
    <row r="3274" spans="1:27" x14ac:dyDescent="0.25">
      <c r="A3274" t="s">
        <v>98</v>
      </c>
      <c r="B3274" t="s">
        <v>519</v>
      </c>
      <c r="C3274" t="s">
        <v>1367</v>
      </c>
      <c r="D3274" t="s">
        <v>1707</v>
      </c>
      <c r="E3274" t="s">
        <v>3060</v>
      </c>
      <c r="F3274" t="s">
        <v>3080</v>
      </c>
      <c r="H3274" t="s">
        <v>125</v>
      </c>
      <c r="I3274">
        <v>2024</v>
      </c>
      <c r="J3274" t="s">
        <v>3094</v>
      </c>
      <c r="K3274" t="s">
        <v>127</v>
      </c>
      <c r="L3274" t="s">
        <v>3428</v>
      </c>
      <c r="M3274" t="s">
        <v>3439</v>
      </c>
      <c r="N3274">
        <v>1</v>
      </c>
      <c r="O3274">
        <v>2024</v>
      </c>
      <c r="P3274">
        <v>6.2857629495543348</v>
      </c>
      <c r="Q3274">
        <v>11.116831646955321</v>
      </c>
      <c r="R3274" t="s">
        <v>3065</v>
      </c>
      <c r="S3274">
        <v>33.925653365143198</v>
      </c>
      <c r="T3274">
        <v>105.05</v>
      </c>
      <c r="U3274" t="s">
        <v>3066</v>
      </c>
      <c r="V3274">
        <v>105.05</v>
      </c>
      <c r="W3274">
        <v>9</v>
      </c>
      <c r="X3274">
        <v>10</v>
      </c>
      <c r="Y3274">
        <v>10</v>
      </c>
      <c r="Z3274">
        <v>0.31944737730523498</v>
      </c>
      <c r="AA3274">
        <v>1</v>
      </c>
    </row>
    <row r="3275" spans="1:27" x14ac:dyDescent="0.25">
      <c r="A3275" t="s">
        <v>98</v>
      </c>
      <c r="B3275" t="s">
        <v>519</v>
      </c>
      <c r="C3275" t="s">
        <v>1367</v>
      </c>
      <c r="D3275" t="s">
        <v>1707</v>
      </c>
      <c r="E3275" t="s">
        <v>3060</v>
      </c>
      <c r="F3275" t="s">
        <v>3080</v>
      </c>
      <c r="H3275" t="s">
        <v>125</v>
      </c>
      <c r="I3275">
        <v>2025</v>
      </c>
      <c r="J3275" t="s">
        <v>3096</v>
      </c>
      <c r="K3275" t="s">
        <v>127</v>
      </c>
      <c r="L3275" t="s">
        <v>3428</v>
      </c>
      <c r="M3275" t="s">
        <v>3440</v>
      </c>
      <c r="N3275">
        <v>1</v>
      </c>
      <c r="O3275">
        <v>2025</v>
      </c>
      <c r="P3275">
        <v>6.1210586798280389</v>
      </c>
      <c r="Q3275">
        <v>11.116831646955321</v>
      </c>
      <c r="R3275" t="s">
        <v>3065</v>
      </c>
      <c r="S3275">
        <v>33.036707980575443</v>
      </c>
      <c r="T3275">
        <v>107.47499999999999</v>
      </c>
      <c r="U3275" t="s">
        <v>3066</v>
      </c>
      <c r="V3275">
        <v>107.47499999999999</v>
      </c>
      <c r="W3275">
        <v>9</v>
      </c>
      <c r="X3275">
        <v>10</v>
      </c>
      <c r="Y3275">
        <v>10</v>
      </c>
      <c r="Z3275">
        <v>0.31944737730523498</v>
      </c>
      <c r="AA3275">
        <v>1</v>
      </c>
    </row>
    <row r="3276" spans="1:27" x14ac:dyDescent="0.25">
      <c r="A3276" t="s">
        <v>98</v>
      </c>
      <c r="B3276" t="s">
        <v>519</v>
      </c>
      <c r="C3276" t="s">
        <v>1367</v>
      </c>
      <c r="D3276" t="s">
        <v>1707</v>
      </c>
      <c r="E3276" t="s">
        <v>3060</v>
      </c>
      <c r="F3276" t="s">
        <v>3080</v>
      </c>
      <c r="H3276" t="s">
        <v>125</v>
      </c>
      <c r="I3276">
        <v>2030</v>
      </c>
      <c r="J3276" t="s">
        <v>3098</v>
      </c>
      <c r="K3276" t="s">
        <v>127</v>
      </c>
      <c r="L3276" t="s">
        <v>3428</v>
      </c>
      <c r="M3276" t="s">
        <v>3441</v>
      </c>
      <c r="N3276">
        <v>1</v>
      </c>
      <c r="O3276">
        <v>2030</v>
      </c>
      <c r="P3276">
        <v>5.5459437707837651</v>
      </c>
      <c r="Q3276">
        <v>11.116831646955321</v>
      </c>
      <c r="R3276" t="s">
        <v>3065</v>
      </c>
      <c r="S3276">
        <v>29.932685572166729</v>
      </c>
      <c r="T3276">
        <v>119.575</v>
      </c>
      <c r="U3276" t="s">
        <v>3066</v>
      </c>
      <c r="V3276">
        <v>119.575</v>
      </c>
      <c r="W3276">
        <v>9</v>
      </c>
      <c r="X3276">
        <v>10</v>
      </c>
      <c r="Y3276">
        <v>10</v>
      </c>
      <c r="Z3276">
        <v>0.31944737730523498</v>
      </c>
      <c r="AA3276">
        <v>1</v>
      </c>
    </row>
    <row r="3277" spans="1:27" x14ac:dyDescent="0.25">
      <c r="A3277" t="s">
        <v>98</v>
      </c>
      <c r="B3277" t="s">
        <v>519</v>
      </c>
      <c r="C3277" t="s">
        <v>1367</v>
      </c>
      <c r="D3277" t="s">
        <v>1707</v>
      </c>
      <c r="E3277" t="s">
        <v>3060</v>
      </c>
      <c r="F3277" t="s">
        <v>3080</v>
      </c>
      <c r="H3277" t="s">
        <v>125</v>
      </c>
      <c r="I3277">
        <v>2040</v>
      </c>
      <c r="J3277" t="s">
        <v>3100</v>
      </c>
      <c r="K3277" t="s">
        <v>127</v>
      </c>
      <c r="L3277" t="s">
        <v>3428</v>
      </c>
      <c r="M3277" t="s">
        <v>3442</v>
      </c>
      <c r="N3277">
        <v>1</v>
      </c>
      <c r="O3277">
        <v>2040</v>
      </c>
      <c r="P3277">
        <v>5.1760341813984789</v>
      </c>
      <c r="Q3277">
        <v>11.116831646955321</v>
      </c>
      <c r="R3277" t="s">
        <v>3065</v>
      </c>
      <c r="S3277">
        <v>27.936201675678479</v>
      </c>
      <c r="T3277">
        <v>144.42500000000001</v>
      </c>
      <c r="U3277" t="s">
        <v>3066</v>
      </c>
      <c r="V3277">
        <v>144.42500000000001</v>
      </c>
      <c r="W3277">
        <v>9</v>
      </c>
      <c r="X3277">
        <v>10</v>
      </c>
      <c r="Y3277">
        <v>10</v>
      </c>
      <c r="Z3277">
        <v>0.31944737730523498</v>
      </c>
      <c r="AA3277">
        <v>1</v>
      </c>
    </row>
    <row r="3278" spans="1:27" x14ac:dyDescent="0.25">
      <c r="A3278" t="s">
        <v>98</v>
      </c>
      <c r="B3278" t="s">
        <v>519</v>
      </c>
      <c r="C3278" t="s">
        <v>1367</v>
      </c>
      <c r="D3278" t="s">
        <v>1707</v>
      </c>
      <c r="E3278" t="s">
        <v>3060</v>
      </c>
      <c r="F3278" t="s">
        <v>3102</v>
      </c>
      <c r="H3278" t="s">
        <v>125</v>
      </c>
      <c r="I3278">
        <v>2015</v>
      </c>
      <c r="J3278" t="s">
        <v>3103</v>
      </c>
      <c r="K3278" t="s">
        <v>127</v>
      </c>
      <c r="L3278" t="s">
        <v>3428</v>
      </c>
      <c r="M3278" t="s">
        <v>3443</v>
      </c>
      <c r="N3278">
        <v>1</v>
      </c>
      <c r="O3278">
        <v>2020</v>
      </c>
      <c r="P3278">
        <v>2.3976621560155711</v>
      </c>
      <c r="Q3278">
        <v>11.116831646955321</v>
      </c>
      <c r="R3278" t="s">
        <v>3065</v>
      </c>
      <c r="S3278">
        <v>12.94071313928143</v>
      </c>
      <c r="T3278">
        <v>12.7</v>
      </c>
      <c r="U3278" t="s">
        <v>3066</v>
      </c>
      <c r="V3278">
        <v>12.7</v>
      </c>
      <c r="W3278">
        <v>0</v>
      </c>
      <c r="X3278">
        <v>1</v>
      </c>
      <c r="Y3278">
        <v>1</v>
      </c>
      <c r="Z3278">
        <v>0.31944737730523498</v>
      </c>
      <c r="AA3278">
        <v>1</v>
      </c>
    </row>
    <row r="3279" spans="1:27" x14ac:dyDescent="0.25">
      <c r="A3279" t="s">
        <v>98</v>
      </c>
      <c r="B3279" t="s">
        <v>519</v>
      </c>
      <c r="C3279" t="s">
        <v>1367</v>
      </c>
      <c r="D3279" t="s">
        <v>1707</v>
      </c>
      <c r="E3279" t="s">
        <v>3060</v>
      </c>
      <c r="F3279" t="s">
        <v>3102</v>
      </c>
      <c r="H3279" t="s">
        <v>125</v>
      </c>
      <c r="I3279">
        <v>2022</v>
      </c>
      <c r="J3279" t="s">
        <v>3105</v>
      </c>
      <c r="K3279" t="s">
        <v>127</v>
      </c>
      <c r="L3279" t="s">
        <v>3428</v>
      </c>
      <c r="M3279" t="s">
        <v>3444</v>
      </c>
      <c r="N3279">
        <v>1</v>
      </c>
      <c r="O3279">
        <v>2022</v>
      </c>
      <c r="P3279">
        <v>3.996103593359285</v>
      </c>
      <c r="Q3279">
        <v>11.116831646955321</v>
      </c>
      <c r="R3279" t="s">
        <v>3065</v>
      </c>
      <c r="S3279">
        <v>21.56785523213571</v>
      </c>
      <c r="T3279">
        <v>9.3000000000000007</v>
      </c>
      <c r="U3279" t="s">
        <v>3066</v>
      </c>
      <c r="V3279">
        <v>9.3000000000000007</v>
      </c>
      <c r="W3279">
        <v>0</v>
      </c>
      <c r="X3279">
        <v>1</v>
      </c>
      <c r="Y3279">
        <v>1</v>
      </c>
      <c r="Z3279">
        <v>0.31944737730523498</v>
      </c>
      <c r="AA3279">
        <v>1</v>
      </c>
    </row>
    <row r="3280" spans="1:27" x14ac:dyDescent="0.25">
      <c r="A3280" t="s">
        <v>98</v>
      </c>
      <c r="B3280" t="s">
        <v>519</v>
      </c>
      <c r="C3280" t="s">
        <v>1367</v>
      </c>
      <c r="D3280" t="s">
        <v>1707</v>
      </c>
      <c r="E3280" t="s">
        <v>3060</v>
      </c>
      <c r="F3280" t="s">
        <v>3107</v>
      </c>
      <c r="H3280" t="s">
        <v>125</v>
      </c>
      <c r="I3280">
        <v>2015</v>
      </c>
      <c r="J3280" t="s">
        <v>3108</v>
      </c>
      <c r="K3280" t="s">
        <v>127</v>
      </c>
      <c r="L3280" t="s">
        <v>3428</v>
      </c>
      <c r="M3280" t="s">
        <v>3445</v>
      </c>
      <c r="N3280">
        <v>1</v>
      </c>
      <c r="O3280">
        <v>2020</v>
      </c>
      <c r="P3280">
        <v>1.188030798025733</v>
      </c>
      <c r="Q3280">
        <v>11.116831646955321</v>
      </c>
      <c r="R3280" t="s">
        <v>3065</v>
      </c>
      <c r="S3280">
        <v>6.4120650690133187</v>
      </c>
      <c r="T3280">
        <v>71.5</v>
      </c>
      <c r="U3280" t="s">
        <v>3066</v>
      </c>
      <c r="V3280">
        <v>71.5</v>
      </c>
      <c r="W3280">
        <v>5</v>
      </c>
      <c r="X3280">
        <v>6</v>
      </c>
      <c r="Y3280">
        <v>6</v>
      </c>
      <c r="Z3280">
        <v>0.31944737730523498</v>
      </c>
      <c r="AA3280">
        <v>1</v>
      </c>
    </row>
    <row r="3281" spans="1:27" x14ac:dyDescent="0.25">
      <c r="A3281" t="s">
        <v>98</v>
      </c>
      <c r="B3281" t="s">
        <v>519</v>
      </c>
      <c r="C3281" t="s">
        <v>1367</v>
      </c>
      <c r="D3281" t="s">
        <v>1707</v>
      </c>
      <c r="E3281" t="s">
        <v>3060</v>
      </c>
      <c r="F3281" t="s">
        <v>3110</v>
      </c>
      <c r="H3281" t="s">
        <v>125</v>
      </c>
      <c r="I3281">
        <v>2015</v>
      </c>
      <c r="J3281" t="s">
        <v>3111</v>
      </c>
      <c r="K3281" t="s">
        <v>127</v>
      </c>
      <c r="L3281" t="s">
        <v>3428</v>
      </c>
      <c r="M3281" t="s">
        <v>3446</v>
      </c>
      <c r="N3281">
        <v>0</v>
      </c>
      <c r="O3281">
        <v>2020</v>
      </c>
      <c r="P3281">
        <v>7.0633831082620873</v>
      </c>
      <c r="Q3281">
        <v>11.116831646955321</v>
      </c>
      <c r="R3281" t="s">
        <v>3065</v>
      </c>
      <c r="S3281">
        <v>38.122641410315538</v>
      </c>
      <c r="T3281">
        <v>90</v>
      </c>
      <c r="U3281" t="s">
        <v>3066</v>
      </c>
      <c r="V3281">
        <v>90</v>
      </c>
      <c r="W3281">
        <v>7</v>
      </c>
      <c r="X3281">
        <v>8</v>
      </c>
      <c r="Y3281">
        <v>8</v>
      </c>
      <c r="Z3281">
        <v>0.31944737730523498</v>
      </c>
      <c r="AA3281">
        <v>1</v>
      </c>
    </row>
    <row r="3282" spans="1:27" x14ac:dyDescent="0.25">
      <c r="A3282" t="s">
        <v>98</v>
      </c>
      <c r="B3282" t="s">
        <v>519</v>
      </c>
      <c r="C3282" t="s">
        <v>1367</v>
      </c>
      <c r="D3282" t="s">
        <v>1707</v>
      </c>
      <c r="E3282" t="s">
        <v>3060</v>
      </c>
      <c r="F3282" t="s">
        <v>3110</v>
      </c>
      <c r="H3282" t="s">
        <v>125</v>
      </c>
      <c r="I3282">
        <v>2020</v>
      </c>
      <c r="J3282" t="s">
        <v>3113</v>
      </c>
      <c r="K3282" t="s">
        <v>127</v>
      </c>
      <c r="L3282" t="s">
        <v>3428</v>
      </c>
      <c r="M3282" t="s">
        <v>3446</v>
      </c>
      <c r="N3282">
        <v>1</v>
      </c>
      <c r="O3282">
        <v>2020</v>
      </c>
      <c r="P3282">
        <v>4.449715352605474</v>
      </c>
      <c r="Q3282">
        <v>11.116831646955321</v>
      </c>
      <c r="R3282" t="s">
        <v>3065</v>
      </c>
      <c r="S3282">
        <v>24.016098258486249</v>
      </c>
      <c r="T3282">
        <v>89.2</v>
      </c>
      <c r="U3282" t="s">
        <v>3066</v>
      </c>
      <c r="V3282">
        <v>89.2</v>
      </c>
      <c r="W3282">
        <v>10</v>
      </c>
      <c r="X3282">
        <v>11</v>
      </c>
      <c r="Y3282">
        <v>11</v>
      </c>
      <c r="Z3282">
        <v>0.31944737730523498</v>
      </c>
      <c r="AA3282">
        <v>1</v>
      </c>
    </row>
    <row r="3283" spans="1:27" x14ac:dyDescent="0.25">
      <c r="A3283" t="s">
        <v>98</v>
      </c>
      <c r="B3283" t="s">
        <v>519</v>
      </c>
      <c r="C3283" t="s">
        <v>1367</v>
      </c>
      <c r="D3283" t="s">
        <v>1707</v>
      </c>
      <c r="E3283" t="s">
        <v>3060</v>
      </c>
      <c r="F3283" t="s">
        <v>3110</v>
      </c>
      <c r="H3283" t="s">
        <v>125</v>
      </c>
      <c r="I3283">
        <v>2022</v>
      </c>
      <c r="J3283" t="s">
        <v>3114</v>
      </c>
      <c r="K3283" t="s">
        <v>127</v>
      </c>
      <c r="L3283" t="s">
        <v>3428</v>
      </c>
      <c r="M3283" t="s">
        <v>3447</v>
      </c>
      <c r="N3283">
        <v>1</v>
      </c>
      <c r="O3283">
        <v>2022</v>
      </c>
      <c r="P3283">
        <v>4.4065142326772646</v>
      </c>
      <c r="Q3283">
        <v>11.116831646955321</v>
      </c>
      <c r="R3283" t="s">
        <v>3065</v>
      </c>
      <c r="S3283">
        <v>23.782932255976672</v>
      </c>
      <c r="T3283">
        <v>89.2</v>
      </c>
      <c r="U3283" t="s">
        <v>3066</v>
      </c>
      <c r="V3283">
        <v>89.2</v>
      </c>
      <c r="W3283">
        <v>11</v>
      </c>
      <c r="X3283">
        <v>12</v>
      </c>
      <c r="Y3283">
        <v>12</v>
      </c>
      <c r="Z3283">
        <v>0.31944737730523498</v>
      </c>
      <c r="AA3283">
        <v>1</v>
      </c>
    </row>
    <row r="3284" spans="1:27" x14ac:dyDescent="0.25">
      <c r="A3284" t="s">
        <v>98</v>
      </c>
      <c r="B3284" t="s">
        <v>519</v>
      </c>
      <c r="C3284" t="s">
        <v>1367</v>
      </c>
      <c r="D3284" t="s">
        <v>1707</v>
      </c>
      <c r="E3284" t="s">
        <v>3060</v>
      </c>
      <c r="F3284" t="s">
        <v>3110</v>
      </c>
      <c r="H3284" t="s">
        <v>125</v>
      </c>
      <c r="I3284">
        <v>2030</v>
      </c>
      <c r="J3284" t="s">
        <v>3116</v>
      </c>
      <c r="K3284" t="s">
        <v>127</v>
      </c>
      <c r="L3284" t="s">
        <v>3428</v>
      </c>
      <c r="M3284" t="s">
        <v>3448</v>
      </c>
      <c r="N3284">
        <v>1</v>
      </c>
      <c r="O3284">
        <v>2030</v>
      </c>
      <c r="P3284">
        <v>4.2337097529644314</v>
      </c>
      <c r="Q3284">
        <v>11.116831646955321</v>
      </c>
      <c r="R3284" t="s">
        <v>3065</v>
      </c>
      <c r="S3284">
        <v>22.85026824593837</v>
      </c>
      <c r="T3284">
        <v>89.2</v>
      </c>
      <c r="U3284" t="s">
        <v>3066</v>
      </c>
      <c r="V3284">
        <v>89.2</v>
      </c>
      <c r="W3284">
        <v>11</v>
      </c>
      <c r="X3284">
        <v>12</v>
      </c>
      <c r="Y3284">
        <v>12</v>
      </c>
      <c r="Z3284">
        <v>0.31944737730523498</v>
      </c>
      <c r="AA3284">
        <v>1</v>
      </c>
    </row>
    <row r="3285" spans="1:27" x14ac:dyDescent="0.25">
      <c r="A3285" t="s">
        <v>98</v>
      </c>
      <c r="B3285" t="s">
        <v>519</v>
      </c>
      <c r="C3285" t="s">
        <v>1367</v>
      </c>
      <c r="D3285" t="s">
        <v>1707</v>
      </c>
      <c r="E3285" t="s">
        <v>3060</v>
      </c>
      <c r="F3285" t="s">
        <v>3110</v>
      </c>
      <c r="H3285" t="s">
        <v>125</v>
      </c>
      <c r="I3285">
        <v>2040</v>
      </c>
      <c r="J3285" t="s">
        <v>3118</v>
      </c>
      <c r="K3285" t="s">
        <v>127</v>
      </c>
      <c r="L3285" t="s">
        <v>3428</v>
      </c>
      <c r="M3285" t="s">
        <v>3449</v>
      </c>
      <c r="N3285">
        <v>1</v>
      </c>
      <c r="O3285">
        <v>2040</v>
      </c>
      <c r="P3285">
        <v>4.0285044333054412</v>
      </c>
      <c r="Q3285">
        <v>11.116831646955321</v>
      </c>
      <c r="R3285" t="s">
        <v>3065</v>
      </c>
      <c r="S3285">
        <v>21.742729734017889</v>
      </c>
      <c r="T3285">
        <v>89.2</v>
      </c>
      <c r="U3285" t="s">
        <v>3066</v>
      </c>
      <c r="V3285">
        <v>89.2</v>
      </c>
      <c r="W3285">
        <v>11</v>
      </c>
      <c r="X3285">
        <v>12</v>
      </c>
      <c r="Y3285">
        <v>12</v>
      </c>
      <c r="Z3285">
        <v>0.31944737730523498</v>
      </c>
      <c r="AA3285">
        <v>1</v>
      </c>
    </row>
    <row r="3286" spans="1:27" x14ac:dyDescent="0.25">
      <c r="A3286" t="s">
        <v>1706</v>
      </c>
      <c r="M3286" t="s">
        <v>1706</v>
      </c>
      <c r="N3286" t="s">
        <v>1706</v>
      </c>
    </row>
    <row r="3287" spans="1:27" x14ac:dyDescent="0.25">
      <c r="A3287" t="s">
        <v>98</v>
      </c>
      <c r="B3287" t="s">
        <v>99</v>
      </c>
      <c r="C3287" t="s">
        <v>100</v>
      </c>
      <c r="D3287" t="s">
        <v>101</v>
      </c>
      <c r="E3287" t="s">
        <v>3450</v>
      </c>
      <c r="H3287" t="s">
        <v>125</v>
      </c>
      <c r="I3287">
        <v>2020</v>
      </c>
      <c r="K3287" t="s">
        <v>127</v>
      </c>
      <c r="L3287" t="s">
        <v>3451</v>
      </c>
      <c r="M3287" t="s">
        <v>3452</v>
      </c>
      <c r="N3287">
        <v>1</v>
      </c>
      <c r="O3287">
        <v>2020</v>
      </c>
      <c r="R3287" t="s">
        <v>391</v>
      </c>
      <c r="S3287">
        <v>100</v>
      </c>
      <c r="V3287">
        <v>1</v>
      </c>
      <c r="W3287">
        <v>20</v>
      </c>
      <c r="X3287">
        <v>20</v>
      </c>
      <c r="Y3287">
        <v>20</v>
      </c>
      <c r="Z3287">
        <v>1</v>
      </c>
      <c r="AA3287">
        <v>1</v>
      </c>
    </row>
    <row r="3288" spans="1:27" x14ac:dyDescent="0.25">
      <c r="A3288" t="s">
        <v>98</v>
      </c>
      <c r="B3288" t="s">
        <v>519</v>
      </c>
      <c r="C3288" t="s">
        <v>100</v>
      </c>
      <c r="D3288" t="s">
        <v>101</v>
      </c>
      <c r="E3288" t="s">
        <v>3450</v>
      </c>
      <c r="H3288" t="s">
        <v>125</v>
      </c>
      <c r="I3288">
        <v>2020</v>
      </c>
      <c r="K3288" t="s">
        <v>127</v>
      </c>
      <c r="L3288" t="s">
        <v>3453</v>
      </c>
      <c r="M3288" t="s">
        <v>3454</v>
      </c>
      <c r="N3288">
        <v>1</v>
      </c>
      <c r="O3288">
        <v>2020</v>
      </c>
      <c r="R3288" t="s">
        <v>391</v>
      </c>
      <c r="S3288">
        <v>100</v>
      </c>
      <c r="V3288">
        <v>1</v>
      </c>
      <c r="W3288">
        <v>20</v>
      </c>
      <c r="X3288">
        <v>20</v>
      </c>
      <c r="Y3288">
        <v>20</v>
      </c>
      <c r="Z3288">
        <v>1</v>
      </c>
      <c r="AA3288">
        <v>1</v>
      </c>
    </row>
    <row r="3289" spans="1:27" x14ac:dyDescent="0.25">
      <c r="A3289" t="s">
        <v>98</v>
      </c>
      <c r="B3289" t="s">
        <v>99</v>
      </c>
      <c r="C3289" t="s">
        <v>689</v>
      </c>
      <c r="D3289" t="s">
        <v>101</v>
      </c>
      <c r="E3289" t="s">
        <v>3450</v>
      </c>
      <c r="H3289" t="s">
        <v>125</v>
      </c>
      <c r="I3289">
        <v>2020</v>
      </c>
      <c r="K3289" t="s">
        <v>127</v>
      </c>
      <c r="L3289" t="s">
        <v>3455</v>
      </c>
      <c r="M3289" t="s">
        <v>3456</v>
      </c>
      <c r="N3289">
        <v>1</v>
      </c>
      <c r="O3289">
        <v>2020</v>
      </c>
      <c r="R3289" t="s">
        <v>391</v>
      </c>
      <c r="S3289">
        <v>100</v>
      </c>
      <c r="V3289">
        <v>1</v>
      </c>
      <c r="W3289">
        <v>20</v>
      </c>
      <c r="X3289">
        <v>20</v>
      </c>
      <c r="Y3289">
        <v>20</v>
      </c>
      <c r="Z3289">
        <v>1</v>
      </c>
      <c r="AA3289">
        <v>1</v>
      </c>
    </row>
    <row r="3290" spans="1:27" x14ac:dyDescent="0.25">
      <c r="A3290" t="s">
        <v>98</v>
      </c>
      <c r="B3290" t="s">
        <v>519</v>
      </c>
      <c r="C3290" t="s">
        <v>689</v>
      </c>
      <c r="D3290" t="s">
        <v>101</v>
      </c>
      <c r="E3290" t="s">
        <v>3450</v>
      </c>
      <c r="H3290" t="s">
        <v>125</v>
      </c>
      <c r="I3290">
        <v>2020</v>
      </c>
      <c r="K3290" t="s">
        <v>127</v>
      </c>
      <c r="L3290" t="s">
        <v>3457</v>
      </c>
      <c r="M3290" t="s">
        <v>3458</v>
      </c>
      <c r="N3290">
        <v>1</v>
      </c>
      <c r="O3290">
        <v>2020</v>
      </c>
      <c r="R3290" t="s">
        <v>391</v>
      </c>
      <c r="S3290">
        <v>100</v>
      </c>
      <c r="V3290">
        <v>1</v>
      </c>
      <c r="W3290">
        <v>20</v>
      </c>
      <c r="X3290">
        <v>20</v>
      </c>
      <c r="Y3290">
        <v>20</v>
      </c>
      <c r="Z3290">
        <v>1</v>
      </c>
      <c r="AA3290">
        <v>1</v>
      </c>
    </row>
    <row r="3291" spans="1:27" x14ac:dyDescent="0.25">
      <c r="A3291" t="s">
        <v>98</v>
      </c>
      <c r="B3291" t="s">
        <v>99</v>
      </c>
      <c r="C3291" t="s">
        <v>1028</v>
      </c>
      <c r="D3291" t="s">
        <v>101</v>
      </c>
      <c r="E3291" t="s">
        <v>3450</v>
      </c>
      <c r="H3291" t="s">
        <v>125</v>
      </c>
      <c r="I3291">
        <v>2020</v>
      </c>
      <c r="K3291" t="s">
        <v>127</v>
      </c>
      <c r="L3291" t="s">
        <v>3459</v>
      </c>
      <c r="M3291" t="s">
        <v>3460</v>
      </c>
      <c r="N3291">
        <v>1</v>
      </c>
      <c r="O3291">
        <v>2020</v>
      </c>
      <c r="R3291" t="s">
        <v>391</v>
      </c>
      <c r="S3291">
        <v>100</v>
      </c>
      <c r="V3291">
        <v>1</v>
      </c>
      <c r="W3291">
        <v>20</v>
      </c>
      <c r="X3291">
        <v>20</v>
      </c>
      <c r="Y3291">
        <v>20</v>
      </c>
      <c r="Z3291">
        <v>1</v>
      </c>
      <c r="AA3291">
        <v>1</v>
      </c>
    </row>
    <row r="3292" spans="1:27" x14ac:dyDescent="0.25">
      <c r="A3292" t="s">
        <v>98</v>
      </c>
      <c r="B3292" t="s">
        <v>519</v>
      </c>
      <c r="C3292" t="s">
        <v>1028</v>
      </c>
      <c r="D3292" t="s">
        <v>101</v>
      </c>
      <c r="E3292" t="s">
        <v>3450</v>
      </c>
      <c r="H3292" t="s">
        <v>125</v>
      </c>
      <c r="I3292">
        <v>2020</v>
      </c>
      <c r="K3292" t="s">
        <v>127</v>
      </c>
      <c r="L3292" t="s">
        <v>3461</v>
      </c>
      <c r="M3292" t="s">
        <v>3462</v>
      </c>
      <c r="N3292">
        <v>1</v>
      </c>
      <c r="O3292">
        <v>2020</v>
      </c>
      <c r="R3292" t="s">
        <v>391</v>
      </c>
      <c r="S3292">
        <v>100</v>
      </c>
      <c r="V3292">
        <v>1</v>
      </c>
      <c r="W3292">
        <v>20</v>
      </c>
      <c r="X3292">
        <v>20</v>
      </c>
      <c r="Y3292">
        <v>20</v>
      </c>
      <c r="Z3292">
        <v>1</v>
      </c>
      <c r="AA3292">
        <v>1</v>
      </c>
    </row>
    <row r="3293" spans="1:27" x14ac:dyDescent="0.25">
      <c r="A3293" t="s">
        <v>98</v>
      </c>
      <c r="B3293" t="s">
        <v>99</v>
      </c>
      <c r="C3293" t="s">
        <v>1367</v>
      </c>
      <c r="D3293" t="s">
        <v>101</v>
      </c>
      <c r="E3293" t="s">
        <v>3450</v>
      </c>
      <c r="H3293" t="s">
        <v>125</v>
      </c>
      <c r="I3293">
        <v>2020</v>
      </c>
      <c r="K3293" t="s">
        <v>127</v>
      </c>
      <c r="L3293" t="s">
        <v>3463</v>
      </c>
      <c r="M3293" t="s">
        <v>3464</v>
      </c>
      <c r="N3293">
        <v>1</v>
      </c>
      <c r="O3293">
        <v>2020</v>
      </c>
      <c r="R3293" t="s">
        <v>391</v>
      </c>
      <c r="S3293">
        <v>100</v>
      </c>
      <c r="V3293">
        <v>1</v>
      </c>
      <c r="W3293">
        <v>20</v>
      </c>
      <c r="X3293">
        <v>20</v>
      </c>
      <c r="Y3293">
        <v>20</v>
      </c>
      <c r="Z3293">
        <v>1</v>
      </c>
      <c r="AA3293">
        <v>1</v>
      </c>
    </row>
    <row r="3294" spans="1:27" x14ac:dyDescent="0.25">
      <c r="A3294" t="s">
        <v>98</v>
      </c>
      <c r="B3294" t="s">
        <v>519</v>
      </c>
      <c r="C3294" t="s">
        <v>1367</v>
      </c>
      <c r="D3294" t="s">
        <v>101</v>
      </c>
      <c r="E3294" t="s">
        <v>3450</v>
      </c>
      <c r="H3294" t="s">
        <v>125</v>
      </c>
      <c r="I3294">
        <v>2020</v>
      </c>
      <c r="K3294" t="s">
        <v>127</v>
      </c>
      <c r="L3294" t="s">
        <v>3465</v>
      </c>
      <c r="M3294" t="s">
        <v>3466</v>
      </c>
      <c r="N3294">
        <v>1</v>
      </c>
      <c r="O3294">
        <v>2020</v>
      </c>
      <c r="R3294" t="s">
        <v>391</v>
      </c>
      <c r="S3294">
        <v>100</v>
      </c>
      <c r="V3294">
        <v>1</v>
      </c>
      <c r="W3294">
        <v>20</v>
      </c>
      <c r="X3294">
        <v>20</v>
      </c>
      <c r="Y3294">
        <v>20</v>
      </c>
      <c r="Z3294">
        <v>1</v>
      </c>
      <c r="AA3294">
        <v>1</v>
      </c>
    </row>
    <row r="3295" spans="1:27" x14ac:dyDescent="0.25">
      <c r="A3295" t="s">
        <v>98</v>
      </c>
      <c r="B3295" t="s">
        <v>99</v>
      </c>
      <c r="C3295" t="s">
        <v>100</v>
      </c>
      <c r="D3295" t="s">
        <v>1707</v>
      </c>
      <c r="E3295" t="s">
        <v>3450</v>
      </c>
      <c r="H3295" t="s">
        <v>125</v>
      </c>
      <c r="I3295">
        <v>2020</v>
      </c>
      <c r="K3295" t="s">
        <v>127</v>
      </c>
      <c r="L3295" t="s">
        <v>3467</v>
      </c>
      <c r="M3295" t="s">
        <v>3468</v>
      </c>
      <c r="N3295">
        <v>1</v>
      </c>
      <c r="O3295">
        <v>2020</v>
      </c>
      <c r="R3295" t="s">
        <v>391</v>
      </c>
      <c r="S3295">
        <v>100</v>
      </c>
      <c r="V3295">
        <v>1</v>
      </c>
      <c r="W3295">
        <v>20</v>
      </c>
      <c r="X3295">
        <v>20</v>
      </c>
      <c r="Y3295">
        <v>20</v>
      </c>
      <c r="Z3295">
        <v>1</v>
      </c>
      <c r="AA3295">
        <v>1</v>
      </c>
    </row>
    <row r="3296" spans="1:27" x14ac:dyDescent="0.25">
      <c r="A3296" t="s">
        <v>98</v>
      </c>
      <c r="B3296" t="s">
        <v>519</v>
      </c>
      <c r="C3296" t="s">
        <v>100</v>
      </c>
      <c r="D3296" t="s">
        <v>1707</v>
      </c>
      <c r="E3296" t="s">
        <v>3450</v>
      </c>
      <c r="H3296" t="s">
        <v>125</v>
      </c>
      <c r="I3296">
        <v>2020</v>
      </c>
      <c r="K3296" t="s">
        <v>127</v>
      </c>
      <c r="L3296" t="s">
        <v>3469</v>
      </c>
      <c r="M3296" t="s">
        <v>3470</v>
      </c>
      <c r="N3296">
        <v>1</v>
      </c>
      <c r="O3296">
        <v>2020</v>
      </c>
      <c r="R3296" t="s">
        <v>391</v>
      </c>
      <c r="S3296">
        <v>100</v>
      </c>
      <c r="V3296">
        <v>1</v>
      </c>
      <c r="W3296">
        <v>20</v>
      </c>
      <c r="X3296">
        <v>20</v>
      </c>
      <c r="Y3296">
        <v>20</v>
      </c>
      <c r="Z3296">
        <v>1</v>
      </c>
      <c r="AA3296">
        <v>1</v>
      </c>
    </row>
    <row r="3297" spans="1:27" x14ac:dyDescent="0.25">
      <c r="A3297" t="s">
        <v>98</v>
      </c>
      <c r="B3297" t="s">
        <v>99</v>
      </c>
      <c r="C3297" t="s">
        <v>689</v>
      </c>
      <c r="D3297" t="s">
        <v>1707</v>
      </c>
      <c r="E3297" t="s">
        <v>3450</v>
      </c>
      <c r="H3297" t="s">
        <v>125</v>
      </c>
      <c r="I3297">
        <v>2020</v>
      </c>
      <c r="K3297" t="s">
        <v>127</v>
      </c>
      <c r="L3297" t="s">
        <v>3471</v>
      </c>
      <c r="M3297" t="s">
        <v>3472</v>
      </c>
      <c r="N3297">
        <v>1</v>
      </c>
      <c r="O3297">
        <v>2020</v>
      </c>
      <c r="R3297" t="s">
        <v>391</v>
      </c>
      <c r="S3297">
        <v>100</v>
      </c>
      <c r="V3297">
        <v>1</v>
      </c>
      <c r="W3297">
        <v>20</v>
      </c>
      <c r="X3297">
        <v>20</v>
      </c>
      <c r="Y3297">
        <v>20</v>
      </c>
      <c r="Z3297">
        <v>1</v>
      </c>
      <c r="AA3297">
        <v>1</v>
      </c>
    </row>
    <row r="3298" spans="1:27" x14ac:dyDescent="0.25">
      <c r="A3298" t="s">
        <v>98</v>
      </c>
      <c r="B3298" t="s">
        <v>519</v>
      </c>
      <c r="C3298" t="s">
        <v>689</v>
      </c>
      <c r="D3298" t="s">
        <v>1707</v>
      </c>
      <c r="E3298" t="s">
        <v>3450</v>
      </c>
      <c r="H3298" t="s">
        <v>125</v>
      </c>
      <c r="I3298">
        <v>2020</v>
      </c>
      <c r="K3298" t="s">
        <v>127</v>
      </c>
      <c r="L3298" t="s">
        <v>3473</v>
      </c>
      <c r="M3298" t="s">
        <v>3474</v>
      </c>
      <c r="N3298">
        <v>1</v>
      </c>
      <c r="O3298">
        <v>2020</v>
      </c>
      <c r="R3298" t="s">
        <v>391</v>
      </c>
      <c r="S3298">
        <v>100</v>
      </c>
      <c r="V3298">
        <v>1</v>
      </c>
      <c r="W3298">
        <v>20</v>
      </c>
      <c r="X3298">
        <v>20</v>
      </c>
      <c r="Y3298">
        <v>20</v>
      </c>
      <c r="Z3298">
        <v>1</v>
      </c>
      <c r="AA3298">
        <v>1</v>
      </c>
    </row>
    <row r="3299" spans="1:27" x14ac:dyDescent="0.25">
      <c r="A3299" t="s">
        <v>98</v>
      </c>
      <c r="B3299" t="s">
        <v>99</v>
      </c>
      <c r="C3299" t="s">
        <v>1028</v>
      </c>
      <c r="D3299" t="s">
        <v>1707</v>
      </c>
      <c r="E3299" t="s">
        <v>3450</v>
      </c>
      <c r="H3299" t="s">
        <v>125</v>
      </c>
      <c r="I3299">
        <v>2020</v>
      </c>
      <c r="K3299" t="s">
        <v>127</v>
      </c>
      <c r="L3299" t="s">
        <v>3475</v>
      </c>
      <c r="M3299" t="s">
        <v>3476</v>
      </c>
      <c r="N3299">
        <v>1</v>
      </c>
      <c r="O3299">
        <v>2020</v>
      </c>
      <c r="R3299" t="s">
        <v>391</v>
      </c>
      <c r="S3299">
        <v>100</v>
      </c>
      <c r="V3299">
        <v>1</v>
      </c>
      <c r="W3299">
        <v>20</v>
      </c>
      <c r="X3299">
        <v>20</v>
      </c>
      <c r="Y3299">
        <v>20</v>
      </c>
      <c r="Z3299">
        <v>1</v>
      </c>
      <c r="AA3299">
        <v>1</v>
      </c>
    </row>
    <row r="3300" spans="1:27" x14ac:dyDescent="0.25">
      <c r="A3300" t="s">
        <v>98</v>
      </c>
      <c r="B3300" t="s">
        <v>519</v>
      </c>
      <c r="C3300" t="s">
        <v>1028</v>
      </c>
      <c r="D3300" t="s">
        <v>1707</v>
      </c>
      <c r="E3300" t="s">
        <v>3450</v>
      </c>
      <c r="H3300" t="s">
        <v>125</v>
      </c>
      <c r="I3300">
        <v>2020</v>
      </c>
      <c r="K3300" t="s">
        <v>127</v>
      </c>
      <c r="L3300" t="s">
        <v>3477</v>
      </c>
      <c r="M3300" t="s">
        <v>3478</v>
      </c>
      <c r="N3300">
        <v>1</v>
      </c>
      <c r="O3300">
        <v>2020</v>
      </c>
      <c r="R3300" t="s">
        <v>391</v>
      </c>
      <c r="S3300">
        <v>100</v>
      </c>
      <c r="V3300">
        <v>1</v>
      </c>
      <c r="W3300">
        <v>20</v>
      </c>
      <c r="X3300">
        <v>20</v>
      </c>
      <c r="Y3300">
        <v>20</v>
      </c>
      <c r="Z3300">
        <v>1</v>
      </c>
      <c r="AA3300">
        <v>1</v>
      </c>
    </row>
    <row r="3301" spans="1:27" x14ac:dyDescent="0.25">
      <c r="A3301" t="s">
        <v>98</v>
      </c>
      <c r="B3301" t="s">
        <v>99</v>
      </c>
      <c r="C3301" t="s">
        <v>1367</v>
      </c>
      <c r="D3301" t="s">
        <v>1707</v>
      </c>
      <c r="E3301" t="s">
        <v>3450</v>
      </c>
      <c r="H3301" t="s">
        <v>125</v>
      </c>
      <c r="I3301">
        <v>2020</v>
      </c>
      <c r="K3301" t="s">
        <v>127</v>
      </c>
      <c r="L3301" t="s">
        <v>3479</v>
      </c>
      <c r="M3301" t="s">
        <v>3480</v>
      </c>
      <c r="N3301">
        <v>1</v>
      </c>
      <c r="O3301">
        <v>2020</v>
      </c>
      <c r="R3301" t="s">
        <v>391</v>
      </c>
      <c r="S3301">
        <v>100</v>
      </c>
      <c r="V3301">
        <v>1</v>
      </c>
      <c r="W3301">
        <v>20</v>
      </c>
      <c r="X3301">
        <v>20</v>
      </c>
      <c r="Y3301">
        <v>20</v>
      </c>
      <c r="Z3301">
        <v>1</v>
      </c>
      <c r="AA3301">
        <v>1</v>
      </c>
    </row>
    <row r="3302" spans="1:27" x14ac:dyDescent="0.25">
      <c r="A3302" t="s">
        <v>98</v>
      </c>
      <c r="B3302" t="s">
        <v>519</v>
      </c>
      <c r="C3302" t="s">
        <v>1367</v>
      </c>
      <c r="D3302" t="s">
        <v>1707</v>
      </c>
      <c r="E3302" t="s">
        <v>3450</v>
      </c>
      <c r="H3302" t="s">
        <v>125</v>
      </c>
      <c r="I3302">
        <v>2020</v>
      </c>
      <c r="K3302" t="s">
        <v>127</v>
      </c>
      <c r="L3302" t="s">
        <v>3481</v>
      </c>
      <c r="M3302" t="s">
        <v>3482</v>
      </c>
      <c r="N3302">
        <v>1</v>
      </c>
      <c r="O3302">
        <v>2020</v>
      </c>
      <c r="R3302" t="s">
        <v>391</v>
      </c>
      <c r="S3302">
        <v>100</v>
      </c>
      <c r="V3302">
        <v>1</v>
      </c>
      <c r="W3302">
        <v>20</v>
      </c>
      <c r="X3302">
        <v>20</v>
      </c>
      <c r="Y3302">
        <v>20</v>
      </c>
      <c r="Z3302">
        <v>1</v>
      </c>
      <c r="AA3302">
        <v>1</v>
      </c>
    </row>
    <row r="3303" spans="1:27" x14ac:dyDescent="0.25">
      <c r="A3303" t="s">
        <v>98</v>
      </c>
      <c r="B3303" t="s">
        <v>99</v>
      </c>
      <c r="C3303" t="s">
        <v>100</v>
      </c>
      <c r="D3303" t="s">
        <v>101</v>
      </c>
      <c r="E3303" t="s">
        <v>3450</v>
      </c>
      <c r="H3303" t="s">
        <v>104</v>
      </c>
      <c r="I3303">
        <v>2020</v>
      </c>
      <c r="K3303" t="s">
        <v>106</v>
      </c>
      <c r="L3303" t="s">
        <v>3451</v>
      </c>
      <c r="M3303" t="s">
        <v>3483</v>
      </c>
      <c r="N3303">
        <v>1</v>
      </c>
      <c r="O3303">
        <v>2020</v>
      </c>
      <c r="R3303" t="s">
        <v>391</v>
      </c>
      <c r="S3303">
        <v>100</v>
      </c>
      <c r="V3303">
        <v>1</v>
      </c>
      <c r="W3303">
        <v>20</v>
      </c>
      <c r="X3303">
        <v>20</v>
      </c>
      <c r="Y3303">
        <v>20</v>
      </c>
      <c r="Z3303">
        <v>1</v>
      </c>
      <c r="AA3303">
        <v>1</v>
      </c>
    </row>
    <row r="3304" spans="1:27" x14ac:dyDescent="0.25">
      <c r="A3304" t="s">
        <v>98</v>
      </c>
      <c r="B3304" t="s">
        <v>519</v>
      </c>
      <c r="C3304" t="s">
        <v>100</v>
      </c>
      <c r="D3304" t="s">
        <v>101</v>
      </c>
      <c r="E3304" t="s">
        <v>3450</v>
      </c>
      <c r="H3304" t="s">
        <v>104</v>
      </c>
      <c r="I3304">
        <v>2020</v>
      </c>
      <c r="K3304" t="s">
        <v>106</v>
      </c>
      <c r="L3304" t="s">
        <v>3453</v>
      </c>
      <c r="M3304" t="s">
        <v>3484</v>
      </c>
      <c r="N3304">
        <v>1</v>
      </c>
      <c r="O3304">
        <v>2020</v>
      </c>
      <c r="R3304" t="s">
        <v>391</v>
      </c>
      <c r="S3304">
        <v>100</v>
      </c>
      <c r="V3304">
        <v>1</v>
      </c>
      <c r="W3304">
        <v>20</v>
      </c>
      <c r="X3304">
        <v>20</v>
      </c>
      <c r="Y3304">
        <v>20</v>
      </c>
      <c r="Z3304">
        <v>1</v>
      </c>
      <c r="AA3304">
        <v>1</v>
      </c>
    </row>
    <row r="3305" spans="1:27" x14ac:dyDescent="0.25">
      <c r="A3305" t="s">
        <v>98</v>
      </c>
      <c r="B3305" t="s">
        <v>99</v>
      </c>
      <c r="C3305" t="s">
        <v>689</v>
      </c>
      <c r="D3305" t="s">
        <v>101</v>
      </c>
      <c r="E3305" t="s">
        <v>3450</v>
      </c>
      <c r="H3305" t="s">
        <v>104</v>
      </c>
      <c r="I3305">
        <v>2020</v>
      </c>
      <c r="K3305" t="s">
        <v>106</v>
      </c>
      <c r="L3305" t="s">
        <v>3455</v>
      </c>
      <c r="M3305" t="s">
        <v>3485</v>
      </c>
      <c r="N3305">
        <v>1</v>
      </c>
      <c r="O3305">
        <v>2020</v>
      </c>
      <c r="R3305" t="s">
        <v>391</v>
      </c>
      <c r="S3305">
        <v>100</v>
      </c>
      <c r="V3305">
        <v>1</v>
      </c>
      <c r="W3305">
        <v>20</v>
      </c>
      <c r="X3305">
        <v>20</v>
      </c>
      <c r="Y3305">
        <v>20</v>
      </c>
      <c r="Z3305">
        <v>1</v>
      </c>
      <c r="AA3305">
        <v>1</v>
      </c>
    </row>
    <row r="3306" spans="1:27" x14ac:dyDescent="0.25">
      <c r="A3306" t="s">
        <v>98</v>
      </c>
      <c r="B3306" t="s">
        <v>519</v>
      </c>
      <c r="C3306" t="s">
        <v>689</v>
      </c>
      <c r="D3306" t="s">
        <v>101</v>
      </c>
      <c r="E3306" t="s">
        <v>3450</v>
      </c>
      <c r="H3306" t="s">
        <v>104</v>
      </c>
      <c r="I3306">
        <v>2020</v>
      </c>
      <c r="K3306" t="s">
        <v>106</v>
      </c>
      <c r="L3306" t="s">
        <v>3457</v>
      </c>
      <c r="M3306" t="s">
        <v>3486</v>
      </c>
      <c r="N3306">
        <v>1</v>
      </c>
      <c r="O3306">
        <v>2020</v>
      </c>
      <c r="R3306" t="s">
        <v>391</v>
      </c>
      <c r="S3306">
        <v>100</v>
      </c>
      <c r="V3306">
        <v>1</v>
      </c>
      <c r="W3306">
        <v>20</v>
      </c>
      <c r="X3306">
        <v>20</v>
      </c>
      <c r="Y3306">
        <v>20</v>
      </c>
      <c r="Z3306">
        <v>1</v>
      </c>
      <c r="AA3306">
        <v>1</v>
      </c>
    </row>
    <row r="3307" spans="1:27" x14ac:dyDescent="0.25">
      <c r="A3307" t="s">
        <v>98</v>
      </c>
      <c r="B3307" t="s">
        <v>99</v>
      </c>
      <c r="C3307" t="s">
        <v>1028</v>
      </c>
      <c r="D3307" t="s">
        <v>101</v>
      </c>
      <c r="E3307" t="s">
        <v>3450</v>
      </c>
      <c r="H3307" t="s">
        <v>104</v>
      </c>
      <c r="I3307">
        <v>2020</v>
      </c>
      <c r="K3307" t="s">
        <v>106</v>
      </c>
      <c r="L3307" t="s">
        <v>3459</v>
      </c>
      <c r="M3307" t="s">
        <v>3487</v>
      </c>
      <c r="N3307">
        <v>1</v>
      </c>
      <c r="O3307">
        <v>2020</v>
      </c>
      <c r="R3307" t="s">
        <v>391</v>
      </c>
      <c r="S3307">
        <v>100</v>
      </c>
      <c r="V3307">
        <v>1</v>
      </c>
      <c r="W3307">
        <v>20</v>
      </c>
      <c r="X3307">
        <v>20</v>
      </c>
      <c r="Y3307">
        <v>20</v>
      </c>
      <c r="Z3307">
        <v>1</v>
      </c>
      <c r="AA3307">
        <v>1</v>
      </c>
    </row>
    <row r="3308" spans="1:27" x14ac:dyDescent="0.25">
      <c r="A3308" t="s">
        <v>98</v>
      </c>
      <c r="B3308" t="s">
        <v>519</v>
      </c>
      <c r="C3308" t="s">
        <v>1028</v>
      </c>
      <c r="D3308" t="s">
        <v>101</v>
      </c>
      <c r="E3308" t="s">
        <v>3450</v>
      </c>
      <c r="H3308" t="s">
        <v>104</v>
      </c>
      <c r="I3308">
        <v>2020</v>
      </c>
      <c r="K3308" t="s">
        <v>106</v>
      </c>
      <c r="L3308" t="s">
        <v>3461</v>
      </c>
      <c r="M3308" t="s">
        <v>3488</v>
      </c>
      <c r="N3308">
        <v>1</v>
      </c>
      <c r="O3308">
        <v>2020</v>
      </c>
      <c r="R3308" t="s">
        <v>391</v>
      </c>
      <c r="S3308">
        <v>100</v>
      </c>
      <c r="V3308">
        <v>1</v>
      </c>
      <c r="W3308">
        <v>20</v>
      </c>
      <c r="X3308">
        <v>20</v>
      </c>
      <c r="Y3308">
        <v>20</v>
      </c>
      <c r="Z3308">
        <v>1</v>
      </c>
      <c r="AA3308">
        <v>1</v>
      </c>
    </row>
    <row r="3309" spans="1:27" x14ac:dyDescent="0.25">
      <c r="A3309" t="s">
        <v>98</v>
      </c>
      <c r="B3309" t="s">
        <v>99</v>
      </c>
      <c r="C3309" t="s">
        <v>1367</v>
      </c>
      <c r="D3309" t="s">
        <v>101</v>
      </c>
      <c r="E3309" t="s">
        <v>3450</v>
      </c>
      <c r="H3309" t="s">
        <v>104</v>
      </c>
      <c r="I3309">
        <v>2020</v>
      </c>
      <c r="K3309" t="s">
        <v>106</v>
      </c>
      <c r="L3309" t="s">
        <v>3463</v>
      </c>
      <c r="M3309" t="s">
        <v>3489</v>
      </c>
      <c r="N3309">
        <v>1</v>
      </c>
      <c r="O3309">
        <v>2020</v>
      </c>
      <c r="R3309" t="s">
        <v>391</v>
      </c>
      <c r="S3309">
        <v>100</v>
      </c>
      <c r="V3309">
        <v>1</v>
      </c>
      <c r="W3309">
        <v>20</v>
      </c>
      <c r="X3309">
        <v>20</v>
      </c>
      <c r="Y3309">
        <v>20</v>
      </c>
      <c r="Z3309">
        <v>1</v>
      </c>
      <c r="AA3309">
        <v>1</v>
      </c>
    </row>
    <row r="3310" spans="1:27" x14ac:dyDescent="0.25">
      <c r="A3310" t="s">
        <v>98</v>
      </c>
      <c r="B3310" t="s">
        <v>519</v>
      </c>
      <c r="C3310" t="s">
        <v>1367</v>
      </c>
      <c r="D3310" t="s">
        <v>101</v>
      </c>
      <c r="E3310" t="s">
        <v>3450</v>
      </c>
      <c r="H3310" t="s">
        <v>104</v>
      </c>
      <c r="I3310">
        <v>2020</v>
      </c>
      <c r="K3310" t="s">
        <v>106</v>
      </c>
      <c r="L3310" t="s">
        <v>3465</v>
      </c>
      <c r="M3310" t="s">
        <v>3490</v>
      </c>
      <c r="N3310">
        <v>1</v>
      </c>
      <c r="O3310">
        <v>2020</v>
      </c>
      <c r="R3310" t="s">
        <v>391</v>
      </c>
      <c r="S3310">
        <v>100</v>
      </c>
      <c r="V3310">
        <v>1</v>
      </c>
      <c r="W3310">
        <v>20</v>
      </c>
      <c r="X3310">
        <v>20</v>
      </c>
      <c r="Y3310">
        <v>20</v>
      </c>
      <c r="Z3310">
        <v>1</v>
      </c>
      <c r="AA3310">
        <v>1</v>
      </c>
    </row>
    <row r="3311" spans="1:27" x14ac:dyDescent="0.25">
      <c r="A3311" t="s">
        <v>98</v>
      </c>
      <c r="B3311" t="s">
        <v>99</v>
      </c>
      <c r="C3311" t="s">
        <v>100</v>
      </c>
      <c r="D3311" t="s">
        <v>1707</v>
      </c>
      <c r="E3311" t="s">
        <v>3450</v>
      </c>
      <c r="H3311" t="s">
        <v>104</v>
      </c>
      <c r="I3311">
        <v>2020</v>
      </c>
      <c r="K3311" t="s">
        <v>106</v>
      </c>
      <c r="L3311" t="s">
        <v>3467</v>
      </c>
      <c r="M3311" t="s">
        <v>3491</v>
      </c>
      <c r="N3311">
        <v>1</v>
      </c>
      <c r="O3311">
        <v>2020</v>
      </c>
      <c r="R3311" t="s">
        <v>391</v>
      </c>
      <c r="S3311">
        <v>100</v>
      </c>
      <c r="V3311">
        <v>1</v>
      </c>
      <c r="W3311">
        <v>20</v>
      </c>
      <c r="X3311">
        <v>20</v>
      </c>
      <c r="Y3311">
        <v>20</v>
      </c>
      <c r="Z3311">
        <v>1</v>
      </c>
      <c r="AA3311">
        <v>1</v>
      </c>
    </row>
    <row r="3312" spans="1:27" x14ac:dyDescent="0.25">
      <c r="A3312" t="s">
        <v>98</v>
      </c>
      <c r="B3312" t="s">
        <v>519</v>
      </c>
      <c r="C3312" t="s">
        <v>100</v>
      </c>
      <c r="D3312" t="s">
        <v>1707</v>
      </c>
      <c r="E3312" t="s">
        <v>3450</v>
      </c>
      <c r="H3312" t="s">
        <v>104</v>
      </c>
      <c r="I3312">
        <v>2020</v>
      </c>
      <c r="K3312" t="s">
        <v>106</v>
      </c>
      <c r="L3312" t="s">
        <v>3469</v>
      </c>
      <c r="M3312" t="s">
        <v>3492</v>
      </c>
      <c r="N3312">
        <v>1</v>
      </c>
      <c r="O3312">
        <v>2020</v>
      </c>
      <c r="R3312" t="s">
        <v>391</v>
      </c>
      <c r="S3312">
        <v>100</v>
      </c>
      <c r="V3312">
        <v>1</v>
      </c>
      <c r="W3312">
        <v>20</v>
      </c>
      <c r="X3312">
        <v>20</v>
      </c>
      <c r="Y3312">
        <v>20</v>
      </c>
      <c r="Z3312">
        <v>1</v>
      </c>
      <c r="AA3312">
        <v>1</v>
      </c>
    </row>
    <row r="3313" spans="1:27" x14ac:dyDescent="0.25">
      <c r="A3313" t="s">
        <v>98</v>
      </c>
      <c r="B3313" t="s">
        <v>99</v>
      </c>
      <c r="C3313" t="s">
        <v>689</v>
      </c>
      <c r="D3313" t="s">
        <v>1707</v>
      </c>
      <c r="E3313" t="s">
        <v>3450</v>
      </c>
      <c r="H3313" t="s">
        <v>104</v>
      </c>
      <c r="I3313">
        <v>2020</v>
      </c>
      <c r="K3313" t="s">
        <v>106</v>
      </c>
      <c r="L3313" t="s">
        <v>3471</v>
      </c>
      <c r="M3313" t="s">
        <v>3493</v>
      </c>
      <c r="N3313">
        <v>1</v>
      </c>
      <c r="O3313">
        <v>2020</v>
      </c>
      <c r="R3313" t="s">
        <v>391</v>
      </c>
      <c r="S3313">
        <v>100</v>
      </c>
      <c r="V3313">
        <v>1</v>
      </c>
      <c r="W3313">
        <v>20</v>
      </c>
      <c r="X3313">
        <v>20</v>
      </c>
      <c r="Y3313">
        <v>20</v>
      </c>
      <c r="Z3313">
        <v>1</v>
      </c>
      <c r="AA3313">
        <v>1</v>
      </c>
    </row>
    <row r="3314" spans="1:27" x14ac:dyDescent="0.25">
      <c r="A3314" t="s">
        <v>98</v>
      </c>
      <c r="B3314" t="s">
        <v>519</v>
      </c>
      <c r="C3314" t="s">
        <v>689</v>
      </c>
      <c r="D3314" t="s">
        <v>1707</v>
      </c>
      <c r="E3314" t="s">
        <v>3450</v>
      </c>
      <c r="H3314" t="s">
        <v>104</v>
      </c>
      <c r="I3314">
        <v>2020</v>
      </c>
      <c r="K3314" t="s">
        <v>106</v>
      </c>
      <c r="L3314" t="s">
        <v>3473</v>
      </c>
      <c r="M3314" t="s">
        <v>3494</v>
      </c>
      <c r="N3314">
        <v>1</v>
      </c>
      <c r="O3314">
        <v>2020</v>
      </c>
      <c r="R3314" t="s">
        <v>391</v>
      </c>
      <c r="S3314">
        <v>100</v>
      </c>
      <c r="V3314">
        <v>1</v>
      </c>
      <c r="W3314">
        <v>20</v>
      </c>
      <c r="X3314">
        <v>20</v>
      </c>
      <c r="Y3314">
        <v>20</v>
      </c>
      <c r="Z3314">
        <v>1</v>
      </c>
      <c r="AA3314">
        <v>1</v>
      </c>
    </row>
    <row r="3315" spans="1:27" x14ac:dyDescent="0.25">
      <c r="A3315" t="s">
        <v>98</v>
      </c>
      <c r="B3315" t="s">
        <v>99</v>
      </c>
      <c r="C3315" t="s">
        <v>1028</v>
      </c>
      <c r="D3315" t="s">
        <v>1707</v>
      </c>
      <c r="E3315" t="s">
        <v>3450</v>
      </c>
      <c r="H3315" t="s">
        <v>104</v>
      </c>
      <c r="I3315">
        <v>2020</v>
      </c>
      <c r="K3315" t="s">
        <v>106</v>
      </c>
      <c r="L3315" t="s">
        <v>3475</v>
      </c>
      <c r="M3315" t="s">
        <v>3495</v>
      </c>
      <c r="N3315">
        <v>1</v>
      </c>
      <c r="O3315">
        <v>2020</v>
      </c>
      <c r="R3315" t="s">
        <v>391</v>
      </c>
      <c r="S3315">
        <v>100</v>
      </c>
      <c r="V3315">
        <v>1</v>
      </c>
      <c r="W3315">
        <v>20</v>
      </c>
      <c r="X3315">
        <v>20</v>
      </c>
      <c r="Y3315">
        <v>20</v>
      </c>
      <c r="Z3315">
        <v>1</v>
      </c>
      <c r="AA3315">
        <v>1</v>
      </c>
    </row>
    <row r="3316" spans="1:27" x14ac:dyDescent="0.25">
      <c r="A3316" t="s">
        <v>98</v>
      </c>
      <c r="B3316" t="s">
        <v>519</v>
      </c>
      <c r="C3316" t="s">
        <v>1028</v>
      </c>
      <c r="D3316" t="s">
        <v>1707</v>
      </c>
      <c r="E3316" t="s">
        <v>3450</v>
      </c>
      <c r="H3316" t="s">
        <v>104</v>
      </c>
      <c r="I3316">
        <v>2020</v>
      </c>
      <c r="K3316" t="s">
        <v>106</v>
      </c>
      <c r="L3316" t="s">
        <v>3477</v>
      </c>
      <c r="M3316" t="s">
        <v>3496</v>
      </c>
      <c r="N3316">
        <v>1</v>
      </c>
      <c r="O3316">
        <v>2020</v>
      </c>
      <c r="R3316" t="s">
        <v>391</v>
      </c>
      <c r="S3316">
        <v>100</v>
      </c>
      <c r="V3316">
        <v>1</v>
      </c>
      <c r="W3316">
        <v>20</v>
      </c>
      <c r="X3316">
        <v>20</v>
      </c>
      <c r="Y3316">
        <v>20</v>
      </c>
      <c r="Z3316">
        <v>1</v>
      </c>
      <c r="AA3316">
        <v>1</v>
      </c>
    </row>
    <row r="3317" spans="1:27" x14ac:dyDescent="0.25">
      <c r="A3317" t="s">
        <v>98</v>
      </c>
      <c r="B3317" t="s">
        <v>99</v>
      </c>
      <c r="C3317" t="s">
        <v>1367</v>
      </c>
      <c r="D3317" t="s">
        <v>1707</v>
      </c>
      <c r="E3317" t="s">
        <v>3450</v>
      </c>
      <c r="H3317" t="s">
        <v>104</v>
      </c>
      <c r="I3317">
        <v>2020</v>
      </c>
      <c r="K3317" t="s">
        <v>106</v>
      </c>
      <c r="L3317" t="s">
        <v>3479</v>
      </c>
      <c r="M3317" t="s">
        <v>3497</v>
      </c>
      <c r="N3317">
        <v>1</v>
      </c>
      <c r="O3317">
        <v>2020</v>
      </c>
      <c r="R3317" t="s">
        <v>391</v>
      </c>
      <c r="S3317">
        <v>100</v>
      </c>
      <c r="V3317">
        <v>1</v>
      </c>
      <c r="W3317">
        <v>20</v>
      </c>
      <c r="X3317">
        <v>20</v>
      </c>
      <c r="Y3317">
        <v>20</v>
      </c>
      <c r="Z3317">
        <v>1</v>
      </c>
      <c r="AA3317">
        <v>1</v>
      </c>
    </row>
    <row r="3318" spans="1:27" x14ac:dyDescent="0.25">
      <c r="A3318" t="s">
        <v>98</v>
      </c>
      <c r="B3318" t="s">
        <v>519</v>
      </c>
      <c r="C3318" t="s">
        <v>1367</v>
      </c>
      <c r="D3318" t="s">
        <v>1707</v>
      </c>
      <c r="E3318" t="s">
        <v>3450</v>
      </c>
      <c r="H3318" t="s">
        <v>104</v>
      </c>
      <c r="I3318">
        <v>2020</v>
      </c>
      <c r="K3318" t="s">
        <v>106</v>
      </c>
      <c r="L3318" t="s">
        <v>3481</v>
      </c>
      <c r="M3318" t="s">
        <v>3498</v>
      </c>
      <c r="N3318">
        <v>1</v>
      </c>
      <c r="O3318">
        <v>2020</v>
      </c>
      <c r="R3318" t="s">
        <v>391</v>
      </c>
      <c r="S3318">
        <v>100</v>
      </c>
      <c r="V3318">
        <v>1</v>
      </c>
      <c r="W3318">
        <v>20</v>
      </c>
      <c r="X3318">
        <v>20</v>
      </c>
      <c r="Y3318">
        <v>20</v>
      </c>
      <c r="Z3318">
        <v>1</v>
      </c>
      <c r="AA331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018"/>
  <sheetViews>
    <sheetView tabSelected="1" zoomScale="70" zoomScaleNormal="70" workbookViewId="0">
      <selection activeCell="F21" sqref="F21"/>
    </sheetView>
  </sheetViews>
  <sheetFormatPr defaultRowHeight="15" x14ac:dyDescent="0.25"/>
  <cols>
    <col min="2" max="2" width="20.5703125" customWidth="1"/>
    <col min="3" max="3" width="32.140625" bestFit="1" customWidth="1"/>
    <col min="4" max="6" width="20.5703125" customWidth="1"/>
    <col min="7" max="7" width="6.7109375" customWidth="1"/>
    <col min="8" max="8" width="5.85546875" bestFit="1" customWidth="1"/>
  </cols>
  <sheetData>
    <row r="2" spans="2:8" x14ac:dyDescent="0.25">
      <c r="B2" s="1" t="s">
        <v>3499</v>
      </c>
    </row>
    <row r="3" spans="2:8" x14ac:dyDescent="0.25">
      <c r="B3" s="2" t="s">
        <v>3500</v>
      </c>
      <c r="C3" s="2" t="s">
        <v>3501</v>
      </c>
      <c r="D3" s="2" t="s">
        <v>3502</v>
      </c>
      <c r="E3" s="2" t="s">
        <v>3503</v>
      </c>
      <c r="F3" s="2" t="s">
        <v>3504</v>
      </c>
      <c r="G3" s="2" t="s">
        <v>3505</v>
      </c>
      <c r="H3" s="2" t="s">
        <v>3506</v>
      </c>
    </row>
    <row r="4" spans="2:8" ht="15" customHeight="1" thickBot="1" x14ac:dyDescent="0.3">
      <c r="B4" s="3" t="s">
        <v>1706</v>
      </c>
      <c r="C4" s="3"/>
      <c r="D4" s="3"/>
      <c r="E4" s="3"/>
      <c r="F4" s="3"/>
      <c r="G4" s="3"/>
      <c r="H4" s="3"/>
    </row>
    <row r="5" spans="2:8" x14ac:dyDescent="0.25">
      <c r="C5" t="str">
        <f>'RES TECH'!M3</f>
        <v>RESAPALOOldWH1NGA20</v>
      </c>
      <c r="G5" s="4">
        <f>IF(SUMIFS('RES TECH'!N:N,'RES TECH'!M:M,C5)&gt;0,1,0)</f>
        <v>1</v>
      </c>
      <c r="H5" s="4">
        <f t="shared" ref="H5:H68" si="0">IF(C5="","",IF(C5="*","*",0))</f>
        <v>0</v>
      </c>
    </row>
    <row r="6" spans="2:8" x14ac:dyDescent="0.25">
      <c r="C6" t="str">
        <f>'RES TECH'!M4</f>
        <v>RESAPALOOldWH2NGA20</v>
      </c>
      <c r="G6" s="4">
        <f>IF(SUMIFS('RES TECH'!N:N,'RES TECH'!M:M,C6)&gt;0,1,0)</f>
        <v>1</v>
      </c>
      <c r="H6" s="4">
        <f t="shared" si="0"/>
        <v>0</v>
      </c>
    </row>
    <row r="7" spans="2:8" x14ac:dyDescent="0.25">
      <c r="C7" t="str">
        <f>'RES TECH'!M5</f>
        <v>RESAPALOOldWH3NGA20</v>
      </c>
      <c r="G7" s="4">
        <f>IF(SUMIFS('RES TECH'!N:N,'RES TECH'!M:M,C7)&gt;0,1,0)</f>
        <v>1</v>
      </c>
      <c r="H7" s="4">
        <f t="shared" si="0"/>
        <v>0</v>
      </c>
    </row>
    <row r="8" spans="2:8" x14ac:dyDescent="0.25">
      <c r="C8" t="str">
        <f>'RES TECH'!M6</f>
        <v>RESAPALOOldWH3NGA23</v>
      </c>
      <c r="G8" s="4">
        <f>IF(SUMIFS('RES TECH'!N:N,'RES TECH'!M:M,C8)&gt;0,1,0)</f>
        <v>1</v>
      </c>
      <c r="H8" s="4">
        <f t="shared" si="0"/>
        <v>0</v>
      </c>
    </row>
    <row r="9" spans="2:8" x14ac:dyDescent="0.25">
      <c r="C9" t="str">
        <f>'RES TECH'!M7</f>
        <v>RESAPALOOldWH4NGA20</v>
      </c>
      <c r="G9" s="4">
        <f>IF(SUMIFS('RES TECH'!N:N,'RES TECH'!M:M,C9)&gt;0,1,0)</f>
        <v>1</v>
      </c>
      <c r="H9" s="4">
        <f t="shared" si="0"/>
        <v>0</v>
      </c>
    </row>
    <row r="10" spans="2:8" x14ac:dyDescent="0.25">
      <c r="C10" t="str">
        <f>'RES TECH'!M8</f>
        <v>RESAPALOOldWH4NGA20</v>
      </c>
      <c r="G10" s="4">
        <f>IF(SUMIFS('RES TECH'!N:N,'RES TECH'!M:M,C10)&gt;0,1,0)</f>
        <v>1</v>
      </c>
      <c r="H10" s="4">
        <f t="shared" si="0"/>
        <v>0</v>
      </c>
    </row>
    <row r="11" spans="2:8" x14ac:dyDescent="0.25">
      <c r="C11" t="str">
        <f>'RES TECH'!M9</f>
        <v>RESAPALOOldWH4NGA22</v>
      </c>
      <c r="G11" s="4">
        <f>IF(SUMIFS('RES TECH'!N:N,'RES TECH'!M:M,C11)&gt;0,1,0)</f>
        <v>1</v>
      </c>
      <c r="H11" s="4">
        <f t="shared" si="0"/>
        <v>0</v>
      </c>
    </row>
    <row r="12" spans="2:8" x14ac:dyDescent="0.25">
      <c r="C12" t="str">
        <f>'RES TECH'!M10</f>
        <v>RESAPALOOldWH1ELC20</v>
      </c>
      <c r="G12" s="4">
        <f>IF(SUMIFS('RES TECH'!N:N,'RES TECH'!M:M,C12)&gt;0,1,0)</f>
        <v>1</v>
      </c>
      <c r="H12" s="4">
        <f t="shared" si="0"/>
        <v>0</v>
      </c>
    </row>
    <row r="13" spans="2:8" x14ac:dyDescent="0.25">
      <c r="C13" t="str">
        <f>'RES TECH'!M11</f>
        <v>RESAPALOOldWH2ELC20</v>
      </c>
      <c r="G13" s="4">
        <f>IF(SUMIFS('RES TECH'!N:N,'RES TECH'!M:M,C13)&gt;0,1,0)</f>
        <v>1</v>
      </c>
      <c r="H13" s="4">
        <f t="shared" si="0"/>
        <v>0</v>
      </c>
    </row>
    <row r="14" spans="2:8" x14ac:dyDescent="0.25">
      <c r="C14" t="str">
        <f>'RES TECH'!M12</f>
        <v>RESAPALOOldWH4ELC20</v>
      </c>
      <c r="G14" s="4">
        <f>IF(SUMIFS('RES TECH'!N:N,'RES TECH'!M:M,C14)&gt;0,1,0)</f>
        <v>1</v>
      </c>
      <c r="H14" s="4">
        <f t="shared" si="0"/>
        <v>0</v>
      </c>
    </row>
    <row r="15" spans="2:8" x14ac:dyDescent="0.25">
      <c r="C15" t="str">
        <f>'RES TECH'!M13</f>
        <v>RESAPALOOldWH5ELC20</v>
      </c>
      <c r="G15" s="4">
        <f>IF(SUMIFS('RES TECH'!N:N,'RES TECH'!M:M,C15)&gt;0,1,0)</f>
        <v>1</v>
      </c>
      <c r="H15" s="4">
        <f t="shared" si="0"/>
        <v>0</v>
      </c>
    </row>
    <row r="16" spans="2:8" x14ac:dyDescent="0.25">
      <c r="C16" t="str">
        <f>'RES TECH'!M14</f>
        <v>RESAPALOOldWH5ELC22</v>
      </c>
      <c r="G16" s="4">
        <f>IF(SUMIFS('RES TECH'!N:N,'RES TECH'!M:M,C16)&gt;0,1,0)</f>
        <v>1</v>
      </c>
      <c r="H16" s="4">
        <f t="shared" si="0"/>
        <v>0</v>
      </c>
    </row>
    <row r="17" spans="3:8" x14ac:dyDescent="0.25">
      <c r="C17" t="str">
        <f>'RES TECH'!M15</f>
        <v>RESAPALOOldWH6ELC20</v>
      </c>
      <c r="G17" s="4">
        <f>IF(SUMIFS('RES TECH'!N:N,'RES TECH'!M:M,C17)&gt;0,1,0)</f>
        <v>1</v>
      </c>
      <c r="H17" s="4">
        <f t="shared" si="0"/>
        <v>0</v>
      </c>
    </row>
    <row r="18" spans="3:8" x14ac:dyDescent="0.25">
      <c r="C18" t="str">
        <f>'RES TECH'!M16</f>
        <v>RESAPALOOldWH6ELC22</v>
      </c>
      <c r="G18" s="4">
        <f>IF(SUMIFS('RES TECH'!N:N,'RES TECH'!M:M,C18)&gt;0,1,0)</f>
        <v>1</v>
      </c>
      <c r="H18" s="4">
        <f t="shared" si="0"/>
        <v>0</v>
      </c>
    </row>
    <row r="19" spans="3:8" x14ac:dyDescent="0.25">
      <c r="C19" t="str">
        <f>'RES TECH'!M17</f>
        <v>RESAPALOOldWH7ELC20</v>
      </c>
      <c r="G19" s="4">
        <f>IF(SUMIFS('RES TECH'!N:N,'RES TECH'!M:M,C19)&gt;0,1,0)</f>
        <v>1</v>
      </c>
      <c r="H19" s="4">
        <f t="shared" si="0"/>
        <v>0</v>
      </c>
    </row>
    <row r="20" spans="3:8" x14ac:dyDescent="0.25">
      <c r="C20" t="str">
        <f>'RES TECH'!M18</f>
        <v>RESAPALOOldWH7ELC22</v>
      </c>
      <c r="G20" s="4">
        <f>IF(SUMIFS('RES TECH'!N:N,'RES TECH'!M:M,C20)&gt;0,1,0)</f>
        <v>1</v>
      </c>
      <c r="H20" s="4">
        <f t="shared" si="0"/>
        <v>0</v>
      </c>
    </row>
    <row r="21" spans="3:8" x14ac:dyDescent="0.25">
      <c r="C21" t="str">
        <f>'RES TECH'!M19</f>
        <v>RESAPALOOldWH1FOI20</v>
      </c>
      <c r="G21" s="4">
        <f>IF(SUMIFS('RES TECH'!N:N,'RES TECH'!M:M,C21)&gt;0,1,0)</f>
        <v>1</v>
      </c>
      <c r="H21" s="4">
        <f t="shared" si="0"/>
        <v>0</v>
      </c>
    </row>
    <row r="22" spans="3:8" x14ac:dyDescent="0.25">
      <c r="C22" t="str">
        <f>'RES TECH'!M20</f>
        <v>RESAPALOOldWH2FOI20</v>
      </c>
      <c r="G22" s="4">
        <f>IF(SUMIFS('RES TECH'!N:N,'RES TECH'!M:M,C22)&gt;0,1,0)</f>
        <v>1</v>
      </c>
      <c r="H22" s="4">
        <f t="shared" si="0"/>
        <v>0</v>
      </c>
    </row>
    <row r="23" spans="3:8" x14ac:dyDescent="0.25">
      <c r="C23" t="str">
        <f>'RES TECH'!M21</f>
        <v>RESAPALOOldWH4FOI20</v>
      </c>
      <c r="G23" s="4">
        <f>IF(SUMIFS('RES TECH'!N:N,'RES TECH'!M:M,C23)&gt;0,1,0)</f>
        <v>1</v>
      </c>
      <c r="H23" s="4">
        <f t="shared" si="0"/>
        <v>0</v>
      </c>
    </row>
    <row r="24" spans="3:8" x14ac:dyDescent="0.25">
      <c r="C24" t="str">
        <f>'RES TECH'!M22</f>
        <v>RESAPALOOldWH1LPG20</v>
      </c>
      <c r="G24" s="4">
        <f>IF(SUMIFS('RES TECH'!N:N,'RES TECH'!M:M,C24)&gt;0,1,0)</f>
        <v>1</v>
      </c>
      <c r="H24" s="4">
        <f t="shared" si="0"/>
        <v>0</v>
      </c>
    </row>
    <row r="25" spans="3:8" x14ac:dyDescent="0.25">
      <c r="C25" t="str">
        <f>'RES TECH'!M23</f>
        <v>RESAPALOOldWH2LPG20</v>
      </c>
      <c r="G25" s="4">
        <f>IF(SUMIFS('RES TECH'!N:N,'RES TECH'!M:M,C25)&gt;0,1,0)</f>
        <v>1</v>
      </c>
      <c r="H25" s="4">
        <f t="shared" si="0"/>
        <v>0</v>
      </c>
    </row>
    <row r="26" spans="3:8" x14ac:dyDescent="0.25">
      <c r="C26" t="str">
        <f>'RES TECH'!M24</f>
        <v>RESAPALOOldWH3LPG20</v>
      </c>
      <c r="G26" s="4">
        <f>IF(SUMIFS('RES TECH'!N:N,'RES TECH'!M:M,C26)&gt;0,1,0)</f>
        <v>1</v>
      </c>
      <c r="H26" s="4">
        <f t="shared" si="0"/>
        <v>0</v>
      </c>
    </row>
    <row r="27" spans="3:8" x14ac:dyDescent="0.25">
      <c r="C27" t="str">
        <f>'RES TECH'!M25</f>
        <v>RESAPALOOldWH3LPG23</v>
      </c>
      <c r="G27" s="4">
        <f>IF(SUMIFS('RES TECH'!N:N,'RES TECH'!M:M,C27)&gt;0,1,0)</f>
        <v>1</v>
      </c>
      <c r="H27" s="4">
        <f t="shared" si="0"/>
        <v>0</v>
      </c>
    </row>
    <row r="28" spans="3:8" x14ac:dyDescent="0.25">
      <c r="C28" t="str">
        <f>'RES TECH'!M26</f>
        <v>RESAPALOOldWH4LPG20</v>
      </c>
      <c r="G28" s="4">
        <f>IF(SUMIFS('RES TECH'!N:N,'RES TECH'!M:M,C28)&gt;0,1,0)</f>
        <v>1</v>
      </c>
      <c r="H28" s="4">
        <f t="shared" si="0"/>
        <v>0</v>
      </c>
    </row>
    <row r="29" spans="3:8" x14ac:dyDescent="0.25">
      <c r="C29" t="str">
        <f>'RES TECH'!M27</f>
        <v>RESAPALOOldWH4LPG20</v>
      </c>
      <c r="G29" s="4">
        <f>IF(SUMIFS('RES TECH'!N:N,'RES TECH'!M:M,C29)&gt;0,1,0)</f>
        <v>1</v>
      </c>
      <c r="H29" s="4">
        <f t="shared" si="0"/>
        <v>0</v>
      </c>
    </row>
    <row r="30" spans="3:8" x14ac:dyDescent="0.25">
      <c r="C30" t="str">
        <f>'RES TECH'!M28</f>
        <v>RESAPALOOldWH2SOL20</v>
      </c>
      <c r="G30" s="4">
        <f>IF(SUMIFS('RES TECH'!N:N,'RES TECH'!M:M,C30)&gt;0,1,0)</f>
        <v>1</v>
      </c>
      <c r="H30" s="4">
        <f t="shared" si="0"/>
        <v>0</v>
      </c>
    </row>
    <row r="31" spans="3:8" x14ac:dyDescent="0.25">
      <c r="C31" t="str">
        <f>'RES TECH'!M29</f>
        <v>RESAPALOOldWH2SOL20</v>
      </c>
      <c r="G31" s="4">
        <f>IF(SUMIFS('RES TECH'!N:N,'RES TECH'!M:M,C31)&gt;0,1,0)</f>
        <v>1</v>
      </c>
      <c r="H31" s="4">
        <f t="shared" si="0"/>
        <v>0</v>
      </c>
    </row>
    <row r="32" spans="3:8" x14ac:dyDescent="0.25">
      <c r="C32" t="str">
        <f>'RES TECH'!M30</f>
        <v>RESAPALOOldWH2SOL23</v>
      </c>
      <c r="G32" s="4">
        <f>IF(SUMIFS('RES TECH'!N:N,'RES TECH'!M:M,C32)&gt;0,1,0)</f>
        <v>1</v>
      </c>
      <c r="H32" s="4">
        <f t="shared" si="0"/>
        <v>0</v>
      </c>
    </row>
    <row r="33" spans="3:8" x14ac:dyDescent="0.25">
      <c r="C33" t="str">
        <f>'RES TECH'!M31</f>
        <v>RESAPALOOldWH2SOL24</v>
      </c>
      <c r="G33" s="4">
        <f>IF(SUMIFS('RES TECH'!N:N,'RES TECH'!M:M,C33)&gt;0,1,0)</f>
        <v>1</v>
      </c>
      <c r="H33" s="4">
        <f t="shared" si="0"/>
        <v>0</v>
      </c>
    </row>
    <row r="34" spans="3:8" x14ac:dyDescent="0.25">
      <c r="C34" t="str">
        <f>'RES TECH'!M32</f>
        <v>RESAPALOOldSHAHP1ELC20</v>
      </c>
      <c r="G34" s="4">
        <f>IF(SUMIFS('RES TECH'!N:N,'RES TECH'!M:M,C34)&gt;0,1,0)</f>
        <v>1</v>
      </c>
      <c r="H34" s="4">
        <f t="shared" si="0"/>
        <v>0</v>
      </c>
    </row>
    <row r="35" spans="3:8" x14ac:dyDescent="0.25">
      <c r="C35" t="str">
        <f>'RES TECH'!M33</f>
        <v>RESAPALOOldSHAHP1ELC23</v>
      </c>
      <c r="G35" s="4">
        <f>IF(SUMIFS('RES TECH'!N:N,'RES TECH'!M:M,C35)&gt;0,1,0)</f>
        <v>1</v>
      </c>
      <c r="H35" s="4">
        <f t="shared" si="0"/>
        <v>0</v>
      </c>
    </row>
    <row r="36" spans="3:8" x14ac:dyDescent="0.25">
      <c r="C36" t="str">
        <f>'RES TECH'!M34</f>
        <v>RESAPALOOldSHAHP2ELC20</v>
      </c>
      <c r="G36" s="4">
        <f>IF(SUMIFS('RES TECH'!N:N,'RES TECH'!M:M,C36)&gt;0,1,0)</f>
        <v>1</v>
      </c>
      <c r="H36" s="4">
        <f t="shared" si="0"/>
        <v>0</v>
      </c>
    </row>
    <row r="37" spans="3:8" x14ac:dyDescent="0.25">
      <c r="C37" t="str">
        <f>'RES TECH'!M35</f>
        <v>RESAPALOOldSHAHP2ELC23</v>
      </c>
      <c r="G37" s="4">
        <f>IF(SUMIFS('RES TECH'!N:N,'RES TECH'!M:M,C37)&gt;0,1,0)</f>
        <v>1</v>
      </c>
      <c r="H37" s="4">
        <f t="shared" si="0"/>
        <v>0</v>
      </c>
    </row>
    <row r="38" spans="3:8" x14ac:dyDescent="0.25">
      <c r="C38" t="str">
        <f>'RES TECH'!M36</f>
        <v>RESAPALOOldSHAHP3ELC20</v>
      </c>
      <c r="G38" s="4">
        <f>IF(SUMIFS('RES TECH'!N:N,'RES TECH'!M:M,C38)&gt;0,1,0)</f>
        <v>1</v>
      </c>
      <c r="H38" s="4">
        <f t="shared" si="0"/>
        <v>0</v>
      </c>
    </row>
    <row r="39" spans="3:8" x14ac:dyDescent="0.25">
      <c r="C39" t="str">
        <f>'RES TECH'!M37</f>
        <v>RESAPALOOldSHAHP3ELC22</v>
      </c>
      <c r="G39" s="4">
        <f>IF(SUMIFS('RES TECH'!N:N,'RES TECH'!M:M,C39)&gt;0,1,0)</f>
        <v>1</v>
      </c>
      <c r="H39" s="4">
        <f t="shared" si="0"/>
        <v>0</v>
      </c>
    </row>
    <row r="40" spans="3:8" x14ac:dyDescent="0.25">
      <c r="C40" t="str">
        <f>'RES TECH'!M38</f>
        <v>RESAPALOOldSHAHP3ELC23</v>
      </c>
      <c r="G40" s="4">
        <f>IF(SUMIFS('RES TECH'!N:N,'RES TECH'!M:M,C40)&gt;0,1,0)</f>
        <v>1</v>
      </c>
      <c r="H40" s="4">
        <f t="shared" si="0"/>
        <v>0</v>
      </c>
    </row>
    <row r="41" spans="3:8" x14ac:dyDescent="0.25">
      <c r="C41" t="str">
        <f>'RES TECH'!M39</f>
        <v>RESAPALOOldSHAHP4ELC20</v>
      </c>
      <c r="G41" s="4">
        <f>IF(SUMIFS('RES TECH'!N:N,'RES TECH'!M:M,C41)&gt;0,1,0)</f>
        <v>1</v>
      </c>
      <c r="H41" s="4">
        <f t="shared" si="0"/>
        <v>0</v>
      </c>
    </row>
    <row r="42" spans="3:8" x14ac:dyDescent="0.25">
      <c r="C42" t="str">
        <f>'RES TECH'!M40</f>
        <v>RESAPALOOldSHAHP4ELC22</v>
      </c>
      <c r="G42" s="4">
        <f>IF(SUMIFS('RES TECH'!N:N,'RES TECH'!M:M,C42)&gt;0,1,0)</f>
        <v>1</v>
      </c>
      <c r="H42" s="4">
        <f t="shared" si="0"/>
        <v>0</v>
      </c>
    </row>
    <row r="43" spans="3:8" x14ac:dyDescent="0.25">
      <c r="C43" t="str">
        <f>'RES TECH'!M41</f>
        <v>RESAPALOOldSHGHP1ELC20</v>
      </c>
      <c r="G43" s="4">
        <f>IF(SUMIFS('RES TECH'!N:N,'RES TECH'!M:M,C43)&gt;0,1,0)</f>
        <v>1</v>
      </c>
      <c r="H43" s="4">
        <f t="shared" si="0"/>
        <v>0</v>
      </c>
    </row>
    <row r="44" spans="3:8" x14ac:dyDescent="0.25">
      <c r="C44" t="str">
        <f>'RES TECH'!M42</f>
        <v>RESAPALOOldSHGHP2ELC20</v>
      </c>
      <c r="G44" s="4">
        <f>IF(SUMIFS('RES TECH'!N:N,'RES TECH'!M:M,C44)&gt;0,1,0)</f>
        <v>1</v>
      </c>
      <c r="H44" s="4">
        <f t="shared" si="0"/>
        <v>0</v>
      </c>
    </row>
    <row r="45" spans="3:8" x14ac:dyDescent="0.25">
      <c r="C45" t="str">
        <f>'RES TECH'!M43</f>
        <v>RESAPALOOldSHGHP3ELC20</v>
      </c>
      <c r="G45" s="4">
        <f>IF(SUMIFS('RES TECH'!N:N,'RES TECH'!M:M,C45)&gt;0,1,0)</f>
        <v>1</v>
      </c>
      <c r="H45" s="4">
        <f t="shared" si="0"/>
        <v>0</v>
      </c>
    </row>
    <row r="46" spans="3:8" x14ac:dyDescent="0.25">
      <c r="C46" t="str">
        <f>'RES TECH'!M44</f>
        <v>RESAPALOOldSHGHP3ELC20</v>
      </c>
      <c r="G46" s="4">
        <f>IF(SUMIFS('RES TECH'!N:N,'RES TECH'!M:M,C46)&gt;0,1,0)</f>
        <v>1</v>
      </c>
      <c r="H46" s="4">
        <f t="shared" si="0"/>
        <v>0</v>
      </c>
    </row>
    <row r="47" spans="3:8" x14ac:dyDescent="0.25">
      <c r="C47" t="str">
        <f>'RES TECH'!M45</f>
        <v>RESAPALOOldSHGHP3ELC22</v>
      </c>
      <c r="G47" s="4">
        <f>IF(SUMIFS('RES TECH'!N:N,'RES TECH'!M:M,C47)&gt;0,1,0)</f>
        <v>1</v>
      </c>
      <c r="H47" s="4">
        <f t="shared" si="0"/>
        <v>0</v>
      </c>
    </row>
    <row r="48" spans="3:8" x14ac:dyDescent="0.25">
      <c r="C48" t="str">
        <f>'RES TECH'!M46</f>
        <v>RESAPALOOldSHGHP3ELC23</v>
      </c>
      <c r="G48" s="4">
        <f>IF(SUMIFS('RES TECH'!N:N,'RES TECH'!M:M,C48)&gt;0,1,0)</f>
        <v>1</v>
      </c>
      <c r="H48" s="4">
        <f t="shared" si="0"/>
        <v>0</v>
      </c>
    </row>
    <row r="49" spans="3:8" x14ac:dyDescent="0.25">
      <c r="C49" t="str">
        <f>'RES TECH'!M47</f>
        <v>RESAPALOOldSHGHP3ELC24</v>
      </c>
      <c r="G49" s="4">
        <f>IF(SUMIFS('RES TECH'!N:N,'RES TECH'!M:M,C49)&gt;0,1,0)</f>
        <v>1</v>
      </c>
      <c r="H49" s="4">
        <f t="shared" si="0"/>
        <v>0</v>
      </c>
    </row>
    <row r="50" spans="3:8" x14ac:dyDescent="0.25">
      <c r="C50" t="str">
        <f>'RES TECH'!M48</f>
        <v>RESAPALOOldSHGHP4ELC20</v>
      </c>
      <c r="G50" s="4">
        <f>IF(SUMIFS('RES TECH'!N:N,'RES TECH'!M:M,C50)&gt;0,1,0)</f>
        <v>1</v>
      </c>
      <c r="H50" s="4">
        <f t="shared" si="0"/>
        <v>0</v>
      </c>
    </row>
    <row r="51" spans="3:8" x14ac:dyDescent="0.25">
      <c r="C51" t="str">
        <f>'RES TECH'!M49</f>
        <v>RESAPALOOldSHGHP4ELC20</v>
      </c>
      <c r="G51" s="4">
        <f>IF(SUMIFS('RES TECH'!N:N,'RES TECH'!M:M,C51)&gt;0,1,0)</f>
        <v>1</v>
      </c>
      <c r="H51" s="4">
        <f t="shared" si="0"/>
        <v>0</v>
      </c>
    </row>
    <row r="52" spans="3:8" x14ac:dyDescent="0.25">
      <c r="C52" t="str">
        <f>'RES TECH'!M50</f>
        <v>RESAPALOOldSHGHP4ELC22</v>
      </c>
      <c r="G52" s="4">
        <f>IF(SUMIFS('RES TECH'!N:N,'RES TECH'!M:M,C52)&gt;0,1,0)</f>
        <v>1</v>
      </c>
      <c r="H52" s="4">
        <f t="shared" si="0"/>
        <v>0</v>
      </c>
    </row>
    <row r="53" spans="3:8" x14ac:dyDescent="0.25">
      <c r="C53" t="str">
        <f>'RES TECH'!M51</f>
        <v>RESAPALOOldSHGHP4ELC23</v>
      </c>
      <c r="G53" s="4">
        <f>IF(SUMIFS('RES TECH'!N:N,'RES TECH'!M:M,C53)&gt;0,1,0)</f>
        <v>1</v>
      </c>
      <c r="H53" s="4">
        <f t="shared" si="0"/>
        <v>0</v>
      </c>
    </row>
    <row r="54" spans="3:8" x14ac:dyDescent="0.25">
      <c r="C54" t="str">
        <f>'RES TECH'!M52</f>
        <v>RESAPALOOldSHGHP4ELC24</v>
      </c>
      <c r="G54" s="4">
        <f>IF(SUMIFS('RES TECH'!N:N,'RES TECH'!M:M,C54)&gt;0,1,0)</f>
        <v>1</v>
      </c>
      <c r="H54" s="4">
        <f t="shared" si="0"/>
        <v>0</v>
      </c>
    </row>
    <row r="55" spans="3:8" x14ac:dyDescent="0.25">
      <c r="C55" t="str">
        <f>'RES TECH'!M53</f>
        <v>RESAPALOOldSHRAD2ELC20</v>
      </c>
      <c r="G55" s="4">
        <f>IF(SUMIFS('RES TECH'!N:N,'RES TECH'!M:M,C55)&gt;0,1,0)</f>
        <v>1</v>
      </c>
      <c r="H55" s="4">
        <f t="shared" si="0"/>
        <v>0</v>
      </c>
    </row>
    <row r="56" spans="3:8" x14ac:dyDescent="0.25">
      <c r="C56" t="str">
        <f>'RES TECH'!M54</f>
        <v>RESAPALOOldSHFUR1NGA20</v>
      </c>
      <c r="G56" s="4">
        <f>IF(SUMIFS('RES TECH'!N:N,'RES TECH'!M:M,C56)&gt;0,1,0)</f>
        <v>1</v>
      </c>
      <c r="H56" s="4">
        <f t="shared" si="0"/>
        <v>0</v>
      </c>
    </row>
    <row r="57" spans="3:8" x14ac:dyDescent="0.25">
      <c r="C57" t="str">
        <f>'RES TECH'!M55</f>
        <v>RESAPALOOldSHFUR2NGA20</v>
      </c>
      <c r="G57" s="4">
        <f>IF(SUMIFS('RES TECH'!N:N,'RES TECH'!M:M,C57)&gt;0,1,0)</f>
        <v>1</v>
      </c>
      <c r="H57" s="4">
        <f t="shared" si="0"/>
        <v>0</v>
      </c>
    </row>
    <row r="58" spans="3:8" x14ac:dyDescent="0.25">
      <c r="C58" t="str">
        <f>'RES TECH'!M56</f>
        <v>RESAPALOOldSHFUR2NGA20</v>
      </c>
      <c r="G58" s="4">
        <f>IF(SUMIFS('RES TECH'!N:N,'RES TECH'!M:M,C58)&gt;0,1,0)</f>
        <v>1</v>
      </c>
      <c r="H58" s="4">
        <f t="shared" si="0"/>
        <v>0</v>
      </c>
    </row>
    <row r="59" spans="3:8" x14ac:dyDescent="0.25">
      <c r="C59" t="str">
        <f>'RES TECH'!M57</f>
        <v>RESAPALOOldSHFUR3NGA20</v>
      </c>
      <c r="G59" s="4">
        <f>IF(SUMIFS('RES TECH'!N:N,'RES TECH'!M:M,C59)&gt;0,1,0)</f>
        <v>1</v>
      </c>
      <c r="H59" s="4">
        <f t="shared" si="0"/>
        <v>0</v>
      </c>
    </row>
    <row r="60" spans="3:8" x14ac:dyDescent="0.25">
      <c r="C60" t="str">
        <f>'RES TECH'!M58</f>
        <v>RESAPALOOldSHFUR3NGA22</v>
      </c>
      <c r="G60" s="4">
        <f>IF(SUMIFS('RES TECH'!N:N,'RES TECH'!M:M,C60)&gt;0,1,0)</f>
        <v>1</v>
      </c>
      <c r="H60" s="4">
        <f t="shared" si="0"/>
        <v>0</v>
      </c>
    </row>
    <row r="61" spans="3:8" x14ac:dyDescent="0.25">
      <c r="C61" t="str">
        <f>'RES TECH'!M59</f>
        <v>RESAPALOOldSHFUR4NGA20</v>
      </c>
      <c r="G61" s="4">
        <f>IF(SUMIFS('RES TECH'!N:N,'RES TECH'!M:M,C61)&gt;0,1,0)</f>
        <v>1</v>
      </c>
      <c r="H61" s="4">
        <f t="shared" si="0"/>
        <v>0</v>
      </c>
    </row>
    <row r="62" spans="3:8" x14ac:dyDescent="0.25">
      <c r="C62" t="str">
        <f>'RES TECH'!M60</f>
        <v>RESAPALOOldSHFUR4NGA22</v>
      </c>
      <c r="G62" s="4">
        <f>IF(SUMIFS('RES TECH'!N:N,'RES TECH'!M:M,C62)&gt;0,1,0)</f>
        <v>1</v>
      </c>
      <c r="H62" s="4">
        <f t="shared" si="0"/>
        <v>0</v>
      </c>
    </row>
    <row r="63" spans="3:8" x14ac:dyDescent="0.25">
      <c r="C63" t="str">
        <f>'RES TECH'!M61</f>
        <v>RESAPALOOldSHRAD1NGA20</v>
      </c>
      <c r="G63" s="4">
        <f>IF(SUMIFS('RES TECH'!N:N,'RES TECH'!M:M,C63)&gt;0,1,0)</f>
        <v>1</v>
      </c>
      <c r="H63" s="4">
        <f t="shared" si="0"/>
        <v>0</v>
      </c>
    </row>
    <row r="64" spans="3:8" x14ac:dyDescent="0.25">
      <c r="C64" t="str">
        <f>'RES TECH'!M62</f>
        <v>RESAPALOOldSHRAD1NGA21</v>
      </c>
      <c r="G64" s="4">
        <f>IF(SUMIFS('RES TECH'!N:N,'RES TECH'!M:M,C64)&gt;0,1,0)</f>
        <v>1</v>
      </c>
      <c r="H64" s="4">
        <f t="shared" si="0"/>
        <v>0</v>
      </c>
    </row>
    <row r="65" spans="3:8" x14ac:dyDescent="0.25">
      <c r="C65" t="str">
        <f>'RES TECH'!M63</f>
        <v>RESAPALOOldSHRAD2NGA20</v>
      </c>
      <c r="G65" s="4">
        <f>IF(SUMIFS('RES TECH'!N:N,'RES TECH'!M:M,C65)&gt;0,1,0)</f>
        <v>1</v>
      </c>
      <c r="H65" s="4">
        <f t="shared" si="0"/>
        <v>0</v>
      </c>
    </row>
    <row r="66" spans="3:8" x14ac:dyDescent="0.25">
      <c r="C66" t="str">
        <f>'RES TECH'!M64</f>
        <v>RESAPALOOldSHRAD2NGA20</v>
      </c>
      <c r="G66" s="4">
        <f>IF(SUMIFS('RES TECH'!N:N,'RES TECH'!M:M,C66)&gt;0,1,0)</f>
        <v>1</v>
      </c>
      <c r="H66" s="4">
        <f t="shared" si="0"/>
        <v>0</v>
      </c>
    </row>
    <row r="67" spans="3:8" x14ac:dyDescent="0.25">
      <c r="C67" t="str">
        <f>'RES TECH'!M65</f>
        <v>RESAPALOOldSHRAD3NGA20</v>
      </c>
      <c r="G67" s="4">
        <f>IF(SUMIFS('RES TECH'!N:N,'RES TECH'!M:M,C67)&gt;0,1,0)</f>
        <v>1</v>
      </c>
      <c r="H67" s="4">
        <f t="shared" si="0"/>
        <v>0</v>
      </c>
    </row>
    <row r="68" spans="3:8" x14ac:dyDescent="0.25">
      <c r="C68" t="str">
        <f>'RES TECH'!M66</f>
        <v>RESAPALOOldSHRAD4NGA20</v>
      </c>
      <c r="G68" s="4">
        <f>IF(SUMIFS('RES TECH'!N:N,'RES TECH'!M:M,C68)&gt;0,1,0)</f>
        <v>1</v>
      </c>
      <c r="H68" s="4">
        <f t="shared" si="0"/>
        <v>0</v>
      </c>
    </row>
    <row r="69" spans="3:8" x14ac:dyDescent="0.25">
      <c r="C69" t="str">
        <f>'RES TECH'!M67</f>
        <v>RESAPALOOldSHRAD4NGA22</v>
      </c>
      <c r="G69" s="4">
        <f>IF(SUMIFS('RES TECH'!N:N,'RES TECH'!M:M,C69)&gt;0,1,0)</f>
        <v>1</v>
      </c>
      <c r="H69" s="4">
        <f t="shared" ref="H69:H132" si="1">IF(C69="","",IF(C69="*","*",0))</f>
        <v>0</v>
      </c>
    </row>
    <row r="70" spans="3:8" x14ac:dyDescent="0.25">
      <c r="C70" t="str">
        <f>'RES TECH'!M68</f>
        <v>RESAPALOOldSHFUR1KER20</v>
      </c>
      <c r="G70" s="4">
        <f>IF(SUMIFS('RES TECH'!N:N,'RES TECH'!M:M,C70)&gt;0,1,0)</f>
        <v>1</v>
      </c>
      <c r="H70" s="4">
        <f t="shared" si="1"/>
        <v>0</v>
      </c>
    </row>
    <row r="71" spans="3:8" x14ac:dyDescent="0.25">
      <c r="C71" t="str">
        <f>'RES TECH'!M69</f>
        <v>RESAPALOOldSHFUR2KER20</v>
      </c>
      <c r="G71" s="4">
        <f>IF(SUMIFS('RES TECH'!N:N,'RES TECH'!M:M,C71)&gt;0,1,0)</f>
        <v>1</v>
      </c>
      <c r="H71" s="4">
        <f t="shared" si="1"/>
        <v>0</v>
      </c>
    </row>
    <row r="72" spans="3:8" x14ac:dyDescent="0.25">
      <c r="C72" t="str">
        <f>'RES TECH'!M70</f>
        <v>RESAPALOOldSHFUR2KER20</v>
      </c>
      <c r="G72" s="4">
        <f>IF(SUMIFS('RES TECH'!N:N,'RES TECH'!M:M,C72)&gt;0,1,0)</f>
        <v>1</v>
      </c>
      <c r="H72" s="4">
        <f t="shared" si="1"/>
        <v>0</v>
      </c>
    </row>
    <row r="73" spans="3:8" x14ac:dyDescent="0.25">
      <c r="C73" t="str">
        <f>'RES TECH'!M71</f>
        <v>RESAPALOOldSHFUR3KER20</v>
      </c>
      <c r="G73" s="4">
        <f>IF(SUMIFS('RES TECH'!N:N,'RES TECH'!M:M,C73)&gt;0,1,0)</f>
        <v>1</v>
      </c>
      <c r="H73" s="4">
        <f t="shared" si="1"/>
        <v>0</v>
      </c>
    </row>
    <row r="74" spans="3:8" x14ac:dyDescent="0.25">
      <c r="C74" t="str">
        <f>'RES TECH'!M72</f>
        <v>RESAPALOOldSHFUR4KER20</v>
      </c>
      <c r="G74" s="4">
        <f>IF(SUMIFS('RES TECH'!N:N,'RES TECH'!M:M,C74)&gt;0,1,0)</f>
        <v>1</v>
      </c>
      <c r="H74" s="4">
        <f t="shared" si="1"/>
        <v>0</v>
      </c>
    </row>
    <row r="75" spans="3:8" x14ac:dyDescent="0.25">
      <c r="C75" t="str">
        <f>'RES TECH'!M73</f>
        <v>RESAPALOOldSHFUR4KER20</v>
      </c>
      <c r="G75" s="4">
        <f>IF(SUMIFS('RES TECH'!N:N,'RES TECH'!M:M,C75)&gt;0,1,0)</f>
        <v>1</v>
      </c>
      <c r="H75" s="4">
        <f t="shared" si="1"/>
        <v>0</v>
      </c>
    </row>
    <row r="76" spans="3:8" x14ac:dyDescent="0.25">
      <c r="C76" t="str">
        <f>'RES TECH'!M74</f>
        <v>RESAPALOOldSHFUR1LPG20</v>
      </c>
      <c r="G76" s="4">
        <f>IF(SUMIFS('RES TECH'!N:N,'RES TECH'!M:M,C76)&gt;0,1,0)</f>
        <v>1</v>
      </c>
      <c r="H76" s="4">
        <f t="shared" si="1"/>
        <v>0</v>
      </c>
    </row>
    <row r="77" spans="3:8" x14ac:dyDescent="0.25">
      <c r="C77" t="str">
        <f>'RES TECH'!M75</f>
        <v>RESAPALOOldSHFUR2LPG20</v>
      </c>
      <c r="G77" s="4">
        <f>IF(SUMIFS('RES TECH'!N:N,'RES TECH'!M:M,C77)&gt;0,1,0)</f>
        <v>1</v>
      </c>
      <c r="H77" s="4">
        <f t="shared" si="1"/>
        <v>0</v>
      </c>
    </row>
    <row r="78" spans="3:8" x14ac:dyDescent="0.25">
      <c r="C78" t="str">
        <f>'RES TECH'!M76</f>
        <v>RESAPALOOldSHFUR2LPG20</v>
      </c>
      <c r="G78" s="4">
        <f>IF(SUMIFS('RES TECH'!N:N,'RES TECH'!M:M,C78)&gt;0,1,0)</f>
        <v>1</v>
      </c>
      <c r="H78" s="4">
        <f t="shared" si="1"/>
        <v>0</v>
      </c>
    </row>
    <row r="79" spans="3:8" x14ac:dyDescent="0.25">
      <c r="C79" t="str">
        <f>'RES TECH'!M77</f>
        <v>RESAPALOOldSHFUR3LPG20</v>
      </c>
      <c r="G79" s="4">
        <f>IF(SUMIFS('RES TECH'!N:N,'RES TECH'!M:M,C79)&gt;0,1,0)</f>
        <v>1</v>
      </c>
      <c r="H79" s="4">
        <f t="shared" si="1"/>
        <v>0</v>
      </c>
    </row>
    <row r="80" spans="3:8" x14ac:dyDescent="0.25">
      <c r="C80" t="str">
        <f>'RES TECH'!M78</f>
        <v>RESAPALOOldSHFUR3LPG22</v>
      </c>
      <c r="G80" s="4">
        <f>IF(SUMIFS('RES TECH'!N:N,'RES TECH'!M:M,C80)&gt;0,1,0)</f>
        <v>1</v>
      </c>
      <c r="H80" s="4">
        <f t="shared" si="1"/>
        <v>0</v>
      </c>
    </row>
    <row r="81" spans="3:8" x14ac:dyDescent="0.25">
      <c r="C81" t="str">
        <f>'RES TECH'!M79</f>
        <v>RESAPALOOldSHFUR4LPG20</v>
      </c>
      <c r="G81" s="4">
        <f>IF(SUMIFS('RES TECH'!N:N,'RES TECH'!M:M,C81)&gt;0,1,0)</f>
        <v>1</v>
      </c>
      <c r="H81" s="4">
        <f t="shared" si="1"/>
        <v>0</v>
      </c>
    </row>
    <row r="82" spans="3:8" x14ac:dyDescent="0.25">
      <c r="C82" t="str">
        <f>'RES TECH'!M80</f>
        <v>RESAPALOOldSHFUR4LPG22</v>
      </c>
      <c r="G82" s="4">
        <f>IF(SUMIFS('RES TECH'!N:N,'RES TECH'!M:M,C82)&gt;0,1,0)</f>
        <v>1</v>
      </c>
      <c r="H82" s="4">
        <f t="shared" si="1"/>
        <v>0</v>
      </c>
    </row>
    <row r="83" spans="3:8" x14ac:dyDescent="0.25">
      <c r="C83" t="str">
        <f>'RES TECH'!M81</f>
        <v>RESAPALOOldSHFUR1FOI20</v>
      </c>
      <c r="G83" s="4">
        <f>IF(SUMIFS('RES TECH'!N:N,'RES TECH'!M:M,C83)&gt;0,1,0)</f>
        <v>1</v>
      </c>
      <c r="H83" s="4">
        <f t="shared" si="1"/>
        <v>0</v>
      </c>
    </row>
    <row r="84" spans="3:8" x14ac:dyDescent="0.25">
      <c r="C84" t="str">
        <f>'RES TECH'!M82</f>
        <v>RESAPALOOldSHFUR2FOI20</v>
      </c>
      <c r="G84" s="4">
        <f>IF(SUMIFS('RES TECH'!N:N,'RES TECH'!M:M,C84)&gt;0,1,0)</f>
        <v>1</v>
      </c>
      <c r="H84" s="4">
        <f t="shared" si="1"/>
        <v>0</v>
      </c>
    </row>
    <row r="85" spans="3:8" x14ac:dyDescent="0.25">
      <c r="C85" t="str">
        <f>'RES TECH'!M83</f>
        <v>RESAPALOOldSHFUR2FOI22</v>
      </c>
      <c r="G85" s="4">
        <f>IF(SUMIFS('RES TECH'!N:N,'RES TECH'!M:M,C85)&gt;0,1,0)</f>
        <v>1</v>
      </c>
      <c r="H85" s="4">
        <f t="shared" si="1"/>
        <v>0</v>
      </c>
    </row>
    <row r="86" spans="3:8" x14ac:dyDescent="0.25">
      <c r="C86" t="str">
        <f>'RES TECH'!M84</f>
        <v>RESAPALOOldSHFUR3FOI20</v>
      </c>
      <c r="G86" s="4">
        <f>IF(SUMIFS('RES TECH'!N:N,'RES TECH'!M:M,C86)&gt;0,1,0)</f>
        <v>1</v>
      </c>
      <c r="H86" s="4">
        <f t="shared" si="1"/>
        <v>0</v>
      </c>
    </row>
    <row r="87" spans="3:8" x14ac:dyDescent="0.25">
      <c r="C87" t="str">
        <f>'RES TECH'!M85</f>
        <v>RESAPALOOldSHFUR4FOI20</v>
      </c>
      <c r="G87" s="4">
        <f>IF(SUMIFS('RES TECH'!N:N,'RES TECH'!M:M,C87)&gt;0,1,0)</f>
        <v>1</v>
      </c>
      <c r="H87" s="4">
        <f t="shared" si="1"/>
        <v>0</v>
      </c>
    </row>
    <row r="88" spans="3:8" x14ac:dyDescent="0.25">
      <c r="C88" t="str">
        <f>'RES TECH'!M86</f>
        <v>RESAPALOOldSHFUR4FOI22</v>
      </c>
      <c r="G88" s="4">
        <f>IF(SUMIFS('RES TECH'!N:N,'RES TECH'!M:M,C88)&gt;0,1,0)</f>
        <v>1</v>
      </c>
      <c r="H88" s="4">
        <f t="shared" si="1"/>
        <v>0</v>
      </c>
    </row>
    <row r="89" spans="3:8" x14ac:dyDescent="0.25">
      <c r="C89" t="str">
        <f>'RES TECH'!M87</f>
        <v>RESAPALOOldSHRAD1FOI20</v>
      </c>
      <c r="G89" s="4">
        <f>IF(SUMIFS('RES TECH'!N:N,'RES TECH'!M:M,C89)&gt;0,1,0)</f>
        <v>1</v>
      </c>
      <c r="H89" s="4">
        <f t="shared" si="1"/>
        <v>0</v>
      </c>
    </row>
    <row r="90" spans="3:8" x14ac:dyDescent="0.25">
      <c r="C90" t="str">
        <f>'RES TECH'!M88</f>
        <v>RESAPALOOldSHRAD1FOI22</v>
      </c>
      <c r="G90" s="4">
        <f>IF(SUMIFS('RES TECH'!N:N,'RES TECH'!M:M,C90)&gt;0,1,0)</f>
        <v>1</v>
      </c>
      <c r="H90" s="4">
        <f t="shared" si="1"/>
        <v>0</v>
      </c>
    </row>
    <row r="91" spans="3:8" x14ac:dyDescent="0.25">
      <c r="C91" t="str">
        <f>'RES TECH'!M89</f>
        <v>RESAPALOOldSHRAD2FOI20</v>
      </c>
      <c r="G91" s="4">
        <f>IF(SUMIFS('RES TECH'!N:N,'RES TECH'!M:M,C91)&gt;0,1,0)</f>
        <v>1</v>
      </c>
      <c r="H91" s="4">
        <f t="shared" si="1"/>
        <v>0</v>
      </c>
    </row>
    <row r="92" spans="3:8" x14ac:dyDescent="0.25">
      <c r="C92" t="str">
        <f>'RES TECH'!M90</f>
        <v>RESAPALOOldSHRAD2FOI22</v>
      </c>
      <c r="G92" s="4">
        <f>IF(SUMIFS('RES TECH'!N:N,'RES TECH'!M:M,C92)&gt;0,1,0)</f>
        <v>1</v>
      </c>
      <c r="H92" s="4">
        <f t="shared" si="1"/>
        <v>0</v>
      </c>
    </row>
    <row r="93" spans="3:8" x14ac:dyDescent="0.25">
      <c r="C93" t="str">
        <f>'RES TECH'!M91</f>
        <v>RESAPALOOldSHRAD3FOI20</v>
      </c>
      <c r="G93" s="4">
        <f>IF(SUMIFS('RES TECH'!N:N,'RES TECH'!M:M,C93)&gt;0,1,0)</f>
        <v>1</v>
      </c>
      <c r="H93" s="4">
        <f t="shared" si="1"/>
        <v>0</v>
      </c>
    </row>
    <row r="94" spans="3:8" x14ac:dyDescent="0.25">
      <c r="C94" t="str">
        <f>'RES TECH'!M92</f>
        <v>RESAPALOOldSHRAD4FOI20</v>
      </c>
      <c r="G94" s="4">
        <f>IF(SUMIFS('RES TECH'!N:N,'RES TECH'!M:M,C94)&gt;0,1,0)</f>
        <v>1</v>
      </c>
      <c r="H94" s="4">
        <f t="shared" si="1"/>
        <v>0</v>
      </c>
    </row>
    <row r="95" spans="3:8" x14ac:dyDescent="0.25">
      <c r="C95" t="str">
        <f>'RES TECH'!M93</f>
        <v>RESAPALOOldSCAHP2NGA20</v>
      </c>
      <c r="G95" s="4">
        <f>IF(SUMIFS('RES TECH'!N:N,'RES TECH'!M:M,C95)&gt;0,1,0)</f>
        <v>1</v>
      </c>
      <c r="H95" s="4">
        <f t="shared" si="1"/>
        <v>0</v>
      </c>
    </row>
    <row r="96" spans="3:8" x14ac:dyDescent="0.25">
      <c r="C96" t="str">
        <f>'RES TECH'!M94</f>
        <v>RESAPALOOldSCAHP2NGA20</v>
      </c>
      <c r="G96" s="4">
        <f>IF(SUMIFS('RES TECH'!N:N,'RES TECH'!M:M,C96)&gt;0,1,0)</f>
        <v>1</v>
      </c>
      <c r="H96" s="4">
        <f t="shared" si="1"/>
        <v>0</v>
      </c>
    </row>
    <row r="97" spans="3:8" x14ac:dyDescent="0.25">
      <c r="C97" t="str">
        <f>'RES TECH'!M95</f>
        <v>RESAPALOOldSCAHP1ELC20</v>
      </c>
      <c r="G97" s="4">
        <f>IF(SUMIFS('RES TECH'!N:N,'RES TECH'!M:M,C97)&gt;0,1,0)</f>
        <v>1</v>
      </c>
      <c r="H97" s="4">
        <f t="shared" si="1"/>
        <v>0</v>
      </c>
    </row>
    <row r="98" spans="3:8" x14ac:dyDescent="0.25">
      <c r="C98" t="str">
        <f>'RES TECH'!M96</f>
        <v>RESAPALOOldSCAHP1ELC23</v>
      </c>
      <c r="G98" s="4">
        <f>IF(SUMIFS('RES TECH'!N:N,'RES TECH'!M:M,C98)&gt;0,1,0)</f>
        <v>1</v>
      </c>
      <c r="H98" s="4">
        <f t="shared" si="1"/>
        <v>0</v>
      </c>
    </row>
    <row r="99" spans="3:8" x14ac:dyDescent="0.25">
      <c r="C99" t="str">
        <f>'RES TECH'!M97</f>
        <v>RESAPALOOldSCAHP2ELC20</v>
      </c>
      <c r="G99" s="4">
        <f>IF(SUMIFS('RES TECH'!N:N,'RES TECH'!M:M,C99)&gt;0,1,0)</f>
        <v>1</v>
      </c>
      <c r="H99" s="4">
        <f t="shared" si="1"/>
        <v>0</v>
      </c>
    </row>
    <row r="100" spans="3:8" x14ac:dyDescent="0.25">
      <c r="C100" t="str">
        <f>'RES TECH'!M98</f>
        <v>RESAPALOOldSCAHP2ELC23</v>
      </c>
      <c r="G100" s="4">
        <f>IF(SUMIFS('RES TECH'!N:N,'RES TECH'!M:M,C100)&gt;0,1,0)</f>
        <v>1</v>
      </c>
      <c r="H100" s="4">
        <f t="shared" si="1"/>
        <v>0</v>
      </c>
    </row>
    <row r="101" spans="3:8" x14ac:dyDescent="0.25">
      <c r="C101" t="str">
        <f>'RES TECH'!M99</f>
        <v>RESAPALOOldSCAHP3ELC20</v>
      </c>
      <c r="G101" s="4">
        <f>IF(SUMIFS('RES TECH'!N:N,'RES TECH'!M:M,C101)&gt;0,1,0)</f>
        <v>1</v>
      </c>
      <c r="H101" s="4">
        <f t="shared" si="1"/>
        <v>0</v>
      </c>
    </row>
    <row r="102" spans="3:8" x14ac:dyDescent="0.25">
      <c r="C102" t="str">
        <f>'RES TECH'!M100</f>
        <v>RESAPALOOldSCAHP3ELC22</v>
      </c>
      <c r="G102" s="4">
        <f>IF(SUMIFS('RES TECH'!N:N,'RES TECH'!M:M,C102)&gt;0,1,0)</f>
        <v>1</v>
      </c>
      <c r="H102" s="4">
        <f t="shared" si="1"/>
        <v>0</v>
      </c>
    </row>
    <row r="103" spans="3:8" x14ac:dyDescent="0.25">
      <c r="C103" t="str">
        <f>'RES TECH'!M101</f>
        <v>RESAPALOOldSCAHP3ELC23</v>
      </c>
      <c r="G103" s="4">
        <f>IF(SUMIFS('RES TECH'!N:N,'RES TECH'!M:M,C103)&gt;0,1,0)</f>
        <v>1</v>
      </c>
      <c r="H103" s="4">
        <f t="shared" si="1"/>
        <v>0</v>
      </c>
    </row>
    <row r="104" spans="3:8" x14ac:dyDescent="0.25">
      <c r="C104" t="str">
        <f>'RES TECH'!M102</f>
        <v>RESAPALOOldSCAHP4ELC20</v>
      </c>
      <c r="G104" s="4">
        <f>IF(SUMIFS('RES TECH'!N:N,'RES TECH'!M:M,C104)&gt;0,1,0)</f>
        <v>1</v>
      </c>
      <c r="H104" s="4">
        <f t="shared" si="1"/>
        <v>0</v>
      </c>
    </row>
    <row r="105" spans="3:8" x14ac:dyDescent="0.25">
      <c r="C105" t="str">
        <f>'RES TECH'!M103</f>
        <v>RESAPALOOldSCAHP4ELC22</v>
      </c>
      <c r="G105" s="4">
        <f>IF(SUMIFS('RES TECH'!N:N,'RES TECH'!M:M,C105)&gt;0,1,0)</f>
        <v>1</v>
      </c>
      <c r="H105" s="4">
        <f t="shared" si="1"/>
        <v>0</v>
      </c>
    </row>
    <row r="106" spans="3:8" x14ac:dyDescent="0.25">
      <c r="C106" t="str">
        <f>'RES TECH'!M104</f>
        <v>RESAPALOOldSCGHP1ELC20</v>
      </c>
      <c r="G106" s="4">
        <f>IF(SUMIFS('RES TECH'!N:N,'RES TECH'!M:M,C106)&gt;0,1,0)</f>
        <v>1</v>
      </c>
      <c r="H106" s="4">
        <f t="shared" si="1"/>
        <v>0</v>
      </c>
    </row>
    <row r="107" spans="3:8" x14ac:dyDescent="0.25">
      <c r="C107" t="str">
        <f>'RES TECH'!M105</f>
        <v>RESAPALOOldSCGHP2ELC20</v>
      </c>
      <c r="G107" s="4">
        <f>IF(SUMIFS('RES TECH'!N:N,'RES TECH'!M:M,C107)&gt;0,1,0)</f>
        <v>1</v>
      </c>
      <c r="H107" s="4">
        <f t="shared" si="1"/>
        <v>0</v>
      </c>
    </row>
    <row r="108" spans="3:8" x14ac:dyDescent="0.25">
      <c r="C108" t="str">
        <f>'RES TECH'!M106</f>
        <v>RESAPALOOldSCGHP3ELC20</v>
      </c>
      <c r="G108" s="4">
        <f>IF(SUMIFS('RES TECH'!N:N,'RES TECH'!M:M,C108)&gt;0,1,0)</f>
        <v>1</v>
      </c>
      <c r="H108" s="4">
        <f t="shared" si="1"/>
        <v>0</v>
      </c>
    </row>
    <row r="109" spans="3:8" x14ac:dyDescent="0.25">
      <c r="C109" t="str">
        <f>'RES TECH'!M107</f>
        <v>RESAPALOOldSCGHP3ELC20</v>
      </c>
      <c r="G109" s="4">
        <f>IF(SUMIFS('RES TECH'!N:N,'RES TECH'!M:M,C109)&gt;0,1,0)</f>
        <v>1</v>
      </c>
      <c r="H109" s="4">
        <f t="shared" si="1"/>
        <v>0</v>
      </c>
    </row>
    <row r="110" spans="3:8" x14ac:dyDescent="0.25">
      <c r="C110" t="str">
        <f>'RES TECH'!M108</f>
        <v>RESAPALOOldSCGHP3ELC22</v>
      </c>
      <c r="G110" s="4">
        <f>IF(SUMIFS('RES TECH'!N:N,'RES TECH'!M:M,C110)&gt;0,1,0)</f>
        <v>1</v>
      </c>
      <c r="H110" s="4">
        <f t="shared" si="1"/>
        <v>0</v>
      </c>
    </row>
    <row r="111" spans="3:8" x14ac:dyDescent="0.25">
      <c r="C111" t="str">
        <f>'RES TECH'!M109</f>
        <v>RESAPALOOldSCGHP3ELC23</v>
      </c>
      <c r="G111" s="4">
        <f>IF(SUMIFS('RES TECH'!N:N,'RES TECH'!M:M,C111)&gt;0,1,0)</f>
        <v>1</v>
      </c>
      <c r="H111" s="4">
        <f t="shared" si="1"/>
        <v>0</v>
      </c>
    </row>
    <row r="112" spans="3:8" x14ac:dyDescent="0.25">
      <c r="C112" t="str">
        <f>'RES TECH'!M110</f>
        <v>RESAPALOOldSCGHP3ELC24</v>
      </c>
      <c r="G112" s="4">
        <f>IF(SUMIFS('RES TECH'!N:N,'RES TECH'!M:M,C112)&gt;0,1,0)</f>
        <v>1</v>
      </c>
      <c r="H112" s="4">
        <f t="shared" si="1"/>
        <v>0</v>
      </c>
    </row>
    <row r="113" spans="3:8" x14ac:dyDescent="0.25">
      <c r="C113" t="str">
        <f>'RES TECH'!M111</f>
        <v>RESAPALOOldSCGHP4ELC20</v>
      </c>
      <c r="G113" s="4">
        <f>IF(SUMIFS('RES TECH'!N:N,'RES TECH'!M:M,C113)&gt;0,1,0)</f>
        <v>1</v>
      </c>
      <c r="H113" s="4">
        <f t="shared" si="1"/>
        <v>0</v>
      </c>
    </row>
    <row r="114" spans="3:8" x14ac:dyDescent="0.25">
      <c r="C114" t="str">
        <f>'RES TECH'!M112</f>
        <v>RESAPALOOldSCGHP4ELC20</v>
      </c>
      <c r="G114" s="4">
        <f>IF(SUMIFS('RES TECH'!N:N,'RES TECH'!M:M,C114)&gt;0,1,0)</f>
        <v>1</v>
      </c>
      <c r="H114" s="4">
        <f t="shared" si="1"/>
        <v>0</v>
      </c>
    </row>
    <row r="115" spans="3:8" x14ac:dyDescent="0.25">
      <c r="C115" t="str">
        <f>'RES TECH'!M113</f>
        <v>RESAPALOOldSCGHP4ELC22</v>
      </c>
      <c r="G115" s="4">
        <f>IF(SUMIFS('RES TECH'!N:N,'RES TECH'!M:M,C115)&gt;0,1,0)</f>
        <v>1</v>
      </c>
      <c r="H115" s="4">
        <f t="shared" si="1"/>
        <v>0</v>
      </c>
    </row>
    <row r="116" spans="3:8" x14ac:dyDescent="0.25">
      <c r="C116" t="str">
        <f>'RES TECH'!M114</f>
        <v>RESAPALOOldSCGHP4ELC23</v>
      </c>
      <c r="G116" s="4">
        <f>IF(SUMIFS('RES TECH'!N:N,'RES TECH'!M:M,C116)&gt;0,1,0)</f>
        <v>1</v>
      </c>
      <c r="H116" s="4">
        <f t="shared" si="1"/>
        <v>0</v>
      </c>
    </row>
    <row r="117" spans="3:8" x14ac:dyDescent="0.25">
      <c r="C117" t="str">
        <f>'RES TECH'!M115</f>
        <v>RESAPALOOldSCGHP4ELC24</v>
      </c>
      <c r="G117" s="4">
        <f>IF(SUMIFS('RES TECH'!N:N,'RES TECH'!M:M,C117)&gt;0,1,0)</f>
        <v>1</v>
      </c>
      <c r="H117" s="4">
        <f t="shared" si="1"/>
        <v>0</v>
      </c>
    </row>
    <row r="118" spans="3:8" x14ac:dyDescent="0.25">
      <c r="C118" t="str">
        <f>'RES TECH'!M116</f>
        <v>RESAPALOOldSCRAC1ELC20</v>
      </c>
      <c r="G118" s="4">
        <f>IF(SUMIFS('RES TECH'!N:N,'RES TECH'!M:M,C118)&gt;0,1,0)</f>
        <v>1</v>
      </c>
      <c r="H118" s="4">
        <f t="shared" si="1"/>
        <v>0</v>
      </c>
    </row>
    <row r="119" spans="3:8" x14ac:dyDescent="0.25">
      <c r="C119" t="str">
        <f>'RES TECH'!M117</f>
        <v>RESAPALOOldSCRAC2ELC20</v>
      </c>
      <c r="G119" s="4">
        <f>IF(SUMIFS('RES TECH'!N:N,'RES TECH'!M:M,C119)&gt;0,1,0)</f>
        <v>1</v>
      </c>
      <c r="H119" s="4">
        <f t="shared" si="1"/>
        <v>0</v>
      </c>
    </row>
    <row r="120" spans="3:8" x14ac:dyDescent="0.25">
      <c r="C120" t="str">
        <f>'RES TECH'!M118</f>
        <v>RESAPALOOldSCRAC2ELC30</v>
      </c>
      <c r="G120" s="4">
        <f>IF(SUMIFS('RES TECH'!N:N,'RES TECH'!M:M,C120)&gt;0,1,0)</f>
        <v>1</v>
      </c>
      <c r="H120" s="4">
        <f t="shared" si="1"/>
        <v>0</v>
      </c>
    </row>
    <row r="121" spans="3:8" x14ac:dyDescent="0.25">
      <c r="C121" t="str">
        <f>'RES TECH'!M119</f>
        <v>RESAPALOOldSCRAC2ELC40</v>
      </c>
      <c r="G121" s="4">
        <f>IF(SUMIFS('RES TECH'!N:N,'RES TECH'!M:M,C121)&gt;0,1,0)</f>
        <v>1</v>
      </c>
      <c r="H121" s="4">
        <f t="shared" si="1"/>
        <v>0</v>
      </c>
    </row>
    <row r="122" spans="3:8" x14ac:dyDescent="0.25">
      <c r="C122" t="str">
        <f>'RES TECH'!M120</f>
        <v>RESAPALOOldSCRAC3ELC20</v>
      </c>
      <c r="G122" s="4">
        <f>IF(SUMIFS('RES TECH'!N:N,'RES TECH'!M:M,C122)&gt;0,1,0)</f>
        <v>1</v>
      </c>
      <c r="H122" s="4">
        <f t="shared" si="1"/>
        <v>0</v>
      </c>
    </row>
    <row r="123" spans="3:8" x14ac:dyDescent="0.25">
      <c r="C123" t="str">
        <f>'RES TECH'!M121</f>
        <v>RESAPALOOldSCRAC4ELC20</v>
      </c>
      <c r="G123" s="4">
        <f>IF(SUMIFS('RES TECH'!N:N,'RES TECH'!M:M,C123)&gt;0,1,0)</f>
        <v>1</v>
      </c>
      <c r="H123" s="4">
        <f t="shared" si="1"/>
        <v>0</v>
      </c>
    </row>
    <row r="124" spans="3:8" x14ac:dyDescent="0.25">
      <c r="C124" t="str">
        <f>'RES TECH'!M122</f>
        <v>RESAPALOOldSCRAC4ELC22</v>
      </c>
      <c r="G124" s="4">
        <f>IF(SUMIFS('RES TECH'!N:N,'RES TECH'!M:M,C124)&gt;0,1,0)</f>
        <v>1</v>
      </c>
      <c r="H124" s="4">
        <f t="shared" si="1"/>
        <v>0</v>
      </c>
    </row>
    <row r="125" spans="3:8" x14ac:dyDescent="0.25">
      <c r="C125" t="str">
        <f>'RES TECH'!M123</f>
        <v>RESAPALOOldSCRAC4ELC30</v>
      </c>
      <c r="G125" s="4">
        <f>IF(SUMIFS('RES TECH'!N:N,'RES TECH'!M:M,C125)&gt;0,1,0)</f>
        <v>1</v>
      </c>
      <c r="H125" s="4">
        <f t="shared" si="1"/>
        <v>0</v>
      </c>
    </row>
    <row r="126" spans="3:8" x14ac:dyDescent="0.25">
      <c r="C126" t="str">
        <f>'RES TECH'!M124</f>
        <v>RESAPALOOldSCRAC4ELC40</v>
      </c>
      <c r="G126" s="4">
        <f>IF(SUMIFS('RES TECH'!N:N,'RES TECH'!M:M,C126)&gt;0,1,0)</f>
        <v>1</v>
      </c>
      <c r="H126" s="4">
        <f t="shared" si="1"/>
        <v>0</v>
      </c>
    </row>
    <row r="127" spans="3:8" x14ac:dyDescent="0.25">
      <c r="C127" t="str">
        <f>'RES TECH'!M125</f>
        <v>RESAPALOOldSCCAC1ELC20</v>
      </c>
      <c r="G127" s="4">
        <f>IF(SUMIFS('RES TECH'!N:N,'RES TECH'!M:M,C127)&gt;0,1,0)</f>
        <v>1</v>
      </c>
      <c r="H127" s="4">
        <f t="shared" si="1"/>
        <v>0</v>
      </c>
    </row>
    <row r="128" spans="3:8" x14ac:dyDescent="0.25">
      <c r="C128" t="str">
        <f>'RES TECH'!M126</f>
        <v>RESAPALOOldSCCAC1ELC23</v>
      </c>
      <c r="G128" s="4">
        <f>IF(SUMIFS('RES TECH'!N:N,'RES TECH'!M:M,C128)&gt;0,1,0)</f>
        <v>1</v>
      </c>
      <c r="H128" s="4">
        <f t="shared" si="1"/>
        <v>0</v>
      </c>
    </row>
    <row r="129" spans="3:8" x14ac:dyDescent="0.25">
      <c r="C129" t="str">
        <f>'RES TECH'!M127</f>
        <v>RESAPALOOldSCCAC2ELC20</v>
      </c>
      <c r="G129" s="4">
        <f>IF(SUMIFS('RES TECH'!N:N,'RES TECH'!M:M,C129)&gt;0,1,0)</f>
        <v>1</v>
      </c>
      <c r="H129" s="4">
        <f t="shared" si="1"/>
        <v>0</v>
      </c>
    </row>
    <row r="130" spans="3:8" x14ac:dyDescent="0.25">
      <c r="C130" t="str">
        <f>'RES TECH'!M128</f>
        <v>RESAPALOOldSCCAC2ELC23</v>
      </c>
      <c r="G130" s="4">
        <f>IF(SUMIFS('RES TECH'!N:N,'RES TECH'!M:M,C130)&gt;0,1,0)</f>
        <v>1</v>
      </c>
      <c r="H130" s="4">
        <f t="shared" si="1"/>
        <v>0</v>
      </c>
    </row>
    <row r="131" spans="3:8" x14ac:dyDescent="0.25">
      <c r="C131" t="str">
        <f>'RES TECH'!M129</f>
        <v>RESAPALOOldSCCAC3ELC20</v>
      </c>
      <c r="G131" s="4">
        <f>IF(SUMIFS('RES TECH'!N:N,'RES TECH'!M:M,C131)&gt;0,1,0)</f>
        <v>1</v>
      </c>
      <c r="H131" s="4">
        <f t="shared" si="1"/>
        <v>0</v>
      </c>
    </row>
    <row r="132" spans="3:8" x14ac:dyDescent="0.25">
      <c r="C132" t="str">
        <f>'RES TECH'!M130</f>
        <v>RESAPALOOldSCCAC3ELC23</v>
      </c>
      <c r="G132" s="4">
        <f>IF(SUMIFS('RES TECH'!N:N,'RES TECH'!M:M,C132)&gt;0,1,0)</f>
        <v>1</v>
      </c>
      <c r="H132" s="4">
        <f t="shared" si="1"/>
        <v>0</v>
      </c>
    </row>
    <row r="133" spans="3:8" x14ac:dyDescent="0.25">
      <c r="C133" t="str">
        <f>'RES TECH'!M131</f>
        <v>RESAPALOOldSCCAC4ELC20</v>
      </c>
      <c r="G133" s="4">
        <f>IF(SUMIFS('RES TECH'!N:N,'RES TECH'!M:M,C133)&gt;0,1,0)</f>
        <v>1</v>
      </c>
      <c r="H133" s="4">
        <f t="shared" ref="H133:H196" si="2">IF(C133="","",IF(C133="*","*",0))</f>
        <v>0</v>
      </c>
    </row>
    <row r="134" spans="3:8" x14ac:dyDescent="0.25">
      <c r="C134" t="str">
        <f>'RES TECH'!M132</f>
        <v>RESAPALOOldSCCAC4ELC22</v>
      </c>
      <c r="G134" s="4">
        <f>IF(SUMIFS('RES TECH'!N:N,'RES TECH'!M:M,C134)&gt;0,1,0)</f>
        <v>1</v>
      </c>
      <c r="H134" s="4">
        <f t="shared" si="2"/>
        <v>0</v>
      </c>
    </row>
    <row r="135" spans="3:8" x14ac:dyDescent="0.25">
      <c r="C135" t="str">
        <f>'RES TECH'!M133</f>
        <v>RESAPALOOldRETF1ELC20</v>
      </c>
      <c r="G135" s="4">
        <f>IF(SUMIFS('RES TECH'!N:N,'RES TECH'!M:M,C135)&gt;0,1,0)</f>
        <v>1</v>
      </c>
      <c r="H135" s="4">
        <f t="shared" si="2"/>
        <v>0</v>
      </c>
    </row>
    <row r="136" spans="3:8" x14ac:dyDescent="0.25">
      <c r="C136" t="str">
        <f>'RES TECH'!M134</f>
        <v>RESAPALOOldRETF2ELC20</v>
      </c>
      <c r="G136" s="4">
        <f>IF(SUMIFS('RES TECH'!N:N,'RES TECH'!M:M,C136)&gt;0,1,0)</f>
        <v>1</v>
      </c>
      <c r="H136" s="4">
        <f t="shared" si="2"/>
        <v>0</v>
      </c>
    </row>
    <row r="137" spans="3:8" x14ac:dyDescent="0.25">
      <c r="C137" t="str">
        <f>'RES TECH'!M135</f>
        <v>RESAPALOOldRETF3ELC20</v>
      </c>
      <c r="G137" s="4">
        <f>IF(SUMIFS('RES TECH'!N:N,'RES TECH'!M:M,C137)&gt;0,1,0)</f>
        <v>1</v>
      </c>
      <c r="H137" s="4">
        <f t="shared" si="2"/>
        <v>0</v>
      </c>
    </row>
    <row r="138" spans="3:8" x14ac:dyDescent="0.25">
      <c r="C138" t="str">
        <f>'RES TECH'!M136</f>
        <v>RESAPALOOldRETF4ELC20</v>
      </c>
      <c r="G138" s="4">
        <f>IF(SUMIFS('RES TECH'!N:N,'RES TECH'!M:M,C138)&gt;0,1,0)</f>
        <v>1</v>
      </c>
      <c r="H138" s="4">
        <f t="shared" si="2"/>
        <v>0</v>
      </c>
    </row>
    <row r="139" spans="3:8" x14ac:dyDescent="0.25">
      <c r="C139" t="str">
        <f>'RES TECH'!M137</f>
        <v>RESAPALOOldRESF1ELC20</v>
      </c>
      <c r="G139" s="4">
        <f>IF(SUMIFS('RES TECH'!N:N,'RES TECH'!M:M,C139)&gt;0,1,0)</f>
        <v>1</v>
      </c>
      <c r="H139" s="4">
        <f t="shared" si="2"/>
        <v>0</v>
      </c>
    </row>
    <row r="140" spans="3:8" x14ac:dyDescent="0.25">
      <c r="C140" t="str">
        <f>'RES TECH'!M138</f>
        <v>RESAPALOOldRESF2ELC20</v>
      </c>
      <c r="G140" s="4">
        <f>IF(SUMIFS('RES TECH'!N:N,'RES TECH'!M:M,C140)&gt;0,1,0)</f>
        <v>1</v>
      </c>
      <c r="H140" s="4">
        <f t="shared" si="2"/>
        <v>0</v>
      </c>
    </row>
    <row r="141" spans="3:8" x14ac:dyDescent="0.25">
      <c r="C141" t="str">
        <f>'RES TECH'!M139</f>
        <v>RESAPALOOldRESF3ELC20</v>
      </c>
      <c r="G141" s="4">
        <f>IF(SUMIFS('RES TECH'!N:N,'RES TECH'!M:M,C141)&gt;0,1,0)</f>
        <v>1</v>
      </c>
      <c r="H141" s="4">
        <f t="shared" si="2"/>
        <v>0</v>
      </c>
    </row>
    <row r="142" spans="3:8" x14ac:dyDescent="0.25">
      <c r="C142" t="str">
        <f>'RES TECH'!M140</f>
        <v>RESAPALOOldRESF4ELC20</v>
      </c>
      <c r="G142" s="4">
        <f>IF(SUMIFS('RES TECH'!N:N,'RES TECH'!M:M,C142)&gt;0,1,0)</f>
        <v>1</v>
      </c>
      <c r="H142" s="4">
        <f t="shared" si="2"/>
        <v>0</v>
      </c>
    </row>
    <row r="143" spans="3:8" x14ac:dyDescent="0.25">
      <c r="C143" t="str">
        <f>'RES TECH'!M141</f>
        <v>RESAPALOOldREBF1ELC20</v>
      </c>
      <c r="G143" s="4">
        <f>IF(SUMIFS('RES TECH'!N:N,'RES TECH'!M:M,C143)&gt;0,1,0)</f>
        <v>1</v>
      </c>
      <c r="H143" s="4">
        <f t="shared" si="2"/>
        <v>0</v>
      </c>
    </row>
    <row r="144" spans="3:8" x14ac:dyDescent="0.25">
      <c r="C144" t="str">
        <f>'RES TECH'!M142</f>
        <v>RESAPALOOldREBF2ELC20</v>
      </c>
      <c r="G144" s="4">
        <f>IF(SUMIFS('RES TECH'!N:N,'RES TECH'!M:M,C144)&gt;0,1,0)</f>
        <v>1</v>
      </c>
      <c r="H144" s="4">
        <f t="shared" si="2"/>
        <v>0</v>
      </c>
    </row>
    <row r="145" spans="3:8" x14ac:dyDescent="0.25">
      <c r="C145" t="str">
        <f>'RES TECH'!M143</f>
        <v>RESAPALOOldREBF3ELC20</v>
      </c>
      <c r="G145" s="4">
        <f>IF(SUMIFS('RES TECH'!N:N,'RES TECH'!M:M,C145)&gt;0,1,0)</f>
        <v>1</v>
      </c>
      <c r="H145" s="4">
        <f t="shared" si="2"/>
        <v>0</v>
      </c>
    </row>
    <row r="146" spans="3:8" x14ac:dyDescent="0.25">
      <c r="C146" t="str">
        <f>'RES TECH'!M144</f>
        <v>RESAPALOOldREBF4ELC20</v>
      </c>
      <c r="G146" s="4">
        <f>IF(SUMIFS('RES TECH'!N:N,'RES TECH'!M:M,C146)&gt;0,1,0)</f>
        <v>1</v>
      </c>
      <c r="H146" s="4">
        <f t="shared" si="2"/>
        <v>0</v>
      </c>
    </row>
    <row r="147" spans="3:8" x14ac:dyDescent="0.25">
      <c r="C147" t="str">
        <f>'RES TECH'!M145</f>
        <v>RESAPALOOldFRC1ELC20</v>
      </c>
      <c r="G147" s="4">
        <f>IF(SUMIFS('RES TECH'!N:N,'RES TECH'!M:M,C147)&gt;0,1,0)</f>
        <v>1</v>
      </c>
      <c r="H147" s="4">
        <f t="shared" si="2"/>
        <v>0</v>
      </c>
    </row>
    <row r="148" spans="3:8" x14ac:dyDescent="0.25">
      <c r="C148" t="str">
        <f>'RES TECH'!M146</f>
        <v>RESAPALOOldFRC2ELC20</v>
      </c>
      <c r="G148" s="4">
        <f>IF(SUMIFS('RES TECH'!N:N,'RES TECH'!M:M,C148)&gt;0,1,0)</f>
        <v>1</v>
      </c>
      <c r="H148" s="4">
        <f t="shared" si="2"/>
        <v>0</v>
      </c>
    </row>
    <row r="149" spans="3:8" x14ac:dyDescent="0.25">
      <c r="C149" t="str">
        <f>'RES TECH'!M147</f>
        <v>RESAPALOOldFRC3ELC20</v>
      </c>
      <c r="G149" s="4">
        <f>IF(SUMIFS('RES TECH'!N:N,'RES TECH'!M:M,C149)&gt;0,1,0)</f>
        <v>1</v>
      </c>
      <c r="H149" s="4">
        <f t="shared" si="2"/>
        <v>0</v>
      </c>
    </row>
    <row r="150" spans="3:8" x14ac:dyDescent="0.25">
      <c r="C150" t="str">
        <f>'RES TECH'!M148</f>
        <v>RESAPALOOldFRC4ELC20</v>
      </c>
      <c r="G150" s="4">
        <f>IF(SUMIFS('RES TECH'!N:N,'RES TECH'!M:M,C150)&gt;0,1,0)</f>
        <v>1</v>
      </c>
      <c r="H150" s="4">
        <f t="shared" si="2"/>
        <v>0</v>
      </c>
    </row>
    <row r="151" spans="3:8" x14ac:dyDescent="0.25">
      <c r="C151" t="str">
        <f>'RES TECH'!M149</f>
        <v>RESAPALOOldFRU1ELC20</v>
      </c>
      <c r="G151" s="4">
        <f>IF(SUMIFS('RES TECH'!N:N,'RES TECH'!M:M,C151)&gt;0,1,0)</f>
        <v>1</v>
      </c>
      <c r="H151" s="4">
        <f t="shared" si="2"/>
        <v>0</v>
      </c>
    </row>
    <row r="152" spans="3:8" x14ac:dyDescent="0.25">
      <c r="C152" t="str">
        <f>'RES TECH'!M150</f>
        <v>RESAPALOOldFRU2ELC20</v>
      </c>
      <c r="G152" s="4">
        <f>IF(SUMIFS('RES TECH'!N:N,'RES TECH'!M:M,C152)&gt;0,1,0)</f>
        <v>1</v>
      </c>
      <c r="H152" s="4">
        <f t="shared" si="2"/>
        <v>0</v>
      </c>
    </row>
    <row r="153" spans="3:8" x14ac:dyDescent="0.25">
      <c r="C153" t="str">
        <f>'RES TECH'!M151</f>
        <v>RESAPALOOldFRU3ELC20</v>
      </c>
      <c r="G153" s="4">
        <f>IF(SUMIFS('RES TECH'!N:N,'RES TECH'!M:M,C153)&gt;0,1,0)</f>
        <v>1</v>
      </c>
      <c r="H153" s="4">
        <f t="shared" si="2"/>
        <v>0</v>
      </c>
    </row>
    <row r="154" spans="3:8" x14ac:dyDescent="0.25">
      <c r="C154" t="str">
        <f>'RES TECH'!M152</f>
        <v>RESAPALOOldFRU4ELC20</v>
      </c>
      <c r="G154" s="4">
        <f>IF(SUMIFS('RES TECH'!N:N,'RES TECH'!M:M,C154)&gt;0,1,0)</f>
        <v>1</v>
      </c>
      <c r="H154" s="4">
        <f t="shared" si="2"/>
        <v>0</v>
      </c>
    </row>
    <row r="155" spans="3:8" x14ac:dyDescent="0.25">
      <c r="C155" t="str">
        <f>'RES TECH'!M153</f>
        <v>RESAPALOOldCK2NGA20</v>
      </c>
      <c r="G155" s="4">
        <f>IF(SUMIFS('RES TECH'!N:N,'RES TECH'!M:M,C155)&gt;0,1,0)</f>
        <v>1</v>
      </c>
      <c r="H155" s="4">
        <f t="shared" si="2"/>
        <v>0</v>
      </c>
    </row>
    <row r="156" spans="3:8" x14ac:dyDescent="0.25">
      <c r="C156" t="str">
        <f>'RES TECH'!M154</f>
        <v>RESAPALOOldCK4NGA20</v>
      </c>
      <c r="G156" s="4">
        <f>IF(SUMIFS('RES TECH'!N:N,'RES TECH'!M:M,C156)&gt;0,1,0)</f>
        <v>1</v>
      </c>
      <c r="H156" s="4">
        <f t="shared" si="2"/>
        <v>0</v>
      </c>
    </row>
    <row r="157" spans="3:8" x14ac:dyDescent="0.25">
      <c r="C157" t="str">
        <f>'RES TECH'!M155</f>
        <v>RESAPALOOldCK2LPG20</v>
      </c>
      <c r="G157" s="4">
        <f>IF(SUMIFS('RES TECH'!N:N,'RES TECH'!M:M,C157)&gt;0,1,0)</f>
        <v>1</v>
      </c>
      <c r="H157" s="4">
        <f t="shared" si="2"/>
        <v>0</v>
      </c>
    </row>
    <row r="158" spans="3:8" x14ac:dyDescent="0.25">
      <c r="C158" t="str">
        <f>'RES TECH'!M156</f>
        <v>RESAPALOOldCK4LPG20</v>
      </c>
      <c r="G158" s="4">
        <f>IF(SUMIFS('RES TECH'!N:N,'RES TECH'!M:M,C158)&gt;0,1,0)</f>
        <v>1</v>
      </c>
      <c r="H158" s="4">
        <f t="shared" si="2"/>
        <v>0</v>
      </c>
    </row>
    <row r="159" spans="3:8" x14ac:dyDescent="0.25">
      <c r="C159" t="str">
        <f>'RES TECH'!M157</f>
        <v>RESAPALOOldCK2ELC20</v>
      </c>
      <c r="G159" s="4">
        <f>IF(SUMIFS('RES TECH'!N:N,'RES TECH'!M:M,C159)&gt;0,1,0)</f>
        <v>1</v>
      </c>
      <c r="H159" s="4">
        <f t="shared" si="2"/>
        <v>0</v>
      </c>
    </row>
    <row r="160" spans="3:8" x14ac:dyDescent="0.25">
      <c r="C160" t="str">
        <f>'RES TECH'!M158</f>
        <v>RESAPALOOldCWF4ELC30</v>
      </c>
      <c r="G160" s="4">
        <f>IF(SUMIFS('RES TECH'!N:N,'RES TECH'!M:M,C160)&gt;0,1,0)</f>
        <v>1</v>
      </c>
      <c r="H160" s="4">
        <f t="shared" si="2"/>
        <v>0</v>
      </c>
    </row>
    <row r="161" spans="3:8" x14ac:dyDescent="0.25">
      <c r="C161" t="str">
        <f>'RES TECH'!M159</f>
        <v>RESAPALOOldCWT1ELC20</v>
      </c>
      <c r="G161" s="4">
        <f>IF(SUMIFS('RES TECH'!N:N,'RES TECH'!M:M,C161)&gt;0,1,0)</f>
        <v>1</v>
      </c>
      <c r="H161" s="4">
        <f t="shared" si="2"/>
        <v>0</v>
      </c>
    </row>
    <row r="162" spans="3:8" x14ac:dyDescent="0.25">
      <c r="C162" t="str">
        <f>'RES TECH'!M160</f>
        <v>RESAPALOOldCWT2ELC20</v>
      </c>
      <c r="G162" s="4">
        <f>IF(SUMIFS('RES TECH'!N:N,'RES TECH'!M:M,C162)&gt;0,1,0)</f>
        <v>1</v>
      </c>
      <c r="H162" s="4">
        <f t="shared" si="2"/>
        <v>0</v>
      </c>
    </row>
    <row r="163" spans="3:8" x14ac:dyDescent="0.25">
      <c r="C163" t="str">
        <f>'RES TECH'!M161</f>
        <v>RESAPALOOldCWT2ELC20</v>
      </c>
      <c r="G163" s="4">
        <f>IF(SUMIFS('RES TECH'!N:N,'RES TECH'!M:M,C163)&gt;0,1,0)</f>
        <v>1</v>
      </c>
      <c r="H163" s="4">
        <f t="shared" si="2"/>
        <v>0</v>
      </c>
    </row>
    <row r="164" spans="3:8" x14ac:dyDescent="0.25">
      <c r="C164" t="str">
        <f>'RES TECH'!M162</f>
        <v>RESAPALOOldCWT3ELC20</v>
      </c>
      <c r="G164" s="4">
        <f>IF(SUMIFS('RES TECH'!N:N,'RES TECH'!M:M,C164)&gt;0,1,0)</f>
        <v>1</v>
      </c>
      <c r="H164" s="4">
        <f t="shared" si="2"/>
        <v>0</v>
      </c>
    </row>
    <row r="165" spans="3:8" x14ac:dyDescent="0.25">
      <c r="C165" t="str">
        <f>'RES TECH'!M163</f>
        <v>RESAPALOOldCWT4ELC20</v>
      </c>
      <c r="G165" s="4">
        <f>IF(SUMIFS('RES TECH'!N:N,'RES TECH'!M:M,C165)&gt;0,1,0)</f>
        <v>1</v>
      </c>
      <c r="H165" s="4">
        <f t="shared" si="2"/>
        <v>0</v>
      </c>
    </row>
    <row r="166" spans="3:8" x14ac:dyDescent="0.25">
      <c r="C166" t="str">
        <f>'RES TECH'!M164</f>
        <v>RESAPALOOldCWF1ELC20</v>
      </c>
      <c r="G166" s="4">
        <f>IF(SUMIFS('RES TECH'!N:N,'RES TECH'!M:M,C166)&gt;0,1,0)</f>
        <v>1</v>
      </c>
      <c r="H166" s="4">
        <f t="shared" si="2"/>
        <v>0</v>
      </c>
    </row>
    <row r="167" spans="3:8" x14ac:dyDescent="0.25">
      <c r="C167" t="str">
        <f>'RES TECH'!M165</f>
        <v>RESAPALOOldCWF2ELC20</v>
      </c>
      <c r="G167" s="4">
        <f>IF(SUMIFS('RES TECH'!N:N,'RES TECH'!M:M,C167)&gt;0,1,0)</f>
        <v>1</v>
      </c>
      <c r="H167" s="4">
        <f t="shared" si="2"/>
        <v>0</v>
      </c>
    </row>
    <row r="168" spans="3:8" x14ac:dyDescent="0.25">
      <c r="C168" t="str">
        <f>'RES TECH'!M166</f>
        <v>RESAPALOOldCWF2ELC30</v>
      </c>
      <c r="G168" s="4">
        <f>IF(SUMIFS('RES TECH'!N:N,'RES TECH'!M:M,C168)&gt;0,1,0)</f>
        <v>1</v>
      </c>
      <c r="H168" s="4">
        <f t="shared" si="2"/>
        <v>0</v>
      </c>
    </row>
    <row r="169" spans="3:8" x14ac:dyDescent="0.25">
      <c r="C169" t="str">
        <f>'RES TECH'!M167</f>
        <v>RESAPALOOldCWF3ELC20</v>
      </c>
      <c r="G169" s="4">
        <f>IF(SUMIFS('RES TECH'!N:N,'RES TECH'!M:M,C169)&gt;0,1,0)</f>
        <v>1</v>
      </c>
      <c r="H169" s="4">
        <f t="shared" si="2"/>
        <v>0</v>
      </c>
    </row>
    <row r="170" spans="3:8" x14ac:dyDescent="0.25">
      <c r="C170" t="str">
        <f>'RES TECH'!M168</f>
        <v>RESAPALOOldCWF4ELC20</v>
      </c>
      <c r="G170" s="4">
        <f>IF(SUMIFS('RES TECH'!N:N,'RES TECH'!M:M,C170)&gt;0,1,0)</f>
        <v>1</v>
      </c>
      <c r="H170" s="4">
        <f t="shared" si="2"/>
        <v>0</v>
      </c>
    </row>
    <row r="171" spans="3:8" x14ac:dyDescent="0.25">
      <c r="C171" t="str">
        <f>'RES TECH'!M169</f>
        <v>RESAPALOOldCWF4ELC20</v>
      </c>
      <c r="G171" s="4">
        <f>IF(SUMIFS('RES TECH'!N:N,'RES TECH'!M:M,C171)&gt;0,1,0)</f>
        <v>1</v>
      </c>
      <c r="H171" s="4">
        <f t="shared" si="2"/>
        <v>0</v>
      </c>
    </row>
    <row r="172" spans="3:8" x14ac:dyDescent="0.25">
      <c r="C172" t="str">
        <f>'RES TECH'!M170</f>
        <v>RESAPALOOldCD1NGA20</v>
      </c>
      <c r="G172" s="4">
        <f>IF(SUMIFS('RES TECH'!N:N,'RES TECH'!M:M,C172)&gt;0,1,0)</f>
        <v>1</v>
      </c>
      <c r="H172" s="4">
        <f t="shared" si="2"/>
        <v>0</v>
      </c>
    </row>
    <row r="173" spans="3:8" x14ac:dyDescent="0.25">
      <c r="C173" t="str">
        <f>'RES TECH'!M171</f>
        <v>RESAPALOOldCD2NGA20</v>
      </c>
      <c r="G173" s="4">
        <f>IF(SUMIFS('RES TECH'!N:N,'RES TECH'!M:M,C173)&gt;0,1,0)</f>
        <v>1</v>
      </c>
      <c r="H173" s="4">
        <f t="shared" si="2"/>
        <v>0</v>
      </c>
    </row>
    <row r="174" spans="3:8" x14ac:dyDescent="0.25">
      <c r="C174" t="str">
        <f>'RES TECH'!M172</f>
        <v>RESAPALOOldCD3NGA20</v>
      </c>
      <c r="G174" s="4">
        <f>IF(SUMIFS('RES TECH'!N:N,'RES TECH'!M:M,C174)&gt;0,1,0)</f>
        <v>1</v>
      </c>
      <c r="H174" s="4">
        <f t="shared" si="2"/>
        <v>0</v>
      </c>
    </row>
    <row r="175" spans="3:8" x14ac:dyDescent="0.25">
      <c r="C175" t="str">
        <f>'RES TECH'!M173</f>
        <v>RESAPALOOldCD4NGA20</v>
      </c>
      <c r="G175" s="4">
        <f>IF(SUMIFS('RES TECH'!N:N,'RES TECH'!M:M,C175)&gt;0,1,0)</f>
        <v>1</v>
      </c>
      <c r="H175" s="4">
        <f t="shared" si="2"/>
        <v>0</v>
      </c>
    </row>
    <row r="176" spans="3:8" x14ac:dyDescent="0.25">
      <c r="C176" t="str">
        <f>'RES TECH'!M174</f>
        <v>RESAPALOOldCD4NGA30</v>
      </c>
      <c r="G176" s="4">
        <f>IF(SUMIFS('RES TECH'!N:N,'RES TECH'!M:M,C176)&gt;0,1,0)</f>
        <v>1</v>
      </c>
      <c r="H176" s="4">
        <f t="shared" si="2"/>
        <v>0</v>
      </c>
    </row>
    <row r="177" spans="3:8" x14ac:dyDescent="0.25">
      <c r="C177" t="str">
        <f>'RES TECH'!M175</f>
        <v>RESAPALOOldCD1ELC20</v>
      </c>
      <c r="G177" s="4">
        <f>IF(SUMIFS('RES TECH'!N:N,'RES TECH'!M:M,C177)&gt;0,1,0)</f>
        <v>1</v>
      </c>
      <c r="H177" s="4">
        <f t="shared" si="2"/>
        <v>0</v>
      </c>
    </row>
    <row r="178" spans="3:8" x14ac:dyDescent="0.25">
      <c r="C178" t="str">
        <f>'RES TECH'!M176</f>
        <v>RESAPALOOldCD2ELC20</v>
      </c>
      <c r="G178" s="4">
        <f>IF(SUMIFS('RES TECH'!N:N,'RES TECH'!M:M,C178)&gt;0,1,0)</f>
        <v>1</v>
      </c>
      <c r="H178" s="4">
        <f t="shared" si="2"/>
        <v>0</v>
      </c>
    </row>
    <row r="179" spans="3:8" x14ac:dyDescent="0.25">
      <c r="C179" t="str">
        <f>'RES TECH'!M177</f>
        <v>RESAPALOOldCD3ELC20</v>
      </c>
      <c r="G179" s="4">
        <f>IF(SUMIFS('RES TECH'!N:N,'RES TECH'!M:M,C179)&gt;0,1,0)</f>
        <v>1</v>
      </c>
      <c r="H179" s="4">
        <f t="shared" si="2"/>
        <v>0</v>
      </c>
    </row>
    <row r="180" spans="3:8" x14ac:dyDescent="0.25">
      <c r="C180" t="str">
        <f>'RES TECH'!M178</f>
        <v>RESAPALOOldCD4ELC20</v>
      </c>
      <c r="G180" s="4">
        <f>IF(SUMIFS('RES TECH'!N:N,'RES TECH'!M:M,C180)&gt;0,1,0)</f>
        <v>1</v>
      </c>
      <c r="H180" s="4">
        <f t="shared" si="2"/>
        <v>0</v>
      </c>
    </row>
    <row r="181" spans="3:8" x14ac:dyDescent="0.25">
      <c r="C181" t="str">
        <f>'RES TECH'!M179</f>
        <v>RESHOULOOldWH1NGA20</v>
      </c>
      <c r="G181" s="4">
        <f>IF(SUMIFS('RES TECH'!N:N,'RES TECH'!M:M,C181)&gt;0,1,0)</f>
        <v>1</v>
      </c>
      <c r="H181" s="4">
        <f t="shared" si="2"/>
        <v>0</v>
      </c>
    </row>
    <row r="182" spans="3:8" x14ac:dyDescent="0.25">
      <c r="C182" t="str">
        <f>'RES TECH'!M180</f>
        <v>RESHOULOOldWH2NGA20</v>
      </c>
      <c r="G182" s="4">
        <f>IF(SUMIFS('RES TECH'!N:N,'RES TECH'!M:M,C182)&gt;0,1,0)</f>
        <v>1</v>
      </c>
      <c r="H182" s="4">
        <f t="shared" si="2"/>
        <v>0</v>
      </c>
    </row>
    <row r="183" spans="3:8" x14ac:dyDescent="0.25">
      <c r="C183" t="str">
        <f>'RES TECH'!M181</f>
        <v>RESHOULOOldWH3NGA20</v>
      </c>
      <c r="G183" s="4">
        <f>IF(SUMIFS('RES TECH'!N:N,'RES TECH'!M:M,C183)&gt;0,1,0)</f>
        <v>1</v>
      </c>
      <c r="H183" s="4">
        <f t="shared" si="2"/>
        <v>0</v>
      </c>
    </row>
    <row r="184" spans="3:8" x14ac:dyDescent="0.25">
      <c r="C184" t="str">
        <f>'RES TECH'!M182</f>
        <v>RESHOULOOldWH3NGA23</v>
      </c>
      <c r="G184" s="4">
        <f>IF(SUMIFS('RES TECH'!N:N,'RES TECH'!M:M,C184)&gt;0,1,0)</f>
        <v>1</v>
      </c>
      <c r="H184" s="4">
        <f t="shared" si="2"/>
        <v>0</v>
      </c>
    </row>
    <row r="185" spans="3:8" x14ac:dyDescent="0.25">
      <c r="C185" t="str">
        <f>'RES TECH'!M183</f>
        <v>RESHOULOOldWH4NGA20</v>
      </c>
      <c r="G185" s="4">
        <f>IF(SUMIFS('RES TECH'!N:N,'RES TECH'!M:M,C185)&gt;0,1,0)</f>
        <v>1</v>
      </c>
      <c r="H185" s="4">
        <f t="shared" si="2"/>
        <v>0</v>
      </c>
    </row>
    <row r="186" spans="3:8" x14ac:dyDescent="0.25">
      <c r="C186" t="str">
        <f>'RES TECH'!M184</f>
        <v>RESHOULOOldWH4NGA20</v>
      </c>
      <c r="G186" s="4">
        <f>IF(SUMIFS('RES TECH'!N:N,'RES TECH'!M:M,C186)&gt;0,1,0)</f>
        <v>1</v>
      </c>
      <c r="H186" s="4">
        <f t="shared" si="2"/>
        <v>0</v>
      </c>
    </row>
    <row r="187" spans="3:8" x14ac:dyDescent="0.25">
      <c r="C187" t="str">
        <f>'RES TECH'!M185</f>
        <v>RESHOULOOldWH4NGA22</v>
      </c>
      <c r="G187" s="4">
        <f>IF(SUMIFS('RES TECH'!N:N,'RES TECH'!M:M,C187)&gt;0,1,0)</f>
        <v>1</v>
      </c>
      <c r="H187" s="4">
        <f t="shared" si="2"/>
        <v>0</v>
      </c>
    </row>
    <row r="188" spans="3:8" x14ac:dyDescent="0.25">
      <c r="C188" t="str">
        <f>'RES TECH'!M186</f>
        <v>RESHOULOOldWH1ELC20</v>
      </c>
      <c r="G188" s="4">
        <f>IF(SUMIFS('RES TECH'!N:N,'RES TECH'!M:M,C188)&gt;0,1,0)</f>
        <v>1</v>
      </c>
      <c r="H188" s="4">
        <f t="shared" si="2"/>
        <v>0</v>
      </c>
    </row>
    <row r="189" spans="3:8" x14ac:dyDescent="0.25">
      <c r="C189" t="str">
        <f>'RES TECH'!M187</f>
        <v>RESHOULOOldWH2ELC20</v>
      </c>
      <c r="G189" s="4">
        <f>IF(SUMIFS('RES TECH'!N:N,'RES TECH'!M:M,C189)&gt;0,1,0)</f>
        <v>1</v>
      </c>
      <c r="H189" s="4">
        <f t="shared" si="2"/>
        <v>0</v>
      </c>
    </row>
    <row r="190" spans="3:8" x14ac:dyDescent="0.25">
      <c r="C190" t="str">
        <f>'RES TECH'!M188</f>
        <v>RESHOULOOldWH4ELC20</v>
      </c>
      <c r="G190" s="4">
        <f>IF(SUMIFS('RES TECH'!N:N,'RES TECH'!M:M,C190)&gt;0,1,0)</f>
        <v>1</v>
      </c>
      <c r="H190" s="4">
        <f t="shared" si="2"/>
        <v>0</v>
      </c>
    </row>
    <row r="191" spans="3:8" x14ac:dyDescent="0.25">
      <c r="C191" t="str">
        <f>'RES TECH'!M189</f>
        <v>RESHOULOOldWH5ELC20</v>
      </c>
      <c r="G191" s="4">
        <f>IF(SUMIFS('RES TECH'!N:N,'RES TECH'!M:M,C191)&gt;0,1,0)</f>
        <v>1</v>
      </c>
      <c r="H191" s="4">
        <f t="shared" si="2"/>
        <v>0</v>
      </c>
    </row>
    <row r="192" spans="3:8" x14ac:dyDescent="0.25">
      <c r="C192" t="str">
        <f>'RES TECH'!M190</f>
        <v>RESHOULOOldWH5ELC22</v>
      </c>
      <c r="G192" s="4">
        <f>IF(SUMIFS('RES TECH'!N:N,'RES TECH'!M:M,C192)&gt;0,1,0)</f>
        <v>1</v>
      </c>
      <c r="H192" s="4">
        <f t="shared" si="2"/>
        <v>0</v>
      </c>
    </row>
    <row r="193" spans="3:8" x14ac:dyDescent="0.25">
      <c r="C193" t="str">
        <f>'RES TECH'!M191</f>
        <v>RESHOULOOldWH6ELC20</v>
      </c>
      <c r="G193" s="4">
        <f>IF(SUMIFS('RES TECH'!N:N,'RES TECH'!M:M,C193)&gt;0,1,0)</f>
        <v>1</v>
      </c>
      <c r="H193" s="4">
        <f t="shared" si="2"/>
        <v>0</v>
      </c>
    </row>
    <row r="194" spans="3:8" x14ac:dyDescent="0.25">
      <c r="C194" t="str">
        <f>'RES TECH'!M192</f>
        <v>RESHOULOOldWH6ELC22</v>
      </c>
      <c r="G194" s="4">
        <f>IF(SUMIFS('RES TECH'!N:N,'RES TECH'!M:M,C194)&gt;0,1,0)</f>
        <v>1</v>
      </c>
      <c r="H194" s="4">
        <f t="shared" si="2"/>
        <v>0</v>
      </c>
    </row>
    <row r="195" spans="3:8" x14ac:dyDescent="0.25">
      <c r="C195" t="str">
        <f>'RES TECH'!M193</f>
        <v>RESHOULOOldWH7ELC20</v>
      </c>
      <c r="G195" s="4">
        <f>IF(SUMIFS('RES TECH'!N:N,'RES TECH'!M:M,C195)&gt;0,1,0)</f>
        <v>1</v>
      </c>
      <c r="H195" s="4">
        <f t="shared" si="2"/>
        <v>0</v>
      </c>
    </row>
    <row r="196" spans="3:8" x14ac:dyDescent="0.25">
      <c r="C196" t="str">
        <f>'RES TECH'!M194</f>
        <v>RESHOULOOldWH7ELC22</v>
      </c>
      <c r="G196" s="4">
        <f>IF(SUMIFS('RES TECH'!N:N,'RES TECH'!M:M,C196)&gt;0,1,0)</f>
        <v>1</v>
      </c>
      <c r="H196" s="4">
        <f t="shared" si="2"/>
        <v>0</v>
      </c>
    </row>
    <row r="197" spans="3:8" x14ac:dyDescent="0.25">
      <c r="C197" t="str">
        <f>'RES TECH'!M195</f>
        <v>RESHOULOOldWH1FOI20</v>
      </c>
      <c r="G197" s="4">
        <f>IF(SUMIFS('RES TECH'!N:N,'RES TECH'!M:M,C197)&gt;0,1,0)</f>
        <v>1</v>
      </c>
      <c r="H197" s="4">
        <f t="shared" ref="H197:H260" si="3">IF(C197="","",IF(C197="*","*",0))</f>
        <v>0</v>
      </c>
    </row>
    <row r="198" spans="3:8" x14ac:dyDescent="0.25">
      <c r="C198" t="str">
        <f>'RES TECH'!M196</f>
        <v>RESHOULOOldWH2FOI20</v>
      </c>
      <c r="G198" s="4">
        <f>IF(SUMIFS('RES TECH'!N:N,'RES TECH'!M:M,C198)&gt;0,1,0)</f>
        <v>1</v>
      </c>
      <c r="H198" s="4">
        <f t="shared" si="3"/>
        <v>0</v>
      </c>
    </row>
    <row r="199" spans="3:8" x14ac:dyDescent="0.25">
      <c r="C199" t="str">
        <f>'RES TECH'!M197</f>
        <v>RESHOULOOldWH4FOI20</v>
      </c>
      <c r="G199" s="4">
        <f>IF(SUMIFS('RES TECH'!N:N,'RES TECH'!M:M,C199)&gt;0,1,0)</f>
        <v>1</v>
      </c>
      <c r="H199" s="4">
        <f t="shared" si="3"/>
        <v>0</v>
      </c>
    </row>
    <row r="200" spans="3:8" x14ac:dyDescent="0.25">
      <c r="C200" t="str">
        <f>'RES TECH'!M198</f>
        <v>RESHOULOOldWH1LPG20</v>
      </c>
      <c r="G200" s="4">
        <f>IF(SUMIFS('RES TECH'!N:N,'RES TECH'!M:M,C200)&gt;0,1,0)</f>
        <v>1</v>
      </c>
      <c r="H200" s="4">
        <f t="shared" si="3"/>
        <v>0</v>
      </c>
    </row>
    <row r="201" spans="3:8" x14ac:dyDescent="0.25">
      <c r="C201" t="str">
        <f>'RES TECH'!M199</f>
        <v>RESHOULOOldWH2LPG20</v>
      </c>
      <c r="G201" s="4">
        <f>IF(SUMIFS('RES TECH'!N:N,'RES TECH'!M:M,C201)&gt;0,1,0)</f>
        <v>1</v>
      </c>
      <c r="H201" s="4">
        <f t="shared" si="3"/>
        <v>0</v>
      </c>
    </row>
    <row r="202" spans="3:8" x14ac:dyDescent="0.25">
      <c r="C202" t="str">
        <f>'RES TECH'!M200</f>
        <v>RESHOULOOldWH3LPG20</v>
      </c>
      <c r="G202" s="4">
        <f>IF(SUMIFS('RES TECH'!N:N,'RES TECH'!M:M,C202)&gt;0,1,0)</f>
        <v>1</v>
      </c>
      <c r="H202" s="4">
        <f t="shared" si="3"/>
        <v>0</v>
      </c>
    </row>
    <row r="203" spans="3:8" x14ac:dyDescent="0.25">
      <c r="C203" t="str">
        <f>'RES TECH'!M201</f>
        <v>RESHOULOOldWH3LPG23</v>
      </c>
      <c r="G203" s="4">
        <f>IF(SUMIFS('RES TECH'!N:N,'RES TECH'!M:M,C203)&gt;0,1,0)</f>
        <v>1</v>
      </c>
      <c r="H203" s="4">
        <f t="shared" si="3"/>
        <v>0</v>
      </c>
    </row>
    <row r="204" spans="3:8" x14ac:dyDescent="0.25">
      <c r="C204" t="str">
        <f>'RES TECH'!M202</f>
        <v>RESHOULOOldWH4LPG20</v>
      </c>
      <c r="G204" s="4">
        <f>IF(SUMIFS('RES TECH'!N:N,'RES TECH'!M:M,C204)&gt;0,1,0)</f>
        <v>1</v>
      </c>
      <c r="H204" s="4">
        <f t="shared" si="3"/>
        <v>0</v>
      </c>
    </row>
    <row r="205" spans="3:8" x14ac:dyDescent="0.25">
      <c r="C205" t="str">
        <f>'RES TECH'!M203</f>
        <v>RESHOULOOldWH4LPG20</v>
      </c>
      <c r="G205" s="4">
        <f>IF(SUMIFS('RES TECH'!N:N,'RES TECH'!M:M,C205)&gt;0,1,0)</f>
        <v>1</v>
      </c>
      <c r="H205" s="4">
        <f t="shared" si="3"/>
        <v>0</v>
      </c>
    </row>
    <row r="206" spans="3:8" x14ac:dyDescent="0.25">
      <c r="C206" t="str">
        <f>'RES TECH'!M204</f>
        <v>RESHOULOOldWH2SOL20</v>
      </c>
      <c r="G206" s="4">
        <f>IF(SUMIFS('RES TECH'!N:N,'RES TECH'!M:M,C206)&gt;0,1,0)</f>
        <v>1</v>
      </c>
      <c r="H206" s="4">
        <f t="shared" si="3"/>
        <v>0</v>
      </c>
    </row>
    <row r="207" spans="3:8" x14ac:dyDescent="0.25">
      <c r="C207" t="str">
        <f>'RES TECH'!M205</f>
        <v>RESHOULOOldWH2SOL20</v>
      </c>
      <c r="G207" s="4">
        <f>IF(SUMIFS('RES TECH'!N:N,'RES TECH'!M:M,C207)&gt;0,1,0)</f>
        <v>1</v>
      </c>
      <c r="H207" s="4">
        <f t="shared" si="3"/>
        <v>0</v>
      </c>
    </row>
    <row r="208" spans="3:8" x14ac:dyDescent="0.25">
      <c r="C208" t="str">
        <f>'RES TECH'!M206</f>
        <v>RESHOULOOldWH2SOL23</v>
      </c>
      <c r="G208" s="4">
        <f>IF(SUMIFS('RES TECH'!N:N,'RES TECH'!M:M,C208)&gt;0,1,0)</f>
        <v>1</v>
      </c>
      <c r="H208" s="4">
        <f t="shared" si="3"/>
        <v>0</v>
      </c>
    </row>
    <row r="209" spans="3:8" x14ac:dyDescent="0.25">
      <c r="C209" t="str">
        <f>'RES TECH'!M207</f>
        <v>RESHOULOOldWH2SOL24</v>
      </c>
      <c r="G209" s="4">
        <f>IF(SUMIFS('RES TECH'!N:N,'RES TECH'!M:M,C209)&gt;0,1,0)</f>
        <v>1</v>
      </c>
      <c r="H209" s="4">
        <f t="shared" si="3"/>
        <v>0</v>
      </c>
    </row>
    <row r="210" spans="3:8" x14ac:dyDescent="0.25">
      <c r="C210" t="str">
        <f>'RES TECH'!M208</f>
        <v>RESHOULOOldSHAHP1ELC20</v>
      </c>
      <c r="G210" s="4">
        <f>IF(SUMIFS('RES TECH'!N:N,'RES TECH'!M:M,C210)&gt;0,1,0)</f>
        <v>1</v>
      </c>
      <c r="H210" s="4">
        <f t="shared" si="3"/>
        <v>0</v>
      </c>
    </row>
    <row r="211" spans="3:8" x14ac:dyDescent="0.25">
      <c r="C211" t="str">
        <f>'RES TECH'!M209</f>
        <v>RESHOULOOldSHAHP1ELC23</v>
      </c>
      <c r="G211" s="4">
        <f>IF(SUMIFS('RES TECH'!N:N,'RES TECH'!M:M,C211)&gt;0,1,0)</f>
        <v>1</v>
      </c>
      <c r="H211" s="4">
        <f t="shared" si="3"/>
        <v>0</v>
      </c>
    </row>
    <row r="212" spans="3:8" x14ac:dyDescent="0.25">
      <c r="C212" t="str">
        <f>'RES TECH'!M210</f>
        <v>RESHOULOOldSHAHP2ELC20</v>
      </c>
      <c r="G212" s="4">
        <f>IF(SUMIFS('RES TECH'!N:N,'RES TECH'!M:M,C212)&gt;0,1,0)</f>
        <v>1</v>
      </c>
      <c r="H212" s="4">
        <f t="shared" si="3"/>
        <v>0</v>
      </c>
    </row>
    <row r="213" spans="3:8" x14ac:dyDescent="0.25">
      <c r="C213" t="str">
        <f>'RES TECH'!M211</f>
        <v>RESHOULOOldSHAHP2ELC23</v>
      </c>
      <c r="G213" s="4">
        <f>IF(SUMIFS('RES TECH'!N:N,'RES TECH'!M:M,C213)&gt;0,1,0)</f>
        <v>1</v>
      </c>
      <c r="H213" s="4">
        <f t="shared" si="3"/>
        <v>0</v>
      </c>
    </row>
    <row r="214" spans="3:8" x14ac:dyDescent="0.25">
      <c r="C214" t="str">
        <f>'RES TECH'!M212</f>
        <v>RESHOULOOldSHAHP3ELC20</v>
      </c>
      <c r="G214" s="4">
        <f>IF(SUMIFS('RES TECH'!N:N,'RES TECH'!M:M,C214)&gt;0,1,0)</f>
        <v>1</v>
      </c>
      <c r="H214" s="4">
        <f t="shared" si="3"/>
        <v>0</v>
      </c>
    </row>
    <row r="215" spans="3:8" x14ac:dyDescent="0.25">
      <c r="C215" t="str">
        <f>'RES TECH'!M213</f>
        <v>RESHOULOOldSHAHP3ELC22</v>
      </c>
      <c r="G215" s="4">
        <f>IF(SUMIFS('RES TECH'!N:N,'RES TECH'!M:M,C215)&gt;0,1,0)</f>
        <v>1</v>
      </c>
      <c r="H215" s="4">
        <f t="shared" si="3"/>
        <v>0</v>
      </c>
    </row>
    <row r="216" spans="3:8" x14ac:dyDescent="0.25">
      <c r="C216" t="str">
        <f>'RES TECH'!M214</f>
        <v>RESHOULOOldSHAHP3ELC23</v>
      </c>
      <c r="G216" s="4">
        <f>IF(SUMIFS('RES TECH'!N:N,'RES TECH'!M:M,C216)&gt;0,1,0)</f>
        <v>1</v>
      </c>
      <c r="H216" s="4">
        <f t="shared" si="3"/>
        <v>0</v>
      </c>
    </row>
    <row r="217" spans="3:8" x14ac:dyDescent="0.25">
      <c r="C217" t="str">
        <f>'RES TECH'!M215</f>
        <v>RESHOULOOldSHAHP4ELC20</v>
      </c>
      <c r="G217" s="4">
        <f>IF(SUMIFS('RES TECH'!N:N,'RES TECH'!M:M,C217)&gt;0,1,0)</f>
        <v>1</v>
      </c>
      <c r="H217" s="4">
        <f t="shared" si="3"/>
        <v>0</v>
      </c>
    </row>
    <row r="218" spans="3:8" x14ac:dyDescent="0.25">
      <c r="C218" t="str">
        <f>'RES TECH'!M216</f>
        <v>RESHOULOOldSHAHP4ELC22</v>
      </c>
      <c r="G218" s="4">
        <f>IF(SUMIFS('RES TECH'!N:N,'RES TECH'!M:M,C218)&gt;0,1,0)</f>
        <v>1</v>
      </c>
      <c r="H218" s="4">
        <f t="shared" si="3"/>
        <v>0</v>
      </c>
    </row>
    <row r="219" spans="3:8" x14ac:dyDescent="0.25">
      <c r="C219" t="str">
        <f>'RES TECH'!M217</f>
        <v>RESHOULOOldSHGHP1ELC20</v>
      </c>
      <c r="G219" s="4">
        <f>IF(SUMIFS('RES TECH'!N:N,'RES TECH'!M:M,C219)&gt;0,1,0)</f>
        <v>1</v>
      </c>
      <c r="H219" s="4">
        <f t="shared" si="3"/>
        <v>0</v>
      </c>
    </row>
    <row r="220" spans="3:8" x14ac:dyDescent="0.25">
      <c r="C220" t="str">
        <f>'RES TECH'!M218</f>
        <v>RESHOULOOldSHGHP2ELC20</v>
      </c>
      <c r="G220" s="4">
        <f>IF(SUMIFS('RES TECH'!N:N,'RES TECH'!M:M,C220)&gt;0,1,0)</f>
        <v>1</v>
      </c>
      <c r="H220" s="4">
        <f t="shared" si="3"/>
        <v>0</v>
      </c>
    </row>
    <row r="221" spans="3:8" x14ac:dyDescent="0.25">
      <c r="C221" t="str">
        <f>'RES TECH'!M219</f>
        <v>RESHOULOOldSHGHP3ELC20</v>
      </c>
      <c r="G221" s="4">
        <f>IF(SUMIFS('RES TECH'!N:N,'RES TECH'!M:M,C221)&gt;0,1,0)</f>
        <v>1</v>
      </c>
      <c r="H221" s="4">
        <f t="shared" si="3"/>
        <v>0</v>
      </c>
    </row>
    <row r="222" spans="3:8" x14ac:dyDescent="0.25">
      <c r="C222" t="str">
        <f>'RES TECH'!M220</f>
        <v>RESHOULOOldSHGHP3ELC20</v>
      </c>
      <c r="G222" s="4">
        <f>IF(SUMIFS('RES TECH'!N:N,'RES TECH'!M:M,C222)&gt;0,1,0)</f>
        <v>1</v>
      </c>
      <c r="H222" s="4">
        <f t="shared" si="3"/>
        <v>0</v>
      </c>
    </row>
    <row r="223" spans="3:8" x14ac:dyDescent="0.25">
      <c r="C223" t="str">
        <f>'RES TECH'!M221</f>
        <v>RESHOULOOldSHGHP3ELC22</v>
      </c>
      <c r="G223" s="4">
        <f>IF(SUMIFS('RES TECH'!N:N,'RES TECH'!M:M,C223)&gt;0,1,0)</f>
        <v>1</v>
      </c>
      <c r="H223" s="4">
        <f t="shared" si="3"/>
        <v>0</v>
      </c>
    </row>
    <row r="224" spans="3:8" x14ac:dyDescent="0.25">
      <c r="C224" t="str">
        <f>'RES TECH'!M222</f>
        <v>RESHOULOOldSHGHP3ELC23</v>
      </c>
      <c r="G224" s="4">
        <f>IF(SUMIFS('RES TECH'!N:N,'RES TECH'!M:M,C224)&gt;0,1,0)</f>
        <v>1</v>
      </c>
      <c r="H224" s="4">
        <f t="shared" si="3"/>
        <v>0</v>
      </c>
    </row>
    <row r="225" spans="3:8" x14ac:dyDescent="0.25">
      <c r="C225" t="str">
        <f>'RES TECH'!M223</f>
        <v>RESHOULOOldSHGHP3ELC24</v>
      </c>
      <c r="G225" s="4">
        <f>IF(SUMIFS('RES TECH'!N:N,'RES TECH'!M:M,C225)&gt;0,1,0)</f>
        <v>1</v>
      </c>
      <c r="H225" s="4">
        <f t="shared" si="3"/>
        <v>0</v>
      </c>
    </row>
    <row r="226" spans="3:8" x14ac:dyDescent="0.25">
      <c r="C226" t="str">
        <f>'RES TECH'!M224</f>
        <v>RESHOULOOldSHGHP4ELC20</v>
      </c>
      <c r="G226" s="4">
        <f>IF(SUMIFS('RES TECH'!N:N,'RES TECH'!M:M,C226)&gt;0,1,0)</f>
        <v>1</v>
      </c>
      <c r="H226" s="4">
        <f t="shared" si="3"/>
        <v>0</v>
      </c>
    </row>
    <row r="227" spans="3:8" x14ac:dyDescent="0.25">
      <c r="C227" t="str">
        <f>'RES TECH'!M225</f>
        <v>RESHOULOOldSHGHP4ELC20</v>
      </c>
      <c r="G227" s="4">
        <f>IF(SUMIFS('RES TECH'!N:N,'RES TECH'!M:M,C227)&gt;0,1,0)</f>
        <v>1</v>
      </c>
      <c r="H227" s="4">
        <f t="shared" si="3"/>
        <v>0</v>
      </c>
    </row>
    <row r="228" spans="3:8" x14ac:dyDescent="0.25">
      <c r="C228" t="str">
        <f>'RES TECH'!M226</f>
        <v>RESHOULOOldSHGHP4ELC22</v>
      </c>
      <c r="G228" s="4">
        <f>IF(SUMIFS('RES TECH'!N:N,'RES TECH'!M:M,C228)&gt;0,1,0)</f>
        <v>1</v>
      </c>
      <c r="H228" s="4">
        <f t="shared" si="3"/>
        <v>0</v>
      </c>
    </row>
    <row r="229" spans="3:8" x14ac:dyDescent="0.25">
      <c r="C229" t="str">
        <f>'RES TECH'!M227</f>
        <v>RESHOULOOldSHGHP4ELC23</v>
      </c>
      <c r="G229" s="4">
        <f>IF(SUMIFS('RES TECH'!N:N,'RES TECH'!M:M,C229)&gt;0,1,0)</f>
        <v>1</v>
      </c>
      <c r="H229" s="4">
        <f t="shared" si="3"/>
        <v>0</v>
      </c>
    </row>
    <row r="230" spans="3:8" x14ac:dyDescent="0.25">
      <c r="C230" t="str">
        <f>'RES TECH'!M228</f>
        <v>RESHOULOOldSHGHP4ELC24</v>
      </c>
      <c r="G230" s="4">
        <f>IF(SUMIFS('RES TECH'!N:N,'RES TECH'!M:M,C230)&gt;0,1,0)</f>
        <v>1</v>
      </c>
      <c r="H230" s="4">
        <f t="shared" si="3"/>
        <v>0</v>
      </c>
    </row>
    <row r="231" spans="3:8" x14ac:dyDescent="0.25">
      <c r="C231" t="str">
        <f>'RES TECH'!M229</f>
        <v>RESHOULOOldSHRAD2ELC20</v>
      </c>
      <c r="G231" s="4">
        <f>IF(SUMIFS('RES TECH'!N:N,'RES TECH'!M:M,C231)&gt;0,1,0)</f>
        <v>1</v>
      </c>
      <c r="H231" s="4">
        <f t="shared" si="3"/>
        <v>0</v>
      </c>
    </row>
    <row r="232" spans="3:8" x14ac:dyDescent="0.25">
      <c r="C232" t="str">
        <f>'RES TECH'!M230</f>
        <v>RESHOULOOldSHFUR1NGA20</v>
      </c>
      <c r="G232" s="4">
        <f>IF(SUMIFS('RES TECH'!N:N,'RES TECH'!M:M,C232)&gt;0,1,0)</f>
        <v>1</v>
      </c>
      <c r="H232" s="4">
        <f t="shared" si="3"/>
        <v>0</v>
      </c>
    </row>
    <row r="233" spans="3:8" x14ac:dyDescent="0.25">
      <c r="C233" t="str">
        <f>'RES TECH'!M231</f>
        <v>RESHOULOOldSHFUR2NGA20</v>
      </c>
      <c r="G233" s="4">
        <f>IF(SUMIFS('RES TECH'!N:N,'RES TECH'!M:M,C233)&gt;0,1,0)</f>
        <v>1</v>
      </c>
      <c r="H233" s="4">
        <f t="shared" si="3"/>
        <v>0</v>
      </c>
    </row>
    <row r="234" spans="3:8" x14ac:dyDescent="0.25">
      <c r="C234" t="str">
        <f>'RES TECH'!M232</f>
        <v>RESHOULOOldSHFUR2NGA20</v>
      </c>
      <c r="G234" s="4">
        <f>IF(SUMIFS('RES TECH'!N:N,'RES TECH'!M:M,C234)&gt;0,1,0)</f>
        <v>1</v>
      </c>
      <c r="H234" s="4">
        <f t="shared" si="3"/>
        <v>0</v>
      </c>
    </row>
    <row r="235" spans="3:8" x14ac:dyDescent="0.25">
      <c r="C235" t="str">
        <f>'RES TECH'!M233</f>
        <v>RESHOULOOldSHFUR3NGA20</v>
      </c>
      <c r="G235" s="4">
        <f>IF(SUMIFS('RES TECH'!N:N,'RES TECH'!M:M,C235)&gt;0,1,0)</f>
        <v>1</v>
      </c>
      <c r="H235" s="4">
        <f t="shared" si="3"/>
        <v>0</v>
      </c>
    </row>
    <row r="236" spans="3:8" x14ac:dyDescent="0.25">
      <c r="C236" t="str">
        <f>'RES TECH'!M234</f>
        <v>RESHOULOOldSHFUR3NGA22</v>
      </c>
      <c r="G236" s="4">
        <f>IF(SUMIFS('RES TECH'!N:N,'RES TECH'!M:M,C236)&gt;0,1,0)</f>
        <v>1</v>
      </c>
      <c r="H236" s="4">
        <f t="shared" si="3"/>
        <v>0</v>
      </c>
    </row>
    <row r="237" spans="3:8" x14ac:dyDescent="0.25">
      <c r="C237" t="str">
        <f>'RES TECH'!M235</f>
        <v>RESHOULOOldSHFUR4NGA20</v>
      </c>
      <c r="G237" s="4">
        <f>IF(SUMIFS('RES TECH'!N:N,'RES TECH'!M:M,C237)&gt;0,1,0)</f>
        <v>1</v>
      </c>
      <c r="H237" s="4">
        <f t="shared" si="3"/>
        <v>0</v>
      </c>
    </row>
    <row r="238" spans="3:8" x14ac:dyDescent="0.25">
      <c r="C238" t="str">
        <f>'RES TECH'!M236</f>
        <v>RESHOULOOldSHFUR4NGA22</v>
      </c>
      <c r="G238" s="4">
        <f>IF(SUMIFS('RES TECH'!N:N,'RES TECH'!M:M,C238)&gt;0,1,0)</f>
        <v>1</v>
      </c>
      <c r="H238" s="4">
        <f t="shared" si="3"/>
        <v>0</v>
      </c>
    </row>
    <row r="239" spans="3:8" x14ac:dyDescent="0.25">
      <c r="C239" t="str">
        <f>'RES TECH'!M237</f>
        <v>RESHOULOOldSHRAD1NGA20</v>
      </c>
      <c r="G239" s="4">
        <f>IF(SUMIFS('RES TECH'!N:N,'RES TECH'!M:M,C239)&gt;0,1,0)</f>
        <v>1</v>
      </c>
      <c r="H239" s="4">
        <f t="shared" si="3"/>
        <v>0</v>
      </c>
    </row>
    <row r="240" spans="3:8" x14ac:dyDescent="0.25">
      <c r="C240" t="str">
        <f>'RES TECH'!M238</f>
        <v>RESHOULOOldSHRAD1NGA21</v>
      </c>
      <c r="G240" s="4">
        <f>IF(SUMIFS('RES TECH'!N:N,'RES TECH'!M:M,C240)&gt;0,1,0)</f>
        <v>1</v>
      </c>
      <c r="H240" s="4">
        <f t="shared" si="3"/>
        <v>0</v>
      </c>
    </row>
    <row r="241" spans="3:8" x14ac:dyDescent="0.25">
      <c r="C241" t="str">
        <f>'RES TECH'!M239</f>
        <v>RESHOULOOldSHRAD2NGA20</v>
      </c>
      <c r="G241" s="4">
        <f>IF(SUMIFS('RES TECH'!N:N,'RES TECH'!M:M,C241)&gt;0,1,0)</f>
        <v>1</v>
      </c>
      <c r="H241" s="4">
        <f t="shared" si="3"/>
        <v>0</v>
      </c>
    </row>
    <row r="242" spans="3:8" x14ac:dyDescent="0.25">
      <c r="C242" t="str">
        <f>'RES TECH'!M240</f>
        <v>RESHOULOOldSHRAD2NGA20</v>
      </c>
      <c r="G242" s="4">
        <f>IF(SUMIFS('RES TECH'!N:N,'RES TECH'!M:M,C242)&gt;0,1,0)</f>
        <v>1</v>
      </c>
      <c r="H242" s="4">
        <f t="shared" si="3"/>
        <v>0</v>
      </c>
    </row>
    <row r="243" spans="3:8" x14ac:dyDescent="0.25">
      <c r="C243" t="str">
        <f>'RES TECH'!M241</f>
        <v>RESHOULOOldSHRAD3NGA20</v>
      </c>
      <c r="G243" s="4">
        <f>IF(SUMIFS('RES TECH'!N:N,'RES TECH'!M:M,C243)&gt;0,1,0)</f>
        <v>1</v>
      </c>
      <c r="H243" s="4">
        <f t="shared" si="3"/>
        <v>0</v>
      </c>
    </row>
    <row r="244" spans="3:8" x14ac:dyDescent="0.25">
      <c r="C244" t="str">
        <f>'RES TECH'!M242</f>
        <v>RESHOULOOldSHRAD4NGA20</v>
      </c>
      <c r="G244" s="4">
        <f>IF(SUMIFS('RES TECH'!N:N,'RES TECH'!M:M,C244)&gt;0,1,0)</f>
        <v>1</v>
      </c>
      <c r="H244" s="4">
        <f t="shared" si="3"/>
        <v>0</v>
      </c>
    </row>
    <row r="245" spans="3:8" x14ac:dyDescent="0.25">
      <c r="C245" t="str">
        <f>'RES TECH'!M243</f>
        <v>RESHOULOOldSHRAD4NGA22</v>
      </c>
      <c r="G245" s="4">
        <f>IF(SUMIFS('RES TECH'!N:N,'RES TECH'!M:M,C245)&gt;0,1,0)</f>
        <v>1</v>
      </c>
      <c r="H245" s="4">
        <f t="shared" si="3"/>
        <v>0</v>
      </c>
    </row>
    <row r="246" spans="3:8" x14ac:dyDescent="0.25">
      <c r="C246" t="str">
        <f>'RES TECH'!M244</f>
        <v>RESHOULOOldSHFUR1KER20</v>
      </c>
      <c r="G246" s="4">
        <f>IF(SUMIFS('RES TECH'!N:N,'RES TECH'!M:M,C246)&gt;0,1,0)</f>
        <v>1</v>
      </c>
      <c r="H246" s="4">
        <f t="shared" si="3"/>
        <v>0</v>
      </c>
    </row>
    <row r="247" spans="3:8" x14ac:dyDescent="0.25">
      <c r="C247" t="str">
        <f>'RES TECH'!M245</f>
        <v>RESHOULOOldSHFUR2KER20</v>
      </c>
      <c r="G247" s="4">
        <f>IF(SUMIFS('RES TECH'!N:N,'RES TECH'!M:M,C247)&gt;0,1,0)</f>
        <v>1</v>
      </c>
      <c r="H247" s="4">
        <f t="shared" si="3"/>
        <v>0</v>
      </c>
    </row>
    <row r="248" spans="3:8" x14ac:dyDescent="0.25">
      <c r="C248" t="str">
        <f>'RES TECH'!M246</f>
        <v>RESHOULOOldSHFUR2KER20</v>
      </c>
      <c r="G248" s="4">
        <f>IF(SUMIFS('RES TECH'!N:N,'RES TECH'!M:M,C248)&gt;0,1,0)</f>
        <v>1</v>
      </c>
      <c r="H248" s="4">
        <f t="shared" si="3"/>
        <v>0</v>
      </c>
    </row>
    <row r="249" spans="3:8" x14ac:dyDescent="0.25">
      <c r="C249" t="str">
        <f>'RES TECH'!M247</f>
        <v>RESHOULOOldSHFUR3KER20</v>
      </c>
      <c r="G249" s="4">
        <f>IF(SUMIFS('RES TECH'!N:N,'RES TECH'!M:M,C249)&gt;0,1,0)</f>
        <v>1</v>
      </c>
      <c r="H249" s="4">
        <f t="shared" si="3"/>
        <v>0</v>
      </c>
    </row>
    <row r="250" spans="3:8" x14ac:dyDescent="0.25">
      <c r="C250" t="str">
        <f>'RES TECH'!M248</f>
        <v>RESHOULOOldSHFUR4KER20</v>
      </c>
      <c r="G250" s="4">
        <f>IF(SUMIFS('RES TECH'!N:N,'RES TECH'!M:M,C250)&gt;0,1,0)</f>
        <v>1</v>
      </c>
      <c r="H250" s="4">
        <f t="shared" si="3"/>
        <v>0</v>
      </c>
    </row>
    <row r="251" spans="3:8" x14ac:dyDescent="0.25">
      <c r="C251" t="str">
        <f>'RES TECH'!M249</f>
        <v>RESHOULOOldSHFUR4KER20</v>
      </c>
      <c r="G251" s="4">
        <f>IF(SUMIFS('RES TECH'!N:N,'RES TECH'!M:M,C251)&gt;0,1,0)</f>
        <v>1</v>
      </c>
      <c r="H251" s="4">
        <f t="shared" si="3"/>
        <v>0</v>
      </c>
    </row>
    <row r="252" spans="3:8" x14ac:dyDescent="0.25">
      <c r="C252" t="str">
        <f>'RES TECH'!M250</f>
        <v>RESHOULOOldSHFUR1LPG20</v>
      </c>
      <c r="G252" s="4">
        <f>IF(SUMIFS('RES TECH'!N:N,'RES TECH'!M:M,C252)&gt;0,1,0)</f>
        <v>1</v>
      </c>
      <c r="H252" s="4">
        <f t="shared" si="3"/>
        <v>0</v>
      </c>
    </row>
    <row r="253" spans="3:8" x14ac:dyDescent="0.25">
      <c r="C253" t="str">
        <f>'RES TECH'!M251</f>
        <v>RESHOULOOldSHFUR2LPG20</v>
      </c>
      <c r="G253" s="4">
        <f>IF(SUMIFS('RES TECH'!N:N,'RES TECH'!M:M,C253)&gt;0,1,0)</f>
        <v>1</v>
      </c>
      <c r="H253" s="4">
        <f t="shared" si="3"/>
        <v>0</v>
      </c>
    </row>
    <row r="254" spans="3:8" x14ac:dyDescent="0.25">
      <c r="C254" t="str">
        <f>'RES TECH'!M252</f>
        <v>RESHOULOOldSHFUR2LPG20</v>
      </c>
      <c r="G254" s="4">
        <f>IF(SUMIFS('RES TECH'!N:N,'RES TECH'!M:M,C254)&gt;0,1,0)</f>
        <v>1</v>
      </c>
      <c r="H254" s="4">
        <f t="shared" si="3"/>
        <v>0</v>
      </c>
    </row>
    <row r="255" spans="3:8" x14ac:dyDescent="0.25">
      <c r="C255" t="str">
        <f>'RES TECH'!M253</f>
        <v>RESHOULOOldSHFUR3LPG20</v>
      </c>
      <c r="G255" s="4">
        <f>IF(SUMIFS('RES TECH'!N:N,'RES TECH'!M:M,C255)&gt;0,1,0)</f>
        <v>1</v>
      </c>
      <c r="H255" s="4">
        <f t="shared" si="3"/>
        <v>0</v>
      </c>
    </row>
    <row r="256" spans="3:8" x14ac:dyDescent="0.25">
      <c r="C256" t="str">
        <f>'RES TECH'!M254</f>
        <v>RESHOULOOldSHFUR3LPG22</v>
      </c>
      <c r="G256" s="4">
        <f>IF(SUMIFS('RES TECH'!N:N,'RES TECH'!M:M,C256)&gt;0,1,0)</f>
        <v>1</v>
      </c>
      <c r="H256" s="4">
        <f t="shared" si="3"/>
        <v>0</v>
      </c>
    </row>
    <row r="257" spans="3:8" x14ac:dyDescent="0.25">
      <c r="C257" t="str">
        <f>'RES TECH'!M255</f>
        <v>RESHOULOOldSHFUR4LPG20</v>
      </c>
      <c r="G257" s="4">
        <f>IF(SUMIFS('RES TECH'!N:N,'RES TECH'!M:M,C257)&gt;0,1,0)</f>
        <v>1</v>
      </c>
      <c r="H257" s="4">
        <f t="shared" si="3"/>
        <v>0</v>
      </c>
    </row>
    <row r="258" spans="3:8" x14ac:dyDescent="0.25">
      <c r="C258" t="str">
        <f>'RES TECH'!M256</f>
        <v>RESHOULOOldSHFUR4LPG22</v>
      </c>
      <c r="G258" s="4">
        <f>IF(SUMIFS('RES TECH'!N:N,'RES TECH'!M:M,C258)&gt;0,1,0)</f>
        <v>1</v>
      </c>
      <c r="H258" s="4">
        <f t="shared" si="3"/>
        <v>0</v>
      </c>
    </row>
    <row r="259" spans="3:8" x14ac:dyDescent="0.25">
      <c r="C259" t="str">
        <f>'RES TECH'!M257</f>
        <v>RESHOULOOldSHFUR1FOI20</v>
      </c>
      <c r="G259" s="4">
        <f>IF(SUMIFS('RES TECH'!N:N,'RES TECH'!M:M,C259)&gt;0,1,0)</f>
        <v>1</v>
      </c>
      <c r="H259" s="4">
        <f t="shared" si="3"/>
        <v>0</v>
      </c>
    </row>
    <row r="260" spans="3:8" x14ac:dyDescent="0.25">
      <c r="C260" t="str">
        <f>'RES TECH'!M258</f>
        <v>RESHOULOOldSHFUR2FOI20</v>
      </c>
      <c r="G260" s="4">
        <f>IF(SUMIFS('RES TECH'!N:N,'RES TECH'!M:M,C260)&gt;0,1,0)</f>
        <v>1</v>
      </c>
      <c r="H260" s="4">
        <f t="shared" si="3"/>
        <v>0</v>
      </c>
    </row>
    <row r="261" spans="3:8" x14ac:dyDescent="0.25">
      <c r="C261" t="str">
        <f>'RES TECH'!M259</f>
        <v>RESHOULOOldSHFUR2FOI22</v>
      </c>
      <c r="G261" s="4">
        <f>IF(SUMIFS('RES TECH'!N:N,'RES TECH'!M:M,C261)&gt;0,1,0)</f>
        <v>1</v>
      </c>
      <c r="H261" s="4">
        <f t="shared" ref="H261:H324" si="4">IF(C261="","",IF(C261="*","*",0))</f>
        <v>0</v>
      </c>
    </row>
    <row r="262" spans="3:8" x14ac:dyDescent="0.25">
      <c r="C262" t="str">
        <f>'RES TECH'!M260</f>
        <v>RESHOULOOldSHFUR3FOI20</v>
      </c>
      <c r="G262" s="4">
        <f>IF(SUMIFS('RES TECH'!N:N,'RES TECH'!M:M,C262)&gt;0,1,0)</f>
        <v>1</v>
      </c>
      <c r="H262" s="4">
        <f t="shared" si="4"/>
        <v>0</v>
      </c>
    </row>
    <row r="263" spans="3:8" x14ac:dyDescent="0.25">
      <c r="C263" t="str">
        <f>'RES TECH'!M261</f>
        <v>RESHOULOOldSHFUR4FOI20</v>
      </c>
      <c r="G263" s="4">
        <f>IF(SUMIFS('RES TECH'!N:N,'RES TECH'!M:M,C263)&gt;0,1,0)</f>
        <v>1</v>
      </c>
      <c r="H263" s="4">
        <f t="shared" si="4"/>
        <v>0</v>
      </c>
    </row>
    <row r="264" spans="3:8" x14ac:dyDescent="0.25">
      <c r="C264" t="str">
        <f>'RES TECH'!M262</f>
        <v>RESHOULOOldSHFUR4FOI22</v>
      </c>
      <c r="G264" s="4">
        <f>IF(SUMIFS('RES TECH'!N:N,'RES TECH'!M:M,C264)&gt;0,1,0)</f>
        <v>1</v>
      </c>
      <c r="H264" s="4">
        <f t="shared" si="4"/>
        <v>0</v>
      </c>
    </row>
    <row r="265" spans="3:8" x14ac:dyDescent="0.25">
      <c r="C265" t="str">
        <f>'RES TECH'!M263</f>
        <v>RESHOULOOldSHRAD1FOI20</v>
      </c>
      <c r="G265" s="4">
        <f>IF(SUMIFS('RES TECH'!N:N,'RES TECH'!M:M,C265)&gt;0,1,0)</f>
        <v>1</v>
      </c>
      <c r="H265" s="4">
        <f t="shared" si="4"/>
        <v>0</v>
      </c>
    </row>
    <row r="266" spans="3:8" x14ac:dyDescent="0.25">
      <c r="C266" t="str">
        <f>'RES TECH'!M264</f>
        <v>RESHOULOOldSHRAD1FOI22</v>
      </c>
      <c r="G266" s="4">
        <f>IF(SUMIFS('RES TECH'!N:N,'RES TECH'!M:M,C266)&gt;0,1,0)</f>
        <v>1</v>
      </c>
      <c r="H266" s="4">
        <f t="shared" si="4"/>
        <v>0</v>
      </c>
    </row>
    <row r="267" spans="3:8" x14ac:dyDescent="0.25">
      <c r="C267" t="str">
        <f>'RES TECH'!M265</f>
        <v>RESHOULOOldSHRAD2FOI20</v>
      </c>
      <c r="G267" s="4">
        <f>IF(SUMIFS('RES TECH'!N:N,'RES TECH'!M:M,C267)&gt;0,1,0)</f>
        <v>1</v>
      </c>
      <c r="H267" s="4">
        <f t="shared" si="4"/>
        <v>0</v>
      </c>
    </row>
    <row r="268" spans="3:8" x14ac:dyDescent="0.25">
      <c r="C268" t="str">
        <f>'RES TECH'!M266</f>
        <v>RESHOULOOldSHRAD2FOI22</v>
      </c>
      <c r="G268" s="4">
        <f>IF(SUMIFS('RES TECH'!N:N,'RES TECH'!M:M,C268)&gt;0,1,0)</f>
        <v>1</v>
      </c>
      <c r="H268" s="4">
        <f t="shared" si="4"/>
        <v>0</v>
      </c>
    </row>
    <row r="269" spans="3:8" x14ac:dyDescent="0.25">
      <c r="C269" t="str">
        <f>'RES TECH'!M267</f>
        <v>RESHOULOOldSHRAD3FOI20</v>
      </c>
      <c r="G269" s="4">
        <f>IF(SUMIFS('RES TECH'!N:N,'RES TECH'!M:M,C269)&gt;0,1,0)</f>
        <v>1</v>
      </c>
      <c r="H269" s="4">
        <f t="shared" si="4"/>
        <v>0</v>
      </c>
    </row>
    <row r="270" spans="3:8" x14ac:dyDescent="0.25">
      <c r="C270" t="str">
        <f>'RES TECH'!M268</f>
        <v>RESHOULOOldSHRAD4FOI20</v>
      </c>
      <c r="G270" s="4">
        <f>IF(SUMIFS('RES TECH'!N:N,'RES TECH'!M:M,C270)&gt;0,1,0)</f>
        <v>1</v>
      </c>
      <c r="H270" s="4">
        <f t="shared" si="4"/>
        <v>0</v>
      </c>
    </row>
    <row r="271" spans="3:8" x14ac:dyDescent="0.25">
      <c r="C271" t="str">
        <f>'RES TECH'!M269</f>
        <v>RESHOULOOldSCAHP2NGA20</v>
      </c>
      <c r="G271" s="4">
        <f>IF(SUMIFS('RES TECH'!N:N,'RES TECH'!M:M,C271)&gt;0,1,0)</f>
        <v>1</v>
      </c>
      <c r="H271" s="4">
        <f t="shared" si="4"/>
        <v>0</v>
      </c>
    </row>
    <row r="272" spans="3:8" x14ac:dyDescent="0.25">
      <c r="C272" t="str">
        <f>'RES TECH'!M270</f>
        <v>RESHOULOOldSCAHP2NGA20</v>
      </c>
      <c r="G272" s="4">
        <f>IF(SUMIFS('RES TECH'!N:N,'RES TECH'!M:M,C272)&gt;0,1,0)</f>
        <v>1</v>
      </c>
      <c r="H272" s="4">
        <f t="shared" si="4"/>
        <v>0</v>
      </c>
    </row>
    <row r="273" spans="3:8" x14ac:dyDescent="0.25">
      <c r="C273" t="str">
        <f>'RES TECH'!M271</f>
        <v>RESHOULOOldSCAHP1ELC20</v>
      </c>
      <c r="G273" s="4">
        <f>IF(SUMIFS('RES TECH'!N:N,'RES TECH'!M:M,C273)&gt;0,1,0)</f>
        <v>1</v>
      </c>
      <c r="H273" s="4">
        <f t="shared" si="4"/>
        <v>0</v>
      </c>
    </row>
    <row r="274" spans="3:8" x14ac:dyDescent="0.25">
      <c r="C274" t="str">
        <f>'RES TECH'!M272</f>
        <v>RESHOULOOldSCAHP1ELC23</v>
      </c>
      <c r="G274" s="4">
        <f>IF(SUMIFS('RES TECH'!N:N,'RES TECH'!M:M,C274)&gt;0,1,0)</f>
        <v>1</v>
      </c>
      <c r="H274" s="4">
        <f t="shared" si="4"/>
        <v>0</v>
      </c>
    </row>
    <row r="275" spans="3:8" x14ac:dyDescent="0.25">
      <c r="C275" t="str">
        <f>'RES TECH'!M273</f>
        <v>RESHOULOOldSCAHP2ELC20</v>
      </c>
      <c r="G275" s="4">
        <f>IF(SUMIFS('RES TECH'!N:N,'RES TECH'!M:M,C275)&gt;0,1,0)</f>
        <v>1</v>
      </c>
      <c r="H275" s="4">
        <f t="shared" si="4"/>
        <v>0</v>
      </c>
    </row>
    <row r="276" spans="3:8" x14ac:dyDescent="0.25">
      <c r="C276" t="str">
        <f>'RES TECH'!M274</f>
        <v>RESHOULOOldSCAHP2ELC23</v>
      </c>
      <c r="G276" s="4">
        <f>IF(SUMIFS('RES TECH'!N:N,'RES TECH'!M:M,C276)&gt;0,1,0)</f>
        <v>1</v>
      </c>
      <c r="H276" s="4">
        <f t="shared" si="4"/>
        <v>0</v>
      </c>
    </row>
    <row r="277" spans="3:8" x14ac:dyDescent="0.25">
      <c r="C277" t="str">
        <f>'RES TECH'!M275</f>
        <v>RESHOULOOldSCAHP3ELC20</v>
      </c>
      <c r="G277" s="4">
        <f>IF(SUMIFS('RES TECH'!N:N,'RES TECH'!M:M,C277)&gt;0,1,0)</f>
        <v>1</v>
      </c>
      <c r="H277" s="4">
        <f t="shared" si="4"/>
        <v>0</v>
      </c>
    </row>
    <row r="278" spans="3:8" x14ac:dyDescent="0.25">
      <c r="C278" t="str">
        <f>'RES TECH'!M276</f>
        <v>RESHOULOOldSCAHP3ELC22</v>
      </c>
      <c r="G278" s="4">
        <f>IF(SUMIFS('RES TECH'!N:N,'RES TECH'!M:M,C278)&gt;0,1,0)</f>
        <v>1</v>
      </c>
      <c r="H278" s="4">
        <f t="shared" si="4"/>
        <v>0</v>
      </c>
    </row>
    <row r="279" spans="3:8" x14ac:dyDescent="0.25">
      <c r="C279" t="str">
        <f>'RES TECH'!M277</f>
        <v>RESHOULOOldSCAHP3ELC23</v>
      </c>
      <c r="G279" s="4">
        <f>IF(SUMIFS('RES TECH'!N:N,'RES TECH'!M:M,C279)&gt;0,1,0)</f>
        <v>1</v>
      </c>
      <c r="H279" s="4">
        <f t="shared" si="4"/>
        <v>0</v>
      </c>
    </row>
    <row r="280" spans="3:8" x14ac:dyDescent="0.25">
      <c r="C280" t="str">
        <f>'RES TECH'!M278</f>
        <v>RESHOULOOldSCAHP4ELC20</v>
      </c>
      <c r="G280" s="4">
        <f>IF(SUMIFS('RES TECH'!N:N,'RES TECH'!M:M,C280)&gt;0,1,0)</f>
        <v>1</v>
      </c>
      <c r="H280" s="4">
        <f t="shared" si="4"/>
        <v>0</v>
      </c>
    </row>
    <row r="281" spans="3:8" x14ac:dyDescent="0.25">
      <c r="C281" t="str">
        <f>'RES TECH'!M279</f>
        <v>RESHOULOOldSCAHP4ELC22</v>
      </c>
      <c r="G281" s="4">
        <f>IF(SUMIFS('RES TECH'!N:N,'RES TECH'!M:M,C281)&gt;0,1,0)</f>
        <v>1</v>
      </c>
      <c r="H281" s="4">
        <f t="shared" si="4"/>
        <v>0</v>
      </c>
    </row>
    <row r="282" spans="3:8" x14ac:dyDescent="0.25">
      <c r="C282" t="str">
        <f>'RES TECH'!M280</f>
        <v>RESHOULOOldSCGHP1ELC20</v>
      </c>
      <c r="G282" s="4">
        <f>IF(SUMIFS('RES TECH'!N:N,'RES TECH'!M:M,C282)&gt;0,1,0)</f>
        <v>1</v>
      </c>
      <c r="H282" s="4">
        <f t="shared" si="4"/>
        <v>0</v>
      </c>
    </row>
    <row r="283" spans="3:8" x14ac:dyDescent="0.25">
      <c r="C283" t="str">
        <f>'RES TECH'!M281</f>
        <v>RESHOULOOldSCGHP2ELC20</v>
      </c>
      <c r="G283" s="4">
        <f>IF(SUMIFS('RES TECH'!N:N,'RES TECH'!M:M,C283)&gt;0,1,0)</f>
        <v>1</v>
      </c>
      <c r="H283" s="4">
        <f t="shared" si="4"/>
        <v>0</v>
      </c>
    </row>
    <row r="284" spans="3:8" x14ac:dyDescent="0.25">
      <c r="C284" t="str">
        <f>'RES TECH'!M282</f>
        <v>RESHOULOOldSCGHP3ELC20</v>
      </c>
      <c r="G284" s="4">
        <f>IF(SUMIFS('RES TECH'!N:N,'RES TECH'!M:M,C284)&gt;0,1,0)</f>
        <v>1</v>
      </c>
      <c r="H284" s="4">
        <f t="shared" si="4"/>
        <v>0</v>
      </c>
    </row>
    <row r="285" spans="3:8" x14ac:dyDescent="0.25">
      <c r="C285" t="str">
        <f>'RES TECH'!M283</f>
        <v>RESHOULOOldSCGHP3ELC20</v>
      </c>
      <c r="G285" s="4">
        <f>IF(SUMIFS('RES TECH'!N:N,'RES TECH'!M:M,C285)&gt;0,1,0)</f>
        <v>1</v>
      </c>
      <c r="H285" s="4">
        <f t="shared" si="4"/>
        <v>0</v>
      </c>
    </row>
    <row r="286" spans="3:8" x14ac:dyDescent="0.25">
      <c r="C286" t="str">
        <f>'RES TECH'!M284</f>
        <v>RESHOULOOldSCGHP3ELC22</v>
      </c>
      <c r="G286" s="4">
        <f>IF(SUMIFS('RES TECH'!N:N,'RES TECH'!M:M,C286)&gt;0,1,0)</f>
        <v>1</v>
      </c>
      <c r="H286" s="4">
        <f t="shared" si="4"/>
        <v>0</v>
      </c>
    </row>
    <row r="287" spans="3:8" x14ac:dyDescent="0.25">
      <c r="C287" t="str">
        <f>'RES TECH'!M285</f>
        <v>RESHOULOOldSCGHP3ELC23</v>
      </c>
      <c r="G287" s="4">
        <f>IF(SUMIFS('RES TECH'!N:N,'RES TECH'!M:M,C287)&gt;0,1,0)</f>
        <v>1</v>
      </c>
      <c r="H287" s="4">
        <f t="shared" si="4"/>
        <v>0</v>
      </c>
    </row>
    <row r="288" spans="3:8" x14ac:dyDescent="0.25">
      <c r="C288" t="str">
        <f>'RES TECH'!M286</f>
        <v>RESHOULOOldSCGHP3ELC24</v>
      </c>
      <c r="G288" s="4">
        <f>IF(SUMIFS('RES TECH'!N:N,'RES TECH'!M:M,C288)&gt;0,1,0)</f>
        <v>1</v>
      </c>
      <c r="H288" s="4">
        <f t="shared" si="4"/>
        <v>0</v>
      </c>
    </row>
    <row r="289" spans="3:8" x14ac:dyDescent="0.25">
      <c r="C289" t="str">
        <f>'RES TECH'!M287</f>
        <v>RESHOULOOldSCGHP4ELC20</v>
      </c>
      <c r="G289" s="4">
        <f>IF(SUMIFS('RES TECH'!N:N,'RES TECH'!M:M,C289)&gt;0,1,0)</f>
        <v>1</v>
      </c>
      <c r="H289" s="4">
        <f t="shared" si="4"/>
        <v>0</v>
      </c>
    </row>
    <row r="290" spans="3:8" x14ac:dyDescent="0.25">
      <c r="C290" t="str">
        <f>'RES TECH'!M288</f>
        <v>RESHOULOOldSCGHP4ELC20</v>
      </c>
      <c r="G290" s="4">
        <f>IF(SUMIFS('RES TECH'!N:N,'RES TECH'!M:M,C290)&gt;0,1,0)</f>
        <v>1</v>
      </c>
      <c r="H290" s="4">
        <f t="shared" si="4"/>
        <v>0</v>
      </c>
    </row>
    <row r="291" spans="3:8" x14ac:dyDescent="0.25">
      <c r="C291" t="str">
        <f>'RES TECH'!M289</f>
        <v>RESHOULOOldSCGHP4ELC22</v>
      </c>
      <c r="G291" s="4">
        <f>IF(SUMIFS('RES TECH'!N:N,'RES TECH'!M:M,C291)&gt;0,1,0)</f>
        <v>1</v>
      </c>
      <c r="H291" s="4">
        <f t="shared" si="4"/>
        <v>0</v>
      </c>
    </row>
    <row r="292" spans="3:8" x14ac:dyDescent="0.25">
      <c r="C292" t="str">
        <f>'RES TECH'!M290</f>
        <v>RESHOULOOldSCGHP4ELC23</v>
      </c>
      <c r="G292" s="4">
        <f>IF(SUMIFS('RES TECH'!N:N,'RES TECH'!M:M,C292)&gt;0,1,0)</f>
        <v>1</v>
      </c>
      <c r="H292" s="4">
        <f t="shared" si="4"/>
        <v>0</v>
      </c>
    </row>
    <row r="293" spans="3:8" x14ac:dyDescent="0.25">
      <c r="C293" t="str">
        <f>'RES TECH'!M291</f>
        <v>RESHOULOOldSCGHP4ELC24</v>
      </c>
      <c r="G293" s="4">
        <f>IF(SUMIFS('RES TECH'!N:N,'RES TECH'!M:M,C293)&gt;0,1,0)</f>
        <v>1</v>
      </c>
      <c r="H293" s="4">
        <f t="shared" si="4"/>
        <v>0</v>
      </c>
    </row>
    <row r="294" spans="3:8" x14ac:dyDescent="0.25">
      <c r="C294" t="str">
        <f>'RES TECH'!M292</f>
        <v>RESHOULOOldSCRAC1ELC20</v>
      </c>
      <c r="G294" s="4">
        <f>IF(SUMIFS('RES TECH'!N:N,'RES TECH'!M:M,C294)&gt;0,1,0)</f>
        <v>1</v>
      </c>
      <c r="H294" s="4">
        <f t="shared" si="4"/>
        <v>0</v>
      </c>
    </row>
    <row r="295" spans="3:8" x14ac:dyDescent="0.25">
      <c r="C295" t="str">
        <f>'RES TECH'!M293</f>
        <v>RESHOULOOldSCRAC2ELC20</v>
      </c>
      <c r="G295" s="4">
        <f>IF(SUMIFS('RES TECH'!N:N,'RES TECH'!M:M,C295)&gt;0,1,0)</f>
        <v>1</v>
      </c>
      <c r="H295" s="4">
        <f t="shared" si="4"/>
        <v>0</v>
      </c>
    </row>
    <row r="296" spans="3:8" x14ac:dyDescent="0.25">
      <c r="C296" t="str">
        <f>'RES TECH'!M294</f>
        <v>RESHOULOOldSCRAC2ELC30</v>
      </c>
      <c r="G296" s="4">
        <f>IF(SUMIFS('RES TECH'!N:N,'RES TECH'!M:M,C296)&gt;0,1,0)</f>
        <v>1</v>
      </c>
      <c r="H296" s="4">
        <f t="shared" si="4"/>
        <v>0</v>
      </c>
    </row>
    <row r="297" spans="3:8" x14ac:dyDescent="0.25">
      <c r="C297" t="str">
        <f>'RES TECH'!M295</f>
        <v>RESHOULOOldSCRAC2ELC40</v>
      </c>
      <c r="G297" s="4">
        <f>IF(SUMIFS('RES TECH'!N:N,'RES TECH'!M:M,C297)&gt;0,1,0)</f>
        <v>1</v>
      </c>
      <c r="H297" s="4">
        <f t="shared" si="4"/>
        <v>0</v>
      </c>
    </row>
    <row r="298" spans="3:8" x14ac:dyDescent="0.25">
      <c r="C298" t="str">
        <f>'RES TECH'!M296</f>
        <v>RESHOULOOldSCRAC3ELC20</v>
      </c>
      <c r="G298" s="4">
        <f>IF(SUMIFS('RES TECH'!N:N,'RES TECH'!M:M,C298)&gt;0,1,0)</f>
        <v>1</v>
      </c>
      <c r="H298" s="4">
        <f t="shared" si="4"/>
        <v>0</v>
      </c>
    </row>
    <row r="299" spans="3:8" x14ac:dyDescent="0.25">
      <c r="C299" t="str">
        <f>'RES TECH'!M297</f>
        <v>RESHOULOOldSCRAC4ELC20</v>
      </c>
      <c r="G299" s="4">
        <f>IF(SUMIFS('RES TECH'!N:N,'RES TECH'!M:M,C299)&gt;0,1,0)</f>
        <v>1</v>
      </c>
      <c r="H299" s="4">
        <f t="shared" si="4"/>
        <v>0</v>
      </c>
    </row>
    <row r="300" spans="3:8" x14ac:dyDescent="0.25">
      <c r="C300" t="str">
        <f>'RES TECH'!M298</f>
        <v>RESHOULOOldSCRAC4ELC22</v>
      </c>
      <c r="G300" s="4">
        <f>IF(SUMIFS('RES TECH'!N:N,'RES TECH'!M:M,C300)&gt;0,1,0)</f>
        <v>1</v>
      </c>
      <c r="H300" s="4">
        <f t="shared" si="4"/>
        <v>0</v>
      </c>
    </row>
    <row r="301" spans="3:8" x14ac:dyDescent="0.25">
      <c r="C301" t="str">
        <f>'RES TECH'!M299</f>
        <v>RESHOULOOldSCRAC4ELC30</v>
      </c>
      <c r="G301" s="4">
        <f>IF(SUMIFS('RES TECH'!N:N,'RES TECH'!M:M,C301)&gt;0,1,0)</f>
        <v>1</v>
      </c>
      <c r="H301" s="4">
        <f t="shared" si="4"/>
        <v>0</v>
      </c>
    </row>
    <row r="302" spans="3:8" x14ac:dyDescent="0.25">
      <c r="C302" t="str">
        <f>'RES TECH'!M300</f>
        <v>RESHOULOOldSCRAC4ELC40</v>
      </c>
      <c r="G302" s="4">
        <f>IF(SUMIFS('RES TECH'!N:N,'RES TECH'!M:M,C302)&gt;0,1,0)</f>
        <v>1</v>
      </c>
      <c r="H302" s="4">
        <f t="shared" si="4"/>
        <v>0</v>
      </c>
    </row>
    <row r="303" spans="3:8" x14ac:dyDescent="0.25">
      <c r="C303" t="str">
        <f>'RES TECH'!M301</f>
        <v>RESHOULOOldSCCAC1ELC20</v>
      </c>
      <c r="G303" s="4">
        <f>IF(SUMIFS('RES TECH'!N:N,'RES TECH'!M:M,C303)&gt;0,1,0)</f>
        <v>1</v>
      </c>
      <c r="H303" s="4">
        <f t="shared" si="4"/>
        <v>0</v>
      </c>
    </row>
    <row r="304" spans="3:8" x14ac:dyDescent="0.25">
      <c r="C304" t="str">
        <f>'RES TECH'!M302</f>
        <v>RESHOULOOldSCCAC1ELC23</v>
      </c>
      <c r="G304" s="4">
        <f>IF(SUMIFS('RES TECH'!N:N,'RES TECH'!M:M,C304)&gt;0,1,0)</f>
        <v>1</v>
      </c>
      <c r="H304" s="4">
        <f t="shared" si="4"/>
        <v>0</v>
      </c>
    </row>
    <row r="305" spans="3:8" x14ac:dyDescent="0.25">
      <c r="C305" t="str">
        <f>'RES TECH'!M303</f>
        <v>RESHOULOOldSCCAC2ELC20</v>
      </c>
      <c r="G305" s="4">
        <f>IF(SUMIFS('RES TECH'!N:N,'RES TECH'!M:M,C305)&gt;0,1,0)</f>
        <v>1</v>
      </c>
      <c r="H305" s="4">
        <f t="shared" si="4"/>
        <v>0</v>
      </c>
    </row>
    <row r="306" spans="3:8" x14ac:dyDescent="0.25">
      <c r="C306" t="str">
        <f>'RES TECH'!M304</f>
        <v>RESHOULOOldSCCAC2ELC23</v>
      </c>
      <c r="G306" s="4">
        <f>IF(SUMIFS('RES TECH'!N:N,'RES TECH'!M:M,C306)&gt;0,1,0)</f>
        <v>1</v>
      </c>
      <c r="H306" s="4">
        <f t="shared" si="4"/>
        <v>0</v>
      </c>
    </row>
    <row r="307" spans="3:8" x14ac:dyDescent="0.25">
      <c r="C307" t="str">
        <f>'RES TECH'!M305</f>
        <v>RESHOULOOldSCCAC3ELC20</v>
      </c>
      <c r="G307" s="4">
        <f>IF(SUMIFS('RES TECH'!N:N,'RES TECH'!M:M,C307)&gt;0,1,0)</f>
        <v>1</v>
      </c>
      <c r="H307" s="4">
        <f t="shared" si="4"/>
        <v>0</v>
      </c>
    </row>
    <row r="308" spans="3:8" x14ac:dyDescent="0.25">
      <c r="C308" t="str">
        <f>'RES TECH'!M306</f>
        <v>RESHOULOOldSCCAC3ELC23</v>
      </c>
      <c r="G308" s="4">
        <f>IF(SUMIFS('RES TECH'!N:N,'RES TECH'!M:M,C308)&gt;0,1,0)</f>
        <v>1</v>
      </c>
      <c r="H308" s="4">
        <f t="shared" si="4"/>
        <v>0</v>
      </c>
    </row>
    <row r="309" spans="3:8" x14ac:dyDescent="0.25">
      <c r="C309" t="str">
        <f>'RES TECH'!M307</f>
        <v>RESHOULOOldSCCAC4ELC20</v>
      </c>
      <c r="G309" s="4">
        <f>IF(SUMIFS('RES TECH'!N:N,'RES TECH'!M:M,C309)&gt;0,1,0)</f>
        <v>1</v>
      </c>
      <c r="H309" s="4">
        <f t="shared" si="4"/>
        <v>0</v>
      </c>
    </row>
    <row r="310" spans="3:8" x14ac:dyDescent="0.25">
      <c r="C310" t="str">
        <f>'RES TECH'!M308</f>
        <v>RESHOULOOldSCCAC4ELC22</v>
      </c>
      <c r="G310" s="4">
        <f>IF(SUMIFS('RES TECH'!N:N,'RES TECH'!M:M,C310)&gt;0,1,0)</f>
        <v>1</v>
      </c>
      <c r="H310" s="4">
        <f t="shared" si="4"/>
        <v>0</v>
      </c>
    </row>
    <row r="311" spans="3:8" x14ac:dyDescent="0.25">
      <c r="C311" t="str">
        <f>'RES TECH'!M309</f>
        <v>RESHOULOOldRETF1ELC20</v>
      </c>
      <c r="G311" s="4">
        <f>IF(SUMIFS('RES TECH'!N:N,'RES TECH'!M:M,C311)&gt;0,1,0)</f>
        <v>1</v>
      </c>
      <c r="H311" s="4">
        <f t="shared" si="4"/>
        <v>0</v>
      </c>
    </row>
    <row r="312" spans="3:8" x14ac:dyDescent="0.25">
      <c r="C312" t="str">
        <f>'RES TECH'!M310</f>
        <v>RESHOULOOldRETF2ELC20</v>
      </c>
      <c r="G312" s="4">
        <f>IF(SUMIFS('RES TECH'!N:N,'RES TECH'!M:M,C312)&gt;0,1,0)</f>
        <v>1</v>
      </c>
      <c r="H312" s="4">
        <f t="shared" si="4"/>
        <v>0</v>
      </c>
    </row>
    <row r="313" spans="3:8" x14ac:dyDescent="0.25">
      <c r="C313" t="str">
        <f>'RES TECH'!M311</f>
        <v>RESHOULOOldRETF3ELC20</v>
      </c>
      <c r="G313" s="4">
        <f>IF(SUMIFS('RES TECH'!N:N,'RES TECH'!M:M,C313)&gt;0,1,0)</f>
        <v>1</v>
      </c>
      <c r="H313" s="4">
        <f t="shared" si="4"/>
        <v>0</v>
      </c>
    </row>
    <row r="314" spans="3:8" x14ac:dyDescent="0.25">
      <c r="C314" t="str">
        <f>'RES TECH'!M312</f>
        <v>RESHOULOOldRETF4ELC20</v>
      </c>
      <c r="G314" s="4">
        <f>IF(SUMIFS('RES TECH'!N:N,'RES TECH'!M:M,C314)&gt;0,1,0)</f>
        <v>1</v>
      </c>
      <c r="H314" s="4">
        <f t="shared" si="4"/>
        <v>0</v>
      </c>
    </row>
    <row r="315" spans="3:8" x14ac:dyDescent="0.25">
      <c r="C315" t="str">
        <f>'RES TECH'!M313</f>
        <v>RESHOULOOldRESF1ELC20</v>
      </c>
      <c r="G315" s="4">
        <f>IF(SUMIFS('RES TECH'!N:N,'RES TECH'!M:M,C315)&gt;0,1,0)</f>
        <v>1</v>
      </c>
      <c r="H315" s="4">
        <f t="shared" si="4"/>
        <v>0</v>
      </c>
    </row>
    <row r="316" spans="3:8" x14ac:dyDescent="0.25">
      <c r="C316" t="str">
        <f>'RES TECH'!M314</f>
        <v>RESHOULOOldRESF2ELC20</v>
      </c>
      <c r="G316" s="4">
        <f>IF(SUMIFS('RES TECH'!N:N,'RES TECH'!M:M,C316)&gt;0,1,0)</f>
        <v>1</v>
      </c>
      <c r="H316" s="4">
        <f t="shared" si="4"/>
        <v>0</v>
      </c>
    </row>
    <row r="317" spans="3:8" x14ac:dyDescent="0.25">
      <c r="C317" t="str">
        <f>'RES TECH'!M315</f>
        <v>RESHOULOOldRESF3ELC20</v>
      </c>
      <c r="G317" s="4">
        <f>IF(SUMIFS('RES TECH'!N:N,'RES TECH'!M:M,C317)&gt;0,1,0)</f>
        <v>1</v>
      </c>
      <c r="H317" s="4">
        <f t="shared" si="4"/>
        <v>0</v>
      </c>
    </row>
    <row r="318" spans="3:8" x14ac:dyDescent="0.25">
      <c r="C318" t="str">
        <f>'RES TECH'!M316</f>
        <v>RESHOULOOldRESF4ELC20</v>
      </c>
      <c r="G318" s="4">
        <f>IF(SUMIFS('RES TECH'!N:N,'RES TECH'!M:M,C318)&gt;0,1,0)</f>
        <v>1</v>
      </c>
      <c r="H318" s="4">
        <f t="shared" si="4"/>
        <v>0</v>
      </c>
    </row>
    <row r="319" spans="3:8" x14ac:dyDescent="0.25">
      <c r="C319" t="str">
        <f>'RES TECH'!M317</f>
        <v>RESHOULOOldREBF1ELC20</v>
      </c>
      <c r="G319" s="4">
        <f>IF(SUMIFS('RES TECH'!N:N,'RES TECH'!M:M,C319)&gt;0,1,0)</f>
        <v>1</v>
      </c>
      <c r="H319" s="4">
        <f t="shared" si="4"/>
        <v>0</v>
      </c>
    </row>
    <row r="320" spans="3:8" x14ac:dyDescent="0.25">
      <c r="C320" t="str">
        <f>'RES TECH'!M318</f>
        <v>RESHOULOOldREBF2ELC20</v>
      </c>
      <c r="G320" s="4">
        <f>IF(SUMIFS('RES TECH'!N:N,'RES TECH'!M:M,C320)&gt;0,1,0)</f>
        <v>1</v>
      </c>
      <c r="H320" s="4">
        <f t="shared" si="4"/>
        <v>0</v>
      </c>
    </row>
    <row r="321" spans="3:8" x14ac:dyDescent="0.25">
      <c r="C321" t="str">
        <f>'RES TECH'!M319</f>
        <v>RESHOULOOldREBF3ELC20</v>
      </c>
      <c r="G321" s="4">
        <f>IF(SUMIFS('RES TECH'!N:N,'RES TECH'!M:M,C321)&gt;0,1,0)</f>
        <v>1</v>
      </c>
      <c r="H321" s="4">
        <f t="shared" si="4"/>
        <v>0</v>
      </c>
    </row>
    <row r="322" spans="3:8" x14ac:dyDescent="0.25">
      <c r="C322" t="str">
        <f>'RES TECH'!M320</f>
        <v>RESHOULOOldREBF4ELC20</v>
      </c>
      <c r="G322" s="4">
        <f>IF(SUMIFS('RES TECH'!N:N,'RES TECH'!M:M,C322)&gt;0,1,0)</f>
        <v>1</v>
      </c>
      <c r="H322" s="4">
        <f t="shared" si="4"/>
        <v>0</v>
      </c>
    </row>
    <row r="323" spans="3:8" x14ac:dyDescent="0.25">
      <c r="C323" t="str">
        <f>'RES TECH'!M321</f>
        <v>RESHOULOOldFRC1ELC20</v>
      </c>
      <c r="G323" s="4">
        <f>IF(SUMIFS('RES TECH'!N:N,'RES TECH'!M:M,C323)&gt;0,1,0)</f>
        <v>1</v>
      </c>
      <c r="H323" s="4">
        <f t="shared" si="4"/>
        <v>0</v>
      </c>
    </row>
    <row r="324" spans="3:8" x14ac:dyDescent="0.25">
      <c r="C324" t="str">
        <f>'RES TECH'!M322</f>
        <v>RESHOULOOldFRC2ELC20</v>
      </c>
      <c r="G324" s="4">
        <f>IF(SUMIFS('RES TECH'!N:N,'RES TECH'!M:M,C324)&gt;0,1,0)</f>
        <v>1</v>
      </c>
      <c r="H324" s="4">
        <f t="shared" si="4"/>
        <v>0</v>
      </c>
    </row>
    <row r="325" spans="3:8" x14ac:dyDescent="0.25">
      <c r="C325" t="str">
        <f>'RES TECH'!M323</f>
        <v>RESHOULOOldFRC3ELC20</v>
      </c>
      <c r="G325" s="4">
        <f>IF(SUMIFS('RES TECH'!N:N,'RES TECH'!M:M,C325)&gt;0,1,0)</f>
        <v>1</v>
      </c>
      <c r="H325" s="4">
        <f t="shared" ref="H325:H388" si="5">IF(C325="","",IF(C325="*","*",0))</f>
        <v>0</v>
      </c>
    </row>
    <row r="326" spans="3:8" x14ac:dyDescent="0.25">
      <c r="C326" t="str">
        <f>'RES TECH'!M324</f>
        <v>RESHOULOOldFRC4ELC20</v>
      </c>
      <c r="G326" s="4">
        <f>IF(SUMIFS('RES TECH'!N:N,'RES TECH'!M:M,C326)&gt;0,1,0)</f>
        <v>1</v>
      </c>
      <c r="H326" s="4">
        <f t="shared" si="5"/>
        <v>0</v>
      </c>
    </row>
    <row r="327" spans="3:8" x14ac:dyDescent="0.25">
      <c r="C327" t="str">
        <f>'RES TECH'!M325</f>
        <v>RESHOULOOldFRU1ELC20</v>
      </c>
      <c r="G327" s="4">
        <f>IF(SUMIFS('RES TECH'!N:N,'RES TECH'!M:M,C327)&gt;0,1,0)</f>
        <v>1</v>
      </c>
      <c r="H327" s="4">
        <f t="shared" si="5"/>
        <v>0</v>
      </c>
    </row>
    <row r="328" spans="3:8" x14ac:dyDescent="0.25">
      <c r="C328" t="str">
        <f>'RES TECH'!M326</f>
        <v>RESHOULOOldFRU2ELC20</v>
      </c>
      <c r="G328" s="4">
        <f>IF(SUMIFS('RES TECH'!N:N,'RES TECH'!M:M,C328)&gt;0,1,0)</f>
        <v>1</v>
      </c>
      <c r="H328" s="4">
        <f t="shared" si="5"/>
        <v>0</v>
      </c>
    </row>
    <row r="329" spans="3:8" x14ac:dyDescent="0.25">
      <c r="C329" t="str">
        <f>'RES TECH'!M327</f>
        <v>RESHOULOOldFRU3ELC20</v>
      </c>
      <c r="G329" s="4">
        <f>IF(SUMIFS('RES TECH'!N:N,'RES TECH'!M:M,C329)&gt;0,1,0)</f>
        <v>1</v>
      </c>
      <c r="H329" s="4">
        <f t="shared" si="5"/>
        <v>0</v>
      </c>
    </row>
    <row r="330" spans="3:8" x14ac:dyDescent="0.25">
      <c r="C330" t="str">
        <f>'RES TECH'!M328</f>
        <v>RESHOULOOldFRU4ELC20</v>
      </c>
      <c r="G330" s="4">
        <f>IF(SUMIFS('RES TECH'!N:N,'RES TECH'!M:M,C330)&gt;0,1,0)</f>
        <v>1</v>
      </c>
      <c r="H330" s="4">
        <f t="shared" si="5"/>
        <v>0</v>
      </c>
    </row>
    <row r="331" spans="3:8" x14ac:dyDescent="0.25">
      <c r="C331" t="str">
        <f>'RES TECH'!M329</f>
        <v>RESHOULOOldCK2NGA20</v>
      </c>
      <c r="G331" s="4">
        <f>IF(SUMIFS('RES TECH'!N:N,'RES TECH'!M:M,C331)&gt;0,1,0)</f>
        <v>1</v>
      </c>
      <c r="H331" s="4">
        <f t="shared" si="5"/>
        <v>0</v>
      </c>
    </row>
    <row r="332" spans="3:8" x14ac:dyDescent="0.25">
      <c r="C332" t="str">
        <f>'RES TECH'!M330</f>
        <v>RESHOULOOldCK4NGA20</v>
      </c>
      <c r="G332" s="4">
        <f>IF(SUMIFS('RES TECH'!N:N,'RES TECH'!M:M,C332)&gt;0,1,0)</f>
        <v>1</v>
      </c>
      <c r="H332" s="4">
        <f t="shared" si="5"/>
        <v>0</v>
      </c>
    </row>
    <row r="333" spans="3:8" x14ac:dyDescent="0.25">
      <c r="C333" t="str">
        <f>'RES TECH'!M331</f>
        <v>RESHOULOOldCK2LPG20</v>
      </c>
      <c r="G333" s="4">
        <f>IF(SUMIFS('RES TECH'!N:N,'RES TECH'!M:M,C333)&gt;0,1,0)</f>
        <v>1</v>
      </c>
      <c r="H333" s="4">
        <f t="shared" si="5"/>
        <v>0</v>
      </c>
    </row>
    <row r="334" spans="3:8" x14ac:dyDescent="0.25">
      <c r="C334" t="str">
        <f>'RES TECH'!M332</f>
        <v>RESHOULOOldCK4LPG20</v>
      </c>
      <c r="G334" s="4">
        <f>IF(SUMIFS('RES TECH'!N:N,'RES TECH'!M:M,C334)&gt;0,1,0)</f>
        <v>1</v>
      </c>
      <c r="H334" s="4">
        <f t="shared" si="5"/>
        <v>0</v>
      </c>
    </row>
    <row r="335" spans="3:8" x14ac:dyDescent="0.25">
      <c r="C335" t="str">
        <f>'RES TECH'!M333</f>
        <v>RESHOULOOldCK2ELC20</v>
      </c>
      <c r="G335" s="4">
        <f>IF(SUMIFS('RES TECH'!N:N,'RES TECH'!M:M,C335)&gt;0,1,0)</f>
        <v>1</v>
      </c>
      <c r="H335" s="4">
        <f t="shared" si="5"/>
        <v>0</v>
      </c>
    </row>
    <row r="336" spans="3:8" x14ac:dyDescent="0.25">
      <c r="C336" t="str">
        <f>'RES TECH'!M334</f>
        <v>RESHOULOOldCWF4ELC30</v>
      </c>
      <c r="G336" s="4">
        <f>IF(SUMIFS('RES TECH'!N:N,'RES TECH'!M:M,C336)&gt;0,1,0)</f>
        <v>1</v>
      </c>
      <c r="H336" s="4">
        <f t="shared" si="5"/>
        <v>0</v>
      </c>
    </row>
    <row r="337" spans="3:8" x14ac:dyDescent="0.25">
      <c r="C337" t="str">
        <f>'RES TECH'!M335</f>
        <v>RESHOULOOldCWT1ELC20</v>
      </c>
      <c r="G337" s="4">
        <f>IF(SUMIFS('RES TECH'!N:N,'RES TECH'!M:M,C337)&gt;0,1,0)</f>
        <v>1</v>
      </c>
      <c r="H337" s="4">
        <f t="shared" si="5"/>
        <v>0</v>
      </c>
    </row>
    <row r="338" spans="3:8" x14ac:dyDescent="0.25">
      <c r="C338" t="str">
        <f>'RES TECH'!M336</f>
        <v>RESHOULOOldCWT2ELC20</v>
      </c>
      <c r="G338" s="4">
        <f>IF(SUMIFS('RES TECH'!N:N,'RES TECH'!M:M,C338)&gt;0,1,0)</f>
        <v>1</v>
      </c>
      <c r="H338" s="4">
        <f t="shared" si="5"/>
        <v>0</v>
      </c>
    </row>
    <row r="339" spans="3:8" x14ac:dyDescent="0.25">
      <c r="C339" t="str">
        <f>'RES TECH'!M337</f>
        <v>RESHOULOOldCWT2ELC20</v>
      </c>
      <c r="G339" s="4">
        <f>IF(SUMIFS('RES TECH'!N:N,'RES TECH'!M:M,C339)&gt;0,1,0)</f>
        <v>1</v>
      </c>
      <c r="H339" s="4">
        <f t="shared" si="5"/>
        <v>0</v>
      </c>
    </row>
    <row r="340" spans="3:8" x14ac:dyDescent="0.25">
      <c r="C340" t="str">
        <f>'RES TECH'!M338</f>
        <v>RESHOULOOldCWT3ELC20</v>
      </c>
      <c r="G340" s="4">
        <f>IF(SUMIFS('RES TECH'!N:N,'RES TECH'!M:M,C340)&gt;0,1,0)</f>
        <v>1</v>
      </c>
      <c r="H340" s="4">
        <f t="shared" si="5"/>
        <v>0</v>
      </c>
    </row>
    <row r="341" spans="3:8" x14ac:dyDescent="0.25">
      <c r="C341" t="str">
        <f>'RES TECH'!M339</f>
        <v>RESHOULOOldCWT4ELC20</v>
      </c>
      <c r="G341" s="4">
        <f>IF(SUMIFS('RES TECH'!N:N,'RES TECH'!M:M,C341)&gt;0,1,0)</f>
        <v>1</v>
      </c>
      <c r="H341" s="4">
        <f t="shared" si="5"/>
        <v>0</v>
      </c>
    </row>
    <row r="342" spans="3:8" x14ac:dyDescent="0.25">
      <c r="C342" t="str">
        <f>'RES TECH'!M340</f>
        <v>RESHOULOOldCWF1ELC20</v>
      </c>
      <c r="G342" s="4">
        <f>IF(SUMIFS('RES TECH'!N:N,'RES TECH'!M:M,C342)&gt;0,1,0)</f>
        <v>1</v>
      </c>
      <c r="H342" s="4">
        <f t="shared" si="5"/>
        <v>0</v>
      </c>
    </row>
    <row r="343" spans="3:8" x14ac:dyDescent="0.25">
      <c r="C343" t="str">
        <f>'RES TECH'!M341</f>
        <v>RESHOULOOldCWF2ELC20</v>
      </c>
      <c r="G343" s="4">
        <f>IF(SUMIFS('RES TECH'!N:N,'RES TECH'!M:M,C343)&gt;0,1,0)</f>
        <v>1</v>
      </c>
      <c r="H343" s="4">
        <f t="shared" si="5"/>
        <v>0</v>
      </c>
    </row>
    <row r="344" spans="3:8" x14ac:dyDescent="0.25">
      <c r="C344" t="str">
        <f>'RES TECH'!M342</f>
        <v>RESHOULOOldCWF2ELC30</v>
      </c>
      <c r="G344" s="4">
        <f>IF(SUMIFS('RES TECH'!N:N,'RES TECH'!M:M,C344)&gt;0,1,0)</f>
        <v>1</v>
      </c>
      <c r="H344" s="4">
        <f t="shared" si="5"/>
        <v>0</v>
      </c>
    </row>
    <row r="345" spans="3:8" x14ac:dyDescent="0.25">
      <c r="C345" t="str">
        <f>'RES TECH'!M343</f>
        <v>RESHOULOOldCWF3ELC20</v>
      </c>
      <c r="G345" s="4">
        <f>IF(SUMIFS('RES TECH'!N:N,'RES TECH'!M:M,C345)&gt;0,1,0)</f>
        <v>1</v>
      </c>
      <c r="H345" s="4">
        <f t="shared" si="5"/>
        <v>0</v>
      </c>
    </row>
    <row r="346" spans="3:8" x14ac:dyDescent="0.25">
      <c r="C346" t="str">
        <f>'RES TECH'!M344</f>
        <v>RESHOULOOldCWF4ELC20</v>
      </c>
      <c r="G346" s="4">
        <f>IF(SUMIFS('RES TECH'!N:N,'RES TECH'!M:M,C346)&gt;0,1,0)</f>
        <v>1</v>
      </c>
      <c r="H346" s="4">
        <f t="shared" si="5"/>
        <v>0</v>
      </c>
    </row>
    <row r="347" spans="3:8" x14ac:dyDescent="0.25">
      <c r="C347" t="str">
        <f>'RES TECH'!M345</f>
        <v>RESHOULOOldCWF4ELC20</v>
      </c>
      <c r="G347" s="4">
        <f>IF(SUMIFS('RES TECH'!N:N,'RES TECH'!M:M,C347)&gt;0,1,0)</f>
        <v>1</v>
      </c>
      <c r="H347" s="4">
        <f t="shared" si="5"/>
        <v>0</v>
      </c>
    </row>
    <row r="348" spans="3:8" x14ac:dyDescent="0.25">
      <c r="C348" t="str">
        <f>'RES TECH'!M346</f>
        <v>RESHOULOOldCD1NGA20</v>
      </c>
      <c r="G348" s="4">
        <f>IF(SUMIFS('RES TECH'!N:N,'RES TECH'!M:M,C348)&gt;0,1,0)</f>
        <v>1</v>
      </c>
      <c r="H348" s="4">
        <f t="shared" si="5"/>
        <v>0</v>
      </c>
    </row>
    <row r="349" spans="3:8" x14ac:dyDescent="0.25">
      <c r="C349" t="str">
        <f>'RES TECH'!M347</f>
        <v>RESHOULOOldCD2NGA20</v>
      </c>
      <c r="G349" s="4">
        <f>IF(SUMIFS('RES TECH'!N:N,'RES TECH'!M:M,C349)&gt;0,1,0)</f>
        <v>1</v>
      </c>
      <c r="H349" s="4">
        <f t="shared" si="5"/>
        <v>0</v>
      </c>
    </row>
    <row r="350" spans="3:8" x14ac:dyDescent="0.25">
      <c r="C350" t="str">
        <f>'RES TECH'!M348</f>
        <v>RESHOULOOldCD3NGA20</v>
      </c>
      <c r="G350" s="4">
        <f>IF(SUMIFS('RES TECH'!N:N,'RES TECH'!M:M,C350)&gt;0,1,0)</f>
        <v>1</v>
      </c>
      <c r="H350" s="4">
        <f t="shared" si="5"/>
        <v>0</v>
      </c>
    </row>
    <row r="351" spans="3:8" x14ac:dyDescent="0.25">
      <c r="C351" t="str">
        <f>'RES TECH'!M349</f>
        <v>RESHOULOOldCD4NGA20</v>
      </c>
      <c r="G351" s="4">
        <f>IF(SUMIFS('RES TECH'!N:N,'RES TECH'!M:M,C351)&gt;0,1,0)</f>
        <v>1</v>
      </c>
      <c r="H351" s="4">
        <f t="shared" si="5"/>
        <v>0</v>
      </c>
    </row>
    <row r="352" spans="3:8" x14ac:dyDescent="0.25">
      <c r="C352" t="str">
        <f>'RES TECH'!M350</f>
        <v>RESHOULOOldCD4NGA30</v>
      </c>
      <c r="G352" s="4">
        <f>IF(SUMIFS('RES TECH'!N:N,'RES TECH'!M:M,C352)&gt;0,1,0)</f>
        <v>1</v>
      </c>
      <c r="H352" s="4">
        <f t="shared" si="5"/>
        <v>0</v>
      </c>
    </row>
    <row r="353" spans="3:8" x14ac:dyDescent="0.25">
      <c r="C353" t="str">
        <f>'RES TECH'!M351</f>
        <v>RESHOULOOldCD1ELC20</v>
      </c>
      <c r="G353" s="4">
        <f>IF(SUMIFS('RES TECH'!N:N,'RES TECH'!M:M,C353)&gt;0,1,0)</f>
        <v>1</v>
      </c>
      <c r="H353" s="4">
        <f t="shared" si="5"/>
        <v>0</v>
      </c>
    </row>
    <row r="354" spans="3:8" x14ac:dyDescent="0.25">
      <c r="C354" t="str">
        <f>'RES TECH'!M352</f>
        <v>RESHOULOOldCD2ELC20</v>
      </c>
      <c r="G354" s="4">
        <f>IF(SUMIFS('RES TECH'!N:N,'RES TECH'!M:M,C354)&gt;0,1,0)</f>
        <v>1</v>
      </c>
      <c r="H354" s="4">
        <f t="shared" si="5"/>
        <v>0</v>
      </c>
    </row>
    <row r="355" spans="3:8" x14ac:dyDescent="0.25">
      <c r="C355" t="str">
        <f>'RES TECH'!M353</f>
        <v>RESHOULOOldCD3ELC20</v>
      </c>
      <c r="G355" s="4">
        <f>IF(SUMIFS('RES TECH'!N:N,'RES TECH'!M:M,C355)&gt;0,1,0)</f>
        <v>1</v>
      </c>
      <c r="H355" s="4">
        <f t="shared" si="5"/>
        <v>0</v>
      </c>
    </row>
    <row r="356" spans="3:8" x14ac:dyDescent="0.25">
      <c r="C356" t="str">
        <f>'RES TECH'!M354</f>
        <v>RESHOULOOldCD4ELC20</v>
      </c>
      <c r="G356" s="4">
        <f>IF(SUMIFS('RES TECH'!N:N,'RES TECH'!M:M,C356)&gt;0,1,0)</f>
        <v>1</v>
      </c>
      <c r="H356" s="4">
        <f t="shared" si="5"/>
        <v>0</v>
      </c>
    </row>
    <row r="357" spans="3:8" x14ac:dyDescent="0.25">
      <c r="C357" t="str">
        <f>'RES TECH'!M355</f>
        <v>RESAPALMOldWH1NGA20</v>
      </c>
      <c r="G357" s="4">
        <f>IF(SUMIFS('RES TECH'!N:N,'RES TECH'!M:M,C357)&gt;0,1,0)</f>
        <v>1</v>
      </c>
      <c r="H357" s="4">
        <f t="shared" si="5"/>
        <v>0</v>
      </c>
    </row>
    <row r="358" spans="3:8" x14ac:dyDescent="0.25">
      <c r="C358" t="str">
        <f>'RES TECH'!M356</f>
        <v>RESAPALMOldWH2NGA20</v>
      </c>
      <c r="G358" s="4">
        <f>IF(SUMIFS('RES TECH'!N:N,'RES TECH'!M:M,C358)&gt;0,1,0)</f>
        <v>1</v>
      </c>
      <c r="H358" s="4">
        <f t="shared" si="5"/>
        <v>0</v>
      </c>
    </row>
    <row r="359" spans="3:8" x14ac:dyDescent="0.25">
      <c r="C359" t="str">
        <f>'RES TECH'!M357</f>
        <v>RESAPALMOldWH3NGA20</v>
      </c>
      <c r="G359" s="4">
        <f>IF(SUMIFS('RES TECH'!N:N,'RES TECH'!M:M,C359)&gt;0,1,0)</f>
        <v>1</v>
      </c>
      <c r="H359" s="4">
        <f t="shared" si="5"/>
        <v>0</v>
      </c>
    </row>
    <row r="360" spans="3:8" x14ac:dyDescent="0.25">
      <c r="C360" t="str">
        <f>'RES TECH'!M358</f>
        <v>RESAPALMOldWH3NGA23</v>
      </c>
      <c r="G360" s="4">
        <f>IF(SUMIFS('RES TECH'!N:N,'RES TECH'!M:M,C360)&gt;0,1,0)</f>
        <v>1</v>
      </c>
      <c r="H360" s="4">
        <f t="shared" si="5"/>
        <v>0</v>
      </c>
    </row>
    <row r="361" spans="3:8" x14ac:dyDescent="0.25">
      <c r="C361" t="str">
        <f>'RES TECH'!M359</f>
        <v>RESAPALMOldWH4NGA20</v>
      </c>
      <c r="G361" s="4">
        <f>IF(SUMIFS('RES TECH'!N:N,'RES TECH'!M:M,C361)&gt;0,1,0)</f>
        <v>1</v>
      </c>
      <c r="H361" s="4">
        <f t="shared" si="5"/>
        <v>0</v>
      </c>
    </row>
    <row r="362" spans="3:8" x14ac:dyDescent="0.25">
      <c r="C362" t="str">
        <f>'RES TECH'!M360</f>
        <v>RESAPALMOldWH4NGA20</v>
      </c>
      <c r="G362" s="4">
        <f>IF(SUMIFS('RES TECH'!N:N,'RES TECH'!M:M,C362)&gt;0,1,0)</f>
        <v>1</v>
      </c>
      <c r="H362" s="4">
        <f t="shared" si="5"/>
        <v>0</v>
      </c>
    </row>
    <row r="363" spans="3:8" x14ac:dyDescent="0.25">
      <c r="C363" t="str">
        <f>'RES TECH'!M361</f>
        <v>RESAPALMOldWH4NGA22</v>
      </c>
      <c r="G363" s="4">
        <f>IF(SUMIFS('RES TECH'!N:N,'RES TECH'!M:M,C363)&gt;0,1,0)</f>
        <v>1</v>
      </c>
      <c r="H363" s="4">
        <f t="shared" si="5"/>
        <v>0</v>
      </c>
    </row>
    <row r="364" spans="3:8" x14ac:dyDescent="0.25">
      <c r="C364" t="str">
        <f>'RES TECH'!M362</f>
        <v>RESAPALMOldWH1ELC20</v>
      </c>
      <c r="G364" s="4">
        <f>IF(SUMIFS('RES TECH'!N:N,'RES TECH'!M:M,C364)&gt;0,1,0)</f>
        <v>1</v>
      </c>
      <c r="H364" s="4">
        <f t="shared" si="5"/>
        <v>0</v>
      </c>
    </row>
    <row r="365" spans="3:8" x14ac:dyDescent="0.25">
      <c r="C365" t="str">
        <f>'RES TECH'!M363</f>
        <v>RESAPALMOldWH2ELC20</v>
      </c>
      <c r="G365" s="4">
        <f>IF(SUMIFS('RES TECH'!N:N,'RES TECH'!M:M,C365)&gt;0,1,0)</f>
        <v>1</v>
      </c>
      <c r="H365" s="4">
        <f t="shared" si="5"/>
        <v>0</v>
      </c>
    </row>
    <row r="366" spans="3:8" x14ac:dyDescent="0.25">
      <c r="C366" t="str">
        <f>'RES TECH'!M364</f>
        <v>RESAPALMOldWH4ELC20</v>
      </c>
      <c r="G366" s="4">
        <f>IF(SUMIFS('RES TECH'!N:N,'RES TECH'!M:M,C366)&gt;0,1,0)</f>
        <v>1</v>
      </c>
      <c r="H366" s="4">
        <f t="shared" si="5"/>
        <v>0</v>
      </c>
    </row>
    <row r="367" spans="3:8" x14ac:dyDescent="0.25">
      <c r="C367" t="str">
        <f>'RES TECH'!M365</f>
        <v>RESAPALMOldWH5ELC20</v>
      </c>
      <c r="G367" s="4">
        <f>IF(SUMIFS('RES TECH'!N:N,'RES TECH'!M:M,C367)&gt;0,1,0)</f>
        <v>1</v>
      </c>
      <c r="H367" s="4">
        <f t="shared" si="5"/>
        <v>0</v>
      </c>
    </row>
    <row r="368" spans="3:8" x14ac:dyDescent="0.25">
      <c r="C368" t="str">
        <f>'RES TECH'!M366</f>
        <v>RESAPALMOldWH5ELC22</v>
      </c>
      <c r="G368" s="4">
        <f>IF(SUMIFS('RES TECH'!N:N,'RES TECH'!M:M,C368)&gt;0,1,0)</f>
        <v>1</v>
      </c>
      <c r="H368" s="4">
        <f t="shared" si="5"/>
        <v>0</v>
      </c>
    </row>
    <row r="369" spans="3:8" x14ac:dyDescent="0.25">
      <c r="C369" t="str">
        <f>'RES TECH'!M367</f>
        <v>RESAPALMOldWH6ELC20</v>
      </c>
      <c r="G369" s="4">
        <f>IF(SUMIFS('RES TECH'!N:N,'RES TECH'!M:M,C369)&gt;0,1,0)</f>
        <v>1</v>
      </c>
      <c r="H369" s="4">
        <f t="shared" si="5"/>
        <v>0</v>
      </c>
    </row>
    <row r="370" spans="3:8" x14ac:dyDescent="0.25">
      <c r="C370" t="str">
        <f>'RES TECH'!M368</f>
        <v>RESAPALMOldWH6ELC22</v>
      </c>
      <c r="G370" s="4">
        <f>IF(SUMIFS('RES TECH'!N:N,'RES TECH'!M:M,C370)&gt;0,1,0)</f>
        <v>1</v>
      </c>
      <c r="H370" s="4">
        <f t="shared" si="5"/>
        <v>0</v>
      </c>
    </row>
    <row r="371" spans="3:8" x14ac:dyDescent="0.25">
      <c r="C371" t="str">
        <f>'RES TECH'!M369</f>
        <v>RESAPALMOldWH7ELC20</v>
      </c>
      <c r="G371" s="4">
        <f>IF(SUMIFS('RES TECH'!N:N,'RES TECH'!M:M,C371)&gt;0,1,0)</f>
        <v>1</v>
      </c>
      <c r="H371" s="4">
        <f t="shared" si="5"/>
        <v>0</v>
      </c>
    </row>
    <row r="372" spans="3:8" x14ac:dyDescent="0.25">
      <c r="C372" t="str">
        <f>'RES TECH'!M370</f>
        <v>RESAPALMOldWH7ELC22</v>
      </c>
      <c r="G372" s="4">
        <f>IF(SUMIFS('RES TECH'!N:N,'RES TECH'!M:M,C372)&gt;0,1,0)</f>
        <v>1</v>
      </c>
      <c r="H372" s="4">
        <f t="shared" si="5"/>
        <v>0</v>
      </c>
    </row>
    <row r="373" spans="3:8" x14ac:dyDescent="0.25">
      <c r="C373" t="str">
        <f>'RES TECH'!M371</f>
        <v>RESAPALMOldWH1FOI20</v>
      </c>
      <c r="G373" s="4">
        <f>IF(SUMIFS('RES TECH'!N:N,'RES TECH'!M:M,C373)&gt;0,1,0)</f>
        <v>1</v>
      </c>
      <c r="H373" s="4">
        <f t="shared" si="5"/>
        <v>0</v>
      </c>
    </row>
    <row r="374" spans="3:8" x14ac:dyDescent="0.25">
      <c r="C374" t="str">
        <f>'RES TECH'!M372</f>
        <v>RESAPALMOldWH2FOI20</v>
      </c>
      <c r="G374" s="4">
        <f>IF(SUMIFS('RES TECH'!N:N,'RES TECH'!M:M,C374)&gt;0,1,0)</f>
        <v>1</v>
      </c>
      <c r="H374" s="4">
        <f t="shared" si="5"/>
        <v>0</v>
      </c>
    </row>
    <row r="375" spans="3:8" x14ac:dyDescent="0.25">
      <c r="C375" t="str">
        <f>'RES TECH'!M373</f>
        <v>RESAPALMOldWH4FOI20</v>
      </c>
      <c r="G375" s="4">
        <f>IF(SUMIFS('RES TECH'!N:N,'RES TECH'!M:M,C375)&gt;0,1,0)</f>
        <v>1</v>
      </c>
      <c r="H375" s="4">
        <f t="shared" si="5"/>
        <v>0</v>
      </c>
    </row>
    <row r="376" spans="3:8" x14ac:dyDescent="0.25">
      <c r="C376" t="str">
        <f>'RES TECH'!M374</f>
        <v>RESAPALMOldWH1LPG20</v>
      </c>
      <c r="G376" s="4">
        <f>IF(SUMIFS('RES TECH'!N:N,'RES TECH'!M:M,C376)&gt;0,1,0)</f>
        <v>1</v>
      </c>
      <c r="H376" s="4">
        <f t="shared" si="5"/>
        <v>0</v>
      </c>
    </row>
    <row r="377" spans="3:8" x14ac:dyDescent="0.25">
      <c r="C377" t="str">
        <f>'RES TECH'!M375</f>
        <v>RESAPALMOldWH2LPG20</v>
      </c>
      <c r="G377" s="4">
        <f>IF(SUMIFS('RES TECH'!N:N,'RES TECH'!M:M,C377)&gt;0,1,0)</f>
        <v>1</v>
      </c>
      <c r="H377" s="4">
        <f t="shared" si="5"/>
        <v>0</v>
      </c>
    </row>
    <row r="378" spans="3:8" x14ac:dyDescent="0.25">
      <c r="C378" t="str">
        <f>'RES TECH'!M376</f>
        <v>RESAPALMOldWH3LPG20</v>
      </c>
      <c r="G378" s="4">
        <f>IF(SUMIFS('RES TECH'!N:N,'RES TECH'!M:M,C378)&gt;0,1,0)</f>
        <v>1</v>
      </c>
      <c r="H378" s="4">
        <f t="shared" si="5"/>
        <v>0</v>
      </c>
    </row>
    <row r="379" spans="3:8" x14ac:dyDescent="0.25">
      <c r="C379" t="str">
        <f>'RES TECH'!M377</f>
        <v>RESAPALMOldWH3LPG23</v>
      </c>
      <c r="G379" s="4">
        <f>IF(SUMIFS('RES TECH'!N:N,'RES TECH'!M:M,C379)&gt;0,1,0)</f>
        <v>1</v>
      </c>
      <c r="H379" s="4">
        <f t="shared" si="5"/>
        <v>0</v>
      </c>
    </row>
    <row r="380" spans="3:8" x14ac:dyDescent="0.25">
      <c r="C380" t="str">
        <f>'RES TECH'!M378</f>
        <v>RESAPALMOldWH4LPG20</v>
      </c>
      <c r="G380" s="4">
        <f>IF(SUMIFS('RES TECH'!N:N,'RES TECH'!M:M,C380)&gt;0,1,0)</f>
        <v>1</v>
      </c>
      <c r="H380" s="4">
        <f t="shared" si="5"/>
        <v>0</v>
      </c>
    </row>
    <row r="381" spans="3:8" x14ac:dyDescent="0.25">
      <c r="C381" t="str">
        <f>'RES TECH'!M379</f>
        <v>RESAPALMOldWH4LPG20</v>
      </c>
      <c r="G381" s="4">
        <f>IF(SUMIFS('RES TECH'!N:N,'RES TECH'!M:M,C381)&gt;0,1,0)</f>
        <v>1</v>
      </c>
      <c r="H381" s="4">
        <f t="shared" si="5"/>
        <v>0</v>
      </c>
    </row>
    <row r="382" spans="3:8" x14ac:dyDescent="0.25">
      <c r="C382" t="str">
        <f>'RES TECH'!M380</f>
        <v>RESAPALMOldWH2SOL20</v>
      </c>
      <c r="G382" s="4">
        <f>IF(SUMIFS('RES TECH'!N:N,'RES TECH'!M:M,C382)&gt;0,1,0)</f>
        <v>1</v>
      </c>
      <c r="H382" s="4">
        <f t="shared" si="5"/>
        <v>0</v>
      </c>
    </row>
    <row r="383" spans="3:8" x14ac:dyDescent="0.25">
      <c r="C383" t="str">
        <f>'RES TECH'!M381</f>
        <v>RESAPALMOldWH2SOL20</v>
      </c>
      <c r="G383" s="4">
        <f>IF(SUMIFS('RES TECH'!N:N,'RES TECH'!M:M,C383)&gt;0,1,0)</f>
        <v>1</v>
      </c>
      <c r="H383" s="4">
        <f t="shared" si="5"/>
        <v>0</v>
      </c>
    </row>
    <row r="384" spans="3:8" x14ac:dyDescent="0.25">
      <c r="C384" t="str">
        <f>'RES TECH'!M382</f>
        <v>RESAPALMOldWH2SOL23</v>
      </c>
      <c r="G384" s="4">
        <f>IF(SUMIFS('RES TECH'!N:N,'RES TECH'!M:M,C384)&gt;0,1,0)</f>
        <v>1</v>
      </c>
      <c r="H384" s="4">
        <f t="shared" si="5"/>
        <v>0</v>
      </c>
    </row>
    <row r="385" spans="3:8" x14ac:dyDescent="0.25">
      <c r="C385" t="str">
        <f>'RES TECH'!M383</f>
        <v>RESAPALMOldWH2SOL24</v>
      </c>
      <c r="G385" s="4">
        <f>IF(SUMIFS('RES TECH'!N:N,'RES TECH'!M:M,C385)&gt;0,1,0)</f>
        <v>1</v>
      </c>
      <c r="H385" s="4">
        <f t="shared" si="5"/>
        <v>0</v>
      </c>
    </row>
    <row r="386" spans="3:8" x14ac:dyDescent="0.25">
      <c r="C386" t="str">
        <f>'RES TECH'!M384</f>
        <v>RESAPALMOldSHAHP1ELC20</v>
      </c>
      <c r="G386" s="4">
        <f>IF(SUMIFS('RES TECH'!N:N,'RES TECH'!M:M,C386)&gt;0,1,0)</f>
        <v>1</v>
      </c>
      <c r="H386" s="4">
        <f t="shared" si="5"/>
        <v>0</v>
      </c>
    </row>
    <row r="387" spans="3:8" x14ac:dyDescent="0.25">
      <c r="C387" t="str">
        <f>'RES TECH'!M385</f>
        <v>RESAPALMOldSHAHP1ELC23</v>
      </c>
      <c r="G387" s="4">
        <f>IF(SUMIFS('RES TECH'!N:N,'RES TECH'!M:M,C387)&gt;0,1,0)</f>
        <v>1</v>
      </c>
      <c r="H387" s="4">
        <f t="shared" si="5"/>
        <v>0</v>
      </c>
    </row>
    <row r="388" spans="3:8" x14ac:dyDescent="0.25">
      <c r="C388" t="str">
        <f>'RES TECH'!M386</f>
        <v>RESAPALMOldSHAHP2ELC20</v>
      </c>
      <c r="G388" s="4">
        <f>IF(SUMIFS('RES TECH'!N:N,'RES TECH'!M:M,C388)&gt;0,1,0)</f>
        <v>1</v>
      </c>
      <c r="H388" s="4">
        <f t="shared" si="5"/>
        <v>0</v>
      </c>
    </row>
    <row r="389" spans="3:8" x14ac:dyDescent="0.25">
      <c r="C389" t="str">
        <f>'RES TECH'!M387</f>
        <v>RESAPALMOldSHAHP2ELC23</v>
      </c>
      <c r="G389" s="4">
        <f>IF(SUMIFS('RES TECH'!N:N,'RES TECH'!M:M,C389)&gt;0,1,0)</f>
        <v>1</v>
      </c>
      <c r="H389" s="4">
        <f t="shared" ref="H389:H452" si="6">IF(C389="","",IF(C389="*","*",0))</f>
        <v>0</v>
      </c>
    </row>
    <row r="390" spans="3:8" x14ac:dyDescent="0.25">
      <c r="C390" t="str">
        <f>'RES TECH'!M388</f>
        <v>RESAPALMOldSHAHP3ELC20</v>
      </c>
      <c r="G390" s="4">
        <f>IF(SUMIFS('RES TECH'!N:N,'RES TECH'!M:M,C390)&gt;0,1,0)</f>
        <v>1</v>
      </c>
      <c r="H390" s="4">
        <f t="shared" si="6"/>
        <v>0</v>
      </c>
    </row>
    <row r="391" spans="3:8" x14ac:dyDescent="0.25">
      <c r="C391" t="str">
        <f>'RES TECH'!M389</f>
        <v>RESAPALMOldSHAHP3ELC22</v>
      </c>
      <c r="G391" s="4">
        <f>IF(SUMIFS('RES TECH'!N:N,'RES TECH'!M:M,C391)&gt;0,1,0)</f>
        <v>1</v>
      </c>
      <c r="H391" s="4">
        <f t="shared" si="6"/>
        <v>0</v>
      </c>
    </row>
    <row r="392" spans="3:8" x14ac:dyDescent="0.25">
      <c r="C392" t="str">
        <f>'RES TECH'!M390</f>
        <v>RESAPALMOldSHAHP3ELC23</v>
      </c>
      <c r="G392" s="4">
        <f>IF(SUMIFS('RES TECH'!N:N,'RES TECH'!M:M,C392)&gt;0,1,0)</f>
        <v>1</v>
      </c>
      <c r="H392" s="4">
        <f t="shared" si="6"/>
        <v>0</v>
      </c>
    </row>
    <row r="393" spans="3:8" x14ac:dyDescent="0.25">
      <c r="C393" t="str">
        <f>'RES TECH'!M391</f>
        <v>RESAPALMOldSHAHP4ELC20</v>
      </c>
      <c r="G393" s="4">
        <f>IF(SUMIFS('RES TECH'!N:N,'RES TECH'!M:M,C393)&gt;0,1,0)</f>
        <v>1</v>
      </c>
      <c r="H393" s="4">
        <f t="shared" si="6"/>
        <v>0</v>
      </c>
    </row>
    <row r="394" spans="3:8" x14ac:dyDescent="0.25">
      <c r="C394" t="str">
        <f>'RES TECH'!M392</f>
        <v>RESAPALMOldSHAHP4ELC22</v>
      </c>
      <c r="G394" s="4">
        <f>IF(SUMIFS('RES TECH'!N:N,'RES TECH'!M:M,C394)&gt;0,1,0)</f>
        <v>1</v>
      </c>
      <c r="H394" s="4">
        <f t="shared" si="6"/>
        <v>0</v>
      </c>
    </row>
    <row r="395" spans="3:8" x14ac:dyDescent="0.25">
      <c r="C395" t="str">
        <f>'RES TECH'!M393</f>
        <v>RESAPALMOldSHGHP1ELC20</v>
      </c>
      <c r="G395" s="4">
        <f>IF(SUMIFS('RES TECH'!N:N,'RES TECH'!M:M,C395)&gt;0,1,0)</f>
        <v>1</v>
      </c>
      <c r="H395" s="4">
        <f t="shared" si="6"/>
        <v>0</v>
      </c>
    </row>
    <row r="396" spans="3:8" x14ac:dyDescent="0.25">
      <c r="C396" t="str">
        <f>'RES TECH'!M394</f>
        <v>RESAPALMOldSHGHP2ELC20</v>
      </c>
      <c r="G396" s="4">
        <f>IF(SUMIFS('RES TECH'!N:N,'RES TECH'!M:M,C396)&gt;0,1,0)</f>
        <v>1</v>
      </c>
      <c r="H396" s="4">
        <f t="shared" si="6"/>
        <v>0</v>
      </c>
    </row>
    <row r="397" spans="3:8" x14ac:dyDescent="0.25">
      <c r="C397" t="str">
        <f>'RES TECH'!M395</f>
        <v>RESAPALMOldSHGHP3ELC20</v>
      </c>
      <c r="G397" s="4">
        <f>IF(SUMIFS('RES TECH'!N:N,'RES TECH'!M:M,C397)&gt;0,1,0)</f>
        <v>1</v>
      </c>
      <c r="H397" s="4">
        <f t="shared" si="6"/>
        <v>0</v>
      </c>
    </row>
    <row r="398" spans="3:8" x14ac:dyDescent="0.25">
      <c r="C398" t="str">
        <f>'RES TECH'!M396</f>
        <v>RESAPALMOldSHGHP3ELC20</v>
      </c>
      <c r="G398" s="4">
        <f>IF(SUMIFS('RES TECH'!N:N,'RES TECH'!M:M,C398)&gt;0,1,0)</f>
        <v>1</v>
      </c>
      <c r="H398" s="4">
        <f t="shared" si="6"/>
        <v>0</v>
      </c>
    </row>
    <row r="399" spans="3:8" x14ac:dyDescent="0.25">
      <c r="C399" t="str">
        <f>'RES TECH'!M397</f>
        <v>RESAPALMOldSHGHP3ELC22</v>
      </c>
      <c r="G399" s="4">
        <f>IF(SUMIFS('RES TECH'!N:N,'RES TECH'!M:M,C399)&gt;0,1,0)</f>
        <v>1</v>
      </c>
      <c r="H399" s="4">
        <f t="shared" si="6"/>
        <v>0</v>
      </c>
    </row>
    <row r="400" spans="3:8" x14ac:dyDescent="0.25">
      <c r="C400" t="str">
        <f>'RES TECH'!M398</f>
        <v>RESAPALMOldSHGHP3ELC23</v>
      </c>
      <c r="G400" s="4">
        <f>IF(SUMIFS('RES TECH'!N:N,'RES TECH'!M:M,C400)&gt;0,1,0)</f>
        <v>1</v>
      </c>
      <c r="H400" s="4">
        <f t="shared" si="6"/>
        <v>0</v>
      </c>
    </row>
    <row r="401" spans="3:8" x14ac:dyDescent="0.25">
      <c r="C401" t="str">
        <f>'RES TECH'!M399</f>
        <v>RESAPALMOldSHGHP3ELC24</v>
      </c>
      <c r="G401" s="4">
        <f>IF(SUMIFS('RES TECH'!N:N,'RES TECH'!M:M,C401)&gt;0,1,0)</f>
        <v>1</v>
      </c>
      <c r="H401" s="4">
        <f t="shared" si="6"/>
        <v>0</v>
      </c>
    </row>
    <row r="402" spans="3:8" x14ac:dyDescent="0.25">
      <c r="C402" t="str">
        <f>'RES TECH'!M400</f>
        <v>RESAPALMOldSHGHP4ELC20</v>
      </c>
      <c r="G402" s="4">
        <f>IF(SUMIFS('RES TECH'!N:N,'RES TECH'!M:M,C402)&gt;0,1,0)</f>
        <v>1</v>
      </c>
      <c r="H402" s="4">
        <f t="shared" si="6"/>
        <v>0</v>
      </c>
    </row>
    <row r="403" spans="3:8" x14ac:dyDescent="0.25">
      <c r="C403" t="str">
        <f>'RES TECH'!M401</f>
        <v>RESAPALMOldSHGHP4ELC20</v>
      </c>
      <c r="G403" s="4">
        <f>IF(SUMIFS('RES TECH'!N:N,'RES TECH'!M:M,C403)&gt;0,1,0)</f>
        <v>1</v>
      </c>
      <c r="H403" s="4">
        <f t="shared" si="6"/>
        <v>0</v>
      </c>
    </row>
    <row r="404" spans="3:8" x14ac:dyDescent="0.25">
      <c r="C404" t="str">
        <f>'RES TECH'!M402</f>
        <v>RESAPALMOldSHGHP4ELC22</v>
      </c>
      <c r="G404" s="4">
        <f>IF(SUMIFS('RES TECH'!N:N,'RES TECH'!M:M,C404)&gt;0,1,0)</f>
        <v>1</v>
      </c>
      <c r="H404" s="4">
        <f t="shared" si="6"/>
        <v>0</v>
      </c>
    </row>
    <row r="405" spans="3:8" x14ac:dyDescent="0.25">
      <c r="C405" t="str">
        <f>'RES TECH'!M403</f>
        <v>RESAPALMOldSHGHP4ELC23</v>
      </c>
      <c r="G405" s="4">
        <f>IF(SUMIFS('RES TECH'!N:N,'RES TECH'!M:M,C405)&gt;0,1,0)</f>
        <v>1</v>
      </c>
      <c r="H405" s="4">
        <f t="shared" si="6"/>
        <v>0</v>
      </c>
    </row>
    <row r="406" spans="3:8" x14ac:dyDescent="0.25">
      <c r="C406" t="str">
        <f>'RES TECH'!M404</f>
        <v>RESAPALMOldSHGHP4ELC24</v>
      </c>
      <c r="G406" s="4">
        <f>IF(SUMIFS('RES TECH'!N:N,'RES TECH'!M:M,C406)&gt;0,1,0)</f>
        <v>1</v>
      </c>
      <c r="H406" s="4">
        <f t="shared" si="6"/>
        <v>0</v>
      </c>
    </row>
    <row r="407" spans="3:8" x14ac:dyDescent="0.25">
      <c r="C407" t="str">
        <f>'RES TECH'!M405</f>
        <v>RESAPALMOldSHRAD2ELC20</v>
      </c>
      <c r="G407" s="4">
        <f>IF(SUMIFS('RES TECH'!N:N,'RES TECH'!M:M,C407)&gt;0,1,0)</f>
        <v>1</v>
      </c>
      <c r="H407" s="4">
        <f t="shared" si="6"/>
        <v>0</v>
      </c>
    </row>
    <row r="408" spans="3:8" x14ac:dyDescent="0.25">
      <c r="C408" t="str">
        <f>'RES TECH'!M406</f>
        <v>RESAPALMOldSHFUR1NGA20</v>
      </c>
      <c r="G408" s="4">
        <f>IF(SUMIFS('RES TECH'!N:N,'RES TECH'!M:M,C408)&gt;0,1,0)</f>
        <v>1</v>
      </c>
      <c r="H408" s="4">
        <f t="shared" si="6"/>
        <v>0</v>
      </c>
    </row>
    <row r="409" spans="3:8" x14ac:dyDescent="0.25">
      <c r="C409" t="str">
        <f>'RES TECH'!M407</f>
        <v>RESAPALMOldSHFUR2NGA20</v>
      </c>
      <c r="G409" s="4">
        <f>IF(SUMIFS('RES TECH'!N:N,'RES TECH'!M:M,C409)&gt;0,1,0)</f>
        <v>1</v>
      </c>
      <c r="H409" s="4">
        <f t="shared" si="6"/>
        <v>0</v>
      </c>
    </row>
    <row r="410" spans="3:8" x14ac:dyDescent="0.25">
      <c r="C410" t="str">
        <f>'RES TECH'!M408</f>
        <v>RESAPALMOldSHFUR2NGA20</v>
      </c>
      <c r="G410" s="4">
        <f>IF(SUMIFS('RES TECH'!N:N,'RES TECH'!M:M,C410)&gt;0,1,0)</f>
        <v>1</v>
      </c>
      <c r="H410" s="4">
        <f t="shared" si="6"/>
        <v>0</v>
      </c>
    </row>
    <row r="411" spans="3:8" x14ac:dyDescent="0.25">
      <c r="C411" t="str">
        <f>'RES TECH'!M409</f>
        <v>RESAPALMOldSHFUR3NGA20</v>
      </c>
      <c r="G411" s="4">
        <f>IF(SUMIFS('RES TECH'!N:N,'RES TECH'!M:M,C411)&gt;0,1,0)</f>
        <v>1</v>
      </c>
      <c r="H411" s="4">
        <f t="shared" si="6"/>
        <v>0</v>
      </c>
    </row>
    <row r="412" spans="3:8" x14ac:dyDescent="0.25">
      <c r="C412" t="str">
        <f>'RES TECH'!M410</f>
        <v>RESAPALMOldSHFUR3NGA22</v>
      </c>
      <c r="G412" s="4">
        <f>IF(SUMIFS('RES TECH'!N:N,'RES TECH'!M:M,C412)&gt;0,1,0)</f>
        <v>1</v>
      </c>
      <c r="H412" s="4">
        <f t="shared" si="6"/>
        <v>0</v>
      </c>
    </row>
    <row r="413" spans="3:8" x14ac:dyDescent="0.25">
      <c r="C413" t="str">
        <f>'RES TECH'!M411</f>
        <v>RESAPALMOldSHFUR4NGA20</v>
      </c>
      <c r="G413" s="4">
        <f>IF(SUMIFS('RES TECH'!N:N,'RES TECH'!M:M,C413)&gt;0,1,0)</f>
        <v>1</v>
      </c>
      <c r="H413" s="4">
        <f t="shared" si="6"/>
        <v>0</v>
      </c>
    </row>
    <row r="414" spans="3:8" x14ac:dyDescent="0.25">
      <c r="C414" t="str">
        <f>'RES TECH'!M412</f>
        <v>RESAPALMOldSHFUR4NGA22</v>
      </c>
      <c r="G414" s="4">
        <f>IF(SUMIFS('RES TECH'!N:N,'RES TECH'!M:M,C414)&gt;0,1,0)</f>
        <v>1</v>
      </c>
      <c r="H414" s="4">
        <f t="shared" si="6"/>
        <v>0</v>
      </c>
    </row>
    <row r="415" spans="3:8" x14ac:dyDescent="0.25">
      <c r="C415" t="str">
        <f>'RES TECH'!M413</f>
        <v>RESAPALMOldSHRAD1NGA20</v>
      </c>
      <c r="G415" s="4">
        <f>IF(SUMIFS('RES TECH'!N:N,'RES TECH'!M:M,C415)&gt;0,1,0)</f>
        <v>1</v>
      </c>
      <c r="H415" s="4">
        <f t="shared" si="6"/>
        <v>0</v>
      </c>
    </row>
    <row r="416" spans="3:8" x14ac:dyDescent="0.25">
      <c r="C416" t="str">
        <f>'RES TECH'!M414</f>
        <v>RESAPALMOldSHRAD1NGA21</v>
      </c>
      <c r="G416" s="4">
        <f>IF(SUMIFS('RES TECH'!N:N,'RES TECH'!M:M,C416)&gt;0,1,0)</f>
        <v>1</v>
      </c>
      <c r="H416" s="4">
        <f t="shared" si="6"/>
        <v>0</v>
      </c>
    </row>
    <row r="417" spans="3:8" x14ac:dyDescent="0.25">
      <c r="C417" t="str">
        <f>'RES TECH'!M415</f>
        <v>RESAPALMOldSHRAD2NGA20</v>
      </c>
      <c r="G417" s="4">
        <f>IF(SUMIFS('RES TECH'!N:N,'RES TECH'!M:M,C417)&gt;0,1,0)</f>
        <v>1</v>
      </c>
      <c r="H417" s="4">
        <f t="shared" si="6"/>
        <v>0</v>
      </c>
    </row>
    <row r="418" spans="3:8" x14ac:dyDescent="0.25">
      <c r="C418" t="str">
        <f>'RES TECH'!M416</f>
        <v>RESAPALMOldSHRAD2NGA20</v>
      </c>
      <c r="G418" s="4">
        <f>IF(SUMIFS('RES TECH'!N:N,'RES TECH'!M:M,C418)&gt;0,1,0)</f>
        <v>1</v>
      </c>
      <c r="H418" s="4">
        <f t="shared" si="6"/>
        <v>0</v>
      </c>
    </row>
    <row r="419" spans="3:8" x14ac:dyDescent="0.25">
      <c r="C419" t="str">
        <f>'RES TECH'!M417</f>
        <v>RESAPALMOldSHRAD3NGA20</v>
      </c>
      <c r="G419" s="4">
        <f>IF(SUMIFS('RES TECH'!N:N,'RES TECH'!M:M,C419)&gt;0,1,0)</f>
        <v>1</v>
      </c>
      <c r="H419" s="4">
        <f t="shared" si="6"/>
        <v>0</v>
      </c>
    </row>
    <row r="420" spans="3:8" x14ac:dyDescent="0.25">
      <c r="C420" t="str">
        <f>'RES TECH'!M418</f>
        <v>RESAPALMOldSHRAD4NGA20</v>
      </c>
      <c r="G420" s="4">
        <f>IF(SUMIFS('RES TECH'!N:N,'RES TECH'!M:M,C420)&gt;0,1,0)</f>
        <v>1</v>
      </c>
      <c r="H420" s="4">
        <f t="shared" si="6"/>
        <v>0</v>
      </c>
    </row>
    <row r="421" spans="3:8" x14ac:dyDescent="0.25">
      <c r="C421" t="str">
        <f>'RES TECH'!M419</f>
        <v>RESAPALMOldSHRAD4NGA22</v>
      </c>
      <c r="G421" s="4">
        <f>IF(SUMIFS('RES TECH'!N:N,'RES TECH'!M:M,C421)&gt;0,1,0)</f>
        <v>1</v>
      </c>
      <c r="H421" s="4">
        <f t="shared" si="6"/>
        <v>0</v>
      </c>
    </row>
    <row r="422" spans="3:8" x14ac:dyDescent="0.25">
      <c r="C422" t="str">
        <f>'RES TECH'!M420</f>
        <v>RESAPALMOldSHFUR1KER20</v>
      </c>
      <c r="G422" s="4">
        <f>IF(SUMIFS('RES TECH'!N:N,'RES TECH'!M:M,C422)&gt;0,1,0)</f>
        <v>1</v>
      </c>
      <c r="H422" s="4">
        <f t="shared" si="6"/>
        <v>0</v>
      </c>
    </row>
    <row r="423" spans="3:8" x14ac:dyDescent="0.25">
      <c r="C423" t="str">
        <f>'RES TECH'!M421</f>
        <v>RESAPALMOldSHFUR2KER20</v>
      </c>
      <c r="G423" s="4">
        <f>IF(SUMIFS('RES TECH'!N:N,'RES TECH'!M:M,C423)&gt;0,1,0)</f>
        <v>1</v>
      </c>
      <c r="H423" s="4">
        <f t="shared" si="6"/>
        <v>0</v>
      </c>
    </row>
    <row r="424" spans="3:8" x14ac:dyDescent="0.25">
      <c r="C424" t="str">
        <f>'RES TECH'!M422</f>
        <v>RESAPALMOldSHFUR2KER20</v>
      </c>
      <c r="G424" s="4">
        <f>IF(SUMIFS('RES TECH'!N:N,'RES TECH'!M:M,C424)&gt;0,1,0)</f>
        <v>1</v>
      </c>
      <c r="H424" s="4">
        <f t="shared" si="6"/>
        <v>0</v>
      </c>
    </row>
    <row r="425" spans="3:8" x14ac:dyDescent="0.25">
      <c r="C425" t="str">
        <f>'RES TECH'!M423</f>
        <v>RESAPALMOldSHFUR3KER20</v>
      </c>
      <c r="G425" s="4">
        <f>IF(SUMIFS('RES TECH'!N:N,'RES TECH'!M:M,C425)&gt;0,1,0)</f>
        <v>1</v>
      </c>
      <c r="H425" s="4">
        <f t="shared" si="6"/>
        <v>0</v>
      </c>
    </row>
    <row r="426" spans="3:8" x14ac:dyDescent="0.25">
      <c r="C426" t="str">
        <f>'RES TECH'!M424</f>
        <v>RESAPALMOldSHFUR4KER20</v>
      </c>
      <c r="G426" s="4">
        <f>IF(SUMIFS('RES TECH'!N:N,'RES TECH'!M:M,C426)&gt;0,1,0)</f>
        <v>1</v>
      </c>
      <c r="H426" s="4">
        <f t="shared" si="6"/>
        <v>0</v>
      </c>
    </row>
    <row r="427" spans="3:8" x14ac:dyDescent="0.25">
      <c r="C427" t="str">
        <f>'RES TECH'!M425</f>
        <v>RESAPALMOldSHFUR4KER20</v>
      </c>
      <c r="G427" s="4">
        <f>IF(SUMIFS('RES TECH'!N:N,'RES TECH'!M:M,C427)&gt;0,1,0)</f>
        <v>1</v>
      </c>
      <c r="H427" s="4">
        <f t="shared" si="6"/>
        <v>0</v>
      </c>
    </row>
    <row r="428" spans="3:8" x14ac:dyDescent="0.25">
      <c r="C428" t="str">
        <f>'RES TECH'!M426</f>
        <v>RESAPALMOldSHFUR1LPG20</v>
      </c>
      <c r="G428" s="4">
        <f>IF(SUMIFS('RES TECH'!N:N,'RES TECH'!M:M,C428)&gt;0,1,0)</f>
        <v>1</v>
      </c>
      <c r="H428" s="4">
        <f t="shared" si="6"/>
        <v>0</v>
      </c>
    </row>
    <row r="429" spans="3:8" x14ac:dyDescent="0.25">
      <c r="C429" t="str">
        <f>'RES TECH'!M427</f>
        <v>RESAPALMOldSHFUR2LPG20</v>
      </c>
      <c r="G429" s="4">
        <f>IF(SUMIFS('RES TECH'!N:N,'RES TECH'!M:M,C429)&gt;0,1,0)</f>
        <v>1</v>
      </c>
      <c r="H429" s="4">
        <f t="shared" si="6"/>
        <v>0</v>
      </c>
    </row>
    <row r="430" spans="3:8" x14ac:dyDescent="0.25">
      <c r="C430" t="str">
        <f>'RES TECH'!M428</f>
        <v>RESAPALMOldSHFUR2LPG20</v>
      </c>
      <c r="G430" s="4">
        <f>IF(SUMIFS('RES TECH'!N:N,'RES TECH'!M:M,C430)&gt;0,1,0)</f>
        <v>1</v>
      </c>
      <c r="H430" s="4">
        <f t="shared" si="6"/>
        <v>0</v>
      </c>
    </row>
    <row r="431" spans="3:8" x14ac:dyDescent="0.25">
      <c r="C431" t="str">
        <f>'RES TECH'!M429</f>
        <v>RESAPALMOldSHFUR3LPG20</v>
      </c>
      <c r="G431" s="4">
        <f>IF(SUMIFS('RES TECH'!N:N,'RES TECH'!M:M,C431)&gt;0,1,0)</f>
        <v>1</v>
      </c>
      <c r="H431" s="4">
        <f t="shared" si="6"/>
        <v>0</v>
      </c>
    </row>
    <row r="432" spans="3:8" x14ac:dyDescent="0.25">
      <c r="C432" t="str">
        <f>'RES TECH'!M430</f>
        <v>RESAPALMOldSHFUR3LPG22</v>
      </c>
      <c r="G432" s="4">
        <f>IF(SUMIFS('RES TECH'!N:N,'RES TECH'!M:M,C432)&gt;0,1,0)</f>
        <v>1</v>
      </c>
      <c r="H432" s="4">
        <f t="shared" si="6"/>
        <v>0</v>
      </c>
    </row>
    <row r="433" spans="3:8" x14ac:dyDescent="0.25">
      <c r="C433" t="str">
        <f>'RES TECH'!M431</f>
        <v>RESAPALMOldSHFUR4LPG20</v>
      </c>
      <c r="G433" s="4">
        <f>IF(SUMIFS('RES TECH'!N:N,'RES TECH'!M:M,C433)&gt;0,1,0)</f>
        <v>1</v>
      </c>
      <c r="H433" s="4">
        <f t="shared" si="6"/>
        <v>0</v>
      </c>
    </row>
    <row r="434" spans="3:8" x14ac:dyDescent="0.25">
      <c r="C434" t="str">
        <f>'RES TECH'!M432</f>
        <v>RESAPALMOldSHFUR4LPG22</v>
      </c>
      <c r="G434" s="4">
        <f>IF(SUMIFS('RES TECH'!N:N,'RES TECH'!M:M,C434)&gt;0,1,0)</f>
        <v>1</v>
      </c>
      <c r="H434" s="4">
        <f t="shared" si="6"/>
        <v>0</v>
      </c>
    </row>
    <row r="435" spans="3:8" x14ac:dyDescent="0.25">
      <c r="C435" t="str">
        <f>'RES TECH'!M433</f>
        <v>RESAPALMOldSHFUR1FOI20</v>
      </c>
      <c r="G435" s="4">
        <f>IF(SUMIFS('RES TECH'!N:N,'RES TECH'!M:M,C435)&gt;0,1,0)</f>
        <v>1</v>
      </c>
      <c r="H435" s="4">
        <f t="shared" si="6"/>
        <v>0</v>
      </c>
    </row>
    <row r="436" spans="3:8" x14ac:dyDescent="0.25">
      <c r="C436" t="str">
        <f>'RES TECH'!M434</f>
        <v>RESAPALMOldSHFUR2FOI20</v>
      </c>
      <c r="G436" s="4">
        <f>IF(SUMIFS('RES TECH'!N:N,'RES TECH'!M:M,C436)&gt;0,1,0)</f>
        <v>1</v>
      </c>
      <c r="H436" s="4">
        <f t="shared" si="6"/>
        <v>0</v>
      </c>
    </row>
    <row r="437" spans="3:8" x14ac:dyDescent="0.25">
      <c r="C437" t="str">
        <f>'RES TECH'!M435</f>
        <v>RESAPALMOldSHFUR2FOI22</v>
      </c>
      <c r="G437" s="4">
        <f>IF(SUMIFS('RES TECH'!N:N,'RES TECH'!M:M,C437)&gt;0,1,0)</f>
        <v>1</v>
      </c>
      <c r="H437" s="4">
        <f t="shared" si="6"/>
        <v>0</v>
      </c>
    </row>
    <row r="438" spans="3:8" x14ac:dyDescent="0.25">
      <c r="C438" t="str">
        <f>'RES TECH'!M436</f>
        <v>RESAPALMOldSHFUR3FOI20</v>
      </c>
      <c r="G438" s="4">
        <f>IF(SUMIFS('RES TECH'!N:N,'RES TECH'!M:M,C438)&gt;0,1,0)</f>
        <v>1</v>
      </c>
      <c r="H438" s="4">
        <f t="shared" si="6"/>
        <v>0</v>
      </c>
    </row>
    <row r="439" spans="3:8" x14ac:dyDescent="0.25">
      <c r="C439" t="str">
        <f>'RES TECH'!M437</f>
        <v>RESAPALMOldSHFUR4FOI20</v>
      </c>
      <c r="G439" s="4">
        <f>IF(SUMIFS('RES TECH'!N:N,'RES TECH'!M:M,C439)&gt;0,1,0)</f>
        <v>1</v>
      </c>
      <c r="H439" s="4">
        <f t="shared" si="6"/>
        <v>0</v>
      </c>
    </row>
    <row r="440" spans="3:8" x14ac:dyDescent="0.25">
      <c r="C440" t="str">
        <f>'RES TECH'!M438</f>
        <v>RESAPALMOldSHFUR4FOI22</v>
      </c>
      <c r="G440" s="4">
        <f>IF(SUMIFS('RES TECH'!N:N,'RES TECH'!M:M,C440)&gt;0,1,0)</f>
        <v>1</v>
      </c>
      <c r="H440" s="4">
        <f t="shared" si="6"/>
        <v>0</v>
      </c>
    </row>
    <row r="441" spans="3:8" x14ac:dyDescent="0.25">
      <c r="C441" t="str">
        <f>'RES TECH'!M439</f>
        <v>RESAPALMOldSHRAD1FOI20</v>
      </c>
      <c r="G441" s="4">
        <f>IF(SUMIFS('RES TECH'!N:N,'RES TECH'!M:M,C441)&gt;0,1,0)</f>
        <v>1</v>
      </c>
      <c r="H441" s="4">
        <f t="shared" si="6"/>
        <v>0</v>
      </c>
    </row>
    <row r="442" spans="3:8" x14ac:dyDescent="0.25">
      <c r="C442" t="str">
        <f>'RES TECH'!M440</f>
        <v>RESAPALMOldSHRAD1FOI22</v>
      </c>
      <c r="G442" s="4">
        <f>IF(SUMIFS('RES TECH'!N:N,'RES TECH'!M:M,C442)&gt;0,1,0)</f>
        <v>1</v>
      </c>
      <c r="H442" s="4">
        <f t="shared" si="6"/>
        <v>0</v>
      </c>
    </row>
    <row r="443" spans="3:8" x14ac:dyDescent="0.25">
      <c r="C443" t="str">
        <f>'RES TECH'!M441</f>
        <v>RESAPALMOldSHRAD2FOI20</v>
      </c>
      <c r="G443" s="4">
        <f>IF(SUMIFS('RES TECH'!N:N,'RES TECH'!M:M,C443)&gt;0,1,0)</f>
        <v>1</v>
      </c>
      <c r="H443" s="4">
        <f t="shared" si="6"/>
        <v>0</v>
      </c>
    </row>
    <row r="444" spans="3:8" x14ac:dyDescent="0.25">
      <c r="C444" t="str">
        <f>'RES TECH'!M442</f>
        <v>RESAPALMOldSHRAD2FOI22</v>
      </c>
      <c r="G444" s="4">
        <f>IF(SUMIFS('RES TECH'!N:N,'RES TECH'!M:M,C444)&gt;0,1,0)</f>
        <v>1</v>
      </c>
      <c r="H444" s="4">
        <f t="shared" si="6"/>
        <v>0</v>
      </c>
    </row>
    <row r="445" spans="3:8" x14ac:dyDescent="0.25">
      <c r="C445" t="str">
        <f>'RES TECH'!M443</f>
        <v>RESAPALMOldSHRAD3FOI20</v>
      </c>
      <c r="G445" s="4">
        <f>IF(SUMIFS('RES TECH'!N:N,'RES TECH'!M:M,C445)&gt;0,1,0)</f>
        <v>1</v>
      </c>
      <c r="H445" s="4">
        <f t="shared" si="6"/>
        <v>0</v>
      </c>
    </row>
    <row r="446" spans="3:8" x14ac:dyDescent="0.25">
      <c r="C446" t="str">
        <f>'RES TECH'!M444</f>
        <v>RESAPALMOldSHRAD4FOI20</v>
      </c>
      <c r="G446" s="4">
        <f>IF(SUMIFS('RES TECH'!N:N,'RES TECH'!M:M,C446)&gt;0,1,0)</f>
        <v>1</v>
      </c>
      <c r="H446" s="4">
        <f t="shared" si="6"/>
        <v>0</v>
      </c>
    </row>
    <row r="447" spans="3:8" x14ac:dyDescent="0.25">
      <c r="C447" t="str">
        <f>'RES TECH'!M445</f>
        <v>RESAPALMOldSCAHP2NGA20</v>
      </c>
      <c r="G447" s="4">
        <f>IF(SUMIFS('RES TECH'!N:N,'RES TECH'!M:M,C447)&gt;0,1,0)</f>
        <v>1</v>
      </c>
      <c r="H447" s="4">
        <f t="shared" si="6"/>
        <v>0</v>
      </c>
    </row>
    <row r="448" spans="3:8" x14ac:dyDescent="0.25">
      <c r="C448" t="str">
        <f>'RES TECH'!M446</f>
        <v>RESAPALMOldSCAHP2NGA20</v>
      </c>
      <c r="G448" s="4">
        <f>IF(SUMIFS('RES TECH'!N:N,'RES TECH'!M:M,C448)&gt;0,1,0)</f>
        <v>1</v>
      </c>
      <c r="H448" s="4">
        <f t="shared" si="6"/>
        <v>0</v>
      </c>
    </row>
    <row r="449" spans="3:8" x14ac:dyDescent="0.25">
      <c r="C449" t="str">
        <f>'RES TECH'!M447</f>
        <v>RESAPALMOldSCAHP1ELC20</v>
      </c>
      <c r="G449" s="4">
        <f>IF(SUMIFS('RES TECH'!N:N,'RES TECH'!M:M,C449)&gt;0,1,0)</f>
        <v>1</v>
      </c>
      <c r="H449" s="4">
        <f t="shared" si="6"/>
        <v>0</v>
      </c>
    </row>
    <row r="450" spans="3:8" x14ac:dyDescent="0.25">
      <c r="C450" t="str">
        <f>'RES TECH'!M448</f>
        <v>RESAPALMOldSCAHP1ELC23</v>
      </c>
      <c r="G450" s="4">
        <f>IF(SUMIFS('RES TECH'!N:N,'RES TECH'!M:M,C450)&gt;0,1,0)</f>
        <v>1</v>
      </c>
      <c r="H450" s="4">
        <f t="shared" si="6"/>
        <v>0</v>
      </c>
    </row>
    <row r="451" spans="3:8" x14ac:dyDescent="0.25">
      <c r="C451" t="str">
        <f>'RES TECH'!M449</f>
        <v>RESAPALMOldSCAHP2ELC20</v>
      </c>
      <c r="G451" s="4">
        <f>IF(SUMIFS('RES TECH'!N:N,'RES TECH'!M:M,C451)&gt;0,1,0)</f>
        <v>1</v>
      </c>
      <c r="H451" s="4">
        <f t="shared" si="6"/>
        <v>0</v>
      </c>
    </row>
    <row r="452" spans="3:8" x14ac:dyDescent="0.25">
      <c r="C452" t="str">
        <f>'RES TECH'!M450</f>
        <v>RESAPALMOldSCAHP2ELC23</v>
      </c>
      <c r="G452" s="4">
        <f>IF(SUMIFS('RES TECH'!N:N,'RES TECH'!M:M,C452)&gt;0,1,0)</f>
        <v>1</v>
      </c>
      <c r="H452" s="4">
        <f t="shared" si="6"/>
        <v>0</v>
      </c>
    </row>
    <row r="453" spans="3:8" x14ac:dyDescent="0.25">
      <c r="C453" t="str">
        <f>'RES TECH'!M451</f>
        <v>RESAPALMOldSCAHP3ELC20</v>
      </c>
      <c r="G453" s="4">
        <f>IF(SUMIFS('RES TECH'!N:N,'RES TECH'!M:M,C453)&gt;0,1,0)</f>
        <v>1</v>
      </c>
      <c r="H453" s="4">
        <f t="shared" ref="H453:H516" si="7">IF(C453="","",IF(C453="*","*",0))</f>
        <v>0</v>
      </c>
    </row>
    <row r="454" spans="3:8" x14ac:dyDescent="0.25">
      <c r="C454" t="str">
        <f>'RES TECH'!M452</f>
        <v>RESAPALMOldSCAHP3ELC22</v>
      </c>
      <c r="G454" s="4">
        <f>IF(SUMIFS('RES TECH'!N:N,'RES TECH'!M:M,C454)&gt;0,1,0)</f>
        <v>1</v>
      </c>
      <c r="H454" s="4">
        <f t="shared" si="7"/>
        <v>0</v>
      </c>
    </row>
    <row r="455" spans="3:8" x14ac:dyDescent="0.25">
      <c r="C455" t="str">
        <f>'RES TECH'!M453</f>
        <v>RESAPALMOldSCAHP3ELC23</v>
      </c>
      <c r="G455" s="4">
        <f>IF(SUMIFS('RES TECH'!N:N,'RES TECH'!M:M,C455)&gt;0,1,0)</f>
        <v>1</v>
      </c>
      <c r="H455" s="4">
        <f t="shared" si="7"/>
        <v>0</v>
      </c>
    </row>
    <row r="456" spans="3:8" x14ac:dyDescent="0.25">
      <c r="C456" t="str">
        <f>'RES TECH'!M454</f>
        <v>RESAPALMOldSCAHP4ELC20</v>
      </c>
      <c r="G456" s="4">
        <f>IF(SUMIFS('RES TECH'!N:N,'RES TECH'!M:M,C456)&gt;0,1,0)</f>
        <v>1</v>
      </c>
      <c r="H456" s="4">
        <f t="shared" si="7"/>
        <v>0</v>
      </c>
    </row>
    <row r="457" spans="3:8" x14ac:dyDescent="0.25">
      <c r="C457" t="str">
        <f>'RES TECH'!M455</f>
        <v>RESAPALMOldSCAHP4ELC22</v>
      </c>
      <c r="G457" s="4">
        <f>IF(SUMIFS('RES TECH'!N:N,'RES TECH'!M:M,C457)&gt;0,1,0)</f>
        <v>1</v>
      </c>
      <c r="H457" s="4">
        <f t="shared" si="7"/>
        <v>0</v>
      </c>
    </row>
    <row r="458" spans="3:8" x14ac:dyDescent="0.25">
      <c r="C458" t="str">
        <f>'RES TECH'!M456</f>
        <v>RESAPALMOldSCGHP1ELC20</v>
      </c>
      <c r="G458" s="4">
        <f>IF(SUMIFS('RES TECH'!N:N,'RES TECH'!M:M,C458)&gt;0,1,0)</f>
        <v>1</v>
      </c>
      <c r="H458" s="4">
        <f t="shared" si="7"/>
        <v>0</v>
      </c>
    </row>
    <row r="459" spans="3:8" x14ac:dyDescent="0.25">
      <c r="C459" t="str">
        <f>'RES TECH'!M457</f>
        <v>RESAPALMOldSCGHP2ELC20</v>
      </c>
      <c r="G459" s="4">
        <f>IF(SUMIFS('RES TECH'!N:N,'RES TECH'!M:M,C459)&gt;0,1,0)</f>
        <v>1</v>
      </c>
      <c r="H459" s="4">
        <f t="shared" si="7"/>
        <v>0</v>
      </c>
    </row>
    <row r="460" spans="3:8" x14ac:dyDescent="0.25">
      <c r="C460" t="str">
        <f>'RES TECH'!M458</f>
        <v>RESAPALMOldSCGHP3ELC20</v>
      </c>
      <c r="G460" s="4">
        <f>IF(SUMIFS('RES TECH'!N:N,'RES TECH'!M:M,C460)&gt;0,1,0)</f>
        <v>1</v>
      </c>
      <c r="H460" s="4">
        <f t="shared" si="7"/>
        <v>0</v>
      </c>
    </row>
    <row r="461" spans="3:8" x14ac:dyDescent="0.25">
      <c r="C461" t="str">
        <f>'RES TECH'!M459</f>
        <v>RESAPALMOldSCGHP3ELC20</v>
      </c>
      <c r="G461" s="4">
        <f>IF(SUMIFS('RES TECH'!N:N,'RES TECH'!M:M,C461)&gt;0,1,0)</f>
        <v>1</v>
      </c>
      <c r="H461" s="4">
        <f t="shared" si="7"/>
        <v>0</v>
      </c>
    </row>
    <row r="462" spans="3:8" x14ac:dyDescent="0.25">
      <c r="C462" t="str">
        <f>'RES TECH'!M460</f>
        <v>RESAPALMOldSCGHP3ELC22</v>
      </c>
      <c r="G462" s="4">
        <f>IF(SUMIFS('RES TECH'!N:N,'RES TECH'!M:M,C462)&gt;0,1,0)</f>
        <v>1</v>
      </c>
      <c r="H462" s="4">
        <f t="shared" si="7"/>
        <v>0</v>
      </c>
    </row>
    <row r="463" spans="3:8" x14ac:dyDescent="0.25">
      <c r="C463" t="str">
        <f>'RES TECH'!M461</f>
        <v>RESAPALMOldSCGHP3ELC23</v>
      </c>
      <c r="G463" s="4">
        <f>IF(SUMIFS('RES TECH'!N:N,'RES TECH'!M:M,C463)&gt;0,1,0)</f>
        <v>1</v>
      </c>
      <c r="H463" s="4">
        <f t="shared" si="7"/>
        <v>0</v>
      </c>
    </row>
    <row r="464" spans="3:8" x14ac:dyDescent="0.25">
      <c r="C464" t="str">
        <f>'RES TECH'!M462</f>
        <v>RESAPALMOldSCGHP3ELC24</v>
      </c>
      <c r="G464" s="4">
        <f>IF(SUMIFS('RES TECH'!N:N,'RES TECH'!M:M,C464)&gt;0,1,0)</f>
        <v>1</v>
      </c>
      <c r="H464" s="4">
        <f t="shared" si="7"/>
        <v>0</v>
      </c>
    </row>
    <row r="465" spans="3:8" x14ac:dyDescent="0.25">
      <c r="C465" t="str">
        <f>'RES TECH'!M463</f>
        <v>RESAPALMOldSCGHP4ELC20</v>
      </c>
      <c r="G465" s="4">
        <f>IF(SUMIFS('RES TECH'!N:N,'RES TECH'!M:M,C465)&gt;0,1,0)</f>
        <v>1</v>
      </c>
      <c r="H465" s="4">
        <f t="shared" si="7"/>
        <v>0</v>
      </c>
    </row>
    <row r="466" spans="3:8" x14ac:dyDescent="0.25">
      <c r="C466" t="str">
        <f>'RES TECH'!M464</f>
        <v>RESAPALMOldSCGHP4ELC20</v>
      </c>
      <c r="G466" s="4">
        <f>IF(SUMIFS('RES TECH'!N:N,'RES TECH'!M:M,C466)&gt;0,1,0)</f>
        <v>1</v>
      </c>
      <c r="H466" s="4">
        <f t="shared" si="7"/>
        <v>0</v>
      </c>
    </row>
    <row r="467" spans="3:8" x14ac:dyDescent="0.25">
      <c r="C467" t="str">
        <f>'RES TECH'!M465</f>
        <v>RESAPALMOldSCGHP4ELC22</v>
      </c>
      <c r="G467" s="4">
        <f>IF(SUMIFS('RES TECH'!N:N,'RES TECH'!M:M,C467)&gt;0,1,0)</f>
        <v>1</v>
      </c>
      <c r="H467" s="4">
        <f t="shared" si="7"/>
        <v>0</v>
      </c>
    </row>
    <row r="468" spans="3:8" x14ac:dyDescent="0.25">
      <c r="C468" t="str">
        <f>'RES TECH'!M466</f>
        <v>RESAPALMOldSCGHP4ELC23</v>
      </c>
      <c r="G468" s="4">
        <f>IF(SUMIFS('RES TECH'!N:N,'RES TECH'!M:M,C468)&gt;0,1,0)</f>
        <v>1</v>
      </c>
      <c r="H468" s="4">
        <f t="shared" si="7"/>
        <v>0</v>
      </c>
    </row>
    <row r="469" spans="3:8" x14ac:dyDescent="0.25">
      <c r="C469" t="str">
        <f>'RES TECH'!M467</f>
        <v>RESAPALMOldSCGHP4ELC24</v>
      </c>
      <c r="G469" s="4">
        <f>IF(SUMIFS('RES TECH'!N:N,'RES TECH'!M:M,C469)&gt;0,1,0)</f>
        <v>1</v>
      </c>
      <c r="H469" s="4">
        <f t="shared" si="7"/>
        <v>0</v>
      </c>
    </row>
    <row r="470" spans="3:8" x14ac:dyDescent="0.25">
      <c r="C470" t="str">
        <f>'RES TECH'!M468</f>
        <v>RESAPALMOldSCRAC1ELC20</v>
      </c>
      <c r="G470" s="4">
        <f>IF(SUMIFS('RES TECH'!N:N,'RES TECH'!M:M,C470)&gt;0,1,0)</f>
        <v>1</v>
      </c>
      <c r="H470" s="4">
        <f t="shared" si="7"/>
        <v>0</v>
      </c>
    </row>
    <row r="471" spans="3:8" x14ac:dyDescent="0.25">
      <c r="C471" t="str">
        <f>'RES TECH'!M469</f>
        <v>RESAPALMOldSCRAC2ELC20</v>
      </c>
      <c r="G471" s="4">
        <f>IF(SUMIFS('RES TECH'!N:N,'RES TECH'!M:M,C471)&gt;0,1,0)</f>
        <v>1</v>
      </c>
      <c r="H471" s="4">
        <f t="shared" si="7"/>
        <v>0</v>
      </c>
    </row>
    <row r="472" spans="3:8" x14ac:dyDescent="0.25">
      <c r="C472" t="str">
        <f>'RES TECH'!M470</f>
        <v>RESAPALMOldSCRAC2ELC30</v>
      </c>
      <c r="G472" s="4">
        <f>IF(SUMIFS('RES TECH'!N:N,'RES TECH'!M:M,C472)&gt;0,1,0)</f>
        <v>1</v>
      </c>
      <c r="H472" s="4">
        <f t="shared" si="7"/>
        <v>0</v>
      </c>
    </row>
    <row r="473" spans="3:8" x14ac:dyDescent="0.25">
      <c r="C473" t="str">
        <f>'RES TECH'!M471</f>
        <v>RESAPALMOldSCRAC2ELC40</v>
      </c>
      <c r="G473" s="4">
        <f>IF(SUMIFS('RES TECH'!N:N,'RES TECH'!M:M,C473)&gt;0,1,0)</f>
        <v>1</v>
      </c>
      <c r="H473" s="4">
        <f t="shared" si="7"/>
        <v>0</v>
      </c>
    </row>
    <row r="474" spans="3:8" x14ac:dyDescent="0.25">
      <c r="C474" t="str">
        <f>'RES TECH'!M472</f>
        <v>RESAPALMOldSCRAC3ELC20</v>
      </c>
      <c r="G474" s="4">
        <f>IF(SUMIFS('RES TECH'!N:N,'RES TECH'!M:M,C474)&gt;0,1,0)</f>
        <v>1</v>
      </c>
      <c r="H474" s="4">
        <f t="shared" si="7"/>
        <v>0</v>
      </c>
    </row>
    <row r="475" spans="3:8" x14ac:dyDescent="0.25">
      <c r="C475" t="str">
        <f>'RES TECH'!M473</f>
        <v>RESAPALMOldSCRAC4ELC20</v>
      </c>
      <c r="G475" s="4">
        <f>IF(SUMIFS('RES TECH'!N:N,'RES TECH'!M:M,C475)&gt;0,1,0)</f>
        <v>1</v>
      </c>
      <c r="H475" s="4">
        <f t="shared" si="7"/>
        <v>0</v>
      </c>
    </row>
    <row r="476" spans="3:8" x14ac:dyDescent="0.25">
      <c r="C476" t="str">
        <f>'RES TECH'!M474</f>
        <v>RESAPALMOldSCRAC4ELC22</v>
      </c>
      <c r="G476" s="4">
        <f>IF(SUMIFS('RES TECH'!N:N,'RES TECH'!M:M,C476)&gt;0,1,0)</f>
        <v>1</v>
      </c>
      <c r="H476" s="4">
        <f t="shared" si="7"/>
        <v>0</v>
      </c>
    </row>
    <row r="477" spans="3:8" x14ac:dyDescent="0.25">
      <c r="C477" t="str">
        <f>'RES TECH'!M475</f>
        <v>RESAPALMOldSCRAC4ELC30</v>
      </c>
      <c r="G477" s="4">
        <f>IF(SUMIFS('RES TECH'!N:N,'RES TECH'!M:M,C477)&gt;0,1,0)</f>
        <v>1</v>
      </c>
      <c r="H477" s="4">
        <f t="shared" si="7"/>
        <v>0</v>
      </c>
    </row>
    <row r="478" spans="3:8" x14ac:dyDescent="0.25">
      <c r="C478" t="str">
        <f>'RES TECH'!M476</f>
        <v>RESAPALMOldSCRAC4ELC40</v>
      </c>
      <c r="G478" s="4">
        <f>IF(SUMIFS('RES TECH'!N:N,'RES TECH'!M:M,C478)&gt;0,1,0)</f>
        <v>1</v>
      </c>
      <c r="H478" s="4">
        <f t="shared" si="7"/>
        <v>0</v>
      </c>
    </row>
    <row r="479" spans="3:8" x14ac:dyDescent="0.25">
      <c r="C479" t="str">
        <f>'RES TECH'!M477</f>
        <v>RESAPALMOldSCCAC1ELC20</v>
      </c>
      <c r="G479" s="4">
        <f>IF(SUMIFS('RES TECH'!N:N,'RES TECH'!M:M,C479)&gt;0,1,0)</f>
        <v>1</v>
      </c>
      <c r="H479" s="4">
        <f t="shared" si="7"/>
        <v>0</v>
      </c>
    </row>
    <row r="480" spans="3:8" x14ac:dyDescent="0.25">
      <c r="C480" t="str">
        <f>'RES TECH'!M478</f>
        <v>RESAPALMOldSCCAC1ELC23</v>
      </c>
      <c r="G480" s="4">
        <f>IF(SUMIFS('RES TECH'!N:N,'RES TECH'!M:M,C480)&gt;0,1,0)</f>
        <v>1</v>
      </c>
      <c r="H480" s="4">
        <f t="shared" si="7"/>
        <v>0</v>
      </c>
    </row>
    <row r="481" spans="3:8" x14ac:dyDescent="0.25">
      <c r="C481" t="str">
        <f>'RES TECH'!M479</f>
        <v>RESAPALMOldSCCAC2ELC20</v>
      </c>
      <c r="G481" s="4">
        <f>IF(SUMIFS('RES TECH'!N:N,'RES TECH'!M:M,C481)&gt;0,1,0)</f>
        <v>1</v>
      </c>
      <c r="H481" s="4">
        <f t="shared" si="7"/>
        <v>0</v>
      </c>
    </row>
    <row r="482" spans="3:8" x14ac:dyDescent="0.25">
      <c r="C482" t="str">
        <f>'RES TECH'!M480</f>
        <v>RESAPALMOldSCCAC2ELC23</v>
      </c>
      <c r="G482" s="4">
        <f>IF(SUMIFS('RES TECH'!N:N,'RES TECH'!M:M,C482)&gt;0,1,0)</f>
        <v>1</v>
      </c>
      <c r="H482" s="4">
        <f t="shared" si="7"/>
        <v>0</v>
      </c>
    </row>
    <row r="483" spans="3:8" x14ac:dyDescent="0.25">
      <c r="C483" t="str">
        <f>'RES TECH'!M481</f>
        <v>RESAPALMOldSCCAC3ELC20</v>
      </c>
      <c r="G483" s="4">
        <f>IF(SUMIFS('RES TECH'!N:N,'RES TECH'!M:M,C483)&gt;0,1,0)</f>
        <v>1</v>
      </c>
      <c r="H483" s="4">
        <f t="shared" si="7"/>
        <v>0</v>
      </c>
    </row>
    <row r="484" spans="3:8" x14ac:dyDescent="0.25">
      <c r="C484" t="str">
        <f>'RES TECH'!M482</f>
        <v>RESAPALMOldSCCAC3ELC23</v>
      </c>
      <c r="G484" s="4">
        <f>IF(SUMIFS('RES TECH'!N:N,'RES TECH'!M:M,C484)&gt;0,1,0)</f>
        <v>1</v>
      </c>
      <c r="H484" s="4">
        <f t="shared" si="7"/>
        <v>0</v>
      </c>
    </row>
    <row r="485" spans="3:8" x14ac:dyDescent="0.25">
      <c r="C485" t="str">
        <f>'RES TECH'!M483</f>
        <v>RESAPALMOldSCCAC4ELC20</v>
      </c>
      <c r="G485" s="4">
        <f>IF(SUMIFS('RES TECH'!N:N,'RES TECH'!M:M,C485)&gt;0,1,0)</f>
        <v>1</v>
      </c>
      <c r="H485" s="4">
        <f t="shared" si="7"/>
        <v>0</v>
      </c>
    </row>
    <row r="486" spans="3:8" x14ac:dyDescent="0.25">
      <c r="C486" t="str">
        <f>'RES TECH'!M484</f>
        <v>RESAPALMOldSCCAC4ELC22</v>
      </c>
      <c r="G486" s="4">
        <f>IF(SUMIFS('RES TECH'!N:N,'RES TECH'!M:M,C486)&gt;0,1,0)</f>
        <v>1</v>
      </c>
      <c r="H486" s="4">
        <f t="shared" si="7"/>
        <v>0</v>
      </c>
    </row>
    <row r="487" spans="3:8" x14ac:dyDescent="0.25">
      <c r="C487" t="str">
        <f>'RES TECH'!M485</f>
        <v>RESAPALMOldRETF1ELC20</v>
      </c>
      <c r="G487" s="4">
        <f>IF(SUMIFS('RES TECH'!N:N,'RES TECH'!M:M,C487)&gt;0,1,0)</f>
        <v>1</v>
      </c>
      <c r="H487" s="4">
        <f t="shared" si="7"/>
        <v>0</v>
      </c>
    </row>
    <row r="488" spans="3:8" x14ac:dyDescent="0.25">
      <c r="C488" t="str">
        <f>'RES TECH'!M486</f>
        <v>RESAPALMOldRETF2ELC20</v>
      </c>
      <c r="G488" s="4">
        <f>IF(SUMIFS('RES TECH'!N:N,'RES TECH'!M:M,C488)&gt;0,1,0)</f>
        <v>1</v>
      </c>
      <c r="H488" s="4">
        <f t="shared" si="7"/>
        <v>0</v>
      </c>
    </row>
    <row r="489" spans="3:8" x14ac:dyDescent="0.25">
      <c r="C489" t="str">
        <f>'RES TECH'!M487</f>
        <v>RESAPALMOldRETF3ELC20</v>
      </c>
      <c r="G489" s="4">
        <f>IF(SUMIFS('RES TECH'!N:N,'RES TECH'!M:M,C489)&gt;0,1,0)</f>
        <v>1</v>
      </c>
      <c r="H489" s="4">
        <f t="shared" si="7"/>
        <v>0</v>
      </c>
    </row>
    <row r="490" spans="3:8" x14ac:dyDescent="0.25">
      <c r="C490" t="str">
        <f>'RES TECH'!M488</f>
        <v>RESAPALMOldRETF4ELC20</v>
      </c>
      <c r="G490" s="4">
        <f>IF(SUMIFS('RES TECH'!N:N,'RES TECH'!M:M,C490)&gt;0,1,0)</f>
        <v>1</v>
      </c>
      <c r="H490" s="4">
        <f t="shared" si="7"/>
        <v>0</v>
      </c>
    </row>
    <row r="491" spans="3:8" x14ac:dyDescent="0.25">
      <c r="C491" t="str">
        <f>'RES TECH'!M489</f>
        <v>RESAPALMOldRESF1ELC20</v>
      </c>
      <c r="G491" s="4">
        <f>IF(SUMIFS('RES TECH'!N:N,'RES TECH'!M:M,C491)&gt;0,1,0)</f>
        <v>1</v>
      </c>
      <c r="H491" s="4">
        <f t="shared" si="7"/>
        <v>0</v>
      </c>
    </row>
    <row r="492" spans="3:8" x14ac:dyDescent="0.25">
      <c r="C492" t="str">
        <f>'RES TECH'!M490</f>
        <v>RESAPALMOldRESF2ELC20</v>
      </c>
      <c r="G492" s="4">
        <f>IF(SUMIFS('RES TECH'!N:N,'RES TECH'!M:M,C492)&gt;0,1,0)</f>
        <v>1</v>
      </c>
      <c r="H492" s="4">
        <f t="shared" si="7"/>
        <v>0</v>
      </c>
    </row>
    <row r="493" spans="3:8" x14ac:dyDescent="0.25">
      <c r="C493" t="str">
        <f>'RES TECH'!M491</f>
        <v>RESAPALMOldRESF3ELC20</v>
      </c>
      <c r="G493" s="4">
        <f>IF(SUMIFS('RES TECH'!N:N,'RES TECH'!M:M,C493)&gt;0,1,0)</f>
        <v>1</v>
      </c>
      <c r="H493" s="4">
        <f t="shared" si="7"/>
        <v>0</v>
      </c>
    </row>
    <row r="494" spans="3:8" x14ac:dyDescent="0.25">
      <c r="C494" t="str">
        <f>'RES TECH'!M492</f>
        <v>RESAPALMOldRESF4ELC20</v>
      </c>
      <c r="G494" s="4">
        <f>IF(SUMIFS('RES TECH'!N:N,'RES TECH'!M:M,C494)&gt;0,1,0)</f>
        <v>1</v>
      </c>
      <c r="H494" s="4">
        <f t="shared" si="7"/>
        <v>0</v>
      </c>
    </row>
    <row r="495" spans="3:8" x14ac:dyDescent="0.25">
      <c r="C495" t="str">
        <f>'RES TECH'!M493</f>
        <v>RESAPALMOldREBF1ELC20</v>
      </c>
      <c r="G495" s="4">
        <f>IF(SUMIFS('RES TECH'!N:N,'RES TECH'!M:M,C495)&gt;0,1,0)</f>
        <v>1</v>
      </c>
      <c r="H495" s="4">
        <f t="shared" si="7"/>
        <v>0</v>
      </c>
    </row>
    <row r="496" spans="3:8" x14ac:dyDescent="0.25">
      <c r="C496" t="str">
        <f>'RES TECH'!M494</f>
        <v>RESAPALMOldREBF2ELC20</v>
      </c>
      <c r="G496" s="4">
        <f>IF(SUMIFS('RES TECH'!N:N,'RES TECH'!M:M,C496)&gt;0,1,0)</f>
        <v>1</v>
      </c>
      <c r="H496" s="4">
        <f t="shared" si="7"/>
        <v>0</v>
      </c>
    </row>
    <row r="497" spans="3:8" x14ac:dyDescent="0.25">
      <c r="C497" t="str">
        <f>'RES TECH'!M495</f>
        <v>RESAPALMOldREBF3ELC20</v>
      </c>
      <c r="G497" s="4">
        <f>IF(SUMIFS('RES TECH'!N:N,'RES TECH'!M:M,C497)&gt;0,1,0)</f>
        <v>1</v>
      </c>
      <c r="H497" s="4">
        <f t="shared" si="7"/>
        <v>0</v>
      </c>
    </row>
    <row r="498" spans="3:8" x14ac:dyDescent="0.25">
      <c r="C498" t="str">
        <f>'RES TECH'!M496</f>
        <v>RESAPALMOldREBF4ELC20</v>
      </c>
      <c r="G498" s="4">
        <f>IF(SUMIFS('RES TECH'!N:N,'RES TECH'!M:M,C498)&gt;0,1,0)</f>
        <v>1</v>
      </c>
      <c r="H498" s="4">
        <f t="shared" si="7"/>
        <v>0</v>
      </c>
    </row>
    <row r="499" spans="3:8" x14ac:dyDescent="0.25">
      <c r="C499" t="str">
        <f>'RES TECH'!M497</f>
        <v>RESAPALMOldFRC1ELC20</v>
      </c>
      <c r="G499" s="4">
        <f>IF(SUMIFS('RES TECH'!N:N,'RES TECH'!M:M,C499)&gt;0,1,0)</f>
        <v>1</v>
      </c>
      <c r="H499" s="4">
        <f t="shared" si="7"/>
        <v>0</v>
      </c>
    </row>
    <row r="500" spans="3:8" x14ac:dyDescent="0.25">
      <c r="C500" t="str">
        <f>'RES TECH'!M498</f>
        <v>RESAPALMOldFRC2ELC20</v>
      </c>
      <c r="G500" s="4">
        <f>IF(SUMIFS('RES TECH'!N:N,'RES TECH'!M:M,C500)&gt;0,1,0)</f>
        <v>1</v>
      </c>
      <c r="H500" s="4">
        <f t="shared" si="7"/>
        <v>0</v>
      </c>
    </row>
    <row r="501" spans="3:8" x14ac:dyDescent="0.25">
      <c r="C501" t="str">
        <f>'RES TECH'!M499</f>
        <v>RESAPALMOldFRC3ELC20</v>
      </c>
      <c r="G501" s="4">
        <f>IF(SUMIFS('RES TECH'!N:N,'RES TECH'!M:M,C501)&gt;0,1,0)</f>
        <v>1</v>
      </c>
      <c r="H501" s="4">
        <f t="shared" si="7"/>
        <v>0</v>
      </c>
    </row>
    <row r="502" spans="3:8" x14ac:dyDescent="0.25">
      <c r="C502" t="str">
        <f>'RES TECH'!M500</f>
        <v>RESAPALMOldFRC4ELC20</v>
      </c>
      <c r="G502" s="4">
        <f>IF(SUMIFS('RES TECH'!N:N,'RES TECH'!M:M,C502)&gt;0,1,0)</f>
        <v>1</v>
      </c>
      <c r="H502" s="4">
        <f t="shared" si="7"/>
        <v>0</v>
      </c>
    </row>
    <row r="503" spans="3:8" x14ac:dyDescent="0.25">
      <c r="C503" t="str">
        <f>'RES TECH'!M501</f>
        <v>RESAPALMOldFRU1ELC20</v>
      </c>
      <c r="G503" s="4">
        <f>IF(SUMIFS('RES TECH'!N:N,'RES TECH'!M:M,C503)&gt;0,1,0)</f>
        <v>1</v>
      </c>
      <c r="H503" s="4">
        <f t="shared" si="7"/>
        <v>0</v>
      </c>
    </row>
    <row r="504" spans="3:8" x14ac:dyDescent="0.25">
      <c r="C504" t="str">
        <f>'RES TECH'!M502</f>
        <v>RESAPALMOldFRU2ELC20</v>
      </c>
      <c r="G504" s="4">
        <f>IF(SUMIFS('RES TECH'!N:N,'RES TECH'!M:M,C504)&gt;0,1,0)</f>
        <v>1</v>
      </c>
      <c r="H504" s="4">
        <f t="shared" si="7"/>
        <v>0</v>
      </c>
    </row>
    <row r="505" spans="3:8" x14ac:dyDescent="0.25">
      <c r="C505" t="str">
        <f>'RES TECH'!M503</f>
        <v>RESAPALMOldFRU3ELC20</v>
      </c>
      <c r="G505" s="4">
        <f>IF(SUMIFS('RES TECH'!N:N,'RES TECH'!M:M,C505)&gt;0,1,0)</f>
        <v>1</v>
      </c>
      <c r="H505" s="4">
        <f t="shared" si="7"/>
        <v>0</v>
      </c>
    </row>
    <row r="506" spans="3:8" x14ac:dyDescent="0.25">
      <c r="C506" t="str">
        <f>'RES TECH'!M504</f>
        <v>RESAPALMOldFRU4ELC20</v>
      </c>
      <c r="G506" s="4">
        <f>IF(SUMIFS('RES TECH'!N:N,'RES TECH'!M:M,C506)&gt;0,1,0)</f>
        <v>1</v>
      </c>
      <c r="H506" s="4">
        <f t="shared" si="7"/>
        <v>0</v>
      </c>
    </row>
    <row r="507" spans="3:8" x14ac:dyDescent="0.25">
      <c r="C507" t="str">
        <f>'RES TECH'!M505</f>
        <v>RESAPALMOldCK2NGA20</v>
      </c>
      <c r="G507" s="4">
        <f>IF(SUMIFS('RES TECH'!N:N,'RES TECH'!M:M,C507)&gt;0,1,0)</f>
        <v>1</v>
      </c>
      <c r="H507" s="4">
        <f t="shared" si="7"/>
        <v>0</v>
      </c>
    </row>
    <row r="508" spans="3:8" x14ac:dyDescent="0.25">
      <c r="C508" t="str">
        <f>'RES TECH'!M506</f>
        <v>RESAPALMOldCK4NGA20</v>
      </c>
      <c r="G508" s="4">
        <f>IF(SUMIFS('RES TECH'!N:N,'RES TECH'!M:M,C508)&gt;0,1,0)</f>
        <v>1</v>
      </c>
      <c r="H508" s="4">
        <f t="shared" si="7"/>
        <v>0</v>
      </c>
    </row>
    <row r="509" spans="3:8" x14ac:dyDescent="0.25">
      <c r="C509" t="str">
        <f>'RES TECH'!M507</f>
        <v>RESAPALMOldCK2LPG20</v>
      </c>
      <c r="G509" s="4">
        <f>IF(SUMIFS('RES TECH'!N:N,'RES TECH'!M:M,C509)&gt;0,1,0)</f>
        <v>1</v>
      </c>
      <c r="H509" s="4">
        <f t="shared" si="7"/>
        <v>0</v>
      </c>
    </row>
    <row r="510" spans="3:8" x14ac:dyDescent="0.25">
      <c r="C510" t="str">
        <f>'RES TECH'!M508</f>
        <v>RESAPALMOldCK4LPG20</v>
      </c>
      <c r="G510" s="4">
        <f>IF(SUMIFS('RES TECH'!N:N,'RES TECH'!M:M,C510)&gt;0,1,0)</f>
        <v>1</v>
      </c>
      <c r="H510" s="4">
        <f t="shared" si="7"/>
        <v>0</v>
      </c>
    </row>
    <row r="511" spans="3:8" x14ac:dyDescent="0.25">
      <c r="C511" t="str">
        <f>'RES TECH'!M509</f>
        <v>RESAPALMOldCK2ELC20</v>
      </c>
      <c r="G511" s="4">
        <f>IF(SUMIFS('RES TECH'!N:N,'RES TECH'!M:M,C511)&gt;0,1,0)</f>
        <v>1</v>
      </c>
      <c r="H511" s="4">
        <f t="shared" si="7"/>
        <v>0</v>
      </c>
    </row>
    <row r="512" spans="3:8" x14ac:dyDescent="0.25">
      <c r="C512" t="str">
        <f>'RES TECH'!M510</f>
        <v>RESAPALMOldCWF4ELC30</v>
      </c>
      <c r="G512" s="4">
        <f>IF(SUMIFS('RES TECH'!N:N,'RES TECH'!M:M,C512)&gt;0,1,0)</f>
        <v>1</v>
      </c>
      <c r="H512" s="4">
        <f t="shared" si="7"/>
        <v>0</v>
      </c>
    </row>
    <row r="513" spans="3:8" x14ac:dyDescent="0.25">
      <c r="C513" t="str">
        <f>'RES TECH'!M511</f>
        <v>RESAPALMOldCWT1ELC20</v>
      </c>
      <c r="G513" s="4">
        <f>IF(SUMIFS('RES TECH'!N:N,'RES TECH'!M:M,C513)&gt;0,1,0)</f>
        <v>1</v>
      </c>
      <c r="H513" s="4">
        <f t="shared" si="7"/>
        <v>0</v>
      </c>
    </row>
    <row r="514" spans="3:8" x14ac:dyDescent="0.25">
      <c r="C514" t="str">
        <f>'RES TECH'!M512</f>
        <v>RESAPALMOldCWT2ELC20</v>
      </c>
      <c r="G514" s="4">
        <f>IF(SUMIFS('RES TECH'!N:N,'RES TECH'!M:M,C514)&gt;0,1,0)</f>
        <v>1</v>
      </c>
      <c r="H514" s="4">
        <f t="shared" si="7"/>
        <v>0</v>
      </c>
    </row>
    <row r="515" spans="3:8" x14ac:dyDescent="0.25">
      <c r="C515" t="str">
        <f>'RES TECH'!M513</f>
        <v>RESAPALMOldCWT2ELC20</v>
      </c>
      <c r="G515" s="4">
        <f>IF(SUMIFS('RES TECH'!N:N,'RES TECH'!M:M,C515)&gt;0,1,0)</f>
        <v>1</v>
      </c>
      <c r="H515" s="4">
        <f t="shared" si="7"/>
        <v>0</v>
      </c>
    </row>
    <row r="516" spans="3:8" x14ac:dyDescent="0.25">
      <c r="C516" t="str">
        <f>'RES TECH'!M514</f>
        <v>RESAPALMOldCWT3ELC20</v>
      </c>
      <c r="G516" s="4">
        <f>IF(SUMIFS('RES TECH'!N:N,'RES TECH'!M:M,C516)&gt;0,1,0)</f>
        <v>1</v>
      </c>
      <c r="H516" s="4">
        <f t="shared" si="7"/>
        <v>0</v>
      </c>
    </row>
    <row r="517" spans="3:8" x14ac:dyDescent="0.25">
      <c r="C517" t="str">
        <f>'RES TECH'!M515</f>
        <v>RESAPALMOldCWT4ELC20</v>
      </c>
      <c r="G517" s="4">
        <f>IF(SUMIFS('RES TECH'!N:N,'RES TECH'!M:M,C517)&gt;0,1,0)</f>
        <v>1</v>
      </c>
      <c r="H517" s="4">
        <f t="shared" ref="H517:H580" si="8">IF(C517="","",IF(C517="*","*",0))</f>
        <v>0</v>
      </c>
    </row>
    <row r="518" spans="3:8" x14ac:dyDescent="0.25">
      <c r="C518" t="str">
        <f>'RES TECH'!M516</f>
        <v>RESAPALMOldCWF1ELC20</v>
      </c>
      <c r="G518" s="4">
        <f>IF(SUMIFS('RES TECH'!N:N,'RES TECH'!M:M,C518)&gt;0,1,0)</f>
        <v>1</v>
      </c>
      <c r="H518" s="4">
        <f t="shared" si="8"/>
        <v>0</v>
      </c>
    </row>
    <row r="519" spans="3:8" x14ac:dyDescent="0.25">
      <c r="C519" t="str">
        <f>'RES TECH'!M517</f>
        <v>RESAPALMOldCWF2ELC20</v>
      </c>
      <c r="G519" s="4">
        <f>IF(SUMIFS('RES TECH'!N:N,'RES TECH'!M:M,C519)&gt;0,1,0)</f>
        <v>1</v>
      </c>
      <c r="H519" s="4">
        <f t="shared" si="8"/>
        <v>0</v>
      </c>
    </row>
    <row r="520" spans="3:8" x14ac:dyDescent="0.25">
      <c r="C520" t="str">
        <f>'RES TECH'!M518</f>
        <v>RESAPALMOldCWF2ELC30</v>
      </c>
      <c r="G520" s="4">
        <f>IF(SUMIFS('RES TECH'!N:N,'RES TECH'!M:M,C520)&gt;0,1,0)</f>
        <v>1</v>
      </c>
      <c r="H520" s="4">
        <f t="shared" si="8"/>
        <v>0</v>
      </c>
    </row>
    <row r="521" spans="3:8" x14ac:dyDescent="0.25">
      <c r="C521" t="str">
        <f>'RES TECH'!M519</f>
        <v>RESAPALMOldCWF3ELC20</v>
      </c>
      <c r="G521" s="4">
        <f>IF(SUMIFS('RES TECH'!N:N,'RES TECH'!M:M,C521)&gt;0,1,0)</f>
        <v>1</v>
      </c>
      <c r="H521" s="4">
        <f t="shared" si="8"/>
        <v>0</v>
      </c>
    </row>
    <row r="522" spans="3:8" x14ac:dyDescent="0.25">
      <c r="C522" t="str">
        <f>'RES TECH'!M520</f>
        <v>RESAPALMOldCWF4ELC20</v>
      </c>
      <c r="G522" s="4">
        <f>IF(SUMIFS('RES TECH'!N:N,'RES TECH'!M:M,C522)&gt;0,1,0)</f>
        <v>1</v>
      </c>
      <c r="H522" s="4">
        <f t="shared" si="8"/>
        <v>0</v>
      </c>
    </row>
    <row r="523" spans="3:8" x14ac:dyDescent="0.25">
      <c r="C523" t="str">
        <f>'RES TECH'!M521</f>
        <v>RESAPALMOldCWF4ELC20</v>
      </c>
      <c r="G523" s="4">
        <f>IF(SUMIFS('RES TECH'!N:N,'RES TECH'!M:M,C523)&gt;0,1,0)</f>
        <v>1</v>
      </c>
      <c r="H523" s="4">
        <f t="shared" si="8"/>
        <v>0</v>
      </c>
    </row>
    <row r="524" spans="3:8" x14ac:dyDescent="0.25">
      <c r="C524" t="str">
        <f>'RES TECH'!M522</f>
        <v>RESAPALMOldCD1NGA20</v>
      </c>
      <c r="G524" s="4">
        <f>IF(SUMIFS('RES TECH'!N:N,'RES TECH'!M:M,C524)&gt;0,1,0)</f>
        <v>1</v>
      </c>
      <c r="H524" s="4">
        <f t="shared" si="8"/>
        <v>0</v>
      </c>
    </row>
    <row r="525" spans="3:8" x14ac:dyDescent="0.25">
      <c r="C525" t="str">
        <f>'RES TECH'!M523</f>
        <v>RESAPALMOldCD2NGA20</v>
      </c>
      <c r="G525" s="4">
        <f>IF(SUMIFS('RES TECH'!N:N,'RES TECH'!M:M,C525)&gt;0,1,0)</f>
        <v>1</v>
      </c>
      <c r="H525" s="4">
        <f t="shared" si="8"/>
        <v>0</v>
      </c>
    </row>
    <row r="526" spans="3:8" x14ac:dyDescent="0.25">
      <c r="C526" t="str">
        <f>'RES TECH'!M524</f>
        <v>RESAPALMOldCD3NGA20</v>
      </c>
      <c r="G526" s="4">
        <f>IF(SUMIFS('RES TECH'!N:N,'RES TECH'!M:M,C526)&gt;0,1,0)</f>
        <v>1</v>
      </c>
      <c r="H526" s="4">
        <f t="shared" si="8"/>
        <v>0</v>
      </c>
    </row>
    <row r="527" spans="3:8" x14ac:dyDescent="0.25">
      <c r="C527" t="str">
        <f>'RES TECH'!M525</f>
        <v>RESAPALMOldCD4NGA20</v>
      </c>
      <c r="G527" s="4">
        <f>IF(SUMIFS('RES TECH'!N:N,'RES TECH'!M:M,C527)&gt;0,1,0)</f>
        <v>1</v>
      </c>
      <c r="H527" s="4">
        <f t="shared" si="8"/>
        <v>0</v>
      </c>
    </row>
    <row r="528" spans="3:8" x14ac:dyDescent="0.25">
      <c r="C528" t="str">
        <f>'RES TECH'!M526</f>
        <v>RESAPALMOldCD4NGA30</v>
      </c>
      <c r="G528" s="4">
        <f>IF(SUMIFS('RES TECH'!N:N,'RES TECH'!M:M,C528)&gt;0,1,0)</f>
        <v>1</v>
      </c>
      <c r="H528" s="4">
        <f t="shared" si="8"/>
        <v>0</v>
      </c>
    </row>
    <row r="529" spans="3:8" x14ac:dyDescent="0.25">
      <c r="C529" t="str">
        <f>'RES TECH'!M527</f>
        <v>RESAPALMOldCD1ELC20</v>
      </c>
      <c r="G529" s="4">
        <f>IF(SUMIFS('RES TECH'!N:N,'RES TECH'!M:M,C529)&gt;0,1,0)</f>
        <v>1</v>
      </c>
      <c r="H529" s="4">
        <f t="shared" si="8"/>
        <v>0</v>
      </c>
    </row>
    <row r="530" spans="3:8" x14ac:dyDescent="0.25">
      <c r="C530" t="str">
        <f>'RES TECH'!M528</f>
        <v>RESAPALMOldCD2ELC20</v>
      </c>
      <c r="G530" s="4">
        <f>IF(SUMIFS('RES TECH'!N:N,'RES TECH'!M:M,C530)&gt;0,1,0)</f>
        <v>1</v>
      </c>
      <c r="H530" s="4">
        <f t="shared" si="8"/>
        <v>0</v>
      </c>
    </row>
    <row r="531" spans="3:8" x14ac:dyDescent="0.25">
      <c r="C531" t="str">
        <f>'RES TECH'!M529</f>
        <v>RESAPALMOldCD3ELC20</v>
      </c>
      <c r="G531" s="4">
        <f>IF(SUMIFS('RES TECH'!N:N,'RES TECH'!M:M,C531)&gt;0,1,0)</f>
        <v>1</v>
      </c>
      <c r="H531" s="4">
        <f t="shared" si="8"/>
        <v>0</v>
      </c>
    </row>
    <row r="532" spans="3:8" x14ac:dyDescent="0.25">
      <c r="C532" t="str">
        <f>'RES TECH'!M530</f>
        <v>RESAPALMOldCD4ELC20</v>
      </c>
      <c r="G532" s="4">
        <f>IF(SUMIFS('RES TECH'!N:N,'RES TECH'!M:M,C532)&gt;0,1,0)</f>
        <v>1</v>
      </c>
      <c r="H532" s="4">
        <f t="shared" si="8"/>
        <v>0</v>
      </c>
    </row>
    <row r="533" spans="3:8" x14ac:dyDescent="0.25">
      <c r="C533" t="str">
        <f>'RES TECH'!M531</f>
        <v>RESHOULMOldWH1NGA20</v>
      </c>
      <c r="G533" s="4">
        <f>IF(SUMIFS('RES TECH'!N:N,'RES TECH'!M:M,C533)&gt;0,1,0)</f>
        <v>1</v>
      </c>
      <c r="H533" s="4">
        <f t="shared" si="8"/>
        <v>0</v>
      </c>
    </row>
    <row r="534" spans="3:8" x14ac:dyDescent="0.25">
      <c r="C534" t="str">
        <f>'RES TECH'!M532</f>
        <v>RESHOULMOldWH2NGA20</v>
      </c>
      <c r="G534" s="4">
        <f>IF(SUMIFS('RES TECH'!N:N,'RES TECH'!M:M,C534)&gt;0,1,0)</f>
        <v>1</v>
      </c>
      <c r="H534" s="4">
        <f t="shared" si="8"/>
        <v>0</v>
      </c>
    </row>
    <row r="535" spans="3:8" x14ac:dyDescent="0.25">
      <c r="C535" t="str">
        <f>'RES TECH'!M533</f>
        <v>RESHOULMOldWH3NGA20</v>
      </c>
      <c r="G535" s="4">
        <f>IF(SUMIFS('RES TECH'!N:N,'RES TECH'!M:M,C535)&gt;0,1,0)</f>
        <v>1</v>
      </c>
      <c r="H535" s="4">
        <f t="shared" si="8"/>
        <v>0</v>
      </c>
    </row>
    <row r="536" spans="3:8" x14ac:dyDescent="0.25">
      <c r="C536" t="str">
        <f>'RES TECH'!M534</f>
        <v>RESHOULMOldWH3NGA23</v>
      </c>
      <c r="G536" s="4">
        <f>IF(SUMIFS('RES TECH'!N:N,'RES TECH'!M:M,C536)&gt;0,1,0)</f>
        <v>1</v>
      </c>
      <c r="H536" s="4">
        <f t="shared" si="8"/>
        <v>0</v>
      </c>
    </row>
    <row r="537" spans="3:8" x14ac:dyDescent="0.25">
      <c r="C537" t="str">
        <f>'RES TECH'!M535</f>
        <v>RESHOULMOldWH4NGA20</v>
      </c>
      <c r="G537" s="4">
        <f>IF(SUMIFS('RES TECH'!N:N,'RES TECH'!M:M,C537)&gt;0,1,0)</f>
        <v>1</v>
      </c>
      <c r="H537" s="4">
        <f t="shared" si="8"/>
        <v>0</v>
      </c>
    </row>
    <row r="538" spans="3:8" x14ac:dyDescent="0.25">
      <c r="C538" t="str">
        <f>'RES TECH'!M536</f>
        <v>RESHOULMOldWH4NGA20</v>
      </c>
      <c r="G538" s="4">
        <f>IF(SUMIFS('RES TECH'!N:N,'RES TECH'!M:M,C538)&gt;0,1,0)</f>
        <v>1</v>
      </c>
      <c r="H538" s="4">
        <f t="shared" si="8"/>
        <v>0</v>
      </c>
    </row>
    <row r="539" spans="3:8" x14ac:dyDescent="0.25">
      <c r="C539" t="str">
        <f>'RES TECH'!M537</f>
        <v>RESHOULMOldWH4NGA22</v>
      </c>
      <c r="G539" s="4">
        <f>IF(SUMIFS('RES TECH'!N:N,'RES TECH'!M:M,C539)&gt;0,1,0)</f>
        <v>1</v>
      </c>
      <c r="H539" s="4">
        <f t="shared" si="8"/>
        <v>0</v>
      </c>
    </row>
    <row r="540" spans="3:8" x14ac:dyDescent="0.25">
      <c r="C540" t="str">
        <f>'RES TECH'!M538</f>
        <v>RESHOULMOldWH1ELC20</v>
      </c>
      <c r="G540" s="4">
        <f>IF(SUMIFS('RES TECH'!N:N,'RES TECH'!M:M,C540)&gt;0,1,0)</f>
        <v>1</v>
      </c>
      <c r="H540" s="4">
        <f t="shared" si="8"/>
        <v>0</v>
      </c>
    </row>
    <row r="541" spans="3:8" x14ac:dyDescent="0.25">
      <c r="C541" t="str">
        <f>'RES TECH'!M539</f>
        <v>RESHOULMOldWH2ELC20</v>
      </c>
      <c r="G541" s="4">
        <f>IF(SUMIFS('RES TECH'!N:N,'RES TECH'!M:M,C541)&gt;0,1,0)</f>
        <v>1</v>
      </c>
      <c r="H541" s="4">
        <f t="shared" si="8"/>
        <v>0</v>
      </c>
    </row>
    <row r="542" spans="3:8" x14ac:dyDescent="0.25">
      <c r="C542" t="str">
        <f>'RES TECH'!M540</f>
        <v>RESHOULMOldWH4ELC20</v>
      </c>
      <c r="G542" s="4">
        <f>IF(SUMIFS('RES TECH'!N:N,'RES TECH'!M:M,C542)&gt;0,1,0)</f>
        <v>1</v>
      </c>
      <c r="H542" s="4">
        <f t="shared" si="8"/>
        <v>0</v>
      </c>
    </row>
    <row r="543" spans="3:8" x14ac:dyDescent="0.25">
      <c r="C543" t="str">
        <f>'RES TECH'!M541</f>
        <v>RESHOULMOldWH5ELC20</v>
      </c>
      <c r="G543" s="4">
        <f>IF(SUMIFS('RES TECH'!N:N,'RES TECH'!M:M,C543)&gt;0,1,0)</f>
        <v>1</v>
      </c>
      <c r="H543" s="4">
        <f t="shared" si="8"/>
        <v>0</v>
      </c>
    </row>
    <row r="544" spans="3:8" x14ac:dyDescent="0.25">
      <c r="C544" t="str">
        <f>'RES TECH'!M542</f>
        <v>RESHOULMOldWH5ELC22</v>
      </c>
      <c r="G544" s="4">
        <f>IF(SUMIFS('RES TECH'!N:N,'RES TECH'!M:M,C544)&gt;0,1,0)</f>
        <v>1</v>
      </c>
      <c r="H544" s="4">
        <f t="shared" si="8"/>
        <v>0</v>
      </c>
    </row>
    <row r="545" spans="3:8" x14ac:dyDescent="0.25">
      <c r="C545" t="str">
        <f>'RES TECH'!M543</f>
        <v>RESHOULMOldWH6ELC20</v>
      </c>
      <c r="G545" s="4">
        <f>IF(SUMIFS('RES TECH'!N:N,'RES TECH'!M:M,C545)&gt;0,1,0)</f>
        <v>1</v>
      </c>
      <c r="H545" s="4">
        <f t="shared" si="8"/>
        <v>0</v>
      </c>
    </row>
    <row r="546" spans="3:8" x14ac:dyDescent="0.25">
      <c r="C546" t="str">
        <f>'RES TECH'!M544</f>
        <v>RESHOULMOldWH6ELC22</v>
      </c>
      <c r="G546" s="4">
        <f>IF(SUMIFS('RES TECH'!N:N,'RES TECH'!M:M,C546)&gt;0,1,0)</f>
        <v>1</v>
      </c>
      <c r="H546" s="4">
        <f t="shared" si="8"/>
        <v>0</v>
      </c>
    </row>
    <row r="547" spans="3:8" x14ac:dyDescent="0.25">
      <c r="C547" t="str">
        <f>'RES TECH'!M545</f>
        <v>RESHOULMOldWH7ELC20</v>
      </c>
      <c r="G547" s="4">
        <f>IF(SUMIFS('RES TECH'!N:N,'RES TECH'!M:M,C547)&gt;0,1,0)</f>
        <v>1</v>
      </c>
      <c r="H547" s="4">
        <f t="shared" si="8"/>
        <v>0</v>
      </c>
    </row>
    <row r="548" spans="3:8" x14ac:dyDescent="0.25">
      <c r="C548" t="str">
        <f>'RES TECH'!M546</f>
        <v>RESHOULMOldWH7ELC22</v>
      </c>
      <c r="G548" s="4">
        <f>IF(SUMIFS('RES TECH'!N:N,'RES TECH'!M:M,C548)&gt;0,1,0)</f>
        <v>1</v>
      </c>
      <c r="H548" s="4">
        <f t="shared" si="8"/>
        <v>0</v>
      </c>
    </row>
    <row r="549" spans="3:8" x14ac:dyDescent="0.25">
      <c r="C549" t="str">
        <f>'RES TECH'!M547</f>
        <v>RESHOULMOldWH1FOI20</v>
      </c>
      <c r="G549" s="4">
        <f>IF(SUMIFS('RES TECH'!N:N,'RES TECH'!M:M,C549)&gt;0,1,0)</f>
        <v>1</v>
      </c>
      <c r="H549" s="4">
        <f t="shared" si="8"/>
        <v>0</v>
      </c>
    </row>
    <row r="550" spans="3:8" x14ac:dyDescent="0.25">
      <c r="C550" t="str">
        <f>'RES TECH'!M548</f>
        <v>RESHOULMOldWH2FOI20</v>
      </c>
      <c r="G550" s="4">
        <f>IF(SUMIFS('RES TECH'!N:N,'RES TECH'!M:M,C550)&gt;0,1,0)</f>
        <v>1</v>
      </c>
      <c r="H550" s="4">
        <f t="shared" si="8"/>
        <v>0</v>
      </c>
    </row>
    <row r="551" spans="3:8" x14ac:dyDescent="0.25">
      <c r="C551" t="str">
        <f>'RES TECH'!M549</f>
        <v>RESHOULMOldWH4FOI20</v>
      </c>
      <c r="G551" s="4">
        <f>IF(SUMIFS('RES TECH'!N:N,'RES TECH'!M:M,C551)&gt;0,1,0)</f>
        <v>1</v>
      </c>
      <c r="H551" s="4">
        <f t="shared" si="8"/>
        <v>0</v>
      </c>
    </row>
    <row r="552" spans="3:8" x14ac:dyDescent="0.25">
      <c r="C552" t="str">
        <f>'RES TECH'!M550</f>
        <v>RESHOULMOldWH1LPG20</v>
      </c>
      <c r="G552" s="4">
        <f>IF(SUMIFS('RES TECH'!N:N,'RES TECH'!M:M,C552)&gt;0,1,0)</f>
        <v>1</v>
      </c>
      <c r="H552" s="4">
        <f t="shared" si="8"/>
        <v>0</v>
      </c>
    </row>
    <row r="553" spans="3:8" x14ac:dyDescent="0.25">
      <c r="C553" t="str">
        <f>'RES TECH'!M551</f>
        <v>RESHOULMOldWH2LPG20</v>
      </c>
      <c r="G553" s="4">
        <f>IF(SUMIFS('RES TECH'!N:N,'RES TECH'!M:M,C553)&gt;0,1,0)</f>
        <v>1</v>
      </c>
      <c r="H553" s="4">
        <f t="shared" si="8"/>
        <v>0</v>
      </c>
    </row>
    <row r="554" spans="3:8" x14ac:dyDescent="0.25">
      <c r="C554" t="str">
        <f>'RES TECH'!M552</f>
        <v>RESHOULMOldWH3LPG20</v>
      </c>
      <c r="G554" s="4">
        <f>IF(SUMIFS('RES TECH'!N:N,'RES TECH'!M:M,C554)&gt;0,1,0)</f>
        <v>1</v>
      </c>
      <c r="H554" s="4">
        <f t="shared" si="8"/>
        <v>0</v>
      </c>
    </row>
    <row r="555" spans="3:8" x14ac:dyDescent="0.25">
      <c r="C555" t="str">
        <f>'RES TECH'!M553</f>
        <v>RESHOULMOldWH3LPG23</v>
      </c>
      <c r="G555" s="4">
        <f>IF(SUMIFS('RES TECH'!N:N,'RES TECH'!M:M,C555)&gt;0,1,0)</f>
        <v>1</v>
      </c>
      <c r="H555" s="4">
        <f t="shared" si="8"/>
        <v>0</v>
      </c>
    </row>
    <row r="556" spans="3:8" x14ac:dyDescent="0.25">
      <c r="C556" t="str">
        <f>'RES TECH'!M554</f>
        <v>RESHOULMOldWH4LPG20</v>
      </c>
      <c r="G556" s="4">
        <f>IF(SUMIFS('RES TECH'!N:N,'RES TECH'!M:M,C556)&gt;0,1,0)</f>
        <v>1</v>
      </c>
      <c r="H556" s="4">
        <f t="shared" si="8"/>
        <v>0</v>
      </c>
    </row>
    <row r="557" spans="3:8" x14ac:dyDescent="0.25">
      <c r="C557" t="str">
        <f>'RES TECH'!M555</f>
        <v>RESHOULMOldWH4LPG20</v>
      </c>
      <c r="G557" s="4">
        <f>IF(SUMIFS('RES TECH'!N:N,'RES TECH'!M:M,C557)&gt;0,1,0)</f>
        <v>1</v>
      </c>
      <c r="H557" s="4">
        <f t="shared" si="8"/>
        <v>0</v>
      </c>
    </row>
    <row r="558" spans="3:8" x14ac:dyDescent="0.25">
      <c r="C558" t="str">
        <f>'RES TECH'!M556</f>
        <v>RESHOULMOldWH2SOL20</v>
      </c>
      <c r="G558" s="4">
        <f>IF(SUMIFS('RES TECH'!N:N,'RES TECH'!M:M,C558)&gt;0,1,0)</f>
        <v>1</v>
      </c>
      <c r="H558" s="4">
        <f t="shared" si="8"/>
        <v>0</v>
      </c>
    </row>
    <row r="559" spans="3:8" x14ac:dyDescent="0.25">
      <c r="C559" t="str">
        <f>'RES TECH'!M557</f>
        <v>RESHOULMOldWH2SOL20</v>
      </c>
      <c r="G559" s="4">
        <f>IF(SUMIFS('RES TECH'!N:N,'RES TECH'!M:M,C559)&gt;0,1,0)</f>
        <v>1</v>
      </c>
      <c r="H559" s="4">
        <f t="shared" si="8"/>
        <v>0</v>
      </c>
    </row>
    <row r="560" spans="3:8" x14ac:dyDescent="0.25">
      <c r="C560" t="str">
        <f>'RES TECH'!M558</f>
        <v>RESHOULMOldWH2SOL23</v>
      </c>
      <c r="G560" s="4">
        <f>IF(SUMIFS('RES TECH'!N:N,'RES TECH'!M:M,C560)&gt;0,1,0)</f>
        <v>1</v>
      </c>
      <c r="H560" s="4">
        <f t="shared" si="8"/>
        <v>0</v>
      </c>
    </row>
    <row r="561" spans="3:8" x14ac:dyDescent="0.25">
      <c r="C561" t="str">
        <f>'RES TECH'!M559</f>
        <v>RESHOULMOldWH2SOL24</v>
      </c>
      <c r="G561" s="4">
        <f>IF(SUMIFS('RES TECH'!N:N,'RES TECH'!M:M,C561)&gt;0,1,0)</f>
        <v>1</v>
      </c>
      <c r="H561" s="4">
        <f t="shared" si="8"/>
        <v>0</v>
      </c>
    </row>
    <row r="562" spans="3:8" x14ac:dyDescent="0.25">
      <c r="C562" t="str">
        <f>'RES TECH'!M560</f>
        <v>RESHOULMOldSHAHP1ELC20</v>
      </c>
      <c r="G562" s="4">
        <f>IF(SUMIFS('RES TECH'!N:N,'RES TECH'!M:M,C562)&gt;0,1,0)</f>
        <v>1</v>
      </c>
      <c r="H562" s="4">
        <f t="shared" si="8"/>
        <v>0</v>
      </c>
    </row>
    <row r="563" spans="3:8" x14ac:dyDescent="0.25">
      <c r="C563" t="str">
        <f>'RES TECH'!M561</f>
        <v>RESHOULMOldSHAHP1ELC23</v>
      </c>
      <c r="G563" s="4">
        <f>IF(SUMIFS('RES TECH'!N:N,'RES TECH'!M:M,C563)&gt;0,1,0)</f>
        <v>1</v>
      </c>
      <c r="H563" s="4">
        <f t="shared" si="8"/>
        <v>0</v>
      </c>
    </row>
    <row r="564" spans="3:8" x14ac:dyDescent="0.25">
      <c r="C564" t="str">
        <f>'RES TECH'!M562</f>
        <v>RESHOULMOldSHAHP2ELC20</v>
      </c>
      <c r="G564" s="4">
        <f>IF(SUMIFS('RES TECH'!N:N,'RES TECH'!M:M,C564)&gt;0,1,0)</f>
        <v>1</v>
      </c>
      <c r="H564" s="4">
        <f t="shared" si="8"/>
        <v>0</v>
      </c>
    </row>
    <row r="565" spans="3:8" x14ac:dyDescent="0.25">
      <c r="C565" t="str">
        <f>'RES TECH'!M563</f>
        <v>RESHOULMOldSHAHP2ELC23</v>
      </c>
      <c r="G565" s="4">
        <f>IF(SUMIFS('RES TECH'!N:N,'RES TECH'!M:M,C565)&gt;0,1,0)</f>
        <v>1</v>
      </c>
      <c r="H565" s="4">
        <f t="shared" si="8"/>
        <v>0</v>
      </c>
    </row>
    <row r="566" spans="3:8" x14ac:dyDescent="0.25">
      <c r="C566" t="str">
        <f>'RES TECH'!M564</f>
        <v>RESHOULMOldSHAHP3ELC20</v>
      </c>
      <c r="G566" s="4">
        <f>IF(SUMIFS('RES TECH'!N:N,'RES TECH'!M:M,C566)&gt;0,1,0)</f>
        <v>1</v>
      </c>
      <c r="H566" s="4">
        <f t="shared" si="8"/>
        <v>0</v>
      </c>
    </row>
    <row r="567" spans="3:8" x14ac:dyDescent="0.25">
      <c r="C567" t="str">
        <f>'RES TECH'!M565</f>
        <v>RESHOULMOldSHAHP3ELC22</v>
      </c>
      <c r="G567" s="4">
        <f>IF(SUMIFS('RES TECH'!N:N,'RES TECH'!M:M,C567)&gt;0,1,0)</f>
        <v>1</v>
      </c>
      <c r="H567" s="4">
        <f t="shared" si="8"/>
        <v>0</v>
      </c>
    </row>
    <row r="568" spans="3:8" x14ac:dyDescent="0.25">
      <c r="C568" t="str">
        <f>'RES TECH'!M566</f>
        <v>RESHOULMOldSHAHP3ELC23</v>
      </c>
      <c r="G568" s="4">
        <f>IF(SUMIFS('RES TECH'!N:N,'RES TECH'!M:M,C568)&gt;0,1,0)</f>
        <v>1</v>
      </c>
      <c r="H568" s="4">
        <f t="shared" si="8"/>
        <v>0</v>
      </c>
    </row>
    <row r="569" spans="3:8" x14ac:dyDescent="0.25">
      <c r="C569" t="str">
        <f>'RES TECH'!M567</f>
        <v>RESHOULMOldSHAHP4ELC20</v>
      </c>
      <c r="G569" s="4">
        <f>IF(SUMIFS('RES TECH'!N:N,'RES TECH'!M:M,C569)&gt;0,1,0)</f>
        <v>1</v>
      </c>
      <c r="H569" s="4">
        <f t="shared" si="8"/>
        <v>0</v>
      </c>
    </row>
    <row r="570" spans="3:8" x14ac:dyDescent="0.25">
      <c r="C570" t="str">
        <f>'RES TECH'!M568</f>
        <v>RESHOULMOldSHAHP4ELC22</v>
      </c>
      <c r="G570" s="4">
        <f>IF(SUMIFS('RES TECH'!N:N,'RES TECH'!M:M,C570)&gt;0,1,0)</f>
        <v>1</v>
      </c>
      <c r="H570" s="4">
        <f t="shared" si="8"/>
        <v>0</v>
      </c>
    </row>
    <row r="571" spans="3:8" x14ac:dyDescent="0.25">
      <c r="C571" t="str">
        <f>'RES TECH'!M569</f>
        <v>RESHOULMOldSHGHP1ELC20</v>
      </c>
      <c r="G571" s="4">
        <f>IF(SUMIFS('RES TECH'!N:N,'RES TECH'!M:M,C571)&gt;0,1,0)</f>
        <v>1</v>
      </c>
      <c r="H571" s="4">
        <f t="shared" si="8"/>
        <v>0</v>
      </c>
    </row>
    <row r="572" spans="3:8" x14ac:dyDescent="0.25">
      <c r="C572" t="str">
        <f>'RES TECH'!M570</f>
        <v>RESHOULMOldSHGHP2ELC20</v>
      </c>
      <c r="G572" s="4">
        <f>IF(SUMIFS('RES TECH'!N:N,'RES TECH'!M:M,C572)&gt;0,1,0)</f>
        <v>1</v>
      </c>
      <c r="H572" s="4">
        <f t="shared" si="8"/>
        <v>0</v>
      </c>
    </row>
    <row r="573" spans="3:8" x14ac:dyDescent="0.25">
      <c r="C573" t="str">
        <f>'RES TECH'!M571</f>
        <v>RESHOULMOldSHGHP3ELC20</v>
      </c>
      <c r="G573" s="4">
        <f>IF(SUMIFS('RES TECH'!N:N,'RES TECH'!M:M,C573)&gt;0,1,0)</f>
        <v>1</v>
      </c>
      <c r="H573" s="4">
        <f t="shared" si="8"/>
        <v>0</v>
      </c>
    </row>
    <row r="574" spans="3:8" x14ac:dyDescent="0.25">
      <c r="C574" t="str">
        <f>'RES TECH'!M572</f>
        <v>RESHOULMOldSHGHP3ELC20</v>
      </c>
      <c r="G574" s="4">
        <f>IF(SUMIFS('RES TECH'!N:N,'RES TECH'!M:M,C574)&gt;0,1,0)</f>
        <v>1</v>
      </c>
      <c r="H574" s="4">
        <f t="shared" si="8"/>
        <v>0</v>
      </c>
    </row>
    <row r="575" spans="3:8" x14ac:dyDescent="0.25">
      <c r="C575" t="str">
        <f>'RES TECH'!M573</f>
        <v>RESHOULMOldSHGHP3ELC22</v>
      </c>
      <c r="G575" s="4">
        <f>IF(SUMIFS('RES TECH'!N:N,'RES TECH'!M:M,C575)&gt;0,1,0)</f>
        <v>1</v>
      </c>
      <c r="H575" s="4">
        <f t="shared" si="8"/>
        <v>0</v>
      </c>
    </row>
    <row r="576" spans="3:8" x14ac:dyDescent="0.25">
      <c r="C576" t="str">
        <f>'RES TECH'!M574</f>
        <v>RESHOULMOldSHGHP3ELC23</v>
      </c>
      <c r="G576" s="4">
        <f>IF(SUMIFS('RES TECH'!N:N,'RES TECH'!M:M,C576)&gt;0,1,0)</f>
        <v>1</v>
      </c>
      <c r="H576" s="4">
        <f t="shared" si="8"/>
        <v>0</v>
      </c>
    </row>
    <row r="577" spans="3:8" x14ac:dyDescent="0.25">
      <c r="C577" t="str">
        <f>'RES TECH'!M575</f>
        <v>RESHOULMOldSHGHP3ELC24</v>
      </c>
      <c r="G577" s="4">
        <f>IF(SUMIFS('RES TECH'!N:N,'RES TECH'!M:M,C577)&gt;0,1,0)</f>
        <v>1</v>
      </c>
      <c r="H577" s="4">
        <f t="shared" si="8"/>
        <v>0</v>
      </c>
    </row>
    <row r="578" spans="3:8" x14ac:dyDescent="0.25">
      <c r="C578" t="str">
        <f>'RES TECH'!M576</f>
        <v>RESHOULMOldSHGHP4ELC20</v>
      </c>
      <c r="G578" s="4">
        <f>IF(SUMIFS('RES TECH'!N:N,'RES TECH'!M:M,C578)&gt;0,1,0)</f>
        <v>1</v>
      </c>
      <c r="H578" s="4">
        <f t="shared" si="8"/>
        <v>0</v>
      </c>
    </row>
    <row r="579" spans="3:8" x14ac:dyDescent="0.25">
      <c r="C579" t="str">
        <f>'RES TECH'!M577</f>
        <v>RESHOULMOldSHGHP4ELC20</v>
      </c>
      <c r="G579" s="4">
        <f>IF(SUMIFS('RES TECH'!N:N,'RES TECH'!M:M,C579)&gt;0,1,0)</f>
        <v>1</v>
      </c>
      <c r="H579" s="4">
        <f t="shared" si="8"/>
        <v>0</v>
      </c>
    </row>
    <row r="580" spans="3:8" x14ac:dyDescent="0.25">
      <c r="C580" t="str">
        <f>'RES TECH'!M578</f>
        <v>RESHOULMOldSHGHP4ELC22</v>
      </c>
      <c r="G580" s="4">
        <f>IF(SUMIFS('RES TECH'!N:N,'RES TECH'!M:M,C580)&gt;0,1,0)</f>
        <v>1</v>
      </c>
      <c r="H580" s="4">
        <f t="shared" si="8"/>
        <v>0</v>
      </c>
    </row>
    <row r="581" spans="3:8" x14ac:dyDescent="0.25">
      <c r="C581" t="str">
        <f>'RES TECH'!M579</f>
        <v>RESHOULMOldSHGHP4ELC23</v>
      </c>
      <c r="G581" s="4">
        <f>IF(SUMIFS('RES TECH'!N:N,'RES TECH'!M:M,C581)&gt;0,1,0)</f>
        <v>1</v>
      </c>
      <c r="H581" s="4">
        <f t="shared" ref="H581:H644" si="9">IF(C581="","",IF(C581="*","*",0))</f>
        <v>0</v>
      </c>
    </row>
    <row r="582" spans="3:8" x14ac:dyDescent="0.25">
      <c r="C582" t="str">
        <f>'RES TECH'!M580</f>
        <v>RESHOULMOldSHGHP4ELC24</v>
      </c>
      <c r="G582" s="4">
        <f>IF(SUMIFS('RES TECH'!N:N,'RES TECH'!M:M,C582)&gt;0,1,0)</f>
        <v>1</v>
      </c>
      <c r="H582" s="4">
        <f t="shared" si="9"/>
        <v>0</v>
      </c>
    </row>
    <row r="583" spans="3:8" x14ac:dyDescent="0.25">
      <c r="C583" t="str">
        <f>'RES TECH'!M581</f>
        <v>RESHOULMOldSHRAD2ELC20</v>
      </c>
      <c r="G583" s="4">
        <f>IF(SUMIFS('RES TECH'!N:N,'RES TECH'!M:M,C583)&gt;0,1,0)</f>
        <v>1</v>
      </c>
      <c r="H583" s="4">
        <f t="shared" si="9"/>
        <v>0</v>
      </c>
    </row>
    <row r="584" spans="3:8" x14ac:dyDescent="0.25">
      <c r="C584" t="str">
        <f>'RES TECH'!M582</f>
        <v>RESHOULMOldSHFUR1NGA20</v>
      </c>
      <c r="G584" s="4">
        <f>IF(SUMIFS('RES TECH'!N:N,'RES TECH'!M:M,C584)&gt;0,1,0)</f>
        <v>1</v>
      </c>
      <c r="H584" s="4">
        <f t="shared" si="9"/>
        <v>0</v>
      </c>
    </row>
    <row r="585" spans="3:8" x14ac:dyDescent="0.25">
      <c r="C585" t="str">
        <f>'RES TECH'!M583</f>
        <v>RESHOULMOldSHFUR2NGA20</v>
      </c>
      <c r="G585" s="4">
        <f>IF(SUMIFS('RES TECH'!N:N,'RES TECH'!M:M,C585)&gt;0,1,0)</f>
        <v>1</v>
      </c>
      <c r="H585" s="4">
        <f t="shared" si="9"/>
        <v>0</v>
      </c>
    </row>
    <row r="586" spans="3:8" x14ac:dyDescent="0.25">
      <c r="C586" t="str">
        <f>'RES TECH'!M584</f>
        <v>RESHOULMOldSHFUR2NGA20</v>
      </c>
      <c r="G586" s="4">
        <f>IF(SUMIFS('RES TECH'!N:N,'RES TECH'!M:M,C586)&gt;0,1,0)</f>
        <v>1</v>
      </c>
      <c r="H586" s="4">
        <f t="shared" si="9"/>
        <v>0</v>
      </c>
    </row>
    <row r="587" spans="3:8" x14ac:dyDescent="0.25">
      <c r="C587" t="str">
        <f>'RES TECH'!M585</f>
        <v>RESHOULMOldSHFUR3NGA20</v>
      </c>
      <c r="G587" s="4">
        <f>IF(SUMIFS('RES TECH'!N:N,'RES TECH'!M:M,C587)&gt;0,1,0)</f>
        <v>1</v>
      </c>
      <c r="H587" s="4">
        <f t="shared" si="9"/>
        <v>0</v>
      </c>
    </row>
    <row r="588" spans="3:8" x14ac:dyDescent="0.25">
      <c r="C588" t="str">
        <f>'RES TECH'!M586</f>
        <v>RESHOULMOldSHFUR3NGA22</v>
      </c>
      <c r="G588" s="4">
        <f>IF(SUMIFS('RES TECH'!N:N,'RES TECH'!M:M,C588)&gt;0,1,0)</f>
        <v>1</v>
      </c>
      <c r="H588" s="4">
        <f t="shared" si="9"/>
        <v>0</v>
      </c>
    </row>
    <row r="589" spans="3:8" x14ac:dyDescent="0.25">
      <c r="C589" t="str">
        <f>'RES TECH'!M587</f>
        <v>RESHOULMOldSHFUR4NGA20</v>
      </c>
      <c r="G589" s="4">
        <f>IF(SUMIFS('RES TECH'!N:N,'RES TECH'!M:M,C589)&gt;0,1,0)</f>
        <v>1</v>
      </c>
      <c r="H589" s="4">
        <f t="shared" si="9"/>
        <v>0</v>
      </c>
    </row>
    <row r="590" spans="3:8" x14ac:dyDescent="0.25">
      <c r="C590" t="str">
        <f>'RES TECH'!M588</f>
        <v>RESHOULMOldSHFUR4NGA22</v>
      </c>
      <c r="G590" s="4">
        <f>IF(SUMIFS('RES TECH'!N:N,'RES TECH'!M:M,C590)&gt;0,1,0)</f>
        <v>1</v>
      </c>
      <c r="H590" s="4">
        <f t="shared" si="9"/>
        <v>0</v>
      </c>
    </row>
    <row r="591" spans="3:8" x14ac:dyDescent="0.25">
      <c r="C591" t="str">
        <f>'RES TECH'!M589</f>
        <v>RESHOULMOldSHRAD1NGA20</v>
      </c>
      <c r="G591" s="4">
        <f>IF(SUMIFS('RES TECH'!N:N,'RES TECH'!M:M,C591)&gt;0,1,0)</f>
        <v>1</v>
      </c>
      <c r="H591" s="4">
        <f t="shared" si="9"/>
        <v>0</v>
      </c>
    </row>
    <row r="592" spans="3:8" x14ac:dyDescent="0.25">
      <c r="C592" t="str">
        <f>'RES TECH'!M590</f>
        <v>RESHOULMOldSHRAD1NGA21</v>
      </c>
      <c r="G592" s="4">
        <f>IF(SUMIFS('RES TECH'!N:N,'RES TECH'!M:M,C592)&gt;0,1,0)</f>
        <v>1</v>
      </c>
      <c r="H592" s="4">
        <f t="shared" si="9"/>
        <v>0</v>
      </c>
    </row>
    <row r="593" spans="3:8" x14ac:dyDescent="0.25">
      <c r="C593" t="str">
        <f>'RES TECH'!M591</f>
        <v>RESHOULMOldSHRAD2NGA20</v>
      </c>
      <c r="G593" s="4">
        <f>IF(SUMIFS('RES TECH'!N:N,'RES TECH'!M:M,C593)&gt;0,1,0)</f>
        <v>1</v>
      </c>
      <c r="H593" s="4">
        <f t="shared" si="9"/>
        <v>0</v>
      </c>
    </row>
    <row r="594" spans="3:8" x14ac:dyDescent="0.25">
      <c r="C594" t="str">
        <f>'RES TECH'!M592</f>
        <v>RESHOULMOldSHRAD2NGA20</v>
      </c>
      <c r="G594" s="4">
        <f>IF(SUMIFS('RES TECH'!N:N,'RES TECH'!M:M,C594)&gt;0,1,0)</f>
        <v>1</v>
      </c>
      <c r="H594" s="4">
        <f t="shared" si="9"/>
        <v>0</v>
      </c>
    </row>
    <row r="595" spans="3:8" x14ac:dyDescent="0.25">
      <c r="C595" t="str">
        <f>'RES TECH'!M593</f>
        <v>RESHOULMOldSHRAD3NGA20</v>
      </c>
      <c r="G595" s="4">
        <f>IF(SUMIFS('RES TECH'!N:N,'RES TECH'!M:M,C595)&gt;0,1,0)</f>
        <v>1</v>
      </c>
      <c r="H595" s="4">
        <f t="shared" si="9"/>
        <v>0</v>
      </c>
    </row>
    <row r="596" spans="3:8" x14ac:dyDescent="0.25">
      <c r="C596" t="str">
        <f>'RES TECH'!M594</f>
        <v>RESHOULMOldSHRAD4NGA20</v>
      </c>
      <c r="G596" s="4">
        <f>IF(SUMIFS('RES TECH'!N:N,'RES TECH'!M:M,C596)&gt;0,1,0)</f>
        <v>1</v>
      </c>
      <c r="H596" s="4">
        <f t="shared" si="9"/>
        <v>0</v>
      </c>
    </row>
    <row r="597" spans="3:8" x14ac:dyDescent="0.25">
      <c r="C597" t="str">
        <f>'RES TECH'!M595</f>
        <v>RESHOULMOldSHRAD4NGA22</v>
      </c>
      <c r="G597" s="4">
        <f>IF(SUMIFS('RES TECH'!N:N,'RES TECH'!M:M,C597)&gt;0,1,0)</f>
        <v>1</v>
      </c>
      <c r="H597" s="4">
        <f t="shared" si="9"/>
        <v>0</v>
      </c>
    </row>
    <row r="598" spans="3:8" x14ac:dyDescent="0.25">
      <c r="C598" t="str">
        <f>'RES TECH'!M596</f>
        <v>RESHOULMOldSHFUR1KER20</v>
      </c>
      <c r="G598" s="4">
        <f>IF(SUMIFS('RES TECH'!N:N,'RES TECH'!M:M,C598)&gt;0,1,0)</f>
        <v>1</v>
      </c>
      <c r="H598" s="4">
        <f t="shared" si="9"/>
        <v>0</v>
      </c>
    </row>
    <row r="599" spans="3:8" x14ac:dyDescent="0.25">
      <c r="C599" t="str">
        <f>'RES TECH'!M597</f>
        <v>RESHOULMOldSHFUR2KER20</v>
      </c>
      <c r="G599" s="4">
        <f>IF(SUMIFS('RES TECH'!N:N,'RES TECH'!M:M,C599)&gt;0,1,0)</f>
        <v>1</v>
      </c>
      <c r="H599" s="4">
        <f t="shared" si="9"/>
        <v>0</v>
      </c>
    </row>
    <row r="600" spans="3:8" x14ac:dyDescent="0.25">
      <c r="C600" t="str">
        <f>'RES TECH'!M598</f>
        <v>RESHOULMOldSHFUR2KER20</v>
      </c>
      <c r="G600" s="4">
        <f>IF(SUMIFS('RES TECH'!N:N,'RES TECH'!M:M,C600)&gt;0,1,0)</f>
        <v>1</v>
      </c>
      <c r="H600" s="4">
        <f t="shared" si="9"/>
        <v>0</v>
      </c>
    </row>
    <row r="601" spans="3:8" x14ac:dyDescent="0.25">
      <c r="C601" t="str">
        <f>'RES TECH'!M599</f>
        <v>RESHOULMOldSHFUR3KER20</v>
      </c>
      <c r="G601" s="4">
        <f>IF(SUMIFS('RES TECH'!N:N,'RES TECH'!M:M,C601)&gt;0,1,0)</f>
        <v>1</v>
      </c>
      <c r="H601" s="4">
        <f t="shared" si="9"/>
        <v>0</v>
      </c>
    </row>
    <row r="602" spans="3:8" x14ac:dyDescent="0.25">
      <c r="C602" t="str">
        <f>'RES TECH'!M600</f>
        <v>RESHOULMOldSHFUR4KER20</v>
      </c>
      <c r="G602" s="4">
        <f>IF(SUMIFS('RES TECH'!N:N,'RES TECH'!M:M,C602)&gt;0,1,0)</f>
        <v>1</v>
      </c>
      <c r="H602" s="4">
        <f t="shared" si="9"/>
        <v>0</v>
      </c>
    </row>
    <row r="603" spans="3:8" x14ac:dyDescent="0.25">
      <c r="C603" t="str">
        <f>'RES TECH'!M601</f>
        <v>RESHOULMOldSHFUR4KER20</v>
      </c>
      <c r="G603" s="4">
        <f>IF(SUMIFS('RES TECH'!N:N,'RES TECH'!M:M,C603)&gt;0,1,0)</f>
        <v>1</v>
      </c>
      <c r="H603" s="4">
        <f t="shared" si="9"/>
        <v>0</v>
      </c>
    </row>
    <row r="604" spans="3:8" x14ac:dyDescent="0.25">
      <c r="C604" t="str">
        <f>'RES TECH'!M602</f>
        <v>RESHOULMOldSHFUR1LPG20</v>
      </c>
      <c r="G604" s="4">
        <f>IF(SUMIFS('RES TECH'!N:N,'RES TECH'!M:M,C604)&gt;0,1,0)</f>
        <v>1</v>
      </c>
      <c r="H604" s="4">
        <f t="shared" si="9"/>
        <v>0</v>
      </c>
    </row>
    <row r="605" spans="3:8" x14ac:dyDescent="0.25">
      <c r="C605" t="str">
        <f>'RES TECH'!M603</f>
        <v>RESHOULMOldSHFUR2LPG20</v>
      </c>
      <c r="G605" s="4">
        <f>IF(SUMIFS('RES TECH'!N:N,'RES TECH'!M:M,C605)&gt;0,1,0)</f>
        <v>1</v>
      </c>
      <c r="H605" s="4">
        <f t="shared" si="9"/>
        <v>0</v>
      </c>
    </row>
    <row r="606" spans="3:8" x14ac:dyDescent="0.25">
      <c r="C606" t="str">
        <f>'RES TECH'!M604</f>
        <v>RESHOULMOldSHFUR2LPG20</v>
      </c>
      <c r="G606" s="4">
        <f>IF(SUMIFS('RES TECH'!N:N,'RES TECH'!M:M,C606)&gt;0,1,0)</f>
        <v>1</v>
      </c>
      <c r="H606" s="4">
        <f t="shared" si="9"/>
        <v>0</v>
      </c>
    </row>
    <row r="607" spans="3:8" x14ac:dyDescent="0.25">
      <c r="C607" t="str">
        <f>'RES TECH'!M605</f>
        <v>RESHOULMOldSHFUR3LPG20</v>
      </c>
      <c r="G607" s="4">
        <f>IF(SUMIFS('RES TECH'!N:N,'RES TECH'!M:M,C607)&gt;0,1,0)</f>
        <v>1</v>
      </c>
      <c r="H607" s="4">
        <f t="shared" si="9"/>
        <v>0</v>
      </c>
    </row>
    <row r="608" spans="3:8" x14ac:dyDescent="0.25">
      <c r="C608" t="str">
        <f>'RES TECH'!M606</f>
        <v>RESHOULMOldSHFUR3LPG22</v>
      </c>
      <c r="G608" s="4">
        <f>IF(SUMIFS('RES TECH'!N:N,'RES TECH'!M:M,C608)&gt;0,1,0)</f>
        <v>1</v>
      </c>
      <c r="H608" s="4">
        <f t="shared" si="9"/>
        <v>0</v>
      </c>
    </row>
    <row r="609" spans="3:8" x14ac:dyDescent="0.25">
      <c r="C609" t="str">
        <f>'RES TECH'!M607</f>
        <v>RESHOULMOldSHFUR4LPG20</v>
      </c>
      <c r="G609" s="4">
        <f>IF(SUMIFS('RES TECH'!N:N,'RES TECH'!M:M,C609)&gt;0,1,0)</f>
        <v>1</v>
      </c>
      <c r="H609" s="4">
        <f t="shared" si="9"/>
        <v>0</v>
      </c>
    </row>
    <row r="610" spans="3:8" x14ac:dyDescent="0.25">
      <c r="C610" t="str">
        <f>'RES TECH'!M608</f>
        <v>RESHOULMOldSHFUR4LPG22</v>
      </c>
      <c r="G610" s="4">
        <f>IF(SUMIFS('RES TECH'!N:N,'RES TECH'!M:M,C610)&gt;0,1,0)</f>
        <v>1</v>
      </c>
      <c r="H610" s="4">
        <f t="shared" si="9"/>
        <v>0</v>
      </c>
    </row>
    <row r="611" spans="3:8" x14ac:dyDescent="0.25">
      <c r="C611" t="str">
        <f>'RES TECH'!M609</f>
        <v>RESHOULMOldSHFUR1FOI20</v>
      </c>
      <c r="G611" s="4">
        <f>IF(SUMIFS('RES TECH'!N:N,'RES TECH'!M:M,C611)&gt;0,1,0)</f>
        <v>1</v>
      </c>
      <c r="H611" s="4">
        <f t="shared" si="9"/>
        <v>0</v>
      </c>
    </row>
    <row r="612" spans="3:8" x14ac:dyDescent="0.25">
      <c r="C612" t="str">
        <f>'RES TECH'!M610</f>
        <v>RESHOULMOldSHFUR2FOI20</v>
      </c>
      <c r="G612" s="4">
        <f>IF(SUMIFS('RES TECH'!N:N,'RES TECH'!M:M,C612)&gt;0,1,0)</f>
        <v>1</v>
      </c>
      <c r="H612" s="4">
        <f t="shared" si="9"/>
        <v>0</v>
      </c>
    </row>
    <row r="613" spans="3:8" x14ac:dyDescent="0.25">
      <c r="C613" t="str">
        <f>'RES TECH'!M611</f>
        <v>RESHOULMOldSHFUR2FOI22</v>
      </c>
      <c r="G613" s="4">
        <f>IF(SUMIFS('RES TECH'!N:N,'RES TECH'!M:M,C613)&gt;0,1,0)</f>
        <v>1</v>
      </c>
      <c r="H613" s="4">
        <f t="shared" si="9"/>
        <v>0</v>
      </c>
    </row>
    <row r="614" spans="3:8" x14ac:dyDescent="0.25">
      <c r="C614" t="str">
        <f>'RES TECH'!M612</f>
        <v>RESHOULMOldSHFUR3FOI20</v>
      </c>
      <c r="G614" s="4">
        <f>IF(SUMIFS('RES TECH'!N:N,'RES TECH'!M:M,C614)&gt;0,1,0)</f>
        <v>1</v>
      </c>
      <c r="H614" s="4">
        <f t="shared" si="9"/>
        <v>0</v>
      </c>
    </row>
    <row r="615" spans="3:8" x14ac:dyDescent="0.25">
      <c r="C615" t="str">
        <f>'RES TECH'!M613</f>
        <v>RESHOULMOldSHFUR4FOI20</v>
      </c>
      <c r="G615" s="4">
        <f>IF(SUMIFS('RES TECH'!N:N,'RES TECH'!M:M,C615)&gt;0,1,0)</f>
        <v>1</v>
      </c>
      <c r="H615" s="4">
        <f t="shared" si="9"/>
        <v>0</v>
      </c>
    </row>
    <row r="616" spans="3:8" x14ac:dyDescent="0.25">
      <c r="C616" t="str">
        <f>'RES TECH'!M614</f>
        <v>RESHOULMOldSHFUR4FOI22</v>
      </c>
      <c r="G616" s="4">
        <f>IF(SUMIFS('RES TECH'!N:N,'RES TECH'!M:M,C616)&gt;0,1,0)</f>
        <v>1</v>
      </c>
      <c r="H616" s="4">
        <f t="shared" si="9"/>
        <v>0</v>
      </c>
    </row>
    <row r="617" spans="3:8" x14ac:dyDescent="0.25">
      <c r="C617" t="str">
        <f>'RES TECH'!M615</f>
        <v>RESHOULMOldSHRAD1FOI20</v>
      </c>
      <c r="G617" s="4">
        <f>IF(SUMIFS('RES TECH'!N:N,'RES TECH'!M:M,C617)&gt;0,1,0)</f>
        <v>1</v>
      </c>
      <c r="H617" s="4">
        <f t="shared" si="9"/>
        <v>0</v>
      </c>
    </row>
    <row r="618" spans="3:8" x14ac:dyDescent="0.25">
      <c r="C618" t="str">
        <f>'RES TECH'!M616</f>
        <v>RESHOULMOldSHRAD1FOI22</v>
      </c>
      <c r="G618" s="4">
        <f>IF(SUMIFS('RES TECH'!N:N,'RES TECH'!M:M,C618)&gt;0,1,0)</f>
        <v>1</v>
      </c>
      <c r="H618" s="4">
        <f t="shared" si="9"/>
        <v>0</v>
      </c>
    </row>
    <row r="619" spans="3:8" x14ac:dyDescent="0.25">
      <c r="C619" t="str">
        <f>'RES TECH'!M617</f>
        <v>RESHOULMOldSHRAD2FOI20</v>
      </c>
      <c r="G619" s="4">
        <f>IF(SUMIFS('RES TECH'!N:N,'RES TECH'!M:M,C619)&gt;0,1,0)</f>
        <v>1</v>
      </c>
      <c r="H619" s="4">
        <f t="shared" si="9"/>
        <v>0</v>
      </c>
    </row>
    <row r="620" spans="3:8" x14ac:dyDescent="0.25">
      <c r="C620" t="str">
        <f>'RES TECH'!M618</f>
        <v>RESHOULMOldSHRAD2FOI22</v>
      </c>
      <c r="G620" s="4">
        <f>IF(SUMIFS('RES TECH'!N:N,'RES TECH'!M:M,C620)&gt;0,1,0)</f>
        <v>1</v>
      </c>
      <c r="H620" s="4">
        <f t="shared" si="9"/>
        <v>0</v>
      </c>
    </row>
    <row r="621" spans="3:8" x14ac:dyDescent="0.25">
      <c r="C621" t="str">
        <f>'RES TECH'!M619</f>
        <v>RESHOULMOldSHRAD3FOI20</v>
      </c>
      <c r="G621" s="4">
        <f>IF(SUMIFS('RES TECH'!N:N,'RES TECH'!M:M,C621)&gt;0,1,0)</f>
        <v>1</v>
      </c>
      <c r="H621" s="4">
        <f t="shared" si="9"/>
        <v>0</v>
      </c>
    </row>
    <row r="622" spans="3:8" x14ac:dyDescent="0.25">
      <c r="C622" t="str">
        <f>'RES TECH'!M620</f>
        <v>RESHOULMOldSHRAD4FOI20</v>
      </c>
      <c r="G622" s="4">
        <f>IF(SUMIFS('RES TECH'!N:N,'RES TECH'!M:M,C622)&gt;0,1,0)</f>
        <v>1</v>
      </c>
      <c r="H622" s="4">
        <f t="shared" si="9"/>
        <v>0</v>
      </c>
    </row>
    <row r="623" spans="3:8" x14ac:dyDescent="0.25">
      <c r="C623" t="str">
        <f>'RES TECH'!M621</f>
        <v>RESHOULMOldSCAHP2NGA20</v>
      </c>
      <c r="G623" s="4">
        <f>IF(SUMIFS('RES TECH'!N:N,'RES TECH'!M:M,C623)&gt;0,1,0)</f>
        <v>1</v>
      </c>
      <c r="H623" s="4">
        <f t="shared" si="9"/>
        <v>0</v>
      </c>
    </row>
    <row r="624" spans="3:8" x14ac:dyDescent="0.25">
      <c r="C624" t="str">
        <f>'RES TECH'!M622</f>
        <v>RESHOULMOldSCAHP2NGA20</v>
      </c>
      <c r="G624" s="4">
        <f>IF(SUMIFS('RES TECH'!N:N,'RES TECH'!M:M,C624)&gt;0,1,0)</f>
        <v>1</v>
      </c>
      <c r="H624" s="4">
        <f t="shared" si="9"/>
        <v>0</v>
      </c>
    </row>
    <row r="625" spans="3:8" x14ac:dyDescent="0.25">
      <c r="C625" t="str">
        <f>'RES TECH'!M623</f>
        <v>RESHOULMOldSCAHP1ELC20</v>
      </c>
      <c r="G625" s="4">
        <f>IF(SUMIFS('RES TECH'!N:N,'RES TECH'!M:M,C625)&gt;0,1,0)</f>
        <v>1</v>
      </c>
      <c r="H625" s="4">
        <f t="shared" si="9"/>
        <v>0</v>
      </c>
    </row>
    <row r="626" spans="3:8" x14ac:dyDescent="0.25">
      <c r="C626" t="str">
        <f>'RES TECH'!M624</f>
        <v>RESHOULMOldSCAHP1ELC23</v>
      </c>
      <c r="G626" s="4">
        <f>IF(SUMIFS('RES TECH'!N:N,'RES TECH'!M:M,C626)&gt;0,1,0)</f>
        <v>1</v>
      </c>
      <c r="H626" s="4">
        <f t="shared" si="9"/>
        <v>0</v>
      </c>
    </row>
    <row r="627" spans="3:8" x14ac:dyDescent="0.25">
      <c r="C627" t="str">
        <f>'RES TECH'!M625</f>
        <v>RESHOULMOldSCAHP2ELC20</v>
      </c>
      <c r="G627" s="4">
        <f>IF(SUMIFS('RES TECH'!N:N,'RES TECH'!M:M,C627)&gt;0,1,0)</f>
        <v>1</v>
      </c>
      <c r="H627" s="4">
        <f t="shared" si="9"/>
        <v>0</v>
      </c>
    </row>
    <row r="628" spans="3:8" x14ac:dyDescent="0.25">
      <c r="C628" t="str">
        <f>'RES TECH'!M626</f>
        <v>RESHOULMOldSCAHP2ELC23</v>
      </c>
      <c r="G628" s="4">
        <f>IF(SUMIFS('RES TECH'!N:N,'RES TECH'!M:M,C628)&gt;0,1,0)</f>
        <v>1</v>
      </c>
      <c r="H628" s="4">
        <f t="shared" si="9"/>
        <v>0</v>
      </c>
    </row>
    <row r="629" spans="3:8" x14ac:dyDescent="0.25">
      <c r="C629" t="str">
        <f>'RES TECH'!M627</f>
        <v>RESHOULMOldSCAHP3ELC20</v>
      </c>
      <c r="G629" s="4">
        <f>IF(SUMIFS('RES TECH'!N:N,'RES TECH'!M:M,C629)&gt;0,1,0)</f>
        <v>1</v>
      </c>
      <c r="H629" s="4">
        <f t="shared" si="9"/>
        <v>0</v>
      </c>
    </row>
    <row r="630" spans="3:8" x14ac:dyDescent="0.25">
      <c r="C630" t="str">
        <f>'RES TECH'!M628</f>
        <v>RESHOULMOldSCAHP3ELC22</v>
      </c>
      <c r="G630" s="4">
        <f>IF(SUMIFS('RES TECH'!N:N,'RES TECH'!M:M,C630)&gt;0,1,0)</f>
        <v>1</v>
      </c>
      <c r="H630" s="4">
        <f t="shared" si="9"/>
        <v>0</v>
      </c>
    </row>
    <row r="631" spans="3:8" x14ac:dyDescent="0.25">
      <c r="C631" t="str">
        <f>'RES TECH'!M629</f>
        <v>RESHOULMOldSCAHP3ELC23</v>
      </c>
      <c r="G631" s="4">
        <f>IF(SUMIFS('RES TECH'!N:N,'RES TECH'!M:M,C631)&gt;0,1,0)</f>
        <v>1</v>
      </c>
      <c r="H631" s="4">
        <f t="shared" si="9"/>
        <v>0</v>
      </c>
    </row>
    <row r="632" spans="3:8" x14ac:dyDescent="0.25">
      <c r="C632" t="str">
        <f>'RES TECH'!M630</f>
        <v>RESHOULMOldSCAHP4ELC20</v>
      </c>
      <c r="G632" s="4">
        <f>IF(SUMIFS('RES TECH'!N:N,'RES TECH'!M:M,C632)&gt;0,1,0)</f>
        <v>1</v>
      </c>
      <c r="H632" s="4">
        <f t="shared" si="9"/>
        <v>0</v>
      </c>
    </row>
    <row r="633" spans="3:8" x14ac:dyDescent="0.25">
      <c r="C633" t="str">
        <f>'RES TECH'!M631</f>
        <v>RESHOULMOldSCAHP4ELC22</v>
      </c>
      <c r="G633" s="4">
        <f>IF(SUMIFS('RES TECH'!N:N,'RES TECH'!M:M,C633)&gt;0,1,0)</f>
        <v>1</v>
      </c>
      <c r="H633" s="4">
        <f t="shared" si="9"/>
        <v>0</v>
      </c>
    </row>
    <row r="634" spans="3:8" x14ac:dyDescent="0.25">
      <c r="C634" t="str">
        <f>'RES TECH'!M632</f>
        <v>RESHOULMOldSCGHP1ELC20</v>
      </c>
      <c r="G634" s="4">
        <f>IF(SUMIFS('RES TECH'!N:N,'RES TECH'!M:M,C634)&gt;0,1,0)</f>
        <v>1</v>
      </c>
      <c r="H634" s="4">
        <f t="shared" si="9"/>
        <v>0</v>
      </c>
    </row>
    <row r="635" spans="3:8" x14ac:dyDescent="0.25">
      <c r="C635" t="str">
        <f>'RES TECH'!M633</f>
        <v>RESHOULMOldSCGHP2ELC20</v>
      </c>
      <c r="G635" s="4">
        <f>IF(SUMIFS('RES TECH'!N:N,'RES TECH'!M:M,C635)&gt;0,1,0)</f>
        <v>1</v>
      </c>
      <c r="H635" s="4">
        <f t="shared" si="9"/>
        <v>0</v>
      </c>
    </row>
    <row r="636" spans="3:8" x14ac:dyDescent="0.25">
      <c r="C636" t="str">
        <f>'RES TECH'!M634</f>
        <v>RESHOULMOldSCGHP3ELC20</v>
      </c>
      <c r="G636" s="4">
        <f>IF(SUMIFS('RES TECH'!N:N,'RES TECH'!M:M,C636)&gt;0,1,0)</f>
        <v>1</v>
      </c>
      <c r="H636" s="4">
        <f t="shared" si="9"/>
        <v>0</v>
      </c>
    </row>
    <row r="637" spans="3:8" x14ac:dyDescent="0.25">
      <c r="C637" t="str">
        <f>'RES TECH'!M635</f>
        <v>RESHOULMOldSCGHP3ELC20</v>
      </c>
      <c r="G637" s="4">
        <f>IF(SUMIFS('RES TECH'!N:N,'RES TECH'!M:M,C637)&gt;0,1,0)</f>
        <v>1</v>
      </c>
      <c r="H637" s="4">
        <f t="shared" si="9"/>
        <v>0</v>
      </c>
    </row>
    <row r="638" spans="3:8" x14ac:dyDescent="0.25">
      <c r="C638" t="str">
        <f>'RES TECH'!M636</f>
        <v>RESHOULMOldSCGHP3ELC22</v>
      </c>
      <c r="G638" s="4">
        <f>IF(SUMIFS('RES TECH'!N:N,'RES TECH'!M:M,C638)&gt;0,1,0)</f>
        <v>1</v>
      </c>
      <c r="H638" s="4">
        <f t="shared" si="9"/>
        <v>0</v>
      </c>
    </row>
    <row r="639" spans="3:8" x14ac:dyDescent="0.25">
      <c r="C639" t="str">
        <f>'RES TECH'!M637</f>
        <v>RESHOULMOldSCGHP3ELC23</v>
      </c>
      <c r="G639" s="4">
        <f>IF(SUMIFS('RES TECH'!N:N,'RES TECH'!M:M,C639)&gt;0,1,0)</f>
        <v>1</v>
      </c>
      <c r="H639" s="4">
        <f t="shared" si="9"/>
        <v>0</v>
      </c>
    </row>
    <row r="640" spans="3:8" x14ac:dyDescent="0.25">
      <c r="C640" t="str">
        <f>'RES TECH'!M638</f>
        <v>RESHOULMOldSCGHP3ELC24</v>
      </c>
      <c r="G640" s="4">
        <f>IF(SUMIFS('RES TECH'!N:N,'RES TECH'!M:M,C640)&gt;0,1,0)</f>
        <v>1</v>
      </c>
      <c r="H640" s="4">
        <f t="shared" si="9"/>
        <v>0</v>
      </c>
    </row>
    <row r="641" spans="3:8" x14ac:dyDescent="0.25">
      <c r="C641" t="str">
        <f>'RES TECH'!M639</f>
        <v>RESHOULMOldSCGHP4ELC20</v>
      </c>
      <c r="G641" s="4">
        <f>IF(SUMIFS('RES TECH'!N:N,'RES TECH'!M:M,C641)&gt;0,1,0)</f>
        <v>1</v>
      </c>
      <c r="H641" s="4">
        <f t="shared" si="9"/>
        <v>0</v>
      </c>
    </row>
    <row r="642" spans="3:8" x14ac:dyDescent="0.25">
      <c r="C642" t="str">
        <f>'RES TECH'!M640</f>
        <v>RESHOULMOldSCGHP4ELC20</v>
      </c>
      <c r="G642" s="4">
        <f>IF(SUMIFS('RES TECH'!N:N,'RES TECH'!M:M,C642)&gt;0,1,0)</f>
        <v>1</v>
      </c>
      <c r="H642" s="4">
        <f t="shared" si="9"/>
        <v>0</v>
      </c>
    </row>
    <row r="643" spans="3:8" x14ac:dyDescent="0.25">
      <c r="C643" t="str">
        <f>'RES TECH'!M641</f>
        <v>RESHOULMOldSCGHP4ELC22</v>
      </c>
      <c r="G643" s="4">
        <f>IF(SUMIFS('RES TECH'!N:N,'RES TECH'!M:M,C643)&gt;0,1,0)</f>
        <v>1</v>
      </c>
      <c r="H643" s="4">
        <f t="shared" si="9"/>
        <v>0</v>
      </c>
    </row>
    <row r="644" spans="3:8" x14ac:dyDescent="0.25">
      <c r="C644" t="str">
        <f>'RES TECH'!M642</f>
        <v>RESHOULMOldSCGHP4ELC23</v>
      </c>
      <c r="G644" s="4">
        <f>IF(SUMIFS('RES TECH'!N:N,'RES TECH'!M:M,C644)&gt;0,1,0)</f>
        <v>1</v>
      </c>
      <c r="H644" s="4">
        <f t="shared" si="9"/>
        <v>0</v>
      </c>
    </row>
    <row r="645" spans="3:8" x14ac:dyDescent="0.25">
      <c r="C645" t="str">
        <f>'RES TECH'!M643</f>
        <v>RESHOULMOldSCGHP4ELC24</v>
      </c>
      <c r="G645" s="4">
        <f>IF(SUMIFS('RES TECH'!N:N,'RES TECH'!M:M,C645)&gt;0,1,0)</f>
        <v>1</v>
      </c>
      <c r="H645" s="4">
        <f t="shared" ref="H645:H708" si="10">IF(C645="","",IF(C645="*","*",0))</f>
        <v>0</v>
      </c>
    </row>
    <row r="646" spans="3:8" x14ac:dyDescent="0.25">
      <c r="C646" t="str">
        <f>'RES TECH'!M644</f>
        <v>RESHOULMOldSCRAC1ELC20</v>
      </c>
      <c r="G646" s="4">
        <f>IF(SUMIFS('RES TECH'!N:N,'RES TECH'!M:M,C646)&gt;0,1,0)</f>
        <v>1</v>
      </c>
      <c r="H646" s="4">
        <f t="shared" si="10"/>
        <v>0</v>
      </c>
    </row>
    <row r="647" spans="3:8" x14ac:dyDescent="0.25">
      <c r="C647" t="str">
        <f>'RES TECH'!M645</f>
        <v>RESHOULMOldSCRAC2ELC20</v>
      </c>
      <c r="G647" s="4">
        <f>IF(SUMIFS('RES TECH'!N:N,'RES TECH'!M:M,C647)&gt;0,1,0)</f>
        <v>1</v>
      </c>
      <c r="H647" s="4">
        <f t="shared" si="10"/>
        <v>0</v>
      </c>
    </row>
    <row r="648" spans="3:8" x14ac:dyDescent="0.25">
      <c r="C648" t="str">
        <f>'RES TECH'!M646</f>
        <v>RESHOULMOldSCRAC2ELC30</v>
      </c>
      <c r="G648" s="4">
        <f>IF(SUMIFS('RES TECH'!N:N,'RES TECH'!M:M,C648)&gt;0,1,0)</f>
        <v>1</v>
      </c>
      <c r="H648" s="4">
        <f t="shared" si="10"/>
        <v>0</v>
      </c>
    </row>
    <row r="649" spans="3:8" x14ac:dyDescent="0.25">
      <c r="C649" t="str">
        <f>'RES TECH'!M647</f>
        <v>RESHOULMOldSCRAC2ELC40</v>
      </c>
      <c r="G649" s="4">
        <f>IF(SUMIFS('RES TECH'!N:N,'RES TECH'!M:M,C649)&gt;0,1,0)</f>
        <v>1</v>
      </c>
      <c r="H649" s="4">
        <f t="shared" si="10"/>
        <v>0</v>
      </c>
    </row>
    <row r="650" spans="3:8" x14ac:dyDescent="0.25">
      <c r="C650" t="str">
        <f>'RES TECH'!M648</f>
        <v>RESHOULMOldSCRAC3ELC20</v>
      </c>
      <c r="G650" s="4">
        <f>IF(SUMIFS('RES TECH'!N:N,'RES TECH'!M:M,C650)&gt;0,1,0)</f>
        <v>1</v>
      </c>
      <c r="H650" s="4">
        <f t="shared" si="10"/>
        <v>0</v>
      </c>
    </row>
    <row r="651" spans="3:8" x14ac:dyDescent="0.25">
      <c r="C651" t="str">
        <f>'RES TECH'!M649</f>
        <v>RESHOULMOldSCRAC4ELC20</v>
      </c>
      <c r="G651" s="4">
        <f>IF(SUMIFS('RES TECH'!N:N,'RES TECH'!M:M,C651)&gt;0,1,0)</f>
        <v>1</v>
      </c>
      <c r="H651" s="4">
        <f t="shared" si="10"/>
        <v>0</v>
      </c>
    </row>
    <row r="652" spans="3:8" x14ac:dyDescent="0.25">
      <c r="C652" t="str">
        <f>'RES TECH'!M650</f>
        <v>RESHOULMOldSCRAC4ELC22</v>
      </c>
      <c r="G652" s="4">
        <f>IF(SUMIFS('RES TECH'!N:N,'RES TECH'!M:M,C652)&gt;0,1,0)</f>
        <v>1</v>
      </c>
      <c r="H652" s="4">
        <f t="shared" si="10"/>
        <v>0</v>
      </c>
    </row>
    <row r="653" spans="3:8" x14ac:dyDescent="0.25">
      <c r="C653" t="str">
        <f>'RES TECH'!M651</f>
        <v>RESHOULMOldSCRAC4ELC30</v>
      </c>
      <c r="G653" s="4">
        <f>IF(SUMIFS('RES TECH'!N:N,'RES TECH'!M:M,C653)&gt;0,1,0)</f>
        <v>1</v>
      </c>
      <c r="H653" s="4">
        <f t="shared" si="10"/>
        <v>0</v>
      </c>
    </row>
    <row r="654" spans="3:8" x14ac:dyDescent="0.25">
      <c r="C654" t="str">
        <f>'RES TECH'!M652</f>
        <v>RESHOULMOldSCRAC4ELC40</v>
      </c>
      <c r="G654" s="4">
        <f>IF(SUMIFS('RES TECH'!N:N,'RES TECH'!M:M,C654)&gt;0,1,0)</f>
        <v>1</v>
      </c>
      <c r="H654" s="4">
        <f t="shared" si="10"/>
        <v>0</v>
      </c>
    </row>
    <row r="655" spans="3:8" x14ac:dyDescent="0.25">
      <c r="C655" t="str">
        <f>'RES TECH'!M653</f>
        <v>RESHOULMOldSCCAC1ELC20</v>
      </c>
      <c r="G655" s="4">
        <f>IF(SUMIFS('RES TECH'!N:N,'RES TECH'!M:M,C655)&gt;0,1,0)</f>
        <v>1</v>
      </c>
      <c r="H655" s="4">
        <f t="shared" si="10"/>
        <v>0</v>
      </c>
    </row>
    <row r="656" spans="3:8" x14ac:dyDescent="0.25">
      <c r="C656" t="str">
        <f>'RES TECH'!M654</f>
        <v>RESHOULMOldSCCAC1ELC23</v>
      </c>
      <c r="G656" s="4">
        <f>IF(SUMIFS('RES TECH'!N:N,'RES TECH'!M:M,C656)&gt;0,1,0)</f>
        <v>1</v>
      </c>
      <c r="H656" s="4">
        <f t="shared" si="10"/>
        <v>0</v>
      </c>
    </row>
    <row r="657" spans="3:8" x14ac:dyDescent="0.25">
      <c r="C657" t="str">
        <f>'RES TECH'!M655</f>
        <v>RESHOULMOldSCCAC2ELC20</v>
      </c>
      <c r="G657" s="4">
        <f>IF(SUMIFS('RES TECH'!N:N,'RES TECH'!M:M,C657)&gt;0,1,0)</f>
        <v>1</v>
      </c>
      <c r="H657" s="4">
        <f t="shared" si="10"/>
        <v>0</v>
      </c>
    </row>
    <row r="658" spans="3:8" x14ac:dyDescent="0.25">
      <c r="C658" t="str">
        <f>'RES TECH'!M656</f>
        <v>RESHOULMOldSCCAC2ELC23</v>
      </c>
      <c r="G658" s="4">
        <f>IF(SUMIFS('RES TECH'!N:N,'RES TECH'!M:M,C658)&gt;0,1,0)</f>
        <v>1</v>
      </c>
      <c r="H658" s="4">
        <f t="shared" si="10"/>
        <v>0</v>
      </c>
    </row>
    <row r="659" spans="3:8" x14ac:dyDescent="0.25">
      <c r="C659" t="str">
        <f>'RES TECH'!M657</f>
        <v>RESHOULMOldSCCAC3ELC20</v>
      </c>
      <c r="G659" s="4">
        <f>IF(SUMIFS('RES TECH'!N:N,'RES TECH'!M:M,C659)&gt;0,1,0)</f>
        <v>1</v>
      </c>
      <c r="H659" s="4">
        <f t="shared" si="10"/>
        <v>0</v>
      </c>
    </row>
    <row r="660" spans="3:8" x14ac:dyDescent="0.25">
      <c r="C660" t="str">
        <f>'RES TECH'!M658</f>
        <v>RESHOULMOldSCCAC3ELC23</v>
      </c>
      <c r="G660" s="4">
        <f>IF(SUMIFS('RES TECH'!N:N,'RES TECH'!M:M,C660)&gt;0,1,0)</f>
        <v>1</v>
      </c>
      <c r="H660" s="4">
        <f t="shared" si="10"/>
        <v>0</v>
      </c>
    </row>
    <row r="661" spans="3:8" x14ac:dyDescent="0.25">
      <c r="C661" t="str">
        <f>'RES TECH'!M659</f>
        <v>RESHOULMOldSCCAC4ELC20</v>
      </c>
      <c r="G661" s="4">
        <f>IF(SUMIFS('RES TECH'!N:N,'RES TECH'!M:M,C661)&gt;0,1,0)</f>
        <v>1</v>
      </c>
      <c r="H661" s="4">
        <f t="shared" si="10"/>
        <v>0</v>
      </c>
    </row>
    <row r="662" spans="3:8" x14ac:dyDescent="0.25">
      <c r="C662" t="str">
        <f>'RES TECH'!M660</f>
        <v>RESHOULMOldSCCAC4ELC22</v>
      </c>
      <c r="G662" s="4">
        <f>IF(SUMIFS('RES TECH'!N:N,'RES TECH'!M:M,C662)&gt;0,1,0)</f>
        <v>1</v>
      </c>
      <c r="H662" s="4">
        <f t="shared" si="10"/>
        <v>0</v>
      </c>
    </row>
    <row r="663" spans="3:8" x14ac:dyDescent="0.25">
      <c r="C663" t="str">
        <f>'RES TECH'!M661</f>
        <v>RESHOULMOldRETF1ELC20</v>
      </c>
      <c r="G663" s="4">
        <f>IF(SUMIFS('RES TECH'!N:N,'RES TECH'!M:M,C663)&gt;0,1,0)</f>
        <v>1</v>
      </c>
      <c r="H663" s="4">
        <f t="shared" si="10"/>
        <v>0</v>
      </c>
    </row>
    <row r="664" spans="3:8" x14ac:dyDescent="0.25">
      <c r="C664" t="str">
        <f>'RES TECH'!M662</f>
        <v>RESHOULMOldRETF2ELC20</v>
      </c>
      <c r="G664" s="4">
        <f>IF(SUMIFS('RES TECH'!N:N,'RES TECH'!M:M,C664)&gt;0,1,0)</f>
        <v>1</v>
      </c>
      <c r="H664" s="4">
        <f t="shared" si="10"/>
        <v>0</v>
      </c>
    </row>
    <row r="665" spans="3:8" x14ac:dyDescent="0.25">
      <c r="C665" t="str">
        <f>'RES TECH'!M663</f>
        <v>RESHOULMOldRETF3ELC20</v>
      </c>
      <c r="G665" s="4">
        <f>IF(SUMIFS('RES TECH'!N:N,'RES TECH'!M:M,C665)&gt;0,1,0)</f>
        <v>1</v>
      </c>
      <c r="H665" s="4">
        <f t="shared" si="10"/>
        <v>0</v>
      </c>
    </row>
    <row r="666" spans="3:8" x14ac:dyDescent="0.25">
      <c r="C666" t="str">
        <f>'RES TECH'!M664</f>
        <v>RESHOULMOldRETF4ELC20</v>
      </c>
      <c r="G666" s="4">
        <f>IF(SUMIFS('RES TECH'!N:N,'RES TECH'!M:M,C666)&gt;0,1,0)</f>
        <v>1</v>
      </c>
      <c r="H666" s="4">
        <f t="shared" si="10"/>
        <v>0</v>
      </c>
    </row>
    <row r="667" spans="3:8" x14ac:dyDescent="0.25">
      <c r="C667" t="str">
        <f>'RES TECH'!M665</f>
        <v>RESHOULMOldRESF1ELC20</v>
      </c>
      <c r="G667" s="4">
        <f>IF(SUMIFS('RES TECH'!N:N,'RES TECH'!M:M,C667)&gt;0,1,0)</f>
        <v>1</v>
      </c>
      <c r="H667" s="4">
        <f t="shared" si="10"/>
        <v>0</v>
      </c>
    </row>
    <row r="668" spans="3:8" x14ac:dyDescent="0.25">
      <c r="C668" t="str">
        <f>'RES TECH'!M666</f>
        <v>RESHOULMOldRESF2ELC20</v>
      </c>
      <c r="G668" s="4">
        <f>IF(SUMIFS('RES TECH'!N:N,'RES TECH'!M:M,C668)&gt;0,1,0)</f>
        <v>1</v>
      </c>
      <c r="H668" s="4">
        <f t="shared" si="10"/>
        <v>0</v>
      </c>
    </row>
    <row r="669" spans="3:8" x14ac:dyDescent="0.25">
      <c r="C669" t="str">
        <f>'RES TECH'!M667</f>
        <v>RESHOULMOldRESF3ELC20</v>
      </c>
      <c r="G669" s="4">
        <f>IF(SUMIFS('RES TECH'!N:N,'RES TECH'!M:M,C669)&gt;0,1,0)</f>
        <v>1</v>
      </c>
      <c r="H669" s="4">
        <f t="shared" si="10"/>
        <v>0</v>
      </c>
    </row>
    <row r="670" spans="3:8" x14ac:dyDescent="0.25">
      <c r="C670" t="str">
        <f>'RES TECH'!M668</f>
        <v>RESHOULMOldRESF4ELC20</v>
      </c>
      <c r="G670" s="4">
        <f>IF(SUMIFS('RES TECH'!N:N,'RES TECH'!M:M,C670)&gt;0,1,0)</f>
        <v>1</v>
      </c>
      <c r="H670" s="4">
        <f t="shared" si="10"/>
        <v>0</v>
      </c>
    </row>
    <row r="671" spans="3:8" x14ac:dyDescent="0.25">
      <c r="C671" t="str">
        <f>'RES TECH'!M669</f>
        <v>RESHOULMOldREBF1ELC20</v>
      </c>
      <c r="G671" s="4">
        <f>IF(SUMIFS('RES TECH'!N:N,'RES TECH'!M:M,C671)&gt;0,1,0)</f>
        <v>1</v>
      </c>
      <c r="H671" s="4">
        <f t="shared" si="10"/>
        <v>0</v>
      </c>
    </row>
    <row r="672" spans="3:8" x14ac:dyDescent="0.25">
      <c r="C672" t="str">
        <f>'RES TECH'!M670</f>
        <v>RESHOULMOldREBF2ELC20</v>
      </c>
      <c r="G672" s="4">
        <f>IF(SUMIFS('RES TECH'!N:N,'RES TECH'!M:M,C672)&gt;0,1,0)</f>
        <v>1</v>
      </c>
      <c r="H672" s="4">
        <f t="shared" si="10"/>
        <v>0</v>
      </c>
    </row>
    <row r="673" spans="3:8" x14ac:dyDescent="0.25">
      <c r="C673" t="str">
        <f>'RES TECH'!M671</f>
        <v>RESHOULMOldREBF3ELC20</v>
      </c>
      <c r="G673" s="4">
        <f>IF(SUMIFS('RES TECH'!N:N,'RES TECH'!M:M,C673)&gt;0,1,0)</f>
        <v>1</v>
      </c>
      <c r="H673" s="4">
        <f t="shared" si="10"/>
        <v>0</v>
      </c>
    </row>
    <row r="674" spans="3:8" x14ac:dyDescent="0.25">
      <c r="C674" t="str">
        <f>'RES TECH'!M672</f>
        <v>RESHOULMOldREBF4ELC20</v>
      </c>
      <c r="G674" s="4">
        <f>IF(SUMIFS('RES TECH'!N:N,'RES TECH'!M:M,C674)&gt;0,1,0)</f>
        <v>1</v>
      </c>
      <c r="H674" s="4">
        <f t="shared" si="10"/>
        <v>0</v>
      </c>
    </row>
    <row r="675" spans="3:8" x14ac:dyDescent="0.25">
      <c r="C675" t="str">
        <f>'RES TECH'!M673</f>
        <v>RESHOULMOldFRC1ELC20</v>
      </c>
      <c r="G675" s="4">
        <f>IF(SUMIFS('RES TECH'!N:N,'RES TECH'!M:M,C675)&gt;0,1,0)</f>
        <v>1</v>
      </c>
      <c r="H675" s="4">
        <f t="shared" si="10"/>
        <v>0</v>
      </c>
    </row>
    <row r="676" spans="3:8" x14ac:dyDescent="0.25">
      <c r="C676" t="str">
        <f>'RES TECH'!M674</f>
        <v>RESHOULMOldFRC2ELC20</v>
      </c>
      <c r="G676" s="4">
        <f>IF(SUMIFS('RES TECH'!N:N,'RES TECH'!M:M,C676)&gt;0,1,0)</f>
        <v>1</v>
      </c>
      <c r="H676" s="4">
        <f t="shared" si="10"/>
        <v>0</v>
      </c>
    </row>
    <row r="677" spans="3:8" x14ac:dyDescent="0.25">
      <c r="C677" t="str">
        <f>'RES TECH'!M675</f>
        <v>RESHOULMOldFRC3ELC20</v>
      </c>
      <c r="G677" s="4">
        <f>IF(SUMIFS('RES TECH'!N:N,'RES TECH'!M:M,C677)&gt;0,1,0)</f>
        <v>1</v>
      </c>
      <c r="H677" s="4">
        <f t="shared" si="10"/>
        <v>0</v>
      </c>
    </row>
    <row r="678" spans="3:8" x14ac:dyDescent="0.25">
      <c r="C678" t="str">
        <f>'RES TECH'!M676</f>
        <v>RESHOULMOldFRC4ELC20</v>
      </c>
      <c r="G678" s="4">
        <f>IF(SUMIFS('RES TECH'!N:N,'RES TECH'!M:M,C678)&gt;0,1,0)</f>
        <v>1</v>
      </c>
      <c r="H678" s="4">
        <f t="shared" si="10"/>
        <v>0</v>
      </c>
    </row>
    <row r="679" spans="3:8" x14ac:dyDescent="0.25">
      <c r="C679" t="str">
        <f>'RES TECH'!M677</f>
        <v>RESHOULMOldFRU1ELC20</v>
      </c>
      <c r="G679" s="4">
        <f>IF(SUMIFS('RES TECH'!N:N,'RES TECH'!M:M,C679)&gt;0,1,0)</f>
        <v>1</v>
      </c>
      <c r="H679" s="4">
        <f t="shared" si="10"/>
        <v>0</v>
      </c>
    </row>
    <row r="680" spans="3:8" x14ac:dyDescent="0.25">
      <c r="C680" t="str">
        <f>'RES TECH'!M678</f>
        <v>RESHOULMOldFRU2ELC20</v>
      </c>
      <c r="G680" s="4">
        <f>IF(SUMIFS('RES TECH'!N:N,'RES TECH'!M:M,C680)&gt;0,1,0)</f>
        <v>1</v>
      </c>
      <c r="H680" s="4">
        <f t="shared" si="10"/>
        <v>0</v>
      </c>
    </row>
    <row r="681" spans="3:8" x14ac:dyDescent="0.25">
      <c r="C681" t="str">
        <f>'RES TECH'!M679</f>
        <v>RESHOULMOldFRU3ELC20</v>
      </c>
      <c r="G681" s="4">
        <f>IF(SUMIFS('RES TECH'!N:N,'RES TECH'!M:M,C681)&gt;0,1,0)</f>
        <v>1</v>
      </c>
      <c r="H681" s="4">
        <f t="shared" si="10"/>
        <v>0</v>
      </c>
    </row>
    <row r="682" spans="3:8" x14ac:dyDescent="0.25">
      <c r="C682" t="str">
        <f>'RES TECH'!M680</f>
        <v>RESHOULMOldFRU4ELC20</v>
      </c>
      <c r="G682" s="4">
        <f>IF(SUMIFS('RES TECH'!N:N,'RES TECH'!M:M,C682)&gt;0,1,0)</f>
        <v>1</v>
      </c>
      <c r="H682" s="4">
        <f t="shared" si="10"/>
        <v>0</v>
      </c>
    </row>
    <row r="683" spans="3:8" x14ac:dyDescent="0.25">
      <c r="C683" t="str">
        <f>'RES TECH'!M681</f>
        <v>RESHOULMOldCK2NGA20</v>
      </c>
      <c r="G683" s="4">
        <f>IF(SUMIFS('RES TECH'!N:N,'RES TECH'!M:M,C683)&gt;0,1,0)</f>
        <v>1</v>
      </c>
      <c r="H683" s="4">
        <f t="shared" si="10"/>
        <v>0</v>
      </c>
    </row>
    <row r="684" spans="3:8" x14ac:dyDescent="0.25">
      <c r="C684" t="str">
        <f>'RES TECH'!M682</f>
        <v>RESHOULMOldCK4NGA20</v>
      </c>
      <c r="G684" s="4">
        <f>IF(SUMIFS('RES TECH'!N:N,'RES TECH'!M:M,C684)&gt;0,1,0)</f>
        <v>1</v>
      </c>
      <c r="H684" s="4">
        <f t="shared" si="10"/>
        <v>0</v>
      </c>
    </row>
    <row r="685" spans="3:8" x14ac:dyDescent="0.25">
      <c r="C685" t="str">
        <f>'RES TECH'!M683</f>
        <v>RESHOULMOldCK2LPG20</v>
      </c>
      <c r="G685" s="4">
        <f>IF(SUMIFS('RES TECH'!N:N,'RES TECH'!M:M,C685)&gt;0,1,0)</f>
        <v>1</v>
      </c>
      <c r="H685" s="4">
        <f t="shared" si="10"/>
        <v>0</v>
      </c>
    </row>
    <row r="686" spans="3:8" x14ac:dyDescent="0.25">
      <c r="C686" t="str">
        <f>'RES TECH'!M684</f>
        <v>RESHOULMOldCK4LPG20</v>
      </c>
      <c r="G686" s="4">
        <f>IF(SUMIFS('RES TECH'!N:N,'RES TECH'!M:M,C686)&gt;0,1,0)</f>
        <v>1</v>
      </c>
      <c r="H686" s="4">
        <f t="shared" si="10"/>
        <v>0</v>
      </c>
    </row>
    <row r="687" spans="3:8" x14ac:dyDescent="0.25">
      <c r="C687" t="str">
        <f>'RES TECH'!M685</f>
        <v>RESHOULMOldCK2ELC20</v>
      </c>
      <c r="G687" s="4">
        <f>IF(SUMIFS('RES TECH'!N:N,'RES TECH'!M:M,C687)&gt;0,1,0)</f>
        <v>1</v>
      </c>
      <c r="H687" s="4">
        <f t="shared" si="10"/>
        <v>0</v>
      </c>
    </row>
    <row r="688" spans="3:8" x14ac:dyDescent="0.25">
      <c r="C688" t="str">
        <f>'RES TECH'!M686</f>
        <v>RESHOULMOldCWF4ELC30</v>
      </c>
      <c r="G688" s="4">
        <f>IF(SUMIFS('RES TECH'!N:N,'RES TECH'!M:M,C688)&gt;0,1,0)</f>
        <v>1</v>
      </c>
      <c r="H688" s="4">
        <f t="shared" si="10"/>
        <v>0</v>
      </c>
    </row>
    <row r="689" spans="3:8" x14ac:dyDescent="0.25">
      <c r="C689" t="str">
        <f>'RES TECH'!M687</f>
        <v>RESHOULMOldCWT1ELC20</v>
      </c>
      <c r="G689" s="4">
        <f>IF(SUMIFS('RES TECH'!N:N,'RES TECH'!M:M,C689)&gt;0,1,0)</f>
        <v>1</v>
      </c>
      <c r="H689" s="4">
        <f t="shared" si="10"/>
        <v>0</v>
      </c>
    </row>
    <row r="690" spans="3:8" x14ac:dyDescent="0.25">
      <c r="C690" t="str">
        <f>'RES TECH'!M688</f>
        <v>RESHOULMOldCWT2ELC20</v>
      </c>
      <c r="G690" s="4">
        <f>IF(SUMIFS('RES TECH'!N:N,'RES TECH'!M:M,C690)&gt;0,1,0)</f>
        <v>1</v>
      </c>
      <c r="H690" s="4">
        <f t="shared" si="10"/>
        <v>0</v>
      </c>
    </row>
    <row r="691" spans="3:8" x14ac:dyDescent="0.25">
      <c r="C691" t="str">
        <f>'RES TECH'!M689</f>
        <v>RESHOULMOldCWT2ELC20</v>
      </c>
      <c r="G691" s="4">
        <f>IF(SUMIFS('RES TECH'!N:N,'RES TECH'!M:M,C691)&gt;0,1,0)</f>
        <v>1</v>
      </c>
      <c r="H691" s="4">
        <f t="shared" si="10"/>
        <v>0</v>
      </c>
    </row>
    <row r="692" spans="3:8" x14ac:dyDescent="0.25">
      <c r="C692" t="str">
        <f>'RES TECH'!M690</f>
        <v>RESHOULMOldCWT3ELC20</v>
      </c>
      <c r="G692" s="4">
        <f>IF(SUMIFS('RES TECH'!N:N,'RES TECH'!M:M,C692)&gt;0,1,0)</f>
        <v>1</v>
      </c>
      <c r="H692" s="4">
        <f t="shared" si="10"/>
        <v>0</v>
      </c>
    </row>
    <row r="693" spans="3:8" x14ac:dyDescent="0.25">
      <c r="C693" t="str">
        <f>'RES TECH'!M691</f>
        <v>RESHOULMOldCWT4ELC20</v>
      </c>
      <c r="G693" s="4">
        <f>IF(SUMIFS('RES TECH'!N:N,'RES TECH'!M:M,C693)&gt;0,1,0)</f>
        <v>1</v>
      </c>
      <c r="H693" s="4">
        <f t="shared" si="10"/>
        <v>0</v>
      </c>
    </row>
    <row r="694" spans="3:8" x14ac:dyDescent="0.25">
      <c r="C694" t="str">
        <f>'RES TECH'!M692</f>
        <v>RESHOULMOldCWF1ELC20</v>
      </c>
      <c r="G694" s="4">
        <f>IF(SUMIFS('RES TECH'!N:N,'RES TECH'!M:M,C694)&gt;0,1,0)</f>
        <v>1</v>
      </c>
      <c r="H694" s="4">
        <f t="shared" si="10"/>
        <v>0</v>
      </c>
    </row>
    <row r="695" spans="3:8" x14ac:dyDescent="0.25">
      <c r="C695" t="str">
        <f>'RES TECH'!M693</f>
        <v>RESHOULMOldCWF2ELC20</v>
      </c>
      <c r="G695" s="4">
        <f>IF(SUMIFS('RES TECH'!N:N,'RES TECH'!M:M,C695)&gt;0,1,0)</f>
        <v>1</v>
      </c>
      <c r="H695" s="4">
        <f t="shared" si="10"/>
        <v>0</v>
      </c>
    </row>
    <row r="696" spans="3:8" x14ac:dyDescent="0.25">
      <c r="C696" t="str">
        <f>'RES TECH'!M694</f>
        <v>RESHOULMOldCWF2ELC30</v>
      </c>
      <c r="G696" s="4">
        <f>IF(SUMIFS('RES TECH'!N:N,'RES TECH'!M:M,C696)&gt;0,1,0)</f>
        <v>1</v>
      </c>
      <c r="H696" s="4">
        <f t="shared" si="10"/>
        <v>0</v>
      </c>
    </row>
    <row r="697" spans="3:8" x14ac:dyDescent="0.25">
      <c r="C697" t="str">
        <f>'RES TECH'!M695</f>
        <v>RESHOULMOldCWF3ELC20</v>
      </c>
      <c r="G697" s="4">
        <f>IF(SUMIFS('RES TECH'!N:N,'RES TECH'!M:M,C697)&gt;0,1,0)</f>
        <v>1</v>
      </c>
      <c r="H697" s="4">
        <f t="shared" si="10"/>
        <v>0</v>
      </c>
    </row>
    <row r="698" spans="3:8" x14ac:dyDescent="0.25">
      <c r="C698" t="str">
        <f>'RES TECH'!M696</f>
        <v>RESHOULMOldCWF4ELC20</v>
      </c>
      <c r="G698" s="4">
        <f>IF(SUMIFS('RES TECH'!N:N,'RES TECH'!M:M,C698)&gt;0,1,0)</f>
        <v>1</v>
      </c>
      <c r="H698" s="4">
        <f t="shared" si="10"/>
        <v>0</v>
      </c>
    </row>
    <row r="699" spans="3:8" x14ac:dyDescent="0.25">
      <c r="C699" t="str">
        <f>'RES TECH'!M697</f>
        <v>RESHOULMOldCWF4ELC20</v>
      </c>
      <c r="G699" s="4">
        <f>IF(SUMIFS('RES TECH'!N:N,'RES TECH'!M:M,C699)&gt;0,1,0)</f>
        <v>1</v>
      </c>
      <c r="H699" s="4">
        <f t="shared" si="10"/>
        <v>0</v>
      </c>
    </row>
    <row r="700" spans="3:8" x14ac:dyDescent="0.25">
      <c r="C700" t="str">
        <f>'RES TECH'!M698</f>
        <v>RESHOULMOldCD1NGA20</v>
      </c>
      <c r="G700" s="4">
        <f>IF(SUMIFS('RES TECH'!N:N,'RES TECH'!M:M,C700)&gt;0,1,0)</f>
        <v>1</v>
      </c>
      <c r="H700" s="4">
        <f t="shared" si="10"/>
        <v>0</v>
      </c>
    </row>
    <row r="701" spans="3:8" x14ac:dyDescent="0.25">
      <c r="C701" t="str">
        <f>'RES TECH'!M699</f>
        <v>RESHOULMOldCD2NGA20</v>
      </c>
      <c r="G701" s="4">
        <f>IF(SUMIFS('RES TECH'!N:N,'RES TECH'!M:M,C701)&gt;0,1,0)</f>
        <v>1</v>
      </c>
      <c r="H701" s="4">
        <f t="shared" si="10"/>
        <v>0</v>
      </c>
    </row>
    <row r="702" spans="3:8" x14ac:dyDescent="0.25">
      <c r="C702" t="str">
        <f>'RES TECH'!M700</f>
        <v>RESHOULMOldCD3NGA20</v>
      </c>
      <c r="G702" s="4">
        <f>IF(SUMIFS('RES TECH'!N:N,'RES TECH'!M:M,C702)&gt;0,1,0)</f>
        <v>1</v>
      </c>
      <c r="H702" s="4">
        <f t="shared" si="10"/>
        <v>0</v>
      </c>
    </row>
    <row r="703" spans="3:8" x14ac:dyDescent="0.25">
      <c r="C703" t="str">
        <f>'RES TECH'!M701</f>
        <v>RESHOULMOldCD4NGA20</v>
      </c>
      <c r="G703" s="4">
        <f>IF(SUMIFS('RES TECH'!N:N,'RES TECH'!M:M,C703)&gt;0,1,0)</f>
        <v>1</v>
      </c>
      <c r="H703" s="4">
        <f t="shared" si="10"/>
        <v>0</v>
      </c>
    </row>
    <row r="704" spans="3:8" x14ac:dyDescent="0.25">
      <c r="C704" t="str">
        <f>'RES TECH'!M702</f>
        <v>RESHOULMOldCD4NGA30</v>
      </c>
      <c r="G704" s="4">
        <f>IF(SUMIFS('RES TECH'!N:N,'RES TECH'!M:M,C704)&gt;0,1,0)</f>
        <v>1</v>
      </c>
      <c r="H704" s="4">
        <f t="shared" si="10"/>
        <v>0</v>
      </c>
    </row>
    <row r="705" spans="3:8" x14ac:dyDescent="0.25">
      <c r="C705" t="str">
        <f>'RES TECH'!M703</f>
        <v>RESHOULMOldCD1ELC20</v>
      </c>
      <c r="G705" s="4">
        <f>IF(SUMIFS('RES TECH'!N:N,'RES TECH'!M:M,C705)&gt;0,1,0)</f>
        <v>1</v>
      </c>
      <c r="H705" s="4">
        <f t="shared" si="10"/>
        <v>0</v>
      </c>
    </row>
    <row r="706" spans="3:8" x14ac:dyDescent="0.25">
      <c r="C706" t="str">
        <f>'RES TECH'!M704</f>
        <v>RESHOULMOldCD2ELC20</v>
      </c>
      <c r="G706" s="4">
        <f>IF(SUMIFS('RES TECH'!N:N,'RES TECH'!M:M,C706)&gt;0,1,0)</f>
        <v>1</v>
      </c>
      <c r="H706" s="4">
        <f t="shared" si="10"/>
        <v>0</v>
      </c>
    </row>
    <row r="707" spans="3:8" x14ac:dyDescent="0.25">
      <c r="C707" t="str">
        <f>'RES TECH'!M705</f>
        <v>RESHOULMOldCD3ELC20</v>
      </c>
      <c r="G707" s="4">
        <f>IF(SUMIFS('RES TECH'!N:N,'RES TECH'!M:M,C707)&gt;0,1,0)</f>
        <v>1</v>
      </c>
      <c r="H707" s="4">
        <f t="shared" si="10"/>
        <v>0</v>
      </c>
    </row>
    <row r="708" spans="3:8" x14ac:dyDescent="0.25">
      <c r="C708" t="str">
        <f>'RES TECH'!M706</f>
        <v>RESHOULMOldCD4ELC20</v>
      </c>
      <c r="G708" s="4">
        <f>IF(SUMIFS('RES TECH'!N:N,'RES TECH'!M:M,C708)&gt;0,1,0)</f>
        <v>1</v>
      </c>
      <c r="H708" s="4">
        <f t="shared" si="10"/>
        <v>0</v>
      </c>
    </row>
    <row r="709" spans="3:8" x14ac:dyDescent="0.25">
      <c r="C709" t="str">
        <f>'RES TECH'!M707</f>
        <v>RESAPAUMOldWH1NGA20</v>
      </c>
      <c r="G709" s="4">
        <f>IF(SUMIFS('RES TECH'!N:N,'RES TECH'!M:M,C709)&gt;0,1,0)</f>
        <v>1</v>
      </c>
      <c r="H709" s="4">
        <f t="shared" ref="H709:H772" si="11">IF(C709="","",IF(C709="*","*",0))</f>
        <v>0</v>
      </c>
    </row>
    <row r="710" spans="3:8" x14ac:dyDescent="0.25">
      <c r="C710" t="str">
        <f>'RES TECH'!M708</f>
        <v>RESAPAUMOldWH2NGA20</v>
      </c>
      <c r="G710" s="4">
        <f>IF(SUMIFS('RES TECH'!N:N,'RES TECH'!M:M,C710)&gt;0,1,0)</f>
        <v>1</v>
      </c>
      <c r="H710" s="4">
        <f t="shared" si="11"/>
        <v>0</v>
      </c>
    </row>
    <row r="711" spans="3:8" x14ac:dyDescent="0.25">
      <c r="C711" t="str">
        <f>'RES TECH'!M709</f>
        <v>RESAPAUMOldWH3NGA20</v>
      </c>
      <c r="G711" s="4">
        <f>IF(SUMIFS('RES TECH'!N:N,'RES TECH'!M:M,C711)&gt;0,1,0)</f>
        <v>1</v>
      </c>
      <c r="H711" s="4">
        <f t="shared" si="11"/>
        <v>0</v>
      </c>
    </row>
    <row r="712" spans="3:8" x14ac:dyDescent="0.25">
      <c r="C712" t="str">
        <f>'RES TECH'!M710</f>
        <v>RESAPAUMOldWH3NGA23</v>
      </c>
      <c r="G712" s="4">
        <f>IF(SUMIFS('RES TECH'!N:N,'RES TECH'!M:M,C712)&gt;0,1,0)</f>
        <v>1</v>
      </c>
      <c r="H712" s="4">
        <f t="shared" si="11"/>
        <v>0</v>
      </c>
    </row>
    <row r="713" spans="3:8" x14ac:dyDescent="0.25">
      <c r="C713" t="str">
        <f>'RES TECH'!M711</f>
        <v>RESAPAUMOldWH4NGA20</v>
      </c>
      <c r="G713" s="4">
        <f>IF(SUMIFS('RES TECH'!N:N,'RES TECH'!M:M,C713)&gt;0,1,0)</f>
        <v>1</v>
      </c>
      <c r="H713" s="4">
        <f t="shared" si="11"/>
        <v>0</v>
      </c>
    </row>
    <row r="714" spans="3:8" x14ac:dyDescent="0.25">
      <c r="C714" t="str">
        <f>'RES TECH'!M712</f>
        <v>RESAPAUMOldWH4NGA20</v>
      </c>
      <c r="G714" s="4">
        <f>IF(SUMIFS('RES TECH'!N:N,'RES TECH'!M:M,C714)&gt;0,1,0)</f>
        <v>1</v>
      </c>
      <c r="H714" s="4">
        <f t="shared" si="11"/>
        <v>0</v>
      </c>
    </row>
    <row r="715" spans="3:8" x14ac:dyDescent="0.25">
      <c r="C715" t="str">
        <f>'RES TECH'!M713</f>
        <v>RESAPAUMOldWH4NGA22</v>
      </c>
      <c r="G715" s="4">
        <f>IF(SUMIFS('RES TECH'!N:N,'RES TECH'!M:M,C715)&gt;0,1,0)</f>
        <v>1</v>
      </c>
      <c r="H715" s="4">
        <f t="shared" si="11"/>
        <v>0</v>
      </c>
    </row>
    <row r="716" spans="3:8" x14ac:dyDescent="0.25">
      <c r="C716" t="str">
        <f>'RES TECH'!M714</f>
        <v>RESAPAUMOldWH1ELC20</v>
      </c>
      <c r="G716" s="4">
        <f>IF(SUMIFS('RES TECH'!N:N,'RES TECH'!M:M,C716)&gt;0,1,0)</f>
        <v>1</v>
      </c>
      <c r="H716" s="4">
        <f t="shared" si="11"/>
        <v>0</v>
      </c>
    </row>
    <row r="717" spans="3:8" x14ac:dyDescent="0.25">
      <c r="C717" t="str">
        <f>'RES TECH'!M715</f>
        <v>RESAPAUMOldWH2ELC20</v>
      </c>
      <c r="G717" s="4">
        <f>IF(SUMIFS('RES TECH'!N:N,'RES TECH'!M:M,C717)&gt;0,1,0)</f>
        <v>1</v>
      </c>
      <c r="H717" s="4">
        <f t="shared" si="11"/>
        <v>0</v>
      </c>
    </row>
    <row r="718" spans="3:8" x14ac:dyDescent="0.25">
      <c r="C718" t="str">
        <f>'RES TECH'!M716</f>
        <v>RESAPAUMOldWH4ELC20</v>
      </c>
      <c r="G718" s="4">
        <f>IF(SUMIFS('RES TECH'!N:N,'RES TECH'!M:M,C718)&gt;0,1,0)</f>
        <v>1</v>
      </c>
      <c r="H718" s="4">
        <f t="shared" si="11"/>
        <v>0</v>
      </c>
    </row>
    <row r="719" spans="3:8" x14ac:dyDescent="0.25">
      <c r="C719" t="str">
        <f>'RES TECH'!M717</f>
        <v>RESAPAUMOldWH5ELC20</v>
      </c>
      <c r="G719" s="4">
        <f>IF(SUMIFS('RES TECH'!N:N,'RES TECH'!M:M,C719)&gt;0,1,0)</f>
        <v>1</v>
      </c>
      <c r="H719" s="4">
        <f t="shared" si="11"/>
        <v>0</v>
      </c>
    </row>
    <row r="720" spans="3:8" x14ac:dyDescent="0.25">
      <c r="C720" t="str">
        <f>'RES TECH'!M718</f>
        <v>RESAPAUMOldWH5ELC22</v>
      </c>
      <c r="G720" s="4">
        <f>IF(SUMIFS('RES TECH'!N:N,'RES TECH'!M:M,C720)&gt;0,1,0)</f>
        <v>1</v>
      </c>
      <c r="H720" s="4">
        <f t="shared" si="11"/>
        <v>0</v>
      </c>
    </row>
    <row r="721" spans="3:8" x14ac:dyDescent="0.25">
      <c r="C721" t="str">
        <f>'RES TECH'!M719</f>
        <v>RESAPAUMOldWH6ELC20</v>
      </c>
      <c r="G721" s="4">
        <f>IF(SUMIFS('RES TECH'!N:N,'RES TECH'!M:M,C721)&gt;0,1,0)</f>
        <v>1</v>
      </c>
      <c r="H721" s="4">
        <f t="shared" si="11"/>
        <v>0</v>
      </c>
    </row>
    <row r="722" spans="3:8" x14ac:dyDescent="0.25">
      <c r="C722" t="str">
        <f>'RES TECH'!M720</f>
        <v>RESAPAUMOldWH6ELC22</v>
      </c>
      <c r="G722" s="4">
        <f>IF(SUMIFS('RES TECH'!N:N,'RES TECH'!M:M,C722)&gt;0,1,0)</f>
        <v>1</v>
      </c>
      <c r="H722" s="4">
        <f t="shared" si="11"/>
        <v>0</v>
      </c>
    </row>
    <row r="723" spans="3:8" x14ac:dyDescent="0.25">
      <c r="C723" t="str">
        <f>'RES TECH'!M721</f>
        <v>RESAPAUMOldWH7ELC20</v>
      </c>
      <c r="G723" s="4">
        <f>IF(SUMIFS('RES TECH'!N:N,'RES TECH'!M:M,C723)&gt;0,1,0)</f>
        <v>1</v>
      </c>
      <c r="H723" s="4">
        <f t="shared" si="11"/>
        <v>0</v>
      </c>
    </row>
    <row r="724" spans="3:8" x14ac:dyDescent="0.25">
      <c r="C724" t="str">
        <f>'RES TECH'!M722</f>
        <v>RESAPAUMOldWH7ELC22</v>
      </c>
      <c r="G724" s="4">
        <f>IF(SUMIFS('RES TECH'!N:N,'RES TECH'!M:M,C724)&gt;0,1,0)</f>
        <v>1</v>
      </c>
      <c r="H724" s="4">
        <f t="shared" si="11"/>
        <v>0</v>
      </c>
    </row>
    <row r="725" spans="3:8" x14ac:dyDescent="0.25">
      <c r="C725" t="str">
        <f>'RES TECH'!M723</f>
        <v>RESAPAUMOldWH1FOI20</v>
      </c>
      <c r="G725" s="4">
        <f>IF(SUMIFS('RES TECH'!N:N,'RES TECH'!M:M,C725)&gt;0,1,0)</f>
        <v>1</v>
      </c>
      <c r="H725" s="4">
        <f t="shared" si="11"/>
        <v>0</v>
      </c>
    </row>
    <row r="726" spans="3:8" x14ac:dyDescent="0.25">
      <c r="C726" t="str">
        <f>'RES TECH'!M724</f>
        <v>RESAPAUMOldWH2FOI20</v>
      </c>
      <c r="G726" s="4">
        <f>IF(SUMIFS('RES TECH'!N:N,'RES TECH'!M:M,C726)&gt;0,1,0)</f>
        <v>1</v>
      </c>
      <c r="H726" s="4">
        <f t="shared" si="11"/>
        <v>0</v>
      </c>
    </row>
    <row r="727" spans="3:8" x14ac:dyDescent="0.25">
      <c r="C727" t="str">
        <f>'RES TECH'!M725</f>
        <v>RESAPAUMOldWH4FOI20</v>
      </c>
      <c r="G727" s="4">
        <f>IF(SUMIFS('RES TECH'!N:N,'RES TECH'!M:M,C727)&gt;0,1,0)</f>
        <v>1</v>
      </c>
      <c r="H727" s="4">
        <f t="shared" si="11"/>
        <v>0</v>
      </c>
    </row>
    <row r="728" spans="3:8" x14ac:dyDescent="0.25">
      <c r="C728" t="str">
        <f>'RES TECH'!M726</f>
        <v>RESAPAUMOldWH1LPG20</v>
      </c>
      <c r="G728" s="4">
        <f>IF(SUMIFS('RES TECH'!N:N,'RES TECH'!M:M,C728)&gt;0,1,0)</f>
        <v>1</v>
      </c>
      <c r="H728" s="4">
        <f t="shared" si="11"/>
        <v>0</v>
      </c>
    </row>
    <row r="729" spans="3:8" x14ac:dyDescent="0.25">
      <c r="C729" t="str">
        <f>'RES TECH'!M727</f>
        <v>RESAPAUMOldWH2LPG20</v>
      </c>
      <c r="G729" s="4">
        <f>IF(SUMIFS('RES TECH'!N:N,'RES TECH'!M:M,C729)&gt;0,1,0)</f>
        <v>1</v>
      </c>
      <c r="H729" s="4">
        <f t="shared" si="11"/>
        <v>0</v>
      </c>
    </row>
    <row r="730" spans="3:8" x14ac:dyDescent="0.25">
      <c r="C730" t="str">
        <f>'RES TECH'!M728</f>
        <v>RESAPAUMOldWH3LPG20</v>
      </c>
      <c r="G730" s="4">
        <f>IF(SUMIFS('RES TECH'!N:N,'RES TECH'!M:M,C730)&gt;0,1,0)</f>
        <v>1</v>
      </c>
      <c r="H730" s="4">
        <f t="shared" si="11"/>
        <v>0</v>
      </c>
    </row>
    <row r="731" spans="3:8" x14ac:dyDescent="0.25">
      <c r="C731" t="str">
        <f>'RES TECH'!M729</f>
        <v>RESAPAUMOldWH3LPG23</v>
      </c>
      <c r="G731" s="4">
        <f>IF(SUMIFS('RES TECH'!N:N,'RES TECH'!M:M,C731)&gt;0,1,0)</f>
        <v>1</v>
      </c>
      <c r="H731" s="4">
        <f t="shared" si="11"/>
        <v>0</v>
      </c>
    </row>
    <row r="732" spans="3:8" x14ac:dyDescent="0.25">
      <c r="C732" t="str">
        <f>'RES TECH'!M730</f>
        <v>RESAPAUMOldWH4LPG20</v>
      </c>
      <c r="G732" s="4">
        <f>IF(SUMIFS('RES TECH'!N:N,'RES TECH'!M:M,C732)&gt;0,1,0)</f>
        <v>1</v>
      </c>
      <c r="H732" s="4">
        <f t="shared" si="11"/>
        <v>0</v>
      </c>
    </row>
    <row r="733" spans="3:8" x14ac:dyDescent="0.25">
      <c r="C733" t="str">
        <f>'RES TECH'!M731</f>
        <v>RESAPAUMOldWH4LPG20</v>
      </c>
      <c r="G733" s="4">
        <f>IF(SUMIFS('RES TECH'!N:N,'RES TECH'!M:M,C733)&gt;0,1,0)</f>
        <v>1</v>
      </c>
      <c r="H733" s="4">
        <f t="shared" si="11"/>
        <v>0</v>
      </c>
    </row>
    <row r="734" spans="3:8" x14ac:dyDescent="0.25">
      <c r="C734" t="str">
        <f>'RES TECH'!M732</f>
        <v>RESAPAUMOldWH2SOL20</v>
      </c>
      <c r="G734" s="4">
        <f>IF(SUMIFS('RES TECH'!N:N,'RES TECH'!M:M,C734)&gt;0,1,0)</f>
        <v>1</v>
      </c>
      <c r="H734" s="4">
        <f t="shared" si="11"/>
        <v>0</v>
      </c>
    </row>
    <row r="735" spans="3:8" x14ac:dyDescent="0.25">
      <c r="C735" t="str">
        <f>'RES TECH'!M733</f>
        <v>RESAPAUMOldWH2SOL20</v>
      </c>
      <c r="G735" s="4">
        <f>IF(SUMIFS('RES TECH'!N:N,'RES TECH'!M:M,C735)&gt;0,1,0)</f>
        <v>1</v>
      </c>
      <c r="H735" s="4">
        <f t="shared" si="11"/>
        <v>0</v>
      </c>
    </row>
    <row r="736" spans="3:8" x14ac:dyDescent="0.25">
      <c r="C736" t="str">
        <f>'RES TECH'!M734</f>
        <v>RESAPAUMOldWH2SOL23</v>
      </c>
      <c r="G736" s="4">
        <f>IF(SUMIFS('RES TECH'!N:N,'RES TECH'!M:M,C736)&gt;0,1,0)</f>
        <v>1</v>
      </c>
      <c r="H736" s="4">
        <f t="shared" si="11"/>
        <v>0</v>
      </c>
    </row>
    <row r="737" spans="3:8" x14ac:dyDescent="0.25">
      <c r="C737" t="str">
        <f>'RES TECH'!M735</f>
        <v>RESAPAUMOldWH2SOL24</v>
      </c>
      <c r="G737" s="4">
        <f>IF(SUMIFS('RES TECH'!N:N,'RES TECH'!M:M,C737)&gt;0,1,0)</f>
        <v>1</v>
      </c>
      <c r="H737" s="4">
        <f t="shared" si="11"/>
        <v>0</v>
      </c>
    </row>
    <row r="738" spans="3:8" x14ac:dyDescent="0.25">
      <c r="C738" t="str">
        <f>'RES TECH'!M736</f>
        <v>RESAPAUMOldSHAHP1ELC20</v>
      </c>
      <c r="G738" s="4">
        <f>IF(SUMIFS('RES TECH'!N:N,'RES TECH'!M:M,C738)&gt;0,1,0)</f>
        <v>1</v>
      </c>
      <c r="H738" s="4">
        <f t="shared" si="11"/>
        <v>0</v>
      </c>
    </row>
    <row r="739" spans="3:8" x14ac:dyDescent="0.25">
      <c r="C739" t="str">
        <f>'RES TECH'!M737</f>
        <v>RESAPAUMOldSHAHP1ELC23</v>
      </c>
      <c r="G739" s="4">
        <f>IF(SUMIFS('RES TECH'!N:N,'RES TECH'!M:M,C739)&gt;0,1,0)</f>
        <v>1</v>
      </c>
      <c r="H739" s="4">
        <f t="shared" si="11"/>
        <v>0</v>
      </c>
    </row>
    <row r="740" spans="3:8" x14ac:dyDescent="0.25">
      <c r="C740" t="str">
        <f>'RES TECH'!M738</f>
        <v>RESAPAUMOldSHAHP2ELC20</v>
      </c>
      <c r="G740" s="4">
        <f>IF(SUMIFS('RES TECH'!N:N,'RES TECH'!M:M,C740)&gt;0,1,0)</f>
        <v>1</v>
      </c>
      <c r="H740" s="4">
        <f t="shared" si="11"/>
        <v>0</v>
      </c>
    </row>
    <row r="741" spans="3:8" x14ac:dyDescent="0.25">
      <c r="C741" t="str">
        <f>'RES TECH'!M739</f>
        <v>RESAPAUMOldSHAHP2ELC23</v>
      </c>
      <c r="G741" s="4">
        <f>IF(SUMIFS('RES TECH'!N:N,'RES TECH'!M:M,C741)&gt;0,1,0)</f>
        <v>1</v>
      </c>
      <c r="H741" s="4">
        <f t="shared" si="11"/>
        <v>0</v>
      </c>
    </row>
    <row r="742" spans="3:8" x14ac:dyDescent="0.25">
      <c r="C742" t="str">
        <f>'RES TECH'!M740</f>
        <v>RESAPAUMOldSHAHP3ELC20</v>
      </c>
      <c r="G742" s="4">
        <f>IF(SUMIFS('RES TECH'!N:N,'RES TECH'!M:M,C742)&gt;0,1,0)</f>
        <v>1</v>
      </c>
      <c r="H742" s="4">
        <f t="shared" si="11"/>
        <v>0</v>
      </c>
    </row>
    <row r="743" spans="3:8" x14ac:dyDescent="0.25">
      <c r="C743" t="str">
        <f>'RES TECH'!M741</f>
        <v>RESAPAUMOldSHAHP3ELC22</v>
      </c>
      <c r="G743" s="4">
        <f>IF(SUMIFS('RES TECH'!N:N,'RES TECH'!M:M,C743)&gt;0,1,0)</f>
        <v>1</v>
      </c>
      <c r="H743" s="4">
        <f t="shared" si="11"/>
        <v>0</v>
      </c>
    </row>
    <row r="744" spans="3:8" x14ac:dyDescent="0.25">
      <c r="C744" t="str">
        <f>'RES TECH'!M742</f>
        <v>RESAPAUMOldSHAHP3ELC23</v>
      </c>
      <c r="G744" s="4">
        <f>IF(SUMIFS('RES TECH'!N:N,'RES TECH'!M:M,C744)&gt;0,1,0)</f>
        <v>1</v>
      </c>
      <c r="H744" s="4">
        <f t="shared" si="11"/>
        <v>0</v>
      </c>
    </row>
    <row r="745" spans="3:8" x14ac:dyDescent="0.25">
      <c r="C745" t="str">
        <f>'RES TECH'!M743</f>
        <v>RESAPAUMOldSHAHP4ELC20</v>
      </c>
      <c r="G745" s="4">
        <f>IF(SUMIFS('RES TECH'!N:N,'RES TECH'!M:M,C745)&gt;0,1,0)</f>
        <v>1</v>
      </c>
      <c r="H745" s="4">
        <f t="shared" si="11"/>
        <v>0</v>
      </c>
    </row>
    <row r="746" spans="3:8" x14ac:dyDescent="0.25">
      <c r="C746" t="str">
        <f>'RES TECH'!M744</f>
        <v>RESAPAUMOldSHAHP4ELC22</v>
      </c>
      <c r="G746" s="4">
        <f>IF(SUMIFS('RES TECH'!N:N,'RES TECH'!M:M,C746)&gt;0,1,0)</f>
        <v>1</v>
      </c>
      <c r="H746" s="4">
        <f t="shared" si="11"/>
        <v>0</v>
      </c>
    </row>
    <row r="747" spans="3:8" x14ac:dyDescent="0.25">
      <c r="C747" t="str">
        <f>'RES TECH'!M745</f>
        <v>RESAPAUMOldSHGHP1ELC20</v>
      </c>
      <c r="G747" s="4">
        <f>IF(SUMIFS('RES TECH'!N:N,'RES TECH'!M:M,C747)&gt;0,1,0)</f>
        <v>1</v>
      </c>
      <c r="H747" s="4">
        <f t="shared" si="11"/>
        <v>0</v>
      </c>
    </row>
    <row r="748" spans="3:8" x14ac:dyDescent="0.25">
      <c r="C748" t="str">
        <f>'RES TECH'!M746</f>
        <v>RESAPAUMOldSHGHP2ELC20</v>
      </c>
      <c r="G748" s="4">
        <f>IF(SUMIFS('RES TECH'!N:N,'RES TECH'!M:M,C748)&gt;0,1,0)</f>
        <v>1</v>
      </c>
      <c r="H748" s="4">
        <f t="shared" si="11"/>
        <v>0</v>
      </c>
    </row>
    <row r="749" spans="3:8" x14ac:dyDescent="0.25">
      <c r="C749" t="str">
        <f>'RES TECH'!M747</f>
        <v>RESAPAUMOldSHGHP3ELC20</v>
      </c>
      <c r="G749" s="4">
        <f>IF(SUMIFS('RES TECH'!N:N,'RES TECH'!M:M,C749)&gt;0,1,0)</f>
        <v>1</v>
      </c>
      <c r="H749" s="4">
        <f t="shared" si="11"/>
        <v>0</v>
      </c>
    </row>
    <row r="750" spans="3:8" x14ac:dyDescent="0.25">
      <c r="C750" t="str">
        <f>'RES TECH'!M748</f>
        <v>RESAPAUMOldSHGHP3ELC20</v>
      </c>
      <c r="G750" s="4">
        <f>IF(SUMIFS('RES TECH'!N:N,'RES TECH'!M:M,C750)&gt;0,1,0)</f>
        <v>1</v>
      </c>
      <c r="H750" s="4">
        <f t="shared" si="11"/>
        <v>0</v>
      </c>
    </row>
    <row r="751" spans="3:8" x14ac:dyDescent="0.25">
      <c r="C751" t="str">
        <f>'RES TECH'!M749</f>
        <v>RESAPAUMOldSHGHP3ELC22</v>
      </c>
      <c r="G751" s="4">
        <f>IF(SUMIFS('RES TECH'!N:N,'RES TECH'!M:M,C751)&gt;0,1,0)</f>
        <v>1</v>
      </c>
      <c r="H751" s="4">
        <f t="shared" si="11"/>
        <v>0</v>
      </c>
    </row>
    <row r="752" spans="3:8" x14ac:dyDescent="0.25">
      <c r="C752" t="str">
        <f>'RES TECH'!M750</f>
        <v>RESAPAUMOldSHGHP3ELC23</v>
      </c>
      <c r="G752" s="4">
        <f>IF(SUMIFS('RES TECH'!N:N,'RES TECH'!M:M,C752)&gt;0,1,0)</f>
        <v>1</v>
      </c>
      <c r="H752" s="4">
        <f t="shared" si="11"/>
        <v>0</v>
      </c>
    </row>
    <row r="753" spans="3:8" x14ac:dyDescent="0.25">
      <c r="C753" t="str">
        <f>'RES TECH'!M751</f>
        <v>RESAPAUMOldSHGHP3ELC24</v>
      </c>
      <c r="G753" s="4">
        <f>IF(SUMIFS('RES TECH'!N:N,'RES TECH'!M:M,C753)&gt;0,1,0)</f>
        <v>1</v>
      </c>
      <c r="H753" s="4">
        <f t="shared" si="11"/>
        <v>0</v>
      </c>
    </row>
    <row r="754" spans="3:8" x14ac:dyDescent="0.25">
      <c r="C754" t="str">
        <f>'RES TECH'!M752</f>
        <v>RESAPAUMOldSHGHP4ELC20</v>
      </c>
      <c r="G754" s="4">
        <f>IF(SUMIFS('RES TECH'!N:N,'RES TECH'!M:M,C754)&gt;0,1,0)</f>
        <v>1</v>
      </c>
      <c r="H754" s="4">
        <f t="shared" si="11"/>
        <v>0</v>
      </c>
    </row>
    <row r="755" spans="3:8" x14ac:dyDescent="0.25">
      <c r="C755" t="str">
        <f>'RES TECH'!M753</f>
        <v>RESAPAUMOldSHGHP4ELC20</v>
      </c>
      <c r="G755" s="4">
        <f>IF(SUMIFS('RES TECH'!N:N,'RES TECH'!M:M,C755)&gt;0,1,0)</f>
        <v>1</v>
      </c>
      <c r="H755" s="4">
        <f t="shared" si="11"/>
        <v>0</v>
      </c>
    </row>
    <row r="756" spans="3:8" x14ac:dyDescent="0.25">
      <c r="C756" t="str">
        <f>'RES TECH'!M754</f>
        <v>RESAPAUMOldSHGHP4ELC22</v>
      </c>
      <c r="G756" s="4">
        <f>IF(SUMIFS('RES TECH'!N:N,'RES TECH'!M:M,C756)&gt;0,1,0)</f>
        <v>1</v>
      </c>
      <c r="H756" s="4">
        <f t="shared" si="11"/>
        <v>0</v>
      </c>
    </row>
    <row r="757" spans="3:8" x14ac:dyDescent="0.25">
      <c r="C757" t="str">
        <f>'RES TECH'!M755</f>
        <v>RESAPAUMOldSHGHP4ELC23</v>
      </c>
      <c r="G757" s="4">
        <f>IF(SUMIFS('RES TECH'!N:N,'RES TECH'!M:M,C757)&gt;0,1,0)</f>
        <v>1</v>
      </c>
      <c r="H757" s="4">
        <f t="shared" si="11"/>
        <v>0</v>
      </c>
    </row>
    <row r="758" spans="3:8" x14ac:dyDescent="0.25">
      <c r="C758" t="str">
        <f>'RES TECH'!M756</f>
        <v>RESAPAUMOldSHGHP4ELC24</v>
      </c>
      <c r="G758" s="4">
        <f>IF(SUMIFS('RES TECH'!N:N,'RES TECH'!M:M,C758)&gt;0,1,0)</f>
        <v>1</v>
      </c>
      <c r="H758" s="4">
        <f t="shared" si="11"/>
        <v>0</v>
      </c>
    </row>
    <row r="759" spans="3:8" x14ac:dyDescent="0.25">
      <c r="C759" t="str">
        <f>'RES TECH'!M757</f>
        <v>RESAPAUMOldSHRAD2ELC20</v>
      </c>
      <c r="G759" s="4">
        <f>IF(SUMIFS('RES TECH'!N:N,'RES TECH'!M:M,C759)&gt;0,1,0)</f>
        <v>1</v>
      </c>
      <c r="H759" s="4">
        <f t="shared" si="11"/>
        <v>0</v>
      </c>
    </row>
    <row r="760" spans="3:8" x14ac:dyDescent="0.25">
      <c r="C760" t="str">
        <f>'RES TECH'!M758</f>
        <v>RESAPAUMOldSHFUR1NGA20</v>
      </c>
      <c r="G760" s="4">
        <f>IF(SUMIFS('RES TECH'!N:N,'RES TECH'!M:M,C760)&gt;0,1,0)</f>
        <v>1</v>
      </c>
      <c r="H760" s="4">
        <f t="shared" si="11"/>
        <v>0</v>
      </c>
    </row>
    <row r="761" spans="3:8" x14ac:dyDescent="0.25">
      <c r="C761" t="str">
        <f>'RES TECH'!M759</f>
        <v>RESAPAUMOldSHFUR2NGA20</v>
      </c>
      <c r="G761" s="4">
        <f>IF(SUMIFS('RES TECH'!N:N,'RES TECH'!M:M,C761)&gt;0,1,0)</f>
        <v>1</v>
      </c>
      <c r="H761" s="4">
        <f t="shared" si="11"/>
        <v>0</v>
      </c>
    </row>
    <row r="762" spans="3:8" x14ac:dyDescent="0.25">
      <c r="C762" t="str">
        <f>'RES TECH'!M760</f>
        <v>RESAPAUMOldSHFUR2NGA20</v>
      </c>
      <c r="G762" s="4">
        <f>IF(SUMIFS('RES TECH'!N:N,'RES TECH'!M:M,C762)&gt;0,1,0)</f>
        <v>1</v>
      </c>
      <c r="H762" s="4">
        <f t="shared" si="11"/>
        <v>0</v>
      </c>
    </row>
    <row r="763" spans="3:8" x14ac:dyDescent="0.25">
      <c r="C763" t="str">
        <f>'RES TECH'!M761</f>
        <v>RESAPAUMOldSHFUR3NGA20</v>
      </c>
      <c r="G763" s="4">
        <f>IF(SUMIFS('RES TECH'!N:N,'RES TECH'!M:M,C763)&gt;0,1,0)</f>
        <v>1</v>
      </c>
      <c r="H763" s="4">
        <f t="shared" si="11"/>
        <v>0</v>
      </c>
    </row>
    <row r="764" spans="3:8" x14ac:dyDescent="0.25">
      <c r="C764" t="str">
        <f>'RES TECH'!M762</f>
        <v>RESAPAUMOldSHFUR3NGA22</v>
      </c>
      <c r="G764" s="4">
        <f>IF(SUMIFS('RES TECH'!N:N,'RES TECH'!M:M,C764)&gt;0,1,0)</f>
        <v>1</v>
      </c>
      <c r="H764" s="4">
        <f t="shared" si="11"/>
        <v>0</v>
      </c>
    </row>
    <row r="765" spans="3:8" x14ac:dyDescent="0.25">
      <c r="C765" t="str">
        <f>'RES TECH'!M763</f>
        <v>RESAPAUMOldSHFUR4NGA20</v>
      </c>
      <c r="G765" s="4">
        <f>IF(SUMIFS('RES TECH'!N:N,'RES TECH'!M:M,C765)&gt;0,1,0)</f>
        <v>1</v>
      </c>
      <c r="H765" s="4">
        <f t="shared" si="11"/>
        <v>0</v>
      </c>
    </row>
    <row r="766" spans="3:8" x14ac:dyDescent="0.25">
      <c r="C766" t="str">
        <f>'RES TECH'!M764</f>
        <v>RESAPAUMOldSHFUR4NGA22</v>
      </c>
      <c r="G766" s="4">
        <f>IF(SUMIFS('RES TECH'!N:N,'RES TECH'!M:M,C766)&gt;0,1,0)</f>
        <v>1</v>
      </c>
      <c r="H766" s="4">
        <f t="shared" si="11"/>
        <v>0</v>
      </c>
    </row>
    <row r="767" spans="3:8" x14ac:dyDescent="0.25">
      <c r="C767" t="str">
        <f>'RES TECH'!M765</f>
        <v>RESAPAUMOldSHRAD1NGA20</v>
      </c>
      <c r="G767" s="4">
        <f>IF(SUMIFS('RES TECH'!N:N,'RES TECH'!M:M,C767)&gt;0,1,0)</f>
        <v>1</v>
      </c>
      <c r="H767" s="4">
        <f t="shared" si="11"/>
        <v>0</v>
      </c>
    </row>
    <row r="768" spans="3:8" x14ac:dyDescent="0.25">
      <c r="C768" t="str">
        <f>'RES TECH'!M766</f>
        <v>RESAPAUMOldSHRAD1NGA21</v>
      </c>
      <c r="G768" s="4">
        <f>IF(SUMIFS('RES TECH'!N:N,'RES TECH'!M:M,C768)&gt;0,1,0)</f>
        <v>1</v>
      </c>
      <c r="H768" s="4">
        <f t="shared" si="11"/>
        <v>0</v>
      </c>
    </row>
    <row r="769" spans="3:8" x14ac:dyDescent="0.25">
      <c r="C769" t="str">
        <f>'RES TECH'!M767</f>
        <v>RESAPAUMOldSHRAD2NGA20</v>
      </c>
      <c r="G769" s="4">
        <f>IF(SUMIFS('RES TECH'!N:N,'RES TECH'!M:M,C769)&gt;0,1,0)</f>
        <v>1</v>
      </c>
      <c r="H769" s="4">
        <f t="shared" si="11"/>
        <v>0</v>
      </c>
    </row>
    <row r="770" spans="3:8" x14ac:dyDescent="0.25">
      <c r="C770" t="str">
        <f>'RES TECH'!M768</f>
        <v>RESAPAUMOldSHRAD2NGA20</v>
      </c>
      <c r="G770" s="4">
        <f>IF(SUMIFS('RES TECH'!N:N,'RES TECH'!M:M,C770)&gt;0,1,0)</f>
        <v>1</v>
      </c>
      <c r="H770" s="4">
        <f t="shared" si="11"/>
        <v>0</v>
      </c>
    </row>
    <row r="771" spans="3:8" x14ac:dyDescent="0.25">
      <c r="C771" t="str">
        <f>'RES TECH'!M769</f>
        <v>RESAPAUMOldSHRAD3NGA20</v>
      </c>
      <c r="G771" s="4">
        <f>IF(SUMIFS('RES TECH'!N:N,'RES TECH'!M:M,C771)&gt;0,1,0)</f>
        <v>1</v>
      </c>
      <c r="H771" s="4">
        <f t="shared" si="11"/>
        <v>0</v>
      </c>
    </row>
    <row r="772" spans="3:8" x14ac:dyDescent="0.25">
      <c r="C772" t="str">
        <f>'RES TECH'!M770</f>
        <v>RESAPAUMOldSHRAD4NGA20</v>
      </c>
      <c r="G772" s="4">
        <f>IF(SUMIFS('RES TECH'!N:N,'RES TECH'!M:M,C772)&gt;0,1,0)</f>
        <v>1</v>
      </c>
      <c r="H772" s="4">
        <f t="shared" si="11"/>
        <v>0</v>
      </c>
    </row>
    <row r="773" spans="3:8" x14ac:dyDescent="0.25">
      <c r="C773" t="str">
        <f>'RES TECH'!M771</f>
        <v>RESAPAUMOldSHRAD4NGA22</v>
      </c>
      <c r="G773" s="4">
        <f>IF(SUMIFS('RES TECH'!N:N,'RES TECH'!M:M,C773)&gt;0,1,0)</f>
        <v>1</v>
      </c>
      <c r="H773" s="4">
        <f t="shared" ref="H773:H836" si="12">IF(C773="","",IF(C773="*","*",0))</f>
        <v>0</v>
      </c>
    </row>
    <row r="774" spans="3:8" x14ac:dyDescent="0.25">
      <c r="C774" t="str">
        <f>'RES TECH'!M772</f>
        <v>RESAPAUMOldSHFUR1KER20</v>
      </c>
      <c r="G774" s="4">
        <f>IF(SUMIFS('RES TECH'!N:N,'RES TECH'!M:M,C774)&gt;0,1,0)</f>
        <v>1</v>
      </c>
      <c r="H774" s="4">
        <f t="shared" si="12"/>
        <v>0</v>
      </c>
    </row>
    <row r="775" spans="3:8" x14ac:dyDescent="0.25">
      <c r="C775" t="str">
        <f>'RES TECH'!M773</f>
        <v>RESAPAUMOldSHFUR2KER20</v>
      </c>
      <c r="G775" s="4">
        <f>IF(SUMIFS('RES TECH'!N:N,'RES TECH'!M:M,C775)&gt;0,1,0)</f>
        <v>1</v>
      </c>
      <c r="H775" s="4">
        <f t="shared" si="12"/>
        <v>0</v>
      </c>
    </row>
    <row r="776" spans="3:8" x14ac:dyDescent="0.25">
      <c r="C776" t="str">
        <f>'RES TECH'!M774</f>
        <v>RESAPAUMOldSHFUR2KER20</v>
      </c>
      <c r="G776" s="4">
        <f>IF(SUMIFS('RES TECH'!N:N,'RES TECH'!M:M,C776)&gt;0,1,0)</f>
        <v>1</v>
      </c>
      <c r="H776" s="4">
        <f t="shared" si="12"/>
        <v>0</v>
      </c>
    </row>
    <row r="777" spans="3:8" x14ac:dyDescent="0.25">
      <c r="C777" t="str">
        <f>'RES TECH'!M775</f>
        <v>RESAPAUMOldSHFUR3KER20</v>
      </c>
      <c r="G777" s="4">
        <f>IF(SUMIFS('RES TECH'!N:N,'RES TECH'!M:M,C777)&gt;0,1,0)</f>
        <v>1</v>
      </c>
      <c r="H777" s="4">
        <f t="shared" si="12"/>
        <v>0</v>
      </c>
    </row>
    <row r="778" spans="3:8" x14ac:dyDescent="0.25">
      <c r="C778" t="str">
        <f>'RES TECH'!M776</f>
        <v>RESAPAUMOldSHFUR4KER20</v>
      </c>
      <c r="G778" s="4">
        <f>IF(SUMIFS('RES TECH'!N:N,'RES TECH'!M:M,C778)&gt;0,1,0)</f>
        <v>1</v>
      </c>
      <c r="H778" s="4">
        <f t="shared" si="12"/>
        <v>0</v>
      </c>
    </row>
    <row r="779" spans="3:8" x14ac:dyDescent="0.25">
      <c r="C779" t="str">
        <f>'RES TECH'!M777</f>
        <v>RESAPAUMOldSHFUR4KER20</v>
      </c>
      <c r="G779" s="4">
        <f>IF(SUMIFS('RES TECH'!N:N,'RES TECH'!M:M,C779)&gt;0,1,0)</f>
        <v>1</v>
      </c>
      <c r="H779" s="4">
        <f t="shared" si="12"/>
        <v>0</v>
      </c>
    </row>
    <row r="780" spans="3:8" x14ac:dyDescent="0.25">
      <c r="C780" t="str">
        <f>'RES TECH'!M778</f>
        <v>RESAPAUMOldSHFUR1LPG20</v>
      </c>
      <c r="G780" s="4">
        <f>IF(SUMIFS('RES TECH'!N:N,'RES TECH'!M:M,C780)&gt;0,1,0)</f>
        <v>1</v>
      </c>
      <c r="H780" s="4">
        <f t="shared" si="12"/>
        <v>0</v>
      </c>
    </row>
    <row r="781" spans="3:8" x14ac:dyDescent="0.25">
      <c r="C781" t="str">
        <f>'RES TECH'!M779</f>
        <v>RESAPAUMOldSHFUR2LPG20</v>
      </c>
      <c r="G781" s="4">
        <f>IF(SUMIFS('RES TECH'!N:N,'RES TECH'!M:M,C781)&gt;0,1,0)</f>
        <v>1</v>
      </c>
      <c r="H781" s="4">
        <f t="shared" si="12"/>
        <v>0</v>
      </c>
    </row>
    <row r="782" spans="3:8" x14ac:dyDescent="0.25">
      <c r="C782" t="str">
        <f>'RES TECH'!M780</f>
        <v>RESAPAUMOldSHFUR2LPG20</v>
      </c>
      <c r="G782" s="4">
        <f>IF(SUMIFS('RES TECH'!N:N,'RES TECH'!M:M,C782)&gt;0,1,0)</f>
        <v>1</v>
      </c>
      <c r="H782" s="4">
        <f t="shared" si="12"/>
        <v>0</v>
      </c>
    </row>
    <row r="783" spans="3:8" x14ac:dyDescent="0.25">
      <c r="C783" t="str">
        <f>'RES TECH'!M781</f>
        <v>RESAPAUMOldSHFUR3LPG20</v>
      </c>
      <c r="G783" s="4">
        <f>IF(SUMIFS('RES TECH'!N:N,'RES TECH'!M:M,C783)&gt;0,1,0)</f>
        <v>1</v>
      </c>
      <c r="H783" s="4">
        <f t="shared" si="12"/>
        <v>0</v>
      </c>
    </row>
    <row r="784" spans="3:8" x14ac:dyDescent="0.25">
      <c r="C784" t="str">
        <f>'RES TECH'!M782</f>
        <v>RESAPAUMOldSHFUR3LPG22</v>
      </c>
      <c r="G784" s="4">
        <f>IF(SUMIFS('RES TECH'!N:N,'RES TECH'!M:M,C784)&gt;0,1,0)</f>
        <v>1</v>
      </c>
      <c r="H784" s="4">
        <f t="shared" si="12"/>
        <v>0</v>
      </c>
    </row>
    <row r="785" spans="3:8" x14ac:dyDescent="0.25">
      <c r="C785" t="str">
        <f>'RES TECH'!M783</f>
        <v>RESAPAUMOldSHFUR4LPG20</v>
      </c>
      <c r="G785" s="4">
        <f>IF(SUMIFS('RES TECH'!N:N,'RES TECH'!M:M,C785)&gt;0,1,0)</f>
        <v>1</v>
      </c>
      <c r="H785" s="4">
        <f t="shared" si="12"/>
        <v>0</v>
      </c>
    </row>
    <row r="786" spans="3:8" x14ac:dyDescent="0.25">
      <c r="C786" t="str">
        <f>'RES TECH'!M784</f>
        <v>RESAPAUMOldSHFUR4LPG22</v>
      </c>
      <c r="G786" s="4">
        <f>IF(SUMIFS('RES TECH'!N:N,'RES TECH'!M:M,C786)&gt;0,1,0)</f>
        <v>1</v>
      </c>
      <c r="H786" s="4">
        <f t="shared" si="12"/>
        <v>0</v>
      </c>
    </row>
    <row r="787" spans="3:8" x14ac:dyDescent="0.25">
      <c r="C787" t="str">
        <f>'RES TECH'!M785</f>
        <v>RESAPAUMOldSHFUR1FOI20</v>
      </c>
      <c r="G787" s="4">
        <f>IF(SUMIFS('RES TECH'!N:N,'RES TECH'!M:M,C787)&gt;0,1,0)</f>
        <v>1</v>
      </c>
      <c r="H787" s="4">
        <f t="shared" si="12"/>
        <v>0</v>
      </c>
    </row>
    <row r="788" spans="3:8" x14ac:dyDescent="0.25">
      <c r="C788" t="str">
        <f>'RES TECH'!M786</f>
        <v>RESAPAUMOldSHFUR2FOI20</v>
      </c>
      <c r="G788" s="4">
        <f>IF(SUMIFS('RES TECH'!N:N,'RES TECH'!M:M,C788)&gt;0,1,0)</f>
        <v>1</v>
      </c>
      <c r="H788" s="4">
        <f t="shared" si="12"/>
        <v>0</v>
      </c>
    </row>
    <row r="789" spans="3:8" x14ac:dyDescent="0.25">
      <c r="C789" t="str">
        <f>'RES TECH'!M787</f>
        <v>RESAPAUMOldSHFUR2FOI22</v>
      </c>
      <c r="G789" s="4">
        <f>IF(SUMIFS('RES TECH'!N:N,'RES TECH'!M:M,C789)&gt;0,1,0)</f>
        <v>1</v>
      </c>
      <c r="H789" s="4">
        <f t="shared" si="12"/>
        <v>0</v>
      </c>
    </row>
    <row r="790" spans="3:8" x14ac:dyDescent="0.25">
      <c r="C790" t="str">
        <f>'RES TECH'!M788</f>
        <v>RESAPAUMOldSHFUR3FOI20</v>
      </c>
      <c r="G790" s="4">
        <f>IF(SUMIFS('RES TECH'!N:N,'RES TECH'!M:M,C790)&gt;0,1,0)</f>
        <v>1</v>
      </c>
      <c r="H790" s="4">
        <f t="shared" si="12"/>
        <v>0</v>
      </c>
    </row>
    <row r="791" spans="3:8" x14ac:dyDescent="0.25">
      <c r="C791" t="str">
        <f>'RES TECH'!M789</f>
        <v>RESAPAUMOldSHFUR4FOI20</v>
      </c>
      <c r="G791" s="4">
        <f>IF(SUMIFS('RES TECH'!N:N,'RES TECH'!M:M,C791)&gt;0,1,0)</f>
        <v>1</v>
      </c>
      <c r="H791" s="4">
        <f t="shared" si="12"/>
        <v>0</v>
      </c>
    </row>
    <row r="792" spans="3:8" x14ac:dyDescent="0.25">
      <c r="C792" t="str">
        <f>'RES TECH'!M790</f>
        <v>RESAPAUMOldSHFUR4FOI22</v>
      </c>
      <c r="G792" s="4">
        <f>IF(SUMIFS('RES TECH'!N:N,'RES TECH'!M:M,C792)&gt;0,1,0)</f>
        <v>1</v>
      </c>
      <c r="H792" s="4">
        <f t="shared" si="12"/>
        <v>0</v>
      </c>
    </row>
    <row r="793" spans="3:8" x14ac:dyDescent="0.25">
      <c r="C793" t="str">
        <f>'RES TECH'!M791</f>
        <v>RESAPAUMOldSHRAD1FOI20</v>
      </c>
      <c r="G793" s="4">
        <f>IF(SUMIFS('RES TECH'!N:N,'RES TECH'!M:M,C793)&gt;0,1,0)</f>
        <v>1</v>
      </c>
      <c r="H793" s="4">
        <f t="shared" si="12"/>
        <v>0</v>
      </c>
    </row>
    <row r="794" spans="3:8" x14ac:dyDescent="0.25">
      <c r="C794" t="str">
        <f>'RES TECH'!M792</f>
        <v>RESAPAUMOldSHRAD1FOI22</v>
      </c>
      <c r="G794" s="4">
        <f>IF(SUMIFS('RES TECH'!N:N,'RES TECH'!M:M,C794)&gt;0,1,0)</f>
        <v>1</v>
      </c>
      <c r="H794" s="4">
        <f t="shared" si="12"/>
        <v>0</v>
      </c>
    </row>
    <row r="795" spans="3:8" x14ac:dyDescent="0.25">
      <c r="C795" t="str">
        <f>'RES TECH'!M793</f>
        <v>RESAPAUMOldSHRAD2FOI20</v>
      </c>
      <c r="G795" s="4">
        <f>IF(SUMIFS('RES TECH'!N:N,'RES TECH'!M:M,C795)&gt;0,1,0)</f>
        <v>1</v>
      </c>
      <c r="H795" s="4">
        <f t="shared" si="12"/>
        <v>0</v>
      </c>
    </row>
    <row r="796" spans="3:8" x14ac:dyDescent="0.25">
      <c r="C796" t="str">
        <f>'RES TECH'!M794</f>
        <v>RESAPAUMOldSHRAD2FOI22</v>
      </c>
      <c r="G796" s="4">
        <f>IF(SUMIFS('RES TECH'!N:N,'RES TECH'!M:M,C796)&gt;0,1,0)</f>
        <v>1</v>
      </c>
      <c r="H796" s="4">
        <f t="shared" si="12"/>
        <v>0</v>
      </c>
    </row>
    <row r="797" spans="3:8" x14ac:dyDescent="0.25">
      <c r="C797" t="str">
        <f>'RES TECH'!M795</f>
        <v>RESAPAUMOldSHRAD3FOI20</v>
      </c>
      <c r="G797" s="4">
        <f>IF(SUMIFS('RES TECH'!N:N,'RES TECH'!M:M,C797)&gt;0,1,0)</f>
        <v>1</v>
      </c>
      <c r="H797" s="4">
        <f t="shared" si="12"/>
        <v>0</v>
      </c>
    </row>
    <row r="798" spans="3:8" x14ac:dyDescent="0.25">
      <c r="C798" t="str">
        <f>'RES TECH'!M796</f>
        <v>RESAPAUMOldSHRAD4FOI20</v>
      </c>
      <c r="G798" s="4">
        <f>IF(SUMIFS('RES TECH'!N:N,'RES TECH'!M:M,C798)&gt;0,1,0)</f>
        <v>1</v>
      </c>
      <c r="H798" s="4">
        <f t="shared" si="12"/>
        <v>0</v>
      </c>
    </row>
    <row r="799" spans="3:8" x14ac:dyDescent="0.25">
      <c r="C799" t="str">
        <f>'RES TECH'!M797</f>
        <v>RESAPAUMOldSCAHP2NGA20</v>
      </c>
      <c r="G799" s="4">
        <f>IF(SUMIFS('RES TECH'!N:N,'RES TECH'!M:M,C799)&gt;0,1,0)</f>
        <v>1</v>
      </c>
      <c r="H799" s="4">
        <f t="shared" si="12"/>
        <v>0</v>
      </c>
    </row>
    <row r="800" spans="3:8" x14ac:dyDescent="0.25">
      <c r="C800" t="str">
        <f>'RES TECH'!M798</f>
        <v>RESAPAUMOldSCAHP2NGA20</v>
      </c>
      <c r="G800" s="4">
        <f>IF(SUMIFS('RES TECH'!N:N,'RES TECH'!M:M,C800)&gt;0,1,0)</f>
        <v>1</v>
      </c>
      <c r="H800" s="4">
        <f t="shared" si="12"/>
        <v>0</v>
      </c>
    </row>
    <row r="801" spans="3:8" x14ac:dyDescent="0.25">
      <c r="C801" t="str">
        <f>'RES TECH'!M799</f>
        <v>RESAPAUMOldSCAHP1ELC20</v>
      </c>
      <c r="G801" s="4">
        <f>IF(SUMIFS('RES TECH'!N:N,'RES TECH'!M:M,C801)&gt;0,1,0)</f>
        <v>1</v>
      </c>
      <c r="H801" s="4">
        <f t="shared" si="12"/>
        <v>0</v>
      </c>
    </row>
    <row r="802" spans="3:8" x14ac:dyDescent="0.25">
      <c r="C802" t="str">
        <f>'RES TECH'!M800</f>
        <v>RESAPAUMOldSCAHP1ELC23</v>
      </c>
      <c r="G802" s="4">
        <f>IF(SUMIFS('RES TECH'!N:N,'RES TECH'!M:M,C802)&gt;0,1,0)</f>
        <v>1</v>
      </c>
      <c r="H802" s="4">
        <f t="shared" si="12"/>
        <v>0</v>
      </c>
    </row>
    <row r="803" spans="3:8" x14ac:dyDescent="0.25">
      <c r="C803" t="str">
        <f>'RES TECH'!M801</f>
        <v>RESAPAUMOldSCAHP2ELC20</v>
      </c>
      <c r="G803" s="4">
        <f>IF(SUMIFS('RES TECH'!N:N,'RES TECH'!M:M,C803)&gt;0,1,0)</f>
        <v>1</v>
      </c>
      <c r="H803" s="4">
        <f t="shared" si="12"/>
        <v>0</v>
      </c>
    </row>
    <row r="804" spans="3:8" x14ac:dyDescent="0.25">
      <c r="C804" t="str">
        <f>'RES TECH'!M802</f>
        <v>RESAPAUMOldSCAHP2ELC23</v>
      </c>
      <c r="G804" s="4">
        <f>IF(SUMIFS('RES TECH'!N:N,'RES TECH'!M:M,C804)&gt;0,1,0)</f>
        <v>1</v>
      </c>
      <c r="H804" s="4">
        <f t="shared" si="12"/>
        <v>0</v>
      </c>
    </row>
    <row r="805" spans="3:8" x14ac:dyDescent="0.25">
      <c r="C805" t="str">
        <f>'RES TECH'!M803</f>
        <v>RESAPAUMOldSCAHP3ELC20</v>
      </c>
      <c r="G805" s="4">
        <f>IF(SUMIFS('RES TECH'!N:N,'RES TECH'!M:M,C805)&gt;0,1,0)</f>
        <v>1</v>
      </c>
      <c r="H805" s="4">
        <f t="shared" si="12"/>
        <v>0</v>
      </c>
    </row>
    <row r="806" spans="3:8" x14ac:dyDescent="0.25">
      <c r="C806" t="str">
        <f>'RES TECH'!M804</f>
        <v>RESAPAUMOldSCAHP3ELC22</v>
      </c>
      <c r="G806" s="4">
        <f>IF(SUMIFS('RES TECH'!N:N,'RES TECH'!M:M,C806)&gt;0,1,0)</f>
        <v>1</v>
      </c>
      <c r="H806" s="4">
        <f t="shared" si="12"/>
        <v>0</v>
      </c>
    </row>
    <row r="807" spans="3:8" x14ac:dyDescent="0.25">
      <c r="C807" t="str">
        <f>'RES TECH'!M805</f>
        <v>RESAPAUMOldSCAHP3ELC23</v>
      </c>
      <c r="G807" s="4">
        <f>IF(SUMIFS('RES TECH'!N:N,'RES TECH'!M:M,C807)&gt;0,1,0)</f>
        <v>1</v>
      </c>
      <c r="H807" s="4">
        <f t="shared" si="12"/>
        <v>0</v>
      </c>
    </row>
    <row r="808" spans="3:8" x14ac:dyDescent="0.25">
      <c r="C808" t="str">
        <f>'RES TECH'!M806</f>
        <v>RESAPAUMOldSCAHP4ELC20</v>
      </c>
      <c r="G808" s="4">
        <f>IF(SUMIFS('RES TECH'!N:N,'RES TECH'!M:M,C808)&gt;0,1,0)</f>
        <v>1</v>
      </c>
      <c r="H808" s="4">
        <f t="shared" si="12"/>
        <v>0</v>
      </c>
    </row>
    <row r="809" spans="3:8" x14ac:dyDescent="0.25">
      <c r="C809" t="str">
        <f>'RES TECH'!M807</f>
        <v>RESAPAUMOldSCAHP4ELC22</v>
      </c>
      <c r="G809" s="4">
        <f>IF(SUMIFS('RES TECH'!N:N,'RES TECH'!M:M,C809)&gt;0,1,0)</f>
        <v>1</v>
      </c>
      <c r="H809" s="4">
        <f t="shared" si="12"/>
        <v>0</v>
      </c>
    </row>
    <row r="810" spans="3:8" x14ac:dyDescent="0.25">
      <c r="C810" t="str">
        <f>'RES TECH'!M808</f>
        <v>RESAPAUMOldSCGHP1ELC20</v>
      </c>
      <c r="G810" s="4">
        <f>IF(SUMIFS('RES TECH'!N:N,'RES TECH'!M:M,C810)&gt;0,1,0)</f>
        <v>1</v>
      </c>
      <c r="H810" s="4">
        <f t="shared" si="12"/>
        <v>0</v>
      </c>
    </row>
    <row r="811" spans="3:8" x14ac:dyDescent="0.25">
      <c r="C811" t="str">
        <f>'RES TECH'!M809</f>
        <v>RESAPAUMOldSCGHP2ELC20</v>
      </c>
      <c r="G811" s="4">
        <f>IF(SUMIFS('RES TECH'!N:N,'RES TECH'!M:M,C811)&gt;0,1,0)</f>
        <v>1</v>
      </c>
      <c r="H811" s="4">
        <f t="shared" si="12"/>
        <v>0</v>
      </c>
    </row>
    <row r="812" spans="3:8" x14ac:dyDescent="0.25">
      <c r="C812" t="str">
        <f>'RES TECH'!M810</f>
        <v>RESAPAUMOldSCGHP3ELC20</v>
      </c>
      <c r="G812" s="4">
        <f>IF(SUMIFS('RES TECH'!N:N,'RES TECH'!M:M,C812)&gt;0,1,0)</f>
        <v>1</v>
      </c>
      <c r="H812" s="4">
        <f t="shared" si="12"/>
        <v>0</v>
      </c>
    </row>
    <row r="813" spans="3:8" x14ac:dyDescent="0.25">
      <c r="C813" t="str">
        <f>'RES TECH'!M811</f>
        <v>RESAPAUMOldSCGHP3ELC20</v>
      </c>
      <c r="G813" s="4">
        <f>IF(SUMIFS('RES TECH'!N:N,'RES TECH'!M:M,C813)&gt;0,1,0)</f>
        <v>1</v>
      </c>
      <c r="H813" s="4">
        <f t="shared" si="12"/>
        <v>0</v>
      </c>
    </row>
    <row r="814" spans="3:8" x14ac:dyDescent="0.25">
      <c r="C814" t="str">
        <f>'RES TECH'!M812</f>
        <v>RESAPAUMOldSCGHP3ELC22</v>
      </c>
      <c r="G814" s="4">
        <f>IF(SUMIFS('RES TECH'!N:N,'RES TECH'!M:M,C814)&gt;0,1,0)</f>
        <v>1</v>
      </c>
      <c r="H814" s="4">
        <f t="shared" si="12"/>
        <v>0</v>
      </c>
    </row>
    <row r="815" spans="3:8" x14ac:dyDescent="0.25">
      <c r="C815" t="str">
        <f>'RES TECH'!M813</f>
        <v>RESAPAUMOldSCGHP3ELC23</v>
      </c>
      <c r="G815" s="4">
        <f>IF(SUMIFS('RES TECH'!N:N,'RES TECH'!M:M,C815)&gt;0,1,0)</f>
        <v>1</v>
      </c>
      <c r="H815" s="4">
        <f t="shared" si="12"/>
        <v>0</v>
      </c>
    </row>
    <row r="816" spans="3:8" x14ac:dyDescent="0.25">
      <c r="C816" t="str">
        <f>'RES TECH'!M814</f>
        <v>RESAPAUMOldSCGHP3ELC24</v>
      </c>
      <c r="G816" s="4">
        <f>IF(SUMIFS('RES TECH'!N:N,'RES TECH'!M:M,C816)&gt;0,1,0)</f>
        <v>1</v>
      </c>
      <c r="H816" s="4">
        <f t="shared" si="12"/>
        <v>0</v>
      </c>
    </row>
    <row r="817" spans="3:8" x14ac:dyDescent="0.25">
      <c r="C817" t="str">
        <f>'RES TECH'!M815</f>
        <v>RESAPAUMOldSCGHP4ELC20</v>
      </c>
      <c r="G817" s="4">
        <f>IF(SUMIFS('RES TECH'!N:N,'RES TECH'!M:M,C817)&gt;0,1,0)</f>
        <v>1</v>
      </c>
      <c r="H817" s="4">
        <f t="shared" si="12"/>
        <v>0</v>
      </c>
    </row>
    <row r="818" spans="3:8" x14ac:dyDescent="0.25">
      <c r="C818" t="str">
        <f>'RES TECH'!M816</f>
        <v>RESAPAUMOldSCGHP4ELC20</v>
      </c>
      <c r="G818" s="4">
        <f>IF(SUMIFS('RES TECH'!N:N,'RES TECH'!M:M,C818)&gt;0,1,0)</f>
        <v>1</v>
      </c>
      <c r="H818" s="4">
        <f t="shared" si="12"/>
        <v>0</v>
      </c>
    </row>
    <row r="819" spans="3:8" x14ac:dyDescent="0.25">
      <c r="C819" t="str">
        <f>'RES TECH'!M817</f>
        <v>RESAPAUMOldSCGHP4ELC22</v>
      </c>
      <c r="G819" s="4">
        <f>IF(SUMIFS('RES TECH'!N:N,'RES TECH'!M:M,C819)&gt;0,1,0)</f>
        <v>1</v>
      </c>
      <c r="H819" s="4">
        <f t="shared" si="12"/>
        <v>0</v>
      </c>
    </row>
    <row r="820" spans="3:8" x14ac:dyDescent="0.25">
      <c r="C820" t="str">
        <f>'RES TECH'!M818</f>
        <v>RESAPAUMOldSCGHP4ELC23</v>
      </c>
      <c r="G820" s="4">
        <f>IF(SUMIFS('RES TECH'!N:N,'RES TECH'!M:M,C820)&gt;0,1,0)</f>
        <v>1</v>
      </c>
      <c r="H820" s="4">
        <f t="shared" si="12"/>
        <v>0</v>
      </c>
    </row>
    <row r="821" spans="3:8" x14ac:dyDescent="0.25">
      <c r="C821" t="str">
        <f>'RES TECH'!M819</f>
        <v>RESAPAUMOldSCGHP4ELC24</v>
      </c>
      <c r="G821" s="4">
        <f>IF(SUMIFS('RES TECH'!N:N,'RES TECH'!M:M,C821)&gt;0,1,0)</f>
        <v>1</v>
      </c>
      <c r="H821" s="4">
        <f t="shared" si="12"/>
        <v>0</v>
      </c>
    </row>
    <row r="822" spans="3:8" x14ac:dyDescent="0.25">
      <c r="C822" t="str">
        <f>'RES TECH'!M820</f>
        <v>RESAPAUMOldSCRAC1ELC20</v>
      </c>
      <c r="G822" s="4">
        <f>IF(SUMIFS('RES TECH'!N:N,'RES TECH'!M:M,C822)&gt;0,1,0)</f>
        <v>1</v>
      </c>
      <c r="H822" s="4">
        <f t="shared" si="12"/>
        <v>0</v>
      </c>
    </row>
    <row r="823" spans="3:8" x14ac:dyDescent="0.25">
      <c r="C823" t="str">
        <f>'RES TECH'!M821</f>
        <v>RESAPAUMOldSCRAC2ELC20</v>
      </c>
      <c r="G823" s="4">
        <f>IF(SUMIFS('RES TECH'!N:N,'RES TECH'!M:M,C823)&gt;0,1,0)</f>
        <v>1</v>
      </c>
      <c r="H823" s="4">
        <f t="shared" si="12"/>
        <v>0</v>
      </c>
    </row>
    <row r="824" spans="3:8" x14ac:dyDescent="0.25">
      <c r="C824" t="str">
        <f>'RES TECH'!M822</f>
        <v>RESAPAUMOldSCRAC2ELC30</v>
      </c>
      <c r="G824" s="4">
        <f>IF(SUMIFS('RES TECH'!N:N,'RES TECH'!M:M,C824)&gt;0,1,0)</f>
        <v>1</v>
      </c>
      <c r="H824" s="4">
        <f t="shared" si="12"/>
        <v>0</v>
      </c>
    </row>
    <row r="825" spans="3:8" x14ac:dyDescent="0.25">
      <c r="C825" t="str">
        <f>'RES TECH'!M823</f>
        <v>RESAPAUMOldSCRAC2ELC40</v>
      </c>
      <c r="G825" s="4">
        <f>IF(SUMIFS('RES TECH'!N:N,'RES TECH'!M:M,C825)&gt;0,1,0)</f>
        <v>1</v>
      </c>
      <c r="H825" s="4">
        <f t="shared" si="12"/>
        <v>0</v>
      </c>
    </row>
    <row r="826" spans="3:8" x14ac:dyDescent="0.25">
      <c r="C826" t="str">
        <f>'RES TECH'!M824</f>
        <v>RESAPAUMOldSCRAC3ELC20</v>
      </c>
      <c r="G826" s="4">
        <f>IF(SUMIFS('RES TECH'!N:N,'RES TECH'!M:M,C826)&gt;0,1,0)</f>
        <v>1</v>
      </c>
      <c r="H826" s="4">
        <f t="shared" si="12"/>
        <v>0</v>
      </c>
    </row>
    <row r="827" spans="3:8" x14ac:dyDescent="0.25">
      <c r="C827" t="str">
        <f>'RES TECH'!M825</f>
        <v>RESAPAUMOldSCRAC4ELC20</v>
      </c>
      <c r="G827" s="4">
        <f>IF(SUMIFS('RES TECH'!N:N,'RES TECH'!M:M,C827)&gt;0,1,0)</f>
        <v>1</v>
      </c>
      <c r="H827" s="4">
        <f t="shared" si="12"/>
        <v>0</v>
      </c>
    </row>
    <row r="828" spans="3:8" x14ac:dyDescent="0.25">
      <c r="C828" t="str">
        <f>'RES TECH'!M826</f>
        <v>RESAPAUMOldSCRAC4ELC22</v>
      </c>
      <c r="G828" s="4">
        <f>IF(SUMIFS('RES TECH'!N:N,'RES TECH'!M:M,C828)&gt;0,1,0)</f>
        <v>1</v>
      </c>
      <c r="H828" s="4">
        <f t="shared" si="12"/>
        <v>0</v>
      </c>
    </row>
    <row r="829" spans="3:8" x14ac:dyDescent="0.25">
      <c r="C829" t="str">
        <f>'RES TECH'!M827</f>
        <v>RESAPAUMOldSCRAC4ELC30</v>
      </c>
      <c r="G829" s="4">
        <f>IF(SUMIFS('RES TECH'!N:N,'RES TECH'!M:M,C829)&gt;0,1,0)</f>
        <v>1</v>
      </c>
      <c r="H829" s="4">
        <f t="shared" si="12"/>
        <v>0</v>
      </c>
    </row>
    <row r="830" spans="3:8" x14ac:dyDescent="0.25">
      <c r="C830" t="str">
        <f>'RES TECH'!M828</f>
        <v>RESAPAUMOldSCRAC4ELC40</v>
      </c>
      <c r="G830" s="4">
        <f>IF(SUMIFS('RES TECH'!N:N,'RES TECH'!M:M,C830)&gt;0,1,0)</f>
        <v>1</v>
      </c>
      <c r="H830" s="4">
        <f t="shared" si="12"/>
        <v>0</v>
      </c>
    </row>
    <row r="831" spans="3:8" x14ac:dyDescent="0.25">
      <c r="C831" t="str">
        <f>'RES TECH'!M829</f>
        <v>RESAPAUMOldSCCAC1ELC20</v>
      </c>
      <c r="G831" s="4">
        <f>IF(SUMIFS('RES TECH'!N:N,'RES TECH'!M:M,C831)&gt;0,1,0)</f>
        <v>1</v>
      </c>
      <c r="H831" s="4">
        <f t="shared" si="12"/>
        <v>0</v>
      </c>
    </row>
    <row r="832" spans="3:8" x14ac:dyDescent="0.25">
      <c r="C832" t="str">
        <f>'RES TECH'!M830</f>
        <v>RESAPAUMOldSCCAC1ELC23</v>
      </c>
      <c r="G832" s="4">
        <f>IF(SUMIFS('RES TECH'!N:N,'RES TECH'!M:M,C832)&gt;0,1,0)</f>
        <v>1</v>
      </c>
      <c r="H832" s="4">
        <f t="shared" si="12"/>
        <v>0</v>
      </c>
    </row>
    <row r="833" spans="3:8" x14ac:dyDescent="0.25">
      <c r="C833" t="str">
        <f>'RES TECH'!M831</f>
        <v>RESAPAUMOldSCCAC2ELC20</v>
      </c>
      <c r="G833" s="4">
        <f>IF(SUMIFS('RES TECH'!N:N,'RES TECH'!M:M,C833)&gt;0,1,0)</f>
        <v>1</v>
      </c>
      <c r="H833" s="4">
        <f t="shared" si="12"/>
        <v>0</v>
      </c>
    </row>
    <row r="834" spans="3:8" x14ac:dyDescent="0.25">
      <c r="C834" t="str">
        <f>'RES TECH'!M832</f>
        <v>RESAPAUMOldSCCAC2ELC23</v>
      </c>
      <c r="G834" s="4">
        <f>IF(SUMIFS('RES TECH'!N:N,'RES TECH'!M:M,C834)&gt;0,1,0)</f>
        <v>1</v>
      </c>
      <c r="H834" s="4">
        <f t="shared" si="12"/>
        <v>0</v>
      </c>
    </row>
    <row r="835" spans="3:8" x14ac:dyDescent="0.25">
      <c r="C835" t="str">
        <f>'RES TECH'!M833</f>
        <v>RESAPAUMOldSCCAC3ELC20</v>
      </c>
      <c r="G835" s="4">
        <f>IF(SUMIFS('RES TECH'!N:N,'RES TECH'!M:M,C835)&gt;0,1,0)</f>
        <v>1</v>
      </c>
      <c r="H835" s="4">
        <f t="shared" si="12"/>
        <v>0</v>
      </c>
    </row>
    <row r="836" spans="3:8" x14ac:dyDescent="0.25">
      <c r="C836" t="str">
        <f>'RES TECH'!M834</f>
        <v>RESAPAUMOldSCCAC3ELC23</v>
      </c>
      <c r="G836" s="4">
        <f>IF(SUMIFS('RES TECH'!N:N,'RES TECH'!M:M,C836)&gt;0,1,0)</f>
        <v>1</v>
      </c>
      <c r="H836" s="4">
        <f t="shared" si="12"/>
        <v>0</v>
      </c>
    </row>
    <row r="837" spans="3:8" x14ac:dyDescent="0.25">
      <c r="C837" t="str">
        <f>'RES TECH'!M835</f>
        <v>RESAPAUMOldSCCAC4ELC20</v>
      </c>
      <c r="G837" s="4">
        <f>IF(SUMIFS('RES TECH'!N:N,'RES TECH'!M:M,C837)&gt;0,1,0)</f>
        <v>1</v>
      </c>
      <c r="H837" s="4">
        <f t="shared" ref="H837:H900" si="13">IF(C837="","",IF(C837="*","*",0))</f>
        <v>0</v>
      </c>
    </row>
    <row r="838" spans="3:8" x14ac:dyDescent="0.25">
      <c r="C838" t="str">
        <f>'RES TECH'!M836</f>
        <v>RESAPAUMOldSCCAC4ELC22</v>
      </c>
      <c r="G838" s="4">
        <f>IF(SUMIFS('RES TECH'!N:N,'RES TECH'!M:M,C838)&gt;0,1,0)</f>
        <v>1</v>
      </c>
      <c r="H838" s="4">
        <f t="shared" si="13"/>
        <v>0</v>
      </c>
    </row>
    <row r="839" spans="3:8" x14ac:dyDescent="0.25">
      <c r="C839" t="str">
        <f>'RES TECH'!M837</f>
        <v>RESAPAUMOldRETF1ELC20</v>
      </c>
      <c r="G839" s="4">
        <f>IF(SUMIFS('RES TECH'!N:N,'RES TECH'!M:M,C839)&gt;0,1,0)</f>
        <v>1</v>
      </c>
      <c r="H839" s="4">
        <f t="shared" si="13"/>
        <v>0</v>
      </c>
    </row>
    <row r="840" spans="3:8" x14ac:dyDescent="0.25">
      <c r="C840" t="str">
        <f>'RES TECH'!M838</f>
        <v>RESAPAUMOldRETF2ELC20</v>
      </c>
      <c r="G840" s="4">
        <f>IF(SUMIFS('RES TECH'!N:N,'RES TECH'!M:M,C840)&gt;0,1,0)</f>
        <v>1</v>
      </c>
      <c r="H840" s="4">
        <f t="shared" si="13"/>
        <v>0</v>
      </c>
    </row>
    <row r="841" spans="3:8" x14ac:dyDescent="0.25">
      <c r="C841" t="str">
        <f>'RES TECH'!M839</f>
        <v>RESAPAUMOldRETF3ELC20</v>
      </c>
      <c r="G841" s="4">
        <f>IF(SUMIFS('RES TECH'!N:N,'RES TECH'!M:M,C841)&gt;0,1,0)</f>
        <v>1</v>
      </c>
      <c r="H841" s="4">
        <f t="shared" si="13"/>
        <v>0</v>
      </c>
    </row>
    <row r="842" spans="3:8" x14ac:dyDescent="0.25">
      <c r="C842" t="str">
        <f>'RES TECH'!M840</f>
        <v>RESAPAUMOldRETF4ELC20</v>
      </c>
      <c r="G842" s="4">
        <f>IF(SUMIFS('RES TECH'!N:N,'RES TECH'!M:M,C842)&gt;0,1,0)</f>
        <v>1</v>
      </c>
      <c r="H842" s="4">
        <f t="shared" si="13"/>
        <v>0</v>
      </c>
    </row>
    <row r="843" spans="3:8" x14ac:dyDescent="0.25">
      <c r="C843" t="str">
        <f>'RES TECH'!M841</f>
        <v>RESAPAUMOldRESF1ELC20</v>
      </c>
      <c r="G843" s="4">
        <f>IF(SUMIFS('RES TECH'!N:N,'RES TECH'!M:M,C843)&gt;0,1,0)</f>
        <v>1</v>
      </c>
      <c r="H843" s="4">
        <f t="shared" si="13"/>
        <v>0</v>
      </c>
    </row>
    <row r="844" spans="3:8" x14ac:dyDescent="0.25">
      <c r="C844" t="str">
        <f>'RES TECH'!M842</f>
        <v>RESAPAUMOldRESF2ELC20</v>
      </c>
      <c r="G844" s="4">
        <f>IF(SUMIFS('RES TECH'!N:N,'RES TECH'!M:M,C844)&gt;0,1,0)</f>
        <v>1</v>
      </c>
      <c r="H844" s="4">
        <f t="shared" si="13"/>
        <v>0</v>
      </c>
    </row>
    <row r="845" spans="3:8" x14ac:dyDescent="0.25">
      <c r="C845" t="str">
        <f>'RES TECH'!M843</f>
        <v>RESAPAUMOldRESF3ELC20</v>
      </c>
      <c r="G845" s="4">
        <f>IF(SUMIFS('RES TECH'!N:N,'RES TECH'!M:M,C845)&gt;0,1,0)</f>
        <v>1</v>
      </c>
      <c r="H845" s="4">
        <f t="shared" si="13"/>
        <v>0</v>
      </c>
    </row>
    <row r="846" spans="3:8" x14ac:dyDescent="0.25">
      <c r="C846" t="str">
        <f>'RES TECH'!M844</f>
        <v>RESAPAUMOldRESF4ELC20</v>
      </c>
      <c r="G846" s="4">
        <f>IF(SUMIFS('RES TECH'!N:N,'RES TECH'!M:M,C846)&gt;0,1,0)</f>
        <v>1</v>
      </c>
      <c r="H846" s="4">
        <f t="shared" si="13"/>
        <v>0</v>
      </c>
    </row>
    <row r="847" spans="3:8" x14ac:dyDescent="0.25">
      <c r="C847" t="str">
        <f>'RES TECH'!M845</f>
        <v>RESAPAUMOldREBF1ELC20</v>
      </c>
      <c r="G847" s="4">
        <f>IF(SUMIFS('RES TECH'!N:N,'RES TECH'!M:M,C847)&gt;0,1,0)</f>
        <v>1</v>
      </c>
      <c r="H847" s="4">
        <f t="shared" si="13"/>
        <v>0</v>
      </c>
    </row>
    <row r="848" spans="3:8" x14ac:dyDescent="0.25">
      <c r="C848" t="str">
        <f>'RES TECH'!M846</f>
        <v>RESAPAUMOldREBF2ELC20</v>
      </c>
      <c r="G848" s="4">
        <f>IF(SUMIFS('RES TECH'!N:N,'RES TECH'!M:M,C848)&gt;0,1,0)</f>
        <v>1</v>
      </c>
      <c r="H848" s="4">
        <f t="shared" si="13"/>
        <v>0</v>
      </c>
    </row>
    <row r="849" spans="3:8" x14ac:dyDescent="0.25">
      <c r="C849" t="str">
        <f>'RES TECH'!M847</f>
        <v>RESAPAUMOldREBF3ELC20</v>
      </c>
      <c r="G849" s="4">
        <f>IF(SUMIFS('RES TECH'!N:N,'RES TECH'!M:M,C849)&gt;0,1,0)</f>
        <v>1</v>
      </c>
      <c r="H849" s="4">
        <f t="shared" si="13"/>
        <v>0</v>
      </c>
    </row>
    <row r="850" spans="3:8" x14ac:dyDescent="0.25">
      <c r="C850" t="str">
        <f>'RES TECH'!M848</f>
        <v>RESAPAUMOldREBF4ELC20</v>
      </c>
      <c r="G850" s="4">
        <f>IF(SUMIFS('RES TECH'!N:N,'RES TECH'!M:M,C850)&gt;0,1,0)</f>
        <v>1</v>
      </c>
      <c r="H850" s="4">
        <f t="shared" si="13"/>
        <v>0</v>
      </c>
    </row>
    <row r="851" spans="3:8" x14ac:dyDescent="0.25">
      <c r="C851" t="str">
        <f>'RES TECH'!M849</f>
        <v>RESAPAUMOldFRC1ELC20</v>
      </c>
      <c r="G851" s="4">
        <f>IF(SUMIFS('RES TECH'!N:N,'RES TECH'!M:M,C851)&gt;0,1,0)</f>
        <v>1</v>
      </c>
      <c r="H851" s="4">
        <f t="shared" si="13"/>
        <v>0</v>
      </c>
    </row>
    <row r="852" spans="3:8" x14ac:dyDescent="0.25">
      <c r="C852" t="str">
        <f>'RES TECH'!M850</f>
        <v>RESAPAUMOldFRC2ELC20</v>
      </c>
      <c r="G852" s="4">
        <f>IF(SUMIFS('RES TECH'!N:N,'RES TECH'!M:M,C852)&gt;0,1,0)</f>
        <v>1</v>
      </c>
      <c r="H852" s="4">
        <f t="shared" si="13"/>
        <v>0</v>
      </c>
    </row>
    <row r="853" spans="3:8" x14ac:dyDescent="0.25">
      <c r="C853" t="str">
        <f>'RES TECH'!M851</f>
        <v>RESAPAUMOldFRC3ELC20</v>
      </c>
      <c r="G853" s="4">
        <f>IF(SUMIFS('RES TECH'!N:N,'RES TECH'!M:M,C853)&gt;0,1,0)</f>
        <v>1</v>
      </c>
      <c r="H853" s="4">
        <f t="shared" si="13"/>
        <v>0</v>
      </c>
    </row>
    <row r="854" spans="3:8" x14ac:dyDescent="0.25">
      <c r="C854" t="str">
        <f>'RES TECH'!M852</f>
        <v>RESAPAUMOldFRC4ELC20</v>
      </c>
      <c r="G854" s="4">
        <f>IF(SUMIFS('RES TECH'!N:N,'RES TECH'!M:M,C854)&gt;0,1,0)</f>
        <v>1</v>
      </c>
      <c r="H854" s="4">
        <f t="shared" si="13"/>
        <v>0</v>
      </c>
    </row>
    <row r="855" spans="3:8" x14ac:dyDescent="0.25">
      <c r="C855" t="str">
        <f>'RES TECH'!M853</f>
        <v>RESAPAUMOldFRU1ELC20</v>
      </c>
      <c r="G855" s="4">
        <f>IF(SUMIFS('RES TECH'!N:N,'RES TECH'!M:M,C855)&gt;0,1,0)</f>
        <v>1</v>
      </c>
      <c r="H855" s="4">
        <f t="shared" si="13"/>
        <v>0</v>
      </c>
    </row>
    <row r="856" spans="3:8" x14ac:dyDescent="0.25">
      <c r="C856" t="str">
        <f>'RES TECH'!M854</f>
        <v>RESAPAUMOldFRU2ELC20</v>
      </c>
      <c r="G856" s="4">
        <f>IF(SUMIFS('RES TECH'!N:N,'RES TECH'!M:M,C856)&gt;0,1,0)</f>
        <v>1</v>
      </c>
      <c r="H856" s="4">
        <f t="shared" si="13"/>
        <v>0</v>
      </c>
    </row>
    <row r="857" spans="3:8" x14ac:dyDescent="0.25">
      <c r="C857" t="str">
        <f>'RES TECH'!M855</f>
        <v>RESAPAUMOldFRU3ELC20</v>
      </c>
      <c r="G857" s="4">
        <f>IF(SUMIFS('RES TECH'!N:N,'RES TECH'!M:M,C857)&gt;0,1,0)</f>
        <v>1</v>
      </c>
      <c r="H857" s="4">
        <f t="shared" si="13"/>
        <v>0</v>
      </c>
    </row>
    <row r="858" spans="3:8" x14ac:dyDescent="0.25">
      <c r="C858" t="str">
        <f>'RES TECH'!M856</f>
        <v>RESAPAUMOldFRU4ELC20</v>
      </c>
      <c r="G858" s="4">
        <f>IF(SUMIFS('RES TECH'!N:N,'RES TECH'!M:M,C858)&gt;0,1,0)</f>
        <v>1</v>
      </c>
      <c r="H858" s="4">
        <f t="shared" si="13"/>
        <v>0</v>
      </c>
    </row>
    <row r="859" spans="3:8" x14ac:dyDescent="0.25">
      <c r="C859" t="str">
        <f>'RES TECH'!M857</f>
        <v>RESAPAUMOldCK2NGA20</v>
      </c>
      <c r="G859" s="4">
        <f>IF(SUMIFS('RES TECH'!N:N,'RES TECH'!M:M,C859)&gt;0,1,0)</f>
        <v>1</v>
      </c>
      <c r="H859" s="4">
        <f t="shared" si="13"/>
        <v>0</v>
      </c>
    </row>
    <row r="860" spans="3:8" x14ac:dyDescent="0.25">
      <c r="C860" t="str">
        <f>'RES TECH'!M858</f>
        <v>RESAPAUMOldCK4NGA20</v>
      </c>
      <c r="G860" s="4">
        <f>IF(SUMIFS('RES TECH'!N:N,'RES TECH'!M:M,C860)&gt;0,1,0)</f>
        <v>1</v>
      </c>
      <c r="H860" s="4">
        <f t="shared" si="13"/>
        <v>0</v>
      </c>
    </row>
    <row r="861" spans="3:8" x14ac:dyDescent="0.25">
      <c r="C861" t="str">
        <f>'RES TECH'!M859</f>
        <v>RESAPAUMOldCK2LPG20</v>
      </c>
      <c r="G861" s="4">
        <f>IF(SUMIFS('RES TECH'!N:N,'RES TECH'!M:M,C861)&gt;0,1,0)</f>
        <v>1</v>
      </c>
      <c r="H861" s="4">
        <f t="shared" si="13"/>
        <v>0</v>
      </c>
    </row>
    <row r="862" spans="3:8" x14ac:dyDescent="0.25">
      <c r="C862" t="str">
        <f>'RES TECH'!M860</f>
        <v>RESAPAUMOldCK4LPG20</v>
      </c>
      <c r="G862" s="4">
        <f>IF(SUMIFS('RES TECH'!N:N,'RES TECH'!M:M,C862)&gt;0,1,0)</f>
        <v>1</v>
      </c>
      <c r="H862" s="4">
        <f t="shared" si="13"/>
        <v>0</v>
      </c>
    </row>
    <row r="863" spans="3:8" x14ac:dyDescent="0.25">
      <c r="C863" t="str">
        <f>'RES TECH'!M861</f>
        <v>RESAPAUMOldCK2ELC20</v>
      </c>
      <c r="G863" s="4">
        <f>IF(SUMIFS('RES TECH'!N:N,'RES TECH'!M:M,C863)&gt;0,1,0)</f>
        <v>1</v>
      </c>
      <c r="H863" s="4">
        <f t="shared" si="13"/>
        <v>0</v>
      </c>
    </row>
    <row r="864" spans="3:8" x14ac:dyDescent="0.25">
      <c r="C864" t="str">
        <f>'RES TECH'!M862</f>
        <v>RESAPAUMOldCWF4ELC30</v>
      </c>
      <c r="G864" s="4">
        <f>IF(SUMIFS('RES TECH'!N:N,'RES TECH'!M:M,C864)&gt;0,1,0)</f>
        <v>1</v>
      </c>
      <c r="H864" s="4">
        <f t="shared" si="13"/>
        <v>0</v>
      </c>
    </row>
    <row r="865" spans="3:8" x14ac:dyDescent="0.25">
      <c r="C865" t="str">
        <f>'RES TECH'!M863</f>
        <v>RESAPAUMOldCWT1ELC20</v>
      </c>
      <c r="G865" s="4">
        <f>IF(SUMIFS('RES TECH'!N:N,'RES TECH'!M:M,C865)&gt;0,1,0)</f>
        <v>1</v>
      </c>
      <c r="H865" s="4">
        <f t="shared" si="13"/>
        <v>0</v>
      </c>
    </row>
    <row r="866" spans="3:8" x14ac:dyDescent="0.25">
      <c r="C866" t="str">
        <f>'RES TECH'!M864</f>
        <v>RESAPAUMOldCWT2ELC20</v>
      </c>
      <c r="G866" s="4">
        <f>IF(SUMIFS('RES TECH'!N:N,'RES TECH'!M:M,C866)&gt;0,1,0)</f>
        <v>1</v>
      </c>
      <c r="H866" s="4">
        <f t="shared" si="13"/>
        <v>0</v>
      </c>
    </row>
    <row r="867" spans="3:8" x14ac:dyDescent="0.25">
      <c r="C867" t="str">
        <f>'RES TECH'!M865</f>
        <v>RESAPAUMOldCWT2ELC20</v>
      </c>
      <c r="G867" s="4">
        <f>IF(SUMIFS('RES TECH'!N:N,'RES TECH'!M:M,C867)&gt;0,1,0)</f>
        <v>1</v>
      </c>
      <c r="H867" s="4">
        <f t="shared" si="13"/>
        <v>0</v>
      </c>
    </row>
    <row r="868" spans="3:8" x14ac:dyDescent="0.25">
      <c r="C868" t="str">
        <f>'RES TECH'!M866</f>
        <v>RESAPAUMOldCWT3ELC20</v>
      </c>
      <c r="G868" s="4">
        <f>IF(SUMIFS('RES TECH'!N:N,'RES TECH'!M:M,C868)&gt;0,1,0)</f>
        <v>1</v>
      </c>
      <c r="H868" s="4">
        <f t="shared" si="13"/>
        <v>0</v>
      </c>
    </row>
    <row r="869" spans="3:8" x14ac:dyDescent="0.25">
      <c r="C869" t="str">
        <f>'RES TECH'!M867</f>
        <v>RESAPAUMOldCWT4ELC20</v>
      </c>
      <c r="G869" s="4">
        <f>IF(SUMIFS('RES TECH'!N:N,'RES TECH'!M:M,C869)&gt;0,1,0)</f>
        <v>1</v>
      </c>
      <c r="H869" s="4">
        <f t="shared" si="13"/>
        <v>0</v>
      </c>
    </row>
    <row r="870" spans="3:8" x14ac:dyDescent="0.25">
      <c r="C870" t="str">
        <f>'RES TECH'!M868</f>
        <v>RESAPAUMOldCWF1ELC20</v>
      </c>
      <c r="G870" s="4">
        <f>IF(SUMIFS('RES TECH'!N:N,'RES TECH'!M:M,C870)&gt;0,1,0)</f>
        <v>1</v>
      </c>
      <c r="H870" s="4">
        <f t="shared" si="13"/>
        <v>0</v>
      </c>
    </row>
    <row r="871" spans="3:8" x14ac:dyDescent="0.25">
      <c r="C871" t="str">
        <f>'RES TECH'!M869</f>
        <v>RESAPAUMOldCWF2ELC20</v>
      </c>
      <c r="G871" s="4">
        <f>IF(SUMIFS('RES TECH'!N:N,'RES TECH'!M:M,C871)&gt;0,1,0)</f>
        <v>1</v>
      </c>
      <c r="H871" s="4">
        <f t="shared" si="13"/>
        <v>0</v>
      </c>
    </row>
    <row r="872" spans="3:8" x14ac:dyDescent="0.25">
      <c r="C872" t="str">
        <f>'RES TECH'!M870</f>
        <v>RESAPAUMOldCWF2ELC30</v>
      </c>
      <c r="G872" s="4">
        <f>IF(SUMIFS('RES TECH'!N:N,'RES TECH'!M:M,C872)&gt;0,1,0)</f>
        <v>1</v>
      </c>
      <c r="H872" s="4">
        <f t="shared" si="13"/>
        <v>0</v>
      </c>
    </row>
    <row r="873" spans="3:8" x14ac:dyDescent="0.25">
      <c r="C873" t="str">
        <f>'RES TECH'!M871</f>
        <v>RESAPAUMOldCWF3ELC20</v>
      </c>
      <c r="G873" s="4">
        <f>IF(SUMIFS('RES TECH'!N:N,'RES TECH'!M:M,C873)&gt;0,1,0)</f>
        <v>1</v>
      </c>
      <c r="H873" s="4">
        <f t="shared" si="13"/>
        <v>0</v>
      </c>
    </row>
    <row r="874" spans="3:8" x14ac:dyDescent="0.25">
      <c r="C874" t="str">
        <f>'RES TECH'!M872</f>
        <v>RESAPAUMOldCWF4ELC20</v>
      </c>
      <c r="G874" s="4">
        <f>IF(SUMIFS('RES TECH'!N:N,'RES TECH'!M:M,C874)&gt;0,1,0)</f>
        <v>1</v>
      </c>
      <c r="H874" s="4">
        <f t="shared" si="13"/>
        <v>0</v>
      </c>
    </row>
    <row r="875" spans="3:8" x14ac:dyDescent="0.25">
      <c r="C875" t="str">
        <f>'RES TECH'!M873</f>
        <v>RESAPAUMOldCWF4ELC20</v>
      </c>
      <c r="G875" s="4">
        <f>IF(SUMIFS('RES TECH'!N:N,'RES TECH'!M:M,C875)&gt;0,1,0)</f>
        <v>1</v>
      </c>
      <c r="H875" s="4">
        <f t="shared" si="13"/>
        <v>0</v>
      </c>
    </row>
    <row r="876" spans="3:8" x14ac:dyDescent="0.25">
      <c r="C876" t="str">
        <f>'RES TECH'!M874</f>
        <v>RESAPAUMOldCD1NGA20</v>
      </c>
      <c r="G876" s="4">
        <f>IF(SUMIFS('RES TECH'!N:N,'RES TECH'!M:M,C876)&gt;0,1,0)</f>
        <v>1</v>
      </c>
      <c r="H876" s="4">
        <f t="shared" si="13"/>
        <v>0</v>
      </c>
    </row>
    <row r="877" spans="3:8" x14ac:dyDescent="0.25">
      <c r="C877" t="str">
        <f>'RES TECH'!M875</f>
        <v>RESAPAUMOldCD2NGA20</v>
      </c>
      <c r="G877" s="4">
        <f>IF(SUMIFS('RES TECH'!N:N,'RES TECH'!M:M,C877)&gt;0,1,0)</f>
        <v>1</v>
      </c>
      <c r="H877" s="4">
        <f t="shared" si="13"/>
        <v>0</v>
      </c>
    </row>
    <row r="878" spans="3:8" x14ac:dyDescent="0.25">
      <c r="C878" t="str">
        <f>'RES TECH'!M876</f>
        <v>RESAPAUMOldCD3NGA20</v>
      </c>
      <c r="G878" s="4">
        <f>IF(SUMIFS('RES TECH'!N:N,'RES TECH'!M:M,C878)&gt;0,1,0)</f>
        <v>1</v>
      </c>
      <c r="H878" s="4">
        <f t="shared" si="13"/>
        <v>0</v>
      </c>
    </row>
    <row r="879" spans="3:8" x14ac:dyDescent="0.25">
      <c r="C879" t="str">
        <f>'RES TECH'!M877</f>
        <v>RESAPAUMOldCD4NGA20</v>
      </c>
      <c r="G879" s="4">
        <f>IF(SUMIFS('RES TECH'!N:N,'RES TECH'!M:M,C879)&gt;0,1,0)</f>
        <v>1</v>
      </c>
      <c r="H879" s="4">
        <f t="shared" si="13"/>
        <v>0</v>
      </c>
    </row>
    <row r="880" spans="3:8" x14ac:dyDescent="0.25">
      <c r="C880" t="str">
        <f>'RES TECH'!M878</f>
        <v>RESAPAUMOldCD4NGA30</v>
      </c>
      <c r="G880" s="4">
        <f>IF(SUMIFS('RES TECH'!N:N,'RES TECH'!M:M,C880)&gt;0,1,0)</f>
        <v>1</v>
      </c>
      <c r="H880" s="4">
        <f t="shared" si="13"/>
        <v>0</v>
      </c>
    </row>
    <row r="881" spans="3:8" x14ac:dyDescent="0.25">
      <c r="C881" t="str">
        <f>'RES TECH'!M879</f>
        <v>RESAPAUMOldCD1ELC20</v>
      </c>
      <c r="G881" s="4">
        <f>IF(SUMIFS('RES TECH'!N:N,'RES TECH'!M:M,C881)&gt;0,1,0)</f>
        <v>1</v>
      </c>
      <c r="H881" s="4">
        <f t="shared" si="13"/>
        <v>0</v>
      </c>
    </row>
    <row r="882" spans="3:8" x14ac:dyDescent="0.25">
      <c r="C882" t="str">
        <f>'RES TECH'!M880</f>
        <v>RESAPAUMOldCD2ELC20</v>
      </c>
      <c r="G882" s="4">
        <f>IF(SUMIFS('RES TECH'!N:N,'RES TECH'!M:M,C882)&gt;0,1,0)</f>
        <v>1</v>
      </c>
      <c r="H882" s="4">
        <f t="shared" si="13"/>
        <v>0</v>
      </c>
    </row>
    <row r="883" spans="3:8" x14ac:dyDescent="0.25">
      <c r="C883" t="str">
        <f>'RES TECH'!M881</f>
        <v>RESAPAUMOldCD3ELC20</v>
      </c>
      <c r="G883" s="4">
        <f>IF(SUMIFS('RES TECH'!N:N,'RES TECH'!M:M,C883)&gt;0,1,0)</f>
        <v>1</v>
      </c>
      <c r="H883" s="4">
        <f t="shared" si="13"/>
        <v>0</v>
      </c>
    </row>
    <row r="884" spans="3:8" x14ac:dyDescent="0.25">
      <c r="C884" t="str">
        <f>'RES TECH'!M882</f>
        <v>RESAPAUMOldCD4ELC20</v>
      </c>
      <c r="G884" s="4">
        <f>IF(SUMIFS('RES TECH'!N:N,'RES TECH'!M:M,C884)&gt;0,1,0)</f>
        <v>1</v>
      </c>
      <c r="H884" s="4">
        <f t="shared" si="13"/>
        <v>0</v>
      </c>
    </row>
    <row r="885" spans="3:8" x14ac:dyDescent="0.25">
      <c r="C885" t="str">
        <f>'RES TECH'!M883</f>
        <v>RESHOUUMOldWH1NGA20</v>
      </c>
      <c r="G885" s="4">
        <f>IF(SUMIFS('RES TECH'!N:N,'RES TECH'!M:M,C885)&gt;0,1,0)</f>
        <v>1</v>
      </c>
      <c r="H885" s="4">
        <f t="shared" si="13"/>
        <v>0</v>
      </c>
    </row>
    <row r="886" spans="3:8" x14ac:dyDescent="0.25">
      <c r="C886" t="str">
        <f>'RES TECH'!M884</f>
        <v>RESHOUUMOldWH2NGA20</v>
      </c>
      <c r="G886" s="4">
        <f>IF(SUMIFS('RES TECH'!N:N,'RES TECH'!M:M,C886)&gt;0,1,0)</f>
        <v>1</v>
      </c>
      <c r="H886" s="4">
        <f t="shared" si="13"/>
        <v>0</v>
      </c>
    </row>
    <row r="887" spans="3:8" x14ac:dyDescent="0.25">
      <c r="C887" t="str">
        <f>'RES TECH'!M885</f>
        <v>RESHOUUMOldWH3NGA20</v>
      </c>
      <c r="G887" s="4">
        <f>IF(SUMIFS('RES TECH'!N:N,'RES TECH'!M:M,C887)&gt;0,1,0)</f>
        <v>1</v>
      </c>
      <c r="H887" s="4">
        <f t="shared" si="13"/>
        <v>0</v>
      </c>
    </row>
    <row r="888" spans="3:8" x14ac:dyDescent="0.25">
      <c r="C888" t="str">
        <f>'RES TECH'!M886</f>
        <v>RESHOUUMOldWH3NGA23</v>
      </c>
      <c r="G888" s="4">
        <f>IF(SUMIFS('RES TECH'!N:N,'RES TECH'!M:M,C888)&gt;0,1,0)</f>
        <v>1</v>
      </c>
      <c r="H888" s="4">
        <f t="shared" si="13"/>
        <v>0</v>
      </c>
    </row>
    <row r="889" spans="3:8" x14ac:dyDescent="0.25">
      <c r="C889" t="str">
        <f>'RES TECH'!M887</f>
        <v>RESHOUUMOldWH4NGA20</v>
      </c>
      <c r="G889" s="4">
        <f>IF(SUMIFS('RES TECH'!N:N,'RES TECH'!M:M,C889)&gt;0,1,0)</f>
        <v>1</v>
      </c>
      <c r="H889" s="4">
        <f t="shared" si="13"/>
        <v>0</v>
      </c>
    </row>
    <row r="890" spans="3:8" x14ac:dyDescent="0.25">
      <c r="C890" t="str">
        <f>'RES TECH'!M888</f>
        <v>RESHOUUMOldWH4NGA20</v>
      </c>
      <c r="G890" s="4">
        <f>IF(SUMIFS('RES TECH'!N:N,'RES TECH'!M:M,C890)&gt;0,1,0)</f>
        <v>1</v>
      </c>
      <c r="H890" s="4">
        <f t="shared" si="13"/>
        <v>0</v>
      </c>
    </row>
    <row r="891" spans="3:8" x14ac:dyDescent="0.25">
      <c r="C891" t="str">
        <f>'RES TECH'!M889</f>
        <v>RESHOUUMOldWH4NGA22</v>
      </c>
      <c r="G891" s="4">
        <f>IF(SUMIFS('RES TECH'!N:N,'RES TECH'!M:M,C891)&gt;0,1,0)</f>
        <v>1</v>
      </c>
      <c r="H891" s="4">
        <f t="shared" si="13"/>
        <v>0</v>
      </c>
    </row>
    <row r="892" spans="3:8" x14ac:dyDescent="0.25">
      <c r="C892" t="str">
        <f>'RES TECH'!M890</f>
        <v>RESHOUUMOldWH1ELC20</v>
      </c>
      <c r="G892" s="4">
        <f>IF(SUMIFS('RES TECH'!N:N,'RES TECH'!M:M,C892)&gt;0,1,0)</f>
        <v>1</v>
      </c>
      <c r="H892" s="4">
        <f t="shared" si="13"/>
        <v>0</v>
      </c>
    </row>
    <row r="893" spans="3:8" x14ac:dyDescent="0.25">
      <c r="C893" t="str">
        <f>'RES TECH'!M891</f>
        <v>RESHOUUMOldWH2ELC20</v>
      </c>
      <c r="G893" s="4">
        <f>IF(SUMIFS('RES TECH'!N:N,'RES TECH'!M:M,C893)&gt;0,1,0)</f>
        <v>1</v>
      </c>
      <c r="H893" s="4">
        <f t="shared" si="13"/>
        <v>0</v>
      </c>
    </row>
    <row r="894" spans="3:8" x14ac:dyDescent="0.25">
      <c r="C894" t="str">
        <f>'RES TECH'!M892</f>
        <v>RESHOUUMOldWH4ELC20</v>
      </c>
      <c r="G894" s="4">
        <f>IF(SUMIFS('RES TECH'!N:N,'RES TECH'!M:M,C894)&gt;0,1,0)</f>
        <v>1</v>
      </c>
      <c r="H894" s="4">
        <f t="shared" si="13"/>
        <v>0</v>
      </c>
    </row>
    <row r="895" spans="3:8" x14ac:dyDescent="0.25">
      <c r="C895" t="str">
        <f>'RES TECH'!M893</f>
        <v>RESHOUUMOldWH5ELC20</v>
      </c>
      <c r="G895" s="4">
        <f>IF(SUMIFS('RES TECH'!N:N,'RES TECH'!M:M,C895)&gt;0,1,0)</f>
        <v>1</v>
      </c>
      <c r="H895" s="4">
        <f t="shared" si="13"/>
        <v>0</v>
      </c>
    </row>
    <row r="896" spans="3:8" x14ac:dyDescent="0.25">
      <c r="C896" t="str">
        <f>'RES TECH'!M894</f>
        <v>RESHOUUMOldWH5ELC22</v>
      </c>
      <c r="G896" s="4">
        <f>IF(SUMIFS('RES TECH'!N:N,'RES TECH'!M:M,C896)&gt;0,1,0)</f>
        <v>1</v>
      </c>
      <c r="H896" s="4">
        <f t="shared" si="13"/>
        <v>0</v>
      </c>
    </row>
    <row r="897" spans="3:8" x14ac:dyDescent="0.25">
      <c r="C897" t="str">
        <f>'RES TECH'!M895</f>
        <v>RESHOUUMOldWH6ELC20</v>
      </c>
      <c r="G897" s="4">
        <f>IF(SUMIFS('RES TECH'!N:N,'RES TECH'!M:M,C897)&gt;0,1,0)</f>
        <v>1</v>
      </c>
      <c r="H897" s="4">
        <f t="shared" si="13"/>
        <v>0</v>
      </c>
    </row>
    <row r="898" spans="3:8" x14ac:dyDescent="0.25">
      <c r="C898" t="str">
        <f>'RES TECH'!M896</f>
        <v>RESHOUUMOldWH6ELC22</v>
      </c>
      <c r="G898" s="4">
        <f>IF(SUMIFS('RES TECH'!N:N,'RES TECH'!M:M,C898)&gt;0,1,0)</f>
        <v>1</v>
      </c>
      <c r="H898" s="4">
        <f t="shared" si="13"/>
        <v>0</v>
      </c>
    </row>
    <row r="899" spans="3:8" x14ac:dyDescent="0.25">
      <c r="C899" t="str">
        <f>'RES TECH'!M897</f>
        <v>RESHOUUMOldWH7ELC20</v>
      </c>
      <c r="G899" s="4">
        <f>IF(SUMIFS('RES TECH'!N:N,'RES TECH'!M:M,C899)&gt;0,1,0)</f>
        <v>1</v>
      </c>
      <c r="H899" s="4">
        <f t="shared" si="13"/>
        <v>0</v>
      </c>
    </row>
    <row r="900" spans="3:8" x14ac:dyDescent="0.25">
      <c r="C900" t="str">
        <f>'RES TECH'!M898</f>
        <v>RESHOUUMOldWH7ELC22</v>
      </c>
      <c r="G900" s="4">
        <f>IF(SUMIFS('RES TECH'!N:N,'RES TECH'!M:M,C900)&gt;0,1,0)</f>
        <v>1</v>
      </c>
      <c r="H900" s="4">
        <f t="shared" si="13"/>
        <v>0</v>
      </c>
    </row>
    <row r="901" spans="3:8" x14ac:dyDescent="0.25">
      <c r="C901" t="str">
        <f>'RES TECH'!M899</f>
        <v>RESHOUUMOldWH1FOI20</v>
      </c>
      <c r="G901" s="4">
        <f>IF(SUMIFS('RES TECH'!N:N,'RES TECH'!M:M,C901)&gt;0,1,0)</f>
        <v>1</v>
      </c>
      <c r="H901" s="4">
        <f t="shared" ref="H901:H964" si="14">IF(C901="","",IF(C901="*","*",0))</f>
        <v>0</v>
      </c>
    </row>
    <row r="902" spans="3:8" x14ac:dyDescent="0.25">
      <c r="C902" t="str">
        <f>'RES TECH'!M900</f>
        <v>RESHOUUMOldWH2FOI20</v>
      </c>
      <c r="G902" s="4">
        <f>IF(SUMIFS('RES TECH'!N:N,'RES TECH'!M:M,C902)&gt;0,1,0)</f>
        <v>1</v>
      </c>
      <c r="H902" s="4">
        <f t="shared" si="14"/>
        <v>0</v>
      </c>
    </row>
    <row r="903" spans="3:8" x14ac:dyDescent="0.25">
      <c r="C903" t="str">
        <f>'RES TECH'!M901</f>
        <v>RESHOUUMOldWH4FOI20</v>
      </c>
      <c r="G903" s="4">
        <f>IF(SUMIFS('RES TECH'!N:N,'RES TECH'!M:M,C903)&gt;0,1,0)</f>
        <v>1</v>
      </c>
      <c r="H903" s="4">
        <f t="shared" si="14"/>
        <v>0</v>
      </c>
    </row>
    <row r="904" spans="3:8" x14ac:dyDescent="0.25">
      <c r="C904" t="str">
        <f>'RES TECH'!M902</f>
        <v>RESHOUUMOldWH1LPG20</v>
      </c>
      <c r="G904" s="4">
        <f>IF(SUMIFS('RES TECH'!N:N,'RES TECH'!M:M,C904)&gt;0,1,0)</f>
        <v>1</v>
      </c>
      <c r="H904" s="4">
        <f t="shared" si="14"/>
        <v>0</v>
      </c>
    </row>
    <row r="905" spans="3:8" x14ac:dyDescent="0.25">
      <c r="C905" t="str">
        <f>'RES TECH'!M903</f>
        <v>RESHOUUMOldWH2LPG20</v>
      </c>
      <c r="G905" s="4">
        <f>IF(SUMIFS('RES TECH'!N:N,'RES TECH'!M:M,C905)&gt;0,1,0)</f>
        <v>1</v>
      </c>
      <c r="H905" s="4">
        <f t="shared" si="14"/>
        <v>0</v>
      </c>
    </row>
    <row r="906" spans="3:8" x14ac:dyDescent="0.25">
      <c r="C906" t="str">
        <f>'RES TECH'!M904</f>
        <v>RESHOUUMOldWH3LPG20</v>
      </c>
      <c r="G906" s="4">
        <f>IF(SUMIFS('RES TECH'!N:N,'RES TECH'!M:M,C906)&gt;0,1,0)</f>
        <v>1</v>
      </c>
      <c r="H906" s="4">
        <f t="shared" si="14"/>
        <v>0</v>
      </c>
    </row>
    <row r="907" spans="3:8" x14ac:dyDescent="0.25">
      <c r="C907" t="str">
        <f>'RES TECH'!M905</f>
        <v>RESHOUUMOldWH3LPG23</v>
      </c>
      <c r="G907" s="4">
        <f>IF(SUMIFS('RES TECH'!N:N,'RES TECH'!M:M,C907)&gt;0,1,0)</f>
        <v>1</v>
      </c>
      <c r="H907" s="4">
        <f t="shared" si="14"/>
        <v>0</v>
      </c>
    </row>
    <row r="908" spans="3:8" x14ac:dyDescent="0.25">
      <c r="C908" t="str">
        <f>'RES TECH'!M906</f>
        <v>RESHOUUMOldWH4LPG20</v>
      </c>
      <c r="G908" s="4">
        <f>IF(SUMIFS('RES TECH'!N:N,'RES TECH'!M:M,C908)&gt;0,1,0)</f>
        <v>1</v>
      </c>
      <c r="H908" s="4">
        <f t="shared" si="14"/>
        <v>0</v>
      </c>
    </row>
    <row r="909" spans="3:8" x14ac:dyDescent="0.25">
      <c r="C909" t="str">
        <f>'RES TECH'!M907</f>
        <v>RESHOUUMOldWH4LPG20</v>
      </c>
      <c r="G909" s="4">
        <f>IF(SUMIFS('RES TECH'!N:N,'RES TECH'!M:M,C909)&gt;0,1,0)</f>
        <v>1</v>
      </c>
      <c r="H909" s="4">
        <f t="shared" si="14"/>
        <v>0</v>
      </c>
    </row>
    <row r="910" spans="3:8" x14ac:dyDescent="0.25">
      <c r="C910" t="str">
        <f>'RES TECH'!M908</f>
        <v>RESHOUUMOldWH2SOL20</v>
      </c>
      <c r="G910" s="4">
        <f>IF(SUMIFS('RES TECH'!N:N,'RES TECH'!M:M,C910)&gt;0,1,0)</f>
        <v>1</v>
      </c>
      <c r="H910" s="4">
        <f t="shared" si="14"/>
        <v>0</v>
      </c>
    </row>
    <row r="911" spans="3:8" x14ac:dyDescent="0.25">
      <c r="C911" t="str">
        <f>'RES TECH'!M909</f>
        <v>RESHOUUMOldWH2SOL20</v>
      </c>
      <c r="G911" s="4">
        <f>IF(SUMIFS('RES TECH'!N:N,'RES TECH'!M:M,C911)&gt;0,1,0)</f>
        <v>1</v>
      </c>
      <c r="H911" s="4">
        <f t="shared" si="14"/>
        <v>0</v>
      </c>
    </row>
    <row r="912" spans="3:8" x14ac:dyDescent="0.25">
      <c r="C912" t="str">
        <f>'RES TECH'!M910</f>
        <v>RESHOUUMOldWH2SOL23</v>
      </c>
      <c r="G912" s="4">
        <f>IF(SUMIFS('RES TECH'!N:N,'RES TECH'!M:M,C912)&gt;0,1,0)</f>
        <v>1</v>
      </c>
      <c r="H912" s="4">
        <f t="shared" si="14"/>
        <v>0</v>
      </c>
    </row>
    <row r="913" spans="3:8" x14ac:dyDescent="0.25">
      <c r="C913" t="str">
        <f>'RES TECH'!M911</f>
        <v>RESHOUUMOldWH2SOL24</v>
      </c>
      <c r="G913" s="4">
        <f>IF(SUMIFS('RES TECH'!N:N,'RES TECH'!M:M,C913)&gt;0,1,0)</f>
        <v>1</v>
      </c>
      <c r="H913" s="4">
        <f t="shared" si="14"/>
        <v>0</v>
      </c>
    </row>
    <row r="914" spans="3:8" x14ac:dyDescent="0.25">
      <c r="C914" t="str">
        <f>'RES TECH'!M912</f>
        <v>RESHOUUMOldSHAHP1ELC20</v>
      </c>
      <c r="G914" s="4">
        <f>IF(SUMIFS('RES TECH'!N:N,'RES TECH'!M:M,C914)&gt;0,1,0)</f>
        <v>1</v>
      </c>
      <c r="H914" s="4">
        <f t="shared" si="14"/>
        <v>0</v>
      </c>
    </row>
    <row r="915" spans="3:8" x14ac:dyDescent="0.25">
      <c r="C915" t="str">
        <f>'RES TECH'!M913</f>
        <v>RESHOUUMOldSHAHP1ELC23</v>
      </c>
      <c r="G915" s="4">
        <f>IF(SUMIFS('RES TECH'!N:N,'RES TECH'!M:M,C915)&gt;0,1,0)</f>
        <v>1</v>
      </c>
      <c r="H915" s="4">
        <f t="shared" si="14"/>
        <v>0</v>
      </c>
    </row>
    <row r="916" spans="3:8" x14ac:dyDescent="0.25">
      <c r="C916" t="str">
        <f>'RES TECH'!M914</f>
        <v>RESHOUUMOldSHAHP2ELC20</v>
      </c>
      <c r="G916" s="4">
        <f>IF(SUMIFS('RES TECH'!N:N,'RES TECH'!M:M,C916)&gt;0,1,0)</f>
        <v>1</v>
      </c>
      <c r="H916" s="4">
        <f t="shared" si="14"/>
        <v>0</v>
      </c>
    </row>
    <row r="917" spans="3:8" x14ac:dyDescent="0.25">
      <c r="C917" t="str">
        <f>'RES TECH'!M915</f>
        <v>RESHOUUMOldSHAHP2ELC23</v>
      </c>
      <c r="G917" s="4">
        <f>IF(SUMIFS('RES TECH'!N:N,'RES TECH'!M:M,C917)&gt;0,1,0)</f>
        <v>1</v>
      </c>
      <c r="H917" s="4">
        <f t="shared" si="14"/>
        <v>0</v>
      </c>
    </row>
    <row r="918" spans="3:8" x14ac:dyDescent="0.25">
      <c r="C918" t="str">
        <f>'RES TECH'!M916</f>
        <v>RESHOUUMOldSHAHP3ELC20</v>
      </c>
      <c r="G918" s="4">
        <f>IF(SUMIFS('RES TECH'!N:N,'RES TECH'!M:M,C918)&gt;0,1,0)</f>
        <v>1</v>
      </c>
      <c r="H918" s="4">
        <f t="shared" si="14"/>
        <v>0</v>
      </c>
    </row>
    <row r="919" spans="3:8" x14ac:dyDescent="0.25">
      <c r="C919" t="str">
        <f>'RES TECH'!M917</f>
        <v>RESHOUUMOldSHAHP3ELC22</v>
      </c>
      <c r="G919" s="4">
        <f>IF(SUMIFS('RES TECH'!N:N,'RES TECH'!M:M,C919)&gt;0,1,0)</f>
        <v>1</v>
      </c>
      <c r="H919" s="4">
        <f t="shared" si="14"/>
        <v>0</v>
      </c>
    </row>
    <row r="920" spans="3:8" x14ac:dyDescent="0.25">
      <c r="C920" t="str">
        <f>'RES TECH'!M918</f>
        <v>RESHOUUMOldSHAHP3ELC23</v>
      </c>
      <c r="G920" s="4">
        <f>IF(SUMIFS('RES TECH'!N:N,'RES TECH'!M:M,C920)&gt;0,1,0)</f>
        <v>1</v>
      </c>
      <c r="H920" s="4">
        <f t="shared" si="14"/>
        <v>0</v>
      </c>
    </row>
    <row r="921" spans="3:8" x14ac:dyDescent="0.25">
      <c r="C921" t="str">
        <f>'RES TECH'!M919</f>
        <v>RESHOUUMOldSHAHP4ELC20</v>
      </c>
      <c r="G921" s="4">
        <f>IF(SUMIFS('RES TECH'!N:N,'RES TECH'!M:M,C921)&gt;0,1,0)</f>
        <v>1</v>
      </c>
      <c r="H921" s="4">
        <f t="shared" si="14"/>
        <v>0</v>
      </c>
    </row>
    <row r="922" spans="3:8" x14ac:dyDescent="0.25">
      <c r="C922" t="str">
        <f>'RES TECH'!M920</f>
        <v>RESHOUUMOldSHAHP4ELC22</v>
      </c>
      <c r="G922" s="4">
        <f>IF(SUMIFS('RES TECH'!N:N,'RES TECH'!M:M,C922)&gt;0,1,0)</f>
        <v>1</v>
      </c>
      <c r="H922" s="4">
        <f t="shared" si="14"/>
        <v>0</v>
      </c>
    </row>
    <row r="923" spans="3:8" x14ac:dyDescent="0.25">
      <c r="C923" t="str">
        <f>'RES TECH'!M921</f>
        <v>RESHOUUMOldSHGHP1ELC20</v>
      </c>
      <c r="G923" s="4">
        <f>IF(SUMIFS('RES TECH'!N:N,'RES TECH'!M:M,C923)&gt;0,1,0)</f>
        <v>1</v>
      </c>
      <c r="H923" s="4">
        <f t="shared" si="14"/>
        <v>0</v>
      </c>
    </row>
    <row r="924" spans="3:8" x14ac:dyDescent="0.25">
      <c r="C924" t="str">
        <f>'RES TECH'!M922</f>
        <v>RESHOUUMOldSHGHP2ELC20</v>
      </c>
      <c r="G924" s="4">
        <f>IF(SUMIFS('RES TECH'!N:N,'RES TECH'!M:M,C924)&gt;0,1,0)</f>
        <v>1</v>
      </c>
      <c r="H924" s="4">
        <f t="shared" si="14"/>
        <v>0</v>
      </c>
    </row>
    <row r="925" spans="3:8" x14ac:dyDescent="0.25">
      <c r="C925" t="str">
        <f>'RES TECH'!M923</f>
        <v>RESHOUUMOldSHGHP3ELC20</v>
      </c>
      <c r="G925" s="4">
        <f>IF(SUMIFS('RES TECH'!N:N,'RES TECH'!M:M,C925)&gt;0,1,0)</f>
        <v>1</v>
      </c>
      <c r="H925" s="4">
        <f t="shared" si="14"/>
        <v>0</v>
      </c>
    </row>
    <row r="926" spans="3:8" x14ac:dyDescent="0.25">
      <c r="C926" t="str">
        <f>'RES TECH'!M924</f>
        <v>RESHOUUMOldSHGHP3ELC20</v>
      </c>
      <c r="G926" s="4">
        <f>IF(SUMIFS('RES TECH'!N:N,'RES TECH'!M:M,C926)&gt;0,1,0)</f>
        <v>1</v>
      </c>
      <c r="H926" s="4">
        <f t="shared" si="14"/>
        <v>0</v>
      </c>
    </row>
    <row r="927" spans="3:8" x14ac:dyDescent="0.25">
      <c r="C927" t="str">
        <f>'RES TECH'!M925</f>
        <v>RESHOUUMOldSHGHP3ELC22</v>
      </c>
      <c r="G927" s="4">
        <f>IF(SUMIFS('RES TECH'!N:N,'RES TECH'!M:M,C927)&gt;0,1,0)</f>
        <v>1</v>
      </c>
      <c r="H927" s="4">
        <f t="shared" si="14"/>
        <v>0</v>
      </c>
    </row>
    <row r="928" spans="3:8" x14ac:dyDescent="0.25">
      <c r="C928" t="str">
        <f>'RES TECH'!M926</f>
        <v>RESHOUUMOldSHGHP3ELC23</v>
      </c>
      <c r="G928" s="4">
        <f>IF(SUMIFS('RES TECH'!N:N,'RES TECH'!M:M,C928)&gt;0,1,0)</f>
        <v>1</v>
      </c>
      <c r="H928" s="4">
        <f t="shared" si="14"/>
        <v>0</v>
      </c>
    </row>
    <row r="929" spans="3:8" x14ac:dyDescent="0.25">
      <c r="C929" t="str">
        <f>'RES TECH'!M927</f>
        <v>RESHOUUMOldSHGHP3ELC24</v>
      </c>
      <c r="G929" s="4">
        <f>IF(SUMIFS('RES TECH'!N:N,'RES TECH'!M:M,C929)&gt;0,1,0)</f>
        <v>1</v>
      </c>
      <c r="H929" s="4">
        <f t="shared" si="14"/>
        <v>0</v>
      </c>
    </row>
    <row r="930" spans="3:8" x14ac:dyDescent="0.25">
      <c r="C930" t="str">
        <f>'RES TECH'!M928</f>
        <v>RESHOUUMOldSHGHP4ELC20</v>
      </c>
      <c r="G930" s="4">
        <f>IF(SUMIFS('RES TECH'!N:N,'RES TECH'!M:M,C930)&gt;0,1,0)</f>
        <v>1</v>
      </c>
      <c r="H930" s="4">
        <f t="shared" si="14"/>
        <v>0</v>
      </c>
    </row>
    <row r="931" spans="3:8" x14ac:dyDescent="0.25">
      <c r="C931" t="str">
        <f>'RES TECH'!M929</f>
        <v>RESHOUUMOldSHGHP4ELC20</v>
      </c>
      <c r="G931" s="4">
        <f>IF(SUMIFS('RES TECH'!N:N,'RES TECH'!M:M,C931)&gt;0,1,0)</f>
        <v>1</v>
      </c>
      <c r="H931" s="4">
        <f t="shared" si="14"/>
        <v>0</v>
      </c>
    </row>
    <row r="932" spans="3:8" x14ac:dyDescent="0.25">
      <c r="C932" t="str">
        <f>'RES TECH'!M930</f>
        <v>RESHOUUMOldSHGHP4ELC22</v>
      </c>
      <c r="G932" s="4">
        <f>IF(SUMIFS('RES TECH'!N:N,'RES TECH'!M:M,C932)&gt;0,1,0)</f>
        <v>1</v>
      </c>
      <c r="H932" s="4">
        <f t="shared" si="14"/>
        <v>0</v>
      </c>
    </row>
    <row r="933" spans="3:8" x14ac:dyDescent="0.25">
      <c r="C933" t="str">
        <f>'RES TECH'!M931</f>
        <v>RESHOUUMOldSHGHP4ELC23</v>
      </c>
      <c r="G933" s="4">
        <f>IF(SUMIFS('RES TECH'!N:N,'RES TECH'!M:M,C933)&gt;0,1,0)</f>
        <v>1</v>
      </c>
      <c r="H933" s="4">
        <f t="shared" si="14"/>
        <v>0</v>
      </c>
    </row>
    <row r="934" spans="3:8" x14ac:dyDescent="0.25">
      <c r="C934" t="str">
        <f>'RES TECH'!M932</f>
        <v>RESHOUUMOldSHGHP4ELC24</v>
      </c>
      <c r="G934" s="4">
        <f>IF(SUMIFS('RES TECH'!N:N,'RES TECH'!M:M,C934)&gt;0,1,0)</f>
        <v>1</v>
      </c>
      <c r="H934" s="4">
        <f t="shared" si="14"/>
        <v>0</v>
      </c>
    </row>
    <row r="935" spans="3:8" x14ac:dyDescent="0.25">
      <c r="C935" t="str">
        <f>'RES TECH'!M933</f>
        <v>RESHOUUMOldSHRAD2ELC20</v>
      </c>
      <c r="G935" s="4">
        <f>IF(SUMIFS('RES TECH'!N:N,'RES TECH'!M:M,C935)&gt;0,1,0)</f>
        <v>1</v>
      </c>
      <c r="H935" s="4">
        <f t="shared" si="14"/>
        <v>0</v>
      </c>
    </row>
    <row r="936" spans="3:8" x14ac:dyDescent="0.25">
      <c r="C936" t="str">
        <f>'RES TECH'!M934</f>
        <v>RESHOUUMOldSHFUR1NGA20</v>
      </c>
      <c r="G936" s="4">
        <f>IF(SUMIFS('RES TECH'!N:N,'RES TECH'!M:M,C936)&gt;0,1,0)</f>
        <v>1</v>
      </c>
      <c r="H936" s="4">
        <f t="shared" si="14"/>
        <v>0</v>
      </c>
    </row>
    <row r="937" spans="3:8" x14ac:dyDescent="0.25">
      <c r="C937" t="str">
        <f>'RES TECH'!M935</f>
        <v>RESHOUUMOldSHFUR2NGA20</v>
      </c>
      <c r="G937" s="4">
        <f>IF(SUMIFS('RES TECH'!N:N,'RES TECH'!M:M,C937)&gt;0,1,0)</f>
        <v>1</v>
      </c>
      <c r="H937" s="4">
        <f t="shared" si="14"/>
        <v>0</v>
      </c>
    </row>
    <row r="938" spans="3:8" x14ac:dyDescent="0.25">
      <c r="C938" t="str">
        <f>'RES TECH'!M936</f>
        <v>RESHOUUMOldSHFUR2NGA20</v>
      </c>
      <c r="G938" s="4">
        <f>IF(SUMIFS('RES TECH'!N:N,'RES TECH'!M:M,C938)&gt;0,1,0)</f>
        <v>1</v>
      </c>
      <c r="H938" s="4">
        <f t="shared" si="14"/>
        <v>0</v>
      </c>
    </row>
    <row r="939" spans="3:8" x14ac:dyDescent="0.25">
      <c r="C939" t="str">
        <f>'RES TECH'!M937</f>
        <v>RESHOUUMOldSHFUR3NGA20</v>
      </c>
      <c r="G939" s="4">
        <f>IF(SUMIFS('RES TECH'!N:N,'RES TECH'!M:M,C939)&gt;0,1,0)</f>
        <v>1</v>
      </c>
      <c r="H939" s="4">
        <f t="shared" si="14"/>
        <v>0</v>
      </c>
    </row>
    <row r="940" spans="3:8" x14ac:dyDescent="0.25">
      <c r="C940" t="str">
        <f>'RES TECH'!M938</f>
        <v>RESHOUUMOldSHFUR3NGA22</v>
      </c>
      <c r="G940" s="4">
        <f>IF(SUMIFS('RES TECH'!N:N,'RES TECH'!M:M,C940)&gt;0,1,0)</f>
        <v>1</v>
      </c>
      <c r="H940" s="4">
        <f t="shared" si="14"/>
        <v>0</v>
      </c>
    </row>
    <row r="941" spans="3:8" x14ac:dyDescent="0.25">
      <c r="C941" t="str">
        <f>'RES TECH'!M939</f>
        <v>RESHOUUMOldSHFUR4NGA20</v>
      </c>
      <c r="G941" s="4">
        <f>IF(SUMIFS('RES TECH'!N:N,'RES TECH'!M:M,C941)&gt;0,1,0)</f>
        <v>1</v>
      </c>
      <c r="H941" s="4">
        <f t="shared" si="14"/>
        <v>0</v>
      </c>
    </row>
    <row r="942" spans="3:8" x14ac:dyDescent="0.25">
      <c r="C942" t="str">
        <f>'RES TECH'!M940</f>
        <v>RESHOUUMOldSHFUR4NGA22</v>
      </c>
      <c r="G942" s="4">
        <f>IF(SUMIFS('RES TECH'!N:N,'RES TECH'!M:M,C942)&gt;0,1,0)</f>
        <v>1</v>
      </c>
      <c r="H942" s="4">
        <f t="shared" si="14"/>
        <v>0</v>
      </c>
    </row>
    <row r="943" spans="3:8" x14ac:dyDescent="0.25">
      <c r="C943" t="str">
        <f>'RES TECH'!M941</f>
        <v>RESHOUUMOldSHRAD1NGA20</v>
      </c>
      <c r="G943" s="4">
        <f>IF(SUMIFS('RES TECH'!N:N,'RES TECH'!M:M,C943)&gt;0,1,0)</f>
        <v>1</v>
      </c>
      <c r="H943" s="4">
        <f t="shared" si="14"/>
        <v>0</v>
      </c>
    </row>
    <row r="944" spans="3:8" x14ac:dyDescent="0.25">
      <c r="C944" t="str">
        <f>'RES TECH'!M942</f>
        <v>RESHOUUMOldSHRAD1NGA21</v>
      </c>
      <c r="G944" s="4">
        <f>IF(SUMIFS('RES TECH'!N:N,'RES TECH'!M:M,C944)&gt;0,1,0)</f>
        <v>1</v>
      </c>
      <c r="H944" s="4">
        <f t="shared" si="14"/>
        <v>0</v>
      </c>
    </row>
    <row r="945" spans="3:8" x14ac:dyDescent="0.25">
      <c r="C945" t="str">
        <f>'RES TECH'!M943</f>
        <v>RESHOUUMOldSHRAD2NGA20</v>
      </c>
      <c r="G945" s="4">
        <f>IF(SUMIFS('RES TECH'!N:N,'RES TECH'!M:M,C945)&gt;0,1,0)</f>
        <v>1</v>
      </c>
      <c r="H945" s="4">
        <f t="shared" si="14"/>
        <v>0</v>
      </c>
    </row>
    <row r="946" spans="3:8" x14ac:dyDescent="0.25">
      <c r="C946" t="str">
        <f>'RES TECH'!M944</f>
        <v>RESHOUUMOldSHRAD2NGA20</v>
      </c>
      <c r="G946" s="4">
        <f>IF(SUMIFS('RES TECH'!N:N,'RES TECH'!M:M,C946)&gt;0,1,0)</f>
        <v>1</v>
      </c>
      <c r="H946" s="4">
        <f t="shared" si="14"/>
        <v>0</v>
      </c>
    </row>
    <row r="947" spans="3:8" x14ac:dyDescent="0.25">
      <c r="C947" t="str">
        <f>'RES TECH'!M945</f>
        <v>RESHOUUMOldSHRAD3NGA20</v>
      </c>
      <c r="G947" s="4">
        <f>IF(SUMIFS('RES TECH'!N:N,'RES TECH'!M:M,C947)&gt;0,1,0)</f>
        <v>1</v>
      </c>
      <c r="H947" s="4">
        <f t="shared" si="14"/>
        <v>0</v>
      </c>
    </row>
    <row r="948" spans="3:8" x14ac:dyDescent="0.25">
      <c r="C948" t="str">
        <f>'RES TECH'!M946</f>
        <v>RESHOUUMOldSHRAD4NGA20</v>
      </c>
      <c r="G948" s="4">
        <f>IF(SUMIFS('RES TECH'!N:N,'RES TECH'!M:M,C948)&gt;0,1,0)</f>
        <v>1</v>
      </c>
      <c r="H948" s="4">
        <f t="shared" si="14"/>
        <v>0</v>
      </c>
    </row>
    <row r="949" spans="3:8" x14ac:dyDescent="0.25">
      <c r="C949" t="str">
        <f>'RES TECH'!M947</f>
        <v>RESHOUUMOldSHRAD4NGA22</v>
      </c>
      <c r="G949" s="4">
        <f>IF(SUMIFS('RES TECH'!N:N,'RES TECH'!M:M,C949)&gt;0,1,0)</f>
        <v>1</v>
      </c>
      <c r="H949" s="4">
        <f t="shared" si="14"/>
        <v>0</v>
      </c>
    </row>
    <row r="950" spans="3:8" x14ac:dyDescent="0.25">
      <c r="C950" t="str">
        <f>'RES TECH'!M948</f>
        <v>RESHOUUMOldSHFUR1KER20</v>
      </c>
      <c r="G950" s="4">
        <f>IF(SUMIFS('RES TECH'!N:N,'RES TECH'!M:M,C950)&gt;0,1,0)</f>
        <v>1</v>
      </c>
      <c r="H950" s="4">
        <f t="shared" si="14"/>
        <v>0</v>
      </c>
    </row>
    <row r="951" spans="3:8" x14ac:dyDescent="0.25">
      <c r="C951" t="str">
        <f>'RES TECH'!M949</f>
        <v>RESHOUUMOldSHFUR2KER20</v>
      </c>
      <c r="G951" s="4">
        <f>IF(SUMIFS('RES TECH'!N:N,'RES TECH'!M:M,C951)&gt;0,1,0)</f>
        <v>1</v>
      </c>
      <c r="H951" s="4">
        <f t="shared" si="14"/>
        <v>0</v>
      </c>
    </row>
    <row r="952" spans="3:8" x14ac:dyDescent="0.25">
      <c r="C952" t="str">
        <f>'RES TECH'!M950</f>
        <v>RESHOUUMOldSHFUR2KER20</v>
      </c>
      <c r="G952" s="4">
        <f>IF(SUMIFS('RES TECH'!N:N,'RES TECH'!M:M,C952)&gt;0,1,0)</f>
        <v>1</v>
      </c>
      <c r="H952" s="4">
        <f t="shared" si="14"/>
        <v>0</v>
      </c>
    </row>
    <row r="953" spans="3:8" x14ac:dyDescent="0.25">
      <c r="C953" t="str">
        <f>'RES TECH'!M951</f>
        <v>RESHOUUMOldSHFUR3KER20</v>
      </c>
      <c r="G953" s="4">
        <f>IF(SUMIFS('RES TECH'!N:N,'RES TECH'!M:M,C953)&gt;0,1,0)</f>
        <v>1</v>
      </c>
      <c r="H953" s="4">
        <f t="shared" si="14"/>
        <v>0</v>
      </c>
    </row>
    <row r="954" spans="3:8" x14ac:dyDescent="0.25">
      <c r="C954" t="str">
        <f>'RES TECH'!M952</f>
        <v>RESHOUUMOldSHFUR4KER20</v>
      </c>
      <c r="G954" s="4">
        <f>IF(SUMIFS('RES TECH'!N:N,'RES TECH'!M:M,C954)&gt;0,1,0)</f>
        <v>1</v>
      </c>
      <c r="H954" s="4">
        <f t="shared" si="14"/>
        <v>0</v>
      </c>
    </row>
    <row r="955" spans="3:8" x14ac:dyDescent="0.25">
      <c r="C955" t="str">
        <f>'RES TECH'!M953</f>
        <v>RESHOUUMOldSHFUR4KER20</v>
      </c>
      <c r="G955" s="4">
        <f>IF(SUMIFS('RES TECH'!N:N,'RES TECH'!M:M,C955)&gt;0,1,0)</f>
        <v>1</v>
      </c>
      <c r="H955" s="4">
        <f t="shared" si="14"/>
        <v>0</v>
      </c>
    </row>
    <row r="956" spans="3:8" x14ac:dyDescent="0.25">
      <c r="C956" t="str">
        <f>'RES TECH'!M954</f>
        <v>RESHOUUMOldSHFUR1LPG20</v>
      </c>
      <c r="G956" s="4">
        <f>IF(SUMIFS('RES TECH'!N:N,'RES TECH'!M:M,C956)&gt;0,1,0)</f>
        <v>1</v>
      </c>
      <c r="H956" s="4">
        <f t="shared" si="14"/>
        <v>0</v>
      </c>
    </row>
    <row r="957" spans="3:8" x14ac:dyDescent="0.25">
      <c r="C957" t="str">
        <f>'RES TECH'!M955</f>
        <v>RESHOUUMOldSHFUR2LPG20</v>
      </c>
      <c r="G957" s="4">
        <f>IF(SUMIFS('RES TECH'!N:N,'RES TECH'!M:M,C957)&gt;0,1,0)</f>
        <v>1</v>
      </c>
      <c r="H957" s="4">
        <f t="shared" si="14"/>
        <v>0</v>
      </c>
    </row>
    <row r="958" spans="3:8" x14ac:dyDescent="0.25">
      <c r="C958" t="str">
        <f>'RES TECH'!M956</f>
        <v>RESHOUUMOldSHFUR2LPG20</v>
      </c>
      <c r="G958" s="4">
        <f>IF(SUMIFS('RES TECH'!N:N,'RES TECH'!M:M,C958)&gt;0,1,0)</f>
        <v>1</v>
      </c>
      <c r="H958" s="4">
        <f t="shared" si="14"/>
        <v>0</v>
      </c>
    </row>
    <row r="959" spans="3:8" x14ac:dyDescent="0.25">
      <c r="C959" t="str">
        <f>'RES TECH'!M957</f>
        <v>RESHOUUMOldSHFUR3LPG20</v>
      </c>
      <c r="G959" s="4">
        <f>IF(SUMIFS('RES TECH'!N:N,'RES TECH'!M:M,C959)&gt;0,1,0)</f>
        <v>1</v>
      </c>
      <c r="H959" s="4">
        <f t="shared" si="14"/>
        <v>0</v>
      </c>
    </row>
    <row r="960" spans="3:8" x14ac:dyDescent="0.25">
      <c r="C960" t="str">
        <f>'RES TECH'!M958</f>
        <v>RESHOUUMOldSHFUR3LPG22</v>
      </c>
      <c r="G960" s="4">
        <f>IF(SUMIFS('RES TECH'!N:N,'RES TECH'!M:M,C960)&gt;0,1,0)</f>
        <v>1</v>
      </c>
      <c r="H960" s="4">
        <f t="shared" si="14"/>
        <v>0</v>
      </c>
    </row>
    <row r="961" spans="3:8" x14ac:dyDescent="0.25">
      <c r="C961" t="str">
        <f>'RES TECH'!M959</f>
        <v>RESHOUUMOldSHFUR4LPG20</v>
      </c>
      <c r="G961" s="4">
        <f>IF(SUMIFS('RES TECH'!N:N,'RES TECH'!M:M,C961)&gt;0,1,0)</f>
        <v>1</v>
      </c>
      <c r="H961" s="4">
        <f t="shared" si="14"/>
        <v>0</v>
      </c>
    </row>
    <row r="962" spans="3:8" x14ac:dyDescent="0.25">
      <c r="C962" t="str">
        <f>'RES TECH'!M960</f>
        <v>RESHOUUMOldSHFUR4LPG22</v>
      </c>
      <c r="G962" s="4">
        <f>IF(SUMIFS('RES TECH'!N:N,'RES TECH'!M:M,C962)&gt;0,1,0)</f>
        <v>1</v>
      </c>
      <c r="H962" s="4">
        <f t="shared" si="14"/>
        <v>0</v>
      </c>
    </row>
    <row r="963" spans="3:8" x14ac:dyDescent="0.25">
      <c r="C963" t="str">
        <f>'RES TECH'!M961</f>
        <v>RESHOUUMOldSHFUR1FOI20</v>
      </c>
      <c r="G963" s="4">
        <f>IF(SUMIFS('RES TECH'!N:N,'RES TECH'!M:M,C963)&gt;0,1,0)</f>
        <v>1</v>
      </c>
      <c r="H963" s="4">
        <f t="shared" si="14"/>
        <v>0</v>
      </c>
    </row>
    <row r="964" spans="3:8" x14ac:dyDescent="0.25">
      <c r="C964" t="str">
        <f>'RES TECH'!M962</f>
        <v>RESHOUUMOldSHFUR2FOI20</v>
      </c>
      <c r="G964" s="4">
        <f>IF(SUMIFS('RES TECH'!N:N,'RES TECH'!M:M,C964)&gt;0,1,0)</f>
        <v>1</v>
      </c>
      <c r="H964" s="4">
        <f t="shared" si="14"/>
        <v>0</v>
      </c>
    </row>
    <row r="965" spans="3:8" x14ac:dyDescent="0.25">
      <c r="C965" t="str">
        <f>'RES TECH'!M963</f>
        <v>RESHOUUMOldSHFUR2FOI22</v>
      </c>
      <c r="G965" s="4">
        <f>IF(SUMIFS('RES TECH'!N:N,'RES TECH'!M:M,C965)&gt;0,1,0)</f>
        <v>1</v>
      </c>
      <c r="H965" s="4">
        <f t="shared" ref="H965:H1028" si="15">IF(C965="","",IF(C965="*","*",0))</f>
        <v>0</v>
      </c>
    </row>
    <row r="966" spans="3:8" x14ac:dyDescent="0.25">
      <c r="C966" t="str">
        <f>'RES TECH'!M964</f>
        <v>RESHOUUMOldSHFUR3FOI20</v>
      </c>
      <c r="G966" s="4">
        <f>IF(SUMIFS('RES TECH'!N:N,'RES TECH'!M:M,C966)&gt;0,1,0)</f>
        <v>1</v>
      </c>
      <c r="H966" s="4">
        <f t="shared" si="15"/>
        <v>0</v>
      </c>
    </row>
    <row r="967" spans="3:8" x14ac:dyDescent="0.25">
      <c r="C967" t="str">
        <f>'RES TECH'!M965</f>
        <v>RESHOUUMOldSHFUR4FOI20</v>
      </c>
      <c r="G967" s="4">
        <f>IF(SUMIFS('RES TECH'!N:N,'RES TECH'!M:M,C967)&gt;0,1,0)</f>
        <v>1</v>
      </c>
      <c r="H967" s="4">
        <f t="shared" si="15"/>
        <v>0</v>
      </c>
    </row>
    <row r="968" spans="3:8" x14ac:dyDescent="0.25">
      <c r="C968" t="str">
        <f>'RES TECH'!M966</f>
        <v>RESHOUUMOldSHFUR4FOI22</v>
      </c>
      <c r="G968" s="4">
        <f>IF(SUMIFS('RES TECH'!N:N,'RES TECH'!M:M,C968)&gt;0,1,0)</f>
        <v>1</v>
      </c>
      <c r="H968" s="4">
        <f t="shared" si="15"/>
        <v>0</v>
      </c>
    </row>
    <row r="969" spans="3:8" x14ac:dyDescent="0.25">
      <c r="C969" t="str">
        <f>'RES TECH'!M967</f>
        <v>RESHOUUMOldSHRAD1FOI20</v>
      </c>
      <c r="G969" s="4">
        <f>IF(SUMIFS('RES TECH'!N:N,'RES TECH'!M:M,C969)&gt;0,1,0)</f>
        <v>1</v>
      </c>
      <c r="H969" s="4">
        <f t="shared" si="15"/>
        <v>0</v>
      </c>
    </row>
    <row r="970" spans="3:8" x14ac:dyDescent="0.25">
      <c r="C970" t="str">
        <f>'RES TECH'!M968</f>
        <v>RESHOUUMOldSHRAD1FOI22</v>
      </c>
      <c r="G970" s="4">
        <f>IF(SUMIFS('RES TECH'!N:N,'RES TECH'!M:M,C970)&gt;0,1,0)</f>
        <v>1</v>
      </c>
      <c r="H970" s="4">
        <f t="shared" si="15"/>
        <v>0</v>
      </c>
    </row>
    <row r="971" spans="3:8" x14ac:dyDescent="0.25">
      <c r="C971" t="str">
        <f>'RES TECH'!M969</f>
        <v>RESHOUUMOldSHRAD2FOI20</v>
      </c>
      <c r="G971" s="4">
        <f>IF(SUMIFS('RES TECH'!N:N,'RES TECH'!M:M,C971)&gt;0,1,0)</f>
        <v>1</v>
      </c>
      <c r="H971" s="4">
        <f t="shared" si="15"/>
        <v>0</v>
      </c>
    </row>
    <row r="972" spans="3:8" x14ac:dyDescent="0.25">
      <c r="C972" t="str">
        <f>'RES TECH'!M970</f>
        <v>RESHOUUMOldSHRAD2FOI22</v>
      </c>
      <c r="G972" s="4">
        <f>IF(SUMIFS('RES TECH'!N:N,'RES TECH'!M:M,C972)&gt;0,1,0)</f>
        <v>1</v>
      </c>
      <c r="H972" s="4">
        <f t="shared" si="15"/>
        <v>0</v>
      </c>
    </row>
    <row r="973" spans="3:8" x14ac:dyDescent="0.25">
      <c r="C973" t="str">
        <f>'RES TECH'!M971</f>
        <v>RESHOUUMOldSHRAD3FOI20</v>
      </c>
      <c r="G973" s="4">
        <f>IF(SUMIFS('RES TECH'!N:N,'RES TECH'!M:M,C973)&gt;0,1,0)</f>
        <v>1</v>
      </c>
      <c r="H973" s="4">
        <f t="shared" si="15"/>
        <v>0</v>
      </c>
    </row>
    <row r="974" spans="3:8" x14ac:dyDescent="0.25">
      <c r="C974" t="str">
        <f>'RES TECH'!M972</f>
        <v>RESHOUUMOldSHRAD4FOI20</v>
      </c>
      <c r="G974" s="4">
        <f>IF(SUMIFS('RES TECH'!N:N,'RES TECH'!M:M,C974)&gt;0,1,0)</f>
        <v>1</v>
      </c>
      <c r="H974" s="4">
        <f t="shared" si="15"/>
        <v>0</v>
      </c>
    </row>
    <row r="975" spans="3:8" x14ac:dyDescent="0.25">
      <c r="C975" t="str">
        <f>'RES TECH'!M973</f>
        <v>RESHOUUMOldSCAHP2NGA20</v>
      </c>
      <c r="G975" s="4">
        <f>IF(SUMIFS('RES TECH'!N:N,'RES TECH'!M:M,C975)&gt;0,1,0)</f>
        <v>1</v>
      </c>
      <c r="H975" s="4">
        <f t="shared" si="15"/>
        <v>0</v>
      </c>
    </row>
    <row r="976" spans="3:8" x14ac:dyDescent="0.25">
      <c r="C976" t="str">
        <f>'RES TECH'!M974</f>
        <v>RESHOUUMOldSCAHP2NGA20</v>
      </c>
      <c r="G976" s="4">
        <f>IF(SUMIFS('RES TECH'!N:N,'RES TECH'!M:M,C976)&gt;0,1,0)</f>
        <v>1</v>
      </c>
      <c r="H976" s="4">
        <f t="shared" si="15"/>
        <v>0</v>
      </c>
    </row>
    <row r="977" spans="3:8" x14ac:dyDescent="0.25">
      <c r="C977" t="str">
        <f>'RES TECH'!M975</f>
        <v>RESHOUUMOldSCAHP1ELC20</v>
      </c>
      <c r="G977" s="4">
        <f>IF(SUMIFS('RES TECH'!N:N,'RES TECH'!M:M,C977)&gt;0,1,0)</f>
        <v>1</v>
      </c>
      <c r="H977" s="4">
        <f t="shared" si="15"/>
        <v>0</v>
      </c>
    </row>
    <row r="978" spans="3:8" x14ac:dyDescent="0.25">
      <c r="C978" t="str">
        <f>'RES TECH'!M976</f>
        <v>RESHOUUMOldSCAHP1ELC23</v>
      </c>
      <c r="G978" s="4">
        <f>IF(SUMIFS('RES TECH'!N:N,'RES TECH'!M:M,C978)&gt;0,1,0)</f>
        <v>1</v>
      </c>
      <c r="H978" s="4">
        <f t="shared" si="15"/>
        <v>0</v>
      </c>
    </row>
    <row r="979" spans="3:8" x14ac:dyDescent="0.25">
      <c r="C979" t="str">
        <f>'RES TECH'!M977</f>
        <v>RESHOUUMOldSCAHP2ELC20</v>
      </c>
      <c r="G979" s="4">
        <f>IF(SUMIFS('RES TECH'!N:N,'RES TECH'!M:M,C979)&gt;0,1,0)</f>
        <v>1</v>
      </c>
      <c r="H979" s="4">
        <f t="shared" si="15"/>
        <v>0</v>
      </c>
    </row>
    <row r="980" spans="3:8" x14ac:dyDescent="0.25">
      <c r="C980" t="str">
        <f>'RES TECH'!M978</f>
        <v>RESHOUUMOldSCAHP2ELC23</v>
      </c>
      <c r="G980" s="4">
        <f>IF(SUMIFS('RES TECH'!N:N,'RES TECH'!M:M,C980)&gt;0,1,0)</f>
        <v>1</v>
      </c>
      <c r="H980" s="4">
        <f t="shared" si="15"/>
        <v>0</v>
      </c>
    </row>
    <row r="981" spans="3:8" x14ac:dyDescent="0.25">
      <c r="C981" t="str">
        <f>'RES TECH'!M979</f>
        <v>RESHOUUMOldSCAHP3ELC20</v>
      </c>
      <c r="G981" s="4">
        <f>IF(SUMIFS('RES TECH'!N:N,'RES TECH'!M:M,C981)&gt;0,1,0)</f>
        <v>1</v>
      </c>
      <c r="H981" s="4">
        <f t="shared" si="15"/>
        <v>0</v>
      </c>
    </row>
    <row r="982" spans="3:8" x14ac:dyDescent="0.25">
      <c r="C982" t="str">
        <f>'RES TECH'!M980</f>
        <v>RESHOUUMOldSCAHP3ELC22</v>
      </c>
      <c r="G982" s="4">
        <f>IF(SUMIFS('RES TECH'!N:N,'RES TECH'!M:M,C982)&gt;0,1,0)</f>
        <v>1</v>
      </c>
      <c r="H982" s="4">
        <f t="shared" si="15"/>
        <v>0</v>
      </c>
    </row>
    <row r="983" spans="3:8" x14ac:dyDescent="0.25">
      <c r="C983" t="str">
        <f>'RES TECH'!M981</f>
        <v>RESHOUUMOldSCAHP3ELC23</v>
      </c>
      <c r="G983" s="4">
        <f>IF(SUMIFS('RES TECH'!N:N,'RES TECH'!M:M,C983)&gt;0,1,0)</f>
        <v>1</v>
      </c>
      <c r="H983" s="4">
        <f t="shared" si="15"/>
        <v>0</v>
      </c>
    </row>
    <row r="984" spans="3:8" x14ac:dyDescent="0.25">
      <c r="C984" t="str">
        <f>'RES TECH'!M982</f>
        <v>RESHOUUMOldSCAHP4ELC20</v>
      </c>
      <c r="G984" s="4">
        <f>IF(SUMIFS('RES TECH'!N:N,'RES TECH'!M:M,C984)&gt;0,1,0)</f>
        <v>1</v>
      </c>
      <c r="H984" s="4">
        <f t="shared" si="15"/>
        <v>0</v>
      </c>
    </row>
    <row r="985" spans="3:8" x14ac:dyDescent="0.25">
      <c r="C985" t="str">
        <f>'RES TECH'!M983</f>
        <v>RESHOUUMOldSCAHP4ELC22</v>
      </c>
      <c r="G985" s="4">
        <f>IF(SUMIFS('RES TECH'!N:N,'RES TECH'!M:M,C985)&gt;0,1,0)</f>
        <v>1</v>
      </c>
      <c r="H985" s="4">
        <f t="shared" si="15"/>
        <v>0</v>
      </c>
    </row>
    <row r="986" spans="3:8" x14ac:dyDescent="0.25">
      <c r="C986" t="str">
        <f>'RES TECH'!M984</f>
        <v>RESHOUUMOldSCGHP1ELC20</v>
      </c>
      <c r="G986" s="4">
        <f>IF(SUMIFS('RES TECH'!N:N,'RES TECH'!M:M,C986)&gt;0,1,0)</f>
        <v>1</v>
      </c>
      <c r="H986" s="4">
        <f t="shared" si="15"/>
        <v>0</v>
      </c>
    </row>
    <row r="987" spans="3:8" x14ac:dyDescent="0.25">
      <c r="C987" t="str">
        <f>'RES TECH'!M985</f>
        <v>RESHOUUMOldSCGHP2ELC20</v>
      </c>
      <c r="G987" s="4">
        <f>IF(SUMIFS('RES TECH'!N:N,'RES TECH'!M:M,C987)&gt;0,1,0)</f>
        <v>1</v>
      </c>
      <c r="H987" s="4">
        <f t="shared" si="15"/>
        <v>0</v>
      </c>
    </row>
    <row r="988" spans="3:8" x14ac:dyDescent="0.25">
      <c r="C988" t="str">
        <f>'RES TECH'!M986</f>
        <v>RESHOUUMOldSCGHP3ELC20</v>
      </c>
      <c r="G988" s="4">
        <f>IF(SUMIFS('RES TECH'!N:N,'RES TECH'!M:M,C988)&gt;0,1,0)</f>
        <v>1</v>
      </c>
      <c r="H988" s="4">
        <f t="shared" si="15"/>
        <v>0</v>
      </c>
    </row>
    <row r="989" spans="3:8" x14ac:dyDescent="0.25">
      <c r="C989" t="str">
        <f>'RES TECH'!M987</f>
        <v>RESHOUUMOldSCGHP3ELC20</v>
      </c>
      <c r="G989" s="4">
        <f>IF(SUMIFS('RES TECH'!N:N,'RES TECH'!M:M,C989)&gt;0,1,0)</f>
        <v>1</v>
      </c>
      <c r="H989" s="4">
        <f t="shared" si="15"/>
        <v>0</v>
      </c>
    </row>
    <row r="990" spans="3:8" x14ac:dyDescent="0.25">
      <c r="C990" t="str">
        <f>'RES TECH'!M988</f>
        <v>RESHOUUMOldSCGHP3ELC22</v>
      </c>
      <c r="G990" s="4">
        <f>IF(SUMIFS('RES TECH'!N:N,'RES TECH'!M:M,C990)&gt;0,1,0)</f>
        <v>1</v>
      </c>
      <c r="H990" s="4">
        <f t="shared" si="15"/>
        <v>0</v>
      </c>
    </row>
    <row r="991" spans="3:8" x14ac:dyDescent="0.25">
      <c r="C991" t="str">
        <f>'RES TECH'!M989</f>
        <v>RESHOUUMOldSCGHP3ELC23</v>
      </c>
      <c r="G991" s="4">
        <f>IF(SUMIFS('RES TECH'!N:N,'RES TECH'!M:M,C991)&gt;0,1,0)</f>
        <v>1</v>
      </c>
      <c r="H991" s="4">
        <f t="shared" si="15"/>
        <v>0</v>
      </c>
    </row>
    <row r="992" spans="3:8" x14ac:dyDescent="0.25">
      <c r="C992" t="str">
        <f>'RES TECH'!M990</f>
        <v>RESHOUUMOldSCGHP3ELC24</v>
      </c>
      <c r="G992" s="4">
        <f>IF(SUMIFS('RES TECH'!N:N,'RES TECH'!M:M,C992)&gt;0,1,0)</f>
        <v>1</v>
      </c>
      <c r="H992" s="4">
        <f t="shared" si="15"/>
        <v>0</v>
      </c>
    </row>
    <row r="993" spans="3:8" x14ac:dyDescent="0.25">
      <c r="C993" t="str">
        <f>'RES TECH'!M991</f>
        <v>RESHOUUMOldSCGHP4ELC20</v>
      </c>
      <c r="G993" s="4">
        <f>IF(SUMIFS('RES TECH'!N:N,'RES TECH'!M:M,C993)&gt;0,1,0)</f>
        <v>1</v>
      </c>
      <c r="H993" s="4">
        <f t="shared" si="15"/>
        <v>0</v>
      </c>
    </row>
    <row r="994" spans="3:8" x14ac:dyDescent="0.25">
      <c r="C994" t="str">
        <f>'RES TECH'!M992</f>
        <v>RESHOUUMOldSCGHP4ELC20</v>
      </c>
      <c r="G994" s="4">
        <f>IF(SUMIFS('RES TECH'!N:N,'RES TECH'!M:M,C994)&gt;0,1,0)</f>
        <v>1</v>
      </c>
      <c r="H994" s="4">
        <f t="shared" si="15"/>
        <v>0</v>
      </c>
    </row>
    <row r="995" spans="3:8" x14ac:dyDescent="0.25">
      <c r="C995" t="str">
        <f>'RES TECH'!M993</f>
        <v>RESHOUUMOldSCGHP4ELC22</v>
      </c>
      <c r="G995" s="4">
        <f>IF(SUMIFS('RES TECH'!N:N,'RES TECH'!M:M,C995)&gt;0,1,0)</f>
        <v>1</v>
      </c>
      <c r="H995" s="4">
        <f t="shared" si="15"/>
        <v>0</v>
      </c>
    </row>
    <row r="996" spans="3:8" x14ac:dyDescent="0.25">
      <c r="C996" t="str">
        <f>'RES TECH'!M994</f>
        <v>RESHOUUMOldSCGHP4ELC23</v>
      </c>
      <c r="G996" s="4">
        <f>IF(SUMIFS('RES TECH'!N:N,'RES TECH'!M:M,C996)&gt;0,1,0)</f>
        <v>1</v>
      </c>
      <c r="H996" s="4">
        <f t="shared" si="15"/>
        <v>0</v>
      </c>
    </row>
    <row r="997" spans="3:8" x14ac:dyDescent="0.25">
      <c r="C997" t="str">
        <f>'RES TECH'!M995</f>
        <v>RESHOUUMOldSCGHP4ELC24</v>
      </c>
      <c r="G997" s="4">
        <f>IF(SUMIFS('RES TECH'!N:N,'RES TECH'!M:M,C997)&gt;0,1,0)</f>
        <v>1</v>
      </c>
      <c r="H997" s="4">
        <f t="shared" si="15"/>
        <v>0</v>
      </c>
    </row>
    <row r="998" spans="3:8" x14ac:dyDescent="0.25">
      <c r="C998" t="str">
        <f>'RES TECH'!M996</f>
        <v>RESHOUUMOldSCRAC1ELC20</v>
      </c>
      <c r="G998" s="4">
        <f>IF(SUMIFS('RES TECH'!N:N,'RES TECH'!M:M,C998)&gt;0,1,0)</f>
        <v>1</v>
      </c>
      <c r="H998" s="4">
        <f t="shared" si="15"/>
        <v>0</v>
      </c>
    </row>
    <row r="999" spans="3:8" x14ac:dyDescent="0.25">
      <c r="C999" t="str">
        <f>'RES TECH'!M997</f>
        <v>RESHOUUMOldSCRAC2ELC20</v>
      </c>
      <c r="G999" s="4">
        <f>IF(SUMIFS('RES TECH'!N:N,'RES TECH'!M:M,C999)&gt;0,1,0)</f>
        <v>1</v>
      </c>
      <c r="H999" s="4">
        <f t="shared" si="15"/>
        <v>0</v>
      </c>
    </row>
    <row r="1000" spans="3:8" x14ac:dyDescent="0.25">
      <c r="C1000" t="str">
        <f>'RES TECH'!M998</f>
        <v>RESHOUUMOldSCRAC2ELC30</v>
      </c>
      <c r="G1000" s="4">
        <f>IF(SUMIFS('RES TECH'!N:N,'RES TECH'!M:M,C1000)&gt;0,1,0)</f>
        <v>1</v>
      </c>
      <c r="H1000" s="4">
        <f t="shared" si="15"/>
        <v>0</v>
      </c>
    </row>
    <row r="1001" spans="3:8" x14ac:dyDescent="0.25">
      <c r="C1001" t="str">
        <f>'RES TECH'!M999</f>
        <v>RESHOUUMOldSCRAC2ELC40</v>
      </c>
      <c r="G1001" s="4">
        <f>IF(SUMIFS('RES TECH'!N:N,'RES TECH'!M:M,C1001)&gt;0,1,0)</f>
        <v>1</v>
      </c>
      <c r="H1001" s="4">
        <f t="shared" si="15"/>
        <v>0</v>
      </c>
    </row>
    <row r="1002" spans="3:8" x14ac:dyDescent="0.25">
      <c r="C1002" t="str">
        <f>'RES TECH'!M1000</f>
        <v>RESHOUUMOldSCRAC3ELC20</v>
      </c>
      <c r="G1002" s="4">
        <f>IF(SUMIFS('RES TECH'!N:N,'RES TECH'!M:M,C1002)&gt;0,1,0)</f>
        <v>1</v>
      </c>
      <c r="H1002" s="4">
        <f t="shared" si="15"/>
        <v>0</v>
      </c>
    </row>
    <row r="1003" spans="3:8" x14ac:dyDescent="0.25">
      <c r="C1003" t="str">
        <f>'RES TECH'!M1001</f>
        <v>RESHOUUMOldSCRAC4ELC20</v>
      </c>
      <c r="G1003" s="4">
        <f>IF(SUMIFS('RES TECH'!N:N,'RES TECH'!M:M,C1003)&gt;0,1,0)</f>
        <v>1</v>
      </c>
      <c r="H1003" s="4">
        <f t="shared" si="15"/>
        <v>0</v>
      </c>
    </row>
    <row r="1004" spans="3:8" x14ac:dyDescent="0.25">
      <c r="C1004" t="str">
        <f>'RES TECH'!M1002</f>
        <v>RESHOUUMOldSCRAC4ELC22</v>
      </c>
      <c r="G1004" s="4">
        <f>IF(SUMIFS('RES TECH'!N:N,'RES TECH'!M:M,C1004)&gt;0,1,0)</f>
        <v>1</v>
      </c>
      <c r="H1004" s="4">
        <f t="shared" si="15"/>
        <v>0</v>
      </c>
    </row>
    <row r="1005" spans="3:8" x14ac:dyDescent="0.25">
      <c r="C1005" t="str">
        <f>'RES TECH'!M1003</f>
        <v>RESHOUUMOldSCRAC4ELC30</v>
      </c>
      <c r="G1005" s="4">
        <f>IF(SUMIFS('RES TECH'!N:N,'RES TECH'!M:M,C1005)&gt;0,1,0)</f>
        <v>1</v>
      </c>
      <c r="H1005" s="4">
        <f t="shared" si="15"/>
        <v>0</v>
      </c>
    </row>
    <row r="1006" spans="3:8" x14ac:dyDescent="0.25">
      <c r="C1006" t="str">
        <f>'RES TECH'!M1004</f>
        <v>RESHOUUMOldSCRAC4ELC40</v>
      </c>
      <c r="G1006" s="4">
        <f>IF(SUMIFS('RES TECH'!N:N,'RES TECH'!M:M,C1006)&gt;0,1,0)</f>
        <v>1</v>
      </c>
      <c r="H1006" s="4">
        <f t="shared" si="15"/>
        <v>0</v>
      </c>
    </row>
    <row r="1007" spans="3:8" x14ac:dyDescent="0.25">
      <c r="C1007" t="str">
        <f>'RES TECH'!M1005</f>
        <v>RESHOUUMOldSCCAC1ELC20</v>
      </c>
      <c r="G1007" s="4">
        <f>IF(SUMIFS('RES TECH'!N:N,'RES TECH'!M:M,C1007)&gt;0,1,0)</f>
        <v>1</v>
      </c>
      <c r="H1007" s="4">
        <f t="shared" si="15"/>
        <v>0</v>
      </c>
    </row>
    <row r="1008" spans="3:8" x14ac:dyDescent="0.25">
      <c r="C1008" t="str">
        <f>'RES TECH'!M1006</f>
        <v>RESHOUUMOldSCCAC1ELC23</v>
      </c>
      <c r="G1008" s="4">
        <f>IF(SUMIFS('RES TECH'!N:N,'RES TECH'!M:M,C1008)&gt;0,1,0)</f>
        <v>1</v>
      </c>
      <c r="H1008" s="4">
        <f t="shared" si="15"/>
        <v>0</v>
      </c>
    </row>
    <row r="1009" spans="3:8" x14ac:dyDescent="0.25">
      <c r="C1009" t="str">
        <f>'RES TECH'!M1007</f>
        <v>RESHOUUMOldSCCAC2ELC20</v>
      </c>
      <c r="G1009" s="4">
        <f>IF(SUMIFS('RES TECH'!N:N,'RES TECH'!M:M,C1009)&gt;0,1,0)</f>
        <v>1</v>
      </c>
      <c r="H1009" s="4">
        <f t="shared" si="15"/>
        <v>0</v>
      </c>
    </row>
    <row r="1010" spans="3:8" x14ac:dyDescent="0.25">
      <c r="C1010" t="str">
        <f>'RES TECH'!M1008</f>
        <v>RESHOUUMOldSCCAC2ELC23</v>
      </c>
      <c r="G1010" s="4">
        <f>IF(SUMIFS('RES TECH'!N:N,'RES TECH'!M:M,C1010)&gt;0,1,0)</f>
        <v>1</v>
      </c>
      <c r="H1010" s="4">
        <f t="shared" si="15"/>
        <v>0</v>
      </c>
    </row>
    <row r="1011" spans="3:8" x14ac:dyDescent="0.25">
      <c r="C1011" t="str">
        <f>'RES TECH'!M1009</f>
        <v>RESHOUUMOldSCCAC3ELC20</v>
      </c>
      <c r="G1011" s="4">
        <f>IF(SUMIFS('RES TECH'!N:N,'RES TECH'!M:M,C1011)&gt;0,1,0)</f>
        <v>1</v>
      </c>
      <c r="H1011" s="4">
        <f t="shared" si="15"/>
        <v>0</v>
      </c>
    </row>
    <row r="1012" spans="3:8" x14ac:dyDescent="0.25">
      <c r="C1012" t="str">
        <f>'RES TECH'!M1010</f>
        <v>RESHOUUMOldSCCAC3ELC23</v>
      </c>
      <c r="G1012" s="4">
        <f>IF(SUMIFS('RES TECH'!N:N,'RES TECH'!M:M,C1012)&gt;0,1,0)</f>
        <v>1</v>
      </c>
      <c r="H1012" s="4">
        <f t="shared" si="15"/>
        <v>0</v>
      </c>
    </row>
    <row r="1013" spans="3:8" x14ac:dyDescent="0.25">
      <c r="C1013" t="str">
        <f>'RES TECH'!M1011</f>
        <v>RESHOUUMOldSCCAC4ELC20</v>
      </c>
      <c r="G1013" s="4">
        <f>IF(SUMIFS('RES TECH'!N:N,'RES TECH'!M:M,C1013)&gt;0,1,0)</f>
        <v>1</v>
      </c>
      <c r="H1013" s="4">
        <f t="shared" si="15"/>
        <v>0</v>
      </c>
    </row>
    <row r="1014" spans="3:8" x14ac:dyDescent="0.25">
      <c r="C1014" t="str">
        <f>'RES TECH'!M1012</f>
        <v>RESHOUUMOldSCCAC4ELC22</v>
      </c>
      <c r="G1014" s="4">
        <f>IF(SUMIFS('RES TECH'!N:N,'RES TECH'!M:M,C1014)&gt;0,1,0)</f>
        <v>1</v>
      </c>
      <c r="H1014" s="4">
        <f t="shared" si="15"/>
        <v>0</v>
      </c>
    </row>
    <row r="1015" spans="3:8" x14ac:dyDescent="0.25">
      <c r="C1015" t="str">
        <f>'RES TECH'!M1013</f>
        <v>RESHOUUMOldRETF1ELC20</v>
      </c>
      <c r="G1015" s="4">
        <f>IF(SUMIFS('RES TECH'!N:N,'RES TECH'!M:M,C1015)&gt;0,1,0)</f>
        <v>1</v>
      </c>
      <c r="H1015" s="4">
        <f t="shared" si="15"/>
        <v>0</v>
      </c>
    </row>
    <row r="1016" spans="3:8" x14ac:dyDescent="0.25">
      <c r="C1016" t="str">
        <f>'RES TECH'!M1014</f>
        <v>RESHOUUMOldRETF2ELC20</v>
      </c>
      <c r="G1016" s="4">
        <f>IF(SUMIFS('RES TECH'!N:N,'RES TECH'!M:M,C1016)&gt;0,1,0)</f>
        <v>1</v>
      </c>
      <c r="H1016" s="4">
        <f t="shared" si="15"/>
        <v>0</v>
      </c>
    </row>
    <row r="1017" spans="3:8" x14ac:dyDescent="0.25">
      <c r="C1017" t="str">
        <f>'RES TECH'!M1015</f>
        <v>RESHOUUMOldRETF3ELC20</v>
      </c>
      <c r="G1017" s="4">
        <f>IF(SUMIFS('RES TECH'!N:N,'RES TECH'!M:M,C1017)&gt;0,1,0)</f>
        <v>1</v>
      </c>
      <c r="H1017" s="4">
        <f t="shared" si="15"/>
        <v>0</v>
      </c>
    </row>
    <row r="1018" spans="3:8" x14ac:dyDescent="0.25">
      <c r="C1018" t="str">
        <f>'RES TECH'!M1016</f>
        <v>RESHOUUMOldRETF4ELC20</v>
      </c>
      <c r="G1018" s="4">
        <f>IF(SUMIFS('RES TECH'!N:N,'RES TECH'!M:M,C1018)&gt;0,1,0)</f>
        <v>1</v>
      </c>
      <c r="H1018" s="4">
        <f t="shared" si="15"/>
        <v>0</v>
      </c>
    </row>
    <row r="1019" spans="3:8" x14ac:dyDescent="0.25">
      <c r="C1019" t="str">
        <f>'RES TECH'!M1017</f>
        <v>RESHOUUMOldRESF1ELC20</v>
      </c>
      <c r="G1019" s="4">
        <f>IF(SUMIFS('RES TECH'!N:N,'RES TECH'!M:M,C1019)&gt;0,1,0)</f>
        <v>1</v>
      </c>
      <c r="H1019" s="4">
        <f t="shared" si="15"/>
        <v>0</v>
      </c>
    </row>
    <row r="1020" spans="3:8" x14ac:dyDescent="0.25">
      <c r="C1020" t="str">
        <f>'RES TECH'!M1018</f>
        <v>RESHOUUMOldRESF2ELC20</v>
      </c>
      <c r="G1020" s="4">
        <f>IF(SUMIFS('RES TECH'!N:N,'RES TECH'!M:M,C1020)&gt;0,1,0)</f>
        <v>1</v>
      </c>
      <c r="H1020" s="4">
        <f t="shared" si="15"/>
        <v>0</v>
      </c>
    </row>
    <row r="1021" spans="3:8" x14ac:dyDescent="0.25">
      <c r="C1021" t="str">
        <f>'RES TECH'!M1019</f>
        <v>RESHOUUMOldRESF3ELC20</v>
      </c>
      <c r="G1021" s="4">
        <f>IF(SUMIFS('RES TECH'!N:N,'RES TECH'!M:M,C1021)&gt;0,1,0)</f>
        <v>1</v>
      </c>
      <c r="H1021" s="4">
        <f t="shared" si="15"/>
        <v>0</v>
      </c>
    </row>
    <row r="1022" spans="3:8" x14ac:dyDescent="0.25">
      <c r="C1022" t="str">
        <f>'RES TECH'!M1020</f>
        <v>RESHOUUMOldRESF4ELC20</v>
      </c>
      <c r="G1022" s="4">
        <f>IF(SUMIFS('RES TECH'!N:N,'RES TECH'!M:M,C1022)&gt;0,1,0)</f>
        <v>1</v>
      </c>
      <c r="H1022" s="4">
        <f t="shared" si="15"/>
        <v>0</v>
      </c>
    </row>
    <row r="1023" spans="3:8" x14ac:dyDescent="0.25">
      <c r="C1023" t="str">
        <f>'RES TECH'!M1021</f>
        <v>RESHOUUMOldREBF1ELC20</v>
      </c>
      <c r="G1023" s="4">
        <f>IF(SUMIFS('RES TECH'!N:N,'RES TECH'!M:M,C1023)&gt;0,1,0)</f>
        <v>1</v>
      </c>
      <c r="H1023" s="4">
        <f t="shared" si="15"/>
        <v>0</v>
      </c>
    </row>
    <row r="1024" spans="3:8" x14ac:dyDescent="0.25">
      <c r="C1024" t="str">
        <f>'RES TECH'!M1022</f>
        <v>RESHOUUMOldREBF2ELC20</v>
      </c>
      <c r="G1024" s="4">
        <f>IF(SUMIFS('RES TECH'!N:N,'RES TECH'!M:M,C1024)&gt;0,1,0)</f>
        <v>1</v>
      </c>
      <c r="H1024" s="4">
        <f t="shared" si="15"/>
        <v>0</v>
      </c>
    </row>
    <row r="1025" spans="3:8" x14ac:dyDescent="0.25">
      <c r="C1025" t="str">
        <f>'RES TECH'!M1023</f>
        <v>RESHOUUMOldREBF3ELC20</v>
      </c>
      <c r="G1025" s="4">
        <f>IF(SUMIFS('RES TECH'!N:N,'RES TECH'!M:M,C1025)&gt;0,1,0)</f>
        <v>1</v>
      </c>
      <c r="H1025" s="4">
        <f t="shared" si="15"/>
        <v>0</v>
      </c>
    </row>
    <row r="1026" spans="3:8" x14ac:dyDescent="0.25">
      <c r="C1026" t="str">
        <f>'RES TECH'!M1024</f>
        <v>RESHOUUMOldREBF4ELC20</v>
      </c>
      <c r="G1026" s="4">
        <f>IF(SUMIFS('RES TECH'!N:N,'RES TECH'!M:M,C1026)&gt;0,1,0)</f>
        <v>1</v>
      </c>
      <c r="H1026" s="4">
        <f t="shared" si="15"/>
        <v>0</v>
      </c>
    </row>
    <row r="1027" spans="3:8" x14ac:dyDescent="0.25">
      <c r="C1027" t="str">
        <f>'RES TECH'!M1025</f>
        <v>RESHOUUMOldFRC1ELC20</v>
      </c>
      <c r="G1027" s="4">
        <f>IF(SUMIFS('RES TECH'!N:N,'RES TECH'!M:M,C1027)&gt;0,1,0)</f>
        <v>1</v>
      </c>
      <c r="H1027" s="4">
        <f t="shared" si="15"/>
        <v>0</v>
      </c>
    </row>
    <row r="1028" spans="3:8" x14ac:dyDescent="0.25">
      <c r="C1028" t="str">
        <f>'RES TECH'!M1026</f>
        <v>RESHOUUMOldFRC2ELC20</v>
      </c>
      <c r="G1028" s="4">
        <f>IF(SUMIFS('RES TECH'!N:N,'RES TECH'!M:M,C1028)&gt;0,1,0)</f>
        <v>1</v>
      </c>
      <c r="H1028" s="4">
        <f t="shared" si="15"/>
        <v>0</v>
      </c>
    </row>
    <row r="1029" spans="3:8" x14ac:dyDescent="0.25">
      <c r="C1029" t="str">
        <f>'RES TECH'!M1027</f>
        <v>RESHOUUMOldFRC3ELC20</v>
      </c>
      <c r="G1029" s="4">
        <f>IF(SUMIFS('RES TECH'!N:N,'RES TECH'!M:M,C1029)&gt;0,1,0)</f>
        <v>1</v>
      </c>
      <c r="H1029" s="4">
        <f t="shared" ref="H1029:H1092" si="16">IF(C1029="","",IF(C1029="*","*",0))</f>
        <v>0</v>
      </c>
    </row>
    <row r="1030" spans="3:8" x14ac:dyDescent="0.25">
      <c r="C1030" t="str">
        <f>'RES TECH'!M1028</f>
        <v>RESHOUUMOldFRC4ELC20</v>
      </c>
      <c r="G1030" s="4">
        <f>IF(SUMIFS('RES TECH'!N:N,'RES TECH'!M:M,C1030)&gt;0,1,0)</f>
        <v>1</v>
      </c>
      <c r="H1030" s="4">
        <f t="shared" si="16"/>
        <v>0</v>
      </c>
    </row>
    <row r="1031" spans="3:8" x14ac:dyDescent="0.25">
      <c r="C1031" t="str">
        <f>'RES TECH'!M1029</f>
        <v>RESHOUUMOldFRU1ELC20</v>
      </c>
      <c r="G1031" s="4">
        <f>IF(SUMIFS('RES TECH'!N:N,'RES TECH'!M:M,C1031)&gt;0,1,0)</f>
        <v>1</v>
      </c>
      <c r="H1031" s="4">
        <f t="shared" si="16"/>
        <v>0</v>
      </c>
    </row>
    <row r="1032" spans="3:8" x14ac:dyDescent="0.25">
      <c r="C1032" t="str">
        <f>'RES TECH'!M1030</f>
        <v>RESHOUUMOldFRU2ELC20</v>
      </c>
      <c r="G1032" s="4">
        <f>IF(SUMIFS('RES TECH'!N:N,'RES TECH'!M:M,C1032)&gt;0,1,0)</f>
        <v>1</v>
      </c>
      <c r="H1032" s="4">
        <f t="shared" si="16"/>
        <v>0</v>
      </c>
    </row>
    <row r="1033" spans="3:8" x14ac:dyDescent="0.25">
      <c r="C1033" t="str">
        <f>'RES TECH'!M1031</f>
        <v>RESHOUUMOldFRU3ELC20</v>
      </c>
      <c r="G1033" s="4">
        <f>IF(SUMIFS('RES TECH'!N:N,'RES TECH'!M:M,C1033)&gt;0,1,0)</f>
        <v>1</v>
      </c>
      <c r="H1033" s="4">
        <f t="shared" si="16"/>
        <v>0</v>
      </c>
    </row>
    <row r="1034" spans="3:8" x14ac:dyDescent="0.25">
      <c r="C1034" t="str">
        <f>'RES TECH'!M1032</f>
        <v>RESHOUUMOldFRU4ELC20</v>
      </c>
      <c r="G1034" s="4">
        <f>IF(SUMIFS('RES TECH'!N:N,'RES TECH'!M:M,C1034)&gt;0,1,0)</f>
        <v>1</v>
      </c>
      <c r="H1034" s="4">
        <f t="shared" si="16"/>
        <v>0</v>
      </c>
    </row>
    <row r="1035" spans="3:8" x14ac:dyDescent="0.25">
      <c r="C1035" t="str">
        <f>'RES TECH'!M1033</f>
        <v>RESHOUUMOldCK2NGA20</v>
      </c>
      <c r="G1035" s="4">
        <f>IF(SUMIFS('RES TECH'!N:N,'RES TECH'!M:M,C1035)&gt;0,1,0)</f>
        <v>1</v>
      </c>
      <c r="H1035" s="4">
        <f t="shared" si="16"/>
        <v>0</v>
      </c>
    </row>
    <row r="1036" spans="3:8" x14ac:dyDescent="0.25">
      <c r="C1036" t="str">
        <f>'RES TECH'!M1034</f>
        <v>RESHOUUMOldCK4NGA20</v>
      </c>
      <c r="G1036" s="4">
        <f>IF(SUMIFS('RES TECH'!N:N,'RES TECH'!M:M,C1036)&gt;0,1,0)</f>
        <v>1</v>
      </c>
      <c r="H1036" s="4">
        <f t="shared" si="16"/>
        <v>0</v>
      </c>
    </row>
    <row r="1037" spans="3:8" x14ac:dyDescent="0.25">
      <c r="C1037" t="str">
        <f>'RES TECH'!M1035</f>
        <v>RESHOUUMOldCK2LPG20</v>
      </c>
      <c r="G1037" s="4">
        <f>IF(SUMIFS('RES TECH'!N:N,'RES TECH'!M:M,C1037)&gt;0,1,0)</f>
        <v>1</v>
      </c>
      <c r="H1037" s="4">
        <f t="shared" si="16"/>
        <v>0</v>
      </c>
    </row>
    <row r="1038" spans="3:8" x14ac:dyDescent="0.25">
      <c r="C1038" t="str">
        <f>'RES TECH'!M1036</f>
        <v>RESHOUUMOldCK4LPG20</v>
      </c>
      <c r="G1038" s="4">
        <f>IF(SUMIFS('RES TECH'!N:N,'RES TECH'!M:M,C1038)&gt;0,1,0)</f>
        <v>1</v>
      </c>
      <c r="H1038" s="4">
        <f t="shared" si="16"/>
        <v>0</v>
      </c>
    </row>
    <row r="1039" spans="3:8" x14ac:dyDescent="0.25">
      <c r="C1039" t="str">
        <f>'RES TECH'!M1037</f>
        <v>RESHOUUMOldCK2ELC20</v>
      </c>
      <c r="G1039" s="4">
        <f>IF(SUMIFS('RES TECH'!N:N,'RES TECH'!M:M,C1039)&gt;0,1,0)</f>
        <v>1</v>
      </c>
      <c r="H1039" s="4">
        <f t="shared" si="16"/>
        <v>0</v>
      </c>
    </row>
    <row r="1040" spans="3:8" x14ac:dyDescent="0.25">
      <c r="C1040" t="str">
        <f>'RES TECH'!M1038</f>
        <v>RESHOUUMOldCWF4ELC30</v>
      </c>
      <c r="G1040" s="4">
        <f>IF(SUMIFS('RES TECH'!N:N,'RES TECH'!M:M,C1040)&gt;0,1,0)</f>
        <v>1</v>
      </c>
      <c r="H1040" s="4">
        <f t="shared" si="16"/>
        <v>0</v>
      </c>
    </row>
    <row r="1041" spans="3:8" x14ac:dyDescent="0.25">
      <c r="C1041" t="str">
        <f>'RES TECH'!M1039</f>
        <v>RESHOUUMOldCWT1ELC20</v>
      </c>
      <c r="G1041" s="4">
        <f>IF(SUMIFS('RES TECH'!N:N,'RES TECH'!M:M,C1041)&gt;0,1,0)</f>
        <v>1</v>
      </c>
      <c r="H1041" s="4">
        <f t="shared" si="16"/>
        <v>0</v>
      </c>
    </row>
    <row r="1042" spans="3:8" x14ac:dyDescent="0.25">
      <c r="C1042" t="str">
        <f>'RES TECH'!M1040</f>
        <v>RESHOUUMOldCWT2ELC20</v>
      </c>
      <c r="G1042" s="4">
        <f>IF(SUMIFS('RES TECH'!N:N,'RES TECH'!M:M,C1042)&gt;0,1,0)</f>
        <v>1</v>
      </c>
      <c r="H1042" s="4">
        <f t="shared" si="16"/>
        <v>0</v>
      </c>
    </row>
    <row r="1043" spans="3:8" x14ac:dyDescent="0.25">
      <c r="C1043" t="str">
        <f>'RES TECH'!M1041</f>
        <v>RESHOUUMOldCWT2ELC20</v>
      </c>
      <c r="G1043" s="4">
        <f>IF(SUMIFS('RES TECH'!N:N,'RES TECH'!M:M,C1043)&gt;0,1,0)</f>
        <v>1</v>
      </c>
      <c r="H1043" s="4">
        <f t="shared" si="16"/>
        <v>0</v>
      </c>
    </row>
    <row r="1044" spans="3:8" x14ac:dyDescent="0.25">
      <c r="C1044" t="str">
        <f>'RES TECH'!M1042</f>
        <v>RESHOUUMOldCWT3ELC20</v>
      </c>
      <c r="G1044" s="4">
        <f>IF(SUMIFS('RES TECH'!N:N,'RES TECH'!M:M,C1044)&gt;0,1,0)</f>
        <v>1</v>
      </c>
      <c r="H1044" s="4">
        <f t="shared" si="16"/>
        <v>0</v>
      </c>
    </row>
    <row r="1045" spans="3:8" x14ac:dyDescent="0.25">
      <c r="C1045" t="str">
        <f>'RES TECH'!M1043</f>
        <v>RESHOUUMOldCWT4ELC20</v>
      </c>
      <c r="G1045" s="4">
        <f>IF(SUMIFS('RES TECH'!N:N,'RES TECH'!M:M,C1045)&gt;0,1,0)</f>
        <v>1</v>
      </c>
      <c r="H1045" s="4">
        <f t="shared" si="16"/>
        <v>0</v>
      </c>
    </row>
    <row r="1046" spans="3:8" x14ac:dyDescent="0.25">
      <c r="C1046" t="str">
        <f>'RES TECH'!M1044</f>
        <v>RESHOUUMOldCWF1ELC20</v>
      </c>
      <c r="G1046" s="4">
        <f>IF(SUMIFS('RES TECH'!N:N,'RES TECH'!M:M,C1046)&gt;0,1,0)</f>
        <v>1</v>
      </c>
      <c r="H1046" s="4">
        <f t="shared" si="16"/>
        <v>0</v>
      </c>
    </row>
    <row r="1047" spans="3:8" x14ac:dyDescent="0.25">
      <c r="C1047" t="str">
        <f>'RES TECH'!M1045</f>
        <v>RESHOUUMOldCWF2ELC20</v>
      </c>
      <c r="G1047" s="4">
        <f>IF(SUMIFS('RES TECH'!N:N,'RES TECH'!M:M,C1047)&gt;0,1,0)</f>
        <v>1</v>
      </c>
      <c r="H1047" s="4">
        <f t="shared" si="16"/>
        <v>0</v>
      </c>
    </row>
    <row r="1048" spans="3:8" x14ac:dyDescent="0.25">
      <c r="C1048" t="str">
        <f>'RES TECH'!M1046</f>
        <v>RESHOUUMOldCWF2ELC30</v>
      </c>
      <c r="G1048" s="4">
        <f>IF(SUMIFS('RES TECH'!N:N,'RES TECH'!M:M,C1048)&gt;0,1,0)</f>
        <v>1</v>
      </c>
      <c r="H1048" s="4">
        <f t="shared" si="16"/>
        <v>0</v>
      </c>
    </row>
    <row r="1049" spans="3:8" x14ac:dyDescent="0.25">
      <c r="C1049" t="str">
        <f>'RES TECH'!M1047</f>
        <v>RESHOUUMOldCWF3ELC20</v>
      </c>
      <c r="G1049" s="4">
        <f>IF(SUMIFS('RES TECH'!N:N,'RES TECH'!M:M,C1049)&gt;0,1,0)</f>
        <v>1</v>
      </c>
      <c r="H1049" s="4">
        <f t="shared" si="16"/>
        <v>0</v>
      </c>
    </row>
    <row r="1050" spans="3:8" x14ac:dyDescent="0.25">
      <c r="C1050" t="str">
        <f>'RES TECH'!M1048</f>
        <v>RESHOUUMOldCWF4ELC20</v>
      </c>
      <c r="G1050" s="4">
        <f>IF(SUMIFS('RES TECH'!N:N,'RES TECH'!M:M,C1050)&gt;0,1,0)</f>
        <v>1</v>
      </c>
      <c r="H1050" s="4">
        <f t="shared" si="16"/>
        <v>0</v>
      </c>
    </row>
    <row r="1051" spans="3:8" x14ac:dyDescent="0.25">
      <c r="C1051" t="str">
        <f>'RES TECH'!M1049</f>
        <v>RESHOUUMOldCWF4ELC20</v>
      </c>
      <c r="G1051" s="4">
        <f>IF(SUMIFS('RES TECH'!N:N,'RES TECH'!M:M,C1051)&gt;0,1,0)</f>
        <v>1</v>
      </c>
      <c r="H1051" s="4">
        <f t="shared" si="16"/>
        <v>0</v>
      </c>
    </row>
    <row r="1052" spans="3:8" x14ac:dyDescent="0.25">
      <c r="C1052" t="str">
        <f>'RES TECH'!M1050</f>
        <v>RESHOUUMOldCD1NGA20</v>
      </c>
      <c r="G1052" s="4">
        <f>IF(SUMIFS('RES TECH'!N:N,'RES TECH'!M:M,C1052)&gt;0,1,0)</f>
        <v>1</v>
      </c>
      <c r="H1052" s="4">
        <f t="shared" si="16"/>
        <v>0</v>
      </c>
    </row>
    <row r="1053" spans="3:8" x14ac:dyDescent="0.25">
      <c r="C1053" t="str">
        <f>'RES TECH'!M1051</f>
        <v>RESHOUUMOldCD2NGA20</v>
      </c>
      <c r="G1053" s="4">
        <f>IF(SUMIFS('RES TECH'!N:N,'RES TECH'!M:M,C1053)&gt;0,1,0)</f>
        <v>1</v>
      </c>
      <c r="H1053" s="4">
        <f t="shared" si="16"/>
        <v>0</v>
      </c>
    </row>
    <row r="1054" spans="3:8" x14ac:dyDescent="0.25">
      <c r="C1054" t="str">
        <f>'RES TECH'!M1052</f>
        <v>RESHOUUMOldCD3NGA20</v>
      </c>
      <c r="G1054" s="4">
        <f>IF(SUMIFS('RES TECH'!N:N,'RES TECH'!M:M,C1054)&gt;0,1,0)</f>
        <v>1</v>
      </c>
      <c r="H1054" s="4">
        <f t="shared" si="16"/>
        <v>0</v>
      </c>
    </row>
    <row r="1055" spans="3:8" x14ac:dyDescent="0.25">
      <c r="C1055" t="str">
        <f>'RES TECH'!M1053</f>
        <v>RESHOUUMOldCD4NGA20</v>
      </c>
      <c r="G1055" s="4">
        <f>IF(SUMIFS('RES TECH'!N:N,'RES TECH'!M:M,C1055)&gt;0,1,0)</f>
        <v>1</v>
      </c>
      <c r="H1055" s="4">
        <f t="shared" si="16"/>
        <v>0</v>
      </c>
    </row>
    <row r="1056" spans="3:8" x14ac:dyDescent="0.25">
      <c r="C1056" t="str">
        <f>'RES TECH'!M1054</f>
        <v>RESHOUUMOldCD4NGA30</v>
      </c>
      <c r="G1056" s="4">
        <f>IF(SUMIFS('RES TECH'!N:N,'RES TECH'!M:M,C1056)&gt;0,1,0)</f>
        <v>1</v>
      </c>
      <c r="H1056" s="4">
        <f t="shared" si="16"/>
        <v>0</v>
      </c>
    </row>
    <row r="1057" spans="3:8" x14ac:dyDescent="0.25">
      <c r="C1057" t="str">
        <f>'RES TECH'!M1055</f>
        <v>RESHOUUMOldCD1ELC20</v>
      </c>
      <c r="G1057" s="4">
        <f>IF(SUMIFS('RES TECH'!N:N,'RES TECH'!M:M,C1057)&gt;0,1,0)</f>
        <v>1</v>
      </c>
      <c r="H1057" s="4">
        <f t="shared" si="16"/>
        <v>0</v>
      </c>
    </row>
    <row r="1058" spans="3:8" x14ac:dyDescent="0.25">
      <c r="C1058" t="str">
        <f>'RES TECH'!M1056</f>
        <v>RESHOUUMOldCD2ELC20</v>
      </c>
      <c r="G1058" s="4">
        <f>IF(SUMIFS('RES TECH'!N:N,'RES TECH'!M:M,C1058)&gt;0,1,0)</f>
        <v>1</v>
      </c>
      <c r="H1058" s="4">
        <f t="shared" si="16"/>
        <v>0</v>
      </c>
    </row>
    <row r="1059" spans="3:8" x14ac:dyDescent="0.25">
      <c r="C1059" t="str">
        <f>'RES TECH'!M1057</f>
        <v>RESHOUUMOldCD3ELC20</v>
      </c>
      <c r="G1059" s="4">
        <f>IF(SUMIFS('RES TECH'!N:N,'RES TECH'!M:M,C1059)&gt;0,1,0)</f>
        <v>1</v>
      </c>
      <c r="H1059" s="4">
        <f t="shared" si="16"/>
        <v>0</v>
      </c>
    </row>
    <row r="1060" spans="3:8" x14ac:dyDescent="0.25">
      <c r="C1060" t="str">
        <f>'RES TECH'!M1058</f>
        <v>RESHOUUMOldCD4ELC20</v>
      </c>
      <c r="G1060" s="4">
        <f>IF(SUMIFS('RES TECH'!N:N,'RES TECH'!M:M,C1060)&gt;0,1,0)</f>
        <v>1</v>
      </c>
      <c r="H1060" s="4">
        <f t="shared" si="16"/>
        <v>0</v>
      </c>
    </row>
    <row r="1061" spans="3:8" x14ac:dyDescent="0.25">
      <c r="C1061" t="str">
        <f>'RES TECH'!M1059</f>
        <v>RESAPAHIOldWH1NGA20</v>
      </c>
      <c r="G1061" s="4">
        <f>IF(SUMIFS('RES TECH'!N:N,'RES TECH'!M:M,C1061)&gt;0,1,0)</f>
        <v>1</v>
      </c>
      <c r="H1061" s="4">
        <f t="shared" si="16"/>
        <v>0</v>
      </c>
    </row>
    <row r="1062" spans="3:8" x14ac:dyDescent="0.25">
      <c r="C1062" t="str">
        <f>'RES TECH'!M1060</f>
        <v>RESAPAHIOldWH2NGA20</v>
      </c>
      <c r="G1062" s="4">
        <f>IF(SUMIFS('RES TECH'!N:N,'RES TECH'!M:M,C1062)&gt;0,1,0)</f>
        <v>1</v>
      </c>
      <c r="H1062" s="4">
        <f t="shared" si="16"/>
        <v>0</v>
      </c>
    </row>
    <row r="1063" spans="3:8" x14ac:dyDescent="0.25">
      <c r="C1063" t="str">
        <f>'RES TECH'!M1061</f>
        <v>RESAPAHIOldWH3NGA20</v>
      </c>
      <c r="G1063" s="4">
        <f>IF(SUMIFS('RES TECH'!N:N,'RES TECH'!M:M,C1063)&gt;0,1,0)</f>
        <v>1</v>
      </c>
      <c r="H1063" s="4">
        <f t="shared" si="16"/>
        <v>0</v>
      </c>
    </row>
    <row r="1064" spans="3:8" x14ac:dyDescent="0.25">
      <c r="C1064" t="str">
        <f>'RES TECH'!M1062</f>
        <v>RESAPAHIOldWH3NGA23</v>
      </c>
      <c r="G1064" s="4">
        <f>IF(SUMIFS('RES TECH'!N:N,'RES TECH'!M:M,C1064)&gt;0,1,0)</f>
        <v>1</v>
      </c>
      <c r="H1064" s="4">
        <f t="shared" si="16"/>
        <v>0</v>
      </c>
    </row>
    <row r="1065" spans="3:8" x14ac:dyDescent="0.25">
      <c r="C1065" t="str">
        <f>'RES TECH'!M1063</f>
        <v>RESAPAHIOldWH4NGA20</v>
      </c>
      <c r="G1065" s="4">
        <f>IF(SUMIFS('RES TECH'!N:N,'RES TECH'!M:M,C1065)&gt;0,1,0)</f>
        <v>1</v>
      </c>
      <c r="H1065" s="4">
        <f t="shared" si="16"/>
        <v>0</v>
      </c>
    </row>
    <row r="1066" spans="3:8" x14ac:dyDescent="0.25">
      <c r="C1066" t="str">
        <f>'RES TECH'!M1064</f>
        <v>RESAPAHIOldWH4NGA20</v>
      </c>
      <c r="G1066" s="4">
        <f>IF(SUMIFS('RES TECH'!N:N,'RES TECH'!M:M,C1066)&gt;0,1,0)</f>
        <v>1</v>
      </c>
      <c r="H1066" s="4">
        <f t="shared" si="16"/>
        <v>0</v>
      </c>
    </row>
    <row r="1067" spans="3:8" x14ac:dyDescent="0.25">
      <c r="C1067" t="str">
        <f>'RES TECH'!M1065</f>
        <v>RESAPAHIOldWH4NGA22</v>
      </c>
      <c r="G1067" s="4">
        <f>IF(SUMIFS('RES TECH'!N:N,'RES TECH'!M:M,C1067)&gt;0,1,0)</f>
        <v>1</v>
      </c>
      <c r="H1067" s="4">
        <f t="shared" si="16"/>
        <v>0</v>
      </c>
    </row>
    <row r="1068" spans="3:8" x14ac:dyDescent="0.25">
      <c r="C1068" t="str">
        <f>'RES TECH'!M1066</f>
        <v>RESAPAHIOldWH1ELC20</v>
      </c>
      <c r="G1068" s="4">
        <f>IF(SUMIFS('RES TECH'!N:N,'RES TECH'!M:M,C1068)&gt;0,1,0)</f>
        <v>1</v>
      </c>
      <c r="H1068" s="4">
        <f t="shared" si="16"/>
        <v>0</v>
      </c>
    </row>
    <row r="1069" spans="3:8" x14ac:dyDescent="0.25">
      <c r="C1069" t="str">
        <f>'RES TECH'!M1067</f>
        <v>RESAPAHIOldWH2ELC20</v>
      </c>
      <c r="G1069" s="4">
        <f>IF(SUMIFS('RES TECH'!N:N,'RES TECH'!M:M,C1069)&gt;0,1,0)</f>
        <v>1</v>
      </c>
      <c r="H1069" s="4">
        <f t="shared" si="16"/>
        <v>0</v>
      </c>
    </row>
    <row r="1070" spans="3:8" x14ac:dyDescent="0.25">
      <c r="C1070" t="str">
        <f>'RES TECH'!M1068</f>
        <v>RESAPAHIOldWH4ELC20</v>
      </c>
      <c r="G1070" s="4">
        <f>IF(SUMIFS('RES TECH'!N:N,'RES TECH'!M:M,C1070)&gt;0,1,0)</f>
        <v>1</v>
      </c>
      <c r="H1070" s="4">
        <f t="shared" si="16"/>
        <v>0</v>
      </c>
    </row>
    <row r="1071" spans="3:8" x14ac:dyDescent="0.25">
      <c r="C1071" t="str">
        <f>'RES TECH'!M1069</f>
        <v>RESAPAHIOldWH5ELC20</v>
      </c>
      <c r="G1071" s="4">
        <f>IF(SUMIFS('RES TECH'!N:N,'RES TECH'!M:M,C1071)&gt;0,1,0)</f>
        <v>1</v>
      </c>
      <c r="H1071" s="4">
        <f t="shared" si="16"/>
        <v>0</v>
      </c>
    </row>
    <row r="1072" spans="3:8" x14ac:dyDescent="0.25">
      <c r="C1072" t="str">
        <f>'RES TECH'!M1070</f>
        <v>RESAPAHIOldWH5ELC22</v>
      </c>
      <c r="G1072" s="4">
        <f>IF(SUMIFS('RES TECH'!N:N,'RES TECH'!M:M,C1072)&gt;0,1,0)</f>
        <v>1</v>
      </c>
      <c r="H1072" s="4">
        <f t="shared" si="16"/>
        <v>0</v>
      </c>
    </row>
    <row r="1073" spans="3:8" x14ac:dyDescent="0.25">
      <c r="C1073" t="str">
        <f>'RES TECH'!M1071</f>
        <v>RESAPAHIOldWH6ELC20</v>
      </c>
      <c r="G1073" s="4">
        <f>IF(SUMIFS('RES TECH'!N:N,'RES TECH'!M:M,C1073)&gt;0,1,0)</f>
        <v>1</v>
      </c>
      <c r="H1073" s="4">
        <f t="shared" si="16"/>
        <v>0</v>
      </c>
    </row>
    <row r="1074" spans="3:8" x14ac:dyDescent="0.25">
      <c r="C1074" t="str">
        <f>'RES TECH'!M1072</f>
        <v>RESAPAHIOldWH6ELC22</v>
      </c>
      <c r="G1074" s="4">
        <f>IF(SUMIFS('RES TECH'!N:N,'RES TECH'!M:M,C1074)&gt;0,1,0)</f>
        <v>1</v>
      </c>
      <c r="H1074" s="4">
        <f t="shared" si="16"/>
        <v>0</v>
      </c>
    </row>
    <row r="1075" spans="3:8" x14ac:dyDescent="0.25">
      <c r="C1075" t="str">
        <f>'RES TECH'!M1073</f>
        <v>RESAPAHIOldWH7ELC20</v>
      </c>
      <c r="G1075" s="4">
        <f>IF(SUMIFS('RES TECH'!N:N,'RES TECH'!M:M,C1075)&gt;0,1,0)</f>
        <v>1</v>
      </c>
      <c r="H1075" s="4">
        <f t="shared" si="16"/>
        <v>0</v>
      </c>
    </row>
    <row r="1076" spans="3:8" x14ac:dyDescent="0.25">
      <c r="C1076" t="str">
        <f>'RES TECH'!M1074</f>
        <v>RESAPAHIOldWH7ELC22</v>
      </c>
      <c r="G1076" s="4">
        <f>IF(SUMIFS('RES TECH'!N:N,'RES TECH'!M:M,C1076)&gt;0,1,0)</f>
        <v>1</v>
      </c>
      <c r="H1076" s="4">
        <f t="shared" si="16"/>
        <v>0</v>
      </c>
    </row>
    <row r="1077" spans="3:8" x14ac:dyDescent="0.25">
      <c r="C1077" t="str">
        <f>'RES TECH'!M1075</f>
        <v>RESAPAHIOldWH1FOI20</v>
      </c>
      <c r="G1077" s="4">
        <f>IF(SUMIFS('RES TECH'!N:N,'RES TECH'!M:M,C1077)&gt;0,1,0)</f>
        <v>1</v>
      </c>
      <c r="H1077" s="4">
        <f t="shared" si="16"/>
        <v>0</v>
      </c>
    </row>
    <row r="1078" spans="3:8" x14ac:dyDescent="0.25">
      <c r="C1078" t="str">
        <f>'RES TECH'!M1076</f>
        <v>RESAPAHIOldWH2FOI20</v>
      </c>
      <c r="G1078" s="4">
        <f>IF(SUMIFS('RES TECH'!N:N,'RES TECH'!M:M,C1078)&gt;0,1,0)</f>
        <v>1</v>
      </c>
      <c r="H1078" s="4">
        <f t="shared" si="16"/>
        <v>0</v>
      </c>
    </row>
    <row r="1079" spans="3:8" x14ac:dyDescent="0.25">
      <c r="C1079" t="str">
        <f>'RES TECH'!M1077</f>
        <v>RESAPAHIOldWH4FOI20</v>
      </c>
      <c r="G1079" s="4">
        <f>IF(SUMIFS('RES TECH'!N:N,'RES TECH'!M:M,C1079)&gt;0,1,0)</f>
        <v>1</v>
      </c>
      <c r="H1079" s="4">
        <f t="shared" si="16"/>
        <v>0</v>
      </c>
    </row>
    <row r="1080" spans="3:8" x14ac:dyDescent="0.25">
      <c r="C1080" t="str">
        <f>'RES TECH'!M1078</f>
        <v>RESAPAHIOldWH1LPG20</v>
      </c>
      <c r="G1080" s="4">
        <f>IF(SUMIFS('RES TECH'!N:N,'RES TECH'!M:M,C1080)&gt;0,1,0)</f>
        <v>1</v>
      </c>
      <c r="H1080" s="4">
        <f t="shared" si="16"/>
        <v>0</v>
      </c>
    </row>
    <row r="1081" spans="3:8" x14ac:dyDescent="0.25">
      <c r="C1081" t="str">
        <f>'RES TECH'!M1079</f>
        <v>RESAPAHIOldWH2LPG20</v>
      </c>
      <c r="G1081" s="4">
        <f>IF(SUMIFS('RES TECH'!N:N,'RES TECH'!M:M,C1081)&gt;0,1,0)</f>
        <v>1</v>
      </c>
      <c r="H1081" s="4">
        <f t="shared" si="16"/>
        <v>0</v>
      </c>
    </row>
    <row r="1082" spans="3:8" x14ac:dyDescent="0.25">
      <c r="C1082" t="str">
        <f>'RES TECH'!M1080</f>
        <v>RESAPAHIOldWH3LPG20</v>
      </c>
      <c r="G1082" s="4">
        <f>IF(SUMIFS('RES TECH'!N:N,'RES TECH'!M:M,C1082)&gt;0,1,0)</f>
        <v>1</v>
      </c>
      <c r="H1082" s="4">
        <f t="shared" si="16"/>
        <v>0</v>
      </c>
    </row>
    <row r="1083" spans="3:8" x14ac:dyDescent="0.25">
      <c r="C1083" t="str">
        <f>'RES TECH'!M1081</f>
        <v>RESAPAHIOldWH3LPG23</v>
      </c>
      <c r="G1083" s="4">
        <f>IF(SUMIFS('RES TECH'!N:N,'RES TECH'!M:M,C1083)&gt;0,1,0)</f>
        <v>1</v>
      </c>
      <c r="H1083" s="4">
        <f t="shared" si="16"/>
        <v>0</v>
      </c>
    </row>
    <row r="1084" spans="3:8" x14ac:dyDescent="0.25">
      <c r="C1084" t="str">
        <f>'RES TECH'!M1082</f>
        <v>RESAPAHIOldWH4LPG20</v>
      </c>
      <c r="G1084" s="4">
        <f>IF(SUMIFS('RES TECH'!N:N,'RES TECH'!M:M,C1084)&gt;0,1,0)</f>
        <v>1</v>
      </c>
      <c r="H1084" s="4">
        <f t="shared" si="16"/>
        <v>0</v>
      </c>
    </row>
    <row r="1085" spans="3:8" x14ac:dyDescent="0.25">
      <c r="C1085" t="str">
        <f>'RES TECH'!M1083</f>
        <v>RESAPAHIOldWH4LPG20</v>
      </c>
      <c r="G1085" s="4">
        <f>IF(SUMIFS('RES TECH'!N:N,'RES TECH'!M:M,C1085)&gt;0,1,0)</f>
        <v>1</v>
      </c>
      <c r="H1085" s="4">
        <f t="shared" si="16"/>
        <v>0</v>
      </c>
    </row>
    <row r="1086" spans="3:8" x14ac:dyDescent="0.25">
      <c r="C1086" t="str">
        <f>'RES TECH'!M1084</f>
        <v>RESAPAHIOldWH2SOL20</v>
      </c>
      <c r="G1086" s="4">
        <f>IF(SUMIFS('RES TECH'!N:N,'RES TECH'!M:M,C1086)&gt;0,1,0)</f>
        <v>1</v>
      </c>
      <c r="H1086" s="4">
        <f t="shared" si="16"/>
        <v>0</v>
      </c>
    </row>
    <row r="1087" spans="3:8" x14ac:dyDescent="0.25">
      <c r="C1087" t="str">
        <f>'RES TECH'!M1085</f>
        <v>RESAPAHIOldWH2SOL20</v>
      </c>
      <c r="G1087" s="4">
        <f>IF(SUMIFS('RES TECH'!N:N,'RES TECH'!M:M,C1087)&gt;0,1,0)</f>
        <v>1</v>
      </c>
      <c r="H1087" s="4">
        <f t="shared" si="16"/>
        <v>0</v>
      </c>
    </row>
    <row r="1088" spans="3:8" x14ac:dyDescent="0.25">
      <c r="C1088" t="str">
        <f>'RES TECH'!M1086</f>
        <v>RESAPAHIOldWH2SOL23</v>
      </c>
      <c r="G1088" s="4">
        <f>IF(SUMIFS('RES TECH'!N:N,'RES TECH'!M:M,C1088)&gt;0,1,0)</f>
        <v>1</v>
      </c>
      <c r="H1088" s="4">
        <f t="shared" si="16"/>
        <v>0</v>
      </c>
    </row>
    <row r="1089" spans="3:8" x14ac:dyDescent="0.25">
      <c r="C1089" t="str">
        <f>'RES TECH'!M1087</f>
        <v>RESAPAHIOldWH2SOL24</v>
      </c>
      <c r="G1089" s="4">
        <f>IF(SUMIFS('RES TECH'!N:N,'RES TECH'!M:M,C1089)&gt;0,1,0)</f>
        <v>1</v>
      </c>
      <c r="H1089" s="4">
        <f t="shared" si="16"/>
        <v>0</v>
      </c>
    </row>
    <row r="1090" spans="3:8" x14ac:dyDescent="0.25">
      <c r="C1090" t="str">
        <f>'RES TECH'!M1088</f>
        <v>RESAPAHIOldSHAHP1ELC20</v>
      </c>
      <c r="G1090" s="4">
        <f>IF(SUMIFS('RES TECH'!N:N,'RES TECH'!M:M,C1090)&gt;0,1,0)</f>
        <v>1</v>
      </c>
      <c r="H1090" s="4">
        <f t="shared" si="16"/>
        <v>0</v>
      </c>
    </row>
    <row r="1091" spans="3:8" x14ac:dyDescent="0.25">
      <c r="C1091" t="str">
        <f>'RES TECH'!M1089</f>
        <v>RESAPAHIOldSHAHP1ELC23</v>
      </c>
      <c r="G1091" s="4">
        <f>IF(SUMIFS('RES TECH'!N:N,'RES TECH'!M:M,C1091)&gt;0,1,0)</f>
        <v>1</v>
      </c>
      <c r="H1091" s="4">
        <f t="shared" si="16"/>
        <v>0</v>
      </c>
    </row>
    <row r="1092" spans="3:8" x14ac:dyDescent="0.25">
      <c r="C1092" t="str">
        <f>'RES TECH'!M1090</f>
        <v>RESAPAHIOldSHAHP2ELC20</v>
      </c>
      <c r="G1092" s="4">
        <f>IF(SUMIFS('RES TECH'!N:N,'RES TECH'!M:M,C1092)&gt;0,1,0)</f>
        <v>1</v>
      </c>
      <c r="H1092" s="4">
        <f t="shared" si="16"/>
        <v>0</v>
      </c>
    </row>
    <row r="1093" spans="3:8" x14ac:dyDescent="0.25">
      <c r="C1093" t="str">
        <f>'RES TECH'!M1091</f>
        <v>RESAPAHIOldSHAHP2ELC23</v>
      </c>
      <c r="G1093" s="4">
        <f>IF(SUMIFS('RES TECH'!N:N,'RES TECH'!M:M,C1093)&gt;0,1,0)</f>
        <v>1</v>
      </c>
      <c r="H1093" s="4">
        <f t="shared" ref="H1093:H1156" si="17">IF(C1093="","",IF(C1093="*","*",0))</f>
        <v>0</v>
      </c>
    </row>
    <row r="1094" spans="3:8" x14ac:dyDescent="0.25">
      <c r="C1094" t="str">
        <f>'RES TECH'!M1092</f>
        <v>RESAPAHIOldSHAHP3ELC20</v>
      </c>
      <c r="G1094" s="4">
        <f>IF(SUMIFS('RES TECH'!N:N,'RES TECH'!M:M,C1094)&gt;0,1,0)</f>
        <v>1</v>
      </c>
      <c r="H1094" s="4">
        <f t="shared" si="17"/>
        <v>0</v>
      </c>
    </row>
    <row r="1095" spans="3:8" x14ac:dyDescent="0.25">
      <c r="C1095" t="str">
        <f>'RES TECH'!M1093</f>
        <v>RESAPAHIOldSHAHP3ELC22</v>
      </c>
      <c r="G1095" s="4">
        <f>IF(SUMIFS('RES TECH'!N:N,'RES TECH'!M:M,C1095)&gt;0,1,0)</f>
        <v>1</v>
      </c>
      <c r="H1095" s="4">
        <f t="shared" si="17"/>
        <v>0</v>
      </c>
    </row>
    <row r="1096" spans="3:8" x14ac:dyDescent="0.25">
      <c r="C1096" t="str">
        <f>'RES TECH'!M1094</f>
        <v>RESAPAHIOldSHAHP3ELC23</v>
      </c>
      <c r="G1096" s="4">
        <f>IF(SUMIFS('RES TECH'!N:N,'RES TECH'!M:M,C1096)&gt;0,1,0)</f>
        <v>1</v>
      </c>
      <c r="H1096" s="4">
        <f t="shared" si="17"/>
        <v>0</v>
      </c>
    </row>
    <row r="1097" spans="3:8" x14ac:dyDescent="0.25">
      <c r="C1097" t="str">
        <f>'RES TECH'!M1095</f>
        <v>RESAPAHIOldSHAHP4ELC20</v>
      </c>
      <c r="G1097" s="4">
        <f>IF(SUMIFS('RES TECH'!N:N,'RES TECH'!M:M,C1097)&gt;0,1,0)</f>
        <v>1</v>
      </c>
      <c r="H1097" s="4">
        <f t="shared" si="17"/>
        <v>0</v>
      </c>
    </row>
    <row r="1098" spans="3:8" x14ac:dyDescent="0.25">
      <c r="C1098" t="str">
        <f>'RES TECH'!M1096</f>
        <v>RESAPAHIOldSHAHP4ELC22</v>
      </c>
      <c r="G1098" s="4">
        <f>IF(SUMIFS('RES TECH'!N:N,'RES TECH'!M:M,C1098)&gt;0,1,0)</f>
        <v>1</v>
      </c>
      <c r="H1098" s="4">
        <f t="shared" si="17"/>
        <v>0</v>
      </c>
    </row>
    <row r="1099" spans="3:8" x14ac:dyDescent="0.25">
      <c r="C1099" t="str">
        <f>'RES TECH'!M1097</f>
        <v>RESAPAHIOldSHGHP1ELC20</v>
      </c>
      <c r="G1099" s="4">
        <f>IF(SUMIFS('RES TECH'!N:N,'RES TECH'!M:M,C1099)&gt;0,1,0)</f>
        <v>1</v>
      </c>
      <c r="H1099" s="4">
        <f t="shared" si="17"/>
        <v>0</v>
      </c>
    </row>
    <row r="1100" spans="3:8" x14ac:dyDescent="0.25">
      <c r="C1100" t="str">
        <f>'RES TECH'!M1098</f>
        <v>RESAPAHIOldSHGHP2ELC20</v>
      </c>
      <c r="G1100" s="4">
        <f>IF(SUMIFS('RES TECH'!N:N,'RES TECH'!M:M,C1100)&gt;0,1,0)</f>
        <v>1</v>
      </c>
      <c r="H1100" s="4">
        <f t="shared" si="17"/>
        <v>0</v>
      </c>
    </row>
    <row r="1101" spans="3:8" x14ac:dyDescent="0.25">
      <c r="C1101" t="str">
        <f>'RES TECH'!M1099</f>
        <v>RESAPAHIOldSHGHP3ELC20</v>
      </c>
      <c r="G1101" s="4">
        <f>IF(SUMIFS('RES TECH'!N:N,'RES TECH'!M:M,C1101)&gt;0,1,0)</f>
        <v>1</v>
      </c>
      <c r="H1101" s="4">
        <f t="shared" si="17"/>
        <v>0</v>
      </c>
    </row>
    <row r="1102" spans="3:8" x14ac:dyDescent="0.25">
      <c r="C1102" t="str">
        <f>'RES TECH'!M1100</f>
        <v>RESAPAHIOldSHGHP3ELC20</v>
      </c>
      <c r="G1102" s="4">
        <f>IF(SUMIFS('RES TECH'!N:N,'RES TECH'!M:M,C1102)&gt;0,1,0)</f>
        <v>1</v>
      </c>
      <c r="H1102" s="4">
        <f t="shared" si="17"/>
        <v>0</v>
      </c>
    </row>
    <row r="1103" spans="3:8" x14ac:dyDescent="0.25">
      <c r="C1103" t="str">
        <f>'RES TECH'!M1101</f>
        <v>RESAPAHIOldSHGHP3ELC22</v>
      </c>
      <c r="G1103" s="4">
        <f>IF(SUMIFS('RES TECH'!N:N,'RES TECH'!M:M,C1103)&gt;0,1,0)</f>
        <v>1</v>
      </c>
      <c r="H1103" s="4">
        <f t="shared" si="17"/>
        <v>0</v>
      </c>
    </row>
    <row r="1104" spans="3:8" x14ac:dyDescent="0.25">
      <c r="C1104" t="str">
        <f>'RES TECH'!M1102</f>
        <v>RESAPAHIOldSHGHP3ELC23</v>
      </c>
      <c r="G1104" s="4">
        <f>IF(SUMIFS('RES TECH'!N:N,'RES TECH'!M:M,C1104)&gt;0,1,0)</f>
        <v>1</v>
      </c>
      <c r="H1104" s="4">
        <f t="shared" si="17"/>
        <v>0</v>
      </c>
    </row>
    <row r="1105" spans="3:8" x14ac:dyDescent="0.25">
      <c r="C1105" t="str">
        <f>'RES TECH'!M1103</f>
        <v>RESAPAHIOldSHGHP3ELC24</v>
      </c>
      <c r="G1105" s="4">
        <f>IF(SUMIFS('RES TECH'!N:N,'RES TECH'!M:M,C1105)&gt;0,1,0)</f>
        <v>1</v>
      </c>
      <c r="H1105" s="4">
        <f t="shared" si="17"/>
        <v>0</v>
      </c>
    </row>
    <row r="1106" spans="3:8" x14ac:dyDescent="0.25">
      <c r="C1106" t="str">
        <f>'RES TECH'!M1104</f>
        <v>RESAPAHIOldSHGHP4ELC20</v>
      </c>
      <c r="G1106" s="4">
        <f>IF(SUMIFS('RES TECH'!N:N,'RES TECH'!M:M,C1106)&gt;0,1,0)</f>
        <v>1</v>
      </c>
      <c r="H1106" s="4">
        <f t="shared" si="17"/>
        <v>0</v>
      </c>
    </row>
    <row r="1107" spans="3:8" x14ac:dyDescent="0.25">
      <c r="C1107" t="str">
        <f>'RES TECH'!M1105</f>
        <v>RESAPAHIOldSHGHP4ELC20</v>
      </c>
      <c r="G1107" s="4">
        <f>IF(SUMIFS('RES TECH'!N:N,'RES TECH'!M:M,C1107)&gt;0,1,0)</f>
        <v>1</v>
      </c>
      <c r="H1107" s="4">
        <f t="shared" si="17"/>
        <v>0</v>
      </c>
    </row>
    <row r="1108" spans="3:8" x14ac:dyDescent="0.25">
      <c r="C1108" t="str">
        <f>'RES TECH'!M1106</f>
        <v>RESAPAHIOldSHGHP4ELC22</v>
      </c>
      <c r="G1108" s="4">
        <f>IF(SUMIFS('RES TECH'!N:N,'RES TECH'!M:M,C1108)&gt;0,1,0)</f>
        <v>1</v>
      </c>
      <c r="H1108" s="4">
        <f t="shared" si="17"/>
        <v>0</v>
      </c>
    </row>
    <row r="1109" spans="3:8" x14ac:dyDescent="0.25">
      <c r="C1109" t="str">
        <f>'RES TECH'!M1107</f>
        <v>RESAPAHIOldSHGHP4ELC23</v>
      </c>
      <c r="G1109" s="4">
        <f>IF(SUMIFS('RES TECH'!N:N,'RES TECH'!M:M,C1109)&gt;0,1,0)</f>
        <v>1</v>
      </c>
      <c r="H1109" s="4">
        <f t="shared" si="17"/>
        <v>0</v>
      </c>
    </row>
    <row r="1110" spans="3:8" x14ac:dyDescent="0.25">
      <c r="C1110" t="str">
        <f>'RES TECH'!M1108</f>
        <v>RESAPAHIOldSHGHP4ELC24</v>
      </c>
      <c r="G1110" s="4">
        <f>IF(SUMIFS('RES TECH'!N:N,'RES TECH'!M:M,C1110)&gt;0,1,0)</f>
        <v>1</v>
      </c>
      <c r="H1110" s="4">
        <f t="shared" si="17"/>
        <v>0</v>
      </c>
    </row>
    <row r="1111" spans="3:8" x14ac:dyDescent="0.25">
      <c r="C1111" t="str">
        <f>'RES TECH'!M1109</f>
        <v>RESAPAHIOldSHRAD2ELC20</v>
      </c>
      <c r="G1111" s="4">
        <f>IF(SUMIFS('RES TECH'!N:N,'RES TECH'!M:M,C1111)&gt;0,1,0)</f>
        <v>1</v>
      </c>
      <c r="H1111" s="4">
        <f t="shared" si="17"/>
        <v>0</v>
      </c>
    </row>
    <row r="1112" spans="3:8" x14ac:dyDescent="0.25">
      <c r="C1112" t="str">
        <f>'RES TECH'!M1110</f>
        <v>RESAPAHIOldSHFUR1NGA20</v>
      </c>
      <c r="G1112" s="4">
        <f>IF(SUMIFS('RES TECH'!N:N,'RES TECH'!M:M,C1112)&gt;0,1,0)</f>
        <v>1</v>
      </c>
      <c r="H1112" s="4">
        <f t="shared" si="17"/>
        <v>0</v>
      </c>
    </row>
    <row r="1113" spans="3:8" x14ac:dyDescent="0.25">
      <c r="C1113" t="str">
        <f>'RES TECH'!M1111</f>
        <v>RESAPAHIOldSHFUR2NGA20</v>
      </c>
      <c r="G1113" s="4">
        <f>IF(SUMIFS('RES TECH'!N:N,'RES TECH'!M:M,C1113)&gt;0,1,0)</f>
        <v>1</v>
      </c>
      <c r="H1113" s="4">
        <f t="shared" si="17"/>
        <v>0</v>
      </c>
    </row>
    <row r="1114" spans="3:8" x14ac:dyDescent="0.25">
      <c r="C1114" t="str">
        <f>'RES TECH'!M1112</f>
        <v>RESAPAHIOldSHFUR2NGA20</v>
      </c>
      <c r="G1114" s="4">
        <f>IF(SUMIFS('RES TECH'!N:N,'RES TECH'!M:M,C1114)&gt;0,1,0)</f>
        <v>1</v>
      </c>
      <c r="H1114" s="4">
        <f t="shared" si="17"/>
        <v>0</v>
      </c>
    </row>
    <row r="1115" spans="3:8" x14ac:dyDescent="0.25">
      <c r="C1115" t="str">
        <f>'RES TECH'!M1113</f>
        <v>RESAPAHIOldSHFUR3NGA20</v>
      </c>
      <c r="G1115" s="4">
        <f>IF(SUMIFS('RES TECH'!N:N,'RES TECH'!M:M,C1115)&gt;0,1,0)</f>
        <v>1</v>
      </c>
      <c r="H1115" s="4">
        <f t="shared" si="17"/>
        <v>0</v>
      </c>
    </row>
    <row r="1116" spans="3:8" x14ac:dyDescent="0.25">
      <c r="C1116" t="str">
        <f>'RES TECH'!M1114</f>
        <v>RESAPAHIOldSHFUR3NGA22</v>
      </c>
      <c r="G1116" s="4">
        <f>IF(SUMIFS('RES TECH'!N:N,'RES TECH'!M:M,C1116)&gt;0,1,0)</f>
        <v>1</v>
      </c>
      <c r="H1116" s="4">
        <f t="shared" si="17"/>
        <v>0</v>
      </c>
    </row>
    <row r="1117" spans="3:8" x14ac:dyDescent="0.25">
      <c r="C1117" t="str">
        <f>'RES TECH'!M1115</f>
        <v>RESAPAHIOldSHFUR4NGA20</v>
      </c>
      <c r="G1117" s="4">
        <f>IF(SUMIFS('RES TECH'!N:N,'RES TECH'!M:M,C1117)&gt;0,1,0)</f>
        <v>1</v>
      </c>
      <c r="H1117" s="4">
        <f t="shared" si="17"/>
        <v>0</v>
      </c>
    </row>
    <row r="1118" spans="3:8" x14ac:dyDescent="0.25">
      <c r="C1118" t="str">
        <f>'RES TECH'!M1116</f>
        <v>RESAPAHIOldSHFUR4NGA22</v>
      </c>
      <c r="G1118" s="4">
        <f>IF(SUMIFS('RES TECH'!N:N,'RES TECH'!M:M,C1118)&gt;0,1,0)</f>
        <v>1</v>
      </c>
      <c r="H1118" s="4">
        <f t="shared" si="17"/>
        <v>0</v>
      </c>
    </row>
    <row r="1119" spans="3:8" x14ac:dyDescent="0.25">
      <c r="C1119" t="str">
        <f>'RES TECH'!M1117</f>
        <v>RESAPAHIOldSHRAD1NGA20</v>
      </c>
      <c r="G1119" s="4">
        <f>IF(SUMIFS('RES TECH'!N:N,'RES TECH'!M:M,C1119)&gt;0,1,0)</f>
        <v>1</v>
      </c>
      <c r="H1119" s="4">
        <f t="shared" si="17"/>
        <v>0</v>
      </c>
    </row>
    <row r="1120" spans="3:8" x14ac:dyDescent="0.25">
      <c r="C1120" t="str">
        <f>'RES TECH'!M1118</f>
        <v>RESAPAHIOldSHRAD1NGA21</v>
      </c>
      <c r="G1120" s="4">
        <f>IF(SUMIFS('RES TECH'!N:N,'RES TECH'!M:M,C1120)&gt;0,1,0)</f>
        <v>1</v>
      </c>
      <c r="H1120" s="4">
        <f t="shared" si="17"/>
        <v>0</v>
      </c>
    </row>
    <row r="1121" spans="3:8" x14ac:dyDescent="0.25">
      <c r="C1121" t="str">
        <f>'RES TECH'!M1119</f>
        <v>RESAPAHIOldSHRAD2NGA20</v>
      </c>
      <c r="G1121" s="4">
        <f>IF(SUMIFS('RES TECH'!N:N,'RES TECH'!M:M,C1121)&gt;0,1,0)</f>
        <v>1</v>
      </c>
      <c r="H1121" s="4">
        <f t="shared" si="17"/>
        <v>0</v>
      </c>
    </row>
    <row r="1122" spans="3:8" x14ac:dyDescent="0.25">
      <c r="C1122" t="str">
        <f>'RES TECH'!M1120</f>
        <v>RESAPAHIOldSHRAD2NGA20</v>
      </c>
      <c r="G1122" s="4">
        <f>IF(SUMIFS('RES TECH'!N:N,'RES TECH'!M:M,C1122)&gt;0,1,0)</f>
        <v>1</v>
      </c>
      <c r="H1122" s="4">
        <f t="shared" si="17"/>
        <v>0</v>
      </c>
    </row>
    <row r="1123" spans="3:8" x14ac:dyDescent="0.25">
      <c r="C1123" t="str">
        <f>'RES TECH'!M1121</f>
        <v>RESAPAHIOldSHRAD3NGA20</v>
      </c>
      <c r="G1123" s="4">
        <f>IF(SUMIFS('RES TECH'!N:N,'RES TECH'!M:M,C1123)&gt;0,1,0)</f>
        <v>1</v>
      </c>
      <c r="H1123" s="4">
        <f t="shared" si="17"/>
        <v>0</v>
      </c>
    </row>
    <row r="1124" spans="3:8" x14ac:dyDescent="0.25">
      <c r="C1124" t="str">
        <f>'RES TECH'!M1122</f>
        <v>RESAPAHIOldSHRAD4NGA20</v>
      </c>
      <c r="G1124" s="4">
        <f>IF(SUMIFS('RES TECH'!N:N,'RES TECH'!M:M,C1124)&gt;0,1,0)</f>
        <v>1</v>
      </c>
      <c r="H1124" s="4">
        <f t="shared" si="17"/>
        <v>0</v>
      </c>
    </row>
    <row r="1125" spans="3:8" x14ac:dyDescent="0.25">
      <c r="C1125" t="str">
        <f>'RES TECH'!M1123</f>
        <v>RESAPAHIOldSHRAD4NGA22</v>
      </c>
      <c r="G1125" s="4">
        <f>IF(SUMIFS('RES TECH'!N:N,'RES TECH'!M:M,C1125)&gt;0,1,0)</f>
        <v>1</v>
      </c>
      <c r="H1125" s="4">
        <f t="shared" si="17"/>
        <v>0</v>
      </c>
    </row>
    <row r="1126" spans="3:8" x14ac:dyDescent="0.25">
      <c r="C1126" t="str">
        <f>'RES TECH'!M1124</f>
        <v>RESAPAHIOldSHFUR1KER20</v>
      </c>
      <c r="G1126" s="4">
        <f>IF(SUMIFS('RES TECH'!N:N,'RES TECH'!M:M,C1126)&gt;0,1,0)</f>
        <v>1</v>
      </c>
      <c r="H1126" s="4">
        <f t="shared" si="17"/>
        <v>0</v>
      </c>
    </row>
    <row r="1127" spans="3:8" x14ac:dyDescent="0.25">
      <c r="C1127" t="str">
        <f>'RES TECH'!M1125</f>
        <v>RESAPAHIOldSHFUR2KER20</v>
      </c>
      <c r="G1127" s="4">
        <f>IF(SUMIFS('RES TECH'!N:N,'RES TECH'!M:M,C1127)&gt;0,1,0)</f>
        <v>1</v>
      </c>
      <c r="H1127" s="4">
        <f t="shared" si="17"/>
        <v>0</v>
      </c>
    </row>
    <row r="1128" spans="3:8" x14ac:dyDescent="0.25">
      <c r="C1128" t="str">
        <f>'RES TECH'!M1126</f>
        <v>RESAPAHIOldSHFUR2KER20</v>
      </c>
      <c r="G1128" s="4">
        <f>IF(SUMIFS('RES TECH'!N:N,'RES TECH'!M:M,C1128)&gt;0,1,0)</f>
        <v>1</v>
      </c>
      <c r="H1128" s="4">
        <f t="shared" si="17"/>
        <v>0</v>
      </c>
    </row>
    <row r="1129" spans="3:8" x14ac:dyDescent="0.25">
      <c r="C1129" t="str">
        <f>'RES TECH'!M1127</f>
        <v>RESAPAHIOldSHFUR3KER20</v>
      </c>
      <c r="G1129" s="4">
        <f>IF(SUMIFS('RES TECH'!N:N,'RES TECH'!M:M,C1129)&gt;0,1,0)</f>
        <v>1</v>
      </c>
      <c r="H1129" s="4">
        <f t="shared" si="17"/>
        <v>0</v>
      </c>
    </row>
    <row r="1130" spans="3:8" x14ac:dyDescent="0.25">
      <c r="C1130" t="str">
        <f>'RES TECH'!M1128</f>
        <v>RESAPAHIOldSHFUR4KER20</v>
      </c>
      <c r="G1130" s="4">
        <f>IF(SUMIFS('RES TECH'!N:N,'RES TECH'!M:M,C1130)&gt;0,1,0)</f>
        <v>1</v>
      </c>
      <c r="H1130" s="4">
        <f t="shared" si="17"/>
        <v>0</v>
      </c>
    </row>
    <row r="1131" spans="3:8" x14ac:dyDescent="0.25">
      <c r="C1131" t="str">
        <f>'RES TECH'!M1129</f>
        <v>RESAPAHIOldSHFUR4KER20</v>
      </c>
      <c r="G1131" s="4">
        <f>IF(SUMIFS('RES TECH'!N:N,'RES TECH'!M:M,C1131)&gt;0,1,0)</f>
        <v>1</v>
      </c>
      <c r="H1131" s="4">
        <f t="shared" si="17"/>
        <v>0</v>
      </c>
    </row>
    <row r="1132" spans="3:8" x14ac:dyDescent="0.25">
      <c r="C1132" t="str">
        <f>'RES TECH'!M1130</f>
        <v>RESAPAHIOldSHFUR1LPG20</v>
      </c>
      <c r="G1132" s="4">
        <f>IF(SUMIFS('RES TECH'!N:N,'RES TECH'!M:M,C1132)&gt;0,1,0)</f>
        <v>1</v>
      </c>
      <c r="H1132" s="4">
        <f t="shared" si="17"/>
        <v>0</v>
      </c>
    </row>
    <row r="1133" spans="3:8" x14ac:dyDescent="0.25">
      <c r="C1133" t="str">
        <f>'RES TECH'!M1131</f>
        <v>RESAPAHIOldSHFUR2LPG20</v>
      </c>
      <c r="G1133" s="4">
        <f>IF(SUMIFS('RES TECH'!N:N,'RES TECH'!M:M,C1133)&gt;0,1,0)</f>
        <v>1</v>
      </c>
      <c r="H1133" s="4">
        <f t="shared" si="17"/>
        <v>0</v>
      </c>
    </row>
    <row r="1134" spans="3:8" x14ac:dyDescent="0.25">
      <c r="C1134" t="str">
        <f>'RES TECH'!M1132</f>
        <v>RESAPAHIOldSHFUR2LPG20</v>
      </c>
      <c r="G1134" s="4">
        <f>IF(SUMIFS('RES TECH'!N:N,'RES TECH'!M:M,C1134)&gt;0,1,0)</f>
        <v>1</v>
      </c>
      <c r="H1134" s="4">
        <f t="shared" si="17"/>
        <v>0</v>
      </c>
    </row>
    <row r="1135" spans="3:8" x14ac:dyDescent="0.25">
      <c r="C1135" t="str">
        <f>'RES TECH'!M1133</f>
        <v>RESAPAHIOldSHFUR3LPG20</v>
      </c>
      <c r="G1135" s="4">
        <f>IF(SUMIFS('RES TECH'!N:N,'RES TECH'!M:M,C1135)&gt;0,1,0)</f>
        <v>1</v>
      </c>
      <c r="H1135" s="4">
        <f t="shared" si="17"/>
        <v>0</v>
      </c>
    </row>
    <row r="1136" spans="3:8" x14ac:dyDescent="0.25">
      <c r="C1136" t="str">
        <f>'RES TECH'!M1134</f>
        <v>RESAPAHIOldSHFUR3LPG22</v>
      </c>
      <c r="G1136" s="4">
        <f>IF(SUMIFS('RES TECH'!N:N,'RES TECH'!M:M,C1136)&gt;0,1,0)</f>
        <v>1</v>
      </c>
      <c r="H1136" s="4">
        <f t="shared" si="17"/>
        <v>0</v>
      </c>
    </row>
    <row r="1137" spans="3:8" x14ac:dyDescent="0.25">
      <c r="C1137" t="str">
        <f>'RES TECH'!M1135</f>
        <v>RESAPAHIOldSHFUR4LPG20</v>
      </c>
      <c r="G1137" s="4">
        <f>IF(SUMIFS('RES TECH'!N:N,'RES TECH'!M:M,C1137)&gt;0,1,0)</f>
        <v>1</v>
      </c>
      <c r="H1137" s="4">
        <f t="shared" si="17"/>
        <v>0</v>
      </c>
    </row>
    <row r="1138" spans="3:8" x14ac:dyDescent="0.25">
      <c r="C1138" t="str">
        <f>'RES TECH'!M1136</f>
        <v>RESAPAHIOldSHFUR4LPG22</v>
      </c>
      <c r="G1138" s="4">
        <f>IF(SUMIFS('RES TECH'!N:N,'RES TECH'!M:M,C1138)&gt;0,1,0)</f>
        <v>1</v>
      </c>
      <c r="H1138" s="4">
        <f t="shared" si="17"/>
        <v>0</v>
      </c>
    </row>
    <row r="1139" spans="3:8" x14ac:dyDescent="0.25">
      <c r="C1139" t="str">
        <f>'RES TECH'!M1137</f>
        <v>RESAPAHIOldSHFUR1FOI20</v>
      </c>
      <c r="G1139" s="4">
        <f>IF(SUMIFS('RES TECH'!N:N,'RES TECH'!M:M,C1139)&gt;0,1,0)</f>
        <v>1</v>
      </c>
      <c r="H1139" s="4">
        <f t="shared" si="17"/>
        <v>0</v>
      </c>
    </row>
    <row r="1140" spans="3:8" x14ac:dyDescent="0.25">
      <c r="C1140" t="str">
        <f>'RES TECH'!M1138</f>
        <v>RESAPAHIOldSHFUR2FOI20</v>
      </c>
      <c r="G1140" s="4">
        <f>IF(SUMIFS('RES TECH'!N:N,'RES TECH'!M:M,C1140)&gt;0,1,0)</f>
        <v>1</v>
      </c>
      <c r="H1140" s="4">
        <f t="shared" si="17"/>
        <v>0</v>
      </c>
    </row>
    <row r="1141" spans="3:8" x14ac:dyDescent="0.25">
      <c r="C1141" t="str">
        <f>'RES TECH'!M1139</f>
        <v>RESAPAHIOldSHFUR2FOI22</v>
      </c>
      <c r="G1141" s="4">
        <f>IF(SUMIFS('RES TECH'!N:N,'RES TECH'!M:M,C1141)&gt;0,1,0)</f>
        <v>1</v>
      </c>
      <c r="H1141" s="4">
        <f t="shared" si="17"/>
        <v>0</v>
      </c>
    </row>
    <row r="1142" spans="3:8" x14ac:dyDescent="0.25">
      <c r="C1142" t="str">
        <f>'RES TECH'!M1140</f>
        <v>RESAPAHIOldSHFUR3FOI20</v>
      </c>
      <c r="G1142" s="4">
        <f>IF(SUMIFS('RES TECH'!N:N,'RES TECH'!M:M,C1142)&gt;0,1,0)</f>
        <v>1</v>
      </c>
      <c r="H1142" s="4">
        <f t="shared" si="17"/>
        <v>0</v>
      </c>
    </row>
    <row r="1143" spans="3:8" x14ac:dyDescent="0.25">
      <c r="C1143" t="str">
        <f>'RES TECH'!M1141</f>
        <v>RESAPAHIOldSHFUR4FOI20</v>
      </c>
      <c r="G1143" s="4">
        <f>IF(SUMIFS('RES TECH'!N:N,'RES TECH'!M:M,C1143)&gt;0,1,0)</f>
        <v>1</v>
      </c>
      <c r="H1143" s="4">
        <f t="shared" si="17"/>
        <v>0</v>
      </c>
    </row>
    <row r="1144" spans="3:8" x14ac:dyDescent="0.25">
      <c r="C1144" t="str">
        <f>'RES TECH'!M1142</f>
        <v>RESAPAHIOldSHFUR4FOI22</v>
      </c>
      <c r="G1144" s="4">
        <f>IF(SUMIFS('RES TECH'!N:N,'RES TECH'!M:M,C1144)&gt;0,1,0)</f>
        <v>1</v>
      </c>
      <c r="H1144" s="4">
        <f t="shared" si="17"/>
        <v>0</v>
      </c>
    </row>
    <row r="1145" spans="3:8" x14ac:dyDescent="0.25">
      <c r="C1145" t="str">
        <f>'RES TECH'!M1143</f>
        <v>RESAPAHIOldSHRAD1FOI20</v>
      </c>
      <c r="G1145" s="4">
        <f>IF(SUMIFS('RES TECH'!N:N,'RES TECH'!M:M,C1145)&gt;0,1,0)</f>
        <v>1</v>
      </c>
      <c r="H1145" s="4">
        <f t="shared" si="17"/>
        <v>0</v>
      </c>
    </row>
    <row r="1146" spans="3:8" x14ac:dyDescent="0.25">
      <c r="C1146" t="str">
        <f>'RES TECH'!M1144</f>
        <v>RESAPAHIOldSHRAD1FOI22</v>
      </c>
      <c r="G1146" s="4">
        <f>IF(SUMIFS('RES TECH'!N:N,'RES TECH'!M:M,C1146)&gt;0,1,0)</f>
        <v>1</v>
      </c>
      <c r="H1146" s="4">
        <f t="shared" si="17"/>
        <v>0</v>
      </c>
    </row>
    <row r="1147" spans="3:8" x14ac:dyDescent="0.25">
      <c r="C1147" t="str">
        <f>'RES TECH'!M1145</f>
        <v>RESAPAHIOldSHRAD2FOI20</v>
      </c>
      <c r="G1147" s="4">
        <f>IF(SUMIFS('RES TECH'!N:N,'RES TECH'!M:M,C1147)&gt;0,1,0)</f>
        <v>1</v>
      </c>
      <c r="H1147" s="4">
        <f t="shared" si="17"/>
        <v>0</v>
      </c>
    </row>
    <row r="1148" spans="3:8" x14ac:dyDescent="0.25">
      <c r="C1148" t="str">
        <f>'RES TECH'!M1146</f>
        <v>RESAPAHIOldSHRAD2FOI22</v>
      </c>
      <c r="G1148" s="4">
        <f>IF(SUMIFS('RES TECH'!N:N,'RES TECH'!M:M,C1148)&gt;0,1,0)</f>
        <v>1</v>
      </c>
      <c r="H1148" s="4">
        <f t="shared" si="17"/>
        <v>0</v>
      </c>
    </row>
    <row r="1149" spans="3:8" x14ac:dyDescent="0.25">
      <c r="C1149" t="str">
        <f>'RES TECH'!M1147</f>
        <v>RESAPAHIOldSHRAD3FOI20</v>
      </c>
      <c r="G1149" s="4">
        <f>IF(SUMIFS('RES TECH'!N:N,'RES TECH'!M:M,C1149)&gt;0,1,0)</f>
        <v>1</v>
      </c>
      <c r="H1149" s="4">
        <f t="shared" si="17"/>
        <v>0</v>
      </c>
    </row>
    <row r="1150" spans="3:8" x14ac:dyDescent="0.25">
      <c r="C1150" t="str">
        <f>'RES TECH'!M1148</f>
        <v>RESAPAHIOldSHRAD4FOI20</v>
      </c>
      <c r="G1150" s="4">
        <f>IF(SUMIFS('RES TECH'!N:N,'RES TECH'!M:M,C1150)&gt;0,1,0)</f>
        <v>1</v>
      </c>
      <c r="H1150" s="4">
        <f t="shared" si="17"/>
        <v>0</v>
      </c>
    </row>
    <row r="1151" spans="3:8" x14ac:dyDescent="0.25">
      <c r="C1151" t="str">
        <f>'RES TECH'!M1149</f>
        <v>RESAPAHIOldSCAHP2NGA20</v>
      </c>
      <c r="G1151" s="4">
        <f>IF(SUMIFS('RES TECH'!N:N,'RES TECH'!M:M,C1151)&gt;0,1,0)</f>
        <v>1</v>
      </c>
      <c r="H1151" s="4">
        <f t="shared" si="17"/>
        <v>0</v>
      </c>
    </row>
    <row r="1152" spans="3:8" x14ac:dyDescent="0.25">
      <c r="C1152" t="str">
        <f>'RES TECH'!M1150</f>
        <v>RESAPAHIOldSCAHP2NGA20</v>
      </c>
      <c r="G1152" s="4">
        <f>IF(SUMIFS('RES TECH'!N:N,'RES TECH'!M:M,C1152)&gt;0,1,0)</f>
        <v>1</v>
      </c>
      <c r="H1152" s="4">
        <f t="shared" si="17"/>
        <v>0</v>
      </c>
    </row>
    <row r="1153" spans="3:8" x14ac:dyDescent="0.25">
      <c r="C1153" t="str">
        <f>'RES TECH'!M1151</f>
        <v>RESAPAHIOldSCAHP1ELC20</v>
      </c>
      <c r="G1153" s="4">
        <f>IF(SUMIFS('RES TECH'!N:N,'RES TECH'!M:M,C1153)&gt;0,1,0)</f>
        <v>1</v>
      </c>
      <c r="H1153" s="4">
        <f t="shared" si="17"/>
        <v>0</v>
      </c>
    </row>
    <row r="1154" spans="3:8" x14ac:dyDescent="0.25">
      <c r="C1154" t="str">
        <f>'RES TECH'!M1152</f>
        <v>RESAPAHIOldSCAHP1ELC23</v>
      </c>
      <c r="G1154" s="4">
        <f>IF(SUMIFS('RES TECH'!N:N,'RES TECH'!M:M,C1154)&gt;0,1,0)</f>
        <v>1</v>
      </c>
      <c r="H1154" s="4">
        <f t="shared" si="17"/>
        <v>0</v>
      </c>
    </row>
    <row r="1155" spans="3:8" x14ac:dyDescent="0.25">
      <c r="C1155" t="str">
        <f>'RES TECH'!M1153</f>
        <v>RESAPAHIOldSCAHP2ELC20</v>
      </c>
      <c r="G1155" s="4">
        <f>IF(SUMIFS('RES TECH'!N:N,'RES TECH'!M:M,C1155)&gt;0,1,0)</f>
        <v>1</v>
      </c>
      <c r="H1155" s="4">
        <f t="shared" si="17"/>
        <v>0</v>
      </c>
    </row>
    <row r="1156" spans="3:8" x14ac:dyDescent="0.25">
      <c r="C1156" t="str">
        <f>'RES TECH'!M1154</f>
        <v>RESAPAHIOldSCAHP2ELC23</v>
      </c>
      <c r="G1156" s="4">
        <f>IF(SUMIFS('RES TECH'!N:N,'RES TECH'!M:M,C1156)&gt;0,1,0)</f>
        <v>1</v>
      </c>
      <c r="H1156" s="4">
        <f t="shared" si="17"/>
        <v>0</v>
      </c>
    </row>
    <row r="1157" spans="3:8" x14ac:dyDescent="0.25">
      <c r="C1157" t="str">
        <f>'RES TECH'!M1155</f>
        <v>RESAPAHIOldSCAHP3ELC20</v>
      </c>
      <c r="G1157" s="4">
        <f>IF(SUMIFS('RES TECH'!N:N,'RES TECH'!M:M,C1157)&gt;0,1,0)</f>
        <v>1</v>
      </c>
      <c r="H1157" s="4">
        <f t="shared" ref="H1157:H1220" si="18">IF(C1157="","",IF(C1157="*","*",0))</f>
        <v>0</v>
      </c>
    </row>
    <row r="1158" spans="3:8" x14ac:dyDescent="0.25">
      <c r="C1158" t="str">
        <f>'RES TECH'!M1156</f>
        <v>RESAPAHIOldSCAHP3ELC22</v>
      </c>
      <c r="G1158" s="4">
        <f>IF(SUMIFS('RES TECH'!N:N,'RES TECH'!M:M,C1158)&gt;0,1,0)</f>
        <v>1</v>
      </c>
      <c r="H1158" s="4">
        <f t="shared" si="18"/>
        <v>0</v>
      </c>
    </row>
    <row r="1159" spans="3:8" x14ac:dyDescent="0.25">
      <c r="C1159" t="str">
        <f>'RES TECH'!M1157</f>
        <v>RESAPAHIOldSCAHP3ELC23</v>
      </c>
      <c r="G1159" s="4">
        <f>IF(SUMIFS('RES TECH'!N:N,'RES TECH'!M:M,C1159)&gt;0,1,0)</f>
        <v>1</v>
      </c>
      <c r="H1159" s="4">
        <f t="shared" si="18"/>
        <v>0</v>
      </c>
    </row>
    <row r="1160" spans="3:8" x14ac:dyDescent="0.25">
      <c r="C1160" t="str">
        <f>'RES TECH'!M1158</f>
        <v>RESAPAHIOldSCAHP4ELC20</v>
      </c>
      <c r="G1160" s="4">
        <f>IF(SUMIFS('RES TECH'!N:N,'RES TECH'!M:M,C1160)&gt;0,1,0)</f>
        <v>1</v>
      </c>
      <c r="H1160" s="4">
        <f t="shared" si="18"/>
        <v>0</v>
      </c>
    </row>
    <row r="1161" spans="3:8" x14ac:dyDescent="0.25">
      <c r="C1161" t="str">
        <f>'RES TECH'!M1159</f>
        <v>RESAPAHIOldSCAHP4ELC22</v>
      </c>
      <c r="G1161" s="4">
        <f>IF(SUMIFS('RES TECH'!N:N,'RES TECH'!M:M,C1161)&gt;0,1,0)</f>
        <v>1</v>
      </c>
      <c r="H1161" s="4">
        <f t="shared" si="18"/>
        <v>0</v>
      </c>
    </row>
    <row r="1162" spans="3:8" x14ac:dyDescent="0.25">
      <c r="C1162" t="str">
        <f>'RES TECH'!M1160</f>
        <v>RESAPAHIOldSCGHP1ELC20</v>
      </c>
      <c r="G1162" s="4">
        <f>IF(SUMIFS('RES TECH'!N:N,'RES TECH'!M:M,C1162)&gt;0,1,0)</f>
        <v>1</v>
      </c>
      <c r="H1162" s="4">
        <f t="shared" si="18"/>
        <v>0</v>
      </c>
    </row>
    <row r="1163" spans="3:8" x14ac:dyDescent="0.25">
      <c r="C1163" t="str">
        <f>'RES TECH'!M1161</f>
        <v>RESAPAHIOldSCGHP2ELC20</v>
      </c>
      <c r="G1163" s="4">
        <f>IF(SUMIFS('RES TECH'!N:N,'RES TECH'!M:M,C1163)&gt;0,1,0)</f>
        <v>1</v>
      </c>
      <c r="H1163" s="4">
        <f t="shared" si="18"/>
        <v>0</v>
      </c>
    </row>
    <row r="1164" spans="3:8" x14ac:dyDescent="0.25">
      <c r="C1164" t="str">
        <f>'RES TECH'!M1162</f>
        <v>RESAPAHIOldSCGHP3ELC20</v>
      </c>
      <c r="G1164" s="4">
        <f>IF(SUMIFS('RES TECH'!N:N,'RES TECH'!M:M,C1164)&gt;0,1,0)</f>
        <v>1</v>
      </c>
      <c r="H1164" s="4">
        <f t="shared" si="18"/>
        <v>0</v>
      </c>
    </row>
    <row r="1165" spans="3:8" x14ac:dyDescent="0.25">
      <c r="C1165" t="str">
        <f>'RES TECH'!M1163</f>
        <v>RESAPAHIOldSCGHP3ELC20</v>
      </c>
      <c r="G1165" s="4">
        <f>IF(SUMIFS('RES TECH'!N:N,'RES TECH'!M:M,C1165)&gt;0,1,0)</f>
        <v>1</v>
      </c>
      <c r="H1165" s="4">
        <f t="shared" si="18"/>
        <v>0</v>
      </c>
    </row>
    <row r="1166" spans="3:8" x14ac:dyDescent="0.25">
      <c r="C1166" t="str">
        <f>'RES TECH'!M1164</f>
        <v>RESAPAHIOldSCGHP3ELC22</v>
      </c>
      <c r="G1166" s="4">
        <f>IF(SUMIFS('RES TECH'!N:N,'RES TECH'!M:M,C1166)&gt;0,1,0)</f>
        <v>1</v>
      </c>
      <c r="H1166" s="4">
        <f t="shared" si="18"/>
        <v>0</v>
      </c>
    </row>
    <row r="1167" spans="3:8" x14ac:dyDescent="0.25">
      <c r="C1167" t="str">
        <f>'RES TECH'!M1165</f>
        <v>RESAPAHIOldSCGHP3ELC23</v>
      </c>
      <c r="G1167" s="4">
        <f>IF(SUMIFS('RES TECH'!N:N,'RES TECH'!M:M,C1167)&gt;0,1,0)</f>
        <v>1</v>
      </c>
      <c r="H1167" s="4">
        <f t="shared" si="18"/>
        <v>0</v>
      </c>
    </row>
    <row r="1168" spans="3:8" x14ac:dyDescent="0.25">
      <c r="C1168" t="str">
        <f>'RES TECH'!M1166</f>
        <v>RESAPAHIOldSCGHP3ELC24</v>
      </c>
      <c r="G1168" s="4">
        <f>IF(SUMIFS('RES TECH'!N:N,'RES TECH'!M:M,C1168)&gt;0,1,0)</f>
        <v>1</v>
      </c>
      <c r="H1168" s="4">
        <f t="shared" si="18"/>
        <v>0</v>
      </c>
    </row>
    <row r="1169" spans="3:8" x14ac:dyDescent="0.25">
      <c r="C1169" t="str">
        <f>'RES TECH'!M1167</f>
        <v>RESAPAHIOldSCGHP4ELC20</v>
      </c>
      <c r="G1169" s="4">
        <f>IF(SUMIFS('RES TECH'!N:N,'RES TECH'!M:M,C1169)&gt;0,1,0)</f>
        <v>1</v>
      </c>
      <c r="H1169" s="4">
        <f t="shared" si="18"/>
        <v>0</v>
      </c>
    </row>
    <row r="1170" spans="3:8" x14ac:dyDescent="0.25">
      <c r="C1170" t="str">
        <f>'RES TECH'!M1168</f>
        <v>RESAPAHIOldSCGHP4ELC20</v>
      </c>
      <c r="G1170" s="4">
        <f>IF(SUMIFS('RES TECH'!N:N,'RES TECH'!M:M,C1170)&gt;0,1,0)</f>
        <v>1</v>
      </c>
      <c r="H1170" s="4">
        <f t="shared" si="18"/>
        <v>0</v>
      </c>
    </row>
    <row r="1171" spans="3:8" x14ac:dyDescent="0.25">
      <c r="C1171" t="str">
        <f>'RES TECH'!M1169</f>
        <v>RESAPAHIOldSCGHP4ELC22</v>
      </c>
      <c r="G1171" s="4">
        <f>IF(SUMIFS('RES TECH'!N:N,'RES TECH'!M:M,C1171)&gt;0,1,0)</f>
        <v>1</v>
      </c>
      <c r="H1171" s="4">
        <f t="shared" si="18"/>
        <v>0</v>
      </c>
    </row>
    <row r="1172" spans="3:8" x14ac:dyDescent="0.25">
      <c r="C1172" t="str">
        <f>'RES TECH'!M1170</f>
        <v>RESAPAHIOldSCGHP4ELC23</v>
      </c>
      <c r="G1172" s="4">
        <f>IF(SUMIFS('RES TECH'!N:N,'RES TECH'!M:M,C1172)&gt;0,1,0)</f>
        <v>1</v>
      </c>
      <c r="H1172" s="4">
        <f t="shared" si="18"/>
        <v>0</v>
      </c>
    </row>
    <row r="1173" spans="3:8" x14ac:dyDescent="0.25">
      <c r="C1173" t="str">
        <f>'RES TECH'!M1171</f>
        <v>RESAPAHIOldSCGHP4ELC24</v>
      </c>
      <c r="G1173" s="4">
        <f>IF(SUMIFS('RES TECH'!N:N,'RES TECH'!M:M,C1173)&gt;0,1,0)</f>
        <v>1</v>
      </c>
      <c r="H1173" s="4">
        <f t="shared" si="18"/>
        <v>0</v>
      </c>
    </row>
    <row r="1174" spans="3:8" x14ac:dyDescent="0.25">
      <c r="C1174" t="str">
        <f>'RES TECH'!M1172</f>
        <v>RESAPAHIOldSCRAC1ELC20</v>
      </c>
      <c r="G1174" s="4">
        <f>IF(SUMIFS('RES TECH'!N:N,'RES TECH'!M:M,C1174)&gt;0,1,0)</f>
        <v>1</v>
      </c>
      <c r="H1174" s="4">
        <f t="shared" si="18"/>
        <v>0</v>
      </c>
    </row>
    <row r="1175" spans="3:8" x14ac:dyDescent="0.25">
      <c r="C1175" t="str">
        <f>'RES TECH'!M1173</f>
        <v>RESAPAHIOldSCRAC2ELC20</v>
      </c>
      <c r="G1175" s="4">
        <f>IF(SUMIFS('RES TECH'!N:N,'RES TECH'!M:M,C1175)&gt;0,1,0)</f>
        <v>1</v>
      </c>
      <c r="H1175" s="4">
        <f t="shared" si="18"/>
        <v>0</v>
      </c>
    </row>
    <row r="1176" spans="3:8" x14ac:dyDescent="0.25">
      <c r="C1176" t="str">
        <f>'RES TECH'!M1174</f>
        <v>RESAPAHIOldSCRAC2ELC30</v>
      </c>
      <c r="G1176" s="4">
        <f>IF(SUMIFS('RES TECH'!N:N,'RES TECH'!M:M,C1176)&gt;0,1,0)</f>
        <v>1</v>
      </c>
      <c r="H1176" s="4">
        <f t="shared" si="18"/>
        <v>0</v>
      </c>
    </row>
    <row r="1177" spans="3:8" x14ac:dyDescent="0.25">
      <c r="C1177" t="str">
        <f>'RES TECH'!M1175</f>
        <v>RESAPAHIOldSCRAC2ELC40</v>
      </c>
      <c r="G1177" s="4">
        <f>IF(SUMIFS('RES TECH'!N:N,'RES TECH'!M:M,C1177)&gt;0,1,0)</f>
        <v>1</v>
      </c>
      <c r="H1177" s="4">
        <f t="shared" si="18"/>
        <v>0</v>
      </c>
    </row>
    <row r="1178" spans="3:8" x14ac:dyDescent="0.25">
      <c r="C1178" t="str">
        <f>'RES TECH'!M1176</f>
        <v>RESAPAHIOldSCRAC3ELC20</v>
      </c>
      <c r="G1178" s="4">
        <f>IF(SUMIFS('RES TECH'!N:N,'RES TECH'!M:M,C1178)&gt;0,1,0)</f>
        <v>1</v>
      </c>
      <c r="H1178" s="4">
        <f t="shared" si="18"/>
        <v>0</v>
      </c>
    </row>
    <row r="1179" spans="3:8" x14ac:dyDescent="0.25">
      <c r="C1179" t="str">
        <f>'RES TECH'!M1177</f>
        <v>RESAPAHIOldSCRAC4ELC20</v>
      </c>
      <c r="G1179" s="4">
        <f>IF(SUMIFS('RES TECH'!N:N,'RES TECH'!M:M,C1179)&gt;0,1,0)</f>
        <v>1</v>
      </c>
      <c r="H1179" s="4">
        <f t="shared" si="18"/>
        <v>0</v>
      </c>
    </row>
    <row r="1180" spans="3:8" x14ac:dyDescent="0.25">
      <c r="C1180" t="str">
        <f>'RES TECH'!M1178</f>
        <v>RESAPAHIOldSCRAC4ELC22</v>
      </c>
      <c r="G1180" s="4">
        <f>IF(SUMIFS('RES TECH'!N:N,'RES TECH'!M:M,C1180)&gt;0,1,0)</f>
        <v>1</v>
      </c>
      <c r="H1180" s="4">
        <f t="shared" si="18"/>
        <v>0</v>
      </c>
    </row>
    <row r="1181" spans="3:8" x14ac:dyDescent="0.25">
      <c r="C1181" t="str">
        <f>'RES TECH'!M1179</f>
        <v>RESAPAHIOldSCRAC4ELC30</v>
      </c>
      <c r="G1181" s="4">
        <f>IF(SUMIFS('RES TECH'!N:N,'RES TECH'!M:M,C1181)&gt;0,1,0)</f>
        <v>1</v>
      </c>
      <c r="H1181" s="4">
        <f t="shared" si="18"/>
        <v>0</v>
      </c>
    </row>
    <row r="1182" spans="3:8" x14ac:dyDescent="0.25">
      <c r="C1182" t="str">
        <f>'RES TECH'!M1180</f>
        <v>RESAPAHIOldSCRAC4ELC40</v>
      </c>
      <c r="G1182" s="4">
        <f>IF(SUMIFS('RES TECH'!N:N,'RES TECH'!M:M,C1182)&gt;0,1,0)</f>
        <v>1</v>
      </c>
      <c r="H1182" s="4">
        <f t="shared" si="18"/>
        <v>0</v>
      </c>
    </row>
    <row r="1183" spans="3:8" x14ac:dyDescent="0.25">
      <c r="C1183" t="str">
        <f>'RES TECH'!M1181</f>
        <v>RESAPAHIOldSCCAC1ELC20</v>
      </c>
      <c r="G1183" s="4">
        <f>IF(SUMIFS('RES TECH'!N:N,'RES TECH'!M:M,C1183)&gt;0,1,0)</f>
        <v>1</v>
      </c>
      <c r="H1183" s="4">
        <f t="shared" si="18"/>
        <v>0</v>
      </c>
    </row>
    <row r="1184" spans="3:8" x14ac:dyDescent="0.25">
      <c r="C1184" t="str">
        <f>'RES TECH'!M1182</f>
        <v>RESAPAHIOldSCCAC1ELC23</v>
      </c>
      <c r="G1184" s="4">
        <f>IF(SUMIFS('RES TECH'!N:N,'RES TECH'!M:M,C1184)&gt;0,1,0)</f>
        <v>1</v>
      </c>
      <c r="H1184" s="4">
        <f t="shared" si="18"/>
        <v>0</v>
      </c>
    </row>
    <row r="1185" spans="3:8" x14ac:dyDescent="0.25">
      <c r="C1185" t="str">
        <f>'RES TECH'!M1183</f>
        <v>RESAPAHIOldSCCAC2ELC20</v>
      </c>
      <c r="G1185" s="4">
        <f>IF(SUMIFS('RES TECH'!N:N,'RES TECH'!M:M,C1185)&gt;0,1,0)</f>
        <v>1</v>
      </c>
      <c r="H1185" s="4">
        <f t="shared" si="18"/>
        <v>0</v>
      </c>
    </row>
    <row r="1186" spans="3:8" x14ac:dyDescent="0.25">
      <c r="C1186" t="str">
        <f>'RES TECH'!M1184</f>
        <v>RESAPAHIOldSCCAC2ELC23</v>
      </c>
      <c r="G1186" s="4">
        <f>IF(SUMIFS('RES TECH'!N:N,'RES TECH'!M:M,C1186)&gt;0,1,0)</f>
        <v>1</v>
      </c>
      <c r="H1186" s="4">
        <f t="shared" si="18"/>
        <v>0</v>
      </c>
    </row>
    <row r="1187" spans="3:8" x14ac:dyDescent="0.25">
      <c r="C1187" t="str">
        <f>'RES TECH'!M1185</f>
        <v>RESAPAHIOldSCCAC3ELC20</v>
      </c>
      <c r="G1187" s="4">
        <f>IF(SUMIFS('RES TECH'!N:N,'RES TECH'!M:M,C1187)&gt;0,1,0)</f>
        <v>1</v>
      </c>
      <c r="H1187" s="4">
        <f t="shared" si="18"/>
        <v>0</v>
      </c>
    </row>
    <row r="1188" spans="3:8" x14ac:dyDescent="0.25">
      <c r="C1188" t="str">
        <f>'RES TECH'!M1186</f>
        <v>RESAPAHIOldSCCAC3ELC23</v>
      </c>
      <c r="G1188" s="4">
        <f>IF(SUMIFS('RES TECH'!N:N,'RES TECH'!M:M,C1188)&gt;0,1,0)</f>
        <v>1</v>
      </c>
      <c r="H1188" s="4">
        <f t="shared" si="18"/>
        <v>0</v>
      </c>
    </row>
    <row r="1189" spans="3:8" x14ac:dyDescent="0.25">
      <c r="C1189" t="str">
        <f>'RES TECH'!M1187</f>
        <v>RESAPAHIOldSCCAC4ELC20</v>
      </c>
      <c r="G1189" s="4">
        <f>IF(SUMIFS('RES TECH'!N:N,'RES TECH'!M:M,C1189)&gt;0,1,0)</f>
        <v>1</v>
      </c>
      <c r="H1189" s="4">
        <f t="shared" si="18"/>
        <v>0</v>
      </c>
    </row>
    <row r="1190" spans="3:8" x14ac:dyDescent="0.25">
      <c r="C1190" t="str">
        <f>'RES TECH'!M1188</f>
        <v>RESAPAHIOldSCCAC4ELC22</v>
      </c>
      <c r="G1190" s="4">
        <f>IF(SUMIFS('RES TECH'!N:N,'RES TECH'!M:M,C1190)&gt;0,1,0)</f>
        <v>1</v>
      </c>
      <c r="H1190" s="4">
        <f t="shared" si="18"/>
        <v>0</v>
      </c>
    </row>
    <row r="1191" spans="3:8" x14ac:dyDescent="0.25">
      <c r="C1191" t="str">
        <f>'RES TECH'!M1189</f>
        <v>RESAPAHIOldRETF1ELC20</v>
      </c>
      <c r="G1191" s="4">
        <f>IF(SUMIFS('RES TECH'!N:N,'RES TECH'!M:M,C1191)&gt;0,1,0)</f>
        <v>1</v>
      </c>
      <c r="H1191" s="4">
        <f t="shared" si="18"/>
        <v>0</v>
      </c>
    </row>
    <row r="1192" spans="3:8" x14ac:dyDescent="0.25">
      <c r="C1192" t="str">
        <f>'RES TECH'!M1190</f>
        <v>RESAPAHIOldRETF2ELC20</v>
      </c>
      <c r="G1192" s="4">
        <f>IF(SUMIFS('RES TECH'!N:N,'RES TECH'!M:M,C1192)&gt;0,1,0)</f>
        <v>1</v>
      </c>
      <c r="H1192" s="4">
        <f t="shared" si="18"/>
        <v>0</v>
      </c>
    </row>
    <row r="1193" spans="3:8" x14ac:dyDescent="0.25">
      <c r="C1193" t="str">
        <f>'RES TECH'!M1191</f>
        <v>RESAPAHIOldRETF3ELC20</v>
      </c>
      <c r="G1193" s="4">
        <f>IF(SUMIFS('RES TECH'!N:N,'RES TECH'!M:M,C1193)&gt;0,1,0)</f>
        <v>1</v>
      </c>
      <c r="H1193" s="4">
        <f t="shared" si="18"/>
        <v>0</v>
      </c>
    </row>
    <row r="1194" spans="3:8" x14ac:dyDescent="0.25">
      <c r="C1194" t="str">
        <f>'RES TECH'!M1192</f>
        <v>RESAPAHIOldRETF4ELC20</v>
      </c>
      <c r="G1194" s="4">
        <f>IF(SUMIFS('RES TECH'!N:N,'RES TECH'!M:M,C1194)&gt;0,1,0)</f>
        <v>1</v>
      </c>
      <c r="H1194" s="4">
        <f t="shared" si="18"/>
        <v>0</v>
      </c>
    </row>
    <row r="1195" spans="3:8" x14ac:dyDescent="0.25">
      <c r="C1195" t="str">
        <f>'RES TECH'!M1193</f>
        <v>RESAPAHIOldRESF1ELC20</v>
      </c>
      <c r="G1195" s="4">
        <f>IF(SUMIFS('RES TECH'!N:N,'RES TECH'!M:M,C1195)&gt;0,1,0)</f>
        <v>1</v>
      </c>
      <c r="H1195" s="4">
        <f t="shared" si="18"/>
        <v>0</v>
      </c>
    </row>
    <row r="1196" spans="3:8" x14ac:dyDescent="0.25">
      <c r="C1196" t="str">
        <f>'RES TECH'!M1194</f>
        <v>RESAPAHIOldRESF2ELC20</v>
      </c>
      <c r="G1196" s="4">
        <f>IF(SUMIFS('RES TECH'!N:N,'RES TECH'!M:M,C1196)&gt;0,1,0)</f>
        <v>1</v>
      </c>
      <c r="H1196" s="4">
        <f t="shared" si="18"/>
        <v>0</v>
      </c>
    </row>
    <row r="1197" spans="3:8" x14ac:dyDescent="0.25">
      <c r="C1197" t="str">
        <f>'RES TECH'!M1195</f>
        <v>RESAPAHIOldRESF3ELC20</v>
      </c>
      <c r="G1197" s="4">
        <f>IF(SUMIFS('RES TECH'!N:N,'RES TECH'!M:M,C1197)&gt;0,1,0)</f>
        <v>1</v>
      </c>
      <c r="H1197" s="4">
        <f t="shared" si="18"/>
        <v>0</v>
      </c>
    </row>
    <row r="1198" spans="3:8" x14ac:dyDescent="0.25">
      <c r="C1198" t="str">
        <f>'RES TECH'!M1196</f>
        <v>RESAPAHIOldRESF4ELC20</v>
      </c>
      <c r="G1198" s="4">
        <f>IF(SUMIFS('RES TECH'!N:N,'RES TECH'!M:M,C1198)&gt;0,1,0)</f>
        <v>1</v>
      </c>
      <c r="H1198" s="4">
        <f t="shared" si="18"/>
        <v>0</v>
      </c>
    </row>
    <row r="1199" spans="3:8" x14ac:dyDescent="0.25">
      <c r="C1199" t="str">
        <f>'RES TECH'!M1197</f>
        <v>RESAPAHIOldREBF1ELC20</v>
      </c>
      <c r="G1199" s="4">
        <f>IF(SUMIFS('RES TECH'!N:N,'RES TECH'!M:M,C1199)&gt;0,1,0)</f>
        <v>1</v>
      </c>
      <c r="H1199" s="4">
        <f t="shared" si="18"/>
        <v>0</v>
      </c>
    </row>
    <row r="1200" spans="3:8" x14ac:dyDescent="0.25">
      <c r="C1200" t="str">
        <f>'RES TECH'!M1198</f>
        <v>RESAPAHIOldREBF2ELC20</v>
      </c>
      <c r="G1200" s="4">
        <f>IF(SUMIFS('RES TECH'!N:N,'RES TECH'!M:M,C1200)&gt;0,1,0)</f>
        <v>1</v>
      </c>
      <c r="H1200" s="4">
        <f t="shared" si="18"/>
        <v>0</v>
      </c>
    </row>
    <row r="1201" spans="3:8" x14ac:dyDescent="0.25">
      <c r="C1201" t="str">
        <f>'RES TECH'!M1199</f>
        <v>RESAPAHIOldREBF3ELC20</v>
      </c>
      <c r="G1201" s="4">
        <f>IF(SUMIFS('RES TECH'!N:N,'RES TECH'!M:M,C1201)&gt;0,1,0)</f>
        <v>1</v>
      </c>
      <c r="H1201" s="4">
        <f t="shared" si="18"/>
        <v>0</v>
      </c>
    </row>
    <row r="1202" spans="3:8" x14ac:dyDescent="0.25">
      <c r="C1202" t="str">
        <f>'RES TECH'!M1200</f>
        <v>RESAPAHIOldREBF4ELC20</v>
      </c>
      <c r="G1202" s="4">
        <f>IF(SUMIFS('RES TECH'!N:N,'RES TECH'!M:M,C1202)&gt;0,1,0)</f>
        <v>1</v>
      </c>
      <c r="H1202" s="4">
        <f t="shared" si="18"/>
        <v>0</v>
      </c>
    </row>
    <row r="1203" spans="3:8" x14ac:dyDescent="0.25">
      <c r="C1203" t="str">
        <f>'RES TECH'!M1201</f>
        <v>RESAPAHIOldFRC1ELC20</v>
      </c>
      <c r="G1203" s="4">
        <f>IF(SUMIFS('RES TECH'!N:N,'RES TECH'!M:M,C1203)&gt;0,1,0)</f>
        <v>1</v>
      </c>
      <c r="H1203" s="4">
        <f t="shared" si="18"/>
        <v>0</v>
      </c>
    </row>
    <row r="1204" spans="3:8" x14ac:dyDescent="0.25">
      <c r="C1204" t="str">
        <f>'RES TECH'!M1202</f>
        <v>RESAPAHIOldFRC2ELC20</v>
      </c>
      <c r="G1204" s="4">
        <f>IF(SUMIFS('RES TECH'!N:N,'RES TECH'!M:M,C1204)&gt;0,1,0)</f>
        <v>1</v>
      </c>
      <c r="H1204" s="4">
        <f t="shared" si="18"/>
        <v>0</v>
      </c>
    </row>
    <row r="1205" spans="3:8" x14ac:dyDescent="0.25">
      <c r="C1205" t="str">
        <f>'RES TECH'!M1203</f>
        <v>RESAPAHIOldFRC3ELC20</v>
      </c>
      <c r="G1205" s="4">
        <f>IF(SUMIFS('RES TECH'!N:N,'RES TECH'!M:M,C1205)&gt;0,1,0)</f>
        <v>1</v>
      </c>
      <c r="H1205" s="4">
        <f t="shared" si="18"/>
        <v>0</v>
      </c>
    </row>
    <row r="1206" spans="3:8" x14ac:dyDescent="0.25">
      <c r="C1206" t="str">
        <f>'RES TECH'!M1204</f>
        <v>RESAPAHIOldFRC4ELC20</v>
      </c>
      <c r="G1206" s="4">
        <f>IF(SUMIFS('RES TECH'!N:N,'RES TECH'!M:M,C1206)&gt;0,1,0)</f>
        <v>1</v>
      </c>
      <c r="H1206" s="4">
        <f t="shared" si="18"/>
        <v>0</v>
      </c>
    </row>
    <row r="1207" spans="3:8" x14ac:dyDescent="0.25">
      <c r="C1207" t="str">
        <f>'RES TECH'!M1205</f>
        <v>RESAPAHIOldFRU1ELC20</v>
      </c>
      <c r="G1207" s="4">
        <f>IF(SUMIFS('RES TECH'!N:N,'RES TECH'!M:M,C1207)&gt;0,1,0)</f>
        <v>1</v>
      </c>
      <c r="H1207" s="4">
        <f t="shared" si="18"/>
        <v>0</v>
      </c>
    </row>
    <row r="1208" spans="3:8" x14ac:dyDescent="0.25">
      <c r="C1208" t="str">
        <f>'RES TECH'!M1206</f>
        <v>RESAPAHIOldFRU2ELC20</v>
      </c>
      <c r="G1208" s="4">
        <f>IF(SUMIFS('RES TECH'!N:N,'RES TECH'!M:M,C1208)&gt;0,1,0)</f>
        <v>1</v>
      </c>
      <c r="H1208" s="4">
        <f t="shared" si="18"/>
        <v>0</v>
      </c>
    </row>
    <row r="1209" spans="3:8" x14ac:dyDescent="0.25">
      <c r="C1209" t="str">
        <f>'RES TECH'!M1207</f>
        <v>RESAPAHIOldFRU3ELC20</v>
      </c>
      <c r="G1209" s="4">
        <f>IF(SUMIFS('RES TECH'!N:N,'RES TECH'!M:M,C1209)&gt;0,1,0)</f>
        <v>1</v>
      </c>
      <c r="H1209" s="4">
        <f t="shared" si="18"/>
        <v>0</v>
      </c>
    </row>
    <row r="1210" spans="3:8" x14ac:dyDescent="0.25">
      <c r="C1210" t="str">
        <f>'RES TECH'!M1208</f>
        <v>RESAPAHIOldFRU4ELC20</v>
      </c>
      <c r="G1210" s="4">
        <f>IF(SUMIFS('RES TECH'!N:N,'RES TECH'!M:M,C1210)&gt;0,1,0)</f>
        <v>1</v>
      </c>
      <c r="H1210" s="4">
        <f t="shared" si="18"/>
        <v>0</v>
      </c>
    </row>
    <row r="1211" spans="3:8" x14ac:dyDescent="0.25">
      <c r="C1211" t="str">
        <f>'RES TECH'!M1209</f>
        <v>RESAPAHIOldCK2NGA20</v>
      </c>
      <c r="G1211" s="4">
        <f>IF(SUMIFS('RES TECH'!N:N,'RES TECH'!M:M,C1211)&gt;0,1,0)</f>
        <v>1</v>
      </c>
      <c r="H1211" s="4">
        <f t="shared" si="18"/>
        <v>0</v>
      </c>
    </row>
    <row r="1212" spans="3:8" x14ac:dyDescent="0.25">
      <c r="C1212" t="str">
        <f>'RES TECH'!M1210</f>
        <v>RESAPAHIOldCK4NGA20</v>
      </c>
      <c r="G1212" s="4">
        <f>IF(SUMIFS('RES TECH'!N:N,'RES TECH'!M:M,C1212)&gt;0,1,0)</f>
        <v>1</v>
      </c>
      <c r="H1212" s="4">
        <f t="shared" si="18"/>
        <v>0</v>
      </c>
    </row>
    <row r="1213" spans="3:8" x14ac:dyDescent="0.25">
      <c r="C1213" t="str">
        <f>'RES TECH'!M1211</f>
        <v>RESAPAHIOldCK2LPG20</v>
      </c>
      <c r="G1213" s="4">
        <f>IF(SUMIFS('RES TECH'!N:N,'RES TECH'!M:M,C1213)&gt;0,1,0)</f>
        <v>1</v>
      </c>
      <c r="H1213" s="4">
        <f t="shared" si="18"/>
        <v>0</v>
      </c>
    </row>
    <row r="1214" spans="3:8" x14ac:dyDescent="0.25">
      <c r="C1214" t="str">
        <f>'RES TECH'!M1212</f>
        <v>RESAPAHIOldCK4LPG20</v>
      </c>
      <c r="G1214" s="4">
        <f>IF(SUMIFS('RES TECH'!N:N,'RES TECH'!M:M,C1214)&gt;0,1,0)</f>
        <v>1</v>
      </c>
      <c r="H1214" s="4">
        <f t="shared" si="18"/>
        <v>0</v>
      </c>
    </row>
    <row r="1215" spans="3:8" x14ac:dyDescent="0.25">
      <c r="C1215" t="str">
        <f>'RES TECH'!M1213</f>
        <v>RESAPAHIOldCK2ELC20</v>
      </c>
      <c r="G1215" s="4">
        <f>IF(SUMIFS('RES TECH'!N:N,'RES TECH'!M:M,C1215)&gt;0,1,0)</f>
        <v>1</v>
      </c>
      <c r="H1215" s="4">
        <f t="shared" si="18"/>
        <v>0</v>
      </c>
    </row>
    <row r="1216" spans="3:8" x14ac:dyDescent="0.25">
      <c r="C1216" t="str">
        <f>'RES TECH'!M1214</f>
        <v>RESAPAHIOldCWF4ELC30</v>
      </c>
      <c r="G1216" s="4">
        <f>IF(SUMIFS('RES TECH'!N:N,'RES TECH'!M:M,C1216)&gt;0,1,0)</f>
        <v>1</v>
      </c>
      <c r="H1216" s="4">
        <f t="shared" si="18"/>
        <v>0</v>
      </c>
    </row>
    <row r="1217" spans="3:8" x14ac:dyDescent="0.25">
      <c r="C1217" t="str">
        <f>'RES TECH'!M1215</f>
        <v>RESAPAHIOldCWT1ELC20</v>
      </c>
      <c r="G1217" s="4">
        <f>IF(SUMIFS('RES TECH'!N:N,'RES TECH'!M:M,C1217)&gt;0,1,0)</f>
        <v>1</v>
      </c>
      <c r="H1217" s="4">
        <f t="shared" si="18"/>
        <v>0</v>
      </c>
    </row>
    <row r="1218" spans="3:8" x14ac:dyDescent="0.25">
      <c r="C1218" t="str">
        <f>'RES TECH'!M1216</f>
        <v>RESAPAHIOldCWT2ELC20</v>
      </c>
      <c r="G1218" s="4">
        <f>IF(SUMIFS('RES TECH'!N:N,'RES TECH'!M:M,C1218)&gt;0,1,0)</f>
        <v>1</v>
      </c>
      <c r="H1218" s="4">
        <f t="shared" si="18"/>
        <v>0</v>
      </c>
    </row>
    <row r="1219" spans="3:8" x14ac:dyDescent="0.25">
      <c r="C1219" t="str">
        <f>'RES TECH'!M1217</f>
        <v>RESAPAHIOldCWT2ELC20</v>
      </c>
      <c r="G1219" s="4">
        <f>IF(SUMIFS('RES TECH'!N:N,'RES TECH'!M:M,C1219)&gt;0,1,0)</f>
        <v>1</v>
      </c>
      <c r="H1219" s="4">
        <f t="shared" si="18"/>
        <v>0</v>
      </c>
    </row>
    <row r="1220" spans="3:8" x14ac:dyDescent="0.25">
      <c r="C1220" t="str">
        <f>'RES TECH'!M1218</f>
        <v>RESAPAHIOldCWT3ELC20</v>
      </c>
      <c r="G1220" s="4">
        <f>IF(SUMIFS('RES TECH'!N:N,'RES TECH'!M:M,C1220)&gt;0,1,0)</f>
        <v>1</v>
      </c>
      <c r="H1220" s="4">
        <f t="shared" si="18"/>
        <v>0</v>
      </c>
    </row>
    <row r="1221" spans="3:8" x14ac:dyDescent="0.25">
      <c r="C1221" t="str">
        <f>'RES TECH'!M1219</f>
        <v>RESAPAHIOldCWT4ELC20</v>
      </c>
      <c r="G1221" s="4">
        <f>IF(SUMIFS('RES TECH'!N:N,'RES TECH'!M:M,C1221)&gt;0,1,0)</f>
        <v>1</v>
      </c>
      <c r="H1221" s="4">
        <f t="shared" ref="H1221:H1284" si="19">IF(C1221="","",IF(C1221="*","*",0))</f>
        <v>0</v>
      </c>
    </row>
    <row r="1222" spans="3:8" x14ac:dyDescent="0.25">
      <c r="C1222" t="str">
        <f>'RES TECH'!M1220</f>
        <v>RESAPAHIOldCWF1ELC20</v>
      </c>
      <c r="G1222" s="4">
        <f>IF(SUMIFS('RES TECH'!N:N,'RES TECH'!M:M,C1222)&gt;0,1,0)</f>
        <v>1</v>
      </c>
      <c r="H1222" s="4">
        <f t="shared" si="19"/>
        <v>0</v>
      </c>
    </row>
    <row r="1223" spans="3:8" x14ac:dyDescent="0.25">
      <c r="C1223" t="str">
        <f>'RES TECH'!M1221</f>
        <v>RESAPAHIOldCWF2ELC20</v>
      </c>
      <c r="G1223" s="4">
        <f>IF(SUMIFS('RES TECH'!N:N,'RES TECH'!M:M,C1223)&gt;0,1,0)</f>
        <v>1</v>
      </c>
      <c r="H1223" s="4">
        <f t="shared" si="19"/>
        <v>0</v>
      </c>
    </row>
    <row r="1224" spans="3:8" x14ac:dyDescent="0.25">
      <c r="C1224" t="str">
        <f>'RES TECH'!M1222</f>
        <v>RESAPAHIOldCWF2ELC30</v>
      </c>
      <c r="G1224" s="4">
        <f>IF(SUMIFS('RES TECH'!N:N,'RES TECH'!M:M,C1224)&gt;0,1,0)</f>
        <v>1</v>
      </c>
      <c r="H1224" s="4">
        <f t="shared" si="19"/>
        <v>0</v>
      </c>
    </row>
    <row r="1225" spans="3:8" x14ac:dyDescent="0.25">
      <c r="C1225" t="str">
        <f>'RES TECH'!M1223</f>
        <v>RESAPAHIOldCWF3ELC20</v>
      </c>
      <c r="G1225" s="4">
        <f>IF(SUMIFS('RES TECH'!N:N,'RES TECH'!M:M,C1225)&gt;0,1,0)</f>
        <v>1</v>
      </c>
      <c r="H1225" s="4">
        <f t="shared" si="19"/>
        <v>0</v>
      </c>
    </row>
    <row r="1226" spans="3:8" x14ac:dyDescent="0.25">
      <c r="C1226" t="str">
        <f>'RES TECH'!M1224</f>
        <v>RESAPAHIOldCWF4ELC20</v>
      </c>
      <c r="G1226" s="4">
        <f>IF(SUMIFS('RES TECH'!N:N,'RES TECH'!M:M,C1226)&gt;0,1,0)</f>
        <v>1</v>
      </c>
      <c r="H1226" s="4">
        <f t="shared" si="19"/>
        <v>0</v>
      </c>
    </row>
    <row r="1227" spans="3:8" x14ac:dyDescent="0.25">
      <c r="C1227" t="str">
        <f>'RES TECH'!M1225</f>
        <v>RESAPAHIOldCWF4ELC20</v>
      </c>
      <c r="G1227" s="4">
        <f>IF(SUMIFS('RES TECH'!N:N,'RES TECH'!M:M,C1227)&gt;0,1,0)</f>
        <v>1</v>
      </c>
      <c r="H1227" s="4">
        <f t="shared" si="19"/>
        <v>0</v>
      </c>
    </row>
    <row r="1228" spans="3:8" x14ac:dyDescent="0.25">
      <c r="C1228" t="str">
        <f>'RES TECH'!M1226</f>
        <v>RESAPAHIOldCD1NGA20</v>
      </c>
      <c r="G1228" s="4">
        <f>IF(SUMIFS('RES TECH'!N:N,'RES TECH'!M:M,C1228)&gt;0,1,0)</f>
        <v>1</v>
      </c>
      <c r="H1228" s="4">
        <f t="shared" si="19"/>
        <v>0</v>
      </c>
    </row>
    <row r="1229" spans="3:8" x14ac:dyDescent="0.25">
      <c r="C1229" t="str">
        <f>'RES TECH'!M1227</f>
        <v>RESAPAHIOldCD2NGA20</v>
      </c>
      <c r="G1229" s="4">
        <f>IF(SUMIFS('RES TECH'!N:N,'RES TECH'!M:M,C1229)&gt;0,1,0)</f>
        <v>1</v>
      </c>
      <c r="H1229" s="4">
        <f t="shared" si="19"/>
        <v>0</v>
      </c>
    </row>
    <row r="1230" spans="3:8" x14ac:dyDescent="0.25">
      <c r="C1230" t="str">
        <f>'RES TECH'!M1228</f>
        <v>RESAPAHIOldCD3NGA20</v>
      </c>
      <c r="G1230" s="4">
        <f>IF(SUMIFS('RES TECH'!N:N,'RES TECH'!M:M,C1230)&gt;0,1,0)</f>
        <v>1</v>
      </c>
      <c r="H1230" s="4">
        <f t="shared" si="19"/>
        <v>0</v>
      </c>
    </row>
    <row r="1231" spans="3:8" x14ac:dyDescent="0.25">
      <c r="C1231" t="str">
        <f>'RES TECH'!M1229</f>
        <v>RESAPAHIOldCD4NGA20</v>
      </c>
      <c r="G1231" s="4">
        <f>IF(SUMIFS('RES TECH'!N:N,'RES TECH'!M:M,C1231)&gt;0,1,0)</f>
        <v>1</v>
      </c>
      <c r="H1231" s="4">
        <f t="shared" si="19"/>
        <v>0</v>
      </c>
    </row>
    <row r="1232" spans="3:8" x14ac:dyDescent="0.25">
      <c r="C1232" t="str">
        <f>'RES TECH'!M1230</f>
        <v>RESAPAHIOldCD4NGA30</v>
      </c>
      <c r="G1232" s="4">
        <f>IF(SUMIFS('RES TECH'!N:N,'RES TECH'!M:M,C1232)&gt;0,1,0)</f>
        <v>1</v>
      </c>
      <c r="H1232" s="4">
        <f t="shared" si="19"/>
        <v>0</v>
      </c>
    </row>
    <row r="1233" spans="3:8" x14ac:dyDescent="0.25">
      <c r="C1233" t="str">
        <f>'RES TECH'!M1231</f>
        <v>RESAPAHIOldCD1ELC20</v>
      </c>
      <c r="G1233" s="4">
        <f>IF(SUMIFS('RES TECH'!N:N,'RES TECH'!M:M,C1233)&gt;0,1,0)</f>
        <v>1</v>
      </c>
      <c r="H1233" s="4">
        <f t="shared" si="19"/>
        <v>0</v>
      </c>
    </row>
    <row r="1234" spans="3:8" x14ac:dyDescent="0.25">
      <c r="C1234" t="str">
        <f>'RES TECH'!M1232</f>
        <v>RESAPAHIOldCD2ELC20</v>
      </c>
      <c r="G1234" s="4">
        <f>IF(SUMIFS('RES TECH'!N:N,'RES TECH'!M:M,C1234)&gt;0,1,0)</f>
        <v>1</v>
      </c>
      <c r="H1234" s="4">
        <f t="shared" si="19"/>
        <v>0</v>
      </c>
    </row>
    <row r="1235" spans="3:8" x14ac:dyDescent="0.25">
      <c r="C1235" t="str">
        <f>'RES TECH'!M1233</f>
        <v>RESAPAHIOldCD3ELC20</v>
      </c>
      <c r="G1235" s="4">
        <f>IF(SUMIFS('RES TECH'!N:N,'RES TECH'!M:M,C1235)&gt;0,1,0)</f>
        <v>1</v>
      </c>
      <c r="H1235" s="4">
        <f t="shared" si="19"/>
        <v>0</v>
      </c>
    </row>
    <row r="1236" spans="3:8" x14ac:dyDescent="0.25">
      <c r="C1236" t="str">
        <f>'RES TECH'!M1234</f>
        <v>RESAPAHIOldCD4ELC20</v>
      </c>
      <c r="G1236" s="4">
        <f>IF(SUMIFS('RES TECH'!N:N,'RES TECH'!M:M,C1236)&gt;0,1,0)</f>
        <v>1</v>
      </c>
      <c r="H1236" s="4">
        <f t="shared" si="19"/>
        <v>0</v>
      </c>
    </row>
    <row r="1237" spans="3:8" x14ac:dyDescent="0.25">
      <c r="C1237" t="str">
        <f>'RES TECH'!M1235</f>
        <v>RESHOUHIOldWH1NGA20</v>
      </c>
      <c r="G1237" s="4">
        <f>IF(SUMIFS('RES TECH'!N:N,'RES TECH'!M:M,C1237)&gt;0,1,0)</f>
        <v>1</v>
      </c>
      <c r="H1237" s="4">
        <f t="shared" si="19"/>
        <v>0</v>
      </c>
    </row>
    <row r="1238" spans="3:8" x14ac:dyDescent="0.25">
      <c r="C1238" t="str">
        <f>'RES TECH'!M1236</f>
        <v>RESHOUHIOldWH2NGA20</v>
      </c>
      <c r="G1238" s="4">
        <f>IF(SUMIFS('RES TECH'!N:N,'RES TECH'!M:M,C1238)&gt;0,1,0)</f>
        <v>1</v>
      </c>
      <c r="H1238" s="4">
        <f t="shared" si="19"/>
        <v>0</v>
      </c>
    </row>
    <row r="1239" spans="3:8" x14ac:dyDescent="0.25">
      <c r="C1239" t="str">
        <f>'RES TECH'!M1237</f>
        <v>RESHOUHIOldWH3NGA20</v>
      </c>
      <c r="G1239" s="4">
        <f>IF(SUMIFS('RES TECH'!N:N,'RES TECH'!M:M,C1239)&gt;0,1,0)</f>
        <v>1</v>
      </c>
      <c r="H1239" s="4">
        <f t="shared" si="19"/>
        <v>0</v>
      </c>
    </row>
    <row r="1240" spans="3:8" x14ac:dyDescent="0.25">
      <c r="C1240" t="str">
        <f>'RES TECH'!M1238</f>
        <v>RESHOUHIOldWH3NGA23</v>
      </c>
      <c r="G1240" s="4">
        <f>IF(SUMIFS('RES TECH'!N:N,'RES TECH'!M:M,C1240)&gt;0,1,0)</f>
        <v>1</v>
      </c>
      <c r="H1240" s="4">
        <f t="shared" si="19"/>
        <v>0</v>
      </c>
    </row>
    <row r="1241" spans="3:8" x14ac:dyDescent="0.25">
      <c r="C1241" t="str">
        <f>'RES TECH'!M1239</f>
        <v>RESHOUHIOldWH4NGA20</v>
      </c>
      <c r="G1241" s="4">
        <f>IF(SUMIFS('RES TECH'!N:N,'RES TECH'!M:M,C1241)&gt;0,1,0)</f>
        <v>1</v>
      </c>
      <c r="H1241" s="4">
        <f t="shared" si="19"/>
        <v>0</v>
      </c>
    </row>
    <row r="1242" spans="3:8" x14ac:dyDescent="0.25">
      <c r="C1242" t="str">
        <f>'RES TECH'!M1240</f>
        <v>RESHOUHIOldWH4NGA20</v>
      </c>
      <c r="G1242" s="4">
        <f>IF(SUMIFS('RES TECH'!N:N,'RES TECH'!M:M,C1242)&gt;0,1,0)</f>
        <v>1</v>
      </c>
      <c r="H1242" s="4">
        <f t="shared" si="19"/>
        <v>0</v>
      </c>
    </row>
    <row r="1243" spans="3:8" x14ac:dyDescent="0.25">
      <c r="C1243" t="str">
        <f>'RES TECH'!M1241</f>
        <v>RESHOUHIOldWH4NGA22</v>
      </c>
      <c r="G1243" s="4">
        <f>IF(SUMIFS('RES TECH'!N:N,'RES TECH'!M:M,C1243)&gt;0,1,0)</f>
        <v>1</v>
      </c>
      <c r="H1243" s="4">
        <f t="shared" si="19"/>
        <v>0</v>
      </c>
    </row>
    <row r="1244" spans="3:8" x14ac:dyDescent="0.25">
      <c r="C1244" t="str">
        <f>'RES TECH'!M1242</f>
        <v>RESHOUHIOldWH1ELC20</v>
      </c>
      <c r="G1244" s="4">
        <f>IF(SUMIFS('RES TECH'!N:N,'RES TECH'!M:M,C1244)&gt;0,1,0)</f>
        <v>1</v>
      </c>
      <c r="H1244" s="4">
        <f t="shared" si="19"/>
        <v>0</v>
      </c>
    </row>
    <row r="1245" spans="3:8" x14ac:dyDescent="0.25">
      <c r="C1245" t="str">
        <f>'RES TECH'!M1243</f>
        <v>RESHOUHIOldWH2ELC20</v>
      </c>
      <c r="G1245" s="4">
        <f>IF(SUMIFS('RES TECH'!N:N,'RES TECH'!M:M,C1245)&gt;0,1,0)</f>
        <v>1</v>
      </c>
      <c r="H1245" s="4">
        <f t="shared" si="19"/>
        <v>0</v>
      </c>
    </row>
    <row r="1246" spans="3:8" x14ac:dyDescent="0.25">
      <c r="C1246" t="str">
        <f>'RES TECH'!M1244</f>
        <v>RESHOUHIOldWH4ELC20</v>
      </c>
      <c r="G1246" s="4">
        <f>IF(SUMIFS('RES TECH'!N:N,'RES TECH'!M:M,C1246)&gt;0,1,0)</f>
        <v>1</v>
      </c>
      <c r="H1246" s="4">
        <f t="shared" si="19"/>
        <v>0</v>
      </c>
    </row>
    <row r="1247" spans="3:8" x14ac:dyDescent="0.25">
      <c r="C1247" t="str">
        <f>'RES TECH'!M1245</f>
        <v>RESHOUHIOldWH5ELC20</v>
      </c>
      <c r="G1247" s="4">
        <f>IF(SUMIFS('RES TECH'!N:N,'RES TECH'!M:M,C1247)&gt;0,1,0)</f>
        <v>1</v>
      </c>
      <c r="H1247" s="4">
        <f t="shared" si="19"/>
        <v>0</v>
      </c>
    </row>
    <row r="1248" spans="3:8" x14ac:dyDescent="0.25">
      <c r="C1248" t="str">
        <f>'RES TECH'!M1246</f>
        <v>RESHOUHIOldWH5ELC22</v>
      </c>
      <c r="G1248" s="4">
        <f>IF(SUMIFS('RES TECH'!N:N,'RES TECH'!M:M,C1248)&gt;0,1,0)</f>
        <v>1</v>
      </c>
      <c r="H1248" s="4">
        <f t="shared" si="19"/>
        <v>0</v>
      </c>
    </row>
    <row r="1249" spans="3:8" x14ac:dyDescent="0.25">
      <c r="C1249" t="str">
        <f>'RES TECH'!M1247</f>
        <v>RESHOUHIOldWH6ELC20</v>
      </c>
      <c r="G1249" s="4">
        <f>IF(SUMIFS('RES TECH'!N:N,'RES TECH'!M:M,C1249)&gt;0,1,0)</f>
        <v>1</v>
      </c>
      <c r="H1249" s="4">
        <f t="shared" si="19"/>
        <v>0</v>
      </c>
    </row>
    <row r="1250" spans="3:8" x14ac:dyDescent="0.25">
      <c r="C1250" t="str">
        <f>'RES TECH'!M1248</f>
        <v>RESHOUHIOldWH6ELC22</v>
      </c>
      <c r="G1250" s="4">
        <f>IF(SUMIFS('RES TECH'!N:N,'RES TECH'!M:M,C1250)&gt;0,1,0)</f>
        <v>1</v>
      </c>
      <c r="H1250" s="4">
        <f t="shared" si="19"/>
        <v>0</v>
      </c>
    </row>
    <row r="1251" spans="3:8" x14ac:dyDescent="0.25">
      <c r="C1251" t="str">
        <f>'RES TECH'!M1249</f>
        <v>RESHOUHIOldWH7ELC20</v>
      </c>
      <c r="G1251" s="4">
        <f>IF(SUMIFS('RES TECH'!N:N,'RES TECH'!M:M,C1251)&gt;0,1,0)</f>
        <v>1</v>
      </c>
      <c r="H1251" s="4">
        <f t="shared" si="19"/>
        <v>0</v>
      </c>
    </row>
    <row r="1252" spans="3:8" x14ac:dyDescent="0.25">
      <c r="C1252" t="str">
        <f>'RES TECH'!M1250</f>
        <v>RESHOUHIOldWH7ELC22</v>
      </c>
      <c r="G1252" s="4">
        <f>IF(SUMIFS('RES TECH'!N:N,'RES TECH'!M:M,C1252)&gt;0,1,0)</f>
        <v>1</v>
      </c>
      <c r="H1252" s="4">
        <f t="shared" si="19"/>
        <v>0</v>
      </c>
    </row>
    <row r="1253" spans="3:8" x14ac:dyDescent="0.25">
      <c r="C1253" t="str">
        <f>'RES TECH'!M1251</f>
        <v>RESHOUHIOldWH1FOI20</v>
      </c>
      <c r="G1253" s="4">
        <f>IF(SUMIFS('RES TECH'!N:N,'RES TECH'!M:M,C1253)&gt;0,1,0)</f>
        <v>1</v>
      </c>
      <c r="H1253" s="4">
        <f t="shared" si="19"/>
        <v>0</v>
      </c>
    </row>
    <row r="1254" spans="3:8" x14ac:dyDescent="0.25">
      <c r="C1254" t="str">
        <f>'RES TECH'!M1252</f>
        <v>RESHOUHIOldWH2FOI20</v>
      </c>
      <c r="G1254" s="4">
        <f>IF(SUMIFS('RES TECH'!N:N,'RES TECH'!M:M,C1254)&gt;0,1,0)</f>
        <v>1</v>
      </c>
      <c r="H1254" s="4">
        <f t="shared" si="19"/>
        <v>0</v>
      </c>
    </row>
    <row r="1255" spans="3:8" x14ac:dyDescent="0.25">
      <c r="C1255" t="str">
        <f>'RES TECH'!M1253</f>
        <v>RESHOUHIOldWH4FOI20</v>
      </c>
      <c r="G1255" s="4">
        <f>IF(SUMIFS('RES TECH'!N:N,'RES TECH'!M:M,C1255)&gt;0,1,0)</f>
        <v>1</v>
      </c>
      <c r="H1255" s="4">
        <f t="shared" si="19"/>
        <v>0</v>
      </c>
    </row>
    <row r="1256" spans="3:8" x14ac:dyDescent="0.25">
      <c r="C1256" t="str">
        <f>'RES TECH'!M1254</f>
        <v>RESHOUHIOldWH1LPG20</v>
      </c>
      <c r="G1256" s="4">
        <f>IF(SUMIFS('RES TECH'!N:N,'RES TECH'!M:M,C1256)&gt;0,1,0)</f>
        <v>1</v>
      </c>
      <c r="H1256" s="4">
        <f t="shared" si="19"/>
        <v>0</v>
      </c>
    </row>
    <row r="1257" spans="3:8" x14ac:dyDescent="0.25">
      <c r="C1257" t="str">
        <f>'RES TECH'!M1255</f>
        <v>RESHOUHIOldWH2LPG20</v>
      </c>
      <c r="G1257" s="4">
        <f>IF(SUMIFS('RES TECH'!N:N,'RES TECH'!M:M,C1257)&gt;0,1,0)</f>
        <v>1</v>
      </c>
      <c r="H1257" s="4">
        <f t="shared" si="19"/>
        <v>0</v>
      </c>
    </row>
    <row r="1258" spans="3:8" x14ac:dyDescent="0.25">
      <c r="C1258" t="str">
        <f>'RES TECH'!M1256</f>
        <v>RESHOUHIOldWH3LPG20</v>
      </c>
      <c r="G1258" s="4">
        <f>IF(SUMIFS('RES TECH'!N:N,'RES TECH'!M:M,C1258)&gt;0,1,0)</f>
        <v>1</v>
      </c>
      <c r="H1258" s="4">
        <f t="shared" si="19"/>
        <v>0</v>
      </c>
    </row>
    <row r="1259" spans="3:8" x14ac:dyDescent="0.25">
      <c r="C1259" t="str">
        <f>'RES TECH'!M1257</f>
        <v>RESHOUHIOldWH3LPG23</v>
      </c>
      <c r="G1259" s="4">
        <f>IF(SUMIFS('RES TECH'!N:N,'RES TECH'!M:M,C1259)&gt;0,1,0)</f>
        <v>1</v>
      </c>
      <c r="H1259" s="4">
        <f t="shared" si="19"/>
        <v>0</v>
      </c>
    </row>
    <row r="1260" spans="3:8" x14ac:dyDescent="0.25">
      <c r="C1260" t="str">
        <f>'RES TECH'!M1258</f>
        <v>RESHOUHIOldWH4LPG20</v>
      </c>
      <c r="G1260" s="4">
        <f>IF(SUMIFS('RES TECH'!N:N,'RES TECH'!M:M,C1260)&gt;0,1,0)</f>
        <v>1</v>
      </c>
      <c r="H1260" s="4">
        <f t="shared" si="19"/>
        <v>0</v>
      </c>
    </row>
    <row r="1261" spans="3:8" x14ac:dyDescent="0.25">
      <c r="C1261" t="str">
        <f>'RES TECH'!M1259</f>
        <v>RESHOUHIOldWH4LPG20</v>
      </c>
      <c r="G1261" s="4">
        <f>IF(SUMIFS('RES TECH'!N:N,'RES TECH'!M:M,C1261)&gt;0,1,0)</f>
        <v>1</v>
      </c>
      <c r="H1261" s="4">
        <f t="shared" si="19"/>
        <v>0</v>
      </c>
    </row>
    <row r="1262" spans="3:8" x14ac:dyDescent="0.25">
      <c r="C1262" t="str">
        <f>'RES TECH'!M1260</f>
        <v>RESHOUHIOldWH2SOL20</v>
      </c>
      <c r="G1262" s="4">
        <f>IF(SUMIFS('RES TECH'!N:N,'RES TECH'!M:M,C1262)&gt;0,1,0)</f>
        <v>1</v>
      </c>
      <c r="H1262" s="4">
        <f t="shared" si="19"/>
        <v>0</v>
      </c>
    </row>
    <row r="1263" spans="3:8" x14ac:dyDescent="0.25">
      <c r="C1263" t="str">
        <f>'RES TECH'!M1261</f>
        <v>RESHOUHIOldWH2SOL20</v>
      </c>
      <c r="G1263" s="4">
        <f>IF(SUMIFS('RES TECH'!N:N,'RES TECH'!M:M,C1263)&gt;0,1,0)</f>
        <v>1</v>
      </c>
      <c r="H1263" s="4">
        <f t="shared" si="19"/>
        <v>0</v>
      </c>
    </row>
    <row r="1264" spans="3:8" x14ac:dyDescent="0.25">
      <c r="C1264" t="str">
        <f>'RES TECH'!M1262</f>
        <v>RESHOUHIOldWH2SOL23</v>
      </c>
      <c r="G1264" s="4">
        <f>IF(SUMIFS('RES TECH'!N:N,'RES TECH'!M:M,C1264)&gt;0,1,0)</f>
        <v>1</v>
      </c>
      <c r="H1264" s="4">
        <f t="shared" si="19"/>
        <v>0</v>
      </c>
    </row>
    <row r="1265" spans="3:8" x14ac:dyDescent="0.25">
      <c r="C1265" t="str">
        <f>'RES TECH'!M1263</f>
        <v>RESHOUHIOldWH2SOL24</v>
      </c>
      <c r="G1265" s="4">
        <f>IF(SUMIFS('RES TECH'!N:N,'RES TECH'!M:M,C1265)&gt;0,1,0)</f>
        <v>1</v>
      </c>
      <c r="H1265" s="4">
        <f t="shared" si="19"/>
        <v>0</v>
      </c>
    </row>
    <row r="1266" spans="3:8" x14ac:dyDescent="0.25">
      <c r="C1266" t="str">
        <f>'RES TECH'!M1264</f>
        <v>RESHOUHIOldSHAHP1ELC20</v>
      </c>
      <c r="G1266" s="4">
        <f>IF(SUMIFS('RES TECH'!N:N,'RES TECH'!M:M,C1266)&gt;0,1,0)</f>
        <v>1</v>
      </c>
      <c r="H1266" s="4">
        <f t="shared" si="19"/>
        <v>0</v>
      </c>
    </row>
    <row r="1267" spans="3:8" x14ac:dyDescent="0.25">
      <c r="C1267" t="str">
        <f>'RES TECH'!M1265</f>
        <v>RESHOUHIOldSHAHP1ELC23</v>
      </c>
      <c r="G1267" s="4">
        <f>IF(SUMIFS('RES TECH'!N:N,'RES TECH'!M:M,C1267)&gt;0,1,0)</f>
        <v>1</v>
      </c>
      <c r="H1267" s="4">
        <f t="shared" si="19"/>
        <v>0</v>
      </c>
    </row>
    <row r="1268" spans="3:8" x14ac:dyDescent="0.25">
      <c r="C1268" t="str">
        <f>'RES TECH'!M1266</f>
        <v>RESHOUHIOldSHAHP2ELC20</v>
      </c>
      <c r="G1268" s="4">
        <f>IF(SUMIFS('RES TECH'!N:N,'RES TECH'!M:M,C1268)&gt;0,1,0)</f>
        <v>1</v>
      </c>
      <c r="H1268" s="4">
        <f t="shared" si="19"/>
        <v>0</v>
      </c>
    </row>
    <row r="1269" spans="3:8" x14ac:dyDescent="0.25">
      <c r="C1269" t="str">
        <f>'RES TECH'!M1267</f>
        <v>RESHOUHIOldSHAHP2ELC23</v>
      </c>
      <c r="G1269" s="4">
        <f>IF(SUMIFS('RES TECH'!N:N,'RES TECH'!M:M,C1269)&gt;0,1,0)</f>
        <v>1</v>
      </c>
      <c r="H1269" s="4">
        <f t="shared" si="19"/>
        <v>0</v>
      </c>
    </row>
    <row r="1270" spans="3:8" x14ac:dyDescent="0.25">
      <c r="C1270" t="str">
        <f>'RES TECH'!M1268</f>
        <v>RESHOUHIOldSHAHP3ELC20</v>
      </c>
      <c r="G1270" s="4">
        <f>IF(SUMIFS('RES TECH'!N:N,'RES TECH'!M:M,C1270)&gt;0,1,0)</f>
        <v>1</v>
      </c>
      <c r="H1270" s="4">
        <f t="shared" si="19"/>
        <v>0</v>
      </c>
    </row>
    <row r="1271" spans="3:8" x14ac:dyDescent="0.25">
      <c r="C1271" t="str">
        <f>'RES TECH'!M1269</f>
        <v>RESHOUHIOldSHAHP3ELC22</v>
      </c>
      <c r="G1271" s="4">
        <f>IF(SUMIFS('RES TECH'!N:N,'RES TECH'!M:M,C1271)&gt;0,1,0)</f>
        <v>1</v>
      </c>
      <c r="H1271" s="4">
        <f t="shared" si="19"/>
        <v>0</v>
      </c>
    </row>
    <row r="1272" spans="3:8" x14ac:dyDescent="0.25">
      <c r="C1272" t="str">
        <f>'RES TECH'!M1270</f>
        <v>RESHOUHIOldSHAHP3ELC23</v>
      </c>
      <c r="G1272" s="4">
        <f>IF(SUMIFS('RES TECH'!N:N,'RES TECH'!M:M,C1272)&gt;0,1,0)</f>
        <v>1</v>
      </c>
      <c r="H1272" s="4">
        <f t="shared" si="19"/>
        <v>0</v>
      </c>
    </row>
    <row r="1273" spans="3:8" x14ac:dyDescent="0.25">
      <c r="C1273" t="str">
        <f>'RES TECH'!M1271</f>
        <v>RESHOUHIOldSHAHP4ELC20</v>
      </c>
      <c r="G1273" s="4">
        <f>IF(SUMIFS('RES TECH'!N:N,'RES TECH'!M:M,C1273)&gt;0,1,0)</f>
        <v>1</v>
      </c>
      <c r="H1273" s="4">
        <f t="shared" si="19"/>
        <v>0</v>
      </c>
    </row>
    <row r="1274" spans="3:8" x14ac:dyDescent="0.25">
      <c r="C1274" t="str">
        <f>'RES TECH'!M1272</f>
        <v>RESHOUHIOldSHAHP4ELC22</v>
      </c>
      <c r="G1274" s="4">
        <f>IF(SUMIFS('RES TECH'!N:N,'RES TECH'!M:M,C1274)&gt;0,1,0)</f>
        <v>1</v>
      </c>
      <c r="H1274" s="4">
        <f t="shared" si="19"/>
        <v>0</v>
      </c>
    </row>
    <row r="1275" spans="3:8" x14ac:dyDescent="0.25">
      <c r="C1275" t="str">
        <f>'RES TECH'!M1273</f>
        <v>RESHOUHIOldSHGHP1ELC20</v>
      </c>
      <c r="G1275" s="4">
        <f>IF(SUMIFS('RES TECH'!N:N,'RES TECH'!M:M,C1275)&gt;0,1,0)</f>
        <v>1</v>
      </c>
      <c r="H1275" s="4">
        <f t="shared" si="19"/>
        <v>0</v>
      </c>
    </row>
    <row r="1276" spans="3:8" x14ac:dyDescent="0.25">
      <c r="C1276" t="str">
        <f>'RES TECH'!M1274</f>
        <v>RESHOUHIOldSHGHP2ELC20</v>
      </c>
      <c r="G1276" s="4">
        <f>IF(SUMIFS('RES TECH'!N:N,'RES TECH'!M:M,C1276)&gt;0,1,0)</f>
        <v>1</v>
      </c>
      <c r="H1276" s="4">
        <f t="shared" si="19"/>
        <v>0</v>
      </c>
    </row>
    <row r="1277" spans="3:8" x14ac:dyDescent="0.25">
      <c r="C1277" t="str">
        <f>'RES TECH'!M1275</f>
        <v>RESHOUHIOldSHGHP3ELC20</v>
      </c>
      <c r="G1277" s="4">
        <f>IF(SUMIFS('RES TECH'!N:N,'RES TECH'!M:M,C1277)&gt;0,1,0)</f>
        <v>1</v>
      </c>
      <c r="H1277" s="4">
        <f t="shared" si="19"/>
        <v>0</v>
      </c>
    </row>
    <row r="1278" spans="3:8" x14ac:dyDescent="0.25">
      <c r="C1278" t="str">
        <f>'RES TECH'!M1276</f>
        <v>RESHOUHIOldSHGHP3ELC20</v>
      </c>
      <c r="G1278" s="4">
        <f>IF(SUMIFS('RES TECH'!N:N,'RES TECH'!M:M,C1278)&gt;0,1,0)</f>
        <v>1</v>
      </c>
      <c r="H1278" s="4">
        <f t="shared" si="19"/>
        <v>0</v>
      </c>
    </row>
    <row r="1279" spans="3:8" x14ac:dyDescent="0.25">
      <c r="C1279" t="str">
        <f>'RES TECH'!M1277</f>
        <v>RESHOUHIOldSHGHP3ELC22</v>
      </c>
      <c r="G1279" s="4">
        <f>IF(SUMIFS('RES TECH'!N:N,'RES TECH'!M:M,C1279)&gt;0,1,0)</f>
        <v>1</v>
      </c>
      <c r="H1279" s="4">
        <f t="shared" si="19"/>
        <v>0</v>
      </c>
    </row>
    <row r="1280" spans="3:8" x14ac:dyDescent="0.25">
      <c r="C1280" t="str">
        <f>'RES TECH'!M1278</f>
        <v>RESHOUHIOldSHGHP3ELC23</v>
      </c>
      <c r="G1280" s="4">
        <f>IF(SUMIFS('RES TECH'!N:N,'RES TECH'!M:M,C1280)&gt;0,1,0)</f>
        <v>1</v>
      </c>
      <c r="H1280" s="4">
        <f t="shared" si="19"/>
        <v>0</v>
      </c>
    </row>
    <row r="1281" spans="3:8" x14ac:dyDescent="0.25">
      <c r="C1281" t="str">
        <f>'RES TECH'!M1279</f>
        <v>RESHOUHIOldSHGHP3ELC24</v>
      </c>
      <c r="G1281" s="4">
        <f>IF(SUMIFS('RES TECH'!N:N,'RES TECH'!M:M,C1281)&gt;0,1,0)</f>
        <v>1</v>
      </c>
      <c r="H1281" s="4">
        <f t="shared" si="19"/>
        <v>0</v>
      </c>
    </row>
    <row r="1282" spans="3:8" x14ac:dyDescent="0.25">
      <c r="C1282" t="str">
        <f>'RES TECH'!M1280</f>
        <v>RESHOUHIOldSHGHP4ELC20</v>
      </c>
      <c r="G1282" s="4">
        <f>IF(SUMIFS('RES TECH'!N:N,'RES TECH'!M:M,C1282)&gt;0,1,0)</f>
        <v>1</v>
      </c>
      <c r="H1282" s="4">
        <f t="shared" si="19"/>
        <v>0</v>
      </c>
    </row>
    <row r="1283" spans="3:8" x14ac:dyDescent="0.25">
      <c r="C1283" t="str">
        <f>'RES TECH'!M1281</f>
        <v>RESHOUHIOldSHGHP4ELC20</v>
      </c>
      <c r="G1283" s="4">
        <f>IF(SUMIFS('RES TECH'!N:N,'RES TECH'!M:M,C1283)&gt;0,1,0)</f>
        <v>1</v>
      </c>
      <c r="H1283" s="4">
        <f t="shared" si="19"/>
        <v>0</v>
      </c>
    </row>
    <row r="1284" spans="3:8" x14ac:dyDescent="0.25">
      <c r="C1284" t="str">
        <f>'RES TECH'!M1282</f>
        <v>RESHOUHIOldSHGHP4ELC22</v>
      </c>
      <c r="G1284" s="4">
        <f>IF(SUMIFS('RES TECH'!N:N,'RES TECH'!M:M,C1284)&gt;0,1,0)</f>
        <v>1</v>
      </c>
      <c r="H1284" s="4">
        <f t="shared" si="19"/>
        <v>0</v>
      </c>
    </row>
    <row r="1285" spans="3:8" x14ac:dyDescent="0.25">
      <c r="C1285" t="str">
        <f>'RES TECH'!M1283</f>
        <v>RESHOUHIOldSHGHP4ELC23</v>
      </c>
      <c r="G1285" s="4">
        <f>IF(SUMIFS('RES TECH'!N:N,'RES TECH'!M:M,C1285)&gt;0,1,0)</f>
        <v>1</v>
      </c>
      <c r="H1285" s="4">
        <f t="shared" ref="H1285:H1348" si="20">IF(C1285="","",IF(C1285="*","*",0))</f>
        <v>0</v>
      </c>
    </row>
    <row r="1286" spans="3:8" x14ac:dyDescent="0.25">
      <c r="C1286" t="str">
        <f>'RES TECH'!M1284</f>
        <v>RESHOUHIOldSHGHP4ELC24</v>
      </c>
      <c r="G1286" s="4">
        <f>IF(SUMIFS('RES TECH'!N:N,'RES TECH'!M:M,C1286)&gt;0,1,0)</f>
        <v>1</v>
      </c>
      <c r="H1286" s="4">
        <f t="shared" si="20"/>
        <v>0</v>
      </c>
    </row>
    <row r="1287" spans="3:8" x14ac:dyDescent="0.25">
      <c r="C1287" t="str">
        <f>'RES TECH'!M1285</f>
        <v>RESHOUHIOldSHRAD2ELC20</v>
      </c>
      <c r="G1287" s="4">
        <f>IF(SUMIFS('RES TECH'!N:N,'RES TECH'!M:M,C1287)&gt;0,1,0)</f>
        <v>1</v>
      </c>
      <c r="H1287" s="4">
        <f t="shared" si="20"/>
        <v>0</v>
      </c>
    </row>
    <row r="1288" spans="3:8" x14ac:dyDescent="0.25">
      <c r="C1288" t="str">
        <f>'RES TECH'!M1286</f>
        <v>RESHOUHIOldSHFUR1NGA20</v>
      </c>
      <c r="G1288" s="4">
        <f>IF(SUMIFS('RES TECH'!N:N,'RES TECH'!M:M,C1288)&gt;0,1,0)</f>
        <v>1</v>
      </c>
      <c r="H1288" s="4">
        <f t="shared" si="20"/>
        <v>0</v>
      </c>
    </row>
    <row r="1289" spans="3:8" x14ac:dyDescent="0.25">
      <c r="C1289" t="str">
        <f>'RES TECH'!M1287</f>
        <v>RESHOUHIOldSHFUR2NGA20</v>
      </c>
      <c r="G1289" s="4">
        <f>IF(SUMIFS('RES TECH'!N:N,'RES TECH'!M:M,C1289)&gt;0,1,0)</f>
        <v>1</v>
      </c>
      <c r="H1289" s="4">
        <f t="shared" si="20"/>
        <v>0</v>
      </c>
    </row>
    <row r="1290" spans="3:8" x14ac:dyDescent="0.25">
      <c r="C1290" t="str">
        <f>'RES TECH'!M1288</f>
        <v>RESHOUHIOldSHFUR2NGA20</v>
      </c>
      <c r="G1290" s="4">
        <f>IF(SUMIFS('RES TECH'!N:N,'RES TECH'!M:M,C1290)&gt;0,1,0)</f>
        <v>1</v>
      </c>
      <c r="H1290" s="4">
        <f t="shared" si="20"/>
        <v>0</v>
      </c>
    </row>
    <row r="1291" spans="3:8" x14ac:dyDescent="0.25">
      <c r="C1291" t="str">
        <f>'RES TECH'!M1289</f>
        <v>RESHOUHIOldSHFUR3NGA20</v>
      </c>
      <c r="G1291" s="4">
        <f>IF(SUMIFS('RES TECH'!N:N,'RES TECH'!M:M,C1291)&gt;0,1,0)</f>
        <v>1</v>
      </c>
      <c r="H1291" s="4">
        <f t="shared" si="20"/>
        <v>0</v>
      </c>
    </row>
    <row r="1292" spans="3:8" x14ac:dyDescent="0.25">
      <c r="C1292" t="str">
        <f>'RES TECH'!M1290</f>
        <v>RESHOUHIOldSHFUR3NGA22</v>
      </c>
      <c r="G1292" s="4">
        <f>IF(SUMIFS('RES TECH'!N:N,'RES TECH'!M:M,C1292)&gt;0,1,0)</f>
        <v>1</v>
      </c>
      <c r="H1292" s="4">
        <f t="shared" si="20"/>
        <v>0</v>
      </c>
    </row>
    <row r="1293" spans="3:8" x14ac:dyDescent="0.25">
      <c r="C1293" t="str">
        <f>'RES TECH'!M1291</f>
        <v>RESHOUHIOldSHFUR4NGA20</v>
      </c>
      <c r="G1293" s="4">
        <f>IF(SUMIFS('RES TECH'!N:N,'RES TECH'!M:M,C1293)&gt;0,1,0)</f>
        <v>1</v>
      </c>
      <c r="H1293" s="4">
        <f t="shared" si="20"/>
        <v>0</v>
      </c>
    </row>
    <row r="1294" spans="3:8" x14ac:dyDescent="0.25">
      <c r="C1294" t="str">
        <f>'RES TECH'!M1292</f>
        <v>RESHOUHIOldSHFUR4NGA22</v>
      </c>
      <c r="G1294" s="4">
        <f>IF(SUMIFS('RES TECH'!N:N,'RES TECH'!M:M,C1294)&gt;0,1,0)</f>
        <v>1</v>
      </c>
      <c r="H1294" s="4">
        <f t="shared" si="20"/>
        <v>0</v>
      </c>
    </row>
    <row r="1295" spans="3:8" x14ac:dyDescent="0.25">
      <c r="C1295" t="str">
        <f>'RES TECH'!M1293</f>
        <v>RESHOUHIOldSHRAD1NGA20</v>
      </c>
      <c r="G1295" s="4">
        <f>IF(SUMIFS('RES TECH'!N:N,'RES TECH'!M:M,C1295)&gt;0,1,0)</f>
        <v>1</v>
      </c>
      <c r="H1295" s="4">
        <f t="shared" si="20"/>
        <v>0</v>
      </c>
    </row>
    <row r="1296" spans="3:8" x14ac:dyDescent="0.25">
      <c r="C1296" t="str">
        <f>'RES TECH'!M1294</f>
        <v>RESHOUHIOldSHRAD1NGA21</v>
      </c>
      <c r="G1296" s="4">
        <f>IF(SUMIFS('RES TECH'!N:N,'RES TECH'!M:M,C1296)&gt;0,1,0)</f>
        <v>1</v>
      </c>
      <c r="H1296" s="4">
        <f t="shared" si="20"/>
        <v>0</v>
      </c>
    </row>
    <row r="1297" spans="3:8" x14ac:dyDescent="0.25">
      <c r="C1297" t="str">
        <f>'RES TECH'!M1295</f>
        <v>RESHOUHIOldSHRAD2NGA20</v>
      </c>
      <c r="G1297" s="4">
        <f>IF(SUMIFS('RES TECH'!N:N,'RES TECH'!M:M,C1297)&gt;0,1,0)</f>
        <v>1</v>
      </c>
      <c r="H1297" s="4">
        <f t="shared" si="20"/>
        <v>0</v>
      </c>
    </row>
    <row r="1298" spans="3:8" x14ac:dyDescent="0.25">
      <c r="C1298" t="str">
        <f>'RES TECH'!M1296</f>
        <v>RESHOUHIOldSHRAD2NGA20</v>
      </c>
      <c r="G1298" s="4">
        <f>IF(SUMIFS('RES TECH'!N:N,'RES TECH'!M:M,C1298)&gt;0,1,0)</f>
        <v>1</v>
      </c>
      <c r="H1298" s="4">
        <f t="shared" si="20"/>
        <v>0</v>
      </c>
    </row>
    <row r="1299" spans="3:8" x14ac:dyDescent="0.25">
      <c r="C1299" t="str">
        <f>'RES TECH'!M1297</f>
        <v>RESHOUHIOldSHRAD3NGA20</v>
      </c>
      <c r="G1299" s="4">
        <f>IF(SUMIFS('RES TECH'!N:N,'RES TECH'!M:M,C1299)&gt;0,1,0)</f>
        <v>1</v>
      </c>
      <c r="H1299" s="4">
        <f t="shared" si="20"/>
        <v>0</v>
      </c>
    </row>
    <row r="1300" spans="3:8" x14ac:dyDescent="0.25">
      <c r="C1300" t="str">
        <f>'RES TECH'!M1298</f>
        <v>RESHOUHIOldSHRAD4NGA20</v>
      </c>
      <c r="G1300" s="4">
        <f>IF(SUMIFS('RES TECH'!N:N,'RES TECH'!M:M,C1300)&gt;0,1,0)</f>
        <v>1</v>
      </c>
      <c r="H1300" s="4">
        <f t="shared" si="20"/>
        <v>0</v>
      </c>
    </row>
    <row r="1301" spans="3:8" x14ac:dyDescent="0.25">
      <c r="C1301" t="str">
        <f>'RES TECH'!M1299</f>
        <v>RESHOUHIOldSHRAD4NGA22</v>
      </c>
      <c r="G1301" s="4">
        <f>IF(SUMIFS('RES TECH'!N:N,'RES TECH'!M:M,C1301)&gt;0,1,0)</f>
        <v>1</v>
      </c>
      <c r="H1301" s="4">
        <f t="shared" si="20"/>
        <v>0</v>
      </c>
    </row>
    <row r="1302" spans="3:8" x14ac:dyDescent="0.25">
      <c r="C1302" t="str">
        <f>'RES TECH'!M1300</f>
        <v>RESHOUHIOldSHFUR1KER20</v>
      </c>
      <c r="G1302" s="4">
        <f>IF(SUMIFS('RES TECH'!N:N,'RES TECH'!M:M,C1302)&gt;0,1,0)</f>
        <v>1</v>
      </c>
      <c r="H1302" s="4">
        <f t="shared" si="20"/>
        <v>0</v>
      </c>
    </row>
    <row r="1303" spans="3:8" x14ac:dyDescent="0.25">
      <c r="C1303" t="str">
        <f>'RES TECH'!M1301</f>
        <v>RESHOUHIOldSHFUR2KER20</v>
      </c>
      <c r="G1303" s="4">
        <f>IF(SUMIFS('RES TECH'!N:N,'RES TECH'!M:M,C1303)&gt;0,1,0)</f>
        <v>1</v>
      </c>
      <c r="H1303" s="4">
        <f t="shared" si="20"/>
        <v>0</v>
      </c>
    </row>
    <row r="1304" spans="3:8" x14ac:dyDescent="0.25">
      <c r="C1304" t="str">
        <f>'RES TECH'!M1302</f>
        <v>RESHOUHIOldSHFUR2KER20</v>
      </c>
      <c r="G1304" s="4">
        <f>IF(SUMIFS('RES TECH'!N:N,'RES TECH'!M:M,C1304)&gt;0,1,0)</f>
        <v>1</v>
      </c>
      <c r="H1304" s="4">
        <f t="shared" si="20"/>
        <v>0</v>
      </c>
    </row>
    <row r="1305" spans="3:8" x14ac:dyDescent="0.25">
      <c r="C1305" t="str">
        <f>'RES TECH'!M1303</f>
        <v>RESHOUHIOldSHFUR3KER20</v>
      </c>
      <c r="G1305" s="4">
        <f>IF(SUMIFS('RES TECH'!N:N,'RES TECH'!M:M,C1305)&gt;0,1,0)</f>
        <v>1</v>
      </c>
      <c r="H1305" s="4">
        <f t="shared" si="20"/>
        <v>0</v>
      </c>
    </row>
    <row r="1306" spans="3:8" x14ac:dyDescent="0.25">
      <c r="C1306" t="str">
        <f>'RES TECH'!M1304</f>
        <v>RESHOUHIOldSHFUR4KER20</v>
      </c>
      <c r="G1306" s="4">
        <f>IF(SUMIFS('RES TECH'!N:N,'RES TECH'!M:M,C1306)&gt;0,1,0)</f>
        <v>1</v>
      </c>
      <c r="H1306" s="4">
        <f t="shared" si="20"/>
        <v>0</v>
      </c>
    </row>
    <row r="1307" spans="3:8" x14ac:dyDescent="0.25">
      <c r="C1307" t="str">
        <f>'RES TECH'!M1305</f>
        <v>RESHOUHIOldSHFUR4KER20</v>
      </c>
      <c r="G1307" s="4">
        <f>IF(SUMIFS('RES TECH'!N:N,'RES TECH'!M:M,C1307)&gt;0,1,0)</f>
        <v>1</v>
      </c>
      <c r="H1307" s="4">
        <f t="shared" si="20"/>
        <v>0</v>
      </c>
    </row>
    <row r="1308" spans="3:8" x14ac:dyDescent="0.25">
      <c r="C1308" t="str">
        <f>'RES TECH'!M1306</f>
        <v>RESHOUHIOldSHFUR1LPG20</v>
      </c>
      <c r="G1308" s="4">
        <f>IF(SUMIFS('RES TECH'!N:N,'RES TECH'!M:M,C1308)&gt;0,1,0)</f>
        <v>1</v>
      </c>
      <c r="H1308" s="4">
        <f t="shared" si="20"/>
        <v>0</v>
      </c>
    </row>
    <row r="1309" spans="3:8" x14ac:dyDescent="0.25">
      <c r="C1309" t="str">
        <f>'RES TECH'!M1307</f>
        <v>RESHOUHIOldSHFUR2LPG20</v>
      </c>
      <c r="G1309" s="4">
        <f>IF(SUMIFS('RES TECH'!N:N,'RES TECH'!M:M,C1309)&gt;0,1,0)</f>
        <v>1</v>
      </c>
      <c r="H1309" s="4">
        <f t="shared" si="20"/>
        <v>0</v>
      </c>
    </row>
    <row r="1310" spans="3:8" x14ac:dyDescent="0.25">
      <c r="C1310" t="str">
        <f>'RES TECH'!M1308</f>
        <v>RESHOUHIOldSHFUR2LPG20</v>
      </c>
      <c r="G1310" s="4">
        <f>IF(SUMIFS('RES TECH'!N:N,'RES TECH'!M:M,C1310)&gt;0,1,0)</f>
        <v>1</v>
      </c>
      <c r="H1310" s="4">
        <f t="shared" si="20"/>
        <v>0</v>
      </c>
    </row>
    <row r="1311" spans="3:8" x14ac:dyDescent="0.25">
      <c r="C1311" t="str">
        <f>'RES TECH'!M1309</f>
        <v>RESHOUHIOldSHFUR3LPG20</v>
      </c>
      <c r="G1311" s="4">
        <f>IF(SUMIFS('RES TECH'!N:N,'RES TECH'!M:M,C1311)&gt;0,1,0)</f>
        <v>1</v>
      </c>
      <c r="H1311" s="4">
        <f t="shared" si="20"/>
        <v>0</v>
      </c>
    </row>
    <row r="1312" spans="3:8" x14ac:dyDescent="0.25">
      <c r="C1312" t="str">
        <f>'RES TECH'!M1310</f>
        <v>RESHOUHIOldSHFUR3LPG22</v>
      </c>
      <c r="G1312" s="4">
        <f>IF(SUMIFS('RES TECH'!N:N,'RES TECH'!M:M,C1312)&gt;0,1,0)</f>
        <v>1</v>
      </c>
      <c r="H1312" s="4">
        <f t="shared" si="20"/>
        <v>0</v>
      </c>
    </row>
    <row r="1313" spans="3:8" x14ac:dyDescent="0.25">
      <c r="C1313" t="str">
        <f>'RES TECH'!M1311</f>
        <v>RESHOUHIOldSHFUR4LPG20</v>
      </c>
      <c r="G1313" s="4">
        <f>IF(SUMIFS('RES TECH'!N:N,'RES TECH'!M:M,C1313)&gt;0,1,0)</f>
        <v>1</v>
      </c>
      <c r="H1313" s="4">
        <f t="shared" si="20"/>
        <v>0</v>
      </c>
    </row>
    <row r="1314" spans="3:8" x14ac:dyDescent="0.25">
      <c r="C1314" t="str">
        <f>'RES TECH'!M1312</f>
        <v>RESHOUHIOldSHFUR4LPG22</v>
      </c>
      <c r="G1314" s="4">
        <f>IF(SUMIFS('RES TECH'!N:N,'RES TECH'!M:M,C1314)&gt;0,1,0)</f>
        <v>1</v>
      </c>
      <c r="H1314" s="4">
        <f t="shared" si="20"/>
        <v>0</v>
      </c>
    </row>
    <row r="1315" spans="3:8" x14ac:dyDescent="0.25">
      <c r="C1315" t="str">
        <f>'RES TECH'!M1313</f>
        <v>RESHOUHIOldSHFUR1FOI20</v>
      </c>
      <c r="G1315" s="4">
        <f>IF(SUMIFS('RES TECH'!N:N,'RES TECH'!M:M,C1315)&gt;0,1,0)</f>
        <v>1</v>
      </c>
      <c r="H1315" s="4">
        <f t="shared" si="20"/>
        <v>0</v>
      </c>
    </row>
    <row r="1316" spans="3:8" x14ac:dyDescent="0.25">
      <c r="C1316" t="str">
        <f>'RES TECH'!M1314</f>
        <v>RESHOUHIOldSHFUR2FOI20</v>
      </c>
      <c r="G1316" s="4">
        <f>IF(SUMIFS('RES TECH'!N:N,'RES TECH'!M:M,C1316)&gt;0,1,0)</f>
        <v>1</v>
      </c>
      <c r="H1316" s="4">
        <f t="shared" si="20"/>
        <v>0</v>
      </c>
    </row>
    <row r="1317" spans="3:8" x14ac:dyDescent="0.25">
      <c r="C1317" t="str">
        <f>'RES TECH'!M1315</f>
        <v>RESHOUHIOldSHFUR2FOI22</v>
      </c>
      <c r="G1317" s="4">
        <f>IF(SUMIFS('RES TECH'!N:N,'RES TECH'!M:M,C1317)&gt;0,1,0)</f>
        <v>1</v>
      </c>
      <c r="H1317" s="4">
        <f t="shared" si="20"/>
        <v>0</v>
      </c>
    </row>
    <row r="1318" spans="3:8" x14ac:dyDescent="0.25">
      <c r="C1318" t="str">
        <f>'RES TECH'!M1316</f>
        <v>RESHOUHIOldSHFUR3FOI20</v>
      </c>
      <c r="G1318" s="4">
        <f>IF(SUMIFS('RES TECH'!N:N,'RES TECH'!M:M,C1318)&gt;0,1,0)</f>
        <v>1</v>
      </c>
      <c r="H1318" s="4">
        <f t="shared" si="20"/>
        <v>0</v>
      </c>
    </row>
    <row r="1319" spans="3:8" x14ac:dyDescent="0.25">
      <c r="C1319" t="str">
        <f>'RES TECH'!M1317</f>
        <v>RESHOUHIOldSHFUR4FOI20</v>
      </c>
      <c r="G1319" s="4">
        <f>IF(SUMIFS('RES TECH'!N:N,'RES TECH'!M:M,C1319)&gt;0,1,0)</f>
        <v>1</v>
      </c>
      <c r="H1319" s="4">
        <f t="shared" si="20"/>
        <v>0</v>
      </c>
    </row>
    <row r="1320" spans="3:8" x14ac:dyDescent="0.25">
      <c r="C1320" t="str">
        <f>'RES TECH'!M1318</f>
        <v>RESHOUHIOldSHFUR4FOI22</v>
      </c>
      <c r="G1320" s="4">
        <f>IF(SUMIFS('RES TECH'!N:N,'RES TECH'!M:M,C1320)&gt;0,1,0)</f>
        <v>1</v>
      </c>
      <c r="H1320" s="4">
        <f t="shared" si="20"/>
        <v>0</v>
      </c>
    </row>
    <row r="1321" spans="3:8" x14ac:dyDescent="0.25">
      <c r="C1321" t="str">
        <f>'RES TECH'!M1319</f>
        <v>RESHOUHIOldSHRAD1FOI20</v>
      </c>
      <c r="G1321" s="4">
        <f>IF(SUMIFS('RES TECH'!N:N,'RES TECH'!M:M,C1321)&gt;0,1,0)</f>
        <v>1</v>
      </c>
      <c r="H1321" s="4">
        <f t="shared" si="20"/>
        <v>0</v>
      </c>
    </row>
    <row r="1322" spans="3:8" x14ac:dyDescent="0.25">
      <c r="C1322" t="str">
        <f>'RES TECH'!M1320</f>
        <v>RESHOUHIOldSHRAD1FOI22</v>
      </c>
      <c r="G1322" s="4">
        <f>IF(SUMIFS('RES TECH'!N:N,'RES TECH'!M:M,C1322)&gt;0,1,0)</f>
        <v>1</v>
      </c>
      <c r="H1322" s="4">
        <f t="shared" si="20"/>
        <v>0</v>
      </c>
    </row>
    <row r="1323" spans="3:8" x14ac:dyDescent="0.25">
      <c r="C1323" t="str">
        <f>'RES TECH'!M1321</f>
        <v>RESHOUHIOldSHRAD2FOI20</v>
      </c>
      <c r="G1323" s="4">
        <f>IF(SUMIFS('RES TECH'!N:N,'RES TECH'!M:M,C1323)&gt;0,1,0)</f>
        <v>1</v>
      </c>
      <c r="H1323" s="4">
        <f t="shared" si="20"/>
        <v>0</v>
      </c>
    </row>
    <row r="1324" spans="3:8" x14ac:dyDescent="0.25">
      <c r="C1324" t="str">
        <f>'RES TECH'!M1322</f>
        <v>RESHOUHIOldSHRAD2FOI22</v>
      </c>
      <c r="G1324" s="4">
        <f>IF(SUMIFS('RES TECH'!N:N,'RES TECH'!M:M,C1324)&gt;0,1,0)</f>
        <v>1</v>
      </c>
      <c r="H1324" s="4">
        <f t="shared" si="20"/>
        <v>0</v>
      </c>
    </row>
    <row r="1325" spans="3:8" x14ac:dyDescent="0.25">
      <c r="C1325" t="str">
        <f>'RES TECH'!M1323</f>
        <v>RESHOUHIOldSHRAD3FOI20</v>
      </c>
      <c r="G1325" s="4">
        <f>IF(SUMIFS('RES TECH'!N:N,'RES TECH'!M:M,C1325)&gt;0,1,0)</f>
        <v>1</v>
      </c>
      <c r="H1325" s="4">
        <f t="shared" si="20"/>
        <v>0</v>
      </c>
    </row>
    <row r="1326" spans="3:8" x14ac:dyDescent="0.25">
      <c r="C1326" t="str">
        <f>'RES TECH'!M1324</f>
        <v>RESHOUHIOldSHRAD4FOI20</v>
      </c>
      <c r="G1326" s="4">
        <f>IF(SUMIFS('RES TECH'!N:N,'RES TECH'!M:M,C1326)&gt;0,1,0)</f>
        <v>1</v>
      </c>
      <c r="H1326" s="4">
        <f t="shared" si="20"/>
        <v>0</v>
      </c>
    </row>
    <row r="1327" spans="3:8" x14ac:dyDescent="0.25">
      <c r="C1327" t="str">
        <f>'RES TECH'!M1325</f>
        <v>RESHOUHIOldSCAHP2NGA20</v>
      </c>
      <c r="G1327" s="4">
        <f>IF(SUMIFS('RES TECH'!N:N,'RES TECH'!M:M,C1327)&gt;0,1,0)</f>
        <v>1</v>
      </c>
      <c r="H1327" s="4">
        <f t="shared" si="20"/>
        <v>0</v>
      </c>
    </row>
    <row r="1328" spans="3:8" x14ac:dyDescent="0.25">
      <c r="C1328" t="str">
        <f>'RES TECH'!M1326</f>
        <v>RESHOUHIOldSCAHP2NGA20</v>
      </c>
      <c r="G1328" s="4">
        <f>IF(SUMIFS('RES TECH'!N:N,'RES TECH'!M:M,C1328)&gt;0,1,0)</f>
        <v>1</v>
      </c>
      <c r="H1328" s="4">
        <f t="shared" si="20"/>
        <v>0</v>
      </c>
    </row>
    <row r="1329" spans="3:8" x14ac:dyDescent="0.25">
      <c r="C1329" t="str">
        <f>'RES TECH'!M1327</f>
        <v>RESHOUHIOldSCAHP1ELC20</v>
      </c>
      <c r="G1329" s="4">
        <f>IF(SUMIFS('RES TECH'!N:N,'RES TECH'!M:M,C1329)&gt;0,1,0)</f>
        <v>1</v>
      </c>
      <c r="H1329" s="4">
        <f t="shared" si="20"/>
        <v>0</v>
      </c>
    </row>
    <row r="1330" spans="3:8" x14ac:dyDescent="0.25">
      <c r="C1330" t="str">
        <f>'RES TECH'!M1328</f>
        <v>RESHOUHIOldSCAHP1ELC23</v>
      </c>
      <c r="G1330" s="4">
        <f>IF(SUMIFS('RES TECH'!N:N,'RES TECH'!M:M,C1330)&gt;0,1,0)</f>
        <v>1</v>
      </c>
      <c r="H1330" s="4">
        <f t="shared" si="20"/>
        <v>0</v>
      </c>
    </row>
    <row r="1331" spans="3:8" x14ac:dyDescent="0.25">
      <c r="C1331" t="str">
        <f>'RES TECH'!M1329</f>
        <v>RESHOUHIOldSCAHP2ELC20</v>
      </c>
      <c r="G1331" s="4">
        <f>IF(SUMIFS('RES TECH'!N:N,'RES TECH'!M:M,C1331)&gt;0,1,0)</f>
        <v>1</v>
      </c>
      <c r="H1331" s="4">
        <f t="shared" si="20"/>
        <v>0</v>
      </c>
    </row>
    <row r="1332" spans="3:8" x14ac:dyDescent="0.25">
      <c r="C1332" t="str">
        <f>'RES TECH'!M1330</f>
        <v>RESHOUHIOldSCAHP2ELC23</v>
      </c>
      <c r="G1332" s="4">
        <f>IF(SUMIFS('RES TECH'!N:N,'RES TECH'!M:M,C1332)&gt;0,1,0)</f>
        <v>1</v>
      </c>
      <c r="H1332" s="4">
        <f t="shared" si="20"/>
        <v>0</v>
      </c>
    </row>
    <row r="1333" spans="3:8" x14ac:dyDescent="0.25">
      <c r="C1333" t="str">
        <f>'RES TECH'!M1331</f>
        <v>RESHOUHIOldSCAHP3ELC20</v>
      </c>
      <c r="G1333" s="4">
        <f>IF(SUMIFS('RES TECH'!N:N,'RES TECH'!M:M,C1333)&gt;0,1,0)</f>
        <v>1</v>
      </c>
      <c r="H1333" s="4">
        <f t="shared" si="20"/>
        <v>0</v>
      </c>
    </row>
    <row r="1334" spans="3:8" x14ac:dyDescent="0.25">
      <c r="C1334" t="str">
        <f>'RES TECH'!M1332</f>
        <v>RESHOUHIOldSCAHP3ELC22</v>
      </c>
      <c r="G1334" s="4">
        <f>IF(SUMIFS('RES TECH'!N:N,'RES TECH'!M:M,C1334)&gt;0,1,0)</f>
        <v>1</v>
      </c>
      <c r="H1334" s="4">
        <f t="shared" si="20"/>
        <v>0</v>
      </c>
    </row>
    <row r="1335" spans="3:8" x14ac:dyDescent="0.25">
      <c r="C1335" t="str">
        <f>'RES TECH'!M1333</f>
        <v>RESHOUHIOldSCAHP3ELC23</v>
      </c>
      <c r="G1335" s="4">
        <f>IF(SUMIFS('RES TECH'!N:N,'RES TECH'!M:M,C1335)&gt;0,1,0)</f>
        <v>1</v>
      </c>
      <c r="H1335" s="4">
        <f t="shared" si="20"/>
        <v>0</v>
      </c>
    </row>
    <row r="1336" spans="3:8" x14ac:dyDescent="0.25">
      <c r="C1336" t="str">
        <f>'RES TECH'!M1334</f>
        <v>RESHOUHIOldSCAHP4ELC20</v>
      </c>
      <c r="G1336" s="4">
        <f>IF(SUMIFS('RES TECH'!N:N,'RES TECH'!M:M,C1336)&gt;0,1,0)</f>
        <v>1</v>
      </c>
      <c r="H1336" s="4">
        <f t="shared" si="20"/>
        <v>0</v>
      </c>
    </row>
    <row r="1337" spans="3:8" x14ac:dyDescent="0.25">
      <c r="C1337" t="str">
        <f>'RES TECH'!M1335</f>
        <v>RESHOUHIOldSCAHP4ELC22</v>
      </c>
      <c r="G1337" s="4">
        <f>IF(SUMIFS('RES TECH'!N:N,'RES TECH'!M:M,C1337)&gt;0,1,0)</f>
        <v>1</v>
      </c>
      <c r="H1337" s="4">
        <f t="shared" si="20"/>
        <v>0</v>
      </c>
    </row>
    <row r="1338" spans="3:8" x14ac:dyDescent="0.25">
      <c r="C1338" t="str">
        <f>'RES TECH'!M1336</f>
        <v>RESHOUHIOldSCGHP1ELC20</v>
      </c>
      <c r="G1338" s="4">
        <f>IF(SUMIFS('RES TECH'!N:N,'RES TECH'!M:M,C1338)&gt;0,1,0)</f>
        <v>1</v>
      </c>
      <c r="H1338" s="4">
        <f t="shared" si="20"/>
        <v>0</v>
      </c>
    </row>
    <row r="1339" spans="3:8" x14ac:dyDescent="0.25">
      <c r="C1339" t="str">
        <f>'RES TECH'!M1337</f>
        <v>RESHOUHIOldSCGHP2ELC20</v>
      </c>
      <c r="G1339" s="4">
        <f>IF(SUMIFS('RES TECH'!N:N,'RES TECH'!M:M,C1339)&gt;0,1,0)</f>
        <v>1</v>
      </c>
      <c r="H1339" s="4">
        <f t="shared" si="20"/>
        <v>0</v>
      </c>
    </row>
    <row r="1340" spans="3:8" x14ac:dyDescent="0.25">
      <c r="C1340" t="str">
        <f>'RES TECH'!M1338</f>
        <v>RESHOUHIOldSCGHP3ELC20</v>
      </c>
      <c r="G1340" s="4">
        <f>IF(SUMIFS('RES TECH'!N:N,'RES TECH'!M:M,C1340)&gt;0,1,0)</f>
        <v>1</v>
      </c>
      <c r="H1340" s="4">
        <f t="shared" si="20"/>
        <v>0</v>
      </c>
    </row>
    <row r="1341" spans="3:8" x14ac:dyDescent="0.25">
      <c r="C1341" t="str">
        <f>'RES TECH'!M1339</f>
        <v>RESHOUHIOldSCGHP3ELC20</v>
      </c>
      <c r="G1341" s="4">
        <f>IF(SUMIFS('RES TECH'!N:N,'RES TECH'!M:M,C1341)&gt;0,1,0)</f>
        <v>1</v>
      </c>
      <c r="H1341" s="4">
        <f t="shared" si="20"/>
        <v>0</v>
      </c>
    </row>
    <row r="1342" spans="3:8" x14ac:dyDescent="0.25">
      <c r="C1342" t="str">
        <f>'RES TECH'!M1340</f>
        <v>RESHOUHIOldSCGHP3ELC22</v>
      </c>
      <c r="G1342" s="4">
        <f>IF(SUMIFS('RES TECH'!N:N,'RES TECH'!M:M,C1342)&gt;0,1,0)</f>
        <v>1</v>
      </c>
      <c r="H1342" s="4">
        <f t="shared" si="20"/>
        <v>0</v>
      </c>
    </row>
    <row r="1343" spans="3:8" x14ac:dyDescent="0.25">
      <c r="C1343" t="str">
        <f>'RES TECH'!M1341</f>
        <v>RESHOUHIOldSCGHP3ELC23</v>
      </c>
      <c r="G1343" s="4">
        <f>IF(SUMIFS('RES TECH'!N:N,'RES TECH'!M:M,C1343)&gt;0,1,0)</f>
        <v>1</v>
      </c>
      <c r="H1343" s="4">
        <f t="shared" si="20"/>
        <v>0</v>
      </c>
    </row>
    <row r="1344" spans="3:8" x14ac:dyDescent="0.25">
      <c r="C1344" t="str">
        <f>'RES TECH'!M1342</f>
        <v>RESHOUHIOldSCGHP3ELC24</v>
      </c>
      <c r="G1344" s="4">
        <f>IF(SUMIFS('RES TECH'!N:N,'RES TECH'!M:M,C1344)&gt;0,1,0)</f>
        <v>1</v>
      </c>
      <c r="H1344" s="4">
        <f t="shared" si="20"/>
        <v>0</v>
      </c>
    </row>
    <row r="1345" spans="3:8" x14ac:dyDescent="0.25">
      <c r="C1345" t="str">
        <f>'RES TECH'!M1343</f>
        <v>RESHOUHIOldSCGHP4ELC20</v>
      </c>
      <c r="G1345" s="4">
        <f>IF(SUMIFS('RES TECH'!N:N,'RES TECH'!M:M,C1345)&gt;0,1,0)</f>
        <v>1</v>
      </c>
      <c r="H1345" s="4">
        <f t="shared" si="20"/>
        <v>0</v>
      </c>
    </row>
    <row r="1346" spans="3:8" x14ac:dyDescent="0.25">
      <c r="C1346" t="str">
        <f>'RES TECH'!M1344</f>
        <v>RESHOUHIOldSCGHP4ELC20</v>
      </c>
      <c r="G1346" s="4">
        <f>IF(SUMIFS('RES TECH'!N:N,'RES TECH'!M:M,C1346)&gt;0,1,0)</f>
        <v>1</v>
      </c>
      <c r="H1346" s="4">
        <f t="shared" si="20"/>
        <v>0</v>
      </c>
    </row>
    <row r="1347" spans="3:8" x14ac:dyDescent="0.25">
      <c r="C1347" t="str">
        <f>'RES TECH'!M1345</f>
        <v>RESHOUHIOldSCGHP4ELC22</v>
      </c>
      <c r="G1347" s="4">
        <f>IF(SUMIFS('RES TECH'!N:N,'RES TECH'!M:M,C1347)&gt;0,1,0)</f>
        <v>1</v>
      </c>
      <c r="H1347" s="4">
        <f t="shared" si="20"/>
        <v>0</v>
      </c>
    </row>
    <row r="1348" spans="3:8" x14ac:dyDescent="0.25">
      <c r="C1348" t="str">
        <f>'RES TECH'!M1346</f>
        <v>RESHOUHIOldSCGHP4ELC23</v>
      </c>
      <c r="G1348" s="4">
        <f>IF(SUMIFS('RES TECH'!N:N,'RES TECH'!M:M,C1348)&gt;0,1,0)</f>
        <v>1</v>
      </c>
      <c r="H1348" s="4">
        <f t="shared" si="20"/>
        <v>0</v>
      </c>
    </row>
    <row r="1349" spans="3:8" x14ac:dyDescent="0.25">
      <c r="C1349" t="str">
        <f>'RES TECH'!M1347</f>
        <v>RESHOUHIOldSCGHP4ELC24</v>
      </c>
      <c r="G1349" s="4">
        <f>IF(SUMIFS('RES TECH'!N:N,'RES TECH'!M:M,C1349)&gt;0,1,0)</f>
        <v>1</v>
      </c>
      <c r="H1349" s="4">
        <f t="shared" ref="H1349:H1412" si="21">IF(C1349="","",IF(C1349="*","*",0))</f>
        <v>0</v>
      </c>
    </row>
    <row r="1350" spans="3:8" x14ac:dyDescent="0.25">
      <c r="C1350" t="str">
        <f>'RES TECH'!M1348</f>
        <v>RESHOUHIOldSCRAC1ELC20</v>
      </c>
      <c r="G1350" s="4">
        <f>IF(SUMIFS('RES TECH'!N:N,'RES TECH'!M:M,C1350)&gt;0,1,0)</f>
        <v>1</v>
      </c>
      <c r="H1350" s="4">
        <f t="shared" si="21"/>
        <v>0</v>
      </c>
    </row>
    <row r="1351" spans="3:8" x14ac:dyDescent="0.25">
      <c r="C1351" t="str">
        <f>'RES TECH'!M1349</f>
        <v>RESHOUHIOldSCRAC2ELC20</v>
      </c>
      <c r="G1351" s="4">
        <f>IF(SUMIFS('RES TECH'!N:N,'RES TECH'!M:M,C1351)&gt;0,1,0)</f>
        <v>1</v>
      </c>
      <c r="H1351" s="4">
        <f t="shared" si="21"/>
        <v>0</v>
      </c>
    </row>
    <row r="1352" spans="3:8" x14ac:dyDescent="0.25">
      <c r="C1352" t="str">
        <f>'RES TECH'!M1350</f>
        <v>RESHOUHIOldSCRAC2ELC30</v>
      </c>
      <c r="G1352" s="4">
        <f>IF(SUMIFS('RES TECH'!N:N,'RES TECH'!M:M,C1352)&gt;0,1,0)</f>
        <v>1</v>
      </c>
      <c r="H1352" s="4">
        <f t="shared" si="21"/>
        <v>0</v>
      </c>
    </row>
    <row r="1353" spans="3:8" x14ac:dyDescent="0.25">
      <c r="C1353" t="str">
        <f>'RES TECH'!M1351</f>
        <v>RESHOUHIOldSCRAC2ELC40</v>
      </c>
      <c r="G1353" s="4">
        <f>IF(SUMIFS('RES TECH'!N:N,'RES TECH'!M:M,C1353)&gt;0,1,0)</f>
        <v>1</v>
      </c>
      <c r="H1353" s="4">
        <f t="shared" si="21"/>
        <v>0</v>
      </c>
    </row>
    <row r="1354" spans="3:8" x14ac:dyDescent="0.25">
      <c r="C1354" t="str">
        <f>'RES TECH'!M1352</f>
        <v>RESHOUHIOldSCRAC3ELC20</v>
      </c>
      <c r="G1354" s="4">
        <f>IF(SUMIFS('RES TECH'!N:N,'RES TECH'!M:M,C1354)&gt;0,1,0)</f>
        <v>1</v>
      </c>
      <c r="H1354" s="4">
        <f t="shared" si="21"/>
        <v>0</v>
      </c>
    </row>
    <row r="1355" spans="3:8" x14ac:dyDescent="0.25">
      <c r="C1355" t="str">
        <f>'RES TECH'!M1353</f>
        <v>RESHOUHIOldSCRAC4ELC20</v>
      </c>
      <c r="G1355" s="4">
        <f>IF(SUMIFS('RES TECH'!N:N,'RES TECH'!M:M,C1355)&gt;0,1,0)</f>
        <v>1</v>
      </c>
      <c r="H1355" s="4">
        <f t="shared" si="21"/>
        <v>0</v>
      </c>
    </row>
    <row r="1356" spans="3:8" x14ac:dyDescent="0.25">
      <c r="C1356" t="str">
        <f>'RES TECH'!M1354</f>
        <v>RESHOUHIOldSCRAC4ELC22</v>
      </c>
      <c r="G1356" s="4">
        <f>IF(SUMIFS('RES TECH'!N:N,'RES TECH'!M:M,C1356)&gt;0,1,0)</f>
        <v>1</v>
      </c>
      <c r="H1356" s="4">
        <f t="shared" si="21"/>
        <v>0</v>
      </c>
    </row>
    <row r="1357" spans="3:8" x14ac:dyDescent="0.25">
      <c r="C1357" t="str">
        <f>'RES TECH'!M1355</f>
        <v>RESHOUHIOldSCRAC4ELC30</v>
      </c>
      <c r="G1357" s="4">
        <f>IF(SUMIFS('RES TECH'!N:N,'RES TECH'!M:M,C1357)&gt;0,1,0)</f>
        <v>1</v>
      </c>
      <c r="H1357" s="4">
        <f t="shared" si="21"/>
        <v>0</v>
      </c>
    </row>
    <row r="1358" spans="3:8" x14ac:dyDescent="0.25">
      <c r="C1358" t="str">
        <f>'RES TECH'!M1356</f>
        <v>RESHOUHIOldSCRAC4ELC40</v>
      </c>
      <c r="G1358" s="4">
        <f>IF(SUMIFS('RES TECH'!N:N,'RES TECH'!M:M,C1358)&gt;0,1,0)</f>
        <v>1</v>
      </c>
      <c r="H1358" s="4">
        <f t="shared" si="21"/>
        <v>0</v>
      </c>
    </row>
    <row r="1359" spans="3:8" x14ac:dyDescent="0.25">
      <c r="C1359" t="str">
        <f>'RES TECH'!M1357</f>
        <v>RESHOUHIOldSCCAC1ELC20</v>
      </c>
      <c r="G1359" s="4">
        <f>IF(SUMIFS('RES TECH'!N:N,'RES TECH'!M:M,C1359)&gt;0,1,0)</f>
        <v>1</v>
      </c>
      <c r="H1359" s="4">
        <f t="shared" si="21"/>
        <v>0</v>
      </c>
    </row>
    <row r="1360" spans="3:8" x14ac:dyDescent="0.25">
      <c r="C1360" t="str">
        <f>'RES TECH'!M1358</f>
        <v>RESHOUHIOldSCCAC1ELC23</v>
      </c>
      <c r="G1360" s="4">
        <f>IF(SUMIFS('RES TECH'!N:N,'RES TECH'!M:M,C1360)&gt;0,1,0)</f>
        <v>1</v>
      </c>
      <c r="H1360" s="4">
        <f t="shared" si="21"/>
        <v>0</v>
      </c>
    </row>
    <row r="1361" spans="3:8" x14ac:dyDescent="0.25">
      <c r="C1361" t="str">
        <f>'RES TECH'!M1359</f>
        <v>RESHOUHIOldSCCAC2ELC20</v>
      </c>
      <c r="G1361" s="4">
        <f>IF(SUMIFS('RES TECH'!N:N,'RES TECH'!M:M,C1361)&gt;0,1,0)</f>
        <v>1</v>
      </c>
      <c r="H1361" s="4">
        <f t="shared" si="21"/>
        <v>0</v>
      </c>
    </row>
    <row r="1362" spans="3:8" x14ac:dyDescent="0.25">
      <c r="C1362" t="str">
        <f>'RES TECH'!M1360</f>
        <v>RESHOUHIOldSCCAC2ELC23</v>
      </c>
      <c r="G1362" s="4">
        <f>IF(SUMIFS('RES TECH'!N:N,'RES TECH'!M:M,C1362)&gt;0,1,0)</f>
        <v>1</v>
      </c>
      <c r="H1362" s="4">
        <f t="shared" si="21"/>
        <v>0</v>
      </c>
    </row>
    <row r="1363" spans="3:8" x14ac:dyDescent="0.25">
      <c r="C1363" t="str">
        <f>'RES TECH'!M1361</f>
        <v>RESHOUHIOldSCCAC3ELC20</v>
      </c>
      <c r="G1363" s="4">
        <f>IF(SUMIFS('RES TECH'!N:N,'RES TECH'!M:M,C1363)&gt;0,1,0)</f>
        <v>1</v>
      </c>
      <c r="H1363" s="4">
        <f t="shared" si="21"/>
        <v>0</v>
      </c>
    </row>
    <row r="1364" spans="3:8" x14ac:dyDescent="0.25">
      <c r="C1364" t="str">
        <f>'RES TECH'!M1362</f>
        <v>RESHOUHIOldSCCAC3ELC23</v>
      </c>
      <c r="G1364" s="4">
        <f>IF(SUMIFS('RES TECH'!N:N,'RES TECH'!M:M,C1364)&gt;0,1,0)</f>
        <v>1</v>
      </c>
      <c r="H1364" s="4">
        <f t="shared" si="21"/>
        <v>0</v>
      </c>
    </row>
    <row r="1365" spans="3:8" x14ac:dyDescent="0.25">
      <c r="C1365" t="str">
        <f>'RES TECH'!M1363</f>
        <v>RESHOUHIOldSCCAC4ELC20</v>
      </c>
      <c r="G1365" s="4">
        <f>IF(SUMIFS('RES TECH'!N:N,'RES TECH'!M:M,C1365)&gt;0,1,0)</f>
        <v>1</v>
      </c>
      <c r="H1365" s="4">
        <f t="shared" si="21"/>
        <v>0</v>
      </c>
    </row>
    <row r="1366" spans="3:8" x14ac:dyDescent="0.25">
      <c r="C1366" t="str">
        <f>'RES TECH'!M1364</f>
        <v>RESHOUHIOldSCCAC4ELC22</v>
      </c>
      <c r="G1366" s="4">
        <f>IF(SUMIFS('RES TECH'!N:N,'RES TECH'!M:M,C1366)&gt;0,1,0)</f>
        <v>1</v>
      </c>
      <c r="H1366" s="4">
        <f t="shared" si="21"/>
        <v>0</v>
      </c>
    </row>
    <row r="1367" spans="3:8" x14ac:dyDescent="0.25">
      <c r="C1367" t="str">
        <f>'RES TECH'!M1365</f>
        <v>RESHOUHIOldRETF1ELC20</v>
      </c>
      <c r="G1367" s="4">
        <f>IF(SUMIFS('RES TECH'!N:N,'RES TECH'!M:M,C1367)&gt;0,1,0)</f>
        <v>1</v>
      </c>
      <c r="H1367" s="4">
        <f t="shared" si="21"/>
        <v>0</v>
      </c>
    </row>
    <row r="1368" spans="3:8" x14ac:dyDescent="0.25">
      <c r="C1368" t="str">
        <f>'RES TECH'!M1366</f>
        <v>RESHOUHIOldRETF2ELC20</v>
      </c>
      <c r="G1368" s="4">
        <f>IF(SUMIFS('RES TECH'!N:N,'RES TECH'!M:M,C1368)&gt;0,1,0)</f>
        <v>1</v>
      </c>
      <c r="H1368" s="4">
        <f t="shared" si="21"/>
        <v>0</v>
      </c>
    </row>
    <row r="1369" spans="3:8" x14ac:dyDescent="0.25">
      <c r="C1369" t="str">
        <f>'RES TECH'!M1367</f>
        <v>RESHOUHIOldRETF3ELC20</v>
      </c>
      <c r="G1369" s="4">
        <f>IF(SUMIFS('RES TECH'!N:N,'RES TECH'!M:M,C1369)&gt;0,1,0)</f>
        <v>1</v>
      </c>
      <c r="H1369" s="4">
        <f t="shared" si="21"/>
        <v>0</v>
      </c>
    </row>
    <row r="1370" spans="3:8" x14ac:dyDescent="0.25">
      <c r="C1370" t="str">
        <f>'RES TECH'!M1368</f>
        <v>RESHOUHIOldRETF4ELC20</v>
      </c>
      <c r="G1370" s="4">
        <f>IF(SUMIFS('RES TECH'!N:N,'RES TECH'!M:M,C1370)&gt;0,1,0)</f>
        <v>1</v>
      </c>
      <c r="H1370" s="4">
        <f t="shared" si="21"/>
        <v>0</v>
      </c>
    </row>
    <row r="1371" spans="3:8" x14ac:dyDescent="0.25">
      <c r="C1371" t="str">
        <f>'RES TECH'!M1369</f>
        <v>RESHOUHIOldRESF1ELC20</v>
      </c>
      <c r="G1371" s="4">
        <f>IF(SUMIFS('RES TECH'!N:N,'RES TECH'!M:M,C1371)&gt;0,1,0)</f>
        <v>1</v>
      </c>
      <c r="H1371" s="4">
        <f t="shared" si="21"/>
        <v>0</v>
      </c>
    </row>
    <row r="1372" spans="3:8" x14ac:dyDescent="0.25">
      <c r="C1372" t="str">
        <f>'RES TECH'!M1370</f>
        <v>RESHOUHIOldRESF2ELC20</v>
      </c>
      <c r="G1372" s="4">
        <f>IF(SUMIFS('RES TECH'!N:N,'RES TECH'!M:M,C1372)&gt;0,1,0)</f>
        <v>1</v>
      </c>
      <c r="H1372" s="4">
        <f t="shared" si="21"/>
        <v>0</v>
      </c>
    </row>
    <row r="1373" spans="3:8" x14ac:dyDescent="0.25">
      <c r="C1373" t="str">
        <f>'RES TECH'!M1371</f>
        <v>RESHOUHIOldRESF3ELC20</v>
      </c>
      <c r="G1373" s="4">
        <f>IF(SUMIFS('RES TECH'!N:N,'RES TECH'!M:M,C1373)&gt;0,1,0)</f>
        <v>1</v>
      </c>
      <c r="H1373" s="4">
        <f t="shared" si="21"/>
        <v>0</v>
      </c>
    </row>
    <row r="1374" spans="3:8" x14ac:dyDescent="0.25">
      <c r="C1374" t="str">
        <f>'RES TECH'!M1372</f>
        <v>RESHOUHIOldRESF4ELC20</v>
      </c>
      <c r="G1374" s="4">
        <f>IF(SUMIFS('RES TECH'!N:N,'RES TECH'!M:M,C1374)&gt;0,1,0)</f>
        <v>1</v>
      </c>
      <c r="H1374" s="4">
        <f t="shared" si="21"/>
        <v>0</v>
      </c>
    </row>
    <row r="1375" spans="3:8" x14ac:dyDescent="0.25">
      <c r="C1375" t="str">
        <f>'RES TECH'!M1373</f>
        <v>RESHOUHIOldREBF1ELC20</v>
      </c>
      <c r="G1375" s="4">
        <f>IF(SUMIFS('RES TECH'!N:N,'RES TECH'!M:M,C1375)&gt;0,1,0)</f>
        <v>1</v>
      </c>
      <c r="H1375" s="4">
        <f t="shared" si="21"/>
        <v>0</v>
      </c>
    </row>
    <row r="1376" spans="3:8" x14ac:dyDescent="0.25">
      <c r="C1376" t="str">
        <f>'RES TECH'!M1374</f>
        <v>RESHOUHIOldREBF2ELC20</v>
      </c>
      <c r="G1376" s="4">
        <f>IF(SUMIFS('RES TECH'!N:N,'RES TECH'!M:M,C1376)&gt;0,1,0)</f>
        <v>1</v>
      </c>
      <c r="H1376" s="4">
        <f t="shared" si="21"/>
        <v>0</v>
      </c>
    </row>
    <row r="1377" spans="3:8" x14ac:dyDescent="0.25">
      <c r="C1377" t="str">
        <f>'RES TECH'!M1375</f>
        <v>RESHOUHIOldREBF3ELC20</v>
      </c>
      <c r="G1377" s="4">
        <f>IF(SUMIFS('RES TECH'!N:N,'RES TECH'!M:M,C1377)&gt;0,1,0)</f>
        <v>1</v>
      </c>
      <c r="H1377" s="4">
        <f t="shared" si="21"/>
        <v>0</v>
      </c>
    </row>
    <row r="1378" spans="3:8" x14ac:dyDescent="0.25">
      <c r="C1378" t="str">
        <f>'RES TECH'!M1376</f>
        <v>RESHOUHIOldREBF4ELC20</v>
      </c>
      <c r="G1378" s="4">
        <f>IF(SUMIFS('RES TECH'!N:N,'RES TECH'!M:M,C1378)&gt;0,1,0)</f>
        <v>1</v>
      </c>
      <c r="H1378" s="4">
        <f t="shared" si="21"/>
        <v>0</v>
      </c>
    </row>
    <row r="1379" spans="3:8" x14ac:dyDescent="0.25">
      <c r="C1379" t="str">
        <f>'RES TECH'!M1377</f>
        <v>RESHOUHIOldFRC1ELC20</v>
      </c>
      <c r="G1379" s="4">
        <f>IF(SUMIFS('RES TECH'!N:N,'RES TECH'!M:M,C1379)&gt;0,1,0)</f>
        <v>1</v>
      </c>
      <c r="H1379" s="4">
        <f t="shared" si="21"/>
        <v>0</v>
      </c>
    </row>
    <row r="1380" spans="3:8" x14ac:dyDescent="0.25">
      <c r="C1380" t="str">
        <f>'RES TECH'!M1378</f>
        <v>RESHOUHIOldFRC2ELC20</v>
      </c>
      <c r="G1380" s="4">
        <f>IF(SUMIFS('RES TECH'!N:N,'RES TECH'!M:M,C1380)&gt;0,1,0)</f>
        <v>1</v>
      </c>
      <c r="H1380" s="4">
        <f t="shared" si="21"/>
        <v>0</v>
      </c>
    </row>
    <row r="1381" spans="3:8" x14ac:dyDescent="0.25">
      <c r="C1381" t="str">
        <f>'RES TECH'!M1379</f>
        <v>RESHOUHIOldFRC3ELC20</v>
      </c>
      <c r="G1381" s="4">
        <f>IF(SUMIFS('RES TECH'!N:N,'RES TECH'!M:M,C1381)&gt;0,1,0)</f>
        <v>1</v>
      </c>
      <c r="H1381" s="4">
        <f t="shared" si="21"/>
        <v>0</v>
      </c>
    </row>
    <row r="1382" spans="3:8" x14ac:dyDescent="0.25">
      <c r="C1382" t="str">
        <f>'RES TECH'!M1380</f>
        <v>RESHOUHIOldFRC4ELC20</v>
      </c>
      <c r="G1382" s="4">
        <f>IF(SUMIFS('RES TECH'!N:N,'RES TECH'!M:M,C1382)&gt;0,1,0)</f>
        <v>1</v>
      </c>
      <c r="H1382" s="4">
        <f t="shared" si="21"/>
        <v>0</v>
      </c>
    </row>
    <row r="1383" spans="3:8" x14ac:dyDescent="0.25">
      <c r="C1383" t="str">
        <f>'RES TECH'!M1381</f>
        <v>RESHOUHIOldFRU1ELC20</v>
      </c>
      <c r="G1383" s="4">
        <f>IF(SUMIFS('RES TECH'!N:N,'RES TECH'!M:M,C1383)&gt;0,1,0)</f>
        <v>1</v>
      </c>
      <c r="H1383" s="4">
        <f t="shared" si="21"/>
        <v>0</v>
      </c>
    </row>
    <row r="1384" spans="3:8" x14ac:dyDescent="0.25">
      <c r="C1384" t="str">
        <f>'RES TECH'!M1382</f>
        <v>RESHOUHIOldFRU2ELC20</v>
      </c>
      <c r="G1384" s="4">
        <f>IF(SUMIFS('RES TECH'!N:N,'RES TECH'!M:M,C1384)&gt;0,1,0)</f>
        <v>1</v>
      </c>
      <c r="H1384" s="4">
        <f t="shared" si="21"/>
        <v>0</v>
      </c>
    </row>
    <row r="1385" spans="3:8" x14ac:dyDescent="0.25">
      <c r="C1385" t="str">
        <f>'RES TECH'!M1383</f>
        <v>RESHOUHIOldFRU3ELC20</v>
      </c>
      <c r="G1385" s="4">
        <f>IF(SUMIFS('RES TECH'!N:N,'RES TECH'!M:M,C1385)&gt;0,1,0)</f>
        <v>1</v>
      </c>
      <c r="H1385" s="4">
        <f t="shared" si="21"/>
        <v>0</v>
      </c>
    </row>
    <row r="1386" spans="3:8" x14ac:dyDescent="0.25">
      <c r="C1386" t="str">
        <f>'RES TECH'!M1384</f>
        <v>RESHOUHIOldFRU4ELC20</v>
      </c>
      <c r="G1386" s="4">
        <f>IF(SUMIFS('RES TECH'!N:N,'RES TECH'!M:M,C1386)&gt;0,1,0)</f>
        <v>1</v>
      </c>
      <c r="H1386" s="4">
        <f t="shared" si="21"/>
        <v>0</v>
      </c>
    </row>
    <row r="1387" spans="3:8" x14ac:dyDescent="0.25">
      <c r="C1387" t="str">
        <f>'RES TECH'!M1385</f>
        <v>RESHOUHIOldCK2NGA20</v>
      </c>
      <c r="G1387" s="4">
        <f>IF(SUMIFS('RES TECH'!N:N,'RES TECH'!M:M,C1387)&gt;0,1,0)</f>
        <v>1</v>
      </c>
      <c r="H1387" s="4">
        <f t="shared" si="21"/>
        <v>0</v>
      </c>
    </row>
    <row r="1388" spans="3:8" x14ac:dyDescent="0.25">
      <c r="C1388" t="str">
        <f>'RES TECH'!M1386</f>
        <v>RESHOUHIOldCK4NGA20</v>
      </c>
      <c r="G1388" s="4">
        <f>IF(SUMIFS('RES TECH'!N:N,'RES TECH'!M:M,C1388)&gt;0,1,0)</f>
        <v>1</v>
      </c>
      <c r="H1388" s="4">
        <f t="shared" si="21"/>
        <v>0</v>
      </c>
    </row>
    <row r="1389" spans="3:8" x14ac:dyDescent="0.25">
      <c r="C1389" t="str">
        <f>'RES TECH'!M1387</f>
        <v>RESHOUHIOldCK2LPG20</v>
      </c>
      <c r="G1389" s="4">
        <f>IF(SUMIFS('RES TECH'!N:N,'RES TECH'!M:M,C1389)&gt;0,1,0)</f>
        <v>1</v>
      </c>
      <c r="H1389" s="4">
        <f t="shared" si="21"/>
        <v>0</v>
      </c>
    </row>
    <row r="1390" spans="3:8" x14ac:dyDescent="0.25">
      <c r="C1390" t="str">
        <f>'RES TECH'!M1388</f>
        <v>RESHOUHIOldCK4LPG20</v>
      </c>
      <c r="G1390" s="4">
        <f>IF(SUMIFS('RES TECH'!N:N,'RES TECH'!M:M,C1390)&gt;0,1,0)</f>
        <v>1</v>
      </c>
      <c r="H1390" s="4">
        <f t="shared" si="21"/>
        <v>0</v>
      </c>
    </row>
    <row r="1391" spans="3:8" x14ac:dyDescent="0.25">
      <c r="C1391" t="str">
        <f>'RES TECH'!M1389</f>
        <v>RESHOUHIOldCK2ELC20</v>
      </c>
      <c r="G1391" s="4">
        <f>IF(SUMIFS('RES TECH'!N:N,'RES TECH'!M:M,C1391)&gt;0,1,0)</f>
        <v>1</v>
      </c>
      <c r="H1391" s="4">
        <f t="shared" si="21"/>
        <v>0</v>
      </c>
    </row>
    <row r="1392" spans="3:8" x14ac:dyDescent="0.25">
      <c r="C1392" t="str">
        <f>'RES TECH'!M1390</f>
        <v>RESHOUHIOldCWF4ELC30</v>
      </c>
      <c r="G1392" s="4">
        <f>IF(SUMIFS('RES TECH'!N:N,'RES TECH'!M:M,C1392)&gt;0,1,0)</f>
        <v>1</v>
      </c>
      <c r="H1392" s="4">
        <f t="shared" si="21"/>
        <v>0</v>
      </c>
    </row>
    <row r="1393" spans="3:8" x14ac:dyDescent="0.25">
      <c r="C1393" t="str">
        <f>'RES TECH'!M1391</f>
        <v>RESHOUHIOldCWT1ELC20</v>
      </c>
      <c r="G1393" s="4">
        <f>IF(SUMIFS('RES TECH'!N:N,'RES TECH'!M:M,C1393)&gt;0,1,0)</f>
        <v>1</v>
      </c>
      <c r="H1393" s="4">
        <f t="shared" si="21"/>
        <v>0</v>
      </c>
    </row>
    <row r="1394" spans="3:8" x14ac:dyDescent="0.25">
      <c r="C1394" t="str">
        <f>'RES TECH'!M1392</f>
        <v>RESHOUHIOldCWT2ELC20</v>
      </c>
      <c r="G1394" s="4">
        <f>IF(SUMIFS('RES TECH'!N:N,'RES TECH'!M:M,C1394)&gt;0,1,0)</f>
        <v>1</v>
      </c>
      <c r="H1394" s="4">
        <f t="shared" si="21"/>
        <v>0</v>
      </c>
    </row>
    <row r="1395" spans="3:8" x14ac:dyDescent="0.25">
      <c r="C1395" t="str">
        <f>'RES TECH'!M1393</f>
        <v>RESHOUHIOldCWT2ELC20</v>
      </c>
      <c r="G1395" s="4">
        <f>IF(SUMIFS('RES TECH'!N:N,'RES TECH'!M:M,C1395)&gt;0,1,0)</f>
        <v>1</v>
      </c>
      <c r="H1395" s="4">
        <f t="shared" si="21"/>
        <v>0</v>
      </c>
    </row>
    <row r="1396" spans="3:8" x14ac:dyDescent="0.25">
      <c r="C1396" t="str">
        <f>'RES TECH'!M1394</f>
        <v>RESHOUHIOldCWT3ELC20</v>
      </c>
      <c r="G1396" s="4">
        <f>IF(SUMIFS('RES TECH'!N:N,'RES TECH'!M:M,C1396)&gt;0,1,0)</f>
        <v>1</v>
      </c>
      <c r="H1396" s="4">
        <f t="shared" si="21"/>
        <v>0</v>
      </c>
    </row>
    <row r="1397" spans="3:8" x14ac:dyDescent="0.25">
      <c r="C1397" t="str">
        <f>'RES TECH'!M1395</f>
        <v>RESHOUHIOldCWT4ELC20</v>
      </c>
      <c r="G1397" s="4">
        <f>IF(SUMIFS('RES TECH'!N:N,'RES TECH'!M:M,C1397)&gt;0,1,0)</f>
        <v>1</v>
      </c>
      <c r="H1397" s="4">
        <f t="shared" si="21"/>
        <v>0</v>
      </c>
    </row>
    <row r="1398" spans="3:8" x14ac:dyDescent="0.25">
      <c r="C1398" t="str">
        <f>'RES TECH'!M1396</f>
        <v>RESHOUHIOldCWF1ELC20</v>
      </c>
      <c r="G1398" s="4">
        <f>IF(SUMIFS('RES TECH'!N:N,'RES TECH'!M:M,C1398)&gt;0,1,0)</f>
        <v>1</v>
      </c>
      <c r="H1398" s="4">
        <f t="shared" si="21"/>
        <v>0</v>
      </c>
    </row>
    <row r="1399" spans="3:8" x14ac:dyDescent="0.25">
      <c r="C1399" t="str">
        <f>'RES TECH'!M1397</f>
        <v>RESHOUHIOldCWF2ELC20</v>
      </c>
      <c r="G1399" s="4">
        <f>IF(SUMIFS('RES TECH'!N:N,'RES TECH'!M:M,C1399)&gt;0,1,0)</f>
        <v>1</v>
      </c>
      <c r="H1399" s="4">
        <f t="shared" si="21"/>
        <v>0</v>
      </c>
    </row>
    <row r="1400" spans="3:8" x14ac:dyDescent="0.25">
      <c r="C1400" t="str">
        <f>'RES TECH'!M1398</f>
        <v>RESHOUHIOldCWF2ELC30</v>
      </c>
      <c r="G1400" s="4">
        <f>IF(SUMIFS('RES TECH'!N:N,'RES TECH'!M:M,C1400)&gt;0,1,0)</f>
        <v>1</v>
      </c>
      <c r="H1400" s="4">
        <f t="shared" si="21"/>
        <v>0</v>
      </c>
    </row>
    <row r="1401" spans="3:8" x14ac:dyDescent="0.25">
      <c r="C1401" t="str">
        <f>'RES TECH'!M1399</f>
        <v>RESHOUHIOldCWF3ELC20</v>
      </c>
      <c r="G1401" s="4">
        <f>IF(SUMIFS('RES TECH'!N:N,'RES TECH'!M:M,C1401)&gt;0,1,0)</f>
        <v>1</v>
      </c>
      <c r="H1401" s="4">
        <f t="shared" si="21"/>
        <v>0</v>
      </c>
    </row>
    <row r="1402" spans="3:8" x14ac:dyDescent="0.25">
      <c r="C1402" t="str">
        <f>'RES TECH'!M1400</f>
        <v>RESHOUHIOldCWF4ELC20</v>
      </c>
      <c r="G1402" s="4">
        <f>IF(SUMIFS('RES TECH'!N:N,'RES TECH'!M:M,C1402)&gt;0,1,0)</f>
        <v>1</v>
      </c>
      <c r="H1402" s="4">
        <f t="shared" si="21"/>
        <v>0</v>
      </c>
    </row>
    <row r="1403" spans="3:8" x14ac:dyDescent="0.25">
      <c r="C1403" t="str">
        <f>'RES TECH'!M1401</f>
        <v>RESHOUHIOldCWF4ELC20</v>
      </c>
      <c r="G1403" s="4">
        <f>IF(SUMIFS('RES TECH'!N:N,'RES TECH'!M:M,C1403)&gt;0,1,0)</f>
        <v>1</v>
      </c>
      <c r="H1403" s="4">
        <f t="shared" si="21"/>
        <v>0</v>
      </c>
    </row>
    <row r="1404" spans="3:8" x14ac:dyDescent="0.25">
      <c r="C1404" t="str">
        <f>'RES TECH'!M1402</f>
        <v>RESHOUHIOldCD1NGA20</v>
      </c>
      <c r="G1404" s="4">
        <f>IF(SUMIFS('RES TECH'!N:N,'RES TECH'!M:M,C1404)&gt;0,1,0)</f>
        <v>1</v>
      </c>
      <c r="H1404" s="4">
        <f t="shared" si="21"/>
        <v>0</v>
      </c>
    </row>
    <row r="1405" spans="3:8" x14ac:dyDescent="0.25">
      <c r="C1405" t="str">
        <f>'RES TECH'!M1403</f>
        <v>RESHOUHIOldCD2NGA20</v>
      </c>
      <c r="G1405" s="4">
        <f>IF(SUMIFS('RES TECH'!N:N,'RES TECH'!M:M,C1405)&gt;0,1,0)</f>
        <v>1</v>
      </c>
      <c r="H1405" s="4">
        <f t="shared" si="21"/>
        <v>0</v>
      </c>
    </row>
    <row r="1406" spans="3:8" x14ac:dyDescent="0.25">
      <c r="C1406" t="str">
        <f>'RES TECH'!M1404</f>
        <v>RESHOUHIOldCD3NGA20</v>
      </c>
      <c r="G1406" s="4">
        <f>IF(SUMIFS('RES TECH'!N:N,'RES TECH'!M:M,C1406)&gt;0,1,0)</f>
        <v>1</v>
      </c>
      <c r="H1406" s="4">
        <f t="shared" si="21"/>
        <v>0</v>
      </c>
    </row>
    <row r="1407" spans="3:8" x14ac:dyDescent="0.25">
      <c r="C1407" t="str">
        <f>'RES TECH'!M1405</f>
        <v>RESHOUHIOldCD4NGA20</v>
      </c>
      <c r="G1407" s="4">
        <f>IF(SUMIFS('RES TECH'!N:N,'RES TECH'!M:M,C1407)&gt;0,1,0)</f>
        <v>1</v>
      </c>
      <c r="H1407" s="4">
        <f t="shared" si="21"/>
        <v>0</v>
      </c>
    </row>
    <row r="1408" spans="3:8" x14ac:dyDescent="0.25">
      <c r="C1408" t="str">
        <f>'RES TECH'!M1406</f>
        <v>RESHOUHIOldCD4NGA30</v>
      </c>
      <c r="G1408" s="4">
        <f>IF(SUMIFS('RES TECH'!N:N,'RES TECH'!M:M,C1408)&gt;0,1,0)</f>
        <v>1</v>
      </c>
      <c r="H1408" s="4">
        <f t="shared" si="21"/>
        <v>0</v>
      </c>
    </row>
    <row r="1409" spans="3:8" x14ac:dyDescent="0.25">
      <c r="C1409" t="str">
        <f>'RES TECH'!M1407</f>
        <v>RESHOUHIOldCD1ELC20</v>
      </c>
      <c r="G1409" s="4">
        <f>IF(SUMIFS('RES TECH'!N:N,'RES TECH'!M:M,C1409)&gt;0,1,0)</f>
        <v>1</v>
      </c>
      <c r="H1409" s="4">
        <f t="shared" si="21"/>
        <v>0</v>
      </c>
    </row>
    <row r="1410" spans="3:8" x14ac:dyDescent="0.25">
      <c r="C1410" t="str">
        <f>'RES TECH'!M1408</f>
        <v>RESHOUHIOldCD2ELC20</v>
      </c>
      <c r="G1410" s="4">
        <f>IF(SUMIFS('RES TECH'!N:N,'RES TECH'!M:M,C1410)&gt;0,1,0)</f>
        <v>1</v>
      </c>
      <c r="H1410" s="4">
        <f t="shared" si="21"/>
        <v>0</v>
      </c>
    </row>
    <row r="1411" spans="3:8" x14ac:dyDescent="0.25">
      <c r="C1411" t="str">
        <f>'RES TECH'!M1409</f>
        <v>RESHOUHIOldCD3ELC20</v>
      </c>
      <c r="G1411" s="4">
        <f>IF(SUMIFS('RES TECH'!N:N,'RES TECH'!M:M,C1411)&gt;0,1,0)</f>
        <v>1</v>
      </c>
      <c r="H1411" s="4">
        <f t="shared" si="21"/>
        <v>0</v>
      </c>
    </row>
    <row r="1412" spans="3:8" x14ac:dyDescent="0.25">
      <c r="C1412" t="str">
        <f>'RES TECH'!M1410</f>
        <v>RESHOUHIOldCD4ELC20</v>
      </c>
      <c r="G1412" s="4">
        <f>IF(SUMIFS('RES TECH'!N:N,'RES TECH'!M:M,C1412)&gt;0,1,0)</f>
        <v>1</v>
      </c>
      <c r="H1412" s="4">
        <f t="shared" si="21"/>
        <v>0</v>
      </c>
    </row>
    <row r="1413" spans="3:8" x14ac:dyDescent="0.25">
      <c r="C1413" t="str">
        <f>'RES TECH'!M1412</f>
        <v>RESAPALONewWH1NGA20</v>
      </c>
      <c r="G1413" s="4">
        <f>IF(SUMIFS('RES TECH'!N:N,'RES TECH'!M:M,C1413)&gt;0,1,0)</f>
        <v>1</v>
      </c>
      <c r="H1413" s="4">
        <f t="shared" ref="H1413:H1476" si="22">IF(C1413="","",IF(C1413="*","*",0))</f>
        <v>0</v>
      </c>
    </row>
    <row r="1414" spans="3:8" x14ac:dyDescent="0.25">
      <c r="C1414" t="str">
        <f>'RES TECH'!M1413</f>
        <v>RESAPALONewWH2NGA20</v>
      </c>
      <c r="G1414" s="4">
        <f>IF(SUMIFS('RES TECH'!N:N,'RES TECH'!M:M,C1414)&gt;0,1,0)</f>
        <v>1</v>
      </c>
      <c r="H1414" s="4">
        <f t="shared" si="22"/>
        <v>0</v>
      </c>
    </row>
    <row r="1415" spans="3:8" x14ac:dyDescent="0.25">
      <c r="C1415" t="str">
        <f>'RES TECH'!M1414</f>
        <v>RESAPALONewWH3NGA20</v>
      </c>
      <c r="G1415" s="4">
        <f>IF(SUMIFS('RES TECH'!N:N,'RES TECH'!M:M,C1415)&gt;0,1,0)</f>
        <v>1</v>
      </c>
      <c r="H1415" s="4">
        <f t="shared" si="22"/>
        <v>0</v>
      </c>
    </row>
    <row r="1416" spans="3:8" x14ac:dyDescent="0.25">
      <c r="C1416" t="str">
        <f>'RES TECH'!M1415</f>
        <v>RESAPALONewWH3NGA23</v>
      </c>
      <c r="G1416" s="4">
        <f>IF(SUMIFS('RES TECH'!N:N,'RES TECH'!M:M,C1416)&gt;0,1,0)</f>
        <v>1</v>
      </c>
      <c r="H1416" s="4">
        <f t="shared" si="22"/>
        <v>0</v>
      </c>
    </row>
    <row r="1417" spans="3:8" x14ac:dyDescent="0.25">
      <c r="C1417" t="str">
        <f>'RES TECH'!M1416</f>
        <v>RESAPALONewWH4NGA20</v>
      </c>
      <c r="G1417" s="4">
        <f>IF(SUMIFS('RES TECH'!N:N,'RES TECH'!M:M,C1417)&gt;0,1,0)</f>
        <v>1</v>
      </c>
      <c r="H1417" s="4">
        <f t="shared" si="22"/>
        <v>0</v>
      </c>
    </row>
    <row r="1418" spans="3:8" x14ac:dyDescent="0.25">
      <c r="C1418" t="str">
        <f>'RES TECH'!M1417</f>
        <v>RESAPALONewWH4NGA20</v>
      </c>
      <c r="G1418" s="4">
        <f>IF(SUMIFS('RES TECH'!N:N,'RES TECH'!M:M,C1418)&gt;0,1,0)</f>
        <v>1</v>
      </c>
      <c r="H1418" s="4">
        <f t="shared" si="22"/>
        <v>0</v>
      </c>
    </row>
    <row r="1419" spans="3:8" x14ac:dyDescent="0.25">
      <c r="C1419" t="str">
        <f>'RES TECH'!M1418</f>
        <v>RESAPALONewWH4NGA22</v>
      </c>
      <c r="G1419" s="4">
        <f>IF(SUMIFS('RES TECH'!N:N,'RES TECH'!M:M,C1419)&gt;0,1,0)</f>
        <v>1</v>
      </c>
      <c r="H1419" s="4">
        <f t="shared" si="22"/>
        <v>0</v>
      </c>
    </row>
    <row r="1420" spans="3:8" x14ac:dyDescent="0.25">
      <c r="C1420" t="str">
        <f>'RES TECH'!M1419</f>
        <v>RESAPALONewWH1ELC20</v>
      </c>
      <c r="G1420" s="4">
        <f>IF(SUMIFS('RES TECH'!N:N,'RES TECH'!M:M,C1420)&gt;0,1,0)</f>
        <v>1</v>
      </c>
      <c r="H1420" s="4">
        <f t="shared" si="22"/>
        <v>0</v>
      </c>
    </row>
    <row r="1421" spans="3:8" x14ac:dyDescent="0.25">
      <c r="C1421" t="str">
        <f>'RES TECH'!M1420</f>
        <v>RESAPALONewWH2ELC20</v>
      </c>
      <c r="G1421" s="4">
        <f>IF(SUMIFS('RES TECH'!N:N,'RES TECH'!M:M,C1421)&gt;0,1,0)</f>
        <v>1</v>
      </c>
      <c r="H1421" s="4">
        <f t="shared" si="22"/>
        <v>0</v>
      </c>
    </row>
    <row r="1422" spans="3:8" x14ac:dyDescent="0.25">
      <c r="C1422" t="str">
        <f>'RES TECH'!M1421</f>
        <v>RESAPALONewWH4ELC20</v>
      </c>
      <c r="G1422" s="4">
        <f>IF(SUMIFS('RES TECH'!N:N,'RES TECH'!M:M,C1422)&gt;0,1,0)</f>
        <v>1</v>
      </c>
      <c r="H1422" s="4">
        <f t="shared" si="22"/>
        <v>0</v>
      </c>
    </row>
    <row r="1423" spans="3:8" x14ac:dyDescent="0.25">
      <c r="C1423" t="str">
        <f>'RES TECH'!M1422</f>
        <v>RESAPALONewWH5ELC20</v>
      </c>
      <c r="G1423" s="4">
        <f>IF(SUMIFS('RES TECH'!N:N,'RES TECH'!M:M,C1423)&gt;0,1,0)</f>
        <v>1</v>
      </c>
      <c r="H1423" s="4">
        <f t="shared" si="22"/>
        <v>0</v>
      </c>
    </row>
    <row r="1424" spans="3:8" x14ac:dyDescent="0.25">
      <c r="C1424" t="str">
        <f>'RES TECH'!M1423</f>
        <v>RESAPALONewWH5ELC22</v>
      </c>
      <c r="G1424" s="4">
        <f>IF(SUMIFS('RES TECH'!N:N,'RES TECH'!M:M,C1424)&gt;0,1,0)</f>
        <v>1</v>
      </c>
      <c r="H1424" s="4">
        <f t="shared" si="22"/>
        <v>0</v>
      </c>
    </row>
    <row r="1425" spans="3:8" x14ac:dyDescent="0.25">
      <c r="C1425" t="str">
        <f>'RES TECH'!M1424</f>
        <v>RESAPALONewWH6ELC20</v>
      </c>
      <c r="G1425" s="4">
        <f>IF(SUMIFS('RES TECH'!N:N,'RES TECH'!M:M,C1425)&gt;0,1,0)</f>
        <v>1</v>
      </c>
      <c r="H1425" s="4">
        <f t="shared" si="22"/>
        <v>0</v>
      </c>
    </row>
    <row r="1426" spans="3:8" x14ac:dyDescent="0.25">
      <c r="C1426" t="str">
        <f>'RES TECH'!M1425</f>
        <v>RESAPALONewWH6ELC22</v>
      </c>
      <c r="G1426" s="4">
        <f>IF(SUMIFS('RES TECH'!N:N,'RES TECH'!M:M,C1426)&gt;0,1,0)</f>
        <v>1</v>
      </c>
      <c r="H1426" s="4">
        <f t="shared" si="22"/>
        <v>0</v>
      </c>
    </row>
    <row r="1427" spans="3:8" x14ac:dyDescent="0.25">
      <c r="C1427" t="str">
        <f>'RES TECH'!M1426</f>
        <v>RESAPALONewWH7ELC20</v>
      </c>
      <c r="G1427" s="4">
        <f>IF(SUMIFS('RES TECH'!N:N,'RES TECH'!M:M,C1427)&gt;0,1,0)</f>
        <v>1</v>
      </c>
      <c r="H1427" s="4">
        <f t="shared" si="22"/>
        <v>0</v>
      </c>
    </row>
    <row r="1428" spans="3:8" x14ac:dyDescent="0.25">
      <c r="C1428" t="str">
        <f>'RES TECH'!M1427</f>
        <v>RESAPALONewWH7ELC22</v>
      </c>
      <c r="G1428" s="4">
        <f>IF(SUMIFS('RES TECH'!N:N,'RES TECH'!M:M,C1428)&gt;0,1,0)</f>
        <v>1</v>
      </c>
      <c r="H1428" s="4">
        <f t="shared" si="22"/>
        <v>0</v>
      </c>
    </row>
    <row r="1429" spans="3:8" x14ac:dyDescent="0.25">
      <c r="C1429" t="str">
        <f>'RES TECH'!M1428</f>
        <v>RESAPALONewWH1FOI20</v>
      </c>
      <c r="G1429" s="4">
        <f>IF(SUMIFS('RES TECH'!N:N,'RES TECH'!M:M,C1429)&gt;0,1,0)</f>
        <v>1</v>
      </c>
      <c r="H1429" s="4">
        <f t="shared" si="22"/>
        <v>0</v>
      </c>
    </row>
    <row r="1430" spans="3:8" x14ac:dyDescent="0.25">
      <c r="C1430" t="str">
        <f>'RES TECH'!M1429</f>
        <v>RESAPALONewWH2FOI20</v>
      </c>
      <c r="G1430" s="4">
        <f>IF(SUMIFS('RES TECH'!N:N,'RES TECH'!M:M,C1430)&gt;0,1,0)</f>
        <v>1</v>
      </c>
      <c r="H1430" s="4">
        <f t="shared" si="22"/>
        <v>0</v>
      </c>
    </row>
    <row r="1431" spans="3:8" x14ac:dyDescent="0.25">
      <c r="C1431" t="str">
        <f>'RES TECH'!M1430</f>
        <v>RESAPALONewWH4FOI20</v>
      </c>
      <c r="G1431" s="4">
        <f>IF(SUMIFS('RES TECH'!N:N,'RES TECH'!M:M,C1431)&gt;0,1,0)</f>
        <v>1</v>
      </c>
      <c r="H1431" s="4">
        <f t="shared" si="22"/>
        <v>0</v>
      </c>
    </row>
    <row r="1432" spans="3:8" x14ac:dyDescent="0.25">
      <c r="C1432" t="str">
        <f>'RES TECH'!M1431</f>
        <v>RESAPALONewWH1LPG20</v>
      </c>
      <c r="G1432" s="4">
        <f>IF(SUMIFS('RES TECH'!N:N,'RES TECH'!M:M,C1432)&gt;0,1,0)</f>
        <v>1</v>
      </c>
      <c r="H1432" s="4">
        <f t="shared" si="22"/>
        <v>0</v>
      </c>
    </row>
    <row r="1433" spans="3:8" x14ac:dyDescent="0.25">
      <c r="C1433" t="str">
        <f>'RES TECH'!M1432</f>
        <v>RESAPALONewWH2LPG20</v>
      </c>
      <c r="G1433" s="4">
        <f>IF(SUMIFS('RES TECH'!N:N,'RES TECH'!M:M,C1433)&gt;0,1,0)</f>
        <v>1</v>
      </c>
      <c r="H1433" s="4">
        <f t="shared" si="22"/>
        <v>0</v>
      </c>
    </row>
    <row r="1434" spans="3:8" x14ac:dyDescent="0.25">
      <c r="C1434" t="str">
        <f>'RES TECH'!M1433</f>
        <v>RESAPALONewWH3LPG20</v>
      </c>
      <c r="G1434" s="4">
        <f>IF(SUMIFS('RES TECH'!N:N,'RES TECH'!M:M,C1434)&gt;0,1,0)</f>
        <v>1</v>
      </c>
      <c r="H1434" s="4">
        <f t="shared" si="22"/>
        <v>0</v>
      </c>
    </row>
    <row r="1435" spans="3:8" x14ac:dyDescent="0.25">
      <c r="C1435" t="str">
        <f>'RES TECH'!M1434</f>
        <v>RESAPALONewWH3LPG23</v>
      </c>
      <c r="G1435" s="4">
        <f>IF(SUMIFS('RES TECH'!N:N,'RES TECH'!M:M,C1435)&gt;0,1,0)</f>
        <v>1</v>
      </c>
      <c r="H1435" s="4">
        <f t="shared" si="22"/>
        <v>0</v>
      </c>
    </row>
    <row r="1436" spans="3:8" x14ac:dyDescent="0.25">
      <c r="C1436" t="str">
        <f>'RES TECH'!M1435</f>
        <v>RESAPALONewWH4LPG20</v>
      </c>
      <c r="G1436" s="4">
        <f>IF(SUMIFS('RES TECH'!N:N,'RES TECH'!M:M,C1436)&gt;0,1,0)</f>
        <v>1</v>
      </c>
      <c r="H1436" s="4">
        <f t="shared" si="22"/>
        <v>0</v>
      </c>
    </row>
    <row r="1437" spans="3:8" x14ac:dyDescent="0.25">
      <c r="C1437" t="str">
        <f>'RES TECH'!M1436</f>
        <v>RESAPALONewWH4LPG20</v>
      </c>
      <c r="G1437" s="4">
        <f>IF(SUMIFS('RES TECH'!N:N,'RES TECH'!M:M,C1437)&gt;0,1,0)</f>
        <v>1</v>
      </c>
      <c r="H1437" s="4">
        <f t="shared" si="22"/>
        <v>0</v>
      </c>
    </row>
    <row r="1438" spans="3:8" x14ac:dyDescent="0.25">
      <c r="C1438" t="str">
        <f>'RES TECH'!M1437</f>
        <v>RESAPALONewWH2SOL20</v>
      </c>
      <c r="G1438" s="4">
        <f>IF(SUMIFS('RES TECH'!N:N,'RES TECH'!M:M,C1438)&gt;0,1,0)</f>
        <v>1</v>
      </c>
      <c r="H1438" s="4">
        <f t="shared" si="22"/>
        <v>0</v>
      </c>
    </row>
    <row r="1439" spans="3:8" x14ac:dyDescent="0.25">
      <c r="C1439" t="str">
        <f>'RES TECH'!M1438</f>
        <v>RESAPALONewWH2SOL20</v>
      </c>
      <c r="G1439" s="4">
        <f>IF(SUMIFS('RES TECH'!N:N,'RES TECH'!M:M,C1439)&gt;0,1,0)</f>
        <v>1</v>
      </c>
      <c r="H1439" s="4">
        <f t="shared" si="22"/>
        <v>0</v>
      </c>
    </row>
    <row r="1440" spans="3:8" x14ac:dyDescent="0.25">
      <c r="C1440" t="str">
        <f>'RES TECH'!M1439</f>
        <v>RESAPALONewWH2SOL23</v>
      </c>
      <c r="G1440" s="4">
        <f>IF(SUMIFS('RES TECH'!N:N,'RES TECH'!M:M,C1440)&gt;0,1,0)</f>
        <v>1</v>
      </c>
      <c r="H1440" s="4">
        <f t="shared" si="22"/>
        <v>0</v>
      </c>
    </row>
    <row r="1441" spans="3:8" x14ac:dyDescent="0.25">
      <c r="C1441" t="str">
        <f>'RES TECH'!M1440</f>
        <v>RESAPALONewWH2SOL24</v>
      </c>
      <c r="G1441" s="4">
        <f>IF(SUMIFS('RES TECH'!N:N,'RES TECH'!M:M,C1441)&gt;0,1,0)</f>
        <v>1</v>
      </c>
      <c r="H1441" s="4">
        <f t="shared" si="22"/>
        <v>0</v>
      </c>
    </row>
    <row r="1442" spans="3:8" x14ac:dyDescent="0.25">
      <c r="C1442" t="str">
        <f>'RES TECH'!M1441</f>
        <v>RESAPALONewSHAHP1ELC20</v>
      </c>
      <c r="G1442" s="4">
        <f>IF(SUMIFS('RES TECH'!N:N,'RES TECH'!M:M,C1442)&gt;0,1,0)</f>
        <v>1</v>
      </c>
      <c r="H1442" s="4">
        <f t="shared" si="22"/>
        <v>0</v>
      </c>
    </row>
    <row r="1443" spans="3:8" x14ac:dyDescent="0.25">
      <c r="C1443" t="str">
        <f>'RES TECH'!M1442</f>
        <v>RESAPALONewSHAHP1ELC23</v>
      </c>
      <c r="G1443" s="4">
        <f>IF(SUMIFS('RES TECH'!N:N,'RES TECH'!M:M,C1443)&gt;0,1,0)</f>
        <v>1</v>
      </c>
      <c r="H1443" s="4">
        <f t="shared" si="22"/>
        <v>0</v>
      </c>
    </row>
    <row r="1444" spans="3:8" x14ac:dyDescent="0.25">
      <c r="C1444" t="str">
        <f>'RES TECH'!M1443</f>
        <v>RESAPALONewSHAHP2ELC20</v>
      </c>
      <c r="G1444" s="4">
        <f>IF(SUMIFS('RES TECH'!N:N,'RES TECH'!M:M,C1444)&gt;0,1,0)</f>
        <v>1</v>
      </c>
      <c r="H1444" s="4">
        <f t="shared" si="22"/>
        <v>0</v>
      </c>
    </row>
    <row r="1445" spans="3:8" x14ac:dyDescent="0.25">
      <c r="C1445" t="str">
        <f>'RES TECH'!M1444</f>
        <v>RESAPALONewSHAHP2ELC23</v>
      </c>
      <c r="G1445" s="4">
        <f>IF(SUMIFS('RES TECH'!N:N,'RES TECH'!M:M,C1445)&gt;0,1,0)</f>
        <v>1</v>
      </c>
      <c r="H1445" s="4">
        <f t="shared" si="22"/>
        <v>0</v>
      </c>
    </row>
    <row r="1446" spans="3:8" x14ac:dyDescent="0.25">
      <c r="C1446" t="str">
        <f>'RES TECH'!M1445</f>
        <v>RESAPALONewSHAHP3ELC20</v>
      </c>
      <c r="G1446" s="4">
        <f>IF(SUMIFS('RES TECH'!N:N,'RES TECH'!M:M,C1446)&gt;0,1,0)</f>
        <v>1</v>
      </c>
      <c r="H1446" s="4">
        <f t="shared" si="22"/>
        <v>0</v>
      </c>
    </row>
    <row r="1447" spans="3:8" x14ac:dyDescent="0.25">
      <c r="C1447" t="str">
        <f>'RES TECH'!M1446</f>
        <v>RESAPALONewSHAHP3ELC22</v>
      </c>
      <c r="G1447" s="4">
        <f>IF(SUMIFS('RES TECH'!N:N,'RES TECH'!M:M,C1447)&gt;0,1,0)</f>
        <v>1</v>
      </c>
      <c r="H1447" s="4">
        <f t="shared" si="22"/>
        <v>0</v>
      </c>
    </row>
    <row r="1448" spans="3:8" x14ac:dyDescent="0.25">
      <c r="C1448" t="str">
        <f>'RES TECH'!M1447</f>
        <v>RESAPALONewSHAHP3ELC23</v>
      </c>
      <c r="G1448" s="4">
        <f>IF(SUMIFS('RES TECH'!N:N,'RES TECH'!M:M,C1448)&gt;0,1,0)</f>
        <v>1</v>
      </c>
      <c r="H1448" s="4">
        <f t="shared" si="22"/>
        <v>0</v>
      </c>
    </row>
    <row r="1449" spans="3:8" x14ac:dyDescent="0.25">
      <c r="C1449" t="str">
        <f>'RES TECH'!M1448</f>
        <v>RESAPALONewSHAHP4ELC20</v>
      </c>
      <c r="G1449" s="4">
        <f>IF(SUMIFS('RES TECH'!N:N,'RES TECH'!M:M,C1449)&gt;0,1,0)</f>
        <v>1</v>
      </c>
      <c r="H1449" s="4">
        <f t="shared" si="22"/>
        <v>0</v>
      </c>
    </row>
    <row r="1450" spans="3:8" x14ac:dyDescent="0.25">
      <c r="C1450" t="str">
        <f>'RES TECH'!M1449</f>
        <v>RESAPALONewSHAHP4ELC22</v>
      </c>
      <c r="G1450" s="4">
        <f>IF(SUMIFS('RES TECH'!N:N,'RES TECH'!M:M,C1450)&gt;0,1,0)</f>
        <v>1</v>
      </c>
      <c r="H1450" s="4">
        <f t="shared" si="22"/>
        <v>0</v>
      </c>
    </row>
    <row r="1451" spans="3:8" x14ac:dyDescent="0.25">
      <c r="C1451" t="str">
        <f>'RES TECH'!M1450</f>
        <v>RESAPALONewSHGHP1ELC20</v>
      </c>
      <c r="G1451" s="4">
        <f>IF(SUMIFS('RES TECH'!N:N,'RES TECH'!M:M,C1451)&gt;0,1,0)</f>
        <v>1</v>
      </c>
      <c r="H1451" s="4">
        <f t="shared" si="22"/>
        <v>0</v>
      </c>
    </row>
    <row r="1452" spans="3:8" x14ac:dyDescent="0.25">
      <c r="C1452" t="str">
        <f>'RES TECH'!M1451</f>
        <v>RESAPALONewSHGHP2ELC20</v>
      </c>
      <c r="G1452" s="4">
        <f>IF(SUMIFS('RES TECH'!N:N,'RES TECH'!M:M,C1452)&gt;0,1,0)</f>
        <v>1</v>
      </c>
      <c r="H1452" s="4">
        <f t="shared" si="22"/>
        <v>0</v>
      </c>
    </row>
    <row r="1453" spans="3:8" x14ac:dyDescent="0.25">
      <c r="C1453" t="str">
        <f>'RES TECH'!M1452</f>
        <v>RESAPALONewSHGHP3ELC20</v>
      </c>
      <c r="G1453" s="4">
        <f>IF(SUMIFS('RES TECH'!N:N,'RES TECH'!M:M,C1453)&gt;0,1,0)</f>
        <v>1</v>
      </c>
      <c r="H1453" s="4">
        <f t="shared" si="22"/>
        <v>0</v>
      </c>
    </row>
    <row r="1454" spans="3:8" x14ac:dyDescent="0.25">
      <c r="C1454" t="str">
        <f>'RES TECH'!M1453</f>
        <v>RESAPALONewSHGHP3ELC20</v>
      </c>
      <c r="G1454" s="4">
        <f>IF(SUMIFS('RES TECH'!N:N,'RES TECH'!M:M,C1454)&gt;0,1,0)</f>
        <v>1</v>
      </c>
      <c r="H1454" s="4">
        <f t="shared" si="22"/>
        <v>0</v>
      </c>
    </row>
    <row r="1455" spans="3:8" x14ac:dyDescent="0.25">
      <c r="C1455" t="str">
        <f>'RES TECH'!M1454</f>
        <v>RESAPALONewSHGHP3ELC22</v>
      </c>
      <c r="G1455" s="4">
        <f>IF(SUMIFS('RES TECH'!N:N,'RES TECH'!M:M,C1455)&gt;0,1,0)</f>
        <v>1</v>
      </c>
      <c r="H1455" s="4">
        <f t="shared" si="22"/>
        <v>0</v>
      </c>
    </row>
    <row r="1456" spans="3:8" x14ac:dyDescent="0.25">
      <c r="C1456" t="str">
        <f>'RES TECH'!M1455</f>
        <v>RESAPALONewSHGHP3ELC23</v>
      </c>
      <c r="G1456" s="4">
        <f>IF(SUMIFS('RES TECH'!N:N,'RES TECH'!M:M,C1456)&gt;0,1,0)</f>
        <v>1</v>
      </c>
      <c r="H1456" s="4">
        <f t="shared" si="22"/>
        <v>0</v>
      </c>
    </row>
    <row r="1457" spans="3:8" x14ac:dyDescent="0.25">
      <c r="C1457" t="str">
        <f>'RES TECH'!M1456</f>
        <v>RESAPALONewSHGHP3ELC24</v>
      </c>
      <c r="G1457" s="4">
        <f>IF(SUMIFS('RES TECH'!N:N,'RES TECH'!M:M,C1457)&gt;0,1,0)</f>
        <v>1</v>
      </c>
      <c r="H1457" s="4">
        <f t="shared" si="22"/>
        <v>0</v>
      </c>
    </row>
    <row r="1458" spans="3:8" x14ac:dyDescent="0.25">
      <c r="C1458" t="str">
        <f>'RES TECH'!M1457</f>
        <v>RESAPALONewSHGHP4ELC20</v>
      </c>
      <c r="G1458" s="4">
        <f>IF(SUMIFS('RES TECH'!N:N,'RES TECH'!M:M,C1458)&gt;0,1,0)</f>
        <v>1</v>
      </c>
      <c r="H1458" s="4">
        <f t="shared" si="22"/>
        <v>0</v>
      </c>
    </row>
    <row r="1459" spans="3:8" x14ac:dyDescent="0.25">
      <c r="C1459" t="str">
        <f>'RES TECH'!M1458</f>
        <v>RESAPALONewSHGHP4ELC20</v>
      </c>
      <c r="G1459" s="4">
        <f>IF(SUMIFS('RES TECH'!N:N,'RES TECH'!M:M,C1459)&gt;0,1,0)</f>
        <v>1</v>
      </c>
      <c r="H1459" s="4">
        <f t="shared" si="22"/>
        <v>0</v>
      </c>
    </row>
    <row r="1460" spans="3:8" x14ac:dyDescent="0.25">
      <c r="C1460" t="str">
        <f>'RES TECH'!M1459</f>
        <v>RESAPALONewSHGHP4ELC22</v>
      </c>
      <c r="G1460" s="4">
        <f>IF(SUMIFS('RES TECH'!N:N,'RES TECH'!M:M,C1460)&gt;0,1,0)</f>
        <v>1</v>
      </c>
      <c r="H1460" s="4">
        <f t="shared" si="22"/>
        <v>0</v>
      </c>
    </row>
    <row r="1461" spans="3:8" x14ac:dyDescent="0.25">
      <c r="C1461" t="str">
        <f>'RES TECH'!M1460</f>
        <v>RESAPALONewSHGHP4ELC23</v>
      </c>
      <c r="G1461" s="4">
        <f>IF(SUMIFS('RES TECH'!N:N,'RES TECH'!M:M,C1461)&gt;0,1,0)</f>
        <v>1</v>
      </c>
      <c r="H1461" s="4">
        <f t="shared" si="22"/>
        <v>0</v>
      </c>
    </row>
    <row r="1462" spans="3:8" x14ac:dyDescent="0.25">
      <c r="C1462" t="str">
        <f>'RES TECH'!M1461</f>
        <v>RESAPALONewSHGHP4ELC24</v>
      </c>
      <c r="G1462" s="4">
        <f>IF(SUMIFS('RES TECH'!N:N,'RES TECH'!M:M,C1462)&gt;0,1,0)</f>
        <v>1</v>
      </c>
      <c r="H1462" s="4">
        <f t="shared" si="22"/>
        <v>0</v>
      </c>
    </row>
    <row r="1463" spans="3:8" x14ac:dyDescent="0.25">
      <c r="C1463" t="str">
        <f>'RES TECH'!M1462</f>
        <v>RESAPALONewSHRAD2ELC20</v>
      </c>
      <c r="G1463" s="4">
        <f>IF(SUMIFS('RES TECH'!N:N,'RES TECH'!M:M,C1463)&gt;0,1,0)</f>
        <v>1</v>
      </c>
      <c r="H1463" s="4">
        <f t="shared" si="22"/>
        <v>0</v>
      </c>
    </row>
    <row r="1464" spans="3:8" x14ac:dyDescent="0.25">
      <c r="C1464" t="str">
        <f>'RES TECH'!M1463</f>
        <v>RESAPALONewSHFUR1NGA20</v>
      </c>
      <c r="G1464" s="4">
        <f>IF(SUMIFS('RES TECH'!N:N,'RES TECH'!M:M,C1464)&gt;0,1,0)</f>
        <v>1</v>
      </c>
      <c r="H1464" s="4">
        <f t="shared" si="22"/>
        <v>0</v>
      </c>
    </row>
    <row r="1465" spans="3:8" x14ac:dyDescent="0.25">
      <c r="C1465" t="str">
        <f>'RES TECH'!M1464</f>
        <v>RESAPALONewSHFUR2NGA20</v>
      </c>
      <c r="G1465" s="4">
        <f>IF(SUMIFS('RES TECH'!N:N,'RES TECH'!M:M,C1465)&gt;0,1,0)</f>
        <v>1</v>
      </c>
      <c r="H1465" s="4">
        <f t="shared" si="22"/>
        <v>0</v>
      </c>
    </row>
    <row r="1466" spans="3:8" x14ac:dyDescent="0.25">
      <c r="C1466" t="str">
        <f>'RES TECH'!M1465</f>
        <v>RESAPALONewSHFUR2NGA20</v>
      </c>
      <c r="G1466" s="4">
        <f>IF(SUMIFS('RES TECH'!N:N,'RES TECH'!M:M,C1466)&gt;0,1,0)</f>
        <v>1</v>
      </c>
      <c r="H1466" s="4">
        <f t="shared" si="22"/>
        <v>0</v>
      </c>
    </row>
    <row r="1467" spans="3:8" x14ac:dyDescent="0.25">
      <c r="C1467" t="str">
        <f>'RES TECH'!M1466</f>
        <v>RESAPALONewSHFUR3NGA20</v>
      </c>
      <c r="G1467" s="4">
        <f>IF(SUMIFS('RES TECH'!N:N,'RES TECH'!M:M,C1467)&gt;0,1,0)</f>
        <v>1</v>
      </c>
      <c r="H1467" s="4">
        <f t="shared" si="22"/>
        <v>0</v>
      </c>
    </row>
    <row r="1468" spans="3:8" x14ac:dyDescent="0.25">
      <c r="C1468" t="str">
        <f>'RES TECH'!M1467</f>
        <v>RESAPALONewSHFUR3NGA22</v>
      </c>
      <c r="G1468" s="4">
        <f>IF(SUMIFS('RES TECH'!N:N,'RES TECH'!M:M,C1468)&gt;0,1,0)</f>
        <v>1</v>
      </c>
      <c r="H1468" s="4">
        <f t="shared" si="22"/>
        <v>0</v>
      </c>
    </row>
    <row r="1469" spans="3:8" x14ac:dyDescent="0.25">
      <c r="C1469" t="str">
        <f>'RES TECH'!M1468</f>
        <v>RESAPALONewSHFUR4NGA20</v>
      </c>
      <c r="G1469" s="4">
        <f>IF(SUMIFS('RES TECH'!N:N,'RES TECH'!M:M,C1469)&gt;0,1,0)</f>
        <v>1</v>
      </c>
      <c r="H1469" s="4">
        <f t="shared" si="22"/>
        <v>0</v>
      </c>
    </row>
    <row r="1470" spans="3:8" x14ac:dyDescent="0.25">
      <c r="C1470" t="str">
        <f>'RES TECH'!M1469</f>
        <v>RESAPALONewSHFUR4NGA22</v>
      </c>
      <c r="G1470" s="4">
        <f>IF(SUMIFS('RES TECH'!N:N,'RES TECH'!M:M,C1470)&gt;0,1,0)</f>
        <v>1</v>
      </c>
      <c r="H1470" s="4">
        <f t="shared" si="22"/>
        <v>0</v>
      </c>
    </row>
    <row r="1471" spans="3:8" x14ac:dyDescent="0.25">
      <c r="C1471" t="str">
        <f>'RES TECH'!M1470</f>
        <v>RESAPALONewSHRAD1NGA20</v>
      </c>
      <c r="G1471" s="4">
        <f>IF(SUMIFS('RES TECH'!N:N,'RES TECH'!M:M,C1471)&gt;0,1,0)</f>
        <v>1</v>
      </c>
      <c r="H1471" s="4">
        <f t="shared" si="22"/>
        <v>0</v>
      </c>
    </row>
    <row r="1472" spans="3:8" x14ac:dyDescent="0.25">
      <c r="C1472" t="str">
        <f>'RES TECH'!M1471</f>
        <v>RESAPALONewSHRAD1NGA21</v>
      </c>
      <c r="G1472" s="4">
        <f>IF(SUMIFS('RES TECH'!N:N,'RES TECH'!M:M,C1472)&gt;0,1,0)</f>
        <v>1</v>
      </c>
      <c r="H1472" s="4">
        <f t="shared" si="22"/>
        <v>0</v>
      </c>
    </row>
    <row r="1473" spans="3:8" x14ac:dyDescent="0.25">
      <c r="C1473" t="str">
        <f>'RES TECH'!M1472</f>
        <v>RESAPALONewSHRAD2NGA20</v>
      </c>
      <c r="G1473" s="4">
        <f>IF(SUMIFS('RES TECH'!N:N,'RES TECH'!M:M,C1473)&gt;0,1,0)</f>
        <v>1</v>
      </c>
      <c r="H1473" s="4">
        <f t="shared" si="22"/>
        <v>0</v>
      </c>
    </row>
    <row r="1474" spans="3:8" x14ac:dyDescent="0.25">
      <c r="C1474" t="str">
        <f>'RES TECH'!M1473</f>
        <v>RESAPALONewSHRAD2NGA20</v>
      </c>
      <c r="G1474" s="4">
        <f>IF(SUMIFS('RES TECH'!N:N,'RES TECH'!M:M,C1474)&gt;0,1,0)</f>
        <v>1</v>
      </c>
      <c r="H1474" s="4">
        <f t="shared" si="22"/>
        <v>0</v>
      </c>
    </row>
    <row r="1475" spans="3:8" x14ac:dyDescent="0.25">
      <c r="C1475" t="str">
        <f>'RES TECH'!M1474</f>
        <v>RESAPALONewSHRAD3NGA20</v>
      </c>
      <c r="G1475" s="4">
        <f>IF(SUMIFS('RES TECH'!N:N,'RES TECH'!M:M,C1475)&gt;0,1,0)</f>
        <v>1</v>
      </c>
      <c r="H1475" s="4">
        <f t="shared" si="22"/>
        <v>0</v>
      </c>
    </row>
    <row r="1476" spans="3:8" x14ac:dyDescent="0.25">
      <c r="C1476" t="str">
        <f>'RES TECH'!M1475</f>
        <v>RESAPALONewSHRAD4NGA20</v>
      </c>
      <c r="G1476" s="4">
        <f>IF(SUMIFS('RES TECH'!N:N,'RES TECH'!M:M,C1476)&gt;0,1,0)</f>
        <v>1</v>
      </c>
      <c r="H1476" s="4">
        <f t="shared" si="22"/>
        <v>0</v>
      </c>
    </row>
    <row r="1477" spans="3:8" x14ac:dyDescent="0.25">
      <c r="C1477" t="str">
        <f>'RES TECH'!M1476</f>
        <v>RESAPALONewSHRAD4NGA22</v>
      </c>
      <c r="G1477" s="4">
        <f>IF(SUMIFS('RES TECH'!N:N,'RES TECH'!M:M,C1477)&gt;0,1,0)</f>
        <v>1</v>
      </c>
      <c r="H1477" s="4">
        <f t="shared" ref="H1477:H1540" si="23">IF(C1477="","",IF(C1477="*","*",0))</f>
        <v>0</v>
      </c>
    </row>
    <row r="1478" spans="3:8" x14ac:dyDescent="0.25">
      <c r="C1478" t="str">
        <f>'RES TECH'!M1477</f>
        <v>RESAPALONewSHFUR1KER20</v>
      </c>
      <c r="G1478" s="4">
        <f>IF(SUMIFS('RES TECH'!N:N,'RES TECH'!M:M,C1478)&gt;0,1,0)</f>
        <v>1</v>
      </c>
      <c r="H1478" s="4">
        <f t="shared" si="23"/>
        <v>0</v>
      </c>
    </row>
    <row r="1479" spans="3:8" x14ac:dyDescent="0.25">
      <c r="C1479" t="str">
        <f>'RES TECH'!M1478</f>
        <v>RESAPALONewSHFUR2KER20</v>
      </c>
      <c r="G1479" s="4">
        <f>IF(SUMIFS('RES TECH'!N:N,'RES TECH'!M:M,C1479)&gt;0,1,0)</f>
        <v>1</v>
      </c>
      <c r="H1479" s="4">
        <f t="shared" si="23"/>
        <v>0</v>
      </c>
    </row>
    <row r="1480" spans="3:8" x14ac:dyDescent="0.25">
      <c r="C1480" t="str">
        <f>'RES TECH'!M1479</f>
        <v>RESAPALONewSHFUR2KER20</v>
      </c>
      <c r="G1480" s="4">
        <f>IF(SUMIFS('RES TECH'!N:N,'RES TECH'!M:M,C1480)&gt;0,1,0)</f>
        <v>1</v>
      </c>
      <c r="H1480" s="4">
        <f t="shared" si="23"/>
        <v>0</v>
      </c>
    </row>
    <row r="1481" spans="3:8" x14ac:dyDescent="0.25">
      <c r="C1481" t="str">
        <f>'RES TECH'!M1480</f>
        <v>RESAPALONewSHFUR3KER20</v>
      </c>
      <c r="G1481" s="4">
        <f>IF(SUMIFS('RES TECH'!N:N,'RES TECH'!M:M,C1481)&gt;0,1,0)</f>
        <v>1</v>
      </c>
      <c r="H1481" s="4">
        <f t="shared" si="23"/>
        <v>0</v>
      </c>
    </row>
    <row r="1482" spans="3:8" x14ac:dyDescent="0.25">
      <c r="C1482" t="str">
        <f>'RES TECH'!M1481</f>
        <v>RESAPALONewSHFUR4KER20</v>
      </c>
      <c r="G1482" s="4">
        <f>IF(SUMIFS('RES TECH'!N:N,'RES TECH'!M:M,C1482)&gt;0,1,0)</f>
        <v>1</v>
      </c>
      <c r="H1482" s="4">
        <f t="shared" si="23"/>
        <v>0</v>
      </c>
    </row>
    <row r="1483" spans="3:8" x14ac:dyDescent="0.25">
      <c r="C1483" t="str">
        <f>'RES TECH'!M1482</f>
        <v>RESAPALONewSHFUR4KER20</v>
      </c>
      <c r="G1483" s="4">
        <f>IF(SUMIFS('RES TECH'!N:N,'RES TECH'!M:M,C1483)&gt;0,1,0)</f>
        <v>1</v>
      </c>
      <c r="H1483" s="4">
        <f t="shared" si="23"/>
        <v>0</v>
      </c>
    </row>
    <row r="1484" spans="3:8" x14ac:dyDescent="0.25">
      <c r="C1484" t="str">
        <f>'RES TECH'!M1483</f>
        <v>RESAPALONewSHFUR1LPG20</v>
      </c>
      <c r="G1484" s="4">
        <f>IF(SUMIFS('RES TECH'!N:N,'RES TECH'!M:M,C1484)&gt;0,1,0)</f>
        <v>1</v>
      </c>
      <c r="H1484" s="4">
        <f t="shared" si="23"/>
        <v>0</v>
      </c>
    </row>
    <row r="1485" spans="3:8" x14ac:dyDescent="0.25">
      <c r="C1485" t="str">
        <f>'RES TECH'!M1484</f>
        <v>RESAPALONewSHFUR2LPG20</v>
      </c>
      <c r="G1485" s="4">
        <f>IF(SUMIFS('RES TECH'!N:N,'RES TECH'!M:M,C1485)&gt;0,1,0)</f>
        <v>1</v>
      </c>
      <c r="H1485" s="4">
        <f t="shared" si="23"/>
        <v>0</v>
      </c>
    </row>
    <row r="1486" spans="3:8" x14ac:dyDescent="0.25">
      <c r="C1486" t="str">
        <f>'RES TECH'!M1485</f>
        <v>RESAPALONewSHFUR2LPG20</v>
      </c>
      <c r="G1486" s="4">
        <f>IF(SUMIFS('RES TECH'!N:N,'RES TECH'!M:M,C1486)&gt;0,1,0)</f>
        <v>1</v>
      </c>
      <c r="H1486" s="4">
        <f t="shared" si="23"/>
        <v>0</v>
      </c>
    </row>
    <row r="1487" spans="3:8" x14ac:dyDescent="0.25">
      <c r="C1487" t="str">
        <f>'RES TECH'!M1486</f>
        <v>RESAPALONewSHFUR3LPG20</v>
      </c>
      <c r="G1487" s="4">
        <f>IF(SUMIFS('RES TECH'!N:N,'RES TECH'!M:M,C1487)&gt;0,1,0)</f>
        <v>1</v>
      </c>
      <c r="H1487" s="4">
        <f t="shared" si="23"/>
        <v>0</v>
      </c>
    </row>
    <row r="1488" spans="3:8" x14ac:dyDescent="0.25">
      <c r="C1488" t="str">
        <f>'RES TECH'!M1487</f>
        <v>RESAPALONewSHFUR3LPG22</v>
      </c>
      <c r="G1488" s="4">
        <f>IF(SUMIFS('RES TECH'!N:N,'RES TECH'!M:M,C1488)&gt;0,1,0)</f>
        <v>1</v>
      </c>
      <c r="H1488" s="4">
        <f t="shared" si="23"/>
        <v>0</v>
      </c>
    </row>
    <row r="1489" spans="3:8" x14ac:dyDescent="0.25">
      <c r="C1489" t="str">
        <f>'RES TECH'!M1488</f>
        <v>RESAPALONewSHFUR4LPG20</v>
      </c>
      <c r="G1489" s="4">
        <f>IF(SUMIFS('RES TECH'!N:N,'RES TECH'!M:M,C1489)&gt;0,1,0)</f>
        <v>1</v>
      </c>
      <c r="H1489" s="4">
        <f t="shared" si="23"/>
        <v>0</v>
      </c>
    </row>
    <row r="1490" spans="3:8" x14ac:dyDescent="0.25">
      <c r="C1490" t="str">
        <f>'RES TECH'!M1489</f>
        <v>RESAPALONewSHFUR4LPG22</v>
      </c>
      <c r="G1490" s="4">
        <f>IF(SUMIFS('RES TECH'!N:N,'RES TECH'!M:M,C1490)&gt;0,1,0)</f>
        <v>1</v>
      </c>
      <c r="H1490" s="4">
        <f t="shared" si="23"/>
        <v>0</v>
      </c>
    </row>
    <row r="1491" spans="3:8" x14ac:dyDescent="0.25">
      <c r="C1491" t="str">
        <f>'RES TECH'!M1490</f>
        <v>RESAPALONewSHFUR1FOI20</v>
      </c>
      <c r="G1491" s="4">
        <f>IF(SUMIFS('RES TECH'!N:N,'RES TECH'!M:M,C1491)&gt;0,1,0)</f>
        <v>1</v>
      </c>
      <c r="H1491" s="4">
        <f t="shared" si="23"/>
        <v>0</v>
      </c>
    </row>
    <row r="1492" spans="3:8" x14ac:dyDescent="0.25">
      <c r="C1492" t="str">
        <f>'RES TECH'!M1491</f>
        <v>RESAPALONewSHFUR2FOI20</v>
      </c>
      <c r="G1492" s="4">
        <f>IF(SUMIFS('RES TECH'!N:N,'RES TECH'!M:M,C1492)&gt;0,1,0)</f>
        <v>1</v>
      </c>
      <c r="H1492" s="4">
        <f t="shared" si="23"/>
        <v>0</v>
      </c>
    </row>
    <row r="1493" spans="3:8" x14ac:dyDescent="0.25">
      <c r="C1493" t="str">
        <f>'RES TECH'!M1492</f>
        <v>RESAPALONewSHFUR2FOI22</v>
      </c>
      <c r="G1493" s="4">
        <f>IF(SUMIFS('RES TECH'!N:N,'RES TECH'!M:M,C1493)&gt;0,1,0)</f>
        <v>1</v>
      </c>
      <c r="H1493" s="4">
        <f t="shared" si="23"/>
        <v>0</v>
      </c>
    </row>
    <row r="1494" spans="3:8" x14ac:dyDescent="0.25">
      <c r="C1494" t="str">
        <f>'RES TECH'!M1493</f>
        <v>RESAPALONewSHFUR3FOI20</v>
      </c>
      <c r="G1494" s="4">
        <f>IF(SUMIFS('RES TECH'!N:N,'RES TECH'!M:M,C1494)&gt;0,1,0)</f>
        <v>1</v>
      </c>
      <c r="H1494" s="4">
        <f t="shared" si="23"/>
        <v>0</v>
      </c>
    </row>
    <row r="1495" spans="3:8" x14ac:dyDescent="0.25">
      <c r="C1495" t="str">
        <f>'RES TECH'!M1494</f>
        <v>RESAPALONewSHFUR4FOI20</v>
      </c>
      <c r="G1495" s="4">
        <f>IF(SUMIFS('RES TECH'!N:N,'RES TECH'!M:M,C1495)&gt;0,1,0)</f>
        <v>1</v>
      </c>
      <c r="H1495" s="4">
        <f t="shared" si="23"/>
        <v>0</v>
      </c>
    </row>
    <row r="1496" spans="3:8" x14ac:dyDescent="0.25">
      <c r="C1496" t="str">
        <f>'RES TECH'!M1495</f>
        <v>RESAPALONewSHFUR4FOI22</v>
      </c>
      <c r="G1496" s="4">
        <f>IF(SUMIFS('RES TECH'!N:N,'RES TECH'!M:M,C1496)&gt;0,1,0)</f>
        <v>1</v>
      </c>
      <c r="H1496" s="4">
        <f t="shared" si="23"/>
        <v>0</v>
      </c>
    </row>
    <row r="1497" spans="3:8" x14ac:dyDescent="0.25">
      <c r="C1497" t="str">
        <f>'RES TECH'!M1496</f>
        <v>RESAPALONewSHRAD1FOI20</v>
      </c>
      <c r="G1497" s="4">
        <f>IF(SUMIFS('RES TECH'!N:N,'RES TECH'!M:M,C1497)&gt;0,1,0)</f>
        <v>1</v>
      </c>
      <c r="H1497" s="4">
        <f t="shared" si="23"/>
        <v>0</v>
      </c>
    </row>
    <row r="1498" spans="3:8" x14ac:dyDescent="0.25">
      <c r="C1498" t="str">
        <f>'RES TECH'!M1497</f>
        <v>RESAPALONewSHRAD1FOI22</v>
      </c>
      <c r="G1498" s="4">
        <f>IF(SUMIFS('RES TECH'!N:N,'RES TECH'!M:M,C1498)&gt;0,1,0)</f>
        <v>1</v>
      </c>
      <c r="H1498" s="4">
        <f t="shared" si="23"/>
        <v>0</v>
      </c>
    </row>
    <row r="1499" spans="3:8" x14ac:dyDescent="0.25">
      <c r="C1499" t="str">
        <f>'RES TECH'!M1498</f>
        <v>RESAPALONewSHRAD2FOI20</v>
      </c>
      <c r="G1499" s="4">
        <f>IF(SUMIFS('RES TECH'!N:N,'RES TECH'!M:M,C1499)&gt;0,1,0)</f>
        <v>1</v>
      </c>
      <c r="H1499" s="4">
        <f t="shared" si="23"/>
        <v>0</v>
      </c>
    </row>
    <row r="1500" spans="3:8" x14ac:dyDescent="0.25">
      <c r="C1500" t="str">
        <f>'RES TECH'!M1499</f>
        <v>RESAPALONewSHRAD2FOI22</v>
      </c>
      <c r="G1500" s="4">
        <f>IF(SUMIFS('RES TECH'!N:N,'RES TECH'!M:M,C1500)&gt;0,1,0)</f>
        <v>1</v>
      </c>
      <c r="H1500" s="4">
        <f t="shared" si="23"/>
        <v>0</v>
      </c>
    </row>
    <row r="1501" spans="3:8" x14ac:dyDescent="0.25">
      <c r="C1501" t="str">
        <f>'RES TECH'!M1500</f>
        <v>RESAPALONewSHRAD3FOI20</v>
      </c>
      <c r="G1501" s="4">
        <f>IF(SUMIFS('RES TECH'!N:N,'RES TECH'!M:M,C1501)&gt;0,1,0)</f>
        <v>1</v>
      </c>
      <c r="H1501" s="4">
        <f t="shared" si="23"/>
        <v>0</v>
      </c>
    </row>
    <row r="1502" spans="3:8" x14ac:dyDescent="0.25">
      <c r="C1502" t="str">
        <f>'RES TECH'!M1501</f>
        <v>RESAPALONewSHRAD4FOI20</v>
      </c>
      <c r="G1502" s="4">
        <f>IF(SUMIFS('RES TECH'!N:N,'RES TECH'!M:M,C1502)&gt;0,1,0)</f>
        <v>1</v>
      </c>
      <c r="H1502" s="4">
        <f t="shared" si="23"/>
        <v>0</v>
      </c>
    </row>
    <row r="1503" spans="3:8" x14ac:dyDescent="0.25">
      <c r="C1503" t="str">
        <f>'RES TECH'!M1502</f>
        <v>RESAPALONewSCAHP2NGA20</v>
      </c>
      <c r="G1503" s="4">
        <f>IF(SUMIFS('RES TECH'!N:N,'RES TECH'!M:M,C1503)&gt;0,1,0)</f>
        <v>1</v>
      </c>
      <c r="H1503" s="4">
        <f t="shared" si="23"/>
        <v>0</v>
      </c>
    </row>
    <row r="1504" spans="3:8" x14ac:dyDescent="0.25">
      <c r="C1504" t="str">
        <f>'RES TECH'!M1503</f>
        <v>RESAPALONewSCAHP2NGA20</v>
      </c>
      <c r="G1504" s="4">
        <f>IF(SUMIFS('RES TECH'!N:N,'RES TECH'!M:M,C1504)&gt;0,1,0)</f>
        <v>1</v>
      </c>
      <c r="H1504" s="4">
        <f t="shared" si="23"/>
        <v>0</v>
      </c>
    </row>
    <row r="1505" spans="3:8" x14ac:dyDescent="0.25">
      <c r="C1505" t="str">
        <f>'RES TECH'!M1504</f>
        <v>RESAPALONewSCAHP1ELC20</v>
      </c>
      <c r="G1505" s="4">
        <f>IF(SUMIFS('RES TECH'!N:N,'RES TECH'!M:M,C1505)&gt;0,1,0)</f>
        <v>1</v>
      </c>
      <c r="H1505" s="4">
        <f t="shared" si="23"/>
        <v>0</v>
      </c>
    </row>
    <row r="1506" spans="3:8" x14ac:dyDescent="0.25">
      <c r="C1506" t="str">
        <f>'RES TECH'!M1505</f>
        <v>RESAPALONewSCAHP1ELC23</v>
      </c>
      <c r="G1506" s="4">
        <f>IF(SUMIFS('RES TECH'!N:N,'RES TECH'!M:M,C1506)&gt;0,1,0)</f>
        <v>1</v>
      </c>
      <c r="H1506" s="4">
        <f t="shared" si="23"/>
        <v>0</v>
      </c>
    </row>
    <row r="1507" spans="3:8" x14ac:dyDescent="0.25">
      <c r="C1507" t="str">
        <f>'RES TECH'!M1506</f>
        <v>RESAPALONewSCAHP2ELC20</v>
      </c>
      <c r="G1507" s="4">
        <f>IF(SUMIFS('RES TECH'!N:N,'RES TECH'!M:M,C1507)&gt;0,1,0)</f>
        <v>1</v>
      </c>
      <c r="H1507" s="4">
        <f t="shared" si="23"/>
        <v>0</v>
      </c>
    </row>
    <row r="1508" spans="3:8" x14ac:dyDescent="0.25">
      <c r="C1508" t="str">
        <f>'RES TECH'!M1507</f>
        <v>RESAPALONewSCAHP2ELC23</v>
      </c>
      <c r="G1508" s="4">
        <f>IF(SUMIFS('RES TECH'!N:N,'RES TECH'!M:M,C1508)&gt;0,1,0)</f>
        <v>1</v>
      </c>
      <c r="H1508" s="4">
        <f t="shared" si="23"/>
        <v>0</v>
      </c>
    </row>
    <row r="1509" spans="3:8" x14ac:dyDescent="0.25">
      <c r="C1509" t="str">
        <f>'RES TECH'!M1508</f>
        <v>RESAPALONewSCAHP3ELC20</v>
      </c>
      <c r="G1509" s="4">
        <f>IF(SUMIFS('RES TECH'!N:N,'RES TECH'!M:M,C1509)&gt;0,1,0)</f>
        <v>1</v>
      </c>
      <c r="H1509" s="4">
        <f t="shared" si="23"/>
        <v>0</v>
      </c>
    </row>
    <row r="1510" spans="3:8" x14ac:dyDescent="0.25">
      <c r="C1510" t="str">
        <f>'RES TECH'!M1509</f>
        <v>RESAPALONewSCAHP3ELC22</v>
      </c>
      <c r="G1510" s="4">
        <f>IF(SUMIFS('RES TECH'!N:N,'RES TECH'!M:M,C1510)&gt;0,1,0)</f>
        <v>1</v>
      </c>
      <c r="H1510" s="4">
        <f t="shared" si="23"/>
        <v>0</v>
      </c>
    </row>
    <row r="1511" spans="3:8" x14ac:dyDescent="0.25">
      <c r="C1511" t="str">
        <f>'RES TECH'!M1510</f>
        <v>RESAPALONewSCAHP3ELC23</v>
      </c>
      <c r="G1511" s="4">
        <f>IF(SUMIFS('RES TECH'!N:N,'RES TECH'!M:M,C1511)&gt;0,1,0)</f>
        <v>1</v>
      </c>
      <c r="H1511" s="4">
        <f t="shared" si="23"/>
        <v>0</v>
      </c>
    </row>
    <row r="1512" spans="3:8" x14ac:dyDescent="0.25">
      <c r="C1512" t="str">
        <f>'RES TECH'!M1511</f>
        <v>RESAPALONewSCAHP4ELC20</v>
      </c>
      <c r="G1512" s="4">
        <f>IF(SUMIFS('RES TECH'!N:N,'RES TECH'!M:M,C1512)&gt;0,1,0)</f>
        <v>1</v>
      </c>
      <c r="H1512" s="4">
        <f t="shared" si="23"/>
        <v>0</v>
      </c>
    </row>
    <row r="1513" spans="3:8" x14ac:dyDescent="0.25">
      <c r="C1513" t="str">
        <f>'RES TECH'!M1512</f>
        <v>RESAPALONewSCAHP4ELC22</v>
      </c>
      <c r="G1513" s="4">
        <f>IF(SUMIFS('RES TECH'!N:N,'RES TECH'!M:M,C1513)&gt;0,1,0)</f>
        <v>1</v>
      </c>
      <c r="H1513" s="4">
        <f t="shared" si="23"/>
        <v>0</v>
      </c>
    </row>
    <row r="1514" spans="3:8" x14ac:dyDescent="0.25">
      <c r="C1514" t="str">
        <f>'RES TECH'!M1513</f>
        <v>RESAPALONewSCGHP1ELC20</v>
      </c>
      <c r="G1514" s="4">
        <f>IF(SUMIFS('RES TECH'!N:N,'RES TECH'!M:M,C1514)&gt;0,1,0)</f>
        <v>1</v>
      </c>
      <c r="H1514" s="4">
        <f t="shared" si="23"/>
        <v>0</v>
      </c>
    </row>
    <row r="1515" spans="3:8" x14ac:dyDescent="0.25">
      <c r="C1515" t="str">
        <f>'RES TECH'!M1514</f>
        <v>RESAPALONewSCGHP2ELC20</v>
      </c>
      <c r="G1515" s="4">
        <f>IF(SUMIFS('RES TECH'!N:N,'RES TECH'!M:M,C1515)&gt;0,1,0)</f>
        <v>1</v>
      </c>
      <c r="H1515" s="4">
        <f t="shared" si="23"/>
        <v>0</v>
      </c>
    </row>
    <row r="1516" spans="3:8" x14ac:dyDescent="0.25">
      <c r="C1516" t="str">
        <f>'RES TECH'!M1515</f>
        <v>RESAPALONewSCGHP3ELC20</v>
      </c>
      <c r="G1516" s="4">
        <f>IF(SUMIFS('RES TECH'!N:N,'RES TECH'!M:M,C1516)&gt;0,1,0)</f>
        <v>1</v>
      </c>
      <c r="H1516" s="4">
        <f t="shared" si="23"/>
        <v>0</v>
      </c>
    </row>
    <row r="1517" spans="3:8" x14ac:dyDescent="0.25">
      <c r="C1517" t="str">
        <f>'RES TECH'!M1516</f>
        <v>RESAPALONewSCGHP3ELC20</v>
      </c>
      <c r="G1517" s="4">
        <f>IF(SUMIFS('RES TECH'!N:N,'RES TECH'!M:M,C1517)&gt;0,1,0)</f>
        <v>1</v>
      </c>
      <c r="H1517" s="4">
        <f t="shared" si="23"/>
        <v>0</v>
      </c>
    </row>
    <row r="1518" spans="3:8" x14ac:dyDescent="0.25">
      <c r="C1518" t="str">
        <f>'RES TECH'!M1517</f>
        <v>RESAPALONewSCGHP3ELC22</v>
      </c>
      <c r="G1518" s="4">
        <f>IF(SUMIFS('RES TECH'!N:N,'RES TECH'!M:M,C1518)&gt;0,1,0)</f>
        <v>1</v>
      </c>
      <c r="H1518" s="4">
        <f t="shared" si="23"/>
        <v>0</v>
      </c>
    </row>
    <row r="1519" spans="3:8" x14ac:dyDescent="0.25">
      <c r="C1519" t="str">
        <f>'RES TECH'!M1518</f>
        <v>RESAPALONewSCGHP3ELC23</v>
      </c>
      <c r="G1519" s="4">
        <f>IF(SUMIFS('RES TECH'!N:N,'RES TECH'!M:M,C1519)&gt;0,1,0)</f>
        <v>1</v>
      </c>
      <c r="H1519" s="4">
        <f t="shared" si="23"/>
        <v>0</v>
      </c>
    </row>
    <row r="1520" spans="3:8" x14ac:dyDescent="0.25">
      <c r="C1520" t="str">
        <f>'RES TECH'!M1519</f>
        <v>RESAPALONewSCGHP3ELC24</v>
      </c>
      <c r="G1520" s="4">
        <f>IF(SUMIFS('RES TECH'!N:N,'RES TECH'!M:M,C1520)&gt;0,1,0)</f>
        <v>1</v>
      </c>
      <c r="H1520" s="4">
        <f t="shared" si="23"/>
        <v>0</v>
      </c>
    </row>
    <row r="1521" spans="3:8" x14ac:dyDescent="0.25">
      <c r="C1521" t="str">
        <f>'RES TECH'!M1520</f>
        <v>RESAPALONewSCGHP4ELC20</v>
      </c>
      <c r="G1521" s="4">
        <f>IF(SUMIFS('RES TECH'!N:N,'RES TECH'!M:M,C1521)&gt;0,1,0)</f>
        <v>1</v>
      </c>
      <c r="H1521" s="4">
        <f t="shared" si="23"/>
        <v>0</v>
      </c>
    </row>
    <row r="1522" spans="3:8" x14ac:dyDescent="0.25">
      <c r="C1522" t="str">
        <f>'RES TECH'!M1521</f>
        <v>RESAPALONewSCGHP4ELC20</v>
      </c>
      <c r="G1522" s="4">
        <f>IF(SUMIFS('RES TECH'!N:N,'RES TECH'!M:M,C1522)&gt;0,1,0)</f>
        <v>1</v>
      </c>
      <c r="H1522" s="4">
        <f t="shared" si="23"/>
        <v>0</v>
      </c>
    </row>
    <row r="1523" spans="3:8" x14ac:dyDescent="0.25">
      <c r="C1523" t="str">
        <f>'RES TECH'!M1522</f>
        <v>RESAPALONewSCGHP4ELC22</v>
      </c>
      <c r="G1523" s="4">
        <f>IF(SUMIFS('RES TECH'!N:N,'RES TECH'!M:M,C1523)&gt;0,1,0)</f>
        <v>1</v>
      </c>
      <c r="H1523" s="4">
        <f t="shared" si="23"/>
        <v>0</v>
      </c>
    </row>
    <row r="1524" spans="3:8" x14ac:dyDescent="0.25">
      <c r="C1524" t="str">
        <f>'RES TECH'!M1523</f>
        <v>RESAPALONewSCGHP4ELC23</v>
      </c>
      <c r="G1524" s="4">
        <f>IF(SUMIFS('RES TECH'!N:N,'RES TECH'!M:M,C1524)&gt;0,1,0)</f>
        <v>1</v>
      </c>
      <c r="H1524" s="4">
        <f t="shared" si="23"/>
        <v>0</v>
      </c>
    </row>
    <row r="1525" spans="3:8" x14ac:dyDescent="0.25">
      <c r="C1525" t="str">
        <f>'RES TECH'!M1524</f>
        <v>RESAPALONewSCGHP4ELC24</v>
      </c>
      <c r="G1525" s="4">
        <f>IF(SUMIFS('RES TECH'!N:N,'RES TECH'!M:M,C1525)&gt;0,1,0)</f>
        <v>1</v>
      </c>
      <c r="H1525" s="4">
        <f t="shared" si="23"/>
        <v>0</v>
      </c>
    </row>
    <row r="1526" spans="3:8" x14ac:dyDescent="0.25">
      <c r="C1526" t="str">
        <f>'RES TECH'!M1525</f>
        <v>RESAPALONewSCRAC1ELC20</v>
      </c>
      <c r="G1526" s="4">
        <f>IF(SUMIFS('RES TECH'!N:N,'RES TECH'!M:M,C1526)&gt;0,1,0)</f>
        <v>1</v>
      </c>
      <c r="H1526" s="4">
        <f t="shared" si="23"/>
        <v>0</v>
      </c>
    </row>
    <row r="1527" spans="3:8" x14ac:dyDescent="0.25">
      <c r="C1527" t="str">
        <f>'RES TECH'!M1526</f>
        <v>RESAPALONewSCRAC2ELC20</v>
      </c>
      <c r="G1527" s="4">
        <f>IF(SUMIFS('RES TECH'!N:N,'RES TECH'!M:M,C1527)&gt;0,1,0)</f>
        <v>1</v>
      </c>
      <c r="H1527" s="4">
        <f t="shared" si="23"/>
        <v>0</v>
      </c>
    </row>
    <row r="1528" spans="3:8" x14ac:dyDescent="0.25">
      <c r="C1528" t="str">
        <f>'RES TECH'!M1527</f>
        <v>RESAPALONewSCRAC2ELC30</v>
      </c>
      <c r="G1528" s="4">
        <f>IF(SUMIFS('RES TECH'!N:N,'RES TECH'!M:M,C1528)&gt;0,1,0)</f>
        <v>1</v>
      </c>
      <c r="H1528" s="4">
        <f t="shared" si="23"/>
        <v>0</v>
      </c>
    </row>
    <row r="1529" spans="3:8" x14ac:dyDescent="0.25">
      <c r="C1529" t="str">
        <f>'RES TECH'!M1528</f>
        <v>RESAPALONewSCRAC2ELC40</v>
      </c>
      <c r="G1529" s="4">
        <f>IF(SUMIFS('RES TECH'!N:N,'RES TECH'!M:M,C1529)&gt;0,1,0)</f>
        <v>1</v>
      </c>
      <c r="H1529" s="4">
        <f t="shared" si="23"/>
        <v>0</v>
      </c>
    </row>
    <row r="1530" spans="3:8" x14ac:dyDescent="0.25">
      <c r="C1530" t="str">
        <f>'RES TECH'!M1529</f>
        <v>RESAPALONewSCRAC3ELC20</v>
      </c>
      <c r="G1530" s="4">
        <f>IF(SUMIFS('RES TECH'!N:N,'RES TECH'!M:M,C1530)&gt;0,1,0)</f>
        <v>1</v>
      </c>
      <c r="H1530" s="4">
        <f t="shared" si="23"/>
        <v>0</v>
      </c>
    </row>
    <row r="1531" spans="3:8" x14ac:dyDescent="0.25">
      <c r="C1531" t="str">
        <f>'RES TECH'!M1530</f>
        <v>RESAPALONewSCRAC4ELC20</v>
      </c>
      <c r="G1531" s="4">
        <f>IF(SUMIFS('RES TECH'!N:N,'RES TECH'!M:M,C1531)&gt;0,1,0)</f>
        <v>1</v>
      </c>
      <c r="H1531" s="4">
        <f t="shared" si="23"/>
        <v>0</v>
      </c>
    </row>
    <row r="1532" spans="3:8" x14ac:dyDescent="0.25">
      <c r="C1532" t="str">
        <f>'RES TECH'!M1531</f>
        <v>RESAPALONewSCRAC4ELC22</v>
      </c>
      <c r="G1532" s="4">
        <f>IF(SUMIFS('RES TECH'!N:N,'RES TECH'!M:M,C1532)&gt;0,1,0)</f>
        <v>1</v>
      </c>
      <c r="H1532" s="4">
        <f t="shared" si="23"/>
        <v>0</v>
      </c>
    </row>
    <row r="1533" spans="3:8" x14ac:dyDescent="0.25">
      <c r="C1533" t="str">
        <f>'RES TECH'!M1532</f>
        <v>RESAPALONewSCRAC4ELC30</v>
      </c>
      <c r="G1533" s="4">
        <f>IF(SUMIFS('RES TECH'!N:N,'RES TECH'!M:M,C1533)&gt;0,1,0)</f>
        <v>1</v>
      </c>
      <c r="H1533" s="4">
        <f t="shared" si="23"/>
        <v>0</v>
      </c>
    </row>
    <row r="1534" spans="3:8" x14ac:dyDescent="0.25">
      <c r="C1534" t="str">
        <f>'RES TECH'!M1533</f>
        <v>RESAPALONewSCRAC4ELC40</v>
      </c>
      <c r="G1534" s="4">
        <f>IF(SUMIFS('RES TECH'!N:N,'RES TECH'!M:M,C1534)&gt;0,1,0)</f>
        <v>1</v>
      </c>
      <c r="H1534" s="4">
        <f t="shared" si="23"/>
        <v>0</v>
      </c>
    </row>
    <row r="1535" spans="3:8" x14ac:dyDescent="0.25">
      <c r="C1535" t="str">
        <f>'RES TECH'!M1534</f>
        <v>RESAPALONewSCCAC1ELC20</v>
      </c>
      <c r="G1535" s="4">
        <f>IF(SUMIFS('RES TECH'!N:N,'RES TECH'!M:M,C1535)&gt;0,1,0)</f>
        <v>1</v>
      </c>
      <c r="H1535" s="4">
        <f t="shared" si="23"/>
        <v>0</v>
      </c>
    </row>
    <row r="1536" spans="3:8" x14ac:dyDescent="0.25">
      <c r="C1536" t="str">
        <f>'RES TECH'!M1535</f>
        <v>RESAPALONewSCCAC1ELC23</v>
      </c>
      <c r="G1536" s="4">
        <f>IF(SUMIFS('RES TECH'!N:N,'RES TECH'!M:M,C1536)&gt;0,1,0)</f>
        <v>1</v>
      </c>
      <c r="H1536" s="4">
        <f t="shared" si="23"/>
        <v>0</v>
      </c>
    </row>
    <row r="1537" spans="3:8" x14ac:dyDescent="0.25">
      <c r="C1537" t="str">
        <f>'RES TECH'!M1536</f>
        <v>RESAPALONewSCCAC2ELC20</v>
      </c>
      <c r="G1537" s="4">
        <f>IF(SUMIFS('RES TECH'!N:N,'RES TECH'!M:M,C1537)&gt;0,1,0)</f>
        <v>1</v>
      </c>
      <c r="H1537" s="4">
        <f t="shared" si="23"/>
        <v>0</v>
      </c>
    </row>
    <row r="1538" spans="3:8" x14ac:dyDescent="0.25">
      <c r="C1538" t="str">
        <f>'RES TECH'!M1537</f>
        <v>RESAPALONewSCCAC2ELC23</v>
      </c>
      <c r="G1538" s="4">
        <f>IF(SUMIFS('RES TECH'!N:N,'RES TECH'!M:M,C1538)&gt;0,1,0)</f>
        <v>1</v>
      </c>
      <c r="H1538" s="4">
        <f t="shared" si="23"/>
        <v>0</v>
      </c>
    </row>
    <row r="1539" spans="3:8" x14ac:dyDescent="0.25">
      <c r="C1539" t="str">
        <f>'RES TECH'!M1538</f>
        <v>RESAPALONewSCCAC3ELC20</v>
      </c>
      <c r="G1539" s="4">
        <f>IF(SUMIFS('RES TECH'!N:N,'RES TECH'!M:M,C1539)&gt;0,1,0)</f>
        <v>1</v>
      </c>
      <c r="H1539" s="4">
        <f t="shared" si="23"/>
        <v>0</v>
      </c>
    </row>
    <row r="1540" spans="3:8" x14ac:dyDescent="0.25">
      <c r="C1540" t="str">
        <f>'RES TECH'!M1539</f>
        <v>RESAPALONewSCCAC3ELC23</v>
      </c>
      <c r="G1540" s="4">
        <f>IF(SUMIFS('RES TECH'!N:N,'RES TECH'!M:M,C1540)&gt;0,1,0)</f>
        <v>1</v>
      </c>
      <c r="H1540" s="4">
        <f t="shared" si="23"/>
        <v>0</v>
      </c>
    </row>
    <row r="1541" spans="3:8" x14ac:dyDescent="0.25">
      <c r="C1541" t="str">
        <f>'RES TECH'!M1540</f>
        <v>RESAPALONewSCCAC4ELC20</v>
      </c>
      <c r="G1541" s="4">
        <f>IF(SUMIFS('RES TECH'!N:N,'RES TECH'!M:M,C1541)&gt;0,1,0)</f>
        <v>1</v>
      </c>
      <c r="H1541" s="4">
        <f t="shared" ref="H1541:H1604" si="24">IF(C1541="","",IF(C1541="*","*",0))</f>
        <v>0</v>
      </c>
    </row>
    <row r="1542" spans="3:8" x14ac:dyDescent="0.25">
      <c r="C1542" t="str">
        <f>'RES TECH'!M1541</f>
        <v>RESAPALONewSCCAC4ELC22</v>
      </c>
      <c r="G1542" s="4">
        <f>IF(SUMIFS('RES TECH'!N:N,'RES TECH'!M:M,C1542)&gt;0,1,0)</f>
        <v>1</v>
      </c>
      <c r="H1542" s="4">
        <f t="shared" si="24"/>
        <v>0</v>
      </c>
    </row>
    <row r="1543" spans="3:8" x14ac:dyDescent="0.25">
      <c r="C1543" t="str">
        <f>'RES TECH'!M1542</f>
        <v>RESAPALONewRETF1ELC20</v>
      </c>
      <c r="G1543" s="4">
        <f>IF(SUMIFS('RES TECH'!N:N,'RES TECH'!M:M,C1543)&gt;0,1,0)</f>
        <v>1</v>
      </c>
      <c r="H1543" s="4">
        <f t="shared" si="24"/>
        <v>0</v>
      </c>
    </row>
    <row r="1544" spans="3:8" x14ac:dyDescent="0.25">
      <c r="C1544" t="str">
        <f>'RES TECH'!M1543</f>
        <v>RESAPALONewRETF2ELC20</v>
      </c>
      <c r="G1544" s="4">
        <f>IF(SUMIFS('RES TECH'!N:N,'RES TECH'!M:M,C1544)&gt;0,1,0)</f>
        <v>1</v>
      </c>
      <c r="H1544" s="4">
        <f t="shared" si="24"/>
        <v>0</v>
      </c>
    </row>
    <row r="1545" spans="3:8" x14ac:dyDescent="0.25">
      <c r="C1545" t="str">
        <f>'RES TECH'!M1544</f>
        <v>RESAPALONewRETF3ELC20</v>
      </c>
      <c r="G1545" s="4">
        <f>IF(SUMIFS('RES TECH'!N:N,'RES TECH'!M:M,C1545)&gt;0,1,0)</f>
        <v>1</v>
      </c>
      <c r="H1545" s="4">
        <f t="shared" si="24"/>
        <v>0</v>
      </c>
    </row>
    <row r="1546" spans="3:8" x14ac:dyDescent="0.25">
      <c r="C1546" t="str">
        <f>'RES TECH'!M1545</f>
        <v>RESAPALONewRETF4ELC20</v>
      </c>
      <c r="G1546" s="4">
        <f>IF(SUMIFS('RES TECH'!N:N,'RES TECH'!M:M,C1546)&gt;0,1,0)</f>
        <v>1</v>
      </c>
      <c r="H1546" s="4">
        <f t="shared" si="24"/>
        <v>0</v>
      </c>
    </row>
    <row r="1547" spans="3:8" x14ac:dyDescent="0.25">
      <c r="C1547" t="str">
        <f>'RES TECH'!M1546</f>
        <v>RESAPALONewRESF1ELC20</v>
      </c>
      <c r="G1547" s="4">
        <f>IF(SUMIFS('RES TECH'!N:N,'RES TECH'!M:M,C1547)&gt;0,1,0)</f>
        <v>1</v>
      </c>
      <c r="H1547" s="4">
        <f t="shared" si="24"/>
        <v>0</v>
      </c>
    </row>
    <row r="1548" spans="3:8" x14ac:dyDescent="0.25">
      <c r="C1548" t="str">
        <f>'RES TECH'!M1547</f>
        <v>RESAPALONewRESF2ELC20</v>
      </c>
      <c r="G1548" s="4">
        <f>IF(SUMIFS('RES TECH'!N:N,'RES TECH'!M:M,C1548)&gt;0,1,0)</f>
        <v>1</v>
      </c>
      <c r="H1548" s="4">
        <f t="shared" si="24"/>
        <v>0</v>
      </c>
    </row>
    <row r="1549" spans="3:8" x14ac:dyDescent="0.25">
      <c r="C1549" t="str">
        <f>'RES TECH'!M1548</f>
        <v>RESAPALONewRESF3ELC20</v>
      </c>
      <c r="G1549" s="4">
        <f>IF(SUMIFS('RES TECH'!N:N,'RES TECH'!M:M,C1549)&gt;0,1,0)</f>
        <v>1</v>
      </c>
      <c r="H1549" s="4">
        <f t="shared" si="24"/>
        <v>0</v>
      </c>
    </row>
    <row r="1550" spans="3:8" x14ac:dyDescent="0.25">
      <c r="C1550" t="str">
        <f>'RES TECH'!M1549</f>
        <v>RESAPALONewRESF4ELC20</v>
      </c>
      <c r="G1550" s="4">
        <f>IF(SUMIFS('RES TECH'!N:N,'RES TECH'!M:M,C1550)&gt;0,1,0)</f>
        <v>1</v>
      </c>
      <c r="H1550" s="4">
        <f t="shared" si="24"/>
        <v>0</v>
      </c>
    </row>
    <row r="1551" spans="3:8" x14ac:dyDescent="0.25">
      <c r="C1551" t="str">
        <f>'RES TECH'!M1550</f>
        <v>RESAPALONewREBF1ELC20</v>
      </c>
      <c r="G1551" s="4">
        <f>IF(SUMIFS('RES TECH'!N:N,'RES TECH'!M:M,C1551)&gt;0,1,0)</f>
        <v>1</v>
      </c>
      <c r="H1551" s="4">
        <f t="shared" si="24"/>
        <v>0</v>
      </c>
    </row>
    <row r="1552" spans="3:8" x14ac:dyDescent="0.25">
      <c r="C1552" t="str">
        <f>'RES TECH'!M1551</f>
        <v>RESAPALONewREBF2ELC20</v>
      </c>
      <c r="G1552" s="4">
        <f>IF(SUMIFS('RES TECH'!N:N,'RES TECH'!M:M,C1552)&gt;0,1,0)</f>
        <v>1</v>
      </c>
      <c r="H1552" s="4">
        <f t="shared" si="24"/>
        <v>0</v>
      </c>
    </row>
    <row r="1553" spans="3:8" x14ac:dyDescent="0.25">
      <c r="C1553" t="str">
        <f>'RES TECH'!M1552</f>
        <v>RESAPALONewREBF3ELC20</v>
      </c>
      <c r="G1553" s="4">
        <f>IF(SUMIFS('RES TECH'!N:N,'RES TECH'!M:M,C1553)&gt;0,1,0)</f>
        <v>1</v>
      </c>
      <c r="H1553" s="4">
        <f t="shared" si="24"/>
        <v>0</v>
      </c>
    </row>
    <row r="1554" spans="3:8" x14ac:dyDescent="0.25">
      <c r="C1554" t="str">
        <f>'RES TECH'!M1553</f>
        <v>RESAPALONewREBF4ELC20</v>
      </c>
      <c r="G1554" s="4">
        <f>IF(SUMIFS('RES TECH'!N:N,'RES TECH'!M:M,C1554)&gt;0,1,0)</f>
        <v>1</v>
      </c>
      <c r="H1554" s="4">
        <f t="shared" si="24"/>
        <v>0</v>
      </c>
    </row>
    <row r="1555" spans="3:8" x14ac:dyDescent="0.25">
      <c r="C1555" t="str">
        <f>'RES TECH'!M1554</f>
        <v>RESAPALONewFRC1ELC20</v>
      </c>
      <c r="G1555" s="4">
        <f>IF(SUMIFS('RES TECH'!N:N,'RES TECH'!M:M,C1555)&gt;0,1,0)</f>
        <v>1</v>
      </c>
      <c r="H1555" s="4">
        <f t="shared" si="24"/>
        <v>0</v>
      </c>
    </row>
    <row r="1556" spans="3:8" x14ac:dyDescent="0.25">
      <c r="C1556" t="str">
        <f>'RES TECH'!M1555</f>
        <v>RESAPALONewFRC2ELC20</v>
      </c>
      <c r="G1556" s="4">
        <f>IF(SUMIFS('RES TECH'!N:N,'RES TECH'!M:M,C1556)&gt;0,1,0)</f>
        <v>1</v>
      </c>
      <c r="H1556" s="4">
        <f t="shared" si="24"/>
        <v>0</v>
      </c>
    </row>
    <row r="1557" spans="3:8" x14ac:dyDescent="0.25">
      <c r="C1557" t="str">
        <f>'RES TECH'!M1556</f>
        <v>RESAPALONewFRC3ELC20</v>
      </c>
      <c r="G1557" s="4">
        <f>IF(SUMIFS('RES TECH'!N:N,'RES TECH'!M:M,C1557)&gt;0,1,0)</f>
        <v>1</v>
      </c>
      <c r="H1557" s="4">
        <f t="shared" si="24"/>
        <v>0</v>
      </c>
    </row>
    <row r="1558" spans="3:8" x14ac:dyDescent="0.25">
      <c r="C1558" t="str">
        <f>'RES TECH'!M1557</f>
        <v>RESAPALONewFRC4ELC20</v>
      </c>
      <c r="G1558" s="4">
        <f>IF(SUMIFS('RES TECH'!N:N,'RES TECH'!M:M,C1558)&gt;0,1,0)</f>
        <v>1</v>
      </c>
      <c r="H1558" s="4">
        <f t="shared" si="24"/>
        <v>0</v>
      </c>
    </row>
    <row r="1559" spans="3:8" x14ac:dyDescent="0.25">
      <c r="C1559" t="str">
        <f>'RES TECH'!M1558</f>
        <v>RESAPALONewFRU1ELC20</v>
      </c>
      <c r="G1559" s="4">
        <f>IF(SUMIFS('RES TECH'!N:N,'RES TECH'!M:M,C1559)&gt;0,1,0)</f>
        <v>1</v>
      </c>
      <c r="H1559" s="4">
        <f t="shared" si="24"/>
        <v>0</v>
      </c>
    </row>
    <row r="1560" spans="3:8" x14ac:dyDescent="0.25">
      <c r="C1560" t="str">
        <f>'RES TECH'!M1559</f>
        <v>RESAPALONewFRU2ELC20</v>
      </c>
      <c r="G1560" s="4">
        <f>IF(SUMIFS('RES TECH'!N:N,'RES TECH'!M:M,C1560)&gt;0,1,0)</f>
        <v>1</v>
      </c>
      <c r="H1560" s="4">
        <f t="shared" si="24"/>
        <v>0</v>
      </c>
    </row>
    <row r="1561" spans="3:8" x14ac:dyDescent="0.25">
      <c r="C1561" t="str">
        <f>'RES TECH'!M1560</f>
        <v>RESAPALONewFRU3ELC20</v>
      </c>
      <c r="G1561" s="4">
        <f>IF(SUMIFS('RES TECH'!N:N,'RES TECH'!M:M,C1561)&gt;0,1,0)</f>
        <v>1</v>
      </c>
      <c r="H1561" s="4">
        <f t="shared" si="24"/>
        <v>0</v>
      </c>
    </row>
    <row r="1562" spans="3:8" x14ac:dyDescent="0.25">
      <c r="C1562" t="str">
        <f>'RES TECH'!M1561</f>
        <v>RESAPALONewFRU4ELC20</v>
      </c>
      <c r="G1562" s="4">
        <f>IF(SUMIFS('RES TECH'!N:N,'RES TECH'!M:M,C1562)&gt;0,1,0)</f>
        <v>1</v>
      </c>
      <c r="H1562" s="4">
        <f t="shared" si="24"/>
        <v>0</v>
      </c>
    </row>
    <row r="1563" spans="3:8" x14ac:dyDescent="0.25">
      <c r="C1563" t="str">
        <f>'RES TECH'!M1562</f>
        <v>RESAPALONewCK2NGA20</v>
      </c>
      <c r="G1563" s="4">
        <f>IF(SUMIFS('RES TECH'!N:N,'RES TECH'!M:M,C1563)&gt;0,1,0)</f>
        <v>1</v>
      </c>
      <c r="H1563" s="4">
        <f t="shared" si="24"/>
        <v>0</v>
      </c>
    </row>
    <row r="1564" spans="3:8" x14ac:dyDescent="0.25">
      <c r="C1564" t="str">
        <f>'RES TECH'!M1563</f>
        <v>RESAPALONewCK4NGA20</v>
      </c>
      <c r="G1564" s="4">
        <f>IF(SUMIFS('RES TECH'!N:N,'RES TECH'!M:M,C1564)&gt;0,1,0)</f>
        <v>1</v>
      </c>
      <c r="H1564" s="4">
        <f t="shared" si="24"/>
        <v>0</v>
      </c>
    </row>
    <row r="1565" spans="3:8" x14ac:dyDescent="0.25">
      <c r="C1565" t="str">
        <f>'RES TECH'!M1564</f>
        <v>RESAPALONewCK2LPG20</v>
      </c>
      <c r="G1565" s="4">
        <f>IF(SUMIFS('RES TECH'!N:N,'RES TECH'!M:M,C1565)&gt;0,1,0)</f>
        <v>1</v>
      </c>
      <c r="H1565" s="4">
        <f t="shared" si="24"/>
        <v>0</v>
      </c>
    </row>
    <row r="1566" spans="3:8" x14ac:dyDescent="0.25">
      <c r="C1566" t="str">
        <f>'RES TECH'!M1565</f>
        <v>RESAPALONewCK4LPG20</v>
      </c>
      <c r="G1566" s="4">
        <f>IF(SUMIFS('RES TECH'!N:N,'RES TECH'!M:M,C1566)&gt;0,1,0)</f>
        <v>1</v>
      </c>
      <c r="H1566" s="4">
        <f t="shared" si="24"/>
        <v>0</v>
      </c>
    </row>
    <row r="1567" spans="3:8" x14ac:dyDescent="0.25">
      <c r="C1567" t="str">
        <f>'RES TECH'!M1566</f>
        <v>RESAPALONewCK2ELC20</v>
      </c>
      <c r="G1567" s="4">
        <f>IF(SUMIFS('RES TECH'!N:N,'RES TECH'!M:M,C1567)&gt;0,1,0)</f>
        <v>1</v>
      </c>
      <c r="H1567" s="4">
        <f t="shared" si="24"/>
        <v>0</v>
      </c>
    </row>
    <row r="1568" spans="3:8" x14ac:dyDescent="0.25">
      <c r="C1568" t="str">
        <f>'RES TECH'!M1567</f>
        <v>RESAPALONewCWF4ELC30</v>
      </c>
      <c r="G1568" s="4">
        <f>IF(SUMIFS('RES TECH'!N:N,'RES TECH'!M:M,C1568)&gt;0,1,0)</f>
        <v>1</v>
      </c>
      <c r="H1568" s="4">
        <f t="shared" si="24"/>
        <v>0</v>
      </c>
    </row>
    <row r="1569" spans="3:8" x14ac:dyDescent="0.25">
      <c r="C1569" t="str">
        <f>'RES TECH'!M1568</f>
        <v>RESAPALONewCWT1ELC20</v>
      </c>
      <c r="G1569" s="4">
        <f>IF(SUMIFS('RES TECH'!N:N,'RES TECH'!M:M,C1569)&gt;0,1,0)</f>
        <v>1</v>
      </c>
      <c r="H1569" s="4">
        <f t="shared" si="24"/>
        <v>0</v>
      </c>
    </row>
    <row r="1570" spans="3:8" x14ac:dyDescent="0.25">
      <c r="C1570" t="str">
        <f>'RES TECH'!M1569</f>
        <v>RESAPALONewCWT2ELC20</v>
      </c>
      <c r="G1570" s="4">
        <f>IF(SUMIFS('RES TECH'!N:N,'RES TECH'!M:M,C1570)&gt;0,1,0)</f>
        <v>1</v>
      </c>
      <c r="H1570" s="4">
        <f t="shared" si="24"/>
        <v>0</v>
      </c>
    </row>
    <row r="1571" spans="3:8" x14ac:dyDescent="0.25">
      <c r="C1571" t="str">
        <f>'RES TECH'!M1570</f>
        <v>RESAPALONewCWT2ELC20</v>
      </c>
      <c r="G1571" s="4">
        <f>IF(SUMIFS('RES TECH'!N:N,'RES TECH'!M:M,C1571)&gt;0,1,0)</f>
        <v>1</v>
      </c>
      <c r="H1571" s="4">
        <f t="shared" si="24"/>
        <v>0</v>
      </c>
    </row>
    <row r="1572" spans="3:8" x14ac:dyDescent="0.25">
      <c r="C1572" t="str">
        <f>'RES TECH'!M1571</f>
        <v>RESAPALONewCWT3ELC20</v>
      </c>
      <c r="G1572" s="4">
        <f>IF(SUMIFS('RES TECH'!N:N,'RES TECH'!M:M,C1572)&gt;0,1,0)</f>
        <v>1</v>
      </c>
      <c r="H1572" s="4">
        <f t="shared" si="24"/>
        <v>0</v>
      </c>
    </row>
    <row r="1573" spans="3:8" x14ac:dyDescent="0.25">
      <c r="C1573" t="str">
        <f>'RES TECH'!M1572</f>
        <v>RESAPALONewCWT4ELC20</v>
      </c>
      <c r="G1573" s="4">
        <f>IF(SUMIFS('RES TECH'!N:N,'RES TECH'!M:M,C1573)&gt;0,1,0)</f>
        <v>1</v>
      </c>
      <c r="H1573" s="4">
        <f t="shared" si="24"/>
        <v>0</v>
      </c>
    </row>
    <row r="1574" spans="3:8" x14ac:dyDescent="0.25">
      <c r="C1574" t="str">
        <f>'RES TECH'!M1573</f>
        <v>RESAPALONewCWF1ELC20</v>
      </c>
      <c r="G1574" s="4">
        <f>IF(SUMIFS('RES TECH'!N:N,'RES TECH'!M:M,C1574)&gt;0,1,0)</f>
        <v>1</v>
      </c>
      <c r="H1574" s="4">
        <f t="shared" si="24"/>
        <v>0</v>
      </c>
    </row>
    <row r="1575" spans="3:8" x14ac:dyDescent="0.25">
      <c r="C1575" t="str">
        <f>'RES TECH'!M1574</f>
        <v>RESAPALONewCWF2ELC20</v>
      </c>
      <c r="G1575" s="4">
        <f>IF(SUMIFS('RES TECH'!N:N,'RES TECH'!M:M,C1575)&gt;0,1,0)</f>
        <v>1</v>
      </c>
      <c r="H1575" s="4">
        <f t="shared" si="24"/>
        <v>0</v>
      </c>
    </row>
    <row r="1576" spans="3:8" x14ac:dyDescent="0.25">
      <c r="C1576" t="str">
        <f>'RES TECH'!M1575</f>
        <v>RESAPALONewCWF2ELC30</v>
      </c>
      <c r="G1576" s="4">
        <f>IF(SUMIFS('RES TECH'!N:N,'RES TECH'!M:M,C1576)&gt;0,1,0)</f>
        <v>1</v>
      </c>
      <c r="H1576" s="4">
        <f t="shared" si="24"/>
        <v>0</v>
      </c>
    </row>
    <row r="1577" spans="3:8" x14ac:dyDescent="0.25">
      <c r="C1577" t="str">
        <f>'RES TECH'!M1576</f>
        <v>RESAPALONewCWF3ELC20</v>
      </c>
      <c r="G1577" s="4">
        <f>IF(SUMIFS('RES TECH'!N:N,'RES TECH'!M:M,C1577)&gt;0,1,0)</f>
        <v>1</v>
      </c>
      <c r="H1577" s="4">
        <f t="shared" si="24"/>
        <v>0</v>
      </c>
    </row>
    <row r="1578" spans="3:8" x14ac:dyDescent="0.25">
      <c r="C1578" t="str">
        <f>'RES TECH'!M1577</f>
        <v>RESAPALONewCWF4ELC20</v>
      </c>
      <c r="G1578" s="4">
        <f>IF(SUMIFS('RES TECH'!N:N,'RES TECH'!M:M,C1578)&gt;0,1,0)</f>
        <v>1</v>
      </c>
      <c r="H1578" s="4">
        <f t="shared" si="24"/>
        <v>0</v>
      </c>
    </row>
    <row r="1579" spans="3:8" x14ac:dyDescent="0.25">
      <c r="C1579" t="str">
        <f>'RES TECH'!M1578</f>
        <v>RESAPALONewCWF4ELC20</v>
      </c>
      <c r="G1579" s="4">
        <f>IF(SUMIFS('RES TECH'!N:N,'RES TECH'!M:M,C1579)&gt;0,1,0)</f>
        <v>1</v>
      </c>
      <c r="H1579" s="4">
        <f t="shared" si="24"/>
        <v>0</v>
      </c>
    </row>
    <row r="1580" spans="3:8" x14ac:dyDescent="0.25">
      <c r="C1580" t="str">
        <f>'RES TECH'!M1579</f>
        <v>RESAPALONewCD1NGA20</v>
      </c>
      <c r="G1580" s="4">
        <f>IF(SUMIFS('RES TECH'!N:N,'RES TECH'!M:M,C1580)&gt;0,1,0)</f>
        <v>1</v>
      </c>
      <c r="H1580" s="4">
        <f t="shared" si="24"/>
        <v>0</v>
      </c>
    </row>
    <row r="1581" spans="3:8" x14ac:dyDescent="0.25">
      <c r="C1581" t="str">
        <f>'RES TECH'!M1580</f>
        <v>RESAPALONewCD2NGA20</v>
      </c>
      <c r="G1581" s="4">
        <f>IF(SUMIFS('RES TECH'!N:N,'RES TECH'!M:M,C1581)&gt;0,1,0)</f>
        <v>1</v>
      </c>
      <c r="H1581" s="4">
        <f t="shared" si="24"/>
        <v>0</v>
      </c>
    </row>
    <row r="1582" spans="3:8" x14ac:dyDescent="0.25">
      <c r="C1582" t="str">
        <f>'RES TECH'!M1581</f>
        <v>RESAPALONewCD3NGA20</v>
      </c>
      <c r="G1582" s="4">
        <f>IF(SUMIFS('RES TECH'!N:N,'RES TECH'!M:M,C1582)&gt;0,1,0)</f>
        <v>1</v>
      </c>
      <c r="H1582" s="4">
        <f t="shared" si="24"/>
        <v>0</v>
      </c>
    </row>
    <row r="1583" spans="3:8" x14ac:dyDescent="0.25">
      <c r="C1583" t="str">
        <f>'RES TECH'!M1582</f>
        <v>RESAPALONewCD4NGA20</v>
      </c>
      <c r="G1583" s="4">
        <f>IF(SUMIFS('RES TECH'!N:N,'RES TECH'!M:M,C1583)&gt;0,1,0)</f>
        <v>1</v>
      </c>
      <c r="H1583" s="4">
        <f t="shared" si="24"/>
        <v>0</v>
      </c>
    </row>
    <row r="1584" spans="3:8" x14ac:dyDescent="0.25">
      <c r="C1584" t="str">
        <f>'RES TECH'!M1583</f>
        <v>RESAPALONewCD4NGA30</v>
      </c>
      <c r="G1584" s="4">
        <f>IF(SUMIFS('RES TECH'!N:N,'RES TECH'!M:M,C1584)&gt;0,1,0)</f>
        <v>1</v>
      </c>
      <c r="H1584" s="4">
        <f t="shared" si="24"/>
        <v>0</v>
      </c>
    </row>
    <row r="1585" spans="3:8" x14ac:dyDescent="0.25">
      <c r="C1585" t="str">
        <f>'RES TECH'!M1584</f>
        <v>RESAPALONewCD1ELC20</v>
      </c>
      <c r="G1585" s="4">
        <f>IF(SUMIFS('RES TECH'!N:N,'RES TECH'!M:M,C1585)&gt;0,1,0)</f>
        <v>1</v>
      </c>
      <c r="H1585" s="4">
        <f t="shared" si="24"/>
        <v>0</v>
      </c>
    </row>
    <row r="1586" spans="3:8" x14ac:dyDescent="0.25">
      <c r="C1586" t="str">
        <f>'RES TECH'!M1585</f>
        <v>RESAPALONewCD2ELC20</v>
      </c>
      <c r="G1586" s="4">
        <f>IF(SUMIFS('RES TECH'!N:N,'RES TECH'!M:M,C1586)&gt;0,1,0)</f>
        <v>1</v>
      </c>
      <c r="H1586" s="4">
        <f t="shared" si="24"/>
        <v>0</v>
      </c>
    </row>
    <row r="1587" spans="3:8" x14ac:dyDescent="0.25">
      <c r="C1587" t="str">
        <f>'RES TECH'!M1586</f>
        <v>RESAPALONewCD3ELC20</v>
      </c>
      <c r="G1587" s="4">
        <f>IF(SUMIFS('RES TECH'!N:N,'RES TECH'!M:M,C1587)&gt;0,1,0)</f>
        <v>1</v>
      </c>
      <c r="H1587" s="4">
        <f t="shared" si="24"/>
        <v>0</v>
      </c>
    </row>
    <row r="1588" spans="3:8" x14ac:dyDescent="0.25">
      <c r="C1588" t="str">
        <f>'RES TECH'!M1587</f>
        <v>RESAPALONewCD4ELC20</v>
      </c>
      <c r="G1588" s="4">
        <f>IF(SUMIFS('RES TECH'!N:N,'RES TECH'!M:M,C1588)&gt;0,1,0)</f>
        <v>1</v>
      </c>
      <c r="H1588" s="4">
        <f t="shared" si="24"/>
        <v>0</v>
      </c>
    </row>
    <row r="1589" spans="3:8" x14ac:dyDescent="0.25">
      <c r="C1589" t="str">
        <f>'RES TECH'!M1588</f>
        <v>RESHOULONewWH1NGA20</v>
      </c>
      <c r="G1589" s="4">
        <f>IF(SUMIFS('RES TECH'!N:N,'RES TECH'!M:M,C1589)&gt;0,1,0)</f>
        <v>1</v>
      </c>
      <c r="H1589" s="4">
        <f t="shared" si="24"/>
        <v>0</v>
      </c>
    </row>
    <row r="1590" spans="3:8" x14ac:dyDescent="0.25">
      <c r="C1590" t="str">
        <f>'RES TECH'!M1589</f>
        <v>RESHOULONewWH2NGA20</v>
      </c>
      <c r="G1590" s="4">
        <f>IF(SUMIFS('RES TECH'!N:N,'RES TECH'!M:M,C1590)&gt;0,1,0)</f>
        <v>1</v>
      </c>
      <c r="H1590" s="4">
        <f t="shared" si="24"/>
        <v>0</v>
      </c>
    </row>
    <row r="1591" spans="3:8" x14ac:dyDescent="0.25">
      <c r="C1591" t="str">
        <f>'RES TECH'!M1590</f>
        <v>RESHOULONewWH3NGA20</v>
      </c>
      <c r="G1591" s="4">
        <f>IF(SUMIFS('RES TECH'!N:N,'RES TECH'!M:M,C1591)&gt;0,1,0)</f>
        <v>1</v>
      </c>
      <c r="H1591" s="4">
        <f t="shared" si="24"/>
        <v>0</v>
      </c>
    </row>
    <row r="1592" spans="3:8" x14ac:dyDescent="0.25">
      <c r="C1592" t="str">
        <f>'RES TECH'!M1591</f>
        <v>RESHOULONewWH3NGA23</v>
      </c>
      <c r="G1592" s="4">
        <f>IF(SUMIFS('RES TECH'!N:N,'RES TECH'!M:M,C1592)&gt;0,1,0)</f>
        <v>1</v>
      </c>
      <c r="H1592" s="4">
        <f t="shared" si="24"/>
        <v>0</v>
      </c>
    </row>
    <row r="1593" spans="3:8" x14ac:dyDescent="0.25">
      <c r="C1593" t="str">
        <f>'RES TECH'!M1592</f>
        <v>RESHOULONewWH4NGA20</v>
      </c>
      <c r="G1593" s="4">
        <f>IF(SUMIFS('RES TECH'!N:N,'RES TECH'!M:M,C1593)&gt;0,1,0)</f>
        <v>1</v>
      </c>
      <c r="H1593" s="4">
        <f t="shared" si="24"/>
        <v>0</v>
      </c>
    </row>
    <row r="1594" spans="3:8" x14ac:dyDescent="0.25">
      <c r="C1594" t="str">
        <f>'RES TECH'!M1593</f>
        <v>RESHOULONewWH4NGA20</v>
      </c>
      <c r="G1594" s="4">
        <f>IF(SUMIFS('RES TECH'!N:N,'RES TECH'!M:M,C1594)&gt;0,1,0)</f>
        <v>1</v>
      </c>
      <c r="H1594" s="4">
        <f t="shared" si="24"/>
        <v>0</v>
      </c>
    </row>
    <row r="1595" spans="3:8" x14ac:dyDescent="0.25">
      <c r="C1595" t="str">
        <f>'RES TECH'!M1594</f>
        <v>RESHOULONewWH4NGA22</v>
      </c>
      <c r="G1595" s="4">
        <f>IF(SUMIFS('RES TECH'!N:N,'RES TECH'!M:M,C1595)&gt;0,1,0)</f>
        <v>1</v>
      </c>
      <c r="H1595" s="4">
        <f t="shared" si="24"/>
        <v>0</v>
      </c>
    </row>
    <row r="1596" spans="3:8" x14ac:dyDescent="0.25">
      <c r="C1596" t="str">
        <f>'RES TECH'!M1595</f>
        <v>RESHOULONewWH1ELC20</v>
      </c>
      <c r="G1596" s="4">
        <f>IF(SUMIFS('RES TECH'!N:N,'RES TECH'!M:M,C1596)&gt;0,1,0)</f>
        <v>1</v>
      </c>
      <c r="H1596" s="4">
        <f t="shared" si="24"/>
        <v>0</v>
      </c>
    </row>
    <row r="1597" spans="3:8" x14ac:dyDescent="0.25">
      <c r="C1597" t="str">
        <f>'RES TECH'!M1596</f>
        <v>RESHOULONewWH2ELC20</v>
      </c>
      <c r="G1597" s="4">
        <f>IF(SUMIFS('RES TECH'!N:N,'RES TECH'!M:M,C1597)&gt;0,1,0)</f>
        <v>1</v>
      </c>
      <c r="H1597" s="4">
        <f t="shared" si="24"/>
        <v>0</v>
      </c>
    </row>
    <row r="1598" spans="3:8" x14ac:dyDescent="0.25">
      <c r="C1598" t="str">
        <f>'RES TECH'!M1597</f>
        <v>RESHOULONewWH4ELC20</v>
      </c>
      <c r="G1598" s="4">
        <f>IF(SUMIFS('RES TECH'!N:N,'RES TECH'!M:M,C1598)&gt;0,1,0)</f>
        <v>1</v>
      </c>
      <c r="H1598" s="4">
        <f t="shared" si="24"/>
        <v>0</v>
      </c>
    </row>
    <row r="1599" spans="3:8" x14ac:dyDescent="0.25">
      <c r="C1599" t="str">
        <f>'RES TECH'!M1598</f>
        <v>RESHOULONewWH5ELC20</v>
      </c>
      <c r="G1599" s="4">
        <f>IF(SUMIFS('RES TECH'!N:N,'RES TECH'!M:M,C1599)&gt;0,1,0)</f>
        <v>1</v>
      </c>
      <c r="H1599" s="4">
        <f t="shared" si="24"/>
        <v>0</v>
      </c>
    </row>
    <row r="1600" spans="3:8" x14ac:dyDescent="0.25">
      <c r="C1600" t="str">
        <f>'RES TECH'!M1599</f>
        <v>RESHOULONewWH5ELC22</v>
      </c>
      <c r="G1600" s="4">
        <f>IF(SUMIFS('RES TECH'!N:N,'RES TECH'!M:M,C1600)&gt;0,1,0)</f>
        <v>1</v>
      </c>
      <c r="H1600" s="4">
        <f t="shared" si="24"/>
        <v>0</v>
      </c>
    </row>
    <row r="1601" spans="3:8" x14ac:dyDescent="0.25">
      <c r="C1601" t="str">
        <f>'RES TECH'!M1600</f>
        <v>RESHOULONewWH6ELC20</v>
      </c>
      <c r="G1601" s="4">
        <f>IF(SUMIFS('RES TECH'!N:N,'RES TECH'!M:M,C1601)&gt;0,1,0)</f>
        <v>1</v>
      </c>
      <c r="H1601" s="4">
        <f t="shared" si="24"/>
        <v>0</v>
      </c>
    </row>
    <row r="1602" spans="3:8" x14ac:dyDescent="0.25">
      <c r="C1602" t="str">
        <f>'RES TECH'!M1601</f>
        <v>RESHOULONewWH6ELC22</v>
      </c>
      <c r="G1602" s="4">
        <f>IF(SUMIFS('RES TECH'!N:N,'RES TECH'!M:M,C1602)&gt;0,1,0)</f>
        <v>1</v>
      </c>
      <c r="H1602" s="4">
        <f t="shared" si="24"/>
        <v>0</v>
      </c>
    </row>
    <row r="1603" spans="3:8" x14ac:dyDescent="0.25">
      <c r="C1603" t="str">
        <f>'RES TECH'!M1602</f>
        <v>RESHOULONewWH7ELC20</v>
      </c>
      <c r="G1603" s="4">
        <f>IF(SUMIFS('RES TECH'!N:N,'RES TECH'!M:M,C1603)&gt;0,1,0)</f>
        <v>1</v>
      </c>
      <c r="H1603" s="4">
        <f t="shared" si="24"/>
        <v>0</v>
      </c>
    </row>
    <row r="1604" spans="3:8" x14ac:dyDescent="0.25">
      <c r="C1604" t="str">
        <f>'RES TECH'!M1603</f>
        <v>RESHOULONewWH7ELC22</v>
      </c>
      <c r="G1604" s="4">
        <f>IF(SUMIFS('RES TECH'!N:N,'RES TECH'!M:M,C1604)&gt;0,1,0)</f>
        <v>1</v>
      </c>
      <c r="H1604" s="4">
        <f t="shared" si="24"/>
        <v>0</v>
      </c>
    </row>
    <row r="1605" spans="3:8" x14ac:dyDescent="0.25">
      <c r="C1605" t="str">
        <f>'RES TECH'!M1604</f>
        <v>RESHOULONewWH1FOI20</v>
      </c>
      <c r="G1605" s="4">
        <f>IF(SUMIFS('RES TECH'!N:N,'RES TECH'!M:M,C1605)&gt;0,1,0)</f>
        <v>1</v>
      </c>
      <c r="H1605" s="4">
        <f t="shared" ref="H1605:H1668" si="25">IF(C1605="","",IF(C1605="*","*",0))</f>
        <v>0</v>
      </c>
    </row>
    <row r="1606" spans="3:8" x14ac:dyDescent="0.25">
      <c r="C1606" t="str">
        <f>'RES TECH'!M1605</f>
        <v>RESHOULONewWH2FOI20</v>
      </c>
      <c r="G1606" s="4">
        <f>IF(SUMIFS('RES TECH'!N:N,'RES TECH'!M:M,C1606)&gt;0,1,0)</f>
        <v>1</v>
      </c>
      <c r="H1606" s="4">
        <f t="shared" si="25"/>
        <v>0</v>
      </c>
    </row>
    <row r="1607" spans="3:8" x14ac:dyDescent="0.25">
      <c r="C1607" t="str">
        <f>'RES TECH'!M1606</f>
        <v>RESHOULONewWH4FOI20</v>
      </c>
      <c r="G1607" s="4">
        <f>IF(SUMIFS('RES TECH'!N:N,'RES TECH'!M:M,C1607)&gt;0,1,0)</f>
        <v>1</v>
      </c>
      <c r="H1607" s="4">
        <f t="shared" si="25"/>
        <v>0</v>
      </c>
    </row>
    <row r="1608" spans="3:8" x14ac:dyDescent="0.25">
      <c r="C1608" t="str">
        <f>'RES TECH'!M1607</f>
        <v>RESHOULONewWH1LPG20</v>
      </c>
      <c r="G1608" s="4">
        <f>IF(SUMIFS('RES TECH'!N:N,'RES TECH'!M:M,C1608)&gt;0,1,0)</f>
        <v>1</v>
      </c>
      <c r="H1608" s="4">
        <f t="shared" si="25"/>
        <v>0</v>
      </c>
    </row>
    <row r="1609" spans="3:8" x14ac:dyDescent="0.25">
      <c r="C1609" t="str">
        <f>'RES TECH'!M1608</f>
        <v>RESHOULONewWH2LPG20</v>
      </c>
      <c r="G1609" s="4">
        <f>IF(SUMIFS('RES TECH'!N:N,'RES TECH'!M:M,C1609)&gt;0,1,0)</f>
        <v>1</v>
      </c>
      <c r="H1609" s="4">
        <f t="shared" si="25"/>
        <v>0</v>
      </c>
    </row>
    <row r="1610" spans="3:8" x14ac:dyDescent="0.25">
      <c r="C1610" t="str">
        <f>'RES TECH'!M1609</f>
        <v>RESHOULONewWH3LPG20</v>
      </c>
      <c r="G1610" s="4">
        <f>IF(SUMIFS('RES TECH'!N:N,'RES TECH'!M:M,C1610)&gt;0,1,0)</f>
        <v>1</v>
      </c>
      <c r="H1610" s="4">
        <f t="shared" si="25"/>
        <v>0</v>
      </c>
    </row>
    <row r="1611" spans="3:8" x14ac:dyDescent="0.25">
      <c r="C1611" t="str">
        <f>'RES TECH'!M1610</f>
        <v>RESHOULONewWH3LPG23</v>
      </c>
      <c r="G1611" s="4">
        <f>IF(SUMIFS('RES TECH'!N:N,'RES TECH'!M:M,C1611)&gt;0,1,0)</f>
        <v>1</v>
      </c>
      <c r="H1611" s="4">
        <f t="shared" si="25"/>
        <v>0</v>
      </c>
    </row>
    <row r="1612" spans="3:8" x14ac:dyDescent="0.25">
      <c r="C1612" t="str">
        <f>'RES TECH'!M1611</f>
        <v>RESHOULONewWH4LPG20</v>
      </c>
      <c r="G1612" s="4">
        <f>IF(SUMIFS('RES TECH'!N:N,'RES TECH'!M:M,C1612)&gt;0,1,0)</f>
        <v>1</v>
      </c>
      <c r="H1612" s="4">
        <f t="shared" si="25"/>
        <v>0</v>
      </c>
    </row>
    <row r="1613" spans="3:8" x14ac:dyDescent="0.25">
      <c r="C1613" t="str">
        <f>'RES TECH'!M1612</f>
        <v>RESHOULONewWH4LPG20</v>
      </c>
      <c r="G1613" s="4">
        <f>IF(SUMIFS('RES TECH'!N:N,'RES TECH'!M:M,C1613)&gt;0,1,0)</f>
        <v>1</v>
      </c>
      <c r="H1613" s="4">
        <f t="shared" si="25"/>
        <v>0</v>
      </c>
    </row>
    <row r="1614" spans="3:8" x14ac:dyDescent="0.25">
      <c r="C1614" t="str">
        <f>'RES TECH'!M1613</f>
        <v>RESHOULONewWH2SOL20</v>
      </c>
      <c r="G1614" s="4">
        <f>IF(SUMIFS('RES TECH'!N:N,'RES TECH'!M:M,C1614)&gt;0,1,0)</f>
        <v>1</v>
      </c>
      <c r="H1614" s="4">
        <f t="shared" si="25"/>
        <v>0</v>
      </c>
    </row>
    <row r="1615" spans="3:8" x14ac:dyDescent="0.25">
      <c r="C1615" t="str">
        <f>'RES TECH'!M1614</f>
        <v>RESHOULONewWH2SOL20</v>
      </c>
      <c r="G1615" s="4">
        <f>IF(SUMIFS('RES TECH'!N:N,'RES TECH'!M:M,C1615)&gt;0,1,0)</f>
        <v>1</v>
      </c>
      <c r="H1615" s="4">
        <f t="shared" si="25"/>
        <v>0</v>
      </c>
    </row>
    <row r="1616" spans="3:8" x14ac:dyDescent="0.25">
      <c r="C1616" t="str">
        <f>'RES TECH'!M1615</f>
        <v>RESHOULONewWH2SOL23</v>
      </c>
      <c r="G1616" s="4">
        <f>IF(SUMIFS('RES TECH'!N:N,'RES TECH'!M:M,C1616)&gt;0,1,0)</f>
        <v>1</v>
      </c>
      <c r="H1616" s="4">
        <f t="shared" si="25"/>
        <v>0</v>
      </c>
    </row>
    <row r="1617" spans="3:8" x14ac:dyDescent="0.25">
      <c r="C1617" t="str">
        <f>'RES TECH'!M1616</f>
        <v>RESHOULONewWH2SOL24</v>
      </c>
      <c r="G1617" s="4">
        <f>IF(SUMIFS('RES TECH'!N:N,'RES TECH'!M:M,C1617)&gt;0,1,0)</f>
        <v>1</v>
      </c>
      <c r="H1617" s="4">
        <f t="shared" si="25"/>
        <v>0</v>
      </c>
    </row>
    <row r="1618" spans="3:8" x14ac:dyDescent="0.25">
      <c r="C1618" t="str">
        <f>'RES TECH'!M1617</f>
        <v>RESHOULONewSHAHP1ELC20</v>
      </c>
      <c r="G1618" s="4">
        <f>IF(SUMIFS('RES TECH'!N:N,'RES TECH'!M:M,C1618)&gt;0,1,0)</f>
        <v>1</v>
      </c>
      <c r="H1618" s="4">
        <f t="shared" si="25"/>
        <v>0</v>
      </c>
    </row>
    <row r="1619" spans="3:8" x14ac:dyDescent="0.25">
      <c r="C1619" t="str">
        <f>'RES TECH'!M1618</f>
        <v>RESHOULONewSHAHP1ELC23</v>
      </c>
      <c r="G1619" s="4">
        <f>IF(SUMIFS('RES TECH'!N:N,'RES TECH'!M:M,C1619)&gt;0,1,0)</f>
        <v>1</v>
      </c>
      <c r="H1619" s="4">
        <f t="shared" si="25"/>
        <v>0</v>
      </c>
    </row>
    <row r="1620" spans="3:8" x14ac:dyDescent="0.25">
      <c r="C1620" t="str">
        <f>'RES TECH'!M1619</f>
        <v>RESHOULONewSHAHP2ELC20</v>
      </c>
      <c r="G1620" s="4">
        <f>IF(SUMIFS('RES TECH'!N:N,'RES TECH'!M:M,C1620)&gt;0,1,0)</f>
        <v>1</v>
      </c>
      <c r="H1620" s="4">
        <f t="shared" si="25"/>
        <v>0</v>
      </c>
    </row>
    <row r="1621" spans="3:8" x14ac:dyDescent="0.25">
      <c r="C1621" t="str">
        <f>'RES TECH'!M1620</f>
        <v>RESHOULONewSHAHP2ELC23</v>
      </c>
      <c r="G1621" s="4">
        <f>IF(SUMIFS('RES TECH'!N:N,'RES TECH'!M:M,C1621)&gt;0,1,0)</f>
        <v>1</v>
      </c>
      <c r="H1621" s="4">
        <f t="shared" si="25"/>
        <v>0</v>
      </c>
    </row>
    <row r="1622" spans="3:8" x14ac:dyDescent="0.25">
      <c r="C1622" t="str">
        <f>'RES TECH'!M1621</f>
        <v>RESHOULONewSHAHP3ELC20</v>
      </c>
      <c r="G1622" s="4">
        <f>IF(SUMIFS('RES TECH'!N:N,'RES TECH'!M:M,C1622)&gt;0,1,0)</f>
        <v>1</v>
      </c>
      <c r="H1622" s="4">
        <f t="shared" si="25"/>
        <v>0</v>
      </c>
    </row>
    <row r="1623" spans="3:8" x14ac:dyDescent="0.25">
      <c r="C1623" t="str">
        <f>'RES TECH'!M1622</f>
        <v>RESHOULONewSHAHP3ELC22</v>
      </c>
      <c r="G1623" s="4">
        <f>IF(SUMIFS('RES TECH'!N:N,'RES TECH'!M:M,C1623)&gt;0,1,0)</f>
        <v>1</v>
      </c>
      <c r="H1623" s="4">
        <f t="shared" si="25"/>
        <v>0</v>
      </c>
    </row>
    <row r="1624" spans="3:8" x14ac:dyDescent="0.25">
      <c r="C1624" t="str">
        <f>'RES TECH'!M1623</f>
        <v>RESHOULONewSHAHP3ELC23</v>
      </c>
      <c r="G1624" s="4">
        <f>IF(SUMIFS('RES TECH'!N:N,'RES TECH'!M:M,C1624)&gt;0,1,0)</f>
        <v>1</v>
      </c>
      <c r="H1624" s="4">
        <f t="shared" si="25"/>
        <v>0</v>
      </c>
    </row>
    <row r="1625" spans="3:8" x14ac:dyDescent="0.25">
      <c r="C1625" t="str">
        <f>'RES TECH'!M1624</f>
        <v>RESHOULONewSHAHP4ELC20</v>
      </c>
      <c r="G1625" s="4">
        <f>IF(SUMIFS('RES TECH'!N:N,'RES TECH'!M:M,C1625)&gt;0,1,0)</f>
        <v>1</v>
      </c>
      <c r="H1625" s="4">
        <f t="shared" si="25"/>
        <v>0</v>
      </c>
    </row>
    <row r="1626" spans="3:8" x14ac:dyDescent="0.25">
      <c r="C1626" t="str">
        <f>'RES TECH'!M1625</f>
        <v>RESHOULONewSHAHP4ELC22</v>
      </c>
      <c r="G1626" s="4">
        <f>IF(SUMIFS('RES TECH'!N:N,'RES TECH'!M:M,C1626)&gt;0,1,0)</f>
        <v>1</v>
      </c>
      <c r="H1626" s="4">
        <f t="shared" si="25"/>
        <v>0</v>
      </c>
    </row>
    <row r="1627" spans="3:8" x14ac:dyDescent="0.25">
      <c r="C1627" t="str">
        <f>'RES TECH'!M1626</f>
        <v>RESHOULONewSHGHP1ELC20</v>
      </c>
      <c r="G1627" s="4">
        <f>IF(SUMIFS('RES TECH'!N:N,'RES TECH'!M:M,C1627)&gt;0,1,0)</f>
        <v>1</v>
      </c>
      <c r="H1627" s="4">
        <f t="shared" si="25"/>
        <v>0</v>
      </c>
    </row>
    <row r="1628" spans="3:8" x14ac:dyDescent="0.25">
      <c r="C1628" t="str">
        <f>'RES TECH'!M1627</f>
        <v>RESHOULONewSHGHP2ELC20</v>
      </c>
      <c r="G1628" s="4">
        <f>IF(SUMIFS('RES TECH'!N:N,'RES TECH'!M:M,C1628)&gt;0,1,0)</f>
        <v>1</v>
      </c>
      <c r="H1628" s="4">
        <f t="shared" si="25"/>
        <v>0</v>
      </c>
    </row>
    <row r="1629" spans="3:8" x14ac:dyDescent="0.25">
      <c r="C1629" t="str">
        <f>'RES TECH'!M1628</f>
        <v>RESHOULONewSHGHP3ELC20</v>
      </c>
      <c r="G1629" s="4">
        <f>IF(SUMIFS('RES TECH'!N:N,'RES TECH'!M:M,C1629)&gt;0,1,0)</f>
        <v>1</v>
      </c>
      <c r="H1629" s="4">
        <f t="shared" si="25"/>
        <v>0</v>
      </c>
    </row>
    <row r="1630" spans="3:8" x14ac:dyDescent="0.25">
      <c r="C1630" t="str">
        <f>'RES TECH'!M1629</f>
        <v>RESHOULONewSHGHP3ELC20</v>
      </c>
      <c r="G1630" s="4">
        <f>IF(SUMIFS('RES TECH'!N:N,'RES TECH'!M:M,C1630)&gt;0,1,0)</f>
        <v>1</v>
      </c>
      <c r="H1630" s="4">
        <f t="shared" si="25"/>
        <v>0</v>
      </c>
    </row>
    <row r="1631" spans="3:8" x14ac:dyDescent="0.25">
      <c r="C1631" t="str">
        <f>'RES TECH'!M1630</f>
        <v>RESHOULONewSHGHP3ELC22</v>
      </c>
      <c r="G1631" s="4">
        <f>IF(SUMIFS('RES TECH'!N:N,'RES TECH'!M:M,C1631)&gt;0,1,0)</f>
        <v>1</v>
      </c>
      <c r="H1631" s="4">
        <f t="shared" si="25"/>
        <v>0</v>
      </c>
    </row>
    <row r="1632" spans="3:8" x14ac:dyDescent="0.25">
      <c r="C1632" t="str">
        <f>'RES TECH'!M1631</f>
        <v>RESHOULONewSHGHP3ELC23</v>
      </c>
      <c r="G1632" s="4">
        <f>IF(SUMIFS('RES TECH'!N:N,'RES TECH'!M:M,C1632)&gt;0,1,0)</f>
        <v>1</v>
      </c>
      <c r="H1632" s="4">
        <f t="shared" si="25"/>
        <v>0</v>
      </c>
    </row>
    <row r="1633" spans="3:8" x14ac:dyDescent="0.25">
      <c r="C1633" t="str">
        <f>'RES TECH'!M1632</f>
        <v>RESHOULONewSHGHP3ELC24</v>
      </c>
      <c r="G1633" s="4">
        <f>IF(SUMIFS('RES TECH'!N:N,'RES TECH'!M:M,C1633)&gt;0,1,0)</f>
        <v>1</v>
      </c>
      <c r="H1633" s="4">
        <f t="shared" si="25"/>
        <v>0</v>
      </c>
    </row>
    <row r="1634" spans="3:8" x14ac:dyDescent="0.25">
      <c r="C1634" t="str">
        <f>'RES TECH'!M1633</f>
        <v>RESHOULONewSHGHP4ELC20</v>
      </c>
      <c r="G1634" s="4">
        <f>IF(SUMIFS('RES TECH'!N:N,'RES TECH'!M:M,C1634)&gt;0,1,0)</f>
        <v>1</v>
      </c>
      <c r="H1634" s="4">
        <f t="shared" si="25"/>
        <v>0</v>
      </c>
    </row>
    <row r="1635" spans="3:8" x14ac:dyDescent="0.25">
      <c r="C1635" t="str">
        <f>'RES TECH'!M1634</f>
        <v>RESHOULONewSHGHP4ELC20</v>
      </c>
      <c r="G1635" s="4">
        <f>IF(SUMIFS('RES TECH'!N:N,'RES TECH'!M:M,C1635)&gt;0,1,0)</f>
        <v>1</v>
      </c>
      <c r="H1635" s="4">
        <f t="shared" si="25"/>
        <v>0</v>
      </c>
    </row>
    <row r="1636" spans="3:8" x14ac:dyDescent="0.25">
      <c r="C1636" t="str">
        <f>'RES TECH'!M1635</f>
        <v>RESHOULONewSHGHP4ELC22</v>
      </c>
      <c r="G1636" s="4">
        <f>IF(SUMIFS('RES TECH'!N:N,'RES TECH'!M:M,C1636)&gt;0,1,0)</f>
        <v>1</v>
      </c>
      <c r="H1636" s="4">
        <f t="shared" si="25"/>
        <v>0</v>
      </c>
    </row>
    <row r="1637" spans="3:8" x14ac:dyDescent="0.25">
      <c r="C1637" t="str">
        <f>'RES TECH'!M1636</f>
        <v>RESHOULONewSHGHP4ELC23</v>
      </c>
      <c r="G1637" s="4">
        <f>IF(SUMIFS('RES TECH'!N:N,'RES TECH'!M:M,C1637)&gt;0,1,0)</f>
        <v>1</v>
      </c>
      <c r="H1637" s="4">
        <f t="shared" si="25"/>
        <v>0</v>
      </c>
    </row>
    <row r="1638" spans="3:8" x14ac:dyDescent="0.25">
      <c r="C1638" t="str">
        <f>'RES TECH'!M1637</f>
        <v>RESHOULONewSHGHP4ELC24</v>
      </c>
      <c r="G1638" s="4">
        <f>IF(SUMIFS('RES TECH'!N:N,'RES TECH'!M:M,C1638)&gt;0,1,0)</f>
        <v>1</v>
      </c>
      <c r="H1638" s="4">
        <f t="shared" si="25"/>
        <v>0</v>
      </c>
    </row>
    <row r="1639" spans="3:8" x14ac:dyDescent="0.25">
      <c r="C1639" t="str">
        <f>'RES TECH'!M1638</f>
        <v>RESHOULONewSHRAD2ELC20</v>
      </c>
      <c r="G1639" s="4">
        <f>IF(SUMIFS('RES TECH'!N:N,'RES TECH'!M:M,C1639)&gt;0,1,0)</f>
        <v>1</v>
      </c>
      <c r="H1639" s="4">
        <f t="shared" si="25"/>
        <v>0</v>
      </c>
    </row>
    <row r="1640" spans="3:8" x14ac:dyDescent="0.25">
      <c r="C1640" t="str">
        <f>'RES TECH'!M1639</f>
        <v>RESHOULONewSHFUR1NGA20</v>
      </c>
      <c r="G1640" s="4">
        <f>IF(SUMIFS('RES TECH'!N:N,'RES TECH'!M:M,C1640)&gt;0,1,0)</f>
        <v>1</v>
      </c>
      <c r="H1640" s="4">
        <f t="shared" si="25"/>
        <v>0</v>
      </c>
    </row>
    <row r="1641" spans="3:8" x14ac:dyDescent="0.25">
      <c r="C1641" t="str">
        <f>'RES TECH'!M1640</f>
        <v>RESHOULONewSHFUR2NGA20</v>
      </c>
      <c r="G1641" s="4">
        <f>IF(SUMIFS('RES TECH'!N:N,'RES TECH'!M:M,C1641)&gt;0,1,0)</f>
        <v>1</v>
      </c>
      <c r="H1641" s="4">
        <f t="shared" si="25"/>
        <v>0</v>
      </c>
    </row>
    <row r="1642" spans="3:8" x14ac:dyDescent="0.25">
      <c r="C1642" t="str">
        <f>'RES TECH'!M1641</f>
        <v>RESHOULONewSHFUR2NGA20</v>
      </c>
      <c r="G1642" s="4">
        <f>IF(SUMIFS('RES TECH'!N:N,'RES TECH'!M:M,C1642)&gt;0,1,0)</f>
        <v>1</v>
      </c>
      <c r="H1642" s="4">
        <f t="shared" si="25"/>
        <v>0</v>
      </c>
    </row>
    <row r="1643" spans="3:8" x14ac:dyDescent="0.25">
      <c r="C1643" t="str">
        <f>'RES TECH'!M1642</f>
        <v>RESHOULONewSHFUR3NGA20</v>
      </c>
      <c r="G1643" s="4">
        <f>IF(SUMIFS('RES TECH'!N:N,'RES TECH'!M:M,C1643)&gt;0,1,0)</f>
        <v>1</v>
      </c>
      <c r="H1643" s="4">
        <f t="shared" si="25"/>
        <v>0</v>
      </c>
    </row>
    <row r="1644" spans="3:8" x14ac:dyDescent="0.25">
      <c r="C1644" t="str">
        <f>'RES TECH'!M1643</f>
        <v>RESHOULONewSHFUR3NGA22</v>
      </c>
      <c r="G1644" s="4">
        <f>IF(SUMIFS('RES TECH'!N:N,'RES TECH'!M:M,C1644)&gt;0,1,0)</f>
        <v>1</v>
      </c>
      <c r="H1644" s="4">
        <f t="shared" si="25"/>
        <v>0</v>
      </c>
    </row>
    <row r="1645" spans="3:8" x14ac:dyDescent="0.25">
      <c r="C1645" t="str">
        <f>'RES TECH'!M1644</f>
        <v>RESHOULONewSHFUR4NGA20</v>
      </c>
      <c r="G1645" s="4">
        <f>IF(SUMIFS('RES TECH'!N:N,'RES TECH'!M:M,C1645)&gt;0,1,0)</f>
        <v>1</v>
      </c>
      <c r="H1645" s="4">
        <f t="shared" si="25"/>
        <v>0</v>
      </c>
    </row>
    <row r="1646" spans="3:8" x14ac:dyDescent="0.25">
      <c r="C1646" t="str">
        <f>'RES TECH'!M1645</f>
        <v>RESHOULONewSHFUR4NGA22</v>
      </c>
      <c r="G1646" s="4">
        <f>IF(SUMIFS('RES TECH'!N:N,'RES TECH'!M:M,C1646)&gt;0,1,0)</f>
        <v>1</v>
      </c>
      <c r="H1646" s="4">
        <f t="shared" si="25"/>
        <v>0</v>
      </c>
    </row>
    <row r="1647" spans="3:8" x14ac:dyDescent="0.25">
      <c r="C1647" t="str">
        <f>'RES TECH'!M1646</f>
        <v>RESHOULONewSHRAD1NGA20</v>
      </c>
      <c r="G1647" s="4">
        <f>IF(SUMIFS('RES TECH'!N:N,'RES TECH'!M:M,C1647)&gt;0,1,0)</f>
        <v>1</v>
      </c>
      <c r="H1647" s="4">
        <f t="shared" si="25"/>
        <v>0</v>
      </c>
    </row>
    <row r="1648" spans="3:8" x14ac:dyDescent="0.25">
      <c r="C1648" t="str">
        <f>'RES TECH'!M1647</f>
        <v>RESHOULONewSHRAD1NGA21</v>
      </c>
      <c r="G1648" s="4">
        <f>IF(SUMIFS('RES TECH'!N:N,'RES TECH'!M:M,C1648)&gt;0,1,0)</f>
        <v>1</v>
      </c>
      <c r="H1648" s="4">
        <f t="shared" si="25"/>
        <v>0</v>
      </c>
    </row>
    <row r="1649" spans="3:8" x14ac:dyDescent="0.25">
      <c r="C1649" t="str">
        <f>'RES TECH'!M1648</f>
        <v>RESHOULONewSHRAD2NGA20</v>
      </c>
      <c r="G1649" s="4">
        <f>IF(SUMIFS('RES TECH'!N:N,'RES TECH'!M:M,C1649)&gt;0,1,0)</f>
        <v>1</v>
      </c>
      <c r="H1649" s="4">
        <f t="shared" si="25"/>
        <v>0</v>
      </c>
    </row>
    <row r="1650" spans="3:8" x14ac:dyDescent="0.25">
      <c r="C1650" t="str">
        <f>'RES TECH'!M1649</f>
        <v>RESHOULONewSHRAD2NGA20</v>
      </c>
      <c r="G1650" s="4">
        <f>IF(SUMIFS('RES TECH'!N:N,'RES TECH'!M:M,C1650)&gt;0,1,0)</f>
        <v>1</v>
      </c>
      <c r="H1650" s="4">
        <f t="shared" si="25"/>
        <v>0</v>
      </c>
    </row>
    <row r="1651" spans="3:8" x14ac:dyDescent="0.25">
      <c r="C1651" t="str">
        <f>'RES TECH'!M1650</f>
        <v>RESHOULONewSHRAD3NGA20</v>
      </c>
      <c r="G1651" s="4">
        <f>IF(SUMIFS('RES TECH'!N:N,'RES TECH'!M:M,C1651)&gt;0,1,0)</f>
        <v>1</v>
      </c>
      <c r="H1651" s="4">
        <f t="shared" si="25"/>
        <v>0</v>
      </c>
    </row>
    <row r="1652" spans="3:8" x14ac:dyDescent="0.25">
      <c r="C1652" t="str">
        <f>'RES TECH'!M1651</f>
        <v>RESHOULONewSHRAD4NGA20</v>
      </c>
      <c r="G1652" s="4">
        <f>IF(SUMIFS('RES TECH'!N:N,'RES TECH'!M:M,C1652)&gt;0,1,0)</f>
        <v>1</v>
      </c>
      <c r="H1652" s="4">
        <f t="shared" si="25"/>
        <v>0</v>
      </c>
    </row>
    <row r="1653" spans="3:8" x14ac:dyDescent="0.25">
      <c r="C1653" t="str">
        <f>'RES TECH'!M1652</f>
        <v>RESHOULONewSHRAD4NGA22</v>
      </c>
      <c r="G1653" s="4">
        <f>IF(SUMIFS('RES TECH'!N:N,'RES TECH'!M:M,C1653)&gt;0,1,0)</f>
        <v>1</v>
      </c>
      <c r="H1653" s="4">
        <f t="shared" si="25"/>
        <v>0</v>
      </c>
    </row>
    <row r="1654" spans="3:8" x14ac:dyDescent="0.25">
      <c r="C1654" t="str">
        <f>'RES TECH'!M1653</f>
        <v>RESHOULONewSHFUR1KER20</v>
      </c>
      <c r="G1654" s="4">
        <f>IF(SUMIFS('RES TECH'!N:N,'RES TECH'!M:M,C1654)&gt;0,1,0)</f>
        <v>1</v>
      </c>
      <c r="H1654" s="4">
        <f t="shared" si="25"/>
        <v>0</v>
      </c>
    </row>
    <row r="1655" spans="3:8" x14ac:dyDescent="0.25">
      <c r="C1655" t="str">
        <f>'RES TECH'!M1654</f>
        <v>RESHOULONewSHFUR2KER20</v>
      </c>
      <c r="G1655" s="4">
        <f>IF(SUMIFS('RES TECH'!N:N,'RES TECH'!M:M,C1655)&gt;0,1,0)</f>
        <v>1</v>
      </c>
      <c r="H1655" s="4">
        <f t="shared" si="25"/>
        <v>0</v>
      </c>
    </row>
    <row r="1656" spans="3:8" x14ac:dyDescent="0.25">
      <c r="C1656" t="str">
        <f>'RES TECH'!M1655</f>
        <v>RESHOULONewSHFUR2KER20</v>
      </c>
      <c r="G1656" s="4">
        <f>IF(SUMIFS('RES TECH'!N:N,'RES TECH'!M:M,C1656)&gt;0,1,0)</f>
        <v>1</v>
      </c>
      <c r="H1656" s="4">
        <f t="shared" si="25"/>
        <v>0</v>
      </c>
    </row>
    <row r="1657" spans="3:8" x14ac:dyDescent="0.25">
      <c r="C1657" t="str">
        <f>'RES TECH'!M1656</f>
        <v>RESHOULONewSHFUR3KER20</v>
      </c>
      <c r="G1657" s="4">
        <f>IF(SUMIFS('RES TECH'!N:N,'RES TECH'!M:M,C1657)&gt;0,1,0)</f>
        <v>1</v>
      </c>
      <c r="H1657" s="4">
        <f t="shared" si="25"/>
        <v>0</v>
      </c>
    </row>
    <row r="1658" spans="3:8" x14ac:dyDescent="0.25">
      <c r="C1658" t="str">
        <f>'RES TECH'!M1657</f>
        <v>RESHOULONewSHFUR4KER20</v>
      </c>
      <c r="G1658" s="4">
        <f>IF(SUMIFS('RES TECH'!N:N,'RES TECH'!M:M,C1658)&gt;0,1,0)</f>
        <v>1</v>
      </c>
      <c r="H1658" s="4">
        <f t="shared" si="25"/>
        <v>0</v>
      </c>
    </row>
    <row r="1659" spans="3:8" x14ac:dyDescent="0.25">
      <c r="C1659" t="str">
        <f>'RES TECH'!M1658</f>
        <v>RESHOULONewSHFUR4KER20</v>
      </c>
      <c r="G1659" s="4">
        <f>IF(SUMIFS('RES TECH'!N:N,'RES TECH'!M:M,C1659)&gt;0,1,0)</f>
        <v>1</v>
      </c>
      <c r="H1659" s="4">
        <f t="shared" si="25"/>
        <v>0</v>
      </c>
    </row>
    <row r="1660" spans="3:8" x14ac:dyDescent="0.25">
      <c r="C1660" t="str">
        <f>'RES TECH'!M1659</f>
        <v>RESHOULONewSHFUR1LPG20</v>
      </c>
      <c r="G1660" s="4">
        <f>IF(SUMIFS('RES TECH'!N:N,'RES TECH'!M:M,C1660)&gt;0,1,0)</f>
        <v>1</v>
      </c>
      <c r="H1660" s="4">
        <f t="shared" si="25"/>
        <v>0</v>
      </c>
    </row>
    <row r="1661" spans="3:8" x14ac:dyDescent="0.25">
      <c r="C1661" t="str">
        <f>'RES TECH'!M1660</f>
        <v>RESHOULONewSHFUR2LPG20</v>
      </c>
      <c r="G1661" s="4">
        <f>IF(SUMIFS('RES TECH'!N:N,'RES TECH'!M:M,C1661)&gt;0,1,0)</f>
        <v>1</v>
      </c>
      <c r="H1661" s="4">
        <f t="shared" si="25"/>
        <v>0</v>
      </c>
    </row>
    <row r="1662" spans="3:8" x14ac:dyDescent="0.25">
      <c r="C1662" t="str">
        <f>'RES TECH'!M1661</f>
        <v>RESHOULONewSHFUR2LPG20</v>
      </c>
      <c r="G1662" s="4">
        <f>IF(SUMIFS('RES TECH'!N:N,'RES TECH'!M:M,C1662)&gt;0,1,0)</f>
        <v>1</v>
      </c>
      <c r="H1662" s="4">
        <f t="shared" si="25"/>
        <v>0</v>
      </c>
    </row>
    <row r="1663" spans="3:8" x14ac:dyDescent="0.25">
      <c r="C1663" t="str">
        <f>'RES TECH'!M1662</f>
        <v>RESHOULONewSHFUR3LPG20</v>
      </c>
      <c r="G1663" s="4">
        <f>IF(SUMIFS('RES TECH'!N:N,'RES TECH'!M:M,C1663)&gt;0,1,0)</f>
        <v>1</v>
      </c>
      <c r="H1663" s="4">
        <f t="shared" si="25"/>
        <v>0</v>
      </c>
    </row>
    <row r="1664" spans="3:8" x14ac:dyDescent="0.25">
      <c r="C1664" t="str">
        <f>'RES TECH'!M1663</f>
        <v>RESHOULONewSHFUR3LPG22</v>
      </c>
      <c r="G1664" s="4">
        <f>IF(SUMIFS('RES TECH'!N:N,'RES TECH'!M:M,C1664)&gt;0,1,0)</f>
        <v>1</v>
      </c>
      <c r="H1664" s="4">
        <f t="shared" si="25"/>
        <v>0</v>
      </c>
    </row>
    <row r="1665" spans="3:8" x14ac:dyDescent="0.25">
      <c r="C1665" t="str">
        <f>'RES TECH'!M1664</f>
        <v>RESHOULONewSHFUR4LPG20</v>
      </c>
      <c r="G1665" s="4">
        <f>IF(SUMIFS('RES TECH'!N:N,'RES TECH'!M:M,C1665)&gt;0,1,0)</f>
        <v>1</v>
      </c>
      <c r="H1665" s="4">
        <f t="shared" si="25"/>
        <v>0</v>
      </c>
    </row>
    <row r="1666" spans="3:8" x14ac:dyDescent="0.25">
      <c r="C1666" t="str">
        <f>'RES TECH'!M1665</f>
        <v>RESHOULONewSHFUR4LPG22</v>
      </c>
      <c r="G1666" s="4">
        <f>IF(SUMIFS('RES TECH'!N:N,'RES TECH'!M:M,C1666)&gt;0,1,0)</f>
        <v>1</v>
      </c>
      <c r="H1666" s="4">
        <f t="shared" si="25"/>
        <v>0</v>
      </c>
    </row>
    <row r="1667" spans="3:8" x14ac:dyDescent="0.25">
      <c r="C1667" t="str">
        <f>'RES TECH'!M1666</f>
        <v>RESHOULONewSHFUR1FOI20</v>
      </c>
      <c r="G1667" s="4">
        <f>IF(SUMIFS('RES TECH'!N:N,'RES TECH'!M:M,C1667)&gt;0,1,0)</f>
        <v>1</v>
      </c>
      <c r="H1667" s="4">
        <f t="shared" si="25"/>
        <v>0</v>
      </c>
    </row>
    <row r="1668" spans="3:8" x14ac:dyDescent="0.25">
      <c r="C1668" t="str">
        <f>'RES TECH'!M1667</f>
        <v>RESHOULONewSHFUR2FOI20</v>
      </c>
      <c r="G1668" s="4">
        <f>IF(SUMIFS('RES TECH'!N:N,'RES TECH'!M:M,C1668)&gt;0,1,0)</f>
        <v>1</v>
      </c>
      <c r="H1668" s="4">
        <f t="shared" si="25"/>
        <v>0</v>
      </c>
    </row>
    <row r="1669" spans="3:8" x14ac:dyDescent="0.25">
      <c r="C1669" t="str">
        <f>'RES TECH'!M1668</f>
        <v>RESHOULONewSHFUR2FOI22</v>
      </c>
      <c r="G1669" s="4">
        <f>IF(SUMIFS('RES TECH'!N:N,'RES TECH'!M:M,C1669)&gt;0,1,0)</f>
        <v>1</v>
      </c>
      <c r="H1669" s="4">
        <f t="shared" ref="H1669:H1732" si="26">IF(C1669="","",IF(C1669="*","*",0))</f>
        <v>0</v>
      </c>
    </row>
    <row r="1670" spans="3:8" x14ac:dyDescent="0.25">
      <c r="C1670" t="str">
        <f>'RES TECH'!M1669</f>
        <v>RESHOULONewSHFUR3FOI20</v>
      </c>
      <c r="G1670" s="4">
        <f>IF(SUMIFS('RES TECH'!N:N,'RES TECH'!M:M,C1670)&gt;0,1,0)</f>
        <v>1</v>
      </c>
      <c r="H1670" s="4">
        <f t="shared" si="26"/>
        <v>0</v>
      </c>
    </row>
    <row r="1671" spans="3:8" x14ac:dyDescent="0.25">
      <c r="C1671" t="str">
        <f>'RES TECH'!M1670</f>
        <v>RESHOULONewSHFUR4FOI20</v>
      </c>
      <c r="G1671" s="4">
        <f>IF(SUMIFS('RES TECH'!N:N,'RES TECH'!M:M,C1671)&gt;0,1,0)</f>
        <v>1</v>
      </c>
      <c r="H1671" s="4">
        <f t="shared" si="26"/>
        <v>0</v>
      </c>
    </row>
    <row r="1672" spans="3:8" x14ac:dyDescent="0.25">
      <c r="C1672" t="str">
        <f>'RES TECH'!M1671</f>
        <v>RESHOULONewSHFUR4FOI22</v>
      </c>
      <c r="G1672" s="4">
        <f>IF(SUMIFS('RES TECH'!N:N,'RES TECH'!M:M,C1672)&gt;0,1,0)</f>
        <v>1</v>
      </c>
      <c r="H1672" s="4">
        <f t="shared" si="26"/>
        <v>0</v>
      </c>
    </row>
    <row r="1673" spans="3:8" x14ac:dyDescent="0.25">
      <c r="C1673" t="str">
        <f>'RES TECH'!M1672</f>
        <v>RESHOULONewSHRAD1FOI20</v>
      </c>
      <c r="G1673" s="4">
        <f>IF(SUMIFS('RES TECH'!N:N,'RES TECH'!M:M,C1673)&gt;0,1,0)</f>
        <v>1</v>
      </c>
      <c r="H1673" s="4">
        <f t="shared" si="26"/>
        <v>0</v>
      </c>
    </row>
    <row r="1674" spans="3:8" x14ac:dyDescent="0.25">
      <c r="C1674" t="str">
        <f>'RES TECH'!M1673</f>
        <v>RESHOULONewSHRAD1FOI22</v>
      </c>
      <c r="G1674" s="4">
        <f>IF(SUMIFS('RES TECH'!N:N,'RES TECH'!M:M,C1674)&gt;0,1,0)</f>
        <v>1</v>
      </c>
      <c r="H1674" s="4">
        <f t="shared" si="26"/>
        <v>0</v>
      </c>
    </row>
    <row r="1675" spans="3:8" x14ac:dyDescent="0.25">
      <c r="C1675" t="str">
        <f>'RES TECH'!M1674</f>
        <v>RESHOULONewSHRAD2FOI20</v>
      </c>
      <c r="G1675" s="4">
        <f>IF(SUMIFS('RES TECH'!N:N,'RES TECH'!M:M,C1675)&gt;0,1,0)</f>
        <v>1</v>
      </c>
      <c r="H1675" s="4">
        <f t="shared" si="26"/>
        <v>0</v>
      </c>
    </row>
    <row r="1676" spans="3:8" x14ac:dyDescent="0.25">
      <c r="C1676" t="str">
        <f>'RES TECH'!M1675</f>
        <v>RESHOULONewSHRAD2FOI22</v>
      </c>
      <c r="G1676" s="4">
        <f>IF(SUMIFS('RES TECH'!N:N,'RES TECH'!M:M,C1676)&gt;0,1,0)</f>
        <v>1</v>
      </c>
      <c r="H1676" s="4">
        <f t="shared" si="26"/>
        <v>0</v>
      </c>
    </row>
    <row r="1677" spans="3:8" x14ac:dyDescent="0.25">
      <c r="C1677" t="str">
        <f>'RES TECH'!M1676</f>
        <v>RESHOULONewSHRAD3FOI20</v>
      </c>
      <c r="G1677" s="4">
        <f>IF(SUMIFS('RES TECH'!N:N,'RES TECH'!M:M,C1677)&gt;0,1,0)</f>
        <v>1</v>
      </c>
      <c r="H1677" s="4">
        <f t="shared" si="26"/>
        <v>0</v>
      </c>
    </row>
    <row r="1678" spans="3:8" x14ac:dyDescent="0.25">
      <c r="C1678" t="str">
        <f>'RES TECH'!M1677</f>
        <v>RESHOULONewSHRAD4FOI20</v>
      </c>
      <c r="G1678" s="4">
        <f>IF(SUMIFS('RES TECH'!N:N,'RES TECH'!M:M,C1678)&gt;0,1,0)</f>
        <v>1</v>
      </c>
      <c r="H1678" s="4">
        <f t="shared" si="26"/>
        <v>0</v>
      </c>
    </row>
    <row r="1679" spans="3:8" x14ac:dyDescent="0.25">
      <c r="C1679" t="str">
        <f>'RES TECH'!M1678</f>
        <v>RESHOULONewSCAHP2NGA20</v>
      </c>
      <c r="G1679" s="4">
        <f>IF(SUMIFS('RES TECH'!N:N,'RES TECH'!M:M,C1679)&gt;0,1,0)</f>
        <v>1</v>
      </c>
      <c r="H1679" s="4">
        <f t="shared" si="26"/>
        <v>0</v>
      </c>
    </row>
    <row r="1680" spans="3:8" x14ac:dyDescent="0.25">
      <c r="C1680" t="str">
        <f>'RES TECH'!M1679</f>
        <v>RESHOULONewSCAHP2NGA20</v>
      </c>
      <c r="G1680" s="4">
        <f>IF(SUMIFS('RES TECH'!N:N,'RES TECH'!M:M,C1680)&gt;0,1,0)</f>
        <v>1</v>
      </c>
      <c r="H1680" s="4">
        <f t="shared" si="26"/>
        <v>0</v>
      </c>
    </row>
    <row r="1681" spans="3:8" x14ac:dyDescent="0.25">
      <c r="C1681" t="str">
        <f>'RES TECH'!M1680</f>
        <v>RESHOULONewSCAHP1ELC20</v>
      </c>
      <c r="G1681" s="4">
        <f>IF(SUMIFS('RES TECH'!N:N,'RES TECH'!M:M,C1681)&gt;0,1,0)</f>
        <v>1</v>
      </c>
      <c r="H1681" s="4">
        <f t="shared" si="26"/>
        <v>0</v>
      </c>
    </row>
    <row r="1682" spans="3:8" x14ac:dyDescent="0.25">
      <c r="C1682" t="str">
        <f>'RES TECH'!M1681</f>
        <v>RESHOULONewSCAHP1ELC23</v>
      </c>
      <c r="G1682" s="4">
        <f>IF(SUMIFS('RES TECH'!N:N,'RES TECH'!M:M,C1682)&gt;0,1,0)</f>
        <v>1</v>
      </c>
      <c r="H1682" s="4">
        <f t="shared" si="26"/>
        <v>0</v>
      </c>
    </row>
    <row r="1683" spans="3:8" x14ac:dyDescent="0.25">
      <c r="C1683" t="str">
        <f>'RES TECH'!M1682</f>
        <v>RESHOULONewSCAHP2ELC20</v>
      </c>
      <c r="G1683" s="4">
        <f>IF(SUMIFS('RES TECH'!N:N,'RES TECH'!M:M,C1683)&gt;0,1,0)</f>
        <v>1</v>
      </c>
      <c r="H1683" s="4">
        <f t="shared" si="26"/>
        <v>0</v>
      </c>
    </row>
    <row r="1684" spans="3:8" x14ac:dyDescent="0.25">
      <c r="C1684" t="str">
        <f>'RES TECH'!M1683</f>
        <v>RESHOULONewSCAHP2ELC23</v>
      </c>
      <c r="G1684" s="4">
        <f>IF(SUMIFS('RES TECH'!N:N,'RES TECH'!M:M,C1684)&gt;0,1,0)</f>
        <v>1</v>
      </c>
      <c r="H1684" s="4">
        <f t="shared" si="26"/>
        <v>0</v>
      </c>
    </row>
    <row r="1685" spans="3:8" x14ac:dyDescent="0.25">
      <c r="C1685" t="str">
        <f>'RES TECH'!M1684</f>
        <v>RESHOULONewSCAHP3ELC20</v>
      </c>
      <c r="G1685" s="4">
        <f>IF(SUMIFS('RES TECH'!N:N,'RES TECH'!M:M,C1685)&gt;0,1,0)</f>
        <v>1</v>
      </c>
      <c r="H1685" s="4">
        <f t="shared" si="26"/>
        <v>0</v>
      </c>
    </row>
    <row r="1686" spans="3:8" x14ac:dyDescent="0.25">
      <c r="C1686" t="str">
        <f>'RES TECH'!M1685</f>
        <v>RESHOULONewSCAHP3ELC22</v>
      </c>
      <c r="G1686" s="4">
        <f>IF(SUMIFS('RES TECH'!N:N,'RES TECH'!M:M,C1686)&gt;0,1,0)</f>
        <v>1</v>
      </c>
      <c r="H1686" s="4">
        <f t="shared" si="26"/>
        <v>0</v>
      </c>
    </row>
    <row r="1687" spans="3:8" x14ac:dyDescent="0.25">
      <c r="C1687" t="str">
        <f>'RES TECH'!M1686</f>
        <v>RESHOULONewSCAHP3ELC23</v>
      </c>
      <c r="G1687" s="4">
        <f>IF(SUMIFS('RES TECH'!N:N,'RES TECH'!M:M,C1687)&gt;0,1,0)</f>
        <v>1</v>
      </c>
      <c r="H1687" s="4">
        <f t="shared" si="26"/>
        <v>0</v>
      </c>
    </row>
    <row r="1688" spans="3:8" x14ac:dyDescent="0.25">
      <c r="C1688" t="str">
        <f>'RES TECH'!M1687</f>
        <v>RESHOULONewSCAHP4ELC20</v>
      </c>
      <c r="G1688" s="4">
        <f>IF(SUMIFS('RES TECH'!N:N,'RES TECH'!M:M,C1688)&gt;0,1,0)</f>
        <v>1</v>
      </c>
      <c r="H1688" s="4">
        <f t="shared" si="26"/>
        <v>0</v>
      </c>
    </row>
    <row r="1689" spans="3:8" x14ac:dyDescent="0.25">
      <c r="C1689" t="str">
        <f>'RES TECH'!M1688</f>
        <v>RESHOULONewSCAHP4ELC22</v>
      </c>
      <c r="G1689" s="4">
        <f>IF(SUMIFS('RES TECH'!N:N,'RES TECH'!M:M,C1689)&gt;0,1,0)</f>
        <v>1</v>
      </c>
      <c r="H1689" s="4">
        <f t="shared" si="26"/>
        <v>0</v>
      </c>
    </row>
    <row r="1690" spans="3:8" x14ac:dyDescent="0.25">
      <c r="C1690" t="str">
        <f>'RES TECH'!M1689</f>
        <v>RESHOULONewSCGHP1ELC20</v>
      </c>
      <c r="G1690" s="4">
        <f>IF(SUMIFS('RES TECH'!N:N,'RES TECH'!M:M,C1690)&gt;0,1,0)</f>
        <v>1</v>
      </c>
      <c r="H1690" s="4">
        <f t="shared" si="26"/>
        <v>0</v>
      </c>
    </row>
    <row r="1691" spans="3:8" x14ac:dyDescent="0.25">
      <c r="C1691" t="str">
        <f>'RES TECH'!M1690</f>
        <v>RESHOULONewSCGHP2ELC20</v>
      </c>
      <c r="G1691" s="4">
        <f>IF(SUMIFS('RES TECH'!N:N,'RES TECH'!M:M,C1691)&gt;0,1,0)</f>
        <v>1</v>
      </c>
      <c r="H1691" s="4">
        <f t="shared" si="26"/>
        <v>0</v>
      </c>
    </row>
    <row r="1692" spans="3:8" x14ac:dyDescent="0.25">
      <c r="C1692" t="str">
        <f>'RES TECH'!M1691</f>
        <v>RESHOULONewSCGHP3ELC20</v>
      </c>
      <c r="G1692" s="4">
        <f>IF(SUMIFS('RES TECH'!N:N,'RES TECH'!M:M,C1692)&gt;0,1,0)</f>
        <v>1</v>
      </c>
      <c r="H1692" s="4">
        <f t="shared" si="26"/>
        <v>0</v>
      </c>
    </row>
    <row r="1693" spans="3:8" x14ac:dyDescent="0.25">
      <c r="C1693" t="str">
        <f>'RES TECH'!M1692</f>
        <v>RESHOULONewSCGHP3ELC20</v>
      </c>
      <c r="G1693" s="4">
        <f>IF(SUMIFS('RES TECH'!N:N,'RES TECH'!M:M,C1693)&gt;0,1,0)</f>
        <v>1</v>
      </c>
      <c r="H1693" s="4">
        <f t="shared" si="26"/>
        <v>0</v>
      </c>
    </row>
    <row r="1694" spans="3:8" x14ac:dyDescent="0.25">
      <c r="C1694" t="str">
        <f>'RES TECH'!M1693</f>
        <v>RESHOULONewSCGHP3ELC22</v>
      </c>
      <c r="G1694" s="4">
        <f>IF(SUMIFS('RES TECH'!N:N,'RES TECH'!M:M,C1694)&gt;0,1,0)</f>
        <v>1</v>
      </c>
      <c r="H1694" s="4">
        <f t="shared" si="26"/>
        <v>0</v>
      </c>
    </row>
    <row r="1695" spans="3:8" x14ac:dyDescent="0.25">
      <c r="C1695" t="str">
        <f>'RES TECH'!M1694</f>
        <v>RESHOULONewSCGHP3ELC23</v>
      </c>
      <c r="G1695" s="4">
        <f>IF(SUMIFS('RES TECH'!N:N,'RES TECH'!M:M,C1695)&gt;0,1,0)</f>
        <v>1</v>
      </c>
      <c r="H1695" s="4">
        <f t="shared" si="26"/>
        <v>0</v>
      </c>
    </row>
    <row r="1696" spans="3:8" x14ac:dyDescent="0.25">
      <c r="C1696" t="str">
        <f>'RES TECH'!M1695</f>
        <v>RESHOULONewSCGHP3ELC24</v>
      </c>
      <c r="G1696" s="4">
        <f>IF(SUMIFS('RES TECH'!N:N,'RES TECH'!M:M,C1696)&gt;0,1,0)</f>
        <v>1</v>
      </c>
      <c r="H1696" s="4">
        <f t="shared" si="26"/>
        <v>0</v>
      </c>
    </row>
    <row r="1697" spans="3:8" x14ac:dyDescent="0.25">
      <c r="C1697" t="str">
        <f>'RES TECH'!M1696</f>
        <v>RESHOULONewSCGHP4ELC20</v>
      </c>
      <c r="G1697" s="4">
        <f>IF(SUMIFS('RES TECH'!N:N,'RES TECH'!M:M,C1697)&gt;0,1,0)</f>
        <v>1</v>
      </c>
      <c r="H1697" s="4">
        <f t="shared" si="26"/>
        <v>0</v>
      </c>
    </row>
    <row r="1698" spans="3:8" x14ac:dyDescent="0.25">
      <c r="C1698" t="str">
        <f>'RES TECH'!M1697</f>
        <v>RESHOULONewSCGHP4ELC20</v>
      </c>
      <c r="G1698" s="4">
        <f>IF(SUMIFS('RES TECH'!N:N,'RES TECH'!M:M,C1698)&gt;0,1,0)</f>
        <v>1</v>
      </c>
      <c r="H1698" s="4">
        <f t="shared" si="26"/>
        <v>0</v>
      </c>
    </row>
    <row r="1699" spans="3:8" x14ac:dyDescent="0.25">
      <c r="C1699" t="str">
        <f>'RES TECH'!M1698</f>
        <v>RESHOULONewSCGHP4ELC22</v>
      </c>
      <c r="G1699" s="4">
        <f>IF(SUMIFS('RES TECH'!N:N,'RES TECH'!M:M,C1699)&gt;0,1,0)</f>
        <v>1</v>
      </c>
      <c r="H1699" s="4">
        <f t="shared" si="26"/>
        <v>0</v>
      </c>
    </row>
    <row r="1700" spans="3:8" x14ac:dyDescent="0.25">
      <c r="C1700" t="str">
        <f>'RES TECH'!M1699</f>
        <v>RESHOULONewSCGHP4ELC23</v>
      </c>
      <c r="G1700" s="4">
        <f>IF(SUMIFS('RES TECH'!N:N,'RES TECH'!M:M,C1700)&gt;0,1,0)</f>
        <v>1</v>
      </c>
      <c r="H1700" s="4">
        <f t="shared" si="26"/>
        <v>0</v>
      </c>
    </row>
    <row r="1701" spans="3:8" x14ac:dyDescent="0.25">
      <c r="C1701" t="str">
        <f>'RES TECH'!M1700</f>
        <v>RESHOULONewSCGHP4ELC24</v>
      </c>
      <c r="G1701" s="4">
        <f>IF(SUMIFS('RES TECH'!N:N,'RES TECH'!M:M,C1701)&gt;0,1,0)</f>
        <v>1</v>
      </c>
      <c r="H1701" s="4">
        <f t="shared" si="26"/>
        <v>0</v>
      </c>
    </row>
    <row r="1702" spans="3:8" x14ac:dyDescent="0.25">
      <c r="C1702" t="str">
        <f>'RES TECH'!M1701</f>
        <v>RESHOULONewSCRAC1ELC20</v>
      </c>
      <c r="G1702" s="4">
        <f>IF(SUMIFS('RES TECH'!N:N,'RES TECH'!M:M,C1702)&gt;0,1,0)</f>
        <v>1</v>
      </c>
      <c r="H1702" s="4">
        <f t="shared" si="26"/>
        <v>0</v>
      </c>
    </row>
    <row r="1703" spans="3:8" x14ac:dyDescent="0.25">
      <c r="C1703" t="str">
        <f>'RES TECH'!M1702</f>
        <v>RESHOULONewSCRAC2ELC20</v>
      </c>
      <c r="G1703" s="4">
        <f>IF(SUMIFS('RES TECH'!N:N,'RES TECH'!M:M,C1703)&gt;0,1,0)</f>
        <v>1</v>
      </c>
      <c r="H1703" s="4">
        <f t="shared" si="26"/>
        <v>0</v>
      </c>
    </row>
    <row r="1704" spans="3:8" x14ac:dyDescent="0.25">
      <c r="C1704" t="str">
        <f>'RES TECH'!M1703</f>
        <v>RESHOULONewSCRAC2ELC30</v>
      </c>
      <c r="G1704" s="4">
        <f>IF(SUMIFS('RES TECH'!N:N,'RES TECH'!M:M,C1704)&gt;0,1,0)</f>
        <v>1</v>
      </c>
      <c r="H1704" s="4">
        <f t="shared" si="26"/>
        <v>0</v>
      </c>
    </row>
    <row r="1705" spans="3:8" x14ac:dyDescent="0.25">
      <c r="C1705" t="str">
        <f>'RES TECH'!M1704</f>
        <v>RESHOULONewSCRAC2ELC40</v>
      </c>
      <c r="G1705" s="4">
        <f>IF(SUMIFS('RES TECH'!N:N,'RES TECH'!M:M,C1705)&gt;0,1,0)</f>
        <v>1</v>
      </c>
      <c r="H1705" s="4">
        <f t="shared" si="26"/>
        <v>0</v>
      </c>
    </row>
    <row r="1706" spans="3:8" x14ac:dyDescent="0.25">
      <c r="C1706" t="str">
        <f>'RES TECH'!M1705</f>
        <v>RESHOULONewSCRAC3ELC20</v>
      </c>
      <c r="G1706" s="4">
        <f>IF(SUMIFS('RES TECH'!N:N,'RES TECH'!M:M,C1706)&gt;0,1,0)</f>
        <v>1</v>
      </c>
      <c r="H1706" s="4">
        <f t="shared" si="26"/>
        <v>0</v>
      </c>
    </row>
    <row r="1707" spans="3:8" x14ac:dyDescent="0.25">
      <c r="C1707" t="str">
        <f>'RES TECH'!M1706</f>
        <v>RESHOULONewSCRAC4ELC20</v>
      </c>
      <c r="G1707" s="4">
        <f>IF(SUMIFS('RES TECH'!N:N,'RES TECH'!M:M,C1707)&gt;0,1,0)</f>
        <v>1</v>
      </c>
      <c r="H1707" s="4">
        <f t="shared" si="26"/>
        <v>0</v>
      </c>
    </row>
    <row r="1708" spans="3:8" x14ac:dyDescent="0.25">
      <c r="C1708" t="str">
        <f>'RES TECH'!M1707</f>
        <v>RESHOULONewSCRAC4ELC22</v>
      </c>
      <c r="G1708" s="4">
        <f>IF(SUMIFS('RES TECH'!N:N,'RES TECH'!M:M,C1708)&gt;0,1,0)</f>
        <v>1</v>
      </c>
      <c r="H1708" s="4">
        <f t="shared" si="26"/>
        <v>0</v>
      </c>
    </row>
    <row r="1709" spans="3:8" x14ac:dyDescent="0.25">
      <c r="C1709" t="str">
        <f>'RES TECH'!M1708</f>
        <v>RESHOULONewSCRAC4ELC30</v>
      </c>
      <c r="G1709" s="4">
        <f>IF(SUMIFS('RES TECH'!N:N,'RES TECH'!M:M,C1709)&gt;0,1,0)</f>
        <v>1</v>
      </c>
      <c r="H1709" s="4">
        <f t="shared" si="26"/>
        <v>0</v>
      </c>
    </row>
    <row r="1710" spans="3:8" x14ac:dyDescent="0.25">
      <c r="C1710" t="str">
        <f>'RES TECH'!M1709</f>
        <v>RESHOULONewSCRAC4ELC40</v>
      </c>
      <c r="G1710" s="4">
        <f>IF(SUMIFS('RES TECH'!N:N,'RES TECH'!M:M,C1710)&gt;0,1,0)</f>
        <v>1</v>
      </c>
      <c r="H1710" s="4">
        <f t="shared" si="26"/>
        <v>0</v>
      </c>
    </row>
    <row r="1711" spans="3:8" x14ac:dyDescent="0.25">
      <c r="C1711" t="str">
        <f>'RES TECH'!M1710</f>
        <v>RESHOULONewSCCAC1ELC20</v>
      </c>
      <c r="G1711" s="4">
        <f>IF(SUMIFS('RES TECH'!N:N,'RES TECH'!M:M,C1711)&gt;0,1,0)</f>
        <v>1</v>
      </c>
      <c r="H1711" s="4">
        <f t="shared" si="26"/>
        <v>0</v>
      </c>
    </row>
    <row r="1712" spans="3:8" x14ac:dyDescent="0.25">
      <c r="C1712" t="str">
        <f>'RES TECH'!M1711</f>
        <v>RESHOULONewSCCAC1ELC23</v>
      </c>
      <c r="G1712" s="4">
        <f>IF(SUMIFS('RES TECH'!N:N,'RES TECH'!M:M,C1712)&gt;0,1,0)</f>
        <v>1</v>
      </c>
      <c r="H1712" s="4">
        <f t="shared" si="26"/>
        <v>0</v>
      </c>
    </row>
    <row r="1713" spans="3:8" x14ac:dyDescent="0.25">
      <c r="C1713" t="str">
        <f>'RES TECH'!M1712</f>
        <v>RESHOULONewSCCAC2ELC20</v>
      </c>
      <c r="G1713" s="4">
        <f>IF(SUMIFS('RES TECH'!N:N,'RES TECH'!M:M,C1713)&gt;0,1,0)</f>
        <v>1</v>
      </c>
      <c r="H1713" s="4">
        <f t="shared" si="26"/>
        <v>0</v>
      </c>
    </row>
    <row r="1714" spans="3:8" x14ac:dyDescent="0.25">
      <c r="C1714" t="str">
        <f>'RES TECH'!M1713</f>
        <v>RESHOULONewSCCAC2ELC23</v>
      </c>
      <c r="G1714" s="4">
        <f>IF(SUMIFS('RES TECH'!N:N,'RES TECH'!M:M,C1714)&gt;0,1,0)</f>
        <v>1</v>
      </c>
      <c r="H1714" s="4">
        <f t="shared" si="26"/>
        <v>0</v>
      </c>
    </row>
    <row r="1715" spans="3:8" x14ac:dyDescent="0.25">
      <c r="C1715" t="str">
        <f>'RES TECH'!M1714</f>
        <v>RESHOULONewSCCAC3ELC20</v>
      </c>
      <c r="G1715" s="4">
        <f>IF(SUMIFS('RES TECH'!N:N,'RES TECH'!M:M,C1715)&gt;0,1,0)</f>
        <v>1</v>
      </c>
      <c r="H1715" s="4">
        <f t="shared" si="26"/>
        <v>0</v>
      </c>
    </row>
    <row r="1716" spans="3:8" x14ac:dyDescent="0.25">
      <c r="C1716" t="str">
        <f>'RES TECH'!M1715</f>
        <v>RESHOULONewSCCAC3ELC23</v>
      </c>
      <c r="G1716" s="4">
        <f>IF(SUMIFS('RES TECH'!N:N,'RES TECH'!M:M,C1716)&gt;0,1,0)</f>
        <v>1</v>
      </c>
      <c r="H1716" s="4">
        <f t="shared" si="26"/>
        <v>0</v>
      </c>
    </row>
    <row r="1717" spans="3:8" x14ac:dyDescent="0.25">
      <c r="C1717" t="str">
        <f>'RES TECH'!M1716</f>
        <v>RESHOULONewSCCAC4ELC20</v>
      </c>
      <c r="G1717" s="4">
        <f>IF(SUMIFS('RES TECH'!N:N,'RES TECH'!M:M,C1717)&gt;0,1,0)</f>
        <v>1</v>
      </c>
      <c r="H1717" s="4">
        <f t="shared" si="26"/>
        <v>0</v>
      </c>
    </row>
    <row r="1718" spans="3:8" x14ac:dyDescent="0.25">
      <c r="C1718" t="str">
        <f>'RES TECH'!M1717</f>
        <v>RESHOULONewSCCAC4ELC22</v>
      </c>
      <c r="G1718" s="4">
        <f>IF(SUMIFS('RES TECH'!N:N,'RES TECH'!M:M,C1718)&gt;0,1,0)</f>
        <v>1</v>
      </c>
      <c r="H1718" s="4">
        <f t="shared" si="26"/>
        <v>0</v>
      </c>
    </row>
    <row r="1719" spans="3:8" x14ac:dyDescent="0.25">
      <c r="C1719" t="str">
        <f>'RES TECH'!M1718</f>
        <v>RESHOULONewRETF1ELC20</v>
      </c>
      <c r="G1719" s="4">
        <f>IF(SUMIFS('RES TECH'!N:N,'RES TECH'!M:M,C1719)&gt;0,1,0)</f>
        <v>1</v>
      </c>
      <c r="H1719" s="4">
        <f t="shared" si="26"/>
        <v>0</v>
      </c>
    </row>
    <row r="1720" spans="3:8" x14ac:dyDescent="0.25">
      <c r="C1720" t="str">
        <f>'RES TECH'!M1719</f>
        <v>RESHOULONewRETF2ELC20</v>
      </c>
      <c r="G1720" s="4">
        <f>IF(SUMIFS('RES TECH'!N:N,'RES TECH'!M:M,C1720)&gt;0,1,0)</f>
        <v>1</v>
      </c>
      <c r="H1720" s="4">
        <f t="shared" si="26"/>
        <v>0</v>
      </c>
    </row>
    <row r="1721" spans="3:8" x14ac:dyDescent="0.25">
      <c r="C1721" t="str">
        <f>'RES TECH'!M1720</f>
        <v>RESHOULONewRETF3ELC20</v>
      </c>
      <c r="G1721" s="4">
        <f>IF(SUMIFS('RES TECH'!N:N,'RES TECH'!M:M,C1721)&gt;0,1,0)</f>
        <v>1</v>
      </c>
      <c r="H1721" s="4">
        <f t="shared" si="26"/>
        <v>0</v>
      </c>
    </row>
    <row r="1722" spans="3:8" x14ac:dyDescent="0.25">
      <c r="C1722" t="str">
        <f>'RES TECH'!M1721</f>
        <v>RESHOULONewRETF4ELC20</v>
      </c>
      <c r="G1722" s="4">
        <f>IF(SUMIFS('RES TECH'!N:N,'RES TECH'!M:M,C1722)&gt;0,1,0)</f>
        <v>1</v>
      </c>
      <c r="H1722" s="4">
        <f t="shared" si="26"/>
        <v>0</v>
      </c>
    </row>
    <row r="1723" spans="3:8" x14ac:dyDescent="0.25">
      <c r="C1723" t="str">
        <f>'RES TECH'!M1722</f>
        <v>RESHOULONewRESF1ELC20</v>
      </c>
      <c r="G1723" s="4">
        <f>IF(SUMIFS('RES TECH'!N:N,'RES TECH'!M:M,C1723)&gt;0,1,0)</f>
        <v>1</v>
      </c>
      <c r="H1723" s="4">
        <f t="shared" si="26"/>
        <v>0</v>
      </c>
    </row>
    <row r="1724" spans="3:8" x14ac:dyDescent="0.25">
      <c r="C1724" t="str">
        <f>'RES TECH'!M1723</f>
        <v>RESHOULONewRESF2ELC20</v>
      </c>
      <c r="G1724" s="4">
        <f>IF(SUMIFS('RES TECH'!N:N,'RES TECH'!M:M,C1724)&gt;0,1,0)</f>
        <v>1</v>
      </c>
      <c r="H1724" s="4">
        <f t="shared" si="26"/>
        <v>0</v>
      </c>
    </row>
    <row r="1725" spans="3:8" x14ac:dyDescent="0.25">
      <c r="C1725" t="str">
        <f>'RES TECH'!M1724</f>
        <v>RESHOULONewRESF3ELC20</v>
      </c>
      <c r="G1725" s="4">
        <f>IF(SUMIFS('RES TECH'!N:N,'RES TECH'!M:M,C1725)&gt;0,1,0)</f>
        <v>1</v>
      </c>
      <c r="H1725" s="4">
        <f t="shared" si="26"/>
        <v>0</v>
      </c>
    </row>
    <row r="1726" spans="3:8" x14ac:dyDescent="0.25">
      <c r="C1726" t="str">
        <f>'RES TECH'!M1725</f>
        <v>RESHOULONewRESF4ELC20</v>
      </c>
      <c r="G1726" s="4">
        <f>IF(SUMIFS('RES TECH'!N:N,'RES TECH'!M:M,C1726)&gt;0,1,0)</f>
        <v>1</v>
      </c>
      <c r="H1726" s="4">
        <f t="shared" si="26"/>
        <v>0</v>
      </c>
    </row>
    <row r="1727" spans="3:8" x14ac:dyDescent="0.25">
      <c r="C1727" t="str">
        <f>'RES TECH'!M1726</f>
        <v>RESHOULONewREBF1ELC20</v>
      </c>
      <c r="G1727" s="4">
        <f>IF(SUMIFS('RES TECH'!N:N,'RES TECH'!M:M,C1727)&gt;0,1,0)</f>
        <v>1</v>
      </c>
      <c r="H1727" s="4">
        <f t="shared" si="26"/>
        <v>0</v>
      </c>
    </row>
    <row r="1728" spans="3:8" x14ac:dyDescent="0.25">
      <c r="C1728" t="str">
        <f>'RES TECH'!M1727</f>
        <v>RESHOULONewREBF2ELC20</v>
      </c>
      <c r="G1728" s="4">
        <f>IF(SUMIFS('RES TECH'!N:N,'RES TECH'!M:M,C1728)&gt;0,1,0)</f>
        <v>1</v>
      </c>
      <c r="H1728" s="4">
        <f t="shared" si="26"/>
        <v>0</v>
      </c>
    </row>
    <row r="1729" spans="3:8" x14ac:dyDescent="0.25">
      <c r="C1729" t="str">
        <f>'RES TECH'!M1728</f>
        <v>RESHOULONewREBF3ELC20</v>
      </c>
      <c r="G1729" s="4">
        <f>IF(SUMIFS('RES TECH'!N:N,'RES TECH'!M:M,C1729)&gt;0,1,0)</f>
        <v>1</v>
      </c>
      <c r="H1729" s="4">
        <f t="shared" si="26"/>
        <v>0</v>
      </c>
    </row>
    <row r="1730" spans="3:8" x14ac:dyDescent="0.25">
      <c r="C1730" t="str">
        <f>'RES TECH'!M1729</f>
        <v>RESHOULONewREBF4ELC20</v>
      </c>
      <c r="G1730" s="4">
        <f>IF(SUMIFS('RES TECH'!N:N,'RES TECH'!M:M,C1730)&gt;0,1,0)</f>
        <v>1</v>
      </c>
      <c r="H1730" s="4">
        <f t="shared" si="26"/>
        <v>0</v>
      </c>
    </row>
    <row r="1731" spans="3:8" x14ac:dyDescent="0.25">
      <c r="C1731" t="str">
        <f>'RES TECH'!M1730</f>
        <v>RESHOULONewFRC1ELC20</v>
      </c>
      <c r="G1731" s="4">
        <f>IF(SUMIFS('RES TECH'!N:N,'RES TECH'!M:M,C1731)&gt;0,1,0)</f>
        <v>1</v>
      </c>
      <c r="H1731" s="4">
        <f t="shared" si="26"/>
        <v>0</v>
      </c>
    </row>
    <row r="1732" spans="3:8" x14ac:dyDescent="0.25">
      <c r="C1732" t="str">
        <f>'RES TECH'!M1731</f>
        <v>RESHOULONewFRC2ELC20</v>
      </c>
      <c r="G1732" s="4">
        <f>IF(SUMIFS('RES TECH'!N:N,'RES TECH'!M:M,C1732)&gt;0,1,0)</f>
        <v>1</v>
      </c>
      <c r="H1732" s="4">
        <f t="shared" si="26"/>
        <v>0</v>
      </c>
    </row>
    <row r="1733" spans="3:8" x14ac:dyDescent="0.25">
      <c r="C1733" t="str">
        <f>'RES TECH'!M1732</f>
        <v>RESHOULONewFRC3ELC20</v>
      </c>
      <c r="G1733" s="4">
        <f>IF(SUMIFS('RES TECH'!N:N,'RES TECH'!M:M,C1733)&gt;0,1,0)</f>
        <v>1</v>
      </c>
      <c r="H1733" s="4">
        <f t="shared" ref="H1733:H1796" si="27">IF(C1733="","",IF(C1733="*","*",0))</f>
        <v>0</v>
      </c>
    </row>
    <row r="1734" spans="3:8" x14ac:dyDescent="0.25">
      <c r="C1734" t="str">
        <f>'RES TECH'!M1733</f>
        <v>RESHOULONewFRC4ELC20</v>
      </c>
      <c r="G1734" s="4">
        <f>IF(SUMIFS('RES TECH'!N:N,'RES TECH'!M:M,C1734)&gt;0,1,0)</f>
        <v>1</v>
      </c>
      <c r="H1734" s="4">
        <f t="shared" si="27"/>
        <v>0</v>
      </c>
    </row>
    <row r="1735" spans="3:8" x14ac:dyDescent="0.25">
      <c r="C1735" t="str">
        <f>'RES TECH'!M1734</f>
        <v>RESHOULONewFRU1ELC20</v>
      </c>
      <c r="G1735" s="4">
        <f>IF(SUMIFS('RES TECH'!N:N,'RES TECH'!M:M,C1735)&gt;0,1,0)</f>
        <v>1</v>
      </c>
      <c r="H1735" s="4">
        <f t="shared" si="27"/>
        <v>0</v>
      </c>
    </row>
    <row r="1736" spans="3:8" x14ac:dyDescent="0.25">
      <c r="C1736" t="str">
        <f>'RES TECH'!M1735</f>
        <v>RESHOULONewFRU2ELC20</v>
      </c>
      <c r="G1736" s="4">
        <f>IF(SUMIFS('RES TECH'!N:N,'RES TECH'!M:M,C1736)&gt;0,1,0)</f>
        <v>1</v>
      </c>
      <c r="H1736" s="4">
        <f t="shared" si="27"/>
        <v>0</v>
      </c>
    </row>
    <row r="1737" spans="3:8" x14ac:dyDescent="0.25">
      <c r="C1737" t="str">
        <f>'RES TECH'!M1736</f>
        <v>RESHOULONewFRU3ELC20</v>
      </c>
      <c r="G1737" s="4">
        <f>IF(SUMIFS('RES TECH'!N:N,'RES TECH'!M:M,C1737)&gt;0,1,0)</f>
        <v>1</v>
      </c>
      <c r="H1737" s="4">
        <f t="shared" si="27"/>
        <v>0</v>
      </c>
    </row>
    <row r="1738" spans="3:8" x14ac:dyDescent="0.25">
      <c r="C1738" t="str">
        <f>'RES TECH'!M1737</f>
        <v>RESHOULONewFRU4ELC20</v>
      </c>
      <c r="G1738" s="4">
        <f>IF(SUMIFS('RES TECH'!N:N,'RES TECH'!M:M,C1738)&gt;0,1,0)</f>
        <v>1</v>
      </c>
      <c r="H1738" s="4">
        <f t="shared" si="27"/>
        <v>0</v>
      </c>
    </row>
    <row r="1739" spans="3:8" x14ac:dyDescent="0.25">
      <c r="C1739" t="str">
        <f>'RES TECH'!M1738</f>
        <v>RESHOULONewCK2NGA20</v>
      </c>
      <c r="G1739" s="4">
        <f>IF(SUMIFS('RES TECH'!N:N,'RES TECH'!M:M,C1739)&gt;0,1,0)</f>
        <v>1</v>
      </c>
      <c r="H1739" s="4">
        <f t="shared" si="27"/>
        <v>0</v>
      </c>
    </row>
    <row r="1740" spans="3:8" x14ac:dyDescent="0.25">
      <c r="C1740" t="str">
        <f>'RES TECH'!M1739</f>
        <v>RESHOULONewCK4NGA20</v>
      </c>
      <c r="G1740" s="4">
        <f>IF(SUMIFS('RES TECH'!N:N,'RES TECH'!M:M,C1740)&gt;0,1,0)</f>
        <v>1</v>
      </c>
      <c r="H1740" s="4">
        <f t="shared" si="27"/>
        <v>0</v>
      </c>
    </row>
    <row r="1741" spans="3:8" x14ac:dyDescent="0.25">
      <c r="C1741" t="str">
        <f>'RES TECH'!M1740</f>
        <v>RESHOULONewCK2LPG20</v>
      </c>
      <c r="G1741" s="4">
        <f>IF(SUMIFS('RES TECH'!N:N,'RES TECH'!M:M,C1741)&gt;0,1,0)</f>
        <v>1</v>
      </c>
      <c r="H1741" s="4">
        <f t="shared" si="27"/>
        <v>0</v>
      </c>
    </row>
    <row r="1742" spans="3:8" x14ac:dyDescent="0.25">
      <c r="C1742" t="str">
        <f>'RES TECH'!M1741</f>
        <v>RESHOULONewCK4LPG20</v>
      </c>
      <c r="G1742" s="4">
        <f>IF(SUMIFS('RES TECH'!N:N,'RES TECH'!M:M,C1742)&gt;0,1,0)</f>
        <v>1</v>
      </c>
      <c r="H1742" s="4">
        <f t="shared" si="27"/>
        <v>0</v>
      </c>
    </row>
    <row r="1743" spans="3:8" x14ac:dyDescent="0.25">
      <c r="C1743" t="str">
        <f>'RES TECH'!M1742</f>
        <v>RESHOULONewCK2ELC20</v>
      </c>
      <c r="G1743" s="4">
        <f>IF(SUMIFS('RES TECH'!N:N,'RES TECH'!M:M,C1743)&gt;0,1,0)</f>
        <v>1</v>
      </c>
      <c r="H1743" s="4">
        <f t="shared" si="27"/>
        <v>0</v>
      </c>
    </row>
    <row r="1744" spans="3:8" x14ac:dyDescent="0.25">
      <c r="C1744" t="str">
        <f>'RES TECH'!M1743</f>
        <v>RESHOULONewCWF4ELC30</v>
      </c>
      <c r="G1744" s="4">
        <f>IF(SUMIFS('RES TECH'!N:N,'RES TECH'!M:M,C1744)&gt;0,1,0)</f>
        <v>1</v>
      </c>
      <c r="H1744" s="4">
        <f t="shared" si="27"/>
        <v>0</v>
      </c>
    </row>
    <row r="1745" spans="3:8" x14ac:dyDescent="0.25">
      <c r="C1745" t="str">
        <f>'RES TECH'!M1744</f>
        <v>RESHOULONewCWT1ELC20</v>
      </c>
      <c r="G1745" s="4">
        <f>IF(SUMIFS('RES TECH'!N:N,'RES TECH'!M:M,C1745)&gt;0,1,0)</f>
        <v>1</v>
      </c>
      <c r="H1745" s="4">
        <f t="shared" si="27"/>
        <v>0</v>
      </c>
    </row>
    <row r="1746" spans="3:8" x14ac:dyDescent="0.25">
      <c r="C1746" t="str">
        <f>'RES TECH'!M1745</f>
        <v>RESHOULONewCWT2ELC20</v>
      </c>
      <c r="G1746" s="4">
        <f>IF(SUMIFS('RES TECH'!N:N,'RES TECH'!M:M,C1746)&gt;0,1,0)</f>
        <v>1</v>
      </c>
      <c r="H1746" s="4">
        <f t="shared" si="27"/>
        <v>0</v>
      </c>
    </row>
    <row r="1747" spans="3:8" x14ac:dyDescent="0.25">
      <c r="C1747" t="str">
        <f>'RES TECH'!M1746</f>
        <v>RESHOULONewCWT2ELC20</v>
      </c>
      <c r="G1747" s="4">
        <f>IF(SUMIFS('RES TECH'!N:N,'RES TECH'!M:M,C1747)&gt;0,1,0)</f>
        <v>1</v>
      </c>
      <c r="H1747" s="4">
        <f t="shared" si="27"/>
        <v>0</v>
      </c>
    </row>
    <row r="1748" spans="3:8" x14ac:dyDescent="0.25">
      <c r="C1748" t="str">
        <f>'RES TECH'!M1747</f>
        <v>RESHOULONewCWT3ELC20</v>
      </c>
      <c r="G1748" s="4">
        <f>IF(SUMIFS('RES TECH'!N:N,'RES TECH'!M:M,C1748)&gt;0,1,0)</f>
        <v>1</v>
      </c>
      <c r="H1748" s="4">
        <f t="shared" si="27"/>
        <v>0</v>
      </c>
    </row>
    <row r="1749" spans="3:8" x14ac:dyDescent="0.25">
      <c r="C1749" t="str">
        <f>'RES TECH'!M1748</f>
        <v>RESHOULONewCWT4ELC20</v>
      </c>
      <c r="G1749" s="4">
        <f>IF(SUMIFS('RES TECH'!N:N,'RES TECH'!M:M,C1749)&gt;0,1,0)</f>
        <v>1</v>
      </c>
      <c r="H1749" s="4">
        <f t="shared" si="27"/>
        <v>0</v>
      </c>
    </row>
    <row r="1750" spans="3:8" x14ac:dyDescent="0.25">
      <c r="C1750" t="str">
        <f>'RES TECH'!M1749</f>
        <v>RESHOULONewCWF1ELC20</v>
      </c>
      <c r="G1750" s="4">
        <f>IF(SUMIFS('RES TECH'!N:N,'RES TECH'!M:M,C1750)&gt;0,1,0)</f>
        <v>1</v>
      </c>
      <c r="H1750" s="4">
        <f t="shared" si="27"/>
        <v>0</v>
      </c>
    </row>
    <row r="1751" spans="3:8" x14ac:dyDescent="0.25">
      <c r="C1751" t="str">
        <f>'RES TECH'!M1750</f>
        <v>RESHOULONewCWF2ELC20</v>
      </c>
      <c r="G1751" s="4">
        <f>IF(SUMIFS('RES TECH'!N:N,'RES TECH'!M:M,C1751)&gt;0,1,0)</f>
        <v>1</v>
      </c>
      <c r="H1751" s="4">
        <f t="shared" si="27"/>
        <v>0</v>
      </c>
    </row>
    <row r="1752" spans="3:8" x14ac:dyDescent="0.25">
      <c r="C1752" t="str">
        <f>'RES TECH'!M1751</f>
        <v>RESHOULONewCWF2ELC30</v>
      </c>
      <c r="G1752" s="4">
        <f>IF(SUMIFS('RES TECH'!N:N,'RES TECH'!M:M,C1752)&gt;0,1,0)</f>
        <v>1</v>
      </c>
      <c r="H1752" s="4">
        <f t="shared" si="27"/>
        <v>0</v>
      </c>
    </row>
    <row r="1753" spans="3:8" x14ac:dyDescent="0.25">
      <c r="C1753" t="str">
        <f>'RES TECH'!M1752</f>
        <v>RESHOULONewCWF3ELC20</v>
      </c>
      <c r="G1753" s="4">
        <f>IF(SUMIFS('RES TECH'!N:N,'RES TECH'!M:M,C1753)&gt;0,1,0)</f>
        <v>1</v>
      </c>
      <c r="H1753" s="4">
        <f t="shared" si="27"/>
        <v>0</v>
      </c>
    </row>
    <row r="1754" spans="3:8" x14ac:dyDescent="0.25">
      <c r="C1754" t="str">
        <f>'RES TECH'!M1753</f>
        <v>RESHOULONewCWF4ELC20</v>
      </c>
      <c r="G1754" s="4">
        <f>IF(SUMIFS('RES TECH'!N:N,'RES TECH'!M:M,C1754)&gt;0,1,0)</f>
        <v>1</v>
      </c>
      <c r="H1754" s="4">
        <f t="shared" si="27"/>
        <v>0</v>
      </c>
    </row>
    <row r="1755" spans="3:8" x14ac:dyDescent="0.25">
      <c r="C1755" t="str">
        <f>'RES TECH'!M1754</f>
        <v>RESHOULONewCWF4ELC20</v>
      </c>
      <c r="G1755" s="4">
        <f>IF(SUMIFS('RES TECH'!N:N,'RES TECH'!M:M,C1755)&gt;0,1,0)</f>
        <v>1</v>
      </c>
      <c r="H1755" s="4">
        <f t="shared" si="27"/>
        <v>0</v>
      </c>
    </row>
    <row r="1756" spans="3:8" x14ac:dyDescent="0.25">
      <c r="C1756" t="str">
        <f>'RES TECH'!M1755</f>
        <v>RESHOULONewCD1NGA20</v>
      </c>
      <c r="G1756" s="4">
        <f>IF(SUMIFS('RES TECH'!N:N,'RES TECH'!M:M,C1756)&gt;0,1,0)</f>
        <v>1</v>
      </c>
      <c r="H1756" s="4">
        <f t="shared" si="27"/>
        <v>0</v>
      </c>
    </row>
    <row r="1757" spans="3:8" x14ac:dyDescent="0.25">
      <c r="C1757" t="str">
        <f>'RES TECH'!M1756</f>
        <v>RESHOULONewCD2NGA20</v>
      </c>
      <c r="G1757" s="4">
        <f>IF(SUMIFS('RES TECH'!N:N,'RES TECH'!M:M,C1757)&gt;0,1,0)</f>
        <v>1</v>
      </c>
      <c r="H1757" s="4">
        <f t="shared" si="27"/>
        <v>0</v>
      </c>
    </row>
    <row r="1758" spans="3:8" x14ac:dyDescent="0.25">
      <c r="C1758" t="str">
        <f>'RES TECH'!M1757</f>
        <v>RESHOULONewCD3NGA20</v>
      </c>
      <c r="G1758" s="4">
        <f>IF(SUMIFS('RES TECH'!N:N,'RES TECH'!M:M,C1758)&gt;0,1,0)</f>
        <v>1</v>
      </c>
      <c r="H1758" s="4">
        <f t="shared" si="27"/>
        <v>0</v>
      </c>
    </row>
    <row r="1759" spans="3:8" x14ac:dyDescent="0.25">
      <c r="C1759" t="str">
        <f>'RES TECH'!M1758</f>
        <v>RESHOULONewCD4NGA20</v>
      </c>
      <c r="G1759" s="4">
        <f>IF(SUMIFS('RES TECH'!N:N,'RES TECH'!M:M,C1759)&gt;0,1,0)</f>
        <v>1</v>
      </c>
      <c r="H1759" s="4">
        <f t="shared" si="27"/>
        <v>0</v>
      </c>
    </row>
    <row r="1760" spans="3:8" x14ac:dyDescent="0.25">
      <c r="C1760" t="str">
        <f>'RES TECH'!M1759</f>
        <v>RESHOULONewCD4NGA30</v>
      </c>
      <c r="G1760" s="4">
        <f>IF(SUMIFS('RES TECH'!N:N,'RES TECH'!M:M,C1760)&gt;0,1,0)</f>
        <v>1</v>
      </c>
      <c r="H1760" s="4">
        <f t="shared" si="27"/>
        <v>0</v>
      </c>
    </row>
    <row r="1761" spans="3:8" x14ac:dyDescent="0.25">
      <c r="C1761" t="str">
        <f>'RES TECH'!M1760</f>
        <v>RESHOULONewCD1ELC20</v>
      </c>
      <c r="G1761" s="4">
        <f>IF(SUMIFS('RES TECH'!N:N,'RES TECH'!M:M,C1761)&gt;0,1,0)</f>
        <v>1</v>
      </c>
      <c r="H1761" s="4">
        <f t="shared" si="27"/>
        <v>0</v>
      </c>
    </row>
    <row r="1762" spans="3:8" x14ac:dyDescent="0.25">
      <c r="C1762" t="str">
        <f>'RES TECH'!M1761</f>
        <v>RESHOULONewCD2ELC20</v>
      </c>
      <c r="G1762" s="4">
        <f>IF(SUMIFS('RES TECH'!N:N,'RES TECH'!M:M,C1762)&gt;0,1,0)</f>
        <v>1</v>
      </c>
      <c r="H1762" s="4">
        <f t="shared" si="27"/>
        <v>0</v>
      </c>
    </row>
    <row r="1763" spans="3:8" x14ac:dyDescent="0.25">
      <c r="C1763" t="str">
        <f>'RES TECH'!M1762</f>
        <v>RESHOULONewCD3ELC20</v>
      </c>
      <c r="G1763" s="4">
        <f>IF(SUMIFS('RES TECH'!N:N,'RES TECH'!M:M,C1763)&gt;0,1,0)</f>
        <v>1</v>
      </c>
      <c r="H1763" s="4">
        <f t="shared" si="27"/>
        <v>0</v>
      </c>
    </row>
    <row r="1764" spans="3:8" x14ac:dyDescent="0.25">
      <c r="C1764" t="str">
        <f>'RES TECH'!M1763</f>
        <v>RESHOULONewCD4ELC20</v>
      </c>
      <c r="G1764" s="4">
        <f>IF(SUMIFS('RES TECH'!N:N,'RES TECH'!M:M,C1764)&gt;0,1,0)</f>
        <v>1</v>
      </c>
      <c r="H1764" s="4">
        <f t="shared" si="27"/>
        <v>0</v>
      </c>
    </row>
    <row r="1765" spans="3:8" x14ac:dyDescent="0.25">
      <c r="C1765" t="str">
        <f>'RES TECH'!M1764</f>
        <v>RESAPALMNewWH1NGA20</v>
      </c>
      <c r="G1765" s="4">
        <f>IF(SUMIFS('RES TECH'!N:N,'RES TECH'!M:M,C1765)&gt;0,1,0)</f>
        <v>1</v>
      </c>
      <c r="H1765" s="4">
        <f t="shared" si="27"/>
        <v>0</v>
      </c>
    </row>
    <row r="1766" spans="3:8" x14ac:dyDescent="0.25">
      <c r="C1766" t="str">
        <f>'RES TECH'!M1765</f>
        <v>RESAPALMNewWH2NGA20</v>
      </c>
      <c r="G1766" s="4">
        <f>IF(SUMIFS('RES TECH'!N:N,'RES TECH'!M:M,C1766)&gt;0,1,0)</f>
        <v>1</v>
      </c>
      <c r="H1766" s="4">
        <f t="shared" si="27"/>
        <v>0</v>
      </c>
    </row>
    <row r="1767" spans="3:8" x14ac:dyDescent="0.25">
      <c r="C1767" t="str">
        <f>'RES TECH'!M1766</f>
        <v>RESAPALMNewWH3NGA20</v>
      </c>
      <c r="G1767" s="4">
        <f>IF(SUMIFS('RES TECH'!N:N,'RES TECH'!M:M,C1767)&gt;0,1,0)</f>
        <v>1</v>
      </c>
      <c r="H1767" s="4">
        <f t="shared" si="27"/>
        <v>0</v>
      </c>
    </row>
    <row r="1768" spans="3:8" x14ac:dyDescent="0.25">
      <c r="C1768" t="str">
        <f>'RES TECH'!M1767</f>
        <v>RESAPALMNewWH3NGA23</v>
      </c>
      <c r="G1768" s="4">
        <f>IF(SUMIFS('RES TECH'!N:N,'RES TECH'!M:M,C1768)&gt;0,1,0)</f>
        <v>1</v>
      </c>
      <c r="H1768" s="4">
        <f t="shared" si="27"/>
        <v>0</v>
      </c>
    </row>
    <row r="1769" spans="3:8" x14ac:dyDescent="0.25">
      <c r="C1769" t="str">
        <f>'RES TECH'!M1768</f>
        <v>RESAPALMNewWH4NGA20</v>
      </c>
      <c r="G1769" s="4">
        <f>IF(SUMIFS('RES TECH'!N:N,'RES TECH'!M:M,C1769)&gt;0,1,0)</f>
        <v>1</v>
      </c>
      <c r="H1769" s="4">
        <f t="shared" si="27"/>
        <v>0</v>
      </c>
    </row>
    <row r="1770" spans="3:8" x14ac:dyDescent="0.25">
      <c r="C1770" t="str">
        <f>'RES TECH'!M1769</f>
        <v>RESAPALMNewWH4NGA20</v>
      </c>
      <c r="G1770" s="4">
        <f>IF(SUMIFS('RES TECH'!N:N,'RES TECH'!M:M,C1770)&gt;0,1,0)</f>
        <v>1</v>
      </c>
      <c r="H1770" s="4">
        <f t="shared" si="27"/>
        <v>0</v>
      </c>
    </row>
    <row r="1771" spans="3:8" x14ac:dyDescent="0.25">
      <c r="C1771" t="str">
        <f>'RES TECH'!M1770</f>
        <v>RESAPALMNewWH4NGA22</v>
      </c>
      <c r="G1771" s="4">
        <f>IF(SUMIFS('RES TECH'!N:N,'RES TECH'!M:M,C1771)&gt;0,1,0)</f>
        <v>1</v>
      </c>
      <c r="H1771" s="4">
        <f t="shared" si="27"/>
        <v>0</v>
      </c>
    </row>
    <row r="1772" spans="3:8" x14ac:dyDescent="0.25">
      <c r="C1772" t="str">
        <f>'RES TECH'!M1771</f>
        <v>RESAPALMNewWH1ELC20</v>
      </c>
      <c r="G1772" s="4">
        <f>IF(SUMIFS('RES TECH'!N:N,'RES TECH'!M:M,C1772)&gt;0,1,0)</f>
        <v>1</v>
      </c>
      <c r="H1772" s="4">
        <f t="shared" si="27"/>
        <v>0</v>
      </c>
    </row>
    <row r="1773" spans="3:8" x14ac:dyDescent="0.25">
      <c r="C1773" t="str">
        <f>'RES TECH'!M1772</f>
        <v>RESAPALMNewWH2ELC20</v>
      </c>
      <c r="G1773" s="4">
        <f>IF(SUMIFS('RES TECH'!N:N,'RES TECH'!M:M,C1773)&gt;0,1,0)</f>
        <v>1</v>
      </c>
      <c r="H1773" s="4">
        <f t="shared" si="27"/>
        <v>0</v>
      </c>
    </row>
    <row r="1774" spans="3:8" x14ac:dyDescent="0.25">
      <c r="C1774" t="str">
        <f>'RES TECH'!M1773</f>
        <v>RESAPALMNewWH4ELC20</v>
      </c>
      <c r="G1774" s="4">
        <f>IF(SUMIFS('RES TECH'!N:N,'RES TECH'!M:M,C1774)&gt;0,1,0)</f>
        <v>1</v>
      </c>
      <c r="H1774" s="4">
        <f t="shared" si="27"/>
        <v>0</v>
      </c>
    </row>
    <row r="1775" spans="3:8" x14ac:dyDescent="0.25">
      <c r="C1775" t="str">
        <f>'RES TECH'!M1774</f>
        <v>RESAPALMNewWH5ELC20</v>
      </c>
      <c r="G1775" s="4">
        <f>IF(SUMIFS('RES TECH'!N:N,'RES TECH'!M:M,C1775)&gt;0,1,0)</f>
        <v>1</v>
      </c>
      <c r="H1775" s="4">
        <f t="shared" si="27"/>
        <v>0</v>
      </c>
    </row>
    <row r="1776" spans="3:8" x14ac:dyDescent="0.25">
      <c r="C1776" t="str">
        <f>'RES TECH'!M1775</f>
        <v>RESAPALMNewWH5ELC22</v>
      </c>
      <c r="G1776" s="4">
        <f>IF(SUMIFS('RES TECH'!N:N,'RES TECH'!M:M,C1776)&gt;0,1,0)</f>
        <v>1</v>
      </c>
      <c r="H1776" s="4">
        <f t="shared" si="27"/>
        <v>0</v>
      </c>
    </row>
    <row r="1777" spans="3:8" x14ac:dyDescent="0.25">
      <c r="C1777" t="str">
        <f>'RES TECH'!M1776</f>
        <v>RESAPALMNewWH6ELC20</v>
      </c>
      <c r="G1777" s="4">
        <f>IF(SUMIFS('RES TECH'!N:N,'RES TECH'!M:M,C1777)&gt;0,1,0)</f>
        <v>1</v>
      </c>
      <c r="H1777" s="4">
        <f t="shared" si="27"/>
        <v>0</v>
      </c>
    </row>
    <row r="1778" spans="3:8" x14ac:dyDescent="0.25">
      <c r="C1778" t="str">
        <f>'RES TECH'!M1777</f>
        <v>RESAPALMNewWH6ELC22</v>
      </c>
      <c r="G1778" s="4">
        <f>IF(SUMIFS('RES TECH'!N:N,'RES TECH'!M:M,C1778)&gt;0,1,0)</f>
        <v>1</v>
      </c>
      <c r="H1778" s="4">
        <f t="shared" si="27"/>
        <v>0</v>
      </c>
    </row>
    <row r="1779" spans="3:8" x14ac:dyDescent="0.25">
      <c r="C1779" t="str">
        <f>'RES TECH'!M1778</f>
        <v>RESAPALMNewWH7ELC20</v>
      </c>
      <c r="G1779" s="4">
        <f>IF(SUMIFS('RES TECH'!N:N,'RES TECH'!M:M,C1779)&gt;0,1,0)</f>
        <v>1</v>
      </c>
      <c r="H1779" s="4">
        <f t="shared" si="27"/>
        <v>0</v>
      </c>
    </row>
    <row r="1780" spans="3:8" x14ac:dyDescent="0.25">
      <c r="C1780" t="str">
        <f>'RES TECH'!M1779</f>
        <v>RESAPALMNewWH7ELC22</v>
      </c>
      <c r="G1780" s="4">
        <f>IF(SUMIFS('RES TECH'!N:N,'RES TECH'!M:M,C1780)&gt;0,1,0)</f>
        <v>1</v>
      </c>
      <c r="H1780" s="4">
        <f t="shared" si="27"/>
        <v>0</v>
      </c>
    </row>
    <row r="1781" spans="3:8" x14ac:dyDescent="0.25">
      <c r="C1781" t="str">
        <f>'RES TECH'!M1780</f>
        <v>RESAPALMNewWH1FOI20</v>
      </c>
      <c r="G1781" s="4">
        <f>IF(SUMIFS('RES TECH'!N:N,'RES TECH'!M:M,C1781)&gt;0,1,0)</f>
        <v>1</v>
      </c>
      <c r="H1781" s="4">
        <f t="shared" si="27"/>
        <v>0</v>
      </c>
    </row>
    <row r="1782" spans="3:8" x14ac:dyDescent="0.25">
      <c r="C1782" t="str">
        <f>'RES TECH'!M1781</f>
        <v>RESAPALMNewWH2FOI20</v>
      </c>
      <c r="G1782" s="4">
        <f>IF(SUMIFS('RES TECH'!N:N,'RES TECH'!M:M,C1782)&gt;0,1,0)</f>
        <v>1</v>
      </c>
      <c r="H1782" s="4">
        <f t="shared" si="27"/>
        <v>0</v>
      </c>
    </row>
    <row r="1783" spans="3:8" x14ac:dyDescent="0.25">
      <c r="C1783" t="str">
        <f>'RES TECH'!M1782</f>
        <v>RESAPALMNewWH4FOI20</v>
      </c>
      <c r="G1783" s="4">
        <f>IF(SUMIFS('RES TECH'!N:N,'RES TECH'!M:M,C1783)&gt;0,1,0)</f>
        <v>1</v>
      </c>
      <c r="H1783" s="4">
        <f t="shared" si="27"/>
        <v>0</v>
      </c>
    </row>
    <row r="1784" spans="3:8" x14ac:dyDescent="0.25">
      <c r="C1784" t="str">
        <f>'RES TECH'!M1783</f>
        <v>RESAPALMNewWH1LPG20</v>
      </c>
      <c r="G1784" s="4">
        <f>IF(SUMIFS('RES TECH'!N:N,'RES TECH'!M:M,C1784)&gt;0,1,0)</f>
        <v>1</v>
      </c>
      <c r="H1784" s="4">
        <f t="shared" si="27"/>
        <v>0</v>
      </c>
    </row>
    <row r="1785" spans="3:8" x14ac:dyDescent="0.25">
      <c r="C1785" t="str">
        <f>'RES TECH'!M1784</f>
        <v>RESAPALMNewWH2LPG20</v>
      </c>
      <c r="G1785" s="4">
        <f>IF(SUMIFS('RES TECH'!N:N,'RES TECH'!M:M,C1785)&gt;0,1,0)</f>
        <v>1</v>
      </c>
      <c r="H1785" s="4">
        <f t="shared" si="27"/>
        <v>0</v>
      </c>
    </row>
    <row r="1786" spans="3:8" x14ac:dyDescent="0.25">
      <c r="C1786" t="str">
        <f>'RES TECH'!M1785</f>
        <v>RESAPALMNewWH3LPG20</v>
      </c>
      <c r="G1786" s="4">
        <f>IF(SUMIFS('RES TECH'!N:N,'RES TECH'!M:M,C1786)&gt;0,1,0)</f>
        <v>1</v>
      </c>
      <c r="H1786" s="4">
        <f t="shared" si="27"/>
        <v>0</v>
      </c>
    </row>
    <row r="1787" spans="3:8" x14ac:dyDescent="0.25">
      <c r="C1787" t="str">
        <f>'RES TECH'!M1786</f>
        <v>RESAPALMNewWH3LPG23</v>
      </c>
      <c r="G1787" s="4">
        <f>IF(SUMIFS('RES TECH'!N:N,'RES TECH'!M:M,C1787)&gt;0,1,0)</f>
        <v>1</v>
      </c>
      <c r="H1787" s="4">
        <f t="shared" si="27"/>
        <v>0</v>
      </c>
    </row>
    <row r="1788" spans="3:8" x14ac:dyDescent="0.25">
      <c r="C1788" t="str">
        <f>'RES TECH'!M1787</f>
        <v>RESAPALMNewWH4LPG20</v>
      </c>
      <c r="G1788" s="4">
        <f>IF(SUMIFS('RES TECH'!N:N,'RES TECH'!M:M,C1788)&gt;0,1,0)</f>
        <v>1</v>
      </c>
      <c r="H1788" s="4">
        <f t="shared" si="27"/>
        <v>0</v>
      </c>
    </row>
    <row r="1789" spans="3:8" x14ac:dyDescent="0.25">
      <c r="C1789" t="str">
        <f>'RES TECH'!M1788</f>
        <v>RESAPALMNewWH4LPG20</v>
      </c>
      <c r="G1789" s="4">
        <f>IF(SUMIFS('RES TECH'!N:N,'RES TECH'!M:M,C1789)&gt;0,1,0)</f>
        <v>1</v>
      </c>
      <c r="H1789" s="4">
        <f t="shared" si="27"/>
        <v>0</v>
      </c>
    </row>
    <row r="1790" spans="3:8" x14ac:dyDescent="0.25">
      <c r="C1790" t="str">
        <f>'RES TECH'!M1789</f>
        <v>RESAPALMNewWH2SOL20</v>
      </c>
      <c r="G1790" s="4">
        <f>IF(SUMIFS('RES TECH'!N:N,'RES TECH'!M:M,C1790)&gt;0,1,0)</f>
        <v>1</v>
      </c>
      <c r="H1790" s="4">
        <f t="shared" si="27"/>
        <v>0</v>
      </c>
    </row>
    <row r="1791" spans="3:8" x14ac:dyDescent="0.25">
      <c r="C1791" t="str">
        <f>'RES TECH'!M1790</f>
        <v>RESAPALMNewWH2SOL20</v>
      </c>
      <c r="G1791" s="4">
        <f>IF(SUMIFS('RES TECH'!N:N,'RES TECH'!M:M,C1791)&gt;0,1,0)</f>
        <v>1</v>
      </c>
      <c r="H1791" s="4">
        <f t="shared" si="27"/>
        <v>0</v>
      </c>
    </row>
    <row r="1792" spans="3:8" x14ac:dyDescent="0.25">
      <c r="C1792" t="str">
        <f>'RES TECH'!M1791</f>
        <v>RESAPALMNewWH2SOL23</v>
      </c>
      <c r="G1792" s="4">
        <f>IF(SUMIFS('RES TECH'!N:N,'RES TECH'!M:M,C1792)&gt;0,1,0)</f>
        <v>1</v>
      </c>
      <c r="H1792" s="4">
        <f t="shared" si="27"/>
        <v>0</v>
      </c>
    </row>
    <row r="1793" spans="3:8" x14ac:dyDescent="0.25">
      <c r="C1793" t="str">
        <f>'RES TECH'!M1792</f>
        <v>RESAPALMNewWH2SOL24</v>
      </c>
      <c r="G1793" s="4">
        <f>IF(SUMIFS('RES TECH'!N:N,'RES TECH'!M:M,C1793)&gt;0,1,0)</f>
        <v>1</v>
      </c>
      <c r="H1793" s="4">
        <f t="shared" si="27"/>
        <v>0</v>
      </c>
    </row>
    <row r="1794" spans="3:8" x14ac:dyDescent="0.25">
      <c r="C1794" t="str">
        <f>'RES TECH'!M1793</f>
        <v>RESAPALMNewSHAHP1ELC20</v>
      </c>
      <c r="G1794" s="4">
        <f>IF(SUMIFS('RES TECH'!N:N,'RES TECH'!M:M,C1794)&gt;0,1,0)</f>
        <v>1</v>
      </c>
      <c r="H1794" s="4">
        <f t="shared" si="27"/>
        <v>0</v>
      </c>
    </row>
    <row r="1795" spans="3:8" x14ac:dyDescent="0.25">
      <c r="C1795" t="str">
        <f>'RES TECH'!M1794</f>
        <v>RESAPALMNewSHAHP1ELC23</v>
      </c>
      <c r="G1795" s="4">
        <f>IF(SUMIFS('RES TECH'!N:N,'RES TECH'!M:M,C1795)&gt;0,1,0)</f>
        <v>1</v>
      </c>
      <c r="H1795" s="4">
        <f t="shared" si="27"/>
        <v>0</v>
      </c>
    </row>
    <row r="1796" spans="3:8" x14ac:dyDescent="0.25">
      <c r="C1796" t="str">
        <f>'RES TECH'!M1795</f>
        <v>RESAPALMNewSHAHP2ELC20</v>
      </c>
      <c r="G1796" s="4">
        <f>IF(SUMIFS('RES TECH'!N:N,'RES TECH'!M:M,C1796)&gt;0,1,0)</f>
        <v>1</v>
      </c>
      <c r="H1796" s="4">
        <f t="shared" si="27"/>
        <v>0</v>
      </c>
    </row>
    <row r="1797" spans="3:8" x14ac:dyDescent="0.25">
      <c r="C1797" t="str">
        <f>'RES TECH'!M1796</f>
        <v>RESAPALMNewSHAHP2ELC23</v>
      </c>
      <c r="G1797" s="4">
        <f>IF(SUMIFS('RES TECH'!N:N,'RES TECH'!M:M,C1797)&gt;0,1,0)</f>
        <v>1</v>
      </c>
      <c r="H1797" s="4">
        <f t="shared" ref="H1797:H1860" si="28">IF(C1797="","",IF(C1797="*","*",0))</f>
        <v>0</v>
      </c>
    </row>
    <row r="1798" spans="3:8" x14ac:dyDescent="0.25">
      <c r="C1798" t="str">
        <f>'RES TECH'!M1797</f>
        <v>RESAPALMNewSHAHP3ELC20</v>
      </c>
      <c r="G1798" s="4">
        <f>IF(SUMIFS('RES TECH'!N:N,'RES TECH'!M:M,C1798)&gt;0,1,0)</f>
        <v>1</v>
      </c>
      <c r="H1798" s="4">
        <f t="shared" si="28"/>
        <v>0</v>
      </c>
    </row>
    <row r="1799" spans="3:8" x14ac:dyDescent="0.25">
      <c r="C1799" t="str">
        <f>'RES TECH'!M1798</f>
        <v>RESAPALMNewSHAHP3ELC22</v>
      </c>
      <c r="G1799" s="4">
        <f>IF(SUMIFS('RES TECH'!N:N,'RES TECH'!M:M,C1799)&gt;0,1,0)</f>
        <v>1</v>
      </c>
      <c r="H1799" s="4">
        <f t="shared" si="28"/>
        <v>0</v>
      </c>
    </row>
    <row r="1800" spans="3:8" x14ac:dyDescent="0.25">
      <c r="C1800" t="str">
        <f>'RES TECH'!M1799</f>
        <v>RESAPALMNewSHAHP3ELC23</v>
      </c>
      <c r="G1800" s="4">
        <f>IF(SUMIFS('RES TECH'!N:N,'RES TECH'!M:M,C1800)&gt;0,1,0)</f>
        <v>1</v>
      </c>
      <c r="H1800" s="4">
        <f t="shared" si="28"/>
        <v>0</v>
      </c>
    </row>
    <row r="1801" spans="3:8" x14ac:dyDescent="0.25">
      <c r="C1801" t="str">
        <f>'RES TECH'!M1800</f>
        <v>RESAPALMNewSHAHP4ELC20</v>
      </c>
      <c r="G1801" s="4">
        <f>IF(SUMIFS('RES TECH'!N:N,'RES TECH'!M:M,C1801)&gt;0,1,0)</f>
        <v>1</v>
      </c>
      <c r="H1801" s="4">
        <f t="shared" si="28"/>
        <v>0</v>
      </c>
    </row>
    <row r="1802" spans="3:8" x14ac:dyDescent="0.25">
      <c r="C1802" t="str">
        <f>'RES TECH'!M1801</f>
        <v>RESAPALMNewSHAHP4ELC22</v>
      </c>
      <c r="G1802" s="4">
        <f>IF(SUMIFS('RES TECH'!N:N,'RES TECH'!M:M,C1802)&gt;0,1,0)</f>
        <v>1</v>
      </c>
      <c r="H1802" s="4">
        <f t="shared" si="28"/>
        <v>0</v>
      </c>
    </row>
    <row r="1803" spans="3:8" x14ac:dyDescent="0.25">
      <c r="C1803" t="str">
        <f>'RES TECH'!M1802</f>
        <v>RESAPALMNewSHGHP1ELC20</v>
      </c>
      <c r="G1803" s="4">
        <f>IF(SUMIFS('RES TECH'!N:N,'RES TECH'!M:M,C1803)&gt;0,1,0)</f>
        <v>1</v>
      </c>
      <c r="H1803" s="4">
        <f t="shared" si="28"/>
        <v>0</v>
      </c>
    </row>
    <row r="1804" spans="3:8" x14ac:dyDescent="0.25">
      <c r="C1804" t="str">
        <f>'RES TECH'!M1803</f>
        <v>RESAPALMNewSHGHP2ELC20</v>
      </c>
      <c r="G1804" s="4">
        <f>IF(SUMIFS('RES TECH'!N:N,'RES TECH'!M:M,C1804)&gt;0,1,0)</f>
        <v>1</v>
      </c>
      <c r="H1804" s="4">
        <f t="shared" si="28"/>
        <v>0</v>
      </c>
    </row>
    <row r="1805" spans="3:8" x14ac:dyDescent="0.25">
      <c r="C1805" t="str">
        <f>'RES TECH'!M1804</f>
        <v>RESAPALMNewSHGHP3ELC20</v>
      </c>
      <c r="G1805" s="4">
        <f>IF(SUMIFS('RES TECH'!N:N,'RES TECH'!M:M,C1805)&gt;0,1,0)</f>
        <v>1</v>
      </c>
      <c r="H1805" s="4">
        <f t="shared" si="28"/>
        <v>0</v>
      </c>
    </row>
    <row r="1806" spans="3:8" x14ac:dyDescent="0.25">
      <c r="C1806" t="str">
        <f>'RES TECH'!M1805</f>
        <v>RESAPALMNewSHGHP3ELC20</v>
      </c>
      <c r="G1806" s="4">
        <f>IF(SUMIFS('RES TECH'!N:N,'RES TECH'!M:M,C1806)&gt;0,1,0)</f>
        <v>1</v>
      </c>
      <c r="H1806" s="4">
        <f t="shared" si="28"/>
        <v>0</v>
      </c>
    </row>
    <row r="1807" spans="3:8" x14ac:dyDescent="0.25">
      <c r="C1807" t="str">
        <f>'RES TECH'!M1806</f>
        <v>RESAPALMNewSHGHP3ELC22</v>
      </c>
      <c r="G1807" s="4">
        <f>IF(SUMIFS('RES TECH'!N:N,'RES TECH'!M:M,C1807)&gt;0,1,0)</f>
        <v>1</v>
      </c>
      <c r="H1807" s="4">
        <f t="shared" si="28"/>
        <v>0</v>
      </c>
    </row>
    <row r="1808" spans="3:8" x14ac:dyDescent="0.25">
      <c r="C1808" t="str">
        <f>'RES TECH'!M1807</f>
        <v>RESAPALMNewSHGHP3ELC23</v>
      </c>
      <c r="G1808" s="4">
        <f>IF(SUMIFS('RES TECH'!N:N,'RES TECH'!M:M,C1808)&gt;0,1,0)</f>
        <v>1</v>
      </c>
      <c r="H1808" s="4">
        <f t="shared" si="28"/>
        <v>0</v>
      </c>
    </row>
    <row r="1809" spans="3:8" x14ac:dyDescent="0.25">
      <c r="C1809" t="str">
        <f>'RES TECH'!M1808</f>
        <v>RESAPALMNewSHGHP3ELC24</v>
      </c>
      <c r="G1809" s="4">
        <f>IF(SUMIFS('RES TECH'!N:N,'RES TECH'!M:M,C1809)&gt;0,1,0)</f>
        <v>1</v>
      </c>
      <c r="H1809" s="4">
        <f t="shared" si="28"/>
        <v>0</v>
      </c>
    </row>
    <row r="1810" spans="3:8" x14ac:dyDescent="0.25">
      <c r="C1810" t="str">
        <f>'RES TECH'!M1809</f>
        <v>RESAPALMNewSHGHP4ELC20</v>
      </c>
      <c r="G1810" s="4">
        <f>IF(SUMIFS('RES TECH'!N:N,'RES TECH'!M:M,C1810)&gt;0,1,0)</f>
        <v>1</v>
      </c>
      <c r="H1810" s="4">
        <f t="shared" si="28"/>
        <v>0</v>
      </c>
    </row>
    <row r="1811" spans="3:8" x14ac:dyDescent="0.25">
      <c r="C1811" t="str">
        <f>'RES TECH'!M1810</f>
        <v>RESAPALMNewSHGHP4ELC20</v>
      </c>
      <c r="G1811" s="4">
        <f>IF(SUMIFS('RES TECH'!N:N,'RES TECH'!M:M,C1811)&gt;0,1,0)</f>
        <v>1</v>
      </c>
      <c r="H1811" s="4">
        <f t="shared" si="28"/>
        <v>0</v>
      </c>
    </row>
    <row r="1812" spans="3:8" x14ac:dyDescent="0.25">
      <c r="C1812" t="str">
        <f>'RES TECH'!M1811</f>
        <v>RESAPALMNewSHGHP4ELC22</v>
      </c>
      <c r="G1812" s="4">
        <f>IF(SUMIFS('RES TECH'!N:N,'RES TECH'!M:M,C1812)&gt;0,1,0)</f>
        <v>1</v>
      </c>
      <c r="H1812" s="4">
        <f t="shared" si="28"/>
        <v>0</v>
      </c>
    </row>
    <row r="1813" spans="3:8" x14ac:dyDescent="0.25">
      <c r="C1813" t="str">
        <f>'RES TECH'!M1812</f>
        <v>RESAPALMNewSHGHP4ELC23</v>
      </c>
      <c r="G1813" s="4">
        <f>IF(SUMIFS('RES TECH'!N:N,'RES TECH'!M:M,C1813)&gt;0,1,0)</f>
        <v>1</v>
      </c>
      <c r="H1813" s="4">
        <f t="shared" si="28"/>
        <v>0</v>
      </c>
    </row>
    <row r="1814" spans="3:8" x14ac:dyDescent="0.25">
      <c r="C1814" t="str">
        <f>'RES TECH'!M1813</f>
        <v>RESAPALMNewSHGHP4ELC24</v>
      </c>
      <c r="G1814" s="4">
        <f>IF(SUMIFS('RES TECH'!N:N,'RES TECH'!M:M,C1814)&gt;0,1,0)</f>
        <v>1</v>
      </c>
      <c r="H1814" s="4">
        <f t="shared" si="28"/>
        <v>0</v>
      </c>
    </row>
    <row r="1815" spans="3:8" x14ac:dyDescent="0.25">
      <c r="C1815" t="str">
        <f>'RES TECH'!M1814</f>
        <v>RESAPALMNewSHRAD2ELC20</v>
      </c>
      <c r="G1815" s="4">
        <f>IF(SUMIFS('RES TECH'!N:N,'RES TECH'!M:M,C1815)&gt;0,1,0)</f>
        <v>1</v>
      </c>
      <c r="H1815" s="4">
        <f t="shared" si="28"/>
        <v>0</v>
      </c>
    </row>
    <row r="1816" spans="3:8" x14ac:dyDescent="0.25">
      <c r="C1816" t="str">
        <f>'RES TECH'!M1815</f>
        <v>RESAPALMNewSHFUR1NGA20</v>
      </c>
      <c r="G1816" s="4">
        <f>IF(SUMIFS('RES TECH'!N:N,'RES TECH'!M:M,C1816)&gt;0,1,0)</f>
        <v>1</v>
      </c>
      <c r="H1816" s="4">
        <f t="shared" si="28"/>
        <v>0</v>
      </c>
    </row>
    <row r="1817" spans="3:8" x14ac:dyDescent="0.25">
      <c r="C1817" t="str">
        <f>'RES TECH'!M1816</f>
        <v>RESAPALMNewSHFUR2NGA20</v>
      </c>
      <c r="G1817" s="4">
        <f>IF(SUMIFS('RES TECH'!N:N,'RES TECH'!M:M,C1817)&gt;0,1,0)</f>
        <v>1</v>
      </c>
      <c r="H1817" s="4">
        <f t="shared" si="28"/>
        <v>0</v>
      </c>
    </row>
    <row r="1818" spans="3:8" x14ac:dyDescent="0.25">
      <c r="C1818" t="str">
        <f>'RES TECH'!M1817</f>
        <v>RESAPALMNewSHFUR2NGA20</v>
      </c>
      <c r="G1818" s="4">
        <f>IF(SUMIFS('RES TECH'!N:N,'RES TECH'!M:M,C1818)&gt;0,1,0)</f>
        <v>1</v>
      </c>
      <c r="H1818" s="4">
        <f t="shared" si="28"/>
        <v>0</v>
      </c>
    </row>
    <row r="1819" spans="3:8" x14ac:dyDescent="0.25">
      <c r="C1819" t="str">
        <f>'RES TECH'!M1818</f>
        <v>RESAPALMNewSHFUR3NGA20</v>
      </c>
      <c r="G1819" s="4">
        <f>IF(SUMIFS('RES TECH'!N:N,'RES TECH'!M:M,C1819)&gt;0,1,0)</f>
        <v>1</v>
      </c>
      <c r="H1819" s="4">
        <f t="shared" si="28"/>
        <v>0</v>
      </c>
    </row>
    <row r="1820" spans="3:8" x14ac:dyDescent="0.25">
      <c r="C1820" t="str">
        <f>'RES TECH'!M1819</f>
        <v>RESAPALMNewSHFUR3NGA22</v>
      </c>
      <c r="G1820" s="4">
        <f>IF(SUMIFS('RES TECH'!N:N,'RES TECH'!M:M,C1820)&gt;0,1,0)</f>
        <v>1</v>
      </c>
      <c r="H1820" s="4">
        <f t="shared" si="28"/>
        <v>0</v>
      </c>
    </row>
    <row r="1821" spans="3:8" x14ac:dyDescent="0.25">
      <c r="C1821" t="str">
        <f>'RES TECH'!M1820</f>
        <v>RESAPALMNewSHFUR4NGA20</v>
      </c>
      <c r="G1821" s="4">
        <f>IF(SUMIFS('RES TECH'!N:N,'RES TECH'!M:M,C1821)&gt;0,1,0)</f>
        <v>1</v>
      </c>
      <c r="H1821" s="4">
        <f t="shared" si="28"/>
        <v>0</v>
      </c>
    </row>
    <row r="1822" spans="3:8" x14ac:dyDescent="0.25">
      <c r="C1822" t="str">
        <f>'RES TECH'!M1821</f>
        <v>RESAPALMNewSHFUR4NGA22</v>
      </c>
      <c r="G1822" s="4">
        <f>IF(SUMIFS('RES TECH'!N:N,'RES TECH'!M:M,C1822)&gt;0,1,0)</f>
        <v>1</v>
      </c>
      <c r="H1822" s="4">
        <f t="shared" si="28"/>
        <v>0</v>
      </c>
    </row>
    <row r="1823" spans="3:8" x14ac:dyDescent="0.25">
      <c r="C1823" t="str">
        <f>'RES TECH'!M1822</f>
        <v>RESAPALMNewSHRAD1NGA20</v>
      </c>
      <c r="G1823" s="4">
        <f>IF(SUMIFS('RES TECH'!N:N,'RES TECH'!M:M,C1823)&gt;0,1,0)</f>
        <v>1</v>
      </c>
      <c r="H1823" s="4">
        <f t="shared" si="28"/>
        <v>0</v>
      </c>
    </row>
    <row r="1824" spans="3:8" x14ac:dyDescent="0.25">
      <c r="C1824" t="str">
        <f>'RES TECH'!M1823</f>
        <v>RESAPALMNewSHRAD1NGA21</v>
      </c>
      <c r="G1824" s="4">
        <f>IF(SUMIFS('RES TECH'!N:N,'RES TECH'!M:M,C1824)&gt;0,1,0)</f>
        <v>1</v>
      </c>
      <c r="H1824" s="4">
        <f t="shared" si="28"/>
        <v>0</v>
      </c>
    </row>
    <row r="1825" spans="3:8" x14ac:dyDescent="0.25">
      <c r="C1825" t="str">
        <f>'RES TECH'!M1824</f>
        <v>RESAPALMNewSHRAD2NGA20</v>
      </c>
      <c r="G1825" s="4">
        <f>IF(SUMIFS('RES TECH'!N:N,'RES TECH'!M:M,C1825)&gt;0,1,0)</f>
        <v>1</v>
      </c>
      <c r="H1825" s="4">
        <f t="shared" si="28"/>
        <v>0</v>
      </c>
    </row>
    <row r="1826" spans="3:8" x14ac:dyDescent="0.25">
      <c r="C1826" t="str">
        <f>'RES TECH'!M1825</f>
        <v>RESAPALMNewSHRAD2NGA20</v>
      </c>
      <c r="G1826" s="4">
        <f>IF(SUMIFS('RES TECH'!N:N,'RES TECH'!M:M,C1826)&gt;0,1,0)</f>
        <v>1</v>
      </c>
      <c r="H1826" s="4">
        <f t="shared" si="28"/>
        <v>0</v>
      </c>
    </row>
    <row r="1827" spans="3:8" x14ac:dyDescent="0.25">
      <c r="C1827" t="str">
        <f>'RES TECH'!M1826</f>
        <v>RESAPALMNewSHRAD3NGA20</v>
      </c>
      <c r="G1827" s="4">
        <f>IF(SUMIFS('RES TECH'!N:N,'RES TECH'!M:M,C1827)&gt;0,1,0)</f>
        <v>1</v>
      </c>
      <c r="H1827" s="4">
        <f t="shared" si="28"/>
        <v>0</v>
      </c>
    </row>
    <row r="1828" spans="3:8" x14ac:dyDescent="0.25">
      <c r="C1828" t="str">
        <f>'RES TECH'!M1827</f>
        <v>RESAPALMNewSHRAD4NGA20</v>
      </c>
      <c r="G1828" s="4">
        <f>IF(SUMIFS('RES TECH'!N:N,'RES TECH'!M:M,C1828)&gt;0,1,0)</f>
        <v>1</v>
      </c>
      <c r="H1828" s="4">
        <f t="shared" si="28"/>
        <v>0</v>
      </c>
    </row>
    <row r="1829" spans="3:8" x14ac:dyDescent="0.25">
      <c r="C1829" t="str">
        <f>'RES TECH'!M1828</f>
        <v>RESAPALMNewSHRAD4NGA22</v>
      </c>
      <c r="G1829" s="4">
        <f>IF(SUMIFS('RES TECH'!N:N,'RES TECH'!M:M,C1829)&gt;0,1,0)</f>
        <v>1</v>
      </c>
      <c r="H1829" s="4">
        <f t="shared" si="28"/>
        <v>0</v>
      </c>
    </row>
    <row r="1830" spans="3:8" x14ac:dyDescent="0.25">
      <c r="C1830" t="str">
        <f>'RES TECH'!M1829</f>
        <v>RESAPALMNewSHFUR1KER20</v>
      </c>
      <c r="G1830" s="4">
        <f>IF(SUMIFS('RES TECH'!N:N,'RES TECH'!M:M,C1830)&gt;0,1,0)</f>
        <v>1</v>
      </c>
      <c r="H1830" s="4">
        <f t="shared" si="28"/>
        <v>0</v>
      </c>
    </row>
    <row r="1831" spans="3:8" x14ac:dyDescent="0.25">
      <c r="C1831" t="str">
        <f>'RES TECH'!M1830</f>
        <v>RESAPALMNewSHFUR2KER20</v>
      </c>
      <c r="G1831" s="4">
        <f>IF(SUMIFS('RES TECH'!N:N,'RES TECH'!M:M,C1831)&gt;0,1,0)</f>
        <v>1</v>
      </c>
      <c r="H1831" s="4">
        <f t="shared" si="28"/>
        <v>0</v>
      </c>
    </row>
    <row r="1832" spans="3:8" x14ac:dyDescent="0.25">
      <c r="C1832" t="str">
        <f>'RES TECH'!M1831</f>
        <v>RESAPALMNewSHFUR2KER20</v>
      </c>
      <c r="G1832" s="4">
        <f>IF(SUMIFS('RES TECH'!N:N,'RES TECH'!M:M,C1832)&gt;0,1,0)</f>
        <v>1</v>
      </c>
      <c r="H1832" s="4">
        <f t="shared" si="28"/>
        <v>0</v>
      </c>
    </row>
    <row r="1833" spans="3:8" x14ac:dyDescent="0.25">
      <c r="C1833" t="str">
        <f>'RES TECH'!M1832</f>
        <v>RESAPALMNewSHFUR3KER20</v>
      </c>
      <c r="G1833" s="4">
        <f>IF(SUMIFS('RES TECH'!N:N,'RES TECH'!M:M,C1833)&gt;0,1,0)</f>
        <v>1</v>
      </c>
      <c r="H1833" s="4">
        <f t="shared" si="28"/>
        <v>0</v>
      </c>
    </row>
    <row r="1834" spans="3:8" x14ac:dyDescent="0.25">
      <c r="C1834" t="str">
        <f>'RES TECH'!M1833</f>
        <v>RESAPALMNewSHFUR4KER20</v>
      </c>
      <c r="G1834" s="4">
        <f>IF(SUMIFS('RES TECH'!N:N,'RES TECH'!M:M,C1834)&gt;0,1,0)</f>
        <v>1</v>
      </c>
      <c r="H1834" s="4">
        <f t="shared" si="28"/>
        <v>0</v>
      </c>
    </row>
    <row r="1835" spans="3:8" x14ac:dyDescent="0.25">
      <c r="C1835" t="str">
        <f>'RES TECH'!M1834</f>
        <v>RESAPALMNewSHFUR4KER20</v>
      </c>
      <c r="G1835" s="4">
        <f>IF(SUMIFS('RES TECH'!N:N,'RES TECH'!M:M,C1835)&gt;0,1,0)</f>
        <v>1</v>
      </c>
      <c r="H1835" s="4">
        <f t="shared" si="28"/>
        <v>0</v>
      </c>
    </row>
    <row r="1836" spans="3:8" x14ac:dyDescent="0.25">
      <c r="C1836" t="str">
        <f>'RES TECH'!M1835</f>
        <v>RESAPALMNewSHFUR1LPG20</v>
      </c>
      <c r="G1836" s="4">
        <f>IF(SUMIFS('RES TECH'!N:N,'RES TECH'!M:M,C1836)&gt;0,1,0)</f>
        <v>1</v>
      </c>
      <c r="H1836" s="4">
        <f t="shared" si="28"/>
        <v>0</v>
      </c>
    </row>
    <row r="1837" spans="3:8" x14ac:dyDescent="0.25">
      <c r="C1837" t="str">
        <f>'RES TECH'!M1836</f>
        <v>RESAPALMNewSHFUR2LPG20</v>
      </c>
      <c r="G1837" s="4">
        <f>IF(SUMIFS('RES TECH'!N:N,'RES TECH'!M:M,C1837)&gt;0,1,0)</f>
        <v>1</v>
      </c>
      <c r="H1837" s="4">
        <f t="shared" si="28"/>
        <v>0</v>
      </c>
    </row>
    <row r="1838" spans="3:8" x14ac:dyDescent="0.25">
      <c r="C1838" t="str">
        <f>'RES TECH'!M1837</f>
        <v>RESAPALMNewSHFUR2LPG20</v>
      </c>
      <c r="G1838" s="4">
        <f>IF(SUMIFS('RES TECH'!N:N,'RES TECH'!M:M,C1838)&gt;0,1,0)</f>
        <v>1</v>
      </c>
      <c r="H1838" s="4">
        <f t="shared" si="28"/>
        <v>0</v>
      </c>
    </row>
    <row r="1839" spans="3:8" x14ac:dyDescent="0.25">
      <c r="C1839" t="str">
        <f>'RES TECH'!M1838</f>
        <v>RESAPALMNewSHFUR3LPG20</v>
      </c>
      <c r="G1839" s="4">
        <f>IF(SUMIFS('RES TECH'!N:N,'RES TECH'!M:M,C1839)&gt;0,1,0)</f>
        <v>1</v>
      </c>
      <c r="H1839" s="4">
        <f t="shared" si="28"/>
        <v>0</v>
      </c>
    </row>
    <row r="1840" spans="3:8" x14ac:dyDescent="0.25">
      <c r="C1840" t="str">
        <f>'RES TECH'!M1839</f>
        <v>RESAPALMNewSHFUR3LPG22</v>
      </c>
      <c r="G1840" s="4">
        <f>IF(SUMIFS('RES TECH'!N:N,'RES TECH'!M:M,C1840)&gt;0,1,0)</f>
        <v>1</v>
      </c>
      <c r="H1840" s="4">
        <f t="shared" si="28"/>
        <v>0</v>
      </c>
    </row>
    <row r="1841" spans="3:8" x14ac:dyDescent="0.25">
      <c r="C1841" t="str">
        <f>'RES TECH'!M1840</f>
        <v>RESAPALMNewSHFUR4LPG20</v>
      </c>
      <c r="G1841" s="4">
        <f>IF(SUMIFS('RES TECH'!N:N,'RES TECH'!M:M,C1841)&gt;0,1,0)</f>
        <v>1</v>
      </c>
      <c r="H1841" s="4">
        <f t="shared" si="28"/>
        <v>0</v>
      </c>
    </row>
    <row r="1842" spans="3:8" x14ac:dyDescent="0.25">
      <c r="C1842" t="str">
        <f>'RES TECH'!M1841</f>
        <v>RESAPALMNewSHFUR4LPG22</v>
      </c>
      <c r="G1842" s="4">
        <f>IF(SUMIFS('RES TECH'!N:N,'RES TECH'!M:M,C1842)&gt;0,1,0)</f>
        <v>1</v>
      </c>
      <c r="H1842" s="4">
        <f t="shared" si="28"/>
        <v>0</v>
      </c>
    </row>
    <row r="1843" spans="3:8" x14ac:dyDescent="0.25">
      <c r="C1843" t="str">
        <f>'RES TECH'!M1842</f>
        <v>RESAPALMNewSHFUR1FOI20</v>
      </c>
      <c r="G1843" s="4">
        <f>IF(SUMIFS('RES TECH'!N:N,'RES TECH'!M:M,C1843)&gt;0,1,0)</f>
        <v>1</v>
      </c>
      <c r="H1843" s="4">
        <f t="shared" si="28"/>
        <v>0</v>
      </c>
    </row>
    <row r="1844" spans="3:8" x14ac:dyDescent="0.25">
      <c r="C1844" t="str">
        <f>'RES TECH'!M1843</f>
        <v>RESAPALMNewSHFUR2FOI20</v>
      </c>
      <c r="G1844" s="4">
        <f>IF(SUMIFS('RES TECH'!N:N,'RES TECH'!M:M,C1844)&gt;0,1,0)</f>
        <v>1</v>
      </c>
      <c r="H1844" s="4">
        <f t="shared" si="28"/>
        <v>0</v>
      </c>
    </row>
    <row r="1845" spans="3:8" x14ac:dyDescent="0.25">
      <c r="C1845" t="str">
        <f>'RES TECH'!M1844</f>
        <v>RESAPALMNewSHFUR2FOI22</v>
      </c>
      <c r="G1845" s="4">
        <f>IF(SUMIFS('RES TECH'!N:N,'RES TECH'!M:M,C1845)&gt;0,1,0)</f>
        <v>1</v>
      </c>
      <c r="H1845" s="4">
        <f t="shared" si="28"/>
        <v>0</v>
      </c>
    </row>
    <row r="1846" spans="3:8" x14ac:dyDescent="0.25">
      <c r="C1846" t="str">
        <f>'RES TECH'!M1845</f>
        <v>RESAPALMNewSHFUR3FOI20</v>
      </c>
      <c r="G1846" s="4">
        <f>IF(SUMIFS('RES TECH'!N:N,'RES TECH'!M:M,C1846)&gt;0,1,0)</f>
        <v>1</v>
      </c>
      <c r="H1846" s="4">
        <f t="shared" si="28"/>
        <v>0</v>
      </c>
    </row>
    <row r="1847" spans="3:8" x14ac:dyDescent="0.25">
      <c r="C1847" t="str">
        <f>'RES TECH'!M1846</f>
        <v>RESAPALMNewSHFUR4FOI20</v>
      </c>
      <c r="G1847" s="4">
        <f>IF(SUMIFS('RES TECH'!N:N,'RES TECH'!M:M,C1847)&gt;0,1,0)</f>
        <v>1</v>
      </c>
      <c r="H1847" s="4">
        <f t="shared" si="28"/>
        <v>0</v>
      </c>
    </row>
    <row r="1848" spans="3:8" x14ac:dyDescent="0.25">
      <c r="C1848" t="str">
        <f>'RES TECH'!M1847</f>
        <v>RESAPALMNewSHFUR4FOI22</v>
      </c>
      <c r="G1848" s="4">
        <f>IF(SUMIFS('RES TECH'!N:N,'RES TECH'!M:M,C1848)&gt;0,1,0)</f>
        <v>1</v>
      </c>
      <c r="H1848" s="4">
        <f t="shared" si="28"/>
        <v>0</v>
      </c>
    </row>
    <row r="1849" spans="3:8" x14ac:dyDescent="0.25">
      <c r="C1849" t="str">
        <f>'RES TECH'!M1848</f>
        <v>RESAPALMNewSHRAD1FOI20</v>
      </c>
      <c r="G1849" s="4">
        <f>IF(SUMIFS('RES TECH'!N:N,'RES TECH'!M:M,C1849)&gt;0,1,0)</f>
        <v>1</v>
      </c>
      <c r="H1849" s="4">
        <f t="shared" si="28"/>
        <v>0</v>
      </c>
    </row>
    <row r="1850" spans="3:8" x14ac:dyDescent="0.25">
      <c r="C1850" t="str">
        <f>'RES TECH'!M1849</f>
        <v>RESAPALMNewSHRAD1FOI22</v>
      </c>
      <c r="G1850" s="4">
        <f>IF(SUMIFS('RES TECH'!N:N,'RES TECH'!M:M,C1850)&gt;0,1,0)</f>
        <v>1</v>
      </c>
      <c r="H1850" s="4">
        <f t="shared" si="28"/>
        <v>0</v>
      </c>
    </row>
    <row r="1851" spans="3:8" x14ac:dyDescent="0.25">
      <c r="C1851" t="str">
        <f>'RES TECH'!M1850</f>
        <v>RESAPALMNewSHRAD2FOI20</v>
      </c>
      <c r="G1851" s="4">
        <f>IF(SUMIFS('RES TECH'!N:N,'RES TECH'!M:M,C1851)&gt;0,1,0)</f>
        <v>1</v>
      </c>
      <c r="H1851" s="4">
        <f t="shared" si="28"/>
        <v>0</v>
      </c>
    </row>
    <row r="1852" spans="3:8" x14ac:dyDescent="0.25">
      <c r="C1852" t="str">
        <f>'RES TECH'!M1851</f>
        <v>RESAPALMNewSHRAD2FOI22</v>
      </c>
      <c r="G1852" s="4">
        <f>IF(SUMIFS('RES TECH'!N:N,'RES TECH'!M:M,C1852)&gt;0,1,0)</f>
        <v>1</v>
      </c>
      <c r="H1852" s="4">
        <f t="shared" si="28"/>
        <v>0</v>
      </c>
    </row>
    <row r="1853" spans="3:8" x14ac:dyDescent="0.25">
      <c r="C1853" t="str">
        <f>'RES TECH'!M1852</f>
        <v>RESAPALMNewSHRAD3FOI20</v>
      </c>
      <c r="G1853" s="4">
        <f>IF(SUMIFS('RES TECH'!N:N,'RES TECH'!M:M,C1853)&gt;0,1,0)</f>
        <v>1</v>
      </c>
      <c r="H1853" s="4">
        <f t="shared" si="28"/>
        <v>0</v>
      </c>
    </row>
    <row r="1854" spans="3:8" x14ac:dyDescent="0.25">
      <c r="C1854" t="str">
        <f>'RES TECH'!M1853</f>
        <v>RESAPALMNewSHRAD4FOI20</v>
      </c>
      <c r="G1854" s="4">
        <f>IF(SUMIFS('RES TECH'!N:N,'RES TECH'!M:M,C1854)&gt;0,1,0)</f>
        <v>1</v>
      </c>
      <c r="H1854" s="4">
        <f t="shared" si="28"/>
        <v>0</v>
      </c>
    </row>
    <row r="1855" spans="3:8" x14ac:dyDescent="0.25">
      <c r="C1855" t="str">
        <f>'RES TECH'!M1854</f>
        <v>RESAPALMNewSCAHP2NGA20</v>
      </c>
      <c r="G1855" s="4">
        <f>IF(SUMIFS('RES TECH'!N:N,'RES TECH'!M:M,C1855)&gt;0,1,0)</f>
        <v>1</v>
      </c>
      <c r="H1855" s="4">
        <f t="shared" si="28"/>
        <v>0</v>
      </c>
    </row>
    <row r="1856" spans="3:8" x14ac:dyDescent="0.25">
      <c r="C1856" t="str">
        <f>'RES TECH'!M1855</f>
        <v>RESAPALMNewSCAHP2NGA20</v>
      </c>
      <c r="G1856" s="4">
        <f>IF(SUMIFS('RES TECH'!N:N,'RES TECH'!M:M,C1856)&gt;0,1,0)</f>
        <v>1</v>
      </c>
      <c r="H1856" s="4">
        <f t="shared" si="28"/>
        <v>0</v>
      </c>
    </row>
    <row r="1857" spans="3:8" x14ac:dyDescent="0.25">
      <c r="C1857" t="str">
        <f>'RES TECH'!M1856</f>
        <v>RESAPALMNewSCAHP1ELC20</v>
      </c>
      <c r="G1857" s="4">
        <f>IF(SUMIFS('RES TECH'!N:N,'RES TECH'!M:M,C1857)&gt;0,1,0)</f>
        <v>1</v>
      </c>
      <c r="H1857" s="4">
        <f t="shared" si="28"/>
        <v>0</v>
      </c>
    </row>
    <row r="1858" spans="3:8" x14ac:dyDescent="0.25">
      <c r="C1858" t="str">
        <f>'RES TECH'!M1857</f>
        <v>RESAPALMNewSCAHP1ELC23</v>
      </c>
      <c r="G1858" s="4">
        <f>IF(SUMIFS('RES TECH'!N:N,'RES TECH'!M:M,C1858)&gt;0,1,0)</f>
        <v>1</v>
      </c>
      <c r="H1858" s="4">
        <f t="shared" si="28"/>
        <v>0</v>
      </c>
    </row>
    <row r="1859" spans="3:8" x14ac:dyDescent="0.25">
      <c r="C1859" t="str">
        <f>'RES TECH'!M1858</f>
        <v>RESAPALMNewSCAHP2ELC20</v>
      </c>
      <c r="G1859" s="4">
        <f>IF(SUMIFS('RES TECH'!N:N,'RES TECH'!M:M,C1859)&gt;0,1,0)</f>
        <v>1</v>
      </c>
      <c r="H1859" s="4">
        <f t="shared" si="28"/>
        <v>0</v>
      </c>
    </row>
    <row r="1860" spans="3:8" x14ac:dyDescent="0.25">
      <c r="C1860" t="str">
        <f>'RES TECH'!M1859</f>
        <v>RESAPALMNewSCAHP2ELC23</v>
      </c>
      <c r="G1860" s="4">
        <f>IF(SUMIFS('RES TECH'!N:N,'RES TECH'!M:M,C1860)&gt;0,1,0)</f>
        <v>1</v>
      </c>
      <c r="H1860" s="4">
        <f t="shared" si="28"/>
        <v>0</v>
      </c>
    </row>
    <row r="1861" spans="3:8" x14ac:dyDescent="0.25">
      <c r="C1861" t="str">
        <f>'RES TECH'!M1860</f>
        <v>RESAPALMNewSCAHP3ELC20</v>
      </c>
      <c r="G1861" s="4">
        <f>IF(SUMIFS('RES TECH'!N:N,'RES TECH'!M:M,C1861)&gt;0,1,0)</f>
        <v>1</v>
      </c>
      <c r="H1861" s="4">
        <f t="shared" ref="H1861:H1924" si="29">IF(C1861="","",IF(C1861="*","*",0))</f>
        <v>0</v>
      </c>
    </row>
    <row r="1862" spans="3:8" x14ac:dyDescent="0.25">
      <c r="C1862" t="str">
        <f>'RES TECH'!M1861</f>
        <v>RESAPALMNewSCAHP3ELC22</v>
      </c>
      <c r="G1862" s="4">
        <f>IF(SUMIFS('RES TECH'!N:N,'RES TECH'!M:M,C1862)&gt;0,1,0)</f>
        <v>1</v>
      </c>
      <c r="H1862" s="4">
        <f t="shared" si="29"/>
        <v>0</v>
      </c>
    </row>
    <row r="1863" spans="3:8" x14ac:dyDescent="0.25">
      <c r="C1863" t="str">
        <f>'RES TECH'!M1862</f>
        <v>RESAPALMNewSCAHP3ELC23</v>
      </c>
      <c r="G1863" s="4">
        <f>IF(SUMIFS('RES TECH'!N:N,'RES TECH'!M:M,C1863)&gt;0,1,0)</f>
        <v>1</v>
      </c>
      <c r="H1863" s="4">
        <f t="shared" si="29"/>
        <v>0</v>
      </c>
    </row>
    <row r="1864" spans="3:8" x14ac:dyDescent="0.25">
      <c r="C1864" t="str">
        <f>'RES TECH'!M1863</f>
        <v>RESAPALMNewSCAHP4ELC20</v>
      </c>
      <c r="G1864" s="4">
        <f>IF(SUMIFS('RES TECH'!N:N,'RES TECH'!M:M,C1864)&gt;0,1,0)</f>
        <v>1</v>
      </c>
      <c r="H1864" s="4">
        <f t="shared" si="29"/>
        <v>0</v>
      </c>
    </row>
    <row r="1865" spans="3:8" x14ac:dyDescent="0.25">
      <c r="C1865" t="str">
        <f>'RES TECH'!M1864</f>
        <v>RESAPALMNewSCAHP4ELC22</v>
      </c>
      <c r="G1865" s="4">
        <f>IF(SUMIFS('RES TECH'!N:N,'RES TECH'!M:M,C1865)&gt;0,1,0)</f>
        <v>1</v>
      </c>
      <c r="H1865" s="4">
        <f t="shared" si="29"/>
        <v>0</v>
      </c>
    </row>
    <row r="1866" spans="3:8" x14ac:dyDescent="0.25">
      <c r="C1866" t="str">
        <f>'RES TECH'!M1865</f>
        <v>RESAPALMNewSCGHP1ELC20</v>
      </c>
      <c r="G1866" s="4">
        <f>IF(SUMIFS('RES TECH'!N:N,'RES TECH'!M:M,C1866)&gt;0,1,0)</f>
        <v>1</v>
      </c>
      <c r="H1866" s="4">
        <f t="shared" si="29"/>
        <v>0</v>
      </c>
    </row>
    <row r="1867" spans="3:8" x14ac:dyDescent="0.25">
      <c r="C1867" t="str">
        <f>'RES TECH'!M1866</f>
        <v>RESAPALMNewSCGHP2ELC20</v>
      </c>
      <c r="G1867" s="4">
        <f>IF(SUMIFS('RES TECH'!N:N,'RES TECH'!M:M,C1867)&gt;0,1,0)</f>
        <v>1</v>
      </c>
      <c r="H1867" s="4">
        <f t="shared" si="29"/>
        <v>0</v>
      </c>
    </row>
    <row r="1868" spans="3:8" x14ac:dyDescent="0.25">
      <c r="C1868" t="str">
        <f>'RES TECH'!M1867</f>
        <v>RESAPALMNewSCGHP3ELC20</v>
      </c>
      <c r="G1868" s="4">
        <f>IF(SUMIFS('RES TECH'!N:N,'RES TECH'!M:M,C1868)&gt;0,1,0)</f>
        <v>1</v>
      </c>
      <c r="H1868" s="4">
        <f t="shared" si="29"/>
        <v>0</v>
      </c>
    </row>
    <row r="1869" spans="3:8" x14ac:dyDescent="0.25">
      <c r="C1869" t="str">
        <f>'RES TECH'!M1868</f>
        <v>RESAPALMNewSCGHP3ELC20</v>
      </c>
      <c r="G1869" s="4">
        <f>IF(SUMIFS('RES TECH'!N:N,'RES TECH'!M:M,C1869)&gt;0,1,0)</f>
        <v>1</v>
      </c>
      <c r="H1869" s="4">
        <f t="shared" si="29"/>
        <v>0</v>
      </c>
    </row>
    <row r="1870" spans="3:8" x14ac:dyDescent="0.25">
      <c r="C1870" t="str">
        <f>'RES TECH'!M1869</f>
        <v>RESAPALMNewSCGHP3ELC22</v>
      </c>
      <c r="G1870" s="4">
        <f>IF(SUMIFS('RES TECH'!N:N,'RES TECH'!M:M,C1870)&gt;0,1,0)</f>
        <v>1</v>
      </c>
      <c r="H1870" s="4">
        <f t="shared" si="29"/>
        <v>0</v>
      </c>
    </row>
    <row r="1871" spans="3:8" x14ac:dyDescent="0.25">
      <c r="C1871" t="str">
        <f>'RES TECH'!M1870</f>
        <v>RESAPALMNewSCGHP3ELC23</v>
      </c>
      <c r="G1871" s="4">
        <f>IF(SUMIFS('RES TECH'!N:N,'RES TECH'!M:M,C1871)&gt;0,1,0)</f>
        <v>1</v>
      </c>
      <c r="H1871" s="4">
        <f t="shared" si="29"/>
        <v>0</v>
      </c>
    </row>
    <row r="1872" spans="3:8" x14ac:dyDescent="0.25">
      <c r="C1872" t="str">
        <f>'RES TECH'!M1871</f>
        <v>RESAPALMNewSCGHP3ELC24</v>
      </c>
      <c r="G1872" s="4">
        <f>IF(SUMIFS('RES TECH'!N:N,'RES TECH'!M:M,C1872)&gt;0,1,0)</f>
        <v>1</v>
      </c>
      <c r="H1872" s="4">
        <f t="shared" si="29"/>
        <v>0</v>
      </c>
    </row>
    <row r="1873" spans="3:8" x14ac:dyDescent="0.25">
      <c r="C1873" t="str">
        <f>'RES TECH'!M1872</f>
        <v>RESAPALMNewSCGHP4ELC20</v>
      </c>
      <c r="G1873" s="4">
        <f>IF(SUMIFS('RES TECH'!N:N,'RES TECH'!M:M,C1873)&gt;0,1,0)</f>
        <v>1</v>
      </c>
      <c r="H1873" s="4">
        <f t="shared" si="29"/>
        <v>0</v>
      </c>
    </row>
    <row r="1874" spans="3:8" x14ac:dyDescent="0.25">
      <c r="C1874" t="str">
        <f>'RES TECH'!M1873</f>
        <v>RESAPALMNewSCGHP4ELC20</v>
      </c>
      <c r="G1874" s="4">
        <f>IF(SUMIFS('RES TECH'!N:N,'RES TECH'!M:M,C1874)&gt;0,1,0)</f>
        <v>1</v>
      </c>
      <c r="H1874" s="4">
        <f t="shared" si="29"/>
        <v>0</v>
      </c>
    </row>
    <row r="1875" spans="3:8" x14ac:dyDescent="0.25">
      <c r="C1875" t="str">
        <f>'RES TECH'!M1874</f>
        <v>RESAPALMNewSCGHP4ELC22</v>
      </c>
      <c r="G1875" s="4">
        <f>IF(SUMIFS('RES TECH'!N:N,'RES TECH'!M:M,C1875)&gt;0,1,0)</f>
        <v>1</v>
      </c>
      <c r="H1875" s="4">
        <f t="shared" si="29"/>
        <v>0</v>
      </c>
    </row>
    <row r="1876" spans="3:8" x14ac:dyDescent="0.25">
      <c r="C1876" t="str">
        <f>'RES TECH'!M1875</f>
        <v>RESAPALMNewSCGHP4ELC23</v>
      </c>
      <c r="G1876" s="4">
        <f>IF(SUMIFS('RES TECH'!N:N,'RES TECH'!M:M,C1876)&gt;0,1,0)</f>
        <v>1</v>
      </c>
      <c r="H1876" s="4">
        <f t="shared" si="29"/>
        <v>0</v>
      </c>
    </row>
    <row r="1877" spans="3:8" x14ac:dyDescent="0.25">
      <c r="C1877" t="str">
        <f>'RES TECH'!M1876</f>
        <v>RESAPALMNewSCGHP4ELC24</v>
      </c>
      <c r="G1877" s="4">
        <f>IF(SUMIFS('RES TECH'!N:N,'RES TECH'!M:M,C1877)&gt;0,1,0)</f>
        <v>1</v>
      </c>
      <c r="H1877" s="4">
        <f t="shared" si="29"/>
        <v>0</v>
      </c>
    </row>
    <row r="1878" spans="3:8" x14ac:dyDescent="0.25">
      <c r="C1878" t="str">
        <f>'RES TECH'!M1877</f>
        <v>RESAPALMNewSCRAC1ELC20</v>
      </c>
      <c r="G1878" s="4">
        <f>IF(SUMIFS('RES TECH'!N:N,'RES TECH'!M:M,C1878)&gt;0,1,0)</f>
        <v>1</v>
      </c>
      <c r="H1878" s="4">
        <f t="shared" si="29"/>
        <v>0</v>
      </c>
    </row>
    <row r="1879" spans="3:8" x14ac:dyDescent="0.25">
      <c r="C1879" t="str">
        <f>'RES TECH'!M1878</f>
        <v>RESAPALMNewSCRAC2ELC20</v>
      </c>
      <c r="G1879" s="4">
        <f>IF(SUMIFS('RES TECH'!N:N,'RES TECH'!M:M,C1879)&gt;0,1,0)</f>
        <v>1</v>
      </c>
      <c r="H1879" s="4">
        <f t="shared" si="29"/>
        <v>0</v>
      </c>
    </row>
    <row r="1880" spans="3:8" x14ac:dyDescent="0.25">
      <c r="C1880" t="str">
        <f>'RES TECH'!M1879</f>
        <v>RESAPALMNewSCRAC2ELC30</v>
      </c>
      <c r="G1880" s="4">
        <f>IF(SUMIFS('RES TECH'!N:N,'RES TECH'!M:M,C1880)&gt;0,1,0)</f>
        <v>1</v>
      </c>
      <c r="H1880" s="4">
        <f t="shared" si="29"/>
        <v>0</v>
      </c>
    </row>
    <row r="1881" spans="3:8" x14ac:dyDescent="0.25">
      <c r="C1881" t="str">
        <f>'RES TECH'!M1880</f>
        <v>RESAPALMNewSCRAC2ELC40</v>
      </c>
      <c r="G1881" s="4">
        <f>IF(SUMIFS('RES TECH'!N:N,'RES TECH'!M:M,C1881)&gt;0,1,0)</f>
        <v>1</v>
      </c>
      <c r="H1881" s="4">
        <f t="shared" si="29"/>
        <v>0</v>
      </c>
    </row>
    <row r="1882" spans="3:8" x14ac:dyDescent="0.25">
      <c r="C1882" t="str">
        <f>'RES TECH'!M1881</f>
        <v>RESAPALMNewSCRAC3ELC20</v>
      </c>
      <c r="G1882" s="4">
        <f>IF(SUMIFS('RES TECH'!N:N,'RES TECH'!M:M,C1882)&gt;0,1,0)</f>
        <v>1</v>
      </c>
      <c r="H1882" s="4">
        <f t="shared" si="29"/>
        <v>0</v>
      </c>
    </row>
    <row r="1883" spans="3:8" x14ac:dyDescent="0.25">
      <c r="C1883" t="str">
        <f>'RES TECH'!M1882</f>
        <v>RESAPALMNewSCRAC4ELC20</v>
      </c>
      <c r="G1883" s="4">
        <f>IF(SUMIFS('RES TECH'!N:N,'RES TECH'!M:M,C1883)&gt;0,1,0)</f>
        <v>1</v>
      </c>
      <c r="H1883" s="4">
        <f t="shared" si="29"/>
        <v>0</v>
      </c>
    </row>
    <row r="1884" spans="3:8" x14ac:dyDescent="0.25">
      <c r="C1884" t="str">
        <f>'RES TECH'!M1883</f>
        <v>RESAPALMNewSCRAC4ELC22</v>
      </c>
      <c r="G1884" s="4">
        <f>IF(SUMIFS('RES TECH'!N:N,'RES TECH'!M:M,C1884)&gt;0,1,0)</f>
        <v>1</v>
      </c>
      <c r="H1884" s="4">
        <f t="shared" si="29"/>
        <v>0</v>
      </c>
    </row>
    <row r="1885" spans="3:8" x14ac:dyDescent="0.25">
      <c r="C1885" t="str">
        <f>'RES TECH'!M1884</f>
        <v>RESAPALMNewSCRAC4ELC30</v>
      </c>
      <c r="G1885" s="4">
        <f>IF(SUMIFS('RES TECH'!N:N,'RES TECH'!M:M,C1885)&gt;0,1,0)</f>
        <v>1</v>
      </c>
      <c r="H1885" s="4">
        <f t="shared" si="29"/>
        <v>0</v>
      </c>
    </row>
    <row r="1886" spans="3:8" x14ac:dyDescent="0.25">
      <c r="C1886" t="str">
        <f>'RES TECH'!M1885</f>
        <v>RESAPALMNewSCRAC4ELC40</v>
      </c>
      <c r="G1886" s="4">
        <f>IF(SUMIFS('RES TECH'!N:N,'RES TECH'!M:M,C1886)&gt;0,1,0)</f>
        <v>1</v>
      </c>
      <c r="H1886" s="4">
        <f t="shared" si="29"/>
        <v>0</v>
      </c>
    </row>
    <row r="1887" spans="3:8" x14ac:dyDescent="0.25">
      <c r="C1887" t="str">
        <f>'RES TECH'!M1886</f>
        <v>RESAPALMNewSCCAC1ELC20</v>
      </c>
      <c r="G1887" s="4">
        <f>IF(SUMIFS('RES TECH'!N:N,'RES TECH'!M:M,C1887)&gt;0,1,0)</f>
        <v>1</v>
      </c>
      <c r="H1887" s="4">
        <f t="shared" si="29"/>
        <v>0</v>
      </c>
    </row>
    <row r="1888" spans="3:8" x14ac:dyDescent="0.25">
      <c r="C1888" t="str">
        <f>'RES TECH'!M1887</f>
        <v>RESAPALMNewSCCAC1ELC23</v>
      </c>
      <c r="G1888" s="4">
        <f>IF(SUMIFS('RES TECH'!N:N,'RES TECH'!M:M,C1888)&gt;0,1,0)</f>
        <v>1</v>
      </c>
      <c r="H1888" s="4">
        <f t="shared" si="29"/>
        <v>0</v>
      </c>
    </row>
    <row r="1889" spans="3:8" x14ac:dyDescent="0.25">
      <c r="C1889" t="str">
        <f>'RES TECH'!M1888</f>
        <v>RESAPALMNewSCCAC2ELC20</v>
      </c>
      <c r="G1889" s="4">
        <f>IF(SUMIFS('RES TECH'!N:N,'RES TECH'!M:M,C1889)&gt;0,1,0)</f>
        <v>1</v>
      </c>
      <c r="H1889" s="4">
        <f t="shared" si="29"/>
        <v>0</v>
      </c>
    </row>
    <row r="1890" spans="3:8" x14ac:dyDescent="0.25">
      <c r="C1890" t="str">
        <f>'RES TECH'!M1889</f>
        <v>RESAPALMNewSCCAC2ELC23</v>
      </c>
      <c r="G1890" s="4">
        <f>IF(SUMIFS('RES TECH'!N:N,'RES TECH'!M:M,C1890)&gt;0,1,0)</f>
        <v>1</v>
      </c>
      <c r="H1890" s="4">
        <f t="shared" si="29"/>
        <v>0</v>
      </c>
    </row>
    <row r="1891" spans="3:8" x14ac:dyDescent="0.25">
      <c r="C1891" t="str">
        <f>'RES TECH'!M1890</f>
        <v>RESAPALMNewSCCAC3ELC20</v>
      </c>
      <c r="G1891" s="4">
        <f>IF(SUMIFS('RES TECH'!N:N,'RES TECH'!M:M,C1891)&gt;0,1,0)</f>
        <v>1</v>
      </c>
      <c r="H1891" s="4">
        <f t="shared" si="29"/>
        <v>0</v>
      </c>
    </row>
    <row r="1892" spans="3:8" x14ac:dyDescent="0.25">
      <c r="C1892" t="str">
        <f>'RES TECH'!M1891</f>
        <v>RESAPALMNewSCCAC3ELC23</v>
      </c>
      <c r="G1892" s="4">
        <f>IF(SUMIFS('RES TECH'!N:N,'RES TECH'!M:M,C1892)&gt;0,1,0)</f>
        <v>1</v>
      </c>
      <c r="H1892" s="4">
        <f t="shared" si="29"/>
        <v>0</v>
      </c>
    </row>
    <row r="1893" spans="3:8" x14ac:dyDescent="0.25">
      <c r="C1893" t="str">
        <f>'RES TECH'!M1892</f>
        <v>RESAPALMNewSCCAC4ELC20</v>
      </c>
      <c r="G1893" s="4">
        <f>IF(SUMIFS('RES TECH'!N:N,'RES TECH'!M:M,C1893)&gt;0,1,0)</f>
        <v>1</v>
      </c>
      <c r="H1893" s="4">
        <f t="shared" si="29"/>
        <v>0</v>
      </c>
    </row>
    <row r="1894" spans="3:8" x14ac:dyDescent="0.25">
      <c r="C1894" t="str">
        <f>'RES TECH'!M1893</f>
        <v>RESAPALMNewSCCAC4ELC22</v>
      </c>
      <c r="G1894" s="4">
        <f>IF(SUMIFS('RES TECH'!N:N,'RES TECH'!M:M,C1894)&gt;0,1,0)</f>
        <v>1</v>
      </c>
      <c r="H1894" s="4">
        <f t="shared" si="29"/>
        <v>0</v>
      </c>
    </row>
    <row r="1895" spans="3:8" x14ac:dyDescent="0.25">
      <c r="C1895" t="str">
        <f>'RES TECH'!M1894</f>
        <v>RESAPALMNewRETF1ELC20</v>
      </c>
      <c r="G1895" s="4">
        <f>IF(SUMIFS('RES TECH'!N:N,'RES TECH'!M:M,C1895)&gt;0,1,0)</f>
        <v>1</v>
      </c>
      <c r="H1895" s="4">
        <f t="shared" si="29"/>
        <v>0</v>
      </c>
    </row>
    <row r="1896" spans="3:8" x14ac:dyDescent="0.25">
      <c r="C1896" t="str">
        <f>'RES TECH'!M1895</f>
        <v>RESAPALMNewRETF2ELC20</v>
      </c>
      <c r="G1896" s="4">
        <f>IF(SUMIFS('RES TECH'!N:N,'RES TECH'!M:M,C1896)&gt;0,1,0)</f>
        <v>1</v>
      </c>
      <c r="H1896" s="4">
        <f t="shared" si="29"/>
        <v>0</v>
      </c>
    </row>
    <row r="1897" spans="3:8" x14ac:dyDescent="0.25">
      <c r="C1897" t="str">
        <f>'RES TECH'!M1896</f>
        <v>RESAPALMNewRETF3ELC20</v>
      </c>
      <c r="G1897" s="4">
        <f>IF(SUMIFS('RES TECH'!N:N,'RES TECH'!M:M,C1897)&gt;0,1,0)</f>
        <v>1</v>
      </c>
      <c r="H1897" s="4">
        <f t="shared" si="29"/>
        <v>0</v>
      </c>
    </row>
    <row r="1898" spans="3:8" x14ac:dyDescent="0.25">
      <c r="C1898" t="str">
        <f>'RES TECH'!M1897</f>
        <v>RESAPALMNewRETF4ELC20</v>
      </c>
      <c r="G1898" s="4">
        <f>IF(SUMIFS('RES TECH'!N:N,'RES TECH'!M:M,C1898)&gt;0,1,0)</f>
        <v>1</v>
      </c>
      <c r="H1898" s="4">
        <f t="shared" si="29"/>
        <v>0</v>
      </c>
    </row>
    <row r="1899" spans="3:8" x14ac:dyDescent="0.25">
      <c r="C1899" t="str">
        <f>'RES TECH'!M1898</f>
        <v>RESAPALMNewRESF1ELC20</v>
      </c>
      <c r="G1899" s="4">
        <f>IF(SUMIFS('RES TECH'!N:N,'RES TECH'!M:M,C1899)&gt;0,1,0)</f>
        <v>1</v>
      </c>
      <c r="H1899" s="4">
        <f t="shared" si="29"/>
        <v>0</v>
      </c>
    </row>
    <row r="1900" spans="3:8" x14ac:dyDescent="0.25">
      <c r="C1900" t="str">
        <f>'RES TECH'!M1899</f>
        <v>RESAPALMNewRESF2ELC20</v>
      </c>
      <c r="G1900" s="4">
        <f>IF(SUMIFS('RES TECH'!N:N,'RES TECH'!M:M,C1900)&gt;0,1,0)</f>
        <v>1</v>
      </c>
      <c r="H1900" s="4">
        <f t="shared" si="29"/>
        <v>0</v>
      </c>
    </row>
    <row r="1901" spans="3:8" x14ac:dyDescent="0.25">
      <c r="C1901" t="str">
        <f>'RES TECH'!M1900</f>
        <v>RESAPALMNewRESF3ELC20</v>
      </c>
      <c r="G1901" s="4">
        <f>IF(SUMIFS('RES TECH'!N:N,'RES TECH'!M:M,C1901)&gt;0,1,0)</f>
        <v>1</v>
      </c>
      <c r="H1901" s="4">
        <f t="shared" si="29"/>
        <v>0</v>
      </c>
    </row>
    <row r="1902" spans="3:8" x14ac:dyDescent="0.25">
      <c r="C1902" t="str">
        <f>'RES TECH'!M1901</f>
        <v>RESAPALMNewRESF4ELC20</v>
      </c>
      <c r="G1902" s="4">
        <f>IF(SUMIFS('RES TECH'!N:N,'RES TECH'!M:M,C1902)&gt;0,1,0)</f>
        <v>1</v>
      </c>
      <c r="H1902" s="4">
        <f t="shared" si="29"/>
        <v>0</v>
      </c>
    </row>
    <row r="1903" spans="3:8" x14ac:dyDescent="0.25">
      <c r="C1903" t="str">
        <f>'RES TECH'!M1902</f>
        <v>RESAPALMNewREBF1ELC20</v>
      </c>
      <c r="G1903" s="4">
        <f>IF(SUMIFS('RES TECH'!N:N,'RES TECH'!M:M,C1903)&gt;0,1,0)</f>
        <v>1</v>
      </c>
      <c r="H1903" s="4">
        <f t="shared" si="29"/>
        <v>0</v>
      </c>
    </row>
    <row r="1904" spans="3:8" x14ac:dyDescent="0.25">
      <c r="C1904" t="str">
        <f>'RES TECH'!M1903</f>
        <v>RESAPALMNewREBF2ELC20</v>
      </c>
      <c r="G1904" s="4">
        <f>IF(SUMIFS('RES TECH'!N:N,'RES TECH'!M:M,C1904)&gt;0,1,0)</f>
        <v>1</v>
      </c>
      <c r="H1904" s="4">
        <f t="shared" si="29"/>
        <v>0</v>
      </c>
    </row>
    <row r="1905" spans="3:8" x14ac:dyDescent="0.25">
      <c r="C1905" t="str">
        <f>'RES TECH'!M1904</f>
        <v>RESAPALMNewREBF3ELC20</v>
      </c>
      <c r="G1905" s="4">
        <f>IF(SUMIFS('RES TECH'!N:N,'RES TECH'!M:M,C1905)&gt;0,1,0)</f>
        <v>1</v>
      </c>
      <c r="H1905" s="4">
        <f t="shared" si="29"/>
        <v>0</v>
      </c>
    </row>
    <row r="1906" spans="3:8" x14ac:dyDescent="0.25">
      <c r="C1906" t="str">
        <f>'RES TECH'!M1905</f>
        <v>RESAPALMNewREBF4ELC20</v>
      </c>
      <c r="G1906" s="4">
        <f>IF(SUMIFS('RES TECH'!N:N,'RES TECH'!M:M,C1906)&gt;0,1,0)</f>
        <v>1</v>
      </c>
      <c r="H1906" s="4">
        <f t="shared" si="29"/>
        <v>0</v>
      </c>
    </row>
    <row r="1907" spans="3:8" x14ac:dyDescent="0.25">
      <c r="C1907" t="str">
        <f>'RES TECH'!M1906</f>
        <v>RESAPALMNewFRC1ELC20</v>
      </c>
      <c r="G1907" s="4">
        <f>IF(SUMIFS('RES TECH'!N:N,'RES TECH'!M:M,C1907)&gt;0,1,0)</f>
        <v>1</v>
      </c>
      <c r="H1907" s="4">
        <f t="shared" si="29"/>
        <v>0</v>
      </c>
    </row>
    <row r="1908" spans="3:8" x14ac:dyDescent="0.25">
      <c r="C1908" t="str">
        <f>'RES TECH'!M1907</f>
        <v>RESAPALMNewFRC2ELC20</v>
      </c>
      <c r="G1908" s="4">
        <f>IF(SUMIFS('RES TECH'!N:N,'RES TECH'!M:M,C1908)&gt;0,1,0)</f>
        <v>1</v>
      </c>
      <c r="H1908" s="4">
        <f t="shared" si="29"/>
        <v>0</v>
      </c>
    </row>
    <row r="1909" spans="3:8" x14ac:dyDescent="0.25">
      <c r="C1909" t="str">
        <f>'RES TECH'!M1908</f>
        <v>RESAPALMNewFRC3ELC20</v>
      </c>
      <c r="G1909" s="4">
        <f>IF(SUMIFS('RES TECH'!N:N,'RES TECH'!M:M,C1909)&gt;0,1,0)</f>
        <v>1</v>
      </c>
      <c r="H1909" s="4">
        <f t="shared" si="29"/>
        <v>0</v>
      </c>
    </row>
    <row r="1910" spans="3:8" x14ac:dyDescent="0.25">
      <c r="C1910" t="str">
        <f>'RES TECH'!M1909</f>
        <v>RESAPALMNewFRC4ELC20</v>
      </c>
      <c r="G1910" s="4">
        <f>IF(SUMIFS('RES TECH'!N:N,'RES TECH'!M:M,C1910)&gt;0,1,0)</f>
        <v>1</v>
      </c>
      <c r="H1910" s="4">
        <f t="shared" si="29"/>
        <v>0</v>
      </c>
    </row>
    <row r="1911" spans="3:8" x14ac:dyDescent="0.25">
      <c r="C1911" t="str">
        <f>'RES TECH'!M1910</f>
        <v>RESAPALMNewFRU1ELC20</v>
      </c>
      <c r="G1911" s="4">
        <f>IF(SUMIFS('RES TECH'!N:N,'RES TECH'!M:M,C1911)&gt;0,1,0)</f>
        <v>1</v>
      </c>
      <c r="H1911" s="4">
        <f t="shared" si="29"/>
        <v>0</v>
      </c>
    </row>
    <row r="1912" spans="3:8" x14ac:dyDescent="0.25">
      <c r="C1912" t="str">
        <f>'RES TECH'!M1911</f>
        <v>RESAPALMNewFRU2ELC20</v>
      </c>
      <c r="G1912" s="4">
        <f>IF(SUMIFS('RES TECH'!N:N,'RES TECH'!M:M,C1912)&gt;0,1,0)</f>
        <v>1</v>
      </c>
      <c r="H1912" s="4">
        <f t="shared" si="29"/>
        <v>0</v>
      </c>
    </row>
    <row r="1913" spans="3:8" x14ac:dyDescent="0.25">
      <c r="C1913" t="str">
        <f>'RES TECH'!M1912</f>
        <v>RESAPALMNewFRU3ELC20</v>
      </c>
      <c r="G1913" s="4">
        <f>IF(SUMIFS('RES TECH'!N:N,'RES TECH'!M:M,C1913)&gt;0,1,0)</f>
        <v>1</v>
      </c>
      <c r="H1913" s="4">
        <f t="shared" si="29"/>
        <v>0</v>
      </c>
    </row>
    <row r="1914" spans="3:8" x14ac:dyDescent="0.25">
      <c r="C1914" t="str">
        <f>'RES TECH'!M1913</f>
        <v>RESAPALMNewFRU4ELC20</v>
      </c>
      <c r="G1914" s="4">
        <f>IF(SUMIFS('RES TECH'!N:N,'RES TECH'!M:M,C1914)&gt;0,1,0)</f>
        <v>1</v>
      </c>
      <c r="H1914" s="4">
        <f t="shared" si="29"/>
        <v>0</v>
      </c>
    </row>
    <row r="1915" spans="3:8" x14ac:dyDescent="0.25">
      <c r="C1915" t="str">
        <f>'RES TECH'!M1914</f>
        <v>RESAPALMNewCK2NGA20</v>
      </c>
      <c r="G1915" s="4">
        <f>IF(SUMIFS('RES TECH'!N:N,'RES TECH'!M:M,C1915)&gt;0,1,0)</f>
        <v>1</v>
      </c>
      <c r="H1915" s="4">
        <f t="shared" si="29"/>
        <v>0</v>
      </c>
    </row>
    <row r="1916" spans="3:8" x14ac:dyDescent="0.25">
      <c r="C1916" t="str">
        <f>'RES TECH'!M1915</f>
        <v>RESAPALMNewCK4NGA20</v>
      </c>
      <c r="G1916" s="4">
        <f>IF(SUMIFS('RES TECH'!N:N,'RES TECH'!M:M,C1916)&gt;0,1,0)</f>
        <v>1</v>
      </c>
      <c r="H1916" s="4">
        <f t="shared" si="29"/>
        <v>0</v>
      </c>
    </row>
    <row r="1917" spans="3:8" x14ac:dyDescent="0.25">
      <c r="C1917" t="str">
        <f>'RES TECH'!M1916</f>
        <v>RESAPALMNewCK2LPG20</v>
      </c>
      <c r="G1917" s="4">
        <f>IF(SUMIFS('RES TECH'!N:N,'RES TECH'!M:M,C1917)&gt;0,1,0)</f>
        <v>1</v>
      </c>
      <c r="H1917" s="4">
        <f t="shared" si="29"/>
        <v>0</v>
      </c>
    </row>
    <row r="1918" spans="3:8" x14ac:dyDescent="0.25">
      <c r="C1918" t="str">
        <f>'RES TECH'!M1917</f>
        <v>RESAPALMNewCK4LPG20</v>
      </c>
      <c r="G1918" s="4">
        <f>IF(SUMIFS('RES TECH'!N:N,'RES TECH'!M:M,C1918)&gt;0,1,0)</f>
        <v>1</v>
      </c>
      <c r="H1918" s="4">
        <f t="shared" si="29"/>
        <v>0</v>
      </c>
    </row>
    <row r="1919" spans="3:8" x14ac:dyDescent="0.25">
      <c r="C1919" t="str">
        <f>'RES TECH'!M1918</f>
        <v>RESAPALMNewCK2ELC20</v>
      </c>
      <c r="G1919" s="4">
        <f>IF(SUMIFS('RES TECH'!N:N,'RES TECH'!M:M,C1919)&gt;0,1,0)</f>
        <v>1</v>
      </c>
      <c r="H1919" s="4">
        <f t="shared" si="29"/>
        <v>0</v>
      </c>
    </row>
    <row r="1920" spans="3:8" x14ac:dyDescent="0.25">
      <c r="C1920" t="str">
        <f>'RES TECH'!M1919</f>
        <v>RESAPALMNewCWF4ELC30</v>
      </c>
      <c r="G1920" s="4">
        <f>IF(SUMIFS('RES TECH'!N:N,'RES TECH'!M:M,C1920)&gt;0,1,0)</f>
        <v>1</v>
      </c>
      <c r="H1920" s="4">
        <f t="shared" si="29"/>
        <v>0</v>
      </c>
    </row>
    <row r="1921" spans="3:8" x14ac:dyDescent="0.25">
      <c r="C1921" t="str">
        <f>'RES TECH'!M1920</f>
        <v>RESAPALMNewCWT1ELC20</v>
      </c>
      <c r="G1921" s="4">
        <f>IF(SUMIFS('RES TECH'!N:N,'RES TECH'!M:M,C1921)&gt;0,1,0)</f>
        <v>1</v>
      </c>
      <c r="H1921" s="4">
        <f t="shared" si="29"/>
        <v>0</v>
      </c>
    </row>
    <row r="1922" spans="3:8" x14ac:dyDescent="0.25">
      <c r="C1922" t="str">
        <f>'RES TECH'!M1921</f>
        <v>RESAPALMNewCWT2ELC20</v>
      </c>
      <c r="G1922" s="4">
        <f>IF(SUMIFS('RES TECH'!N:N,'RES TECH'!M:M,C1922)&gt;0,1,0)</f>
        <v>1</v>
      </c>
      <c r="H1922" s="4">
        <f t="shared" si="29"/>
        <v>0</v>
      </c>
    </row>
    <row r="1923" spans="3:8" x14ac:dyDescent="0.25">
      <c r="C1923" t="str">
        <f>'RES TECH'!M1922</f>
        <v>RESAPALMNewCWT2ELC20</v>
      </c>
      <c r="G1923" s="4">
        <f>IF(SUMIFS('RES TECH'!N:N,'RES TECH'!M:M,C1923)&gt;0,1,0)</f>
        <v>1</v>
      </c>
      <c r="H1923" s="4">
        <f t="shared" si="29"/>
        <v>0</v>
      </c>
    </row>
    <row r="1924" spans="3:8" x14ac:dyDescent="0.25">
      <c r="C1924" t="str">
        <f>'RES TECH'!M1923</f>
        <v>RESAPALMNewCWT3ELC20</v>
      </c>
      <c r="G1924" s="4">
        <f>IF(SUMIFS('RES TECH'!N:N,'RES TECH'!M:M,C1924)&gt;0,1,0)</f>
        <v>1</v>
      </c>
      <c r="H1924" s="4">
        <f t="shared" si="29"/>
        <v>0</v>
      </c>
    </row>
    <row r="1925" spans="3:8" x14ac:dyDescent="0.25">
      <c r="C1925" t="str">
        <f>'RES TECH'!M1924</f>
        <v>RESAPALMNewCWT4ELC20</v>
      </c>
      <c r="G1925" s="4">
        <f>IF(SUMIFS('RES TECH'!N:N,'RES TECH'!M:M,C1925)&gt;0,1,0)</f>
        <v>1</v>
      </c>
      <c r="H1925" s="4">
        <f t="shared" ref="H1925:H1988" si="30">IF(C1925="","",IF(C1925="*","*",0))</f>
        <v>0</v>
      </c>
    </row>
    <row r="1926" spans="3:8" x14ac:dyDescent="0.25">
      <c r="C1926" t="str">
        <f>'RES TECH'!M1925</f>
        <v>RESAPALMNewCWF1ELC20</v>
      </c>
      <c r="G1926" s="4">
        <f>IF(SUMIFS('RES TECH'!N:N,'RES TECH'!M:M,C1926)&gt;0,1,0)</f>
        <v>1</v>
      </c>
      <c r="H1926" s="4">
        <f t="shared" si="30"/>
        <v>0</v>
      </c>
    </row>
    <row r="1927" spans="3:8" x14ac:dyDescent="0.25">
      <c r="C1927" t="str">
        <f>'RES TECH'!M1926</f>
        <v>RESAPALMNewCWF2ELC20</v>
      </c>
      <c r="G1927" s="4">
        <f>IF(SUMIFS('RES TECH'!N:N,'RES TECH'!M:M,C1927)&gt;0,1,0)</f>
        <v>1</v>
      </c>
      <c r="H1927" s="4">
        <f t="shared" si="30"/>
        <v>0</v>
      </c>
    </row>
    <row r="1928" spans="3:8" x14ac:dyDescent="0.25">
      <c r="C1928" t="str">
        <f>'RES TECH'!M1927</f>
        <v>RESAPALMNewCWF2ELC30</v>
      </c>
      <c r="G1928" s="4">
        <f>IF(SUMIFS('RES TECH'!N:N,'RES TECH'!M:M,C1928)&gt;0,1,0)</f>
        <v>1</v>
      </c>
      <c r="H1928" s="4">
        <f t="shared" si="30"/>
        <v>0</v>
      </c>
    </row>
    <row r="1929" spans="3:8" x14ac:dyDescent="0.25">
      <c r="C1929" t="str">
        <f>'RES TECH'!M1928</f>
        <v>RESAPALMNewCWF3ELC20</v>
      </c>
      <c r="G1929" s="4">
        <f>IF(SUMIFS('RES TECH'!N:N,'RES TECH'!M:M,C1929)&gt;0,1,0)</f>
        <v>1</v>
      </c>
      <c r="H1929" s="4">
        <f t="shared" si="30"/>
        <v>0</v>
      </c>
    </row>
    <row r="1930" spans="3:8" x14ac:dyDescent="0.25">
      <c r="C1930" t="str">
        <f>'RES TECH'!M1929</f>
        <v>RESAPALMNewCWF4ELC20</v>
      </c>
      <c r="G1930" s="4">
        <f>IF(SUMIFS('RES TECH'!N:N,'RES TECH'!M:M,C1930)&gt;0,1,0)</f>
        <v>1</v>
      </c>
      <c r="H1930" s="4">
        <f t="shared" si="30"/>
        <v>0</v>
      </c>
    </row>
    <row r="1931" spans="3:8" x14ac:dyDescent="0.25">
      <c r="C1931" t="str">
        <f>'RES TECH'!M1930</f>
        <v>RESAPALMNewCWF4ELC20</v>
      </c>
      <c r="G1931" s="4">
        <f>IF(SUMIFS('RES TECH'!N:N,'RES TECH'!M:M,C1931)&gt;0,1,0)</f>
        <v>1</v>
      </c>
      <c r="H1931" s="4">
        <f t="shared" si="30"/>
        <v>0</v>
      </c>
    </row>
    <row r="1932" spans="3:8" x14ac:dyDescent="0.25">
      <c r="C1932" t="str">
        <f>'RES TECH'!M1931</f>
        <v>RESAPALMNewCD1NGA20</v>
      </c>
      <c r="G1932" s="4">
        <f>IF(SUMIFS('RES TECH'!N:N,'RES TECH'!M:M,C1932)&gt;0,1,0)</f>
        <v>1</v>
      </c>
      <c r="H1932" s="4">
        <f t="shared" si="30"/>
        <v>0</v>
      </c>
    </row>
    <row r="1933" spans="3:8" x14ac:dyDescent="0.25">
      <c r="C1933" t="str">
        <f>'RES TECH'!M1932</f>
        <v>RESAPALMNewCD2NGA20</v>
      </c>
      <c r="G1933" s="4">
        <f>IF(SUMIFS('RES TECH'!N:N,'RES TECH'!M:M,C1933)&gt;0,1,0)</f>
        <v>1</v>
      </c>
      <c r="H1933" s="4">
        <f t="shared" si="30"/>
        <v>0</v>
      </c>
    </row>
    <row r="1934" spans="3:8" x14ac:dyDescent="0.25">
      <c r="C1934" t="str">
        <f>'RES TECH'!M1933</f>
        <v>RESAPALMNewCD3NGA20</v>
      </c>
      <c r="G1934" s="4">
        <f>IF(SUMIFS('RES TECH'!N:N,'RES TECH'!M:M,C1934)&gt;0,1,0)</f>
        <v>1</v>
      </c>
      <c r="H1934" s="4">
        <f t="shared" si="30"/>
        <v>0</v>
      </c>
    </row>
    <row r="1935" spans="3:8" x14ac:dyDescent="0.25">
      <c r="C1935" t="str">
        <f>'RES TECH'!M1934</f>
        <v>RESAPALMNewCD4NGA20</v>
      </c>
      <c r="G1935" s="4">
        <f>IF(SUMIFS('RES TECH'!N:N,'RES TECH'!M:M,C1935)&gt;0,1,0)</f>
        <v>1</v>
      </c>
      <c r="H1935" s="4">
        <f t="shared" si="30"/>
        <v>0</v>
      </c>
    </row>
    <row r="1936" spans="3:8" x14ac:dyDescent="0.25">
      <c r="C1936" t="str">
        <f>'RES TECH'!M1935</f>
        <v>RESAPALMNewCD4NGA30</v>
      </c>
      <c r="G1936" s="4">
        <f>IF(SUMIFS('RES TECH'!N:N,'RES TECH'!M:M,C1936)&gt;0,1,0)</f>
        <v>1</v>
      </c>
      <c r="H1936" s="4">
        <f t="shared" si="30"/>
        <v>0</v>
      </c>
    </row>
    <row r="1937" spans="3:8" x14ac:dyDescent="0.25">
      <c r="C1937" t="str">
        <f>'RES TECH'!M1936</f>
        <v>RESAPALMNewCD1ELC20</v>
      </c>
      <c r="G1937" s="4">
        <f>IF(SUMIFS('RES TECH'!N:N,'RES TECH'!M:M,C1937)&gt;0,1,0)</f>
        <v>1</v>
      </c>
      <c r="H1937" s="4">
        <f t="shared" si="30"/>
        <v>0</v>
      </c>
    </row>
    <row r="1938" spans="3:8" x14ac:dyDescent="0.25">
      <c r="C1938" t="str">
        <f>'RES TECH'!M1937</f>
        <v>RESAPALMNewCD2ELC20</v>
      </c>
      <c r="G1938" s="4">
        <f>IF(SUMIFS('RES TECH'!N:N,'RES TECH'!M:M,C1938)&gt;0,1,0)</f>
        <v>1</v>
      </c>
      <c r="H1938" s="4">
        <f t="shared" si="30"/>
        <v>0</v>
      </c>
    </row>
    <row r="1939" spans="3:8" x14ac:dyDescent="0.25">
      <c r="C1939" t="str">
        <f>'RES TECH'!M1938</f>
        <v>RESAPALMNewCD3ELC20</v>
      </c>
      <c r="G1939" s="4">
        <f>IF(SUMIFS('RES TECH'!N:N,'RES TECH'!M:M,C1939)&gt;0,1,0)</f>
        <v>1</v>
      </c>
      <c r="H1939" s="4">
        <f t="shared" si="30"/>
        <v>0</v>
      </c>
    </row>
    <row r="1940" spans="3:8" x14ac:dyDescent="0.25">
      <c r="C1940" t="str">
        <f>'RES TECH'!M1939</f>
        <v>RESAPALMNewCD4ELC20</v>
      </c>
      <c r="G1940" s="4">
        <f>IF(SUMIFS('RES TECH'!N:N,'RES TECH'!M:M,C1940)&gt;0,1,0)</f>
        <v>1</v>
      </c>
      <c r="H1940" s="4">
        <f t="shared" si="30"/>
        <v>0</v>
      </c>
    </row>
    <row r="1941" spans="3:8" x14ac:dyDescent="0.25">
      <c r="C1941" t="str">
        <f>'RES TECH'!M1940</f>
        <v>RESHOULMNewWH1NGA20</v>
      </c>
      <c r="G1941" s="4">
        <f>IF(SUMIFS('RES TECH'!N:N,'RES TECH'!M:M,C1941)&gt;0,1,0)</f>
        <v>1</v>
      </c>
      <c r="H1941" s="4">
        <f t="shared" si="30"/>
        <v>0</v>
      </c>
    </row>
    <row r="1942" spans="3:8" x14ac:dyDescent="0.25">
      <c r="C1942" t="str">
        <f>'RES TECH'!M1941</f>
        <v>RESHOULMNewWH2NGA20</v>
      </c>
      <c r="G1942" s="4">
        <f>IF(SUMIFS('RES TECH'!N:N,'RES TECH'!M:M,C1942)&gt;0,1,0)</f>
        <v>1</v>
      </c>
      <c r="H1942" s="4">
        <f t="shared" si="30"/>
        <v>0</v>
      </c>
    </row>
    <row r="1943" spans="3:8" x14ac:dyDescent="0.25">
      <c r="C1943" t="str">
        <f>'RES TECH'!M1942</f>
        <v>RESHOULMNewWH3NGA20</v>
      </c>
      <c r="G1943" s="4">
        <f>IF(SUMIFS('RES TECH'!N:N,'RES TECH'!M:M,C1943)&gt;0,1,0)</f>
        <v>1</v>
      </c>
      <c r="H1943" s="4">
        <f t="shared" si="30"/>
        <v>0</v>
      </c>
    </row>
    <row r="1944" spans="3:8" x14ac:dyDescent="0.25">
      <c r="C1944" t="str">
        <f>'RES TECH'!M1943</f>
        <v>RESHOULMNewWH3NGA23</v>
      </c>
      <c r="G1944" s="4">
        <f>IF(SUMIFS('RES TECH'!N:N,'RES TECH'!M:M,C1944)&gt;0,1,0)</f>
        <v>1</v>
      </c>
      <c r="H1944" s="4">
        <f t="shared" si="30"/>
        <v>0</v>
      </c>
    </row>
    <row r="1945" spans="3:8" x14ac:dyDescent="0.25">
      <c r="C1945" t="str">
        <f>'RES TECH'!M1944</f>
        <v>RESHOULMNewWH4NGA20</v>
      </c>
      <c r="G1945" s="4">
        <f>IF(SUMIFS('RES TECH'!N:N,'RES TECH'!M:M,C1945)&gt;0,1,0)</f>
        <v>1</v>
      </c>
      <c r="H1945" s="4">
        <f t="shared" si="30"/>
        <v>0</v>
      </c>
    </row>
    <row r="1946" spans="3:8" x14ac:dyDescent="0.25">
      <c r="C1946" t="str">
        <f>'RES TECH'!M1945</f>
        <v>RESHOULMNewWH4NGA20</v>
      </c>
      <c r="G1946" s="4">
        <f>IF(SUMIFS('RES TECH'!N:N,'RES TECH'!M:M,C1946)&gt;0,1,0)</f>
        <v>1</v>
      </c>
      <c r="H1946" s="4">
        <f t="shared" si="30"/>
        <v>0</v>
      </c>
    </row>
    <row r="1947" spans="3:8" x14ac:dyDescent="0.25">
      <c r="C1947" t="str">
        <f>'RES TECH'!M1946</f>
        <v>RESHOULMNewWH4NGA22</v>
      </c>
      <c r="G1947" s="4">
        <f>IF(SUMIFS('RES TECH'!N:N,'RES TECH'!M:M,C1947)&gt;0,1,0)</f>
        <v>1</v>
      </c>
      <c r="H1947" s="4">
        <f t="shared" si="30"/>
        <v>0</v>
      </c>
    </row>
    <row r="1948" spans="3:8" x14ac:dyDescent="0.25">
      <c r="C1948" t="str">
        <f>'RES TECH'!M1947</f>
        <v>RESHOULMNewWH1ELC20</v>
      </c>
      <c r="G1948" s="4">
        <f>IF(SUMIFS('RES TECH'!N:N,'RES TECH'!M:M,C1948)&gt;0,1,0)</f>
        <v>1</v>
      </c>
      <c r="H1948" s="4">
        <f t="shared" si="30"/>
        <v>0</v>
      </c>
    </row>
    <row r="1949" spans="3:8" x14ac:dyDescent="0.25">
      <c r="C1949" t="str">
        <f>'RES TECH'!M1948</f>
        <v>RESHOULMNewWH2ELC20</v>
      </c>
      <c r="G1949" s="4">
        <f>IF(SUMIFS('RES TECH'!N:N,'RES TECH'!M:M,C1949)&gt;0,1,0)</f>
        <v>1</v>
      </c>
      <c r="H1949" s="4">
        <f t="shared" si="30"/>
        <v>0</v>
      </c>
    </row>
    <row r="1950" spans="3:8" x14ac:dyDescent="0.25">
      <c r="C1950" t="str">
        <f>'RES TECH'!M1949</f>
        <v>RESHOULMNewWH4ELC20</v>
      </c>
      <c r="G1950" s="4">
        <f>IF(SUMIFS('RES TECH'!N:N,'RES TECH'!M:M,C1950)&gt;0,1,0)</f>
        <v>1</v>
      </c>
      <c r="H1950" s="4">
        <f t="shared" si="30"/>
        <v>0</v>
      </c>
    </row>
    <row r="1951" spans="3:8" x14ac:dyDescent="0.25">
      <c r="C1951" t="str">
        <f>'RES TECH'!M1950</f>
        <v>RESHOULMNewWH5ELC20</v>
      </c>
      <c r="G1951" s="4">
        <f>IF(SUMIFS('RES TECH'!N:N,'RES TECH'!M:M,C1951)&gt;0,1,0)</f>
        <v>1</v>
      </c>
      <c r="H1951" s="4">
        <f t="shared" si="30"/>
        <v>0</v>
      </c>
    </row>
    <row r="1952" spans="3:8" x14ac:dyDescent="0.25">
      <c r="C1952" t="str">
        <f>'RES TECH'!M1951</f>
        <v>RESHOULMNewWH5ELC22</v>
      </c>
      <c r="G1952" s="4">
        <f>IF(SUMIFS('RES TECH'!N:N,'RES TECH'!M:M,C1952)&gt;0,1,0)</f>
        <v>1</v>
      </c>
      <c r="H1952" s="4">
        <f t="shared" si="30"/>
        <v>0</v>
      </c>
    </row>
    <row r="1953" spans="3:8" x14ac:dyDescent="0.25">
      <c r="C1953" t="str">
        <f>'RES TECH'!M1952</f>
        <v>RESHOULMNewWH6ELC20</v>
      </c>
      <c r="G1953" s="4">
        <f>IF(SUMIFS('RES TECH'!N:N,'RES TECH'!M:M,C1953)&gt;0,1,0)</f>
        <v>1</v>
      </c>
      <c r="H1953" s="4">
        <f t="shared" si="30"/>
        <v>0</v>
      </c>
    </row>
    <row r="1954" spans="3:8" x14ac:dyDescent="0.25">
      <c r="C1954" t="str">
        <f>'RES TECH'!M1953</f>
        <v>RESHOULMNewWH6ELC22</v>
      </c>
      <c r="G1954" s="4">
        <f>IF(SUMIFS('RES TECH'!N:N,'RES TECH'!M:M,C1954)&gt;0,1,0)</f>
        <v>1</v>
      </c>
      <c r="H1954" s="4">
        <f t="shared" si="30"/>
        <v>0</v>
      </c>
    </row>
    <row r="1955" spans="3:8" x14ac:dyDescent="0.25">
      <c r="C1955" t="str">
        <f>'RES TECH'!M1954</f>
        <v>RESHOULMNewWH7ELC20</v>
      </c>
      <c r="G1955" s="4">
        <f>IF(SUMIFS('RES TECH'!N:N,'RES TECH'!M:M,C1955)&gt;0,1,0)</f>
        <v>1</v>
      </c>
      <c r="H1955" s="4">
        <f t="shared" si="30"/>
        <v>0</v>
      </c>
    </row>
    <row r="1956" spans="3:8" x14ac:dyDescent="0.25">
      <c r="C1956" t="str">
        <f>'RES TECH'!M1955</f>
        <v>RESHOULMNewWH7ELC22</v>
      </c>
      <c r="G1956" s="4">
        <f>IF(SUMIFS('RES TECH'!N:N,'RES TECH'!M:M,C1956)&gt;0,1,0)</f>
        <v>1</v>
      </c>
      <c r="H1956" s="4">
        <f t="shared" si="30"/>
        <v>0</v>
      </c>
    </row>
    <row r="1957" spans="3:8" x14ac:dyDescent="0.25">
      <c r="C1957" t="str">
        <f>'RES TECH'!M1956</f>
        <v>RESHOULMNewWH1FOI20</v>
      </c>
      <c r="G1957" s="4">
        <f>IF(SUMIFS('RES TECH'!N:N,'RES TECH'!M:M,C1957)&gt;0,1,0)</f>
        <v>1</v>
      </c>
      <c r="H1957" s="4">
        <f t="shared" si="30"/>
        <v>0</v>
      </c>
    </row>
    <row r="1958" spans="3:8" x14ac:dyDescent="0.25">
      <c r="C1958" t="str">
        <f>'RES TECH'!M1957</f>
        <v>RESHOULMNewWH2FOI20</v>
      </c>
      <c r="G1958" s="4">
        <f>IF(SUMIFS('RES TECH'!N:N,'RES TECH'!M:M,C1958)&gt;0,1,0)</f>
        <v>1</v>
      </c>
      <c r="H1958" s="4">
        <f t="shared" si="30"/>
        <v>0</v>
      </c>
    </row>
    <row r="1959" spans="3:8" x14ac:dyDescent="0.25">
      <c r="C1959" t="str">
        <f>'RES TECH'!M1958</f>
        <v>RESHOULMNewWH4FOI20</v>
      </c>
      <c r="G1959" s="4">
        <f>IF(SUMIFS('RES TECH'!N:N,'RES TECH'!M:M,C1959)&gt;0,1,0)</f>
        <v>1</v>
      </c>
      <c r="H1959" s="4">
        <f t="shared" si="30"/>
        <v>0</v>
      </c>
    </row>
    <row r="1960" spans="3:8" x14ac:dyDescent="0.25">
      <c r="C1960" t="str">
        <f>'RES TECH'!M1959</f>
        <v>RESHOULMNewWH1LPG20</v>
      </c>
      <c r="G1960" s="4">
        <f>IF(SUMIFS('RES TECH'!N:N,'RES TECH'!M:M,C1960)&gt;0,1,0)</f>
        <v>1</v>
      </c>
      <c r="H1960" s="4">
        <f t="shared" si="30"/>
        <v>0</v>
      </c>
    </row>
    <row r="1961" spans="3:8" x14ac:dyDescent="0.25">
      <c r="C1961" t="str">
        <f>'RES TECH'!M1960</f>
        <v>RESHOULMNewWH2LPG20</v>
      </c>
      <c r="G1961" s="4">
        <f>IF(SUMIFS('RES TECH'!N:N,'RES TECH'!M:M,C1961)&gt;0,1,0)</f>
        <v>1</v>
      </c>
      <c r="H1961" s="4">
        <f t="shared" si="30"/>
        <v>0</v>
      </c>
    </row>
    <row r="1962" spans="3:8" x14ac:dyDescent="0.25">
      <c r="C1962" t="str">
        <f>'RES TECH'!M1961</f>
        <v>RESHOULMNewWH3LPG20</v>
      </c>
      <c r="G1962" s="4">
        <f>IF(SUMIFS('RES TECH'!N:N,'RES TECH'!M:M,C1962)&gt;0,1,0)</f>
        <v>1</v>
      </c>
      <c r="H1962" s="4">
        <f t="shared" si="30"/>
        <v>0</v>
      </c>
    </row>
    <row r="1963" spans="3:8" x14ac:dyDescent="0.25">
      <c r="C1963" t="str">
        <f>'RES TECH'!M1962</f>
        <v>RESHOULMNewWH3LPG23</v>
      </c>
      <c r="G1963" s="4">
        <f>IF(SUMIFS('RES TECH'!N:N,'RES TECH'!M:M,C1963)&gt;0,1,0)</f>
        <v>1</v>
      </c>
      <c r="H1963" s="4">
        <f t="shared" si="30"/>
        <v>0</v>
      </c>
    </row>
    <row r="1964" spans="3:8" x14ac:dyDescent="0.25">
      <c r="C1964" t="str">
        <f>'RES TECH'!M1963</f>
        <v>RESHOULMNewWH4LPG20</v>
      </c>
      <c r="G1964" s="4">
        <f>IF(SUMIFS('RES TECH'!N:N,'RES TECH'!M:M,C1964)&gt;0,1,0)</f>
        <v>1</v>
      </c>
      <c r="H1964" s="4">
        <f t="shared" si="30"/>
        <v>0</v>
      </c>
    </row>
    <row r="1965" spans="3:8" x14ac:dyDescent="0.25">
      <c r="C1965" t="str">
        <f>'RES TECH'!M1964</f>
        <v>RESHOULMNewWH4LPG20</v>
      </c>
      <c r="G1965" s="4">
        <f>IF(SUMIFS('RES TECH'!N:N,'RES TECH'!M:M,C1965)&gt;0,1,0)</f>
        <v>1</v>
      </c>
      <c r="H1965" s="4">
        <f t="shared" si="30"/>
        <v>0</v>
      </c>
    </row>
    <row r="1966" spans="3:8" x14ac:dyDescent="0.25">
      <c r="C1966" t="str">
        <f>'RES TECH'!M1965</f>
        <v>RESHOULMNewWH2SOL20</v>
      </c>
      <c r="G1966" s="4">
        <f>IF(SUMIFS('RES TECH'!N:N,'RES TECH'!M:M,C1966)&gt;0,1,0)</f>
        <v>1</v>
      </c>
      <c r="H1966" s="4">
        <f t="shared" si="30"/>
        <v>0</v>
      </c>
    </row>
    <row r="1967" spans="3:8" x14ac:dyDescent="0.25">
      <c r="C1967" t="str">
        <f>'RES TECH'!M1966</f>
        <v>RESHOULMNewWH2SOL20</v>
      </c>
      <c r="G1967" s="4">
        <f>IF(SUMIFS('RES TECH'!N:N,'RES TECH'!M:M,C1967)&gt;0,1,0)</f>
        <v>1</v>
      </c>
      <c r="H1967" s="4">
        <f t="shared" si="30"/>
        <v>0</v>
      </c>
    </row>
    <row r="1968" spans="3:8" x14ac:dyDescent="0.25">
      <c r="C1968" t="str">
        <f>'RES TECH'!M1967</f>
        <v>RESHOULMNewWH2SOL23</v>
      </c>
      <c r="G1968" s="4">
        <f>IF(SUMIFS('RES TECH'!N:N,'RES TECH'!M:M,C1968)&gt;0,1,0)</f>
        <v>1</v>
      </c>
      <c r="H1968" s="4">
        <f t="shared" si="30"/>
        <v>0</v>
      </c>
    </row>
    <row r="1969" spans="3:8" x14ac:dyDescent="0.25">
      <c r="C1969" t="str">
        <f>'RES TECH'!M1968</f>
        <v>RESHOULMNewWH2SOL24</v>
      </c>
      <c r="G1969" s="4">
        <f>IF(SUMIFS('RES TECH'!N:N,'RES TECH'!M:M,C1969)&gt;0,1,0)</f>
        <v>1</v>
      </c>
      <c r="H1969" s="4">
        <f t="shared" si="30"/>
        <v>0</v>
      </c>
    </row>
    <row r="1970" spans="3:8" x14ac:dyDescent="0.25">
      <c r="C1970" t="str">
        <f>'RES TECH'!M1969</f>
        <v>RESHOULMNewSHAHP1ELC20</v>
      </c>
      <c r="G1970" s="4">
        <f>IF(SUMIFS('RES TECH'!N:N,'RES TECH'!M:M,C1970)&gt;0,1,0)</f>
        <v>1</v>
      </c>
      <c r="H1970" s="4">
        <f t="shared" si="30"/>
        <v>0</v>
      </c>
    </row>
    <row r="1971" spans="3:8" x14ac:dyDescent="0.25">
      <c r="C1971" t="str">
        <f>'RES TECH'!M1970</f>
        <v>RESHOULMNewSHAHP1ELC23</v>
      </c>
      <c r="G1971" s="4">
        <f>IF(SUMIFS('RES TECH'!N:N,'RES TECH'!M:M,C1971)&gt;0,1,0)</f>
        <v>1</v>
      </c>
      <c r="H1971" s="4">
        <f t="shared" si="30"/>
        <v>0</v>
      </c>
    </row>
    <row r="1972" spans="3:8" x14ac:dyDescent="0.25">
      <c r="C1972" t="str">
        <f>'RES TECH'!M1971</f>
        <v>RESHOULMNewSHAHP2ELC20</v>
      </c>
      <c r="G1972" s="4">
        <f>IF(SUMIFS('RES TECH'!N:N,'RES TECH'!M:M,C1972)&gt;0,1,0)</f>
        <v>1</v>
      </c>
      <c r="H1972" s="4">
        <f t="shared" si="30"/>
        <v>0</v>
      </c>
    </row>
    <row r="1973" spans="3:8" x14ac:dyDescent="0.25">
      <c r="C1973" t="str">
        <f>'RES TECH'!M1972</f>
        <v>RESHOULMNewSHAHP2ELC23</v>
      </c>
      <c r="G1973" s="4">
        <f>IF(SUMIFS('RES TECH'!N:N,'RES TECH'!M:M,C1973)&gt;0,1,0)</f>
        <v>1</v>
      </c>
      <c r="H1973" s="4">
        <f t="shared" si="30"/>
        <v>0</v>
      </c>
    </row>
    <row r="1974" spans="3:8" x14ac:dyDescent="0.25">
      <c r="C1974" t="str">
        <f>'RES TECH'!M1973</f>
        <v>RESHOULMNewSHAHP3ELC20</v>
      </c>
      <c r="G1974" s="4">
        <f>IF(SUMIFS('RES TECH'!N:N,'RES TECH'!M:M,C1974)&gt;0,1,0)</f>
        <v>1</v>
      </c>
      <c r="H1974" s="4">
        <f t="shared" si="30"/>
        <v>0</v>
      </c>
    </row>
    <row r="1975" spans="3:8" x14ac:dyDescent="0.25">
      <c r="C1975" t="str">
        <f>'RES TECH'!M1974</f>
        <v>RESHOULMNewSHAHP3ELC22</v>
      </c>
      <c r="G1975" s="4">
        <f>IF(SUMIFS('RES TECH'!N:N,'RES TECH'!M:M,C1975)&gt;0,1,0)</f>
        <v>1</v>
      </c>
      <c r="H1975" s="4">
        <f t="shared" si="30"/>
        <v>0</v>
      </c>
    </row>
    <row r="1976" spans="3:8" x14ac:dyDescent="0.25">
      <c r="C1976" t="str">
        <f>'RES TECH'!M1975</f>
        <v>RESHOULMNewSHAHP3ELC23</v>
      </c>
      <c r="G1976" s="4">
        <f>IF(SUMIFS('RES TECH'!N:N,'RES TECH'!M:M,C1976)&gt;0,1,0)</f>
        <v>1</v>
      </c>
      <c r="H1976" s="4">
        <f t="shared" si="30"/>
        <v>0</v>
      </c>
    </row>
    <row r="1977" spans="3:8" x14ac:dyDescent="0.25">
      <c r="C1977" t="str">
        <f>'RES TECH'!M1976</f>
        <v>RESHOULMNewSHAHP4ELC20</v>
      </c>
      <c r="G1977" s="4">
        <f>IF(SUMIFS('RES TECH'!N:N,'RES TECH'!M:M,C1977)&gt;0,1,0)</f>
        <v>1</v>
      </c>
      <c r="H1977" s="4">
        <f t="shared" si="30"/>
        <v>0</v>
      </c>
    </row>
    <row r="1978" spans="3:8" x14ac:dyDescent="0.25">
      <c r="C1978" t="str">
        <f>'RES TECH'!M1977</f>
        <v>RESHOULMNewSHAHP4ELC22</v>
      </c>
      <c r="G1978" s="4">
        <f>IF(SUMIFS('RES TECH'!N:N,'RES TECH'!M:M,C1978)&gt;0,1,0)</f>
        <v>1</v>
      </c>
      <c r="H1978" s="4">
        <f t="shared" si="30"/>
        <v>0</v>
      </c>
    </row>
    <row r="1979" spans="3:8" x14ac:dyDescent="0.25">
      <c r="C1979" t="str">
        <f>'RES TECH'!M1978</f>
        <v>RESHOULMNewSHGHP1ELC20</v>
      </c>
      <c r="G1979" s="4">
        <f>IF(SUMIFS('RES TECH'!N:N,'RES TECH'!M:M,C1979)&gt;0,1,0)</f>
        <v>1</v>
      </c>
      <c r="H1979" s="4">
        <f t="shared" si="30"/>
        <v>0</v>
      </c>
    </row>
    <row r="1980" spans="3:8" x14ac:dyDescent="0.25">
      <c r="C1980" t="str">
        <f>'RES TECH'!M1979</f>
        <v>RESHOULMNewSHGHP2ELC20</v>
      </c>
      <c r="G1980" s="4">
        <f>IF(SUMIFS('RES TECH'!N:N,'RES TECH'!M:M,C1980)&gt;0,1,0)</f>
        <v>1</v>
      </c>
      <c r="H1980" s="4">
        <f t="shared" si="30"/>
        <v>0</v>
      </c>
    </row>
    <row r="1981" spans="3:8" x14ac:dyDescent="0.25">
      <c r="C1981" t="str">
        <f>'RES TECH'!M1980</f>
        <v>RESHOULMNewSHGHP3ELC20</v>
      </c>
      <c r="G1981" s="4">
        <f>IF(SUMIFS('RES TECH'!N:N,'RES TECH'!M:M,C1981)&gt;0,1,0)</f>
        <v>1</v>
      </c>
      <c r="H1981" s="4">
        <f t="shared" si="30"/>
        <v>0</v>
      </c>
    </row>
    <row r="1982" spans="3:8" x14ac:dyDescent="0.25">
      <c r="C1982" t="str">
        <f>'RES TECH'!M1981</f>
        <v>RESHOULMNewSHGHP3ELC20</v>
      </c>
      <c r="G1982" s="4">
        <f>IF(SUMIFS('RES TECH'!N:N,'RES TECH'!M:M,C1982)&gt;0,1,0)</f>
        <v>1</v>
      </c>
      <c r="H1982" s="4">
        <f t="shared" si="30"/>
        <v>0</v>
      </c>
    </row>
    <row r="1983" spans="3:8" x14ac:dyDescent="0.25">
      <c r="C1983" t="str">
        <f>'RES TECH'!M1982</f>
        <v>RESHOULMNewSHGHP3ELC22</v>
      </c>
      <c r="G1983" s="4">
        <f>IF(SUMIFS('RES TECH'!N:N,'RES TECH'!M:M,C1983)&gt;0,1,0)</f>
        <v>1</v>
      </c>
      <c r="H1983" s="4">
        <f t="shared" si="30"/>
        <v>0</v>
      </c>
    </row>
    <row r="1984" spans="3:8" x14ac:dyDescent="0.25">
      <c r="C1984" t="str">
        <f>'RES TECH'!M1983</f>
        <v>RESHOULMNewSHGHP3ELC23</v>
      </c>
      <c r="G1984" s="4">
        <f>IF(SUMIFS('RES TECH'!N:N,'RES TECH'!M:M,C1984)&gt;0,1,0)</f>
        <v>1</v>
      </c>
      <c r="H1984" s="4">
        <f t="shared" si="30"/>
        <v>0</v>
      </c>
    </row>
    <row r="1985" spans="3:8" x14ac:dyDescent="0.25">
      <c r="C1985" t="str">
        <f>'RES TECH'!M1984</f>
        <v>RESHOULMNewSHGHP3ELC24</v>
      </c>
      <c r="G1985" s="4">
        <f>IF(SUMIFS('RES TECH'!N:N,'RES TECH'!M:M,C1985)&gt;0,1,0)</f>
        <v>1</v>
      </c>
      <c r="H1985" s="4">
        <f t="shared" si="30"/>
        <v>0</v>
      </c>
    </row>
    <row r="1986" spans="3:8" x14ac:dyDescent="0.25">
      <c r="C1986" t="str">
        <f>'RES TECH'!M1985</f>
        <v>RESHOULMNewSHGHP4ELC20</v>
      </c>
      <c r="G1986" s="4">
        <f>IF(SUMIFS('RES TECH'!N:N,'RES TECH'!M:M,C1986)&gt;0,1,0)</f>
        <v>1</v>
      </c>
      <c r="H1986" s="4">
        <f t="shared" si="30"/>
        <v>0</v>
      </c>
    </row>
    <row r="1987" spans="3:8" x14ac:dyDescent="0.25">
      <c r="C1987" t="str">
        <f>'RES TECH'!M1986</f>
        <v>RESHOULMNewSHGHP4ELC20</v>
      </c>
      <c r="G1987" s="4">
        <f>IF(SUMIFS('RES TECH'!N:N,'RES TECH'!M:M,C1987)&gt;0,1,0)</f>
        <v>1</v>
      </c>
      <c r="H1987" s="4">
        <f t="shared" si="30"/>
        <v>0</v>
      </c>
    </row>
    <row r="1988" spans="3:8" x14ac:dyDescent="0.25">
      <c r="C1988" t="str">
        <f>'RES TECH'!M1987</f>
        <v>RESHOULMNewSHGHP4ELC22</v>
      </c>
      <c r="G1988" s="4">
        <f>IF(SUMIFS('RES TECH'!N:N,'RES TECH'!M:M,C1988)&gt;0,1,0)</f>
        <v>1</v>
      </c>
      <c r="H1988" s="4">
        <f t="shared" si="30"/>
        <v>0</v>
      </c>
    </row>
    <row r="1989" spans="3:8" x14ac:dyDescent="0.25">
      <c r="C1989" t="str">
        <f>'RES TECH'!M1988</f>
        <v>RESHOULMNewSHGHP4ELC23</v>
      </c>
      <c r="G1989" s="4">
        <f>IF(SUMIFS('RES TECH'!N:N,'RES TECH'!M:M,C1989)&gt;0,1,0)</f>
        <v>1</v>
      </c>
      <c r="H1989" s="4">
        <f t="shared" ref="H1989:H2052" si="31">IF(C1989="","",IF(C1989="*","*",0))</f>
        <v>0</v>
      </c>
    </row>
    <row r="1990" spans="3:8" x14ac:dyDescent="0.25">
      <c r="C1990" t="str">
        <f>'RES TECH'!M1989</f>
        <v>RESHOULMNewSHGHP4ELC24</v>
      </c>
      <c r="G1990" s="4">
        <f>IF(SUMIFS('RES TECH'!N:N,'RES TECH'!M:M,C1990)&gt;0,1,0)</f>
        <v>1</v>
      </c>
      <c r="H1990" s="4">
        <f t="shared" si="31"/>
        <v>0</v>
      </c>
    </row>
    <row r="1991" spans="3:8" x14ac:dyDescent="0.25">
      <c r="C1991" t="str">
        <f>'RES TECH'!M1990</f>
        <v>RESHOULMNewSHRAD2ELC20</v>
      </c>
      <c r="G1991" s="4">
        <f>IF(SUMIFS('RES TECH'!N:N,'RES TECH'!M:M,C1991)&gt;0,1,0)</f>
        <v>1</v>
      </c>
      <c r="H1991" s="4">
        <f t="shared" si="31"/>
        <v>0</v>
      </c>
    </row>
    <row r="1992" spans="3:8" x14ac:dyDescent="0.25">
      <c r="C1992" t="str">
        <f>'RES TECH'!M1991</f>
        <v>RESHOULMNewSHFUR1NGA20</v>
      </c>
      <c r="G1992" s="4">
        <f>IF(SUMIFS('RES TECH'!N:N,'RES TECH'!M:M,C1992)&gt;0,1,0)</f>
        <v>1</v>
      </c>
      <c r="H1992" s="4">
        <f t="shared" si="31"/>
        <v>0</v>
      </c>
    </row>
    <row r="1993" spans="3:8" x14ac:dyDescent="0.25">
      <c r="C1993" t="str">
        <f>'RES TECH'!M1992</f>
        <v>RESHOULMNewSHFUR2NGA20</v>
      </c>
      <c r="G1993" s="4">
        <f>IF(SUMIFS('RES TECH'!N:N,'RES TECH'!M:M,C1993)&gt;0,1,0)</f>
        <v>1</v>
      </c>
      <c r="H1993" s="4">
        <f t="shared" si="31"/>
        <v>0</v>
      </c>
    </row>
    <row r="1994" spans="3:8" x14ac:dyDescent="0.25">
      <c r="C1994" t="str">
        <f>'RES TECH'!M1993</f>
        <v>RESHOULMNewSHFUR2NGA20</v>
      </c>
      <c r="G1994" s="4">
        <f>IF(SUMIFS('RES TECH'!N:N,'RES TECH'!M:M,C1994)&gt;0,1,0)</f>
        <v>1</v>
      </c>
      <c r="H1994" s="4">
        <f t="shared" si="31"/>
        <v>0</v>
      </c>
    </row>
    <row r="1995" spans="3:8" x14ac:dyDescent="0.25">
      <c r="C1995" t="str">
        <f>'RES TECH'!M1994</f>
        <v>RESHOULMNewSHFUR3NGA20</v>
      </c>
      <c r="G1995" s="4">
        <f>IF(SUMIFS('RES TECH'!N:N,'RES TECH'!M:M,C1995)&gt;0,1,0)</f>
        <v>1</v>
      </c>
      <c r="H1995" s="4">
        <f t="shared" si="31"/>
        <v>0</v>
      </c>
    </row>
    <row r="1996" spans="3:8" x14ac:dyDescent="0.25">
      <c r="C1996" t="str">
        <f>'RES TECH'!M1995</f>
        <v>RESHOULMNewSHFUR3NGA22</v>
      </c>
      <c r="G1996" s="4">
        <f>IF(SUMIFS('RES TECH'!N:N,'RES TECH'!M:M,C1996)&gt;0,1,0)</f>
        <v>1</v>
      </c>
      <c r="H1996" s="4">
        <f t="shared" si="31"/>
        <v>0</v>
      </c>
    </row>
    <row r="1997" spans="3:8" x14ac:dyDescent="0.25">
      <c r="C1997" t="str">
        <f>'RES TECH'!M1996</f>
        <v>RESHOULMNewSHFUR4NGA20</v>
      </c>
      <c r="G1997" s="4">
        <f>IF(SUMIFS('RES TECH'!N:N,'RES TECH'!M:M,C1997)&gt;0,1,0)</f>
        <v>1</v>
      </c>
      <c r="H1997" s="4">
        <f t="shared" si="31"/>
        <v>0</v>
      </c>
    </row>
    <row r="1998" spans="3:8" x14ac:dyDescent="0.25">
      <c r="C1998" t="str">
        <f>'RES TECH'!M1997</f>
        <v>RESHOULMNewSHFUR4NGA22</v>
      </c>
      <c r="G1998" s="4">
        <f>IF(SUMIFS('RES TECH'!N:N,'RES TECH'!M:M,C1998)&gt;0,1,0)</f>
        <v>1</v>
      </c>
      <c r="H1998" s="4">
        <f t="shared" si="31"/>
        <v>0</v>
      </c>
    </row>
    <row r="1999" spans="3:8" x14ac:dyDescent="0.25">
      <c r="C1999" t="str">
        <f>'RES TECH'!M1998</f>
        <v>RESHOULMNewSHRAD1NGA20</v>
      </c>
      <c r="G1999" s="4">
        <f>IF(SUMIFS('RES TECH'!N:N,'RES TECH'!M:M,C1999)&gt;0,1,0)</f>
        <v>1</v>
      </c>
      <c r="H1999" s="4">
        <f t="shared" si="31"/>
        <v>0</v>
      </c>
    </row>
    <row r="2000" spans="3:8" x14ac:dyDescent="0.25">
      <c r="C2000" t="str">
        <f>'RES TECH'!M1999</f>
        <v>RESHOULMNewSHRAD1NGA21</v>
      </c>
      <c r="G2000" s="4">
        <f>IF(SUMIFS('RES TECH'!N:N,'RES TECH'!M:M,C2000)&gt;0,1,0)</f>
        <v>1</v>
      </c>
      <c r="H2000" s="4">
        <f t="shared" si="31"/>
        <v>0</v>
      </c>
    </row>
    <row r="2001" spans="3:8" x14ac:dyDescent="0.25">
      <c r="C2001" t="str">
        <f>'RES TECH'!M2000</f>
        <v>RESHOULMNewSHRAD2NGA20</v>
      </c>
      <c r="G2001" s="4">
        <f>IF(SUMIFS('RES TECH'!N:N,'RES TECH'!M:M,C2001)&gt;0,1,0)</f>
        <v>1</v>
      </c>
      <c r="H2001" s="4">
        <f t="shared" si="31"/>
        <v>0</v>
      </c>
    </row>
    <row r="2002" spans="3:8" x14ac:dyDescent="0.25">
      <c r="C2002" t="str">
        <f>'RES TECH'!M2001</f>
        <v>RESHOULMNewSHRAD2NGA20</v>
      </c>
      <c r="G2002" s="4">
        <f>IF(SUMIFS('RES TECH'!N:N,'RES TECH'!M:M,C2002)&gt;0,1,0)</f>
        <v>1</v>
      </c>
      <c r="H2002" s="4">
        <f t="shared" si="31"/>
        <v>0</v>
      </c>
    </row>
    <row r="2003" spans="3:8" x14ac:dyDescent="0.25">
      <c r="C2003" t="str">
        <f>'RES TECH'!M2002</f>
        <v>RESHOULMNewSHRAD3NGA20</v>
      </c>
      <c r="G2003" s="4">
        <f>IF(SUMIFS('RES TECH'!N:N,'RES TECH'!M:M,C2003)&gt;0,1,0)</f>
        <v>1</v>
      </c>
      <c r="H2003" s="4">
        <f t="shared" si="31"/>
        <v>0</v>
      </c>
    </row>
    <row r="2004" spans="3:8" x14ac:dyDescent="0.25">
      <c r="C2004" t="str">
        <f>'RES TECH'!M2003</f>
        <v>RESHOULMNewSHRAD4NGA20</v>
      </c>
      <c r="G2004" s="4">
        <f>IF(SUMIFS('RES TECH'!N:N,'RES TECH'!M:M,C2004)&gt;0,1,0)</f>
        <v>1</v>
      </c>
      <c r="H2004" s="4">
        <f t="shared" si="31"/>
        <v>0</v>
      </c>
    </row>
    <row r="2005" spans="3:8" x14ac:dyDescent="0.25">
      <c r="C2005" t="str">
        <f>'RES TECH'!M2004</f>
        <v>RESHOULMNewSHRAD4NGA22</v>
      </c>
      <c r="G2005" s="4">
        <f>IF(SUMIFS('RES TECH'!N:N,'RES TECH'!M:M,C2005)&gt;0,1,0)</f>
        <v>1</v>
      </c>
      <c r="H2005" s="4">
        <f t="shared" si="31"/>
        <v>0</v>
      </c>
    </row>
    <row r="2006" spans="3:8" x14ac:dyDescent="0.25">
      <c r="C2006" t="str">
        <f>'RES TECH'!M2005</f>
        <v>RESHOULMNewSHFUR1KER20</v>
      </c>
      <c r="G2006" s="4">
        <f>IF(SUMIFS('RES TECH'!N:N,'RES TECH'!M:M,C2006)&gt;0,1,0)</f>
        <v>1</v>
      </c>
      <c r="H2006" s="4">
        <f t="shared" si="31"/>
        <v>0</v>
      </c>
    </row>
    <row r="2007" spans="3:8" x14ac:dyDescent="0.25">
      <c r="C2007" t="str">
        <f>'RES TECH'!M2006</f>
        <v>RESHOULMNewSHFUR2KER20</v>
      </c>
      <c r="G2007" s="4">
        <f>IF(SUMIFS('RES TECH'!N:N,'RES TECH'!M:M,C2007)&gt;0,1,0)</f>
        <v>1</v>
      </c>
      <c r="H2007" s="4">
        <f t="shared" si="31"/>
        <v>0</v>
      </c>
    </row>
    <row r="2008" spans="3:8" x14ac:dyDescent="0.25">
      <c r="C2008" t="str">
        <f>'RES TECH'!M2007</f>
        <v>RESHOULMNewSHFUR2KER20</v>
      </c>
      <c r="G2008" s="4">
        <f>IF(SUMIFS('RES TECH'!N:N,'RES TECH'!M:M,C2008)&gt;0,1,0)</f>
        <v>1</v>
      </c>
      <c r="H2008" s="4">
        <f t="shared" si="31"/>
        <v>0</v>
      </c>
    </row>
    <row r="2009" spans="3:8" x14ac:dyDescent="0.25">
      <c r="C2009" t="str">
        <f>'RES TECH'!M2008</f>
        <v>RESHOULMNewSHFUR3KER20</v>
      </c>
      <c r="G2009" s="4">
        <f>IF(SUMIFS('RES TECH'!N:N,'RES TECH'!M:M,C2009)&gt;0,1,0)</f>
        <v>1</v>
      </c>
      <c r="H2009" s="4">
        <f t="shared" si="31"/>
        <v>0</v>
      </c>
    </row>
    <row r="2010" spans="3:8" x14ac:dyDescent="0.25">
      <c r="C2010" t="str">
        <f>'RES TECH'!M2009</f>
        <v>RESHOULMNewSHFUR4KER20</v>
      </c>
      <c r="G2010" s="4">
        <f>IF(SUMIFS('RES TECH'!N:N,'RES TECH'!M:M,C2010)&gt;0,1,0)</f>
        <v>1</v>
      </c>
      <c r="H2010" s="4">
        <f t="shared" si="31"/>
        <v>0</v>
      </c>
    </row>
    <row r="2011" spans="3:8" x14ac:dyDescent="0.25">
      <c r="C2011" t="str">
        <f>'RES TECH'!M2010</f>
        <v>RESHOULMNewSHFUR4KER20</v>
      </c>
      <c r="G2011" s="4">
        <f>IF(SUMIFS('RES TECH'!N:N,'RES TECH'!M:M,C2011)&gt;0,1,0)</f>
        <v>1</v>
      </c>
      <c r="H2011" s="4">
        <f t="shared" si="31"/>
        <v>0</v>
      </c>
    </row>
    <row r="2012" spans="3:8" x14ac:dyDescent="0.25">
      <c r="C2012" t="str">
        <f>'RES TECH'!M2011</f>
        <v>RESHOULMNewSHFUR1LPG20</v>
      </c>
      <c r="G2012" s="4">
        <f>IF(SUMIFS('RES TECH'!N:N,'RES TECH'!M:M,C2012)&gt;0,1,0)</f>
        <v>1</v>
      </c>
      <c r="H2012" s="4">
        <f t="shared" si="31"/>
        <v>0</v>
      </c>
    </row>
    <row r="2013" spans="3:8" x14ac:dyDescent="0.25">
      <c r="C2013" t="str">
        <f>'RES TECH'!M2012</f>
        <v>RESHOULMNewSHFUR2LPG20</v>
      </c>
      <c r="G2013" s="4">
        <f>IF(SUMIFS('RES TECH'!N:N,'RES TECH'!M:M,C2013)&gt;0,1,0)</f>
        <v>1</v>
      </c>
      <c r="H2013" s="4">
        <f t="shared" si="31"/>
        <v>0</v>
      </c>
    </row>
    <row r="2014" spans="3:8" x14ac:dyDescent="0.25">
      <c r="C2014" t="str">
        <f>'RES TECH'!M2013</f>
        <v>RESHOULMNewSHFUR2LPG20</v>
      </c>
      <c r="G2014" s="4">
        <f>IF(SUMIFS('RES TECH'!N:N,'RES TECH'!M:M,C2014)&gt;0,1,0)</f>
        <v>1</v>
      </c>
      <c r="H2014" s="4">
        <f t="shared" si="31"/>
        <v>0</v>
      </c>
    </row>
    <row r="2015" spans="3:8" x14ac:dyDescent="0.25">
      <c r="C2015" t="str">
        <f>'RES TECH'!M2014</f>
        <v>RESHOULMNewSHFUR3LPG20</v>
      </c>
      <c r="G2015" s="4">
        <f>IF(SUMIFS('RES TECH'!N:N,'RES TECH'!M:M,C2015)&gt;0,1,0)</f>
        <v>1</v>
      </c>
      <c r="H2015" s="4">
        <f t="shared" si="31"/>
        <v>0</v>
      </c>
    </row>
    <row r="2016" spans="3:8" x14ac:dyDescent="0.25">
      <c r="C2016" t="str">
        <f>'RES TECH'!M2015</f>
        <v>RESHOULMNewSHFUR3LPG22</v>
      </c>
      <c r="G2016" s="4">
        <f>IF(SUMIFS('RES TECH'!N:N,'RES TECH'!M:M,C2016)&gt;0,1,0)</f>
        <v>1</v>
      </c>
      <c r="H2016" s="4">
        <f t="shared" si="31"/>
        <v>0</v>
      </c>
    </row>
    <row r="2017" spans="3:8" x14ac:dyDescent="0.25">
      <c r="C2017" t="str">
        <f>'RES TECH'!M2016</f>
        <v>RESHOULMNewSHFUR4LPG20</v>
      </c>
      <c r="G2017" s="4">
        <f>IF(SUMIFS('RES TECH'!N:N,'RES TECH'!M:M,C2017)&gt;0,1,0)</f>
        <v>1</v>
      </c>
      <c r="H2017" s="4">
        <f t="shared" si="31"/>
        <v>0</v>
      </c>
    </row>
    <row r="2018" spans="3:8" x14ac:dyDescent="0.25">
      <c r="C2018" t="str">
        <f>'RES TECH'!M2017</f>
        <v>RESHOULMNewSHFUR4LPG22</v>
      </c>
      <c r="G2018" s="4">
        <f>IF(SUMIFS('RES TECH'!N:N,'RES TECH'!M:M,C2018)&gt;0,1,0)</f>
        <v>1</v>
      </c>
      <c r="H2018" s="4">
        <f t="shared" si="31"/>
        <v>0</v>
      </c>
    </row>
    <row r="2019" spans="3:8" x14ac:dyDescent="0.25">
      <c r="C2019" t="str">
        <f>'RES TECH'!M2018</f>
        <v>RESHOULMNewSHFUR1FOI20</v>
      </c>
      <c r="G2019" s="4">
        <f>IF(SUMIFS('RES TECH'!N:N,'RES TECH'!M:M,C2019)&gt;0,1,0)</f>
        <v>1</v>
      </c>
      <c r="H2019" s="4">
        <f t="shared" si="31"/>
        <v>0</v>
      </c>
    </row>
    <row r="2020" spans="3:8" x14ac:dyDescent="0.25">
      <c r="C2020" t="str">
        <f>'RES TECH'!M2019</f>
        <v>RESHOULMNewSHFUR2FOI20</v>
      </c>
      <c r="G2020" s="4">
        <f>IF(SUMIFS('RES TECH'!N:N,'RES TECH'!M:M,C2020)&gt;0,1,0)</f>
        <v>1</v>
      </c>
      <c r="H2020" s="4">
        <f t="shared" si="31"/>
        <v>0</v>
      </c>
    </row>
    <row r="2021" spans="3:8" x14ac:dyDescent="0.25">
      <c r="C2021" t="str">
        <f>'RES TECH'!M2020</f>
        <v>RESHOULMNewSHFUR2FOI22</v>
      </c>
      <c r="G2021" s="4">
        <f>IF(SUMIFS('RES TECH'!N:N,'RES TECH'!M:M,C2021)&gt;0,1,0)</f>
        <v>1</v>
      </c>
      <c r="H2021" s="4">
        <f t="shared" si="31"/>
        <v>0</v>
      </c>
    </row>
    <row r="2022" spans="3:8" x14ac:dyDescent="0.25">
      <c r="C2022" t="str">
        <f>'RES TECH'!M2021</f>
        <v>RESHOULMNewSHFUR3FOI20</v>
      </c>
      <c r="G2022" s="4">
        <f>IF(SUMIFS('RES TECH'!N:N,'RES TECH'!M:M,C2022)&gt;0,1,0)</f>
        <v>1</v>
      </c>
      <c r="H2022" s="4">
        <f t="shared" si="31"/>
        <v>0</v>
      </c>
    </row>
    <row r="2023" spans="3:8" x14ac:dyDescent="0.25">
      <c r="C2023" t="str">
        <f>'RES TECH'!M2022</f>
        <v>RESHOULMNewSHFUR4FOI20</v>
      </c>
      <c r="G2023" s="4">
        <f>IF(SUMIFS('RES TECH'!N:N,'RES TECH'!M:M,C2023)&gt;0,1,0)</f>
        <v>1</v>
      </c>
      <c r="H2023" s="4">
        <f t="shared" si="31"/>
        <v>0</v>
      </c>
    </row>
    <row r="2024" spans="3:8" x14ac:dyDescent="0.25">
      <c r="C2024" t="str">
        <f>'RES TECH'!M2023</f>
        <v>RESHOULMNewSHFUR4FOI22</v>
      </c>
      <c r="G2024" s="4">
        <f>IF(SUMIFS('RES TECH'!N:N,'RES TECH'!M:M,C2024)&gt;0,1,0)</f>
        <v>1</v>
      </c>
      <c r="H2024" s="4">
        <f t="shared" si="31"/>
        <v>0</v>
      </c>
    </row>
    <row r="2025" spans="3:8" x14ac:dyDescent="0.25">
      <c r="C2025" t="str">
        <f>'RES TECH'!M2024</f>
        <v>RESHOULMNewSHRAD1FOI20</v>
      </c>
      <c r="G2025" s="4">
        <f>IF(SUMIFS('RES TECH'!N:N,'RES TECH'!M:M,C2025)&gt;0,1,0)</f>
        <v>1</v>
      </c>
      <c r="H2025" s="4">
        <f t="shared" si="31"/>
        <v>0</v>
      </c>
    </row>
    <row r="2026" spans="3:8" x14ac:dyDescent="0.25">
      <c r="C2026" t="str">
        <f>'RES TECH'!M2025</f>
        <v>RESHOULMNewSHRAD1FOI22</v>
      </c>
      <c r="G2026" s="4">
        <f>IF(SUMIFS('RES TECH'!N:N,'RES TECH'!M:M,C2026)&gt;0,1,0)</f>
        <v>1</v>
      </c>
      <c r="H2026" s="4">
        <f t="shared" si="31"/>
        <v>0</v>
      </c>
    </row>
    <row r="2027" spans="3:8" x14ac:dyDescent="0.25">
      <c r="C2027" t="str">
        <f>'RES TECH'!M2026</f>
        <v>RESHOULMNewSHRAD2FOI20</v>
      </c>
      <c r="G2027" s="4">
        <f>IF(SUMIFS('RES TECH'!N:N,'RES TECH'!M:M,C2027)&gt;0,1,0)</f>
        <v>1</v>
      </c>
      <c r="H2027" s="4">
        <f t="shared" si="31"/>
        <v>0</v>
      </c>
    </row>
    <row r="2028" spans="3:8" x14ac:dyDescent="0.25">
      <c r="C2028" t="str">
        <f>'RES TECH'!M2027</f>
        <v>RESHOULMNewSHRAD2FOI22</v>
      </c>
      <c r="G2028" s="4">
        <f>IF(SUMIFS('RES TECH'!N:N,'RES TECH'!M:M,C2028)&gt;0,1,0)</f>
        <v>1</v>
      </c>
      <c r="H2028" s="4">
        <f t="shared" si="31"/>
        <v>0</v>
      </c>
    </row>
    <row r="2029" spans="3:8" x14ac:dyDescent="0.25">
      <c r="C2029" t="str">
        <f>'RES TECH'!M2028</f>
        <v>RESHOULMNewSHRAD3FOI20</v>
      </c>
      <c r="G2029" s="4">
        <f>IF(SUMIFS('RES TECH'!N:N,'RES TECH'!M:M,C2029)&gt;0,1,0)</f>
        <v>1</v>
      </c>
      <c r="H2029" s="4">
        <f t="shared" si="31"/>
        <v>0</v>
      </c>
    </row>
    <row r="2030" spans="3:8" x14ac:dyDescent="0.25">
      <c r="C2030" t="str">
        <f>'RES TECH'!M2029</f>
        <v>RESHOULMNewSHRAD4FOI20</v>
      </c>
      <c r="G2030" s="4">
        <f>IF(SUMIFS('RES TECH'!N:N,'RES TECH'!M:M,C2030)&gt;0,1,0)</f>
        <v>1</v>
      </c>
      <c r="H2030" s="4">
        <f t="shared" si="31"/>
        <v>0</v>
      </c>
    </row>
    <row r="2031" spans="3:8" x14ac:dyDescent="0.25">
      <c r="C2031" t="str">
        <f>'RES TECH'!M2030</f>
        <v>RESHOULMNewSCAHP2NGA20</v>
      </c>
      <c r="G2031" s="4">
        <f>IF(SUMIFS('RES TECH'!N:N,'RES TECH'!M:M,C2031)&gt;0,1,0)</f>
        <v>1</v>
      </c>
      <c r="H2031" s="4">
        <f t="shared" si="31"/>
        <v>0</v>
      </c>
    </row>
    <row r="2032" spans="3:8" x14ac:dyDescent="0.25">
      <c r="C2032" t="str">
        <f>'RES TECH'!M2031</f>
        <v>RESHOULMNewSCAHP2NGA20</v>
      </c>
      <c r="G2032" s="4">
        <f>IF(SUMIFS('RES TECH'!N:N,'RES TECH'!M:M,C2032)&gt;0,1,0)</f>
        <v>1</v>
      </c>
      <c r="H2032" s="4">
        <f t="shared" si="31"/>
        <v>0</v>
      </c>
    </row>
    <row r="2033" spans="3:8" x14ac:dyDescent="0.25">
      <c r="C2033" t="str">
        <f>'RES TECH'!M2032</f>
        <v>RESHOULMNewSCAHP1ELC20</v>
      </c>
      <c r="G2033" s="4">
        <f>IF(SUMIFS('RES TECH'!N:N,'RES TECH'!M:M,C2033)&gt;0,1,0)</f>
        <v>1</v>
      </c>
      <c r="H2033" s="4">
        <f t="shared" si="31"/>
        <v>0</v>
      </c>
    </row>
    <row r="2034" spans="3:8" x14ac:dyDescent="0.25">
      <c r="C2034" t="str">
        <f>'RES TECH'!M2033</f>
        <v>RESHOULMNewSCAHP1ELC23</v>
      </c>
      <c r="G2034" s="4">
        <f>IF(SUMIFS('RES TECH'!N:N,'RES TECH'!M:M,C2034)&gt;0,1,0)</f>
        <v>1</v>
      </c>
      <c r="H2034" s="4">
        <f t="shared" si="31"/>
        <v>0</v>
      </c>
    </row>
    <row r="2035" spans="3:8" x14ac:dyDescent="0.25">
      <c r="C2035" t="str">
        <f>'RES TECH'!M2034</f>
        <v>RESHOULMNewSCAHP2ELC20</v>
      </c>
      <c r="G2035" s="4">
        <f>IF(SUMIFS('RES TECH'!N:N,'RES TECH'!M:M,C2035)&gt;0,1,0)</f>
        <v>1</v>
      </c>
      <c r="H2035" s="4">
        <f t="shared" si="31"/>
        <v>0</v>
      </c>
    </row>
    <row r="2036" spans="3:8" x14ac:dyDescent="0.25">
      <c r="C2036" t="str">
        <f>'RES TECH'!M2035</f>
        <v>RESHOULMNewSCAHP2ELC23</v>
      </c>
      <c r="G2036" s="4">
        <f>IF(SUMIFS('RES TECH'!N:N,'RES TECH'!M:M,C2036)&gt;0,1,0)</f>
        <v>1</v>
      </c>
      <c r="H2036" s="4">
        <f t="shared" si="31"/>
        <v>0</v>
      </c>
    </row>
    <row r="2037" spans="3:8" x14ac:dyDescent="0.25">
      <c r="C2037" t="str">
        <f>'RES TECH'!M2036</f>
        <v>RESHOULMNewSCAHP3ELC20</v>
      </c>
      <c r="G2037" s="4">
        <f>IF(SUMIFS('RES TECH'!N:N,'RES TECH'!M:M,C2037)&gt;0,1,0)</f>
        <v>1</v>
      </c>
      <c r="H2037" s="4">
        <f t="shared" si="31"/>
        <v>0</v>
      </c>
    </row>
    <row r="2038" spans="3:8" x14ac:dyDescent="0.25">
      <c r="C2038" t="str">
        <f>'RES TECH'!M2037</f>
        <v>RESHOULMNewSCAHP3ELC22</v>
      </c>
      <c r="G2038" s="4">
        <f>IF(SUMIFS('RES TECH'!N:N,'RES TECH'!M:M,C2038)&gt;0,1,0)</f>
        <v>1</v>
      </c>
      <c r="H2038" s="4">
        <f t="shared" si="31"/>
        <v>0</v>
      </c>
    </row>
    <row r="2039" spans="3:8" x14ac:dyDescent="0.25">
      <c r="C2039" t="str">
        <f>'RES TECH'!M2038</f>
        <v>RESHOULMNewSCAHP3ELC23</v>
      </c>
      <c r="G2039" s="4">
        <f>IF(SUMIFS('RES TECH'!N:N,'RES TECH'!M:M,C2039)&gt;0,1,0)</f>
        <v>1</v>
      </c>
      <c r="H2039" s="4">
        <f t="shared" si="31"/>
        <v>0</v>
      </c>
    </row>
    <row r="2040" spans="3:8" x14ac:dyDescent="0.25">
      <c r="C2040" t="str">
        <f>'RES TECH'!M2039</f>
        <v>RESHOULMNewSCAHP4ELC20</v>
      </c>
      <c r="G2040" s="4">
        <f>IF(SUMIFS('RES TECH'!N:N,'RES TECH'!M:M,C2040)&gt;0,1,0)</f>
        <v>1</v>
      </c>
      <c r="H2040" s="4">
        <f t="shared" si="31"/>
        <v>0</v>
      </c>
    </row>
    <row r="2041" spans="3:8" x14ac:dyDescent="0.25">
      <c r="C2041" t="str">
        <f>'RES TECH'!M2040</f>
        <v>RESHOULMNewSCAHP4ELC22</v>
      </c>
      <c r="G2041" s="4">
        <f>IF(SUMIFS('RES TECH'!N:N,'RES TECH'!M:M,C2041)&gt;0,1,0)</f>
        <v>1</v>
      </c>
      <c r="H2041" s="4">
        <f t="shared" si="31"/>
        <v>0</v>
      </c>
    </row>
    <row r="2042" spans="3:8" x14ac:dyDescent="0.25">
      <c r="C2042" t="str">
        <f>'RES TECH'!M2041</f>
        <v>RESHOULMNewSCGHP1ELC20</v>
      </c>
      <c r="G2042" s="4">
        <f>IF(SUMIFS('RES TECH'!N:N,'RES TECH'!M:M,C2042)&gt;0,1,0)</f>
        <v>1</v>
      </c>
      <c r="H2042" s="4">
        <f t="shared" si="31"/>
        <v>0</v>
      </c>
    </row>
    <row r="2043" spans="3:8" x14ac:dyDescent="0.25">
      <c r="C2043" t="str">
        <f>'RES TECH'!M2042</f>
        <v>RESHOULMNewSCGHP2ELC20</v>
      </c>
      <c r="G2043" s="4">
        <f>IF(SUMIFS('RES TECH'!N:N,'RES TECH'!M:M,C2043)&gt;0,1,0)</f>
        <v>1</v>
      </c>
      <c r="H2043" s="4">
        <f t="shared" si="31"/>
        <v>0</v>
      </c>
    </row>
    <row r="2044" spans="3:8" x14ac:dyDescent="0.25">
      <c r="C2044" t="str">
        <f>'RES TECH'!M2043</f>
        <v>RESHOULMNewSCGHP3ELC20</v>
      </c>
      <c r="G2044" s="4">
        <f>IF(SUMIFS('RES TECH'!N:N,'RES TECH'!M:M,C2044)&gt;0,1,0)</f>
        <v>1</v>
      </c>
      <c r="H2044" s="4">
        <f t="shared" si="31"/>
        <v>0</v>
      </c>
    </row>
    <row r="2045" spans="3:8" x14ac:dyDescent="0.25">
      <c r="C2045" t="str">
        <f>'RES TECH'!M2044</f>
        <v>RESHOULMNewSCGHP3ELC20</v>
      </c>
      <c r="G2045" s="4">
        <f>IF(SUMIFS('RES TECH'!N:N,'RES TECH'!M:M,C2045)&gt;0,1,0)</f>
        <v>1</v>
      </c>
      <c r="H2045" s="4">
        <f t="shared" si="31"/>
        <v>0</v>
      </c>
    </row>
    <row r="2046" spans="3:8" x14ac:dyDescent="0.25">
      <c r="C2046" t="str">
        <f>'RES TECH'!M2045</f>
        <v>RESHOULMNewSCGHP3ELC22</v>
      </c>
      <c r="G2046" s="4">
        <f>IF(SUMIFS('RES TECH'!N:N,'RES TECH'!M:M,C2046)&gt;0,1,0)</f>
        <v>1</v>
      </c>
      <c r="H2046" s="4">
        <f t="shared" si="31"/>
        <v>0</v>
      </c>
    </row>
    <row r="2047" spans="3:8" x14ac:dyDescent="0.25">
      <c r="C2047" t="str">
        <f>'RES TECH'!M2046</f>
        <v>RESHOULMNewSCGHP3ELC23</v>
      </c>
      <c r="G2047" s="4">
        <f>IF(SUMIFS('RES TECH'!N:N,'RES TECH'!M:M,C2047)&gt;0,1,0)</f>
        <v>1</v>
      </c>
      <c r="H2047" s="4">
        <f t="shared" si="31"/>
        <v>0</v>
      </c>
    </row>
    <row r="2048" spans="3:8" x14ac:dyDescent="0.25">
      <c r="C2048" t="str">
        <f>'RES TECH'!M2047</f>
        <v>RESHOULMNewSCGHP3ELC24</v>
      </c>
      <c r="G2048" s="4">
        <f>IF(SUMIFS('RES TECH'!N:N,'RES TECH'!M:M,C2048)&gt;0,1,0)</f>
        <v>1</v>
      </c>
      <c r="H2048" s="4">
        <f t="shared" si="31"/>
        <v>0</v>
      </c>
    </row>
    <row r="2049" spans="3:8" x14ac:dyDescent="0.25">
      <c r="C2049" t="str">
        <f>'RES TECH'!M2048</f>
        <v>RESHOULMNewSCGHP4ELC20</v>
      </c>
      <c r="G2049" s="4">
        <f>IF(SUMIFS('RES TECH'!N:N,'RES TECH'!M:M,C2049)&gt;0,1,0)</f>
        <v>1</v>
      </c>
      <c r="H2049" s="4">
        <f t="shared" si="31"/>
        <v>0</v>
      </c>
    </row>
    <row r="2050" spans="3:8" x14ac:dyDescent="0.25">
      <c r="C2050" t="str">
        <f>'RES TECH'!M2049</f>
        <v>RESHOULMNewSCGHP4ELC20</v>
      </c>
      <c r="G2050" s="4">
        <f>IF(SUMIFS('RES TECH'!N:N,'RES TECH'!M:M,C2050)&gt;0,1,0)</f>
        <v>1</v>
      </c>
      <c r="H2050" s="4">
        <f t="shared" si="31"/>
        <v>0</v>
      </c>
    </row>
    <row r="2051" spans="3:8" x14ac:dyDescent="0.25">
      <c r="C2051" t="str">
        <f>'RES TECH'!M2050</f>
        <v>RESHOULMNewSCGHP4ELC22</v>
      </c>
      <c r="G2051" s="4">
        <f>IF(SUMIFS('RES TECH'!N:N,'RES TECH'!M:M,C2051)&gt;0,1,0)</f>
        <v>1</v>
      </c>
      <c r="H2051" s="4">
        <f t="shared" si="31"/>
        <v>0</v>
      </c>
    </row>
    <row r="2052" spans="3:8" x14ac:dyDescent="0.25">
      <c r="C2052" t="str">
        <f>'RES TECH'!M2051</f>
        <v>RESHOULMNewSCGHP4ELC23</v>
      </c>
      <c r="G2052" s="4">
        <f>IF(SUMIFS('RES TECH'!N:N,'RES TECH'!M:M,C2052)&gt;0,1,0)</f>
        <v>1</v>
      </c>
      <c r="H2052" s="4">
        <f t="shared" si="31"/>
        <v>0</v>
      </c>
    </row>
    <row r="2053" spans="3:8" x14ac:dyDescent="0.25">
      <c r="C2053" t="str">
        <f>'RES TECH'!M2052</f>
        <v>RESHOULMNewSCGHP4ELC24</v>
      </c>
      <c r="G2053" s="4">
        <f>IF(SUMIFS('RES TECH'!N:N,'RES TECH'!M:M,C2053)&gt;0,1,0)</f>
        <v>1</v>
      </c>
      <c r="H2053" s="4">
        <f t="shared" ref="H2053:H2116" si="32">IF(C2053="","",IF(C2053="*","*",0))</f>
        <v>0</v>
      </c>
    </row>
    <row r="2054" spans="3:8" x14ac:dyDescent="0.25">
      <c r="C2054" t="str">
        <f>'RES TECH'!M2053</f>
        <v>RESHOULMNewSCRAC1ELC20</v>
      </c>
      <c r="G2054" s="4">
        <f>IF(SUMIFS('RES TECH'!N:N,'RES TECH'!M:M,C2054)&gt;0,1,0)</f>
        <v>1</v>
      </c>
      <c r="H2054" s="4">
        <f t="shared" si="32"/>
        <v>0</v>
      </c>
    </row>
    <row r="2055" spans="3:8" x14ac:dyDescent="0.25">
      <c r="C2055" t="str">
        <f>'RES TECH'!M2054</f>
        <v>RESHOULMNewSCRAC2ELC20</v>
      </c>
      <c r="G2055" s="4">
        <f>IF(SUMIFS('RES TECH'!N:N,'RES TECH'!M:M,C2055)&gt;0,1,0)</f>
        <v>1</v>
      </c>
      <c r="H2055" s="4">
        <f t="shared" si="32"/>
        <v>0</v>
      </c>
    </row>
    <row r="2056" spans="3:8" x14ac:dyDescent="0.25">
      <c r="C2056" t="str">
        <f>'RES TECH'!M2055</f>
        <v>RESHOULMNewSCRAC2ELC30</v>
      </c>
      <c r="G2056" s="4">
        <f>IF(SUMIFS('RES TECH'!N:N,'RES TECH'!M:M,C2056)&gt;0,1,0)</f>
        <v>1</v>
      </c>
      <c r="H2056" s="4">
        <f t="shared" si="32"/>
        <v>0</v>
      </c>
    </row>
    <row r="2057" spans="3:8" x14ac:dyDescent="0.25">
      <c r="C2057" t="str">
        <f>'RES TECH'!M2056</f>
        <v>RESHOULMNewSCRAC2ELC40</v>
      </c>
      <c r="G2057" s="4">
        <f>IF(SUMIFS('RES TECH'!N:N,'RES TECH'!M:M,C2057)&gt;0,1,0)</f>
        <v>1</v>
      </c>
      <c r="H2057" s="4">
        <f t="shared" si="32"/>
        <v>0</v>
      </c>
    </row>
    <row r="2058" spans="3:8" x14ac:dyDescent="0.25">
      <c r="C2058" t="str">
        <f>'RES TECH'!M2057</f>
        <v>RESHOULMNewSCRAC3ELC20</v>
      </c>
      <c r="G2058" s="4">
        <f>IF(SUMIFS('RES TECH'!N:N,'RES TECH'!M:M,C2058)&gt;0,1,0)</f>
        <v>1</v>
      </c>
      <c r="H2058" s="4">
        <f t="shared" si="32"/>
        <v>0</v>
      </c>
    </row>
    <row r="2059" spans="3:8" x14ac:dyDescent="0.25">
      <c r="C2059" t="str">
        <f>'RES TECH'!M2058</f>
        <v>RESHOULMNewSCRAC4ELC20</v>
      </c>
      <c r="G2059" s="4">
        <f>IF(SUMIFS('RES TECH'!N:N,'RES TECH'!M:M,C2059)&gt;0,1,0)</f>
        <v>1</v>
      </c>
      <c r="H2059" s="4">
        <f t="shared" si="32"/>
        <v>0</v>
      </c>
    </row>
    <row r="2060" spans="3:8" x14ac:dyDescent="0.25">
      <c r="C2060" t="str">
        <f>'RES TECH'!M2059</f>
        <v>RESHOULMNewSCRAC4ELC22</v>
      </c>
      <c r="G2060" s="4">
        <f>IF(SUMIFS('RES TECH'!N:N,'RES TECH'!M:M,C2060)&gt;0,1,0)</f>
        <v>1</v>
      </c>
      <c r="H2060" s="4">
        <f t="shared" si="32"/>
        <v>0</v>
      </c>
    </row>
    <row r="2061" spans="3:8" x14ac:dyDescent="0.25">
      <c r="C2061" t="str">
        <f>'RES TECH'!M2060</f>
        <v>RESHOULMNewSCRAC4ELC30</v>
      </c>
      <c r="G2061" s="4">
        <f>IF(SUMIFS('RES TECH'!N:N,'RES TECH'!M:M,C2061)&gt;0,1,0)</f>
        <v>1</v>
      </c>
      <c r="H2061" s="4">
        <f t="shared" si="32"/>
        <v>0</v>
      </c>
    </row>
    <row r="2062" spans="3:8" x14ac:dyDescent="0.25">
      <c r="C2062" t="str">
        <f>'RES TECH'!M2061</f>
        <v>RESHOULMNewSCRAC4ELC40</v>
      </c>
      <c r="G2062" s="4">
        <f>IF(SUMIFS('RES TECH'!N:N,'RES TECH'!M:M,C2062)&gt;0,1,0)</f>
        <v>1</v>
      </c>
      <c r="H2062" s="4">
        <f t="shared" si="32"/>
        <v>0</v>
      </c>
    </row>
    <row r="2063" spans="3:8" x14ac:dyDescent="0.25">
      <c r="C2063" t="str">
        <f>'RES TECH'!M2062</f>
        <v>RESHOULMNewSCCAC1ELC20</v>
      </c>
      <c r="G2063" s="4">
        <f>IF(SUMIFS('RES TECH'!N:N,'RES TECH'!M:M,C2063)&gt;0,1,0)</f>
        <v>1</v>
      </c>
      <c r="H2063" s="4">
        <f t="shared" si="32"/>
        <v>0</v>
      </c>
    </row>
    <row r="2064" spans="3:8" x14ac:dyDescent="0.25">
      <c r="C2064" t="str">
        <f>'RES TECH'!M2063</f>
        <v>RESHOULMNewSCCAC1ELC23</v>
      </c>
      <c r="G2064" s="4">
        <f>IF(SUMIFS('RES TECH'!N:N,'RES TECH'!M:M,C2064)&gt;0,1,0)</f>
        <v>1</v>
      </c>
      <c r="H2064" s="4">
        <f t="shared" si="32"/>
        <v>0</v>
      </c>
    </row>
    <row r="2065" spans="3:8" x14ac:dyDescent="0.25">
      <c r="C2065" t="str">
        <f>'RES TECH'!M2064</f>
        <v>RESHOULMNewSCCAC2ELC20</v>
      </c>
      <c r="G2065" s="4">
        <f>IF(SUMIFS('RES TECH'!N:N,'RES TECH'!M:M,C2065)&gt;0,1,0)</f>
        <v>1</v>
      </c>
      <c r="H2065" s="4">
        <f t="shared" si="32"/>
        <v>0</v>
      </c>
    </row>
    <row r="2066" spans="3:8" x14ac:dyDescent="0.25">
      <c r="C2066" t="str">
        <f>'RES TECH'!M2065</f>
        <v>RESHOULMNewSCCAC2ELC23</v>
      </c>
      <c r="G2066" s="4">
        <f>IF(SUMIFS('RES TECH'!N:N,'RES TECH'!M:M,C2066)&gt;0,1,0)</f>
        <v>1</v>
      </c>
      <c r="H2066" s="4">
        <f t="shared" si="32"/>
        <v>0</v>
      </c>
    </row>
    <row r="2067" spans="3:8" x14ac:dyDescent="0.25">
      <c r="C2067" t="str">
        <f>'RES TECH'!M2066</f>
        <v>RESHOULMNewSCCAC3ELC20</v>
      </c>
      <c r="G2067" s="4">
        <f>IF(SUMIFS('RES TECH'!N:N,'RES TECH'!M:M,C2067)&gt;0,1,0)</f>
        <v>1</v>
      </c>
      <c r="H2067" s="4">
        <f t="shared" si="32"/>
        <v>0</v>
      </c>
    </row>
    <row r="2068" spans="3:8" x14ac:dyDescent="0.25">
      <c r="C2068" t="str">
        <f>'RES TECH'!M2067</f>
        <v>RESHOULMNewSCCAC3ELC23</v>
      </c>
      <c r="G2068" s="4">
        <f>IF(SUMIFS('RES TECH'!N:N,'RES TECH'!M:M,C2068)&gt;0,1,0)</f>
        <v>1</v>
      </c>
      <c r="H2068" s="4">
        <f t="shared" si="32"/>
        <v>0</v>
      </c>
    </row>
    <row r="2069" spans="3:8" x14ac:dyDescent="0.25">
      <c r="C2069" t="str">
        <f>'RES TECH'!M2068</f>
        <v>RESHOULMNewSCCAC4ELC20</v>
      </c>
      <c r="G2069" s="4">
        <f>IF(SUMIFS('RES TECH'!N:N,'RES TECH'!M:M,C2069)&gt;0,1,0)</f>
        <v>1</v>
      </c>
      <c r="H2069" s="4">
        <f t="shared" si="32"/>
        <v>0</v>
      </c>
    </row>
    <row r="2070" spans="3:8" x14ac:dyDescent="0.25">
      <c r="C2070" t="str">
        <f>'RES TECH'!M2069</f>
        <v>RESHOULMNewSCCAC4ELC22</v>
      </c>
      <c r="G2070" s="4">
        <f>IF(SUMIFS('RES TECH'!N:N,'RES TECH'!M:M,C2070)&gt;0,1,0)</f>
        <v>1</v>
      </c>
      <c r="H2070" s="4">
        <f t="shared" si="32"/>
        <v>0</v>
      </c>
    </row>
    <row r="2071" spans="3:8" x14ac:dyDescent="0.25">
      <c r="C2071" t="str">
        <f>'RES TECH'!M2070</f>
        <v>RESHOULMNewRETF1ELC20</v>
      </c>
      <c r="G2071" s="4">
        <f>IF(SUMIFS('RES TECH'!N:N,'RES TECH'!M:M,C2071)&gt;0,1,0)</f>
        <v>1</v>
      </c>
      <c r="H2071" s="4">
        <f t="shared" si="32"/>
        <v>0</v>
      </c>
    </row>
    <row r="2072" spans="3:8" x14ac:dyDescent="0.25">
      <c r="C2072" t="str">
        <f>'RES TECH'!M2071</f>
        <v>RESHOULMNewRETF2ELC20</v>
      </c>
      <c r="G2072" s="4">
        <f>IF(SUMIFS('RES TECH'!N:N,'RES TECH'!M:M,C2072)&gt;0,1,0)</f>
        <v>1</v>
      </c>
      <c r="H2072" s="4">
        <f t="shared" si="32"/>
        <v>0</v>
      </c>
    </row>
    <row r="2073" spans="3:8" x14ac:dyDescent="0.25">
      <c r="C2073" t="str">
        <f>'RES TECH'!M2072</f>
        <v>RESHOULMNewRETF3ELC20</v>
      </c>
      <c r="G2073" s="4">
        <f>IF(SUMIFS('RES TECH'!N:N,'RES TECH'!M:M,C2073)&gt;0,1,0)</f>
        <v>1</v>
      </c>
      <c r="H2073" s="4">
        <f t="shared" si="32"/>
        <v>0</v>
      </c>
    </row>
    <row r="2074" spans="3:8" x14ac:dyDescent="0.25">
      <c r="C2074" t="str">
        <f>'RES TECH'!M2073</f>
        <v>RESHOULMNewRETF4ELC20</v>
      </c>
      <c r="G2074" s="4">
        <f>IF(SUMIFS('RES TECH'!N:N,'RES TECH'!M:M,C2074)&gt;0,1,0)</f>
        <v>1</v>
      </c>
      <c r="H2074" s="4">
        <f t="shared" si="32"/>
        <v>0</v>
      </c>
    </row>
    <row r="2075" spans="3:8" x14ac:dyDescent="0.25">
      <c r="C2075" t="str">
        <f>'RES TECH'!M2074</f>
        <v>RESHOULMNewRESF1ELC20</v>
      </c>
      <c r="G2075" s="4">
        <f>IF(SUMIFS('RES TECH'!N:N,'RES TECH'!M:M,C2075)&gt;0,1,0)</f>
        <v>1</v>
      </c>
      <c r="H2075" s="4">
        <f t="shared" si="32"/>
        <v>0</v>
      </c>
    </row>
    <row r="2076" spans="3:8" x14ac:dyDescent="0.25">
      <c r="C2076" t="str">
        <f>'RES TECH'!M2075</f>
        <v>RESHOULMNewRESF2ELC20</v>
      </c>
      <c r="G2076" s="4">
        <f>IF(SUMIFS('RES TECH'!N:N,'RES TECH'!M:M,C2076)&gt;0,1,0)</f>
        <v>1</v>
      </c>
      <c r="H2076" s="4">
        <f t="shared" si="32"/>
        <v>0</v>
      </c>
    </row>
    <row r="2077" spans="3:8" x14ac:dyDescent="0.25">
      <c r="C2077" t="str">
        <f>'RES TECH'!M2076</f>
        <v>RESHOULMNewRESF3ELC20</v>
      </c>
      <c r="G2077" s="4">
        <f>IF(SUMIFS('RES TECH'!N:N,'RES TECH'!M:M,C2077)&gt;0,1,0)</f>
        <v>1</v>
      </c>
      <c r="H2077" s="4">
        <f t="shared" si="32"/>
        <v>0</v>
      </c>
    </row>
    <row r="2078" spans="3:8" x14ac:dyDescent="0.25">
      <c r="C2078" t="str">
        <f>'RES TECH'!M2077</f>
        <v>RESHOULMNewRESF4ELC20</v>
      </c>
      <c r="G2078" s="4">
        <f>IF(SUMIFS('RES TECH'!N:N,'RES TECH'!M:M,C2078)&gt;0,1,0)</f>
        <v>1</v>
      </c>
      <c r="H2078" s="4">
        <f t="shared" si="32"/>
        <v>0</v>
      </c>
    </row>
    <row r="2079" spans="3:8" x14ac:dyDescent="0.25">
      <c r="C2079" t="str">
        <f>'RES TECH'!M2078</f>
        <v>RESHOULMNewREBF1ELC20</v>
      </c>
      <c r="G2079" s="4">
        <f>IF(SUMIFS('RES TECH'!N:N,'RES TECH'!M:M,C2079)&gt;0,1,0)</f>
        <v>1</v>
      </c>
      <c r="H2079" s="4">
        <f t="shared" si="32"/>
        <v>0</v>
      </c>
    </row>
    <row r="2080" spans="3:8" x14ac:dyDescent="0.25">
      <c r="C2080" t="str">
        <f>'RES TECH'!M2079</f>
        <v>RESHOULMNewREBF2ELC20</v>
      </c>
      <c r="G2080" s="4">
        <f>IF(SUMIFS('RES TECH'!N:N,'RES TECH'!M:M,C2080)&gt;0,1,0)</f>
        <v>1</v>
      </c>
      <c r="H2080" s="4">
        <f t="shared" si="32"/>
        <v>0</v>
      </c>
    </row>
    <row r="2081" spans="3:8" x14ac:dyDescent="0.25">
      <c r="C2081" t="str">
        <f>'RES TECH'!M2080</f>
        <v>RESHOULMNewREBF3ELC20</v>
      </c>
      <c r="G2081" s="4">
        <f>IF(SUMIFS('RES TECH'!N:N,'RES TECH'!M:M,C2081)&gt;0,1,0)</f>
        <v>1</v>
      </c>
      <c r="H2081" s="4">
        <f t="shared" si="32"/>
        <v>0</v>
      </c>
    </row>
    <row r="2082" spans="3:8" x14ac:dyDescent="0.25">
      <c r="C2082" t="str">
        <f>'RES TECH'!M2081</f>
        <v>RESHOULMNewREBF4ELC20</v>
      </c>
      <c r="G2082" s="4">
        <f>IF(SUMIFS('RES TECH'!N:N,'RES TECH'!M:M,C2082)&gt;0,1,0)</f>
        <v>1</v>
      </c>
      <c r="H2082" s="4">
        <f t="shared" si="32"/>
        <v>0</v>
      </c>
    </row>
    <row r="2083" spans="3:8" x14ac:dyDescent="0.25">
      <c r="C2083" t="str">
        <f>'RES TECH'!M2082</f>
        <v>RESHOULMNewFRC1ELC20</v>
      </c>
      <c r="G2083" s="4">
        <f>IF(SUMIFS('RES TECH'!N:N,'RES TECH'!M:M,C2083)&gt;0,1,0)</f>
        <v>1</v>
      </c>
      <c r="H2083" s="4">
        <f t="shared" si="32"/>
        <v>0</v>
      </c>
    </row>
    <row r="2084" spans="3:8" x14ac:dyDescent="0.25">
      <c r="C2084" t="str">
        <f>'RES TECH'!M2083</f>
        <v>RESHOULMNewFRC2ELC20</v>
      </c>
      <c r="G2084" s="4">
        <f>IF(SUMIFS('RES TECH'!N:N,'RES TECH'!M:M,C2084)&gt;0,1,0)</f>
        <v>1</v>
      </c>
      <c r="H2084" s="4">
        <f t="shared" si="32"/>
        <v>0</v>
      </c>
    </row>
    <row r="2085" spans="3:8" x14ac:dyDescent="0.25">
      <c r="C2085" t="str">
        <f>'RES TECH'!M2084</f>
        <v>RESHOULMNewFRC3ELC20</v>
      </c>
      <c r="G2085" s="4">
        <f>IF(SUMIFS('RES TECH'!N:N,'RES TECH'!M:M,C2085)&gt;0,1,0)</f>
        <v>1</v>
      </c>
      <c r="H2085" s="4">
        <f t="shared" si="32"/>
        <v>0</v>
      </c>
    </row>
    <row r="2086" spans="3:8" x14ac:dyDescent="0.25">
      <c r="C2086" t="str">
        <f>'RES TECH'!M2085</f>
        <v>RESHOULMNewFRC4ELC20</v>
      </c>
      <c r="G2086" s="4">
        <f>IF(SUMIFS('RES TECH'!N:N,'RES TECH'!M:M,C2086)&gt;0,1,0)</f>
        <v>1</v>
      </c>
      <c r="H2086" s="4">
        <f t="shared" si="32"/>
        <v>0</v>
      </c>
    </row>
    <row r="2087" spans="3:8" x14ac:dyDescent="0.25">
      <c r="C2087" t="str">
        <f>'RES TECH'!M2086</f>
        <v>RESHOULMNewFRU1ELC20</v>
      </c>
      <c r="G2087" s="4">
        <f>IF(SUMIFS('RES TECH'!N:N,'RES TECH'!M:M,C2087)&gt;0,1,0)</f>
        <v>1</v>
      </c>
      <c r="H2087" s="4">
        <f t="shared" si="32"/>
        <v>0</v>
      </c>
    </row>
    <row r="2088" spans="3:8" x14ac:dyDescent="0.25">
      <c r="C2088" t="str">
        <f>'RES TECH'!M2087</f>
        <v>RESHOULMNewFRU2ELC20</v>
      </c>
      <c r="G2088" s="4">
        <f>IF(SUMIFS('RES TECH'!N:N,'RES TECH'!M:M,C2088)&gt;0,1,0)</f>
        <v>1</v>
      </c>
      <c r="H2088" s="4">
        <f t="shared" si="32"/>
        <v>0</v>
      </c>
    </row>
    <row r="2089" spans="3:8" x14ac:dyDescent="0.25">
      <c r="C2089" t="str">
        <f>'RES TECH'!M2088</f>
        <v>RESHOULMNewFRU3ELC20</v>
      </c>
      <c r="G2089" s="4">
        <f>IF(SUMIFS('RES TECH'!N:N,'RES TECH'!M:M,C2089)&gt;0,1,0)</f>
        <v>1</v>
      </c>
      <c r="H2089" s="4">
        <f t="shared" si="32"/>
        <v>0</v>
      </c>
    </row>
    <row r="2090" spans="3:8" x14ac:dyDescent="0.25">
      <c r="C2090" t="str">
        <f>'RES TECH'!M2089</f>
        <v>RESHOULMNewFRU4ELC20</v>
      </c>
      <c r="G2090" s="4">
        <f>IF(SUMIFS('RES TECH'!N:N,'RES TECH'!M:M,C2090)&gt;0,1,0)</f>
        <v>1</v>
      </c>
      <c r="H2090" s="4">
        <f t="shared" si="32"/>
        <v>0</v>
      </c>
    </row>
    <row r="2091" spans="3:8" x14ac:dyDescent="0.25">
      <c r="C2091" t="str">
        <f>'RES TECH'!M2090</f>
        <v>RESHOULMNewCK2NGA20</v>
      </c>
      <c r="G2091" s="4">
        <f>IF(SUMIFS('RES TECH'!N:N,'RES TECH'!M:M,C2091)&gt;0,1,0)</f>
        <v>1</v>
      </c>
      <c r="H2091" s="4">
        <f t="shared" si="32"/>
        <v>0</v>
      </c>
    </row>
    <row r="2092" spans="3:8" x14ac:dyDescent="0.25">
      <c r="C2092" t="str">
        <f>'RES TECH'!M2091</f>
        <v>RESHOULMNewCK4NGA20</v>
      </c>
      <c r="G2092" s="4">
        <f>IF(SUMIFS('RES TECH'!N:N,'RES TECH'!M:M,C2092)&gt;0,1,0)</f>
        <v>1</v>
      </c>
      <c r="H2092" s="4">
        <f t="shared" si="32"/>
        <v>0</v>
      </c>
    </row>
    <row r="2093" spans="3:8" x14ac:dyDescent="0.25">
      <c r="C2093" t="str">
        <f>'RES TECH'!M2092</f>
        <v>RESHOULMNewCK2LPG20</v>
      </c>
      <c r="G2093" s="4">
        <f>IF(SUMIFS('RES TECH'!N:N,'RES TECH'!M:M,C2093)&gt;0,1,0)</f>
        <v>1</v>
      </c>
      <c r="H2093" s="4">
        <f t="shared" si="32"/>
        <v>0</v>
      </c>
    </row>
    <row r="2094" spans="3:8" x14ac:dyDescent="0.25">
      <c r="C2094" t="str">
        <f>'RES TECH'!M2093</f>
        <v>RESHOULMNewCK4LPG20</v>
      </c>
      <c r="G2094" s="4">
        <f>IF(SUMIFS('RES TECH'!N:N,'RES TECH'!M:M,C2094)&gt;0,1,0)</f>
        <v>1</v>
      </c>
      <c r="H2094" s="4">
        <f t="shared" si="32"/>
        <v>0</v>
      </c>
    </row>
    <row r="2095" spans="3:8" x14ac:dyDescent="0.25">
      <c r="C2095" t="str">
        <f>'RES TECH'!M2094</f>
        <v>RESHOULMNewCK2ELC20</v>
      </c>
      <c r="G2095" s="4">
        <f>IF(SUMIFS('RES TECH'!N:N,'RES TECH'!M:M,C2095)&gt;0,1,0)</f>
        <v>1</v>
      </c>
      <c r="H2095" s="4">
        <f t="shared" si="32"/>
        <v>0</v>
      </c>
    </row>
    <row r="2096" spans="3:8" x14ac:dyDescent="0.25">
      <c r="C2096" t="str">
        <f>'RES TECH'!M2095</f>
        <v>RESHOULMNewCWF4ELC30</v>
      </c>
      <c r="G2096" s="4">
        <f>IF(SUMIFS('RES TECH'!N:N,'RES TECH'!M:M,C2096)&gt;0,1,0)</f>
        <v>1</v>
      </c>
      <c r="H2096" s="4">
        <f t="shared" si="32"/>
        <v>0</v>
      </c>
    </row>
    <row r="2097" spans="3:8" x14ac:dyDescent="0.25">
      <c r="C2097" t="str">
        <f>'RES TECH'!M2096</f>
        <v>RESHOULMNewCWT1ELC20</v>
      </c>
      <c r="G2097" s="4">
        <f>IF(SUMIFS('RES TECH'!N:N,'RES TECH'!M:M,C2097)&gt;0,1,0)</f>
        <v>1</v>
      </c>
      <c r="H2097" s="4">
        <f t="shared" si="32"/>
        <v>0</v>
      </c>
    </row>
    <row r="2098" spans="3:8" x14ac:dyDescent="0.25">
      <c r="C2098" t="str">
        <f>'RES TECH'!M2097</f>
        <v>RESHOULMNewCWT2ELC20</v>
      </c>
      <c r="G2098" s="4">
        <f>IF(SUMIFS('RES TECH'!N:N,'RES TECH'!M:M,C2098)&gt;0,1,0)</f>
        <v>1</v>
      </c>
      <c r="H2098" s="4">
        <f t="shared" si="32"/>
        <v>0</v>
      </c>
    </row>
    <row r="2099" spans="3:8" x14ac:dyDescent="0.25">
      <c r="C2099" t="str">
        <f>'RES TECH'!M2098</f>
        <v>RESHOULMNewCWT2ELC20</v>
      </c>
      <c r="G2099" s="4">
        <f>IF(SUMIFS('RES TECH'!N:N,'RES TECH'!M:M,C2099)&gt;0,1,0)</f>
        <v>1</v>
      </c>
      <c r="H2099" s="4">
        <f t="shared" si="32"/>
        <v>0</v>
      </c>
    </row>
    <row r="2100" spans="3:8" x14ac:dyDescent="0.25">
      <c r="C2100" t="str">
        <f>'RES TECH'!M2099</f>
        <v>RESHOULMNewCWT3ELC20</v>
      </c>
      <c r="G2100" s="4">
        <f>IF(SUMIFS('RES TECH'!N:N,'RES TECH'!M:M,C2100)&gt;0,1,0)</f>
        <v>1</v>
      </c>
      <c r="H2100" s="4">
        <f t="shared" si="32"/>
        <v>0</v>
      </c>
    </row>
    <row r="2101" spans="3:8" x14ac:dyDescent="0.25">
      <c r="C2101" t="str">
        <f>'RES TECH'!M2100</f>
        <v>RESHOULMNewCWT4ELC20</v>
      </c>
      <c r="G2101" s="4">
        <f>IF(SUMIFS('RES TECH'!N:N,'RES TECH'!M:M,C2101)&gt;0,1,0)</f>
        <v>1</v>
      </c>
      <c r="H2101" s="4">
        <f t="shared" si="32"/>
        <v>0</v>
      </c>
    </row>
    <row r="2102" spans="3:8" x14ac:dyDescent="0.25">
      <c r="C2102" t="str">
        <f>'RES TECH'!M2101</f>
        <v>RESHOULMNewCWF1ELC20</v>
      </c>
      <c r="G2102" s="4">
        <f>IF(SUMIFS('RES TECH'!N:N,'RES TECH'!M:M,C2102)&gt;0,1,0)</f>
        <v>1</v>
      </c>
      <c r="H2102" s="4">
        <f t="shared" si="32"/>
        <v>0</v>
      </c>
    </row>
    <row r="2103" spans="3:8" x14ac:dyDescent="0.25">
      <c r="C2103" t="str">
        <f>'RES TECH'!M2102</f>
        <v>RESHOULMNewCWF2ELC20</v>
      </c>
      <c r="G2103" s="4">
        <f>IF(SUMIFS('RES TECH'!N:N,'RES TECH'!M:M,C2103)&gt;0,1,0)</f>
        <v>1</v>
      </c>
      <c r="H2103" s="4">
        <f t="shared" si="32"/>
        <v>0</v>
      </c>
    </row>
    <row r="2104" spans="3:8" x14ac:dyDescent="0.25">
      <c r="C2104" t="str">
        <f>'RES TECH'!M2103</f>
        <v>RESHOULMNewCWF2ELC30</v>
      </c>
      <c r="G2104" s="4">
        <f>IF(SUMIFS('RES TECH'!N:N,'RES TECH'!M:M,C2104)&gt;0,1,0)</f>
        <v>1</v>
      </c>
      <c r="H2104" s="4">
        <f t="shared" si="32"/>
        <v>0</v>
      </c>
    </row>
    <row r="2105" spans="3:8" x14ac:dyDescent="0.25">
      <c r="C2105" t="str">
        <f>'RES TECH'!M2104</f>
        <v>RESHOULMNewCWF3ELC20</v>
      </c>
      <c r="G2105" s="4">
        <f>IF(SUMIFS('RES TECH'!N:N,'RES TECH'!M:M,C2105)&gt;0,1,0)</f>
        <v>1</v>
      </c>
      <c r="H2105" s="4">
        <f t="shared" si="32"/>
        <v>0</v>
      </c>
    </row>
    <row r="2106" spans="3:8" x14ac:dyDescent="0.25">
      <c r="C2106" t="str">
        <f>'RES TECH'!M2105</f>
        <v>RESHOULMNewCWF4ELC20</v>
      </c>
      <c r="G2106" s="4">
        <f>IF(SUMIFS('RES TECH'!N:N,'RES TECH'!M:M,C2106)&gt;0,1,0)</f>
        <v>1</v>
      </c>
      <c r="H2106" s="4">
        <f t="shared" si="32"/>
        <v>0</v>
      </c>
    </row>
    <row r="2107" spans="3:8" x14ac:dyDescent="0.25">
      <c r="C2107" t="str">
        <f>'RES TECH'!M2106</f>
        <v>RESHOULMNewCWF4ELC20</v>
      </c>
      <c r="G2107" s="4">
        <f>IF(SUMIFS('RES TECH'!N:N,'RES TECH'!M:M,C2107)&gt;0,1,0)</f>
        <v>1</v>
      </c>
      <c r="H2107" s="4">
        <f t="shared" si="32"/>
        <v>0</v>
      </c>
    </row>
    <row r="2108" spans="3:8" x14ac:dyDescent="0.25">
      <c r="C2108" t="str">
        <f>'RES TECH'!M2107</f>
        <v>RESHOULMNewCD1NGA20</v>
      </c>
      <c r="G2108" s="4">
        <f>IF(SUMIFS('RES TECH'!N:N,'RES TECH'!M:M,C2108)&gt;0,1,0)</f>
        <v>1</v>
      </c>
      <c r="H2108" s="4">
        <f t="shared" si="32"/>
        <v>0</v>
      </c>
    </row>
    <row r="2109" spans="3:8" x14ac:dyDescent="0.25">
      <c r="C2109" t="str">
        <f>'RES TECH'!M2108</f>
        <v>RESHOULMNewCD2NGA20</v>
      </c>
      <c r="G2109" s="4">
        <f>IF(SUMIFS('RES TECH'!N:N,'RES TECH'!M:M,C2109)&gt;0,1,0)</f>
        <v>1</v>
      </c>
      <c r="H2109" s="4">
        <f t="shared" si="32"/>
        <v>0</v>
      </c>
    </row>
    <row r="2110" spans="3:8" x14ac:dyDescent="0.25">
      <c r="C2110" t="str">
        <f>'RES TECH'!M2109</f>
        <v>RESHOULMNewCD3NGA20</v>
      </c>
      <c r="G2110" s="4">
        <f>IF(SUMIFS('RES TECH'!N:N,'RES TECH'!M:M,C2110)&gt;0,1,0)</f>
        <v>1</v>
      </c>
      <c r="H2110" s="4">
        <f t="shared" si="32"/>
        <v>0</v>
      </c>
    </row>
    <row r="2111" spans="3:8" x14ac:dyDescent="0.25">
      <c r="C2111" t="str">
        <f>'RES TECH'!M2110</f>
        <v>RESHOULMNewCD4NGA20</v>
      </c>
      <c r="G2111" s="4">
        <f>IF(SUMIFS('RES TECH'!N:N,'RES TECH'!M:M,C2111)&gt;0,1,0)</f>
        <v>1</v>
      </c>
      <c r="H2111" s="4">
        <f t="shared" si="32"/>
        <v>0</v>
      </c>
    </row>
    <row r="2112" spans="3:8" x14ac:dyDescent="0.25">
      <c r="C2112" t="str">
        <f>'RES TECH'!M2111</f>
        <v>RESHOULMNewCD4NGA30</v>
      </c>
      <c r="G2112" s="4">
        <f>IF(SUMIFS('RES TECH'!N:N,'RES TECH'!M:M,C2112)&gt;0,1,0)</f>
        <v>1</v>
      </c>
      <c r="H2112" s="4">
        <f t="shared" si="32"/>
        <v>0</v>
      </c>
    </row>
    <row r="2113" spans="3:8" x14ac:dyDescent="0.25">
      <c r="C2113" t="str">
        <f>'RES TECH'!M2112</f>
        <v>RESHOULMNewCD1ELC20</v>
      </c>
      <c r="G2113" s="4">
        <f>IF(SUMIFS('RES TECH'!N:N,'RES TECH'!M:M,C2113)&gt;0,1,0)</f>
        <v>1</v>
      </c>
      <c r="H2113" s="4">
        <f t="shared" si="32"/>
        <v>0</v>
      </c>
    </row>
    <row r="2114" spans="3:8" x14ac:dyDescent="0.25">
      <c r="C2114" t="str">
        <f>'RES TECH'!M2113</f>
        <v>RESHOULMNewCD2ELC20</v>
      </c>
      <c r="G2114" s="4">
        <f>IF(SUMIFS('RES TECH'!N:N,'RES TECH'!M:M,C2114)&gt;0,1,0)</f>
        <v>1</v>
      </c>
      <c r="H2114" s="4">
        <f t="shared" si="32"/>
        <v>0</v>
      </c>
    </row>
    <row r="2115" spans="3:8" x14ac:dyDescent="0.25">
      <c r="C2115" t="str">
        <f>'RES TECH'!M2114</f>
        <v>RESHOULMNewCD3ELC20</v>
      </c>
      <c r="G2115" s="4">
        <f>IF(SUMIFS('RES TECH'!N:N,'RES TECH'!M:M,C2115)&gt;0,1,0)</f>
        <v>1</v>
      </c>
      <c r="H2115" s="4">
        <f t="shared" si="32"/>
        <v>0</v>
      </c>
    </row>
    <row r="2116" spans="3:8" x14ac:dyDescent="0.25">
      <c r="C2116" t="str">
        <f>'RES TECH'!M2115</f>
        <v>RESHOULMNewCD4ELC20</v>
      </c>
      <c r="G2116" s="4">
        <f>IF(SUMIFS('RES TECH'!N:N,'RES TECH'!M:M,C2116)&gt;0,1,0)</f>
        <v>1</v>
      </c>
      <c r="H2116" s="4">
        <f t="shared" si="32"/>
        <v>0</v>
      </c>
    </row>
    <row r="2117" spans="3:8" x14ac:dyDescent="0.25">
      <c r="C2117" t="str">
        <f>'RES TECH'!M2116</f>
        <v>RESAPAUMNewWH1NGA20</v>
      </c>
      <c r="G2117" s="4">
        <f>IF(SUMIFS('RES TECH'!N:N,'RES TECH'!M:M,C2117)&gt;0,1,0)</f>
        <v>1</v>
      </c>
      <c r="H2117" s="4">
        <f t="shared" ref="H2117:H2180" si="33">IF(C2117="","",IF(C2117="*","*",0))</f>
        <v>0</v>
      </c>
    </row>
    <row r="2118" spans="3:8" x14ac:dyDescent="0.25">
      <c r="C2118" t="str">
        <f>'RES TECH'!M2117</f>
        <v>RESAPAUMNewWH2NGA20</v>
      </c>
      <c r="G2118" s="4">
        <f>IF(SUMIFS('RES TECH'!N:N,'RES TECH'!M:M,C2118)&gt;0,1,0)</f>
        <v>1</v>
      </c>
      <c r="H2118" s="4">
        <f t="shared" si="33"/>
        <v>0</v>
      </c>
    </row>
    <row r="2119" spans="3:8" x14ac:dyDescent="0.25">
      <c r="C2119" t="str">
        <f>'RES TECH'!M2118</f>
        <v>RESAPAUMNewWH3NGA20</v>
      </c>
      <c r="G2119" s="4">
        <f>IF(SUMIFS('RES TECH'!N:N,'RES TECH'!M:M,C2119)&gt;0,1,0)</f>
        <v>1</v>
      </c>
      <c r="H2119" s="4">
        <f t="shared" si="33"/>
        <v>0</v>
      </c>
    </row>
    <row r="2120" spans="3:8" x14ac:dyDescent="0.25">
      <c r="C2120" t="str">
        <f>'RES TECH'!M2119</f>
        <v>RESAPAUMNewWH3NGA23</v>
      </c>
      <c r="G2120" s="4">
        <f>IF(SUMIFS('RES TECH'!N:N,'RES TECH'!M:M,C2120)&gt;0,1,0)</f>
        <v>1</v>
      </c>
      <c r="H2120" s="4">
        <f t="shared" si="33"/>
        <v>0</v>
      </c>
    </row>
    <row r="2121" spans="3:8" x14ac:dyDescent="0.25">
      <c r="C2121" t="str">
        <f>'RES TECH'!M2120</f>
        <v>RESAPAUMNewWH4NGA20</v>
      </c>
      <c r="G2121" s="4">
        <f>IF(SUMIFS('RES TECH'!N:N,'RES TECH'!M:M,C2121)&gt;0,1,0)</f>
        <v>1</v>
      </c>
      <c r="H2121" s="4">
        <f t="shared" si="33"/>
        <v>0</v>
      </c>
    </row>
    <row r="2122" spans="3:8" x14ac:dyDescent="0.25">
      <c r="C2122" t="str">
        <f>'RES TECH'!M2121</f>
        <v>RESAPAUMNewWH4NGA20</v>
      </c>
      <c r="G2122" s="4">
        <f>IF(SUMIFS('RES TECH'!N:N,'RES TECH'!M:M,C2122)&gt;0,1,0)</f>
        <v>1</v>
      </c>
      <c r="H2122" s="4">
        <f t="shared" si="33"/>
        <v>0</v>
      </c>
    </row>
    <row r="2123" spans="3:8" x14ac:dyDescent="0.25">
      <c r="C2123" t="str">
        <f>'RES TECH'!M2122</f>
        <v>RESAPAUMNewWH4NGA22</v>
      </c>
      <c r="G2123" s="4">
        <f>IF(SUMIFS('RES TECH'!N:N,'RES TECH'!M:M,C2123)&gt;0,1,0)</f>
        <v>1</v>
      </c>
      <c r="H2123" s="4">
        <f t="shared" si="33"/>
        <v>0</v>
      </c>
    </row>
    <row r="2124" spans="3:8" x14ac:dyDescent="0.25">
      <c r="C2124" t="str">
        <f>'RES TECH'!M2123</f>
        <v>RESAPAUMNewWH1ELC20</v>
      </c>
      <c r="G2124" s="4">
        <f>IF(SUMIFS('RES TECH'!N:N,'RES TECH'!M:M,C2124)&gt;0,1,0)</f>
        <v>1</v>
      </c>
      <c r="H2124" s="4">
        <f t="shared" si="33"/>
        <v>0</v>
      </c>
    </row>
    <row r="2125" spans="3:8" x14ac:dyDescent="0.25">
      <c r="C2125" t="str">
        <f>'RES TECH'!M2124</f>
        <v>RESAPAUMNewWH2ELC20</v>
      </c>
      <c r="G2125" s="4">
        <f>IF(SUMIFS('RES TECH'!N:N,'RES TECH'!M:M,C2125)&gt;0,1,0)</f>
        <v>1</v>
      </c>
      <c r="H2125" s="4">
        <f t="shared" si="33"/>
        <v>0</v>
      </c>
    </row>
    <row r="2126" spans="3:8" x14ac:dyDescent="0.25">
      <c r="C2126" t="str">
        <f>'RES TECH'!M2125</f>
        <v>RESAPAUMNewWH4ELC20</v>
      </c>
      <c r="G2126" s="4">
        <f>IF(SUMIFS('RES TECH'!N:N,'RES TECH'!M:M,C2126)&gt;0,1,0)</f>
        <v>1</v>
      </c>
      <c r="H2126" s="4">
        <f t="shared" si="33"/>
        <v>0</v>
      </c>
    </row>
    <row r="2127" spans="3:8" x14ac:dyDescent="0.25">
      <c r="C2127" t="str">
        <f>'RES TECH'!M2126</f>
        <v>RESAPAUMNewWH5ELC20</v>
      </c>
      <c r="G2127" s="4">
        <f>IF(SUMIFS('RES TECH'!N:N,'RES TECH'!M:M,C2127)&gt;0,1,0)</f>
        <v>1</v>
      </c>
      <c r="H2127" s="4">
        <f t="shared" si="33"/>
        <v>0</v>
      </c>
    </row>
    <row r="2128" spans="3:8" x14ac:dyDescent="0.25">
      <c r="C2128" t="str">
        <f>'RES TECH'!M2127</f>
        <v>RESAPAUMNewWH5ELC22</v>
      </c>
      <c r="G2128" s="4">
        <f>IF(SUMIFS('RES TECH'!N:N,'RES TECH'!M:M,C2128)&gt;0,1,0)</f>
        <v>1</v>
      </c>
      <c r="H2128" s="4">
        <f t="shared" si="33"/>
        <v>0</v>
      </c>
    </row>
    <row r="2129" spans="3:8" x14ac:dyDescent="0.25">
      <c r="C2129" t="str">
        <f>'RES TECH'!M2128</f>
        <v>RESAPAUMNewWH6ELC20</v>
      </c>
      <c r="G2129" s="4">
        <f>IF(SUMIFS('RES TECH'!N:N,'RES TECH'!M:M,C2129)&gt;0,1,0)</f>
        <v>1</v>
      </c>
      <c r="H2129" s="4">
        <f t="shared" si="33"/>
        <v>0</v>
      </c>
    </row>
    <row r="2130" spans="3:8" x14ac:dyDescent="0.25">
      <c r="C2130" t="str">
        <f>'RES TECH'!M2129</f>
        <v>RESAPAUMNewWH6ELC22</v>
      </c>
      <c r="G2130" s="4">
        <f>IF(SUMIFS('RES TECH'!N:N,'RES TECH'!M:M,C2130)&gt;0,1,0)</f>
        <v>1</v>
      </c>
      <c r="H2130" s="4">
        <f t="shared" si="33"/>
        <v>0</v>
      </c>
    </row>
    <row r="2131" spans="3:8" x14ac:dyDescent="0.25">
      <c r="C2131" t="str">
        <f>'RES TECH'!M2130</f>
        <v>RESAPAUMNewWH7ELC20</v>
      </c>
      <c r="G2131" s="4">
        <f>IF(SUMIFS('RES TECH'!N:N,'RES TECH'!M:M,C2131)&gt;0,1,0)</f>
        <v>1</v>
      </c>
      <c r="H2131" s="4">
        <f t="shared" si="33"/>
        <v>0</v>
      </c>
    </row>
    <row r="2132" spans="3:8" x14ac:dyDescent="0.25">
      <c r="C2132" t="str">
        <f>'RES TECH'!M2131</f>
        <v>RESAPAUMNewWH7ELC22</v>
      </c>
      <c r="G2132" s="4">
        <f>IF(SUMIFS('RES TECH'!N:N,'RES TECH'!M:M,C2132)&gt;0,1,0)</f>
        <v>1</v>
      </c>
      <c r="H2132" s="4">
        <f t="shared" si="33"/>
        <v>0</v>
      </c>
    </row>
    <row r="2133" spans="3:8" x14ac:dyDescent="0.25">
      <c r="C2133" t="str">
        <f>'RES TECH'!M2132</f>
        <v>RESAPAUMNewWH1FOI20</v>
      </c>
      <c r="G2133" s="4">
        <f>IF(SUMIFS('RES TECH'!N:N,'RES TECH'!M:M,C2133)&gt;0,1,0)</f>
        <v>1</v>
      </c>
      <c r="H2133" s="4">
        <f t="shared" si="33"/>
        <v>0</v>
      </c>
    </row>
    <row r="2134" spans="3:8" x14ac:dyDescent="0.25">
      <c r="C2134" t="str">
        <f>'RES TECH'!M2133</f>
        <v>RESAPAUMNewWH2FOI20</v>
      </c>
      <c r="G2134" s="4">
        <f>IF(SUMIFS('RES TECH'!N:N,'RES TECH'!M:M,C2134)&gt;0,1,0)</f>
        <v>1</v>
      </c>
      <c r="H2134" s="4">
        <f t="shared" si="33"/>
        <v>0</v>
      </c>
    </row>
    <row r="2135" spans="3:8" x14ac:dyDescent="0.25">
      <c r="C2135" t="str">
        <f>'RES TECH'!M2134</f>
        <v>RESAPAUMNewWH4FOI20</v>
      </c>
      <c r="G2135" s="4">
        <f>IF(SUMIFS('RES TECH'!N:N,'RES TECH'!M:M,C2135)&gt;0,1,0)</f>
        <v>1</v>
      </c>
      <c r="H2135" s="4">
        <f t="shared" si="33"/>
        <v>0</v>
      </c>
    </row>
    <row r="2136" spans="3:8" x14ac:dyDescent="0.25">
      <c r="C2136" t="str">
        <f>'RES TECH'!M2135</f>
        <v>RESAPAUMNewWH1LPG20</v>
      </c>
      <c r="G2136" s="4">
        <f>IF(SUMIFS('RES TECH'!N:N,'RES TECH'!M:M,C2136)&gt;0,1,0)</f>
        <v>1</v>
      </c>
      <c r="H2136" s="4">
        <f t="shared" si="33"/>
        <v>0</v>
      </c>
    </row>
    <row r="2137" spans="3:8" x14ac:dyDescent="0.25">
      <c r="C2137" t="str">
        <f>'RES TECH'!M2136</f>
        <v>RESAPAUMNewWH2LPG20</v>
      </c>
      <c r="G2137" s="4">
        <f>IF(SUMIFS('RES TECH'!N:N,'RES TECH'!M:M,C2137)&gt;0,1,0)</f>
        <v>1</v>
      </c>
      <c r="H2137" s="4">
        <f t="shared" si="33"/>
        <v>0</v>
      </c>
    </row>
    <row r="2138" spans="3:8" x14ac:dyDescent="0.25">
      <c r="C2138" t="str">
        <f>'RES TECH'!M2137</f>
        <v>RESAPAUMNewWH3LPG20</v>
      </c>
      <c r="G2138" s="4">
        <f>IF(SUMIFS('RES TECH'!N:N,'RES TECH'!M:M,C2138)&gt;0,1,0)</f>
        <v>1</v>
      </c>
      <c r="H2138" s="4">
        <f t="shared" si="33"/>
        <v>0</v>
      </c>
    </row>
    <row r="2139" spans="3:8" x14ac:dyDescent="0.25">
      <c r="C2139" t="str">
        <f>'RES TECH'!M2138</f>
        <v>RESAPAUMNewWH3LPG23</v>
      </c>
      <c r="G2139" s="4">
        <f>IF(SUMIFS('RES TECH'!N:N,'RES TECH'!M:M,C2139)&gt;0,1,0)</f>
        <v>1</v>
      </c>
      <c r="H2139" s="4">
        <f t="shared" si="33"/>
        <v>0</v>
      </c>
    </row>
    <row r="2140" spans="3:8" x14ac:dyDescent="0.25">
      <c r="C2140" t="str">
        <f>'RES TECH'!M2139</f>
        <v>RESAPAUMNewWH4LPG20</v>
      </c>
      <c r="G2140" s="4">
        <f>IF(SUMIFS('RES TECH'!N:N,'RES TECH'!M:M,C2140)&gt;0,1,0)</f>
        <v>1</v>
      </c>
      <c r="H2140" s="4">
        <f t="shared" si="33"/>
        <v>0</v>
      </c>
    </row>
    <row r="2141" spans="3:8" x14ac:dyDescent="0.25">
      <c r="C2141" t="str">
        <f>'RES TECH'!M2140</f>
        <v>RESAPAUMNewWH4LPG20</v>
      </c>
      <c r="G2141" s="4">
        <f>IF(SUMIFS('RES TECH'!N:N,'RES TECH'!M:M,C2141)&gt;0,1,0)</f>
        <v>1</v>
      </c>
      <c r="H2141" s="4">
        <f t="shared" si="33"/>
        <v>0</v>
      </c>
    </row>
    <row r="2142" spans="3:8" x14ac:dyDescent="0.25">
      <c r="C2142" t="str">
        <f>'RES TECH'!M2141</f>
        <v>RESAPAUMNewWH2SOL20</v>
      </c>
      <c r="G2142" s="4">
        <f>IF(SUMIFS('RES TECH'!N:N,'RES TECH'!M:M,C2142)&gt;0,1,0)</f>
        <v>1</v>
      </c>
      <c r="H2142" s="4">
        <f t="shared" si="33"/>
        <v>0</v>
      </c>
    </row>
    <row r="2143" spans="3:8" x14ac:dyDescent="0.25">
      <c r="C2143" t="str">
        <f>'RES TECH'!M2142</f>
        <v>RESAPAUMNewWH2SOL20</v>
      </c>
      <c r="G2143" s="4">
        <f>IF(SUMIFS('RES TECH'!N:N,'RES TECH'!M:M,C2143)&gt;0,1,0)</f>
        <v>1</v>
      </c>
      <c r="H2143" s="4">
        <f t="shared" si="33"/>
        <v>0</v>
      </c>
    </row>
    <row r="2144" spans="3:8" x14ac:dyDescent="0.25">
      <c r="C2144" t="str">
        <f>'RES TECH'!M2143</f>
        <v>RESAPAUMNewWH2SOL23</v>
      </c>
      <c r="G2144" s="4">
        <f>IF(SUMIFS('RES TECH'!N:N,'RES TECH'!M:M,C2144)&gt;0,1,0)</f>
        <v>1</v>
      </c>
      <c r="H2144" s="4">
        <f t="shared" si="33"/>
        <v>0</v>
      </c>
    </row>
    <row r="2145" spans="3:8" x14ac:dyDescent="0.25">
      <c r="C2145" t="str">
        <f>'RES TECH'!M2144</f>
        <v>RESAPAUMNewWH2SOL24</v>
      </c>
      <c r="G2145" s="4">
        <f>IF(SUMIFS('RES TECH'!N:N,'RES TECH'!M:M,C2145)&gt;0,1,0)</f>
        <v>1</v>
      </c>
      <c r="H2145" s="4">
        <f t="shared" si="33"/>
        <v>0</v>
      </c>
    </row>
    <row r="2146" spans="3:8" x14ac:dyDescent="0.25">
      <c r="C2146" t="str">
        <f>'RES TECH'!M2145</f>
        <v>RESAPAUMNewSHAHP1ELC20</v>
      </c>
      <c r="G2146" s="4">
        <f>IF(SUMIFS('RES TECH'!N:N,'RES TECH'!M:M,C2146)&gt;0,1,0)</f>
        <v>1</v>
      </c>
      <c r="H2146" s="4">
        <f t="shared" si="33"/>
        <v>0</v>
      </c>
    </row>
    <row r="2147" spans="3:8" x14ac:dyDescent="0.25">
      <c r="C2147" t="str">
        <f>'RES TECH'!M2146</f>
        <v>RESAPAUMNewSHAHP1ELC23</v>
      </c>
      <c r="G2147" s="4">
        <f>IF(SUMIFS('RES TECH'!N:N,'RES TECH'!M:M,C2147)&gt;0,1,0)</f>
        <v>1</v>
      </c>
      <c r="H2147" s="4">
        <f t="shared" si="33"/>
        <v>0</v>
      </c>
    </row>
    <row r="2148" spans="3:8" x14ac:dyDescent="0.25">
      <c r="C2148" t="str">
        <f>'RES TECH'!M2147</f>
        <v>RESAPAUMNewSHAHP2ELC20</v>
      </c>
      <c r="G2148" s="4">
        <f>IF(SUMIFS('RES TECH'!N:N,'RES TECH'!M:M,C2148)&gt;0,1,0)</f>
        <v>1</v>
      </c>
      <c r="H2148" s="4">
        <f t="shared" si="33"/>
        <v>0</v>
      </c>
    </row>
    <row r="2149" spans="3:8" x14ac:dyDescent="0.25">
      <c r="C2149" t="str">
        <f>'RES TECH'!M2148</f>
        <v>RESAPAUMNewSHAHP2ELC23</v>
      </c>
      <c r="G2149" s="4">
        <f>IF(SUMIFS('RES TECH'!N:N,'RES TECH'!M:M,C2149)&gt;0,1,0)</f>
        <v>1</v>
      </c>
      <c r="H2149" s="4">
        <f t="shared" si="33"/>
        <v>0</v>
      </c>
    </row>
    <row r="2150" spans="3:8" x14ac:dyDescent="0.25">
      <c r="C2150" t="str">
        <f>'RES TECH'!M2149</f>
        <v>RESAPAUMNewSHAHP3ELC20</v>
      </c>
      <c r="G2150" s="4">
        <f>IF(SUMIFS('RES TECH'!N:N,'RES TECH'!M:M,C2150)&gt;0,1,0)</f>
        <v>1</v>
      </c>
      <c r="H2150" s="4">
        <f t="shared" si="33"/>
        <v>0</v>
      </c>
    </row>
    <row r="2151" spans="3:8" x14ac:dyDescent="0.25">
      <c r="C2151" t="str">
        <f>'RES TECH'!M2150</f>
        <v>RESAPAUMNewSHAHP3ELC22</v>
      </c>
      <c r="G2151" s="4">
        <f>IF(SUMIFS('RES TECH'!N:N,'RES TECH'!M:M,C2151)&gt;0,1,0)</f>
        <v>1</v>
      </c>
      <c r="H2151" s="4">
        <f t="shared" si="33"/>
        <v>0</v>
      </c>
    </row>
    <row r="2152" spans="3:8" x14ac:dyDescent="0.25">
      <c r="C2152" t="str">
        <f>'RES TECH'!M2151</f>
        <v>RESAPAUMNewSHAHP3ELC23</v>
      </c>
      <c r="G2152" s="4">
        <f>IF(SUMIFS('RES TECH'!N:N,'RES TECH'!M:M,C2152)&gt;0,1,0)</f>
        <v>1</v>
      </c>
      <c r="H2152" s="4">
        <f t="shared" si="33"/>
        <v>0</v>
      </c>
    </row>
    <row r="2153" spans="3:8" x14ac:dyDescent="0.25">
      <c r="C2153" t="str">
        <f>'RES TECH'!M2152</f>
        <v>RESAPAUMNewSHAHP4ELC20</v>
      </c>
      <c r="G2153" s="4">
        <f>IF(SUMIFS('RES TECH'!N:N,'RES TECH'!M:M,C2153)&gt;0,1,0)</f>
        <v>1</v>
      </c>
      <c r="H2153" s="4">
        <f t="shared" si="33"/>
        <v>0</v>
      </c>
    </row>
    <row r="2154" spans="3:8" x14ac:dyDescent="0.25">
      <c r="C2154" t="str">
        <f>'RES TECH'!M2153</f>
        <v>RESAPAUMNewSHAHP4ELC22</v>
      </c>
      <c r="G2154" s="4">
        <f>IF(SUMIFS('RES TECH'!N:N,'RES TECH'!M:M,C2154)&gt;0,1,0)</f>
        <v>1</v>
      </c>
      <c r="H2154" s="4">
        <f t="shared" si="33"/>
        <v>0</v>
      </c>
    </row>
    <row r="2155" spans="3:8" x14ac:dyDescent="0.25">
      <c r="C2155" t="str">
        <f>'RES TECH'!M2154</f>
        <v>RESAPAUMNewSHGHP1ELC20</v>
      </c>
      <c r="G2155" s="4">
        <f>IF(SUMIFS('RES TECH'!N:N,'RES TECH'!M:M,C2155)&gt;0,1,0)</f>
        <v>1</v>
      </c>
      <c r="H2155" s="4">
        <f t="shared" si="33"/>
        <v>0</v>
      </c>
    </row>
    <row r="2156" spans="3:8" x14ac:dyDescent="0.25">
      <c r="C2156" t="str">
        <f>'RES TECH'!M2155</f>
        <v>RESAPAUMNewSHGHP2ELC20</v>
      </c>
      <c r="G2156" s="4">
        <f>IF(SUMIFS('RES TECH'!N:N,'RES TECH'!M:M,C2156)&gt;0,1,0)</f>
        <v>1</v>
      </c>
      <c r="H2156" s="4">
        <f t="shared" si="33"/>
        <v>0</v>
      </c>
    </row>
    <row r="2157" spans="3:8" x14ac:dyDescent="0.25">
      <c r="C2157" t="str">
        <f>'RES TECH'!M2156</f>
        <v>RESAPAUMNewSHGHP3ELC20</v>
      </c>
      <c r="G2157" s="4">
        <f>IF(SUMIFS('RES TECH'!N:N,'RES TECH'!M:M,C2157)&gt;0,1,0)</f>
        <v>1</v>
      </c>
      <c r="H2157" s="4">
        <f t="shared" si="33"/>
        <v>0</v>
      </c>
    </row>
    <row r="2158" spans="3:8" x14ac:dyDescent="0.25">
      <c r="C2158" t="str">
        <f>'RES TECH'!M2157</f>
        <v>RESAPAUMNewSHGHP3ELC20</v>
      </c>
      <c r="G2158" s="4">
        <f>IF(SUMIFS('RES TECH'!N:N,'RES TECH'!M:M,C2158)&gt;0,1,0)</f>
        <v>1</v>
      </c>
      <c r="H2158" s="4">
        <f t="shared" si="33"/>
        <v>0</v>
      </c>
    </row>
    <row r="2159" spans="3:8" x14ac:dyDescent="0.25">
      <c r="C2159" t="str">
        <f>'RES TECH'!M2158</f>
        <v>RESAPAUMNewSHGHP3ELC22</v>
      </c>
      <c r="G2159" s="4">
        <f>IF(SUMIFS('RES TECH'!N:N,'RES TECH'!M:M,C2159)&gt;0,1,0)</f>
        <v>1</v>
      </c>
      <c r="H2159" s="4">
        <f t="shared" si="33"/>
        <v>0</v>
      </c>
    </row>
    <row r="2160" spans="3:8" x14ac:dyDescent="0.25">
      <c r="C2160" t="str">
        <f>'RES TECH'!M2159</f>
        <v>RESAPAUMNewSHGHP3ELC23</v>
      </c>
      <c r="G2160" s="4">
        <f>IF(SUMIFS('RES TECH'!N:N,'RES TECH'!M:M,C2160)&gt;0,1,0)</f>
        <v>1</v>
      </c>
      <c r="H2160" s="4">
        <f t="shared" si="33"/>
        <v>0</v>
      </c>
    </row>
    <row r="2161" spans="3:8" x14ac:dyDescent="0.25">
      <c r="C2161" t="str">
        <f>'RES TECH'!M2160</f>
        <v>RESAPAUMNewSHGHP3ELC24</v>
      </c>
      <c r="G2161" s="4">
        <f>IF(SUMIFS('RES TECH'!N:N,'RES TECH'!M:M,C2161)&gt;0,1,0)</f>
        <v>1</v>
      </c>
      <c r="H2161" s="4">
        <f t="shared" si="33"/>
        <v>0</v>
      </c>
    </row>
    <row r="2162" spans="3:8" x14ac:dyDescent="0.25">
      <c r="C2162" t="str">
        <f>'RES TECH'!M2161</f>
        <v>RESAPAUMNewSHGHP4ELC20</v>
      </c>
      <c r="G2162" s="4">
        <f>IF(SUMIFS('RES TECH'!N:N,'RES TECH'!M:M,C2162)&gt;0,1,0)</f>
        <v>1</v>
      </c>
      <c r="H2162" s="4">
        <f t="shared" si="33"/>
        <v>0</v>
      </c>
    </row>
    <row r="2163" spans="3:8" x14ac:dyDescent="0.25">
      <c r="C2163" t="str">
        <f>'RES TECH'!M2162</f>
        <v>RESAPAUMNewSHGHP4ELC20</v>
      </c>
      <c r="G2163" s="4">
        <f>IF(SUMIFS('RES TECH'!N:N,'RES TECH'!M:M,C2163)&gt;0,1,0)</f>
        <v>1</v>
      </c>
      <c r="H2163" s="4">
        <f t="shared" si="33"/>
        <v>0</v>
      </c>
    </row>
    <row r="2164" spans="3:8" x14ac:dyDescent="0.25">
      <c r="C2164" t="str">
        <f>'RES TECH'!M2163</f>
        <v>RESAPAUMNewSHGHP4ELC22</v>
      </c>
      <c r="G2164" s="4">
        <f>IF(SUMIFS('RES TECH'!N:N,'RES TECH'!M:M,C2164)&gt;0,1,0)</f>
        <v>1</v>
      </c>
      <c r="H2164" s="4">
        <f t="shared" si="33"/>
        <v>0</v>
      </c>
    </row>
    <row r="2165" spans="3:8" x14ac:dyDescent="0.25">
      <c r="C2165" t="str">
        <f>'RES TECH'!M2164</f>
        <v>RESAPAUMNewSHGHP4ELC23</v>
      </c>
      <c r="G2165" s="4">
        <f>IF(SUMIFS('RES TECH'!N:N,'RES TECH'!M:M,C2165)&gt;0,1,0)</f>
        <v>1</v>
      </c>
      <c r="H2165" s="4">
        <f t="shared" si="33"/>
        <v>0</v>
      </c>
    </row>
    <row r="2166" spans="3:8" x14ac:dyDescent="0.25">
      <c r="C2166" t="str">
        <f>'RES TECH'!M2165</f>
        <v>RESAPAUMNewSHGHP4ELC24</v>
      </c>
      <c r="G2166" s="4">
        <f>IF(SUMIFS('RES TECH'!N:N,'RES TECH'!M:M,C2166)&gt;0,1,0)</f>
        <v>1</v>
      </c>
      <c r="H2166" s="4">
        <f t="shared" si="33"/>
        <v>0</v>
      </c>
    </row>
    <row r="2167" spans="3:8" x14ac:dyDescent="0.25">
      <c r="C2167" t="str">
        <f>'RES TECH'!M2166</f>
        <v>RESAPAUMNewSHRAD2ELC20</v>
      </c>
      <c r="G2167" s="4">
        <f>IF(SUMIFS('RES TECH'!N:N,'RES TECH'!M:M,C2167)&gt;0,1,0)</f>
        <v>1</v>
      </c>
      <c r="H2167" s="4">
        <f t="shared" si="33"/>
        <v>0</v>
      </c>
    </row>
    <row r="2168" spans="3:8" x14ac:dyDescent="0.25">
      <c r="C2168" t="str">
        <f>'RES TECH'!M2167</f>
        <v>RESAPAUMNewSHFUR1NGA20</v>
      </c>
      <c r="G2168" s="4">
        <f>IF(SUMIFS('RES TECH'!N:N,'RES TECH'!M:M,C2168)&gt;0,1,0)</f>
        <v>1</v>
      </c>
      <c r="H2168" s="4">
        <f t="shared" si="33"/>
        <v>0</v>
      </c>
    </row>
    <row r="2169" spans="3:8" x14ac:dyDescent="0.25">
      <c r="C2169" t="str">
        <f>'RES TECH'!M2168</f>
        <v>RESAPAUMNewSHFUR2NGA20</v>
      </c>
      <c r="G2169" s="4">
        <f>IF(SUMIFS('RES TECH'!N:N,'RES TECH'!M:M,C2169)&gt;0,1,0)</f>
        <v>1</v>
      </c>
      <c r="H2169" s="4">
        <f t="shared" si="33"/>
        <v>0</v>
      </c>
    </row>
    <row r="2170" spans="3:8" x14ac:dyDescent="0.25">
      <c r="C2170" t="str">
        <f>'RES TECH'!M2169</f>
        <v>RESAPAUMNewSHFUR2NGA20</v>
      </c>
      <c r="G2170" s="4">
        <f>IF(SUMIFS('RES TECH'!N:N,'RES TECH'!M:M,C2170)&gt;0,1,0)</f>
        <v>1</v>
      </c>
      <c r="H2170" s="4">
        <f t="shared" si="33"/>
        <v>0</v>
      </c>
    </row>
    <row r="2171" spans="3:8" x14ac:dyDescent="0.25">
      <c r="C2171" t="str">
        <f>'RES TECH'!M2170</f>
        <v>RESAPAUMNewSHFUR3NGA20</v>
      </c>
      <c r="G2171" s="4">
        <f>IF(SUMIFS('RES TECH'!N:N,'RES TECH'!M:M,C2171)&gt;0,1,0)</f>
        <v>1</v>
      </c>
      <c r="H2171" s="4">
        <f t="shared" si="33"/>
        <v>0</v>
      </c>
    </row>
    <row r="2172" spans="3:8" x14ac:dyDescent="0.25">
      <c r="C2172" t="str">
        <f>'RES TECH'!M2171</f>
        <v>RESAPAUMNewSHFUR3NGA22</v>
      </c>
      <c r="G2172" s="4">
        <f>IF(SUMIFS('RES TECH'!N:N,'RES TECH'!M:M,C2172)&gt;0,1,0)</f>
        <v>1</v>
      </c>
      <c r="H2172" s="4">
        <f t="shared" si="33"/>
        <v>0</v>
      </c>
    </row>
    <row r="2173" spans="3:8" x14ac:dyDescent="0.25">
      <c r="C2173" t="str">
        <f>'RES TECH'!M2172</f>
        <v>RESAPAUMNewSHFUR4NGA20</v>
      </c>
      <c r="G2173" s="4">
        <f>IF(SUMIFS('RES TECH'!N:N,'RES TECH'!M:M,C2173)&gt;0,1,0)</f>
        <v>1</v>
      </c>
      <c r="H2173" s="4">
        <f t="shared" si="33"/>
        <v>0</v>
      </c>
    </row>
    <row r="2174" spans="3:8" x14ac:dyDescent="0.25">
      <c r="C2174" t="str">
        <f>'RES TECH'!M2173</f>
        <v>RESAPAUMNewSHFUR4NGA22</v>
      </c>
      <c r="G2174" s="4">
        <f>IF(SUMIFS('RES TECH'!N:N,'RES TECH'!M:M,C2174)&gt;0,1,0)</f>
        <v>1</v>
      </c>
      <c r="H2174" s="4">
        <f t="shared" si="33"/>
        <v>0</v>
      </c>
    </row>
    <row r="2175" spans="3:8" x14ac:dyDescent="0.25">
      <c r="C2175" t="str">
        <f>'RES TECH'!M2174</f>
        <v>RESAPAUMNewSHRAD1NGA20</v>
      </c>
      <c r="G2175" s="4">
        <f>IF(SUMIFS('RES TECH'!N:N,'RES TECH'!M:M,C2175)&gt;0,1,0)</f>
        <v>1</v>
      </c>
      <c r="H2175" s="4">
        <f t="shared" si="33"/>
        <v>0</v>
      </c>
    </row>
    <row r="2176" spans="3:8" x14ac:dyDescent="0.25">
      <c r="C2176" t="str">
        <f>'RES TECH'!M2175</f>
        <v>RESAPAUMNewSHRAD1NGA21</v>
      </c>
      <c r="G2176" s="4">
        <f>IF(SUMIFS('RES TECH'!N:N,'RES TECH'!M:M,C2176)&gt;0,1,0)</f>
        <v>1</v>
      </c>
      <c r="H2176" s="4">
        <f t="shared" si="33"/>
        <v>0</v>
      </c>
    </row>
    <row r="2177" spans="3:8" x14ac:dyDescent="0.25">
      <c r="C2177" t="str">
        <f>'RES TECH'!M2176</f>
        <v>RESAPAUMNewSHRAD2NGA20</v>
      </c>
      <c r="G2177" s="4">
        <f>IF(SUMIFS('RES TECH'!N:N,'RES TECH'!M:M,C2177)&gt;0,1,0)</f>
        <v>1</v>
      </c>
      <c r="H2177" s="4">
        <f t="shared" si="33"/>
        <v>0</v>
      </c>
    </row>
    <row r="2178" spans="3:8" x14ac:dyDescent="0.25">
      <c r="C2178" t="str">
        <f>'RES TECH'!M2177</f>
        <v>RESAPAUMNewSHRAD2NGA20</v>
      </c>
      <c r="G2178" s="4">
        <f>IF(SUMIFS('RES TECH'!N:N,'RES TECH'!M:M,C2178)&gt;0,1,0)</f>
        <v>1</v>
      </c>
      <c r="H2178" s="4">
        <f t="shared" si="33"/>
        <v>0</v>
      </c>
    </row>
    <row r="2179" spans="3:8" x14ac:dyDescent="0.25">
      <c r="C2179" t="str">
        <f>'RES TECH'!M2178</f>
        <v>RESAPAUMNewSHRAD3NGA20</v>
      </c>
      <c r="G2179" s="4">
        <f>IF(SUMIFS('RES TECH'!N:N,'RES TECH'!M:M,C2179)&gt;0,1,0)</f>
        <v>1</v>
      </c>
      <c r="H2179" s="4">
        <f t="shared" si="33"/>
        <v>0</v>
      </c>
    </row>
    <row r="2180" spans="3:8" x14ac:dyDescent="0.25">
      <c r="C2180" t="str">
        <f>'RES TECH'!M2179</f>
        <v>RESAPAUMNewSHRAD4NGA20</v>
      </c>
      <c r="G2180" s="4">
        <f>IF(SUMIFS('RES TECH'!N:N,'RES TECH'!M:M,C2180)&gt;0,1,0)</f>
        <v>1</v>
      </c>
      <c r="H2180" s="4">
        <f t="shared" si="33"/>
        <v>0</v>
      </c>
    </row>
    <row r="2181" spans="3:8" x14ac:dyDescent="0.25">
      <c r="C2181" t="str">
        <f>'RES TECH'!M2180</f>
        <v>RESAPAUMNewSHRAD4NGA22</v>
      </c>
      <c r="G2181" s="4">
        <f>IF(SUMIFS('RES TECH'!N:N,'RES TECH'!M:M,C2181)&gt;0,1,0)</f>
        <v>1</v>
      </c>
      <c r="H2181" s="4">
        <f t="shared" ref="H2181:H2244" si="34">IF(C2181="","",IF(C2181="*","*",0))</f>
        <v>0</v>
      </c>
    </row>
    <row r="2182" spans="3:8" x14ac:dyDescent="0.25">
      <c r="C2182" t="str">
        <f>'RES TECH'!M2181</f>
        <v>RESAPAUMNewSHFUR1KER20</v>
      </c>
      <c r="G2182" s="4">
        <f>IF(SUMIFS('RES TECH'!N:N,'RES TECH'!M:M,C2182)&gt;0,1,0)</f>
        <v>1</v>
      </c>
      <c r="H2182" s="4">
        <f t="shared" si="34"/>
        <v>0</v>
      </c>
    </row>
    <row r="2183" spans="3:8" x14ac:dyDescent="0.25">
      <c r="C2183" t="str">
        <f>'RES TECH'!M2182</f>
        <v>RESAPAUMNewSHFUR2KER20</v>
      </c>
      <c r="G2183" s="4">
        <f>IF(SUMIFS('RES TECH'!N:N,'RES TECH'!M:M,C2183)&gt;0,1,0)</f>
        <v>1</v>
      </c>
      <c r="H2183" s="4">
        <f t="shared" si="34"/>
        <v>0</v>
      </c>
    </row>
    <row r="2184" spans="3:8" x14ac:dyDescent="0.25">
      <c r="C2184" t="str">
        <f>'RES TECH'!M2183</f>
        <v>RESAPAUMNewSHFUR2KER20</v>
      </c>
      <c r="G2184" s="4">
        <f>IF(SUMIFS('RES TECH'!N:N,'RES TECH'!M:M,C2184)&gt;0,1,0)</f>
        <v>1</v>
      </c>
      <c r="H2184" s="4">
        <f t="shared" si="34"/>
        <v>0</v>
      </c>
    </row>
    <row r="2185" spans="3:8" x14ac:dyDescent="0.25">
      <c r="C2185" t="str">
        <f>'RES TECH'!M2184</f>
        <v>RESAPAUMNewSHFUR3KER20</v>
      </c>
      <c r="G2185" s="4">
        <f>IF(SUMIFS('RES TECH'!N:N,'RES TECH'!M:M,C2185)&gt;0,1,0)</f>
        <v>1</v>
      </c>
      <c r="H2185" s="4">
        <f t="shared" si="34"/>
        <v>0</v>
      </c>
    </row>
    <row r="2186" spans="3:8" x14ac:dyDescent="0.25">
      <c r="C2186" t="str">
        <f>'RES TECH'!M2185</f>
        <v>RESAPAUMNewSHFUR4KER20</v>
      </c>
      <c r="G2186" s="4">
        <f>IF(SUMIFS('RES TECH'!N:N,'RES TECH'!M:M,C2186)&gt;0,1,0)</f>
        <v>1</v>
      </c>
      <c r="H2186" s="4">
        <f t="shared" si="34"/>
        <v>0</v>
      </c>
    </row>
    <row r="2187" spans="3:8" x14ac:dyDescent="0.25">
      <c r="C2187" t="str">
        <f>'RES TECH'!M2186</f>
        <v>RESAPAUMNewSHFUR4KER20</v>
      </c>
      <c r="G2187" s="4">
        <f>IF(SUMIFS('RES TECH'!N:N,'RES TECH'!M:M,C2187)&gt;0,1,0)</f>
        <v>1</v>
      </c>
      <c r="H2187" s="4">
        <f t="shared" si="34"/>
        <v>0</v>
      </c>
    </row>
    <row r="2188" spans="3:8" x14ac:dyDescent="0.25">
      <c r="C2188" t="str">
        <f>'RES TECH'!M2187</f>
        <v>RESAPAUMNewSHFUR1LPG20</v>
      </c>
      <c r="G2188" s="4">
        <f>IF(SUMIFS('RES TECH'!N:N,'RES TECH'!M:M,C2188)&gt;0,1,0)</f>
        <v>1</v>
      </c>
      <c r="H2188" s="4">
        <f t="shared" si="34"/>
        <v>0</v>
      </c>
    </row>
    <row r="2189" spans="3:8" x14ac:dyDescent="0.25">
      <c r="C2189" t="str">
        <f>'RES TECH'!M2188</f>
        <v>RESAPAUMNewSHFUR2LPG20</v>
      </c>
      <c r="G2189" s="4">
        <f>IF(SUMIFS('RES TECH'!N:N,'RES TECH'!M:M,C2189)&gt;0,1,0)</f>
        <v>1</v>
      </c>
      <c r="H2189" s="4">
        <f t="shared" si="34"/>
        <v>0</v>
      </c>
    </row>
    <row r="2190" spans="3:8" x14ac:dyDescent="0.25">
      <c r="C2190" t="str">
        <f>'RES TECH'!M2189</f>
        <v>RESAPAUMNewSHFUR2LPG20</v>
      </c>
      <c r="G2190" s="4">
        <f>IF(SUMIFS('RES TECH'!N:N,'RES TECH'!M:M,C2190)&gt;0,1,0)</f>
        <v>1</v>
      </c>
      <c r="H2190" s="4">
        <f t="shared" si="34"/>
        <v>0</v>
      </c>
    </row>
    <row r="2191" spans="3:8" x14ac:dyDescent="0.25">
      <c r="C2191" t="str">
        <f>'RES TECH'!M2190</f>
        <v>RESAPAUMNewSHFUR3LPG20</v>
      </c>
      <c r="G2191" s="4">
        <f>IF(SUMIFS('RES TECH'!N:N,'RES TECH'!M:M,C2191)&gt;0,1,0)</f>
        <v>1</v>
      </c>
      <c r="H2191" s="4">
        <f t="shared" si="34"/>
        <v>0</v>
      </c>
    </row>
    <row r="2192" spans="3:8" x14ac:dyDescent="0.25">
      <c r="C2192" t="str">
        <f>'RES TECH'!M2191</f>
        <v>RESAPAUMNewSHFUR3LPG22</v>
      </c>
      <c r="G2192" s="4">
        <f>IF(SUMIFS('RES TECH'!N:N,'RES TECH'!M:M,C2192)&gt;0,1,0)</f>
        <v>1</v>
      </c>
      <c r="H2192" s="4">
        <f t="shared" si="34"/>
        <v>0</v>
      </c>
    </row>
    <row r="2193" spans="3:8" x14ac:dyDescent="0.25">
      <c r="C2193" t="str">
        <f>'RES TECH'!M2192</f>
        <v>RESAPAUMNewSHFUR4LPG20</v>
      </c>
      <c r="G2193" s="4">
        <f>IF(SUMIFS('RES TECH'!N:N,'RES TECH'!M:M,C2193)&gt;0,1,0)</f>
        <v>1</v>
      </c>
      <c r="H2193" s="4">
        <f t="shared" si="34"/>
        <v>0</v>
      </c>
    </row>
    <row r="2194" spans="3:8" x14ac:dyDescent="0.25">
      <c r="C2194" t="str">
        <f>'RES TECH'!M2193</f>
        <v>RESAPAUMNewSHFUR4LPG22</v>
      </c>
      <c r="G2194" s="4">
        <f>IF(SUMIFS('RES TECH'!N:N,'RES TECH'!M:M,C2194)&gt;0,1,0)</f>
        <v>1</v>
      </c>
      <c r="H2194" s="4">
        <f t="shared" si="34"/>
        <v>0</v>
      </c>
    </row>
    <row r="2195" spans="3:8" x14ac:dyDescent="0.25">
      <c r="C2195" t="str">
        <f>'RES TECH'!M2194</f>
        <v>RESAPAUMNewSHFUR1FOI20</v>
      </c>
      <c r="G2195" s="4">
        <f>IF(SUMIFS('RES TECH'!N:N,'RES TECH'!M:M,C2195)&gt;0,1,0)</f>
        <v>1</v>
      </c>
      <c r="H2195" s="4">
        <f t="shared" si="34"/>
        <v>0</v>
      </c>
    </row>
    <row r="2196" spans="3:8" x14ac:dyDescent="0.25">
      <c r="C2196" t="str">
        <f>'RES TECH'!M2195</f>
        <v>RESAPAUMNewSHFUR2FOI20</v>
      </c>
      <c r="G2196" s="4">
        <f>IF(SUMIFS('RES TECH'!N:N,'RES TECH'!M:M,C2196)&gt;0,1,0)</f>
        <v>1</v>
      </c>
      <c r="H2196" s="4">
        <f t="shared" si="34"/>
        <v>0</v>
      </c>
    </row>
    <row r="2197" spans="3:8" x14ac:dyDescent="0.25">
      <c r="C2197" t="str">
        <f>'RES TECH'!M2196</f>
        <v>RESAPAUMNewSHFUR2FOI22</v>
      </c>
      <c r="G2197" s="4">
        <f>IF(SUMIFS('RES TECH'!N:N,'RES TECH'!M:M,C2197)&gt;0,1,0)</f>
        <v>1</v>
      </c>
      <c r="H2197" s="4">
        <f t="shared" si="34"/>
        <v>0</v>
      </c>
    </row>
    <row r="2198" spans="3:8" x14ac:dyDescent="0.25">
      <c r="C2198" t="str">
        <f>'RES TECH'!M2197</f>
        <v>RESAPAUMNewSHFUR3FOI20</v>
      </c>
      <c r="G2198" s="4">
        <f>IF(SUMIFS('RES TECH'!N:N,'RES TECH'!M:M,C2198)&gt;0,1,0)</f>
        <v>1</v>
      </c>
      <c r="H2198" s="4">
        <f t="shared" si="34"/>
        <v>0</v>
      </c>
    </row>
    <row r="2199" spans="3:8" x14ac:dyDescent="0.25">
      <c r="C2199" t="str">
        <f>'RES TECH'!M2198</f>
        <v>RESAPAUMNewSHFUR4FOI20</v>
      </c>
      <c r="G2199" s="4">
        <f>IF(SUMIFS('RES TECH'!N:N,'RES TECH'!M:M,C2199)&gt;0,1,0)</f>
        <v>1</v>
      </c>
      <c r="H2199" s="4">
        <f t="shared" si="34"/>
        <v>0</v>
      </c>
    </row>
    <row r="2200" spans="3:8" x14ac:dyDescent="0.25">
      <c r="C2200" t="str">
        <f>'RES TECH'!M2199</f>
        <v>RESAPAUMNewSHFUR4FOI22</v>
      </c>
      <c r="G2200" s="4">
        <f>IF(SUMIFS('RES TECH'!N:N,'RES TECH'!M:M,C2200)&gt;0,1,0)</f>
        <v>1</v>
      </c>
      <c r="H2200" s="4">
        <f t="shared" si="34"/>
        <v>0</v>
      </c>
    </row>
    <row r="2201" spans="3:8" x14ac:dyDescent="0.25">
      <c r="C2201" t="str">
        <f>'RES TECH'!M2200</f>
        <v>RESAPAUMNewSHRAD1FOI20</v>
      </c>
      <c r="G2201" s="4">
        <f>IF(SUMIFS('RES TECH'!N:N,'RES TECH'!M:M,C2201)&gt;0,1,0)</f>
        <v>1</v>
      </c>
      <c r="H2201" s="4">
        <f t="shared" si="34"/>
        <v>0</v>
      </c>
    </row>
    <row r="2202" spans="3:8" x14ac:dyDescent="0.25">
      <c r="C2202" t="str">
        <f>'RES TECH'!M2201</f>
        <v>RESAPAUMNewSHRAD1FOI22</v>
      </c>
      <c r="G2202" s="4">
        <f>IF(SUMIFS('RES TECH'!N:N,'RES TECH'!M:M,C2202)&gt;0,1,0)</f>
        <v>1</v>
      </c>
      <c r="H2202" s="4">
        <f t="shared" si="34"/>
        <v>0</v>
      </c>
    </row>
    <row r="2203" spans="3:8" x14ac:dyDescent="0.25">
      <c r="C2203" t="str">
        <f>'RES TECH'!M2202</f>
        <v>RESAPAUMNewSHRAD2FOI20</v>
      </c>
      <c r="G2203" s="4">
        <f>IF(SUMIFS('RES TECH'!N:N,'RES TECH'!M:M,C2203)&gt;0,1,0)</f>
        <v>1</v>
      </c>
      <c r="H2203" s="4">
        <f t="shared" si="34"/>
        <v>0</v>
      </c>
    </row>
    <row r="2204" spans="3:8" x14ac:dyDescent="0.25">
      <c r="C2204" t="str">
        <f>'RES TECH'!M2203</f>
        <v>RESAPAUMNewSHRAD2FOI22</v>
      </c>
      <c r="G2204" s="4">
        <f>IF(SUMIFS('RES TECH'!N:N,'RES TECH'!M:M,C2204)&gt;0,1,0)</f>
        <v>1</v>
      </c>
      <c r="H2204" s="4">
        <f t="shared" si="34"/>
        <v>0</v>
      </c>
    </row>
    <row r="2205" spans="3:8" x14ac:dyDescent="0.25">
      <c r="C2205" t="str">
        <f>'RES TECH'!M2204</f>
        <v>RESAPAUMNewSHRAD3FOI20</v>
      </c>
      <c r="G2205" s="4">
        <f>IF(SUMIFS('RES TECH'!N:N,'RES TECH'!M:M,C2205)&gt;0,1,0)</f>
        <v>1</v>
      </c>
      <c r="H2205" s="4">
        <f t="shared" si="34"/>
        <v>0</v>
      </c>
    </row>
    <row r="2206" spans="3:8" x14ac:dyDescent="0.25">
      <c r="C2206" t="str">
        <f>'RES TECH'!M2205</f>
        <v>RESAPAUMNewSHRAD4FOI20</v>
      </c>
      <c r="G2206" s="4">
        <f>IF(SUMIFS('RES TECH'!N:N,'RES TECH'!M:M,C2206)&gt;0,1,0)</f>
        <v>1</v>
      </c>
      <c r="H2206" s="4">
        <f t="shared" si="34"/>
        <v>0</v>
      </c>
    </row>
    <row r="2207" spans="3:8" x14ac:dyDescent="0.25">
      <c r="C2207" t="str">
        <f>'RES TECH'!M2206</f>
        <v>RESAPAUMNewSCAHP2NGA20</v>
      </c>
      <c r="G2207" s="4">
        <f>IF(SUMIFS('RES TECH'!N:N,'RES TECH'!M:M,C2207)&gt;0,1,0)</f>
        <v>1</v>
      </c>
      <c r="H2207" s="4">
        <f t="shared" si="34"/>
        <v>0</v>
      </c>
    </row>
    <row r="2208" spans="3:8" x14ac:dyDescent="0.25">
      <c r="C2208" t="str">
        <f>'RES TECH'!M2207</f>
        <v>RESAPAUMNewSCAHP2NGA20</v>
      </c>
      <c r="G2208" s="4">
        <f>IF(SUMIFS('RES TECH'!N:N,'RES TECH'!M:M,C2208)&gt;0,1,0)</f>
        <v>1</v>
      </c>
      <c r="H2208" s="4">
        <f t="shared" si="34"/>
        <v>0</v>
      </c>
    </row>
    <row r="2209" spans="3:8" x14ac:dyDescent="0.25">
      <c r="C2209" t="str">
        <f>'RES TECH'!M2208</f>
        <v>RESAPAUMNewSCAHP1ELC20</v>
      </c>
      <c r="G2209" s="4">
        <f>IF(SUMIFS('RES TECH'!N:N,'RES TECH'!M:M,C2209)&gt;0,1,0)</f>
        <v>1</v>
      </c>
      <c r="H2209" s="4">
        <f t="shared" si="34"/>
        <v>0</v>
      </c>
    </row>
    <row r="2210" spans="3:8" x14ac:dyDescent="0.25">
      <c r="C2210" t="str">
        <f>'RES TECH'!M2209</f>
        <v>RESAPAUMNewSCAHP1ELC23</v>
      </c>
      <c r="G2210" s="4">
        <f>IF(SUMIFS('RES TECH'!N:N,'RES TECH'!M:M,C2210)&gt;0,1,0)</f>
        <v>1</v>
      </c>
      <c r="H2210" s="4">
        <f t="shared" si="34"/>
        <v>0</v>
      </c>
    </row>
    <row r="2211" spans="3:8" x14ac:dyDescent="0.25">
      <c r="C2211" t="str">
        <f>'RES TECH'!M2210</f>
        <v>RESAPAUMNewSCAHP2ELC20</v>
      </c>
      <c r="G2211" s="4">
        <f>IF(SUMIFS('RES TECH'!N:N,'RES TECH'!M:M,C2211)&gt;0,1,0)</f>
        <v>1</v>
      </c>
      <c r="H2211" s="4">
        <f t="shared" si="34"/>
        <v>0</v>
      </c>
    </row>
    <row r="2212" spans="3:8" x14ac:dyDescent="0.25">
      <c r="C2212" t="str">
        <f>'RES TECH'!M2211</f>
        <v>RESAPAUMNewSCAHP2ELC23</v>
      </c>
      <c r="G2212" s="4">
        <f>IF(SUMIFS('RES TECH'!N:N,'RES TECH'!M:M,C2212)&gt;0,1,0)</f>
        <v>1</v>
      </c>
      <c r="H2212" s="4">
        <f t="shared" si="34"/>
        <v>0</v>
      </c>
    </row>
    <row r="2213" spans="3:8" x14ac:dyDescent="0.25">
      <c r="C2213" t="str">
        <f>'RES TECH'!M2212</f>
        <v>RESAPAUMNewSCAHP3ELC20</v>
      </c>
      <c r="G2213" s="4">
        <f>IF(SUMIFS('RES TECH'!N:N,'RES TECH'!M:M,C2213)&gt;0,1,0)</f>
        <v>1</v>
      </c>
      <c r="H2213" s="4">
        <f t="shared" si="34"/>
        <v>0</v>
      </c>
    </row>
    <row r="2214" spans="3:8" x14ac:dyDescent="0.25">
      <c r="C2214" t="str">
        <f>'RES TECH'!M2213</f>
        <v>RESAPAUMNewSCAHP3ELC22</v>
      </c>
      <c r="G2214" s="4">
        <f>IF(SUMIFS('RES TECH'!N:N,'RES TECH'!M:M,C2214)&gt;0,1,0)</f>
        <v>1</v>
      </c>
      <c r="H2214" s="4">
        <f t="shared" si="34"/>
        <v>0</v>
      </c>
    </row>
    <row r="2215" spans="3:8" x14ac:dyDescent="0.25">
      <c r="C2215" t="str">
        <f>'RES TECH'!M2214</f>
        <v>RESAPAUMNewSCAHP3ELC23</v>
      </c>
      <c r="G2215" s="4">
        <f>IF(SUMIFS('RES TECH'!N:N,'RES TECH'!M:M,C2215)&gt;0,1,0)</f>
        <v>1</v>
      </c>
      <c r="H2215" s="4">
        <f t="shared" si="34"/>
        <v>0</v>
      </c>
    </row>
    <row r="2216" spans="3:8" x14ac:dyDescent="0.25">
      <c r="C2216" t="str">
        <f>'RES TECH'!M2215</f>
        <v>RESAPAUMNewSCAHP4ELC20</v>
      </c>
      <c r="G2216" s="4">
        <f>IF(SUMIFS('RES TECH'!N:N,'RES TECH'!M:M,C2216)&gt;0,1,0)</f>
        <v>1</v>
      </c>
      <c r="H2216" s="4">
        <f t="shared" si="34"/>
        <v>0</v>
      </c>
    </row>
    <row r="2217" spans="3:8" x14ac:dyDescent="0.25">
      <c r="C2217" t="str">
        <f>'RES TECH'!M2216</f>
        <v>RESAPAUMNewSCAHP4ELC22</v>
      </c>
      <c r="G2217" s="4">
        <f>IF(SUMIFS('RES TECH'!N:N,'RES TECH'!M:M,C2217)&gt;0,1,0)</f>
        <v>1</v>
      </c>
      <c r="H2217" s="4">
        <f t="shared" si="34"/>
        <v>0</v>
      </c>
    </row>
    <row r="2218" spans="3:8" x14ac:dyDescent="0.25">
      <c r="C2218" t="str">
        <f>'RES TECH'!M2217</f>
        <v>RESAPAUMNewSCGHP1ELC20</v>
      </c>
      <c r="G2218" s="4">
        <f>IF(SUMIFS('RES TECH'!N:N,'RES TECH'!M:M,C2218)&gt;0,1,0)</f>
        <v>1</v>
      </c>
      <c r="H2218" s="4">
        <f t="shared" si="34"/>
        <v>0</v>
      </c>
    </row>
    <row r="2219" spans="3:8" x14ac:dyDescent="0.25">
      <c r="C2219" t="str">
        <f>'RES TECH'!M2218</f>
        <v>RESAPAUMNewSCGHP2ELC20</v>
      </c>
      <c r="G2219" s="4">
        <f>IF(SUMIFS('RES TECH'!N:N,'RES TECH'!M:M,C2219)&gt;0,1,0)</f>
        <v>1</v>
      </c>
      <c r="H2219" s="4">
        <f t="shared" si="34"/>
        <v>0</v>
      </c>
    </row>
    <row r="2220" spans="3:8" x14ac:dyDescent="0.25">
      <c r="C2220" t="str">
        <f>'RES TECH'!M2219</f>
        <v>RESAPAUMNewSCGHP3ELC20</v>
      </c>
      <c r="G2220" s="4">
        <f>IF(SUMIFS('RES TECH'!N:N,'RES TECH'!M:M,C2220)&gt;0,1,0)</f>
        <v>1</v>
      </c>
      <c r="H2220" s="4">
        <f t="shared" si="34"/>
        <v>0</v>
      </c>
    </row>
    <row r="2221" spans="3:8" x14ac:dyDescent="0.25">
      <c r="C2221" t="str">
        <f>'RES TECH'!M2220</f>
        <v>RESAPAUMNewSCGHP3ELC20</v>
      </c>
      <c r="G2221" s="4">
        <f>IF(SUMIFS('RES TECH'!N:N,'RES TECH'!M:M,C2221)&gt;0,1,0)</f>
        <v>1</v>
      </c>
      <c r="H2221" s="4">
        <f t="shared" si="34"/>
        <v>0</v>
      </c>
    </row>
    <row r="2222" spans="3:8" x14ac:dyDescent="0.25">
      <c r="C2222" t="str">
        <f>'RES TECH'!M2221</f>
        <v>RESAPAUMNewSCGHP3ELC22</v>
      </c>
      <c r="G2222" s="4">
        <f>IF(SUMIFS('RES TECH'!N:N,'RES TECH'!M:M,C2222)&gt;0,1,0)</f>
        <v>1</v>
      </c>
      <c r="H2222" s="4">
        <f t="shared" si="34"/>
        <v>0</v>
      </c>
    </row>
    <row r="2223" spans="3:8" x14ac:dyDescent="0.25">
      <c r="C2223" t="str">
        <f>'RES TECH'!M2222</f>
        <v>RESAPAUMNewSCGHP3ELC23</v>
      </c>
      <c r="G2223" s="4">
        <f>IF(SUMIFS('RES TECH'!N:N,'RES TECH'!M:M,C2223)&gt;0,1,0)</f>
        <v>1</v>
      </c>
      <c r="H2223" s="4">
        <f t="shared" si="34"/>
        <v>0</v>
      </c>
    </row>
    <row r="2224" spans="3:8" x14ac:dyDescent="0.25">
      <c r="C2224" t="str">
        <f>'RES TECH'!M2223</f>
        <v>RESAPAUMNewSCGHP3ELC24</v>
      </c>
      <c r="G2224" s="4">
        <f>IF(SUMIFS('RES TECH'!N:N,'RES TECH'!M:M,C2224)&gt;0,1,0)</f>
        <v>1</v>
      </c>
      <c r="H2224" s="4">
        <f t="shared" si="34"/>
        <v>0</v>
      </c>
    </row>
    <row r="2225" spans="3:8" x14ac:dyDescent="0.25">
      <c r="C2225" t="str">
        <f>'RES TECH'!M2224</f>
        <v>RESAPAUMNewSCGHP4ELC20</v>
      </c>
      <c r="G2225" s="4">
        <f>IF(SUMIFS('RES TECH'!N:N,'RES TECH'!M:M,C2225)&gt;0,1,0)</f>
        <v>1</v>
      </c>
      <c r="H2225" s="4">
        <f t="shared" si="34"/>
        <v>0</v>
      </c>
    </row>
    <row r="2226" spans="3:8" x14ac:dyDescent="0.25">
      <c r="C2226" t="str">
        <f>'RES TECH'!M2225</f>
        <v>RESAPAUMNewSCGHP4ELC20</v>
      </c>
      <c r="G2226" s="4">
        <f>IF(SUMIFS('RES TECH'!N:N,'RES TECH'!M:M,C2226)&gt;0,1,0)</f>
        <v>1</v>
      </c>
      <c r="H2226" s="4">
        <f t="shared" si="34"/>
        <v>0</v>
      </c>
    </row>
    <row r="2227" spans="3:8" x14ac:dyDescent="0.25">
      <c r="C2227" t="str">
        <f>'RES TECH'!M2226</f>
        <v>RESAPAUMNewSCGHP4ELC22</v>
      </c>
      <c r="G2227" s="4">
        <f>IF(SUMIFS('RES TECH'!N:N,'RES TECH'!M:M,C2227)&gt;0,1,0)</f>
        <v>1</v>
      </c>
      <c r="H2227" s="4">
        <f t="shared" si="34"/>
        <v>0</v>
      </c>
    </row>
    <row r="2228" spans="3:8" x14ac:dyDescent="0.25">
      <c r="C2228" t="str">
        <f>'RES TECH'!M2227</f>
        <v>RESAPAUMNewSCGHP4ELC23</v>
      </c>
      <c r="G2228" s="4">
        <f>IF(SUMIFS('RES TECH'!N:N,'RES TECH'!M:M,C2228)&gt;0,1,0)</f>
        <v>1</v>
      </c>
      <c r="H2228" s="4">
        <f t="shared" si="34"/>
        <v>0</v>
      </c>
    </row>
    <row r="2229" spans="3:8" x14ac:dyDescent="0.25">
      <c r="C2229" t="str">
        <f>'RES TECH'!M2228</f>
        <v>RESAPAUMNewSCGHP4ELC24</v>
      </c>
      <c r="G2229" s="4">
        <f>IF(SUMIFS('RES TECH'!N:N,'RES TECH'!M:M,C2229)&gt;0,1,0)</f>
        <v>1</v>
      </c>
      <c r="H2229" s="4">
        <f t="shared" si="34"/>
        <v>0</v>
      </c>
    </row>
    <row r="2230" spans="3:8" x14ac:dyDescent="0.25">
      <c r="C2230" t="str">
        <f>'RES TECH'!M2229</f>
        <v>RESAPAUMNewSCRAC1ELC20</v>
      </c>
      <c r="G2230" s="4">
        <f>IF(SUMIFS('RES TECH'!N:N,'RES TECH'!M:M,C2230)&gt;0,1,0)</f>
        <v>1</v>
      </c>
      <c r="H2230" s="4">
        <f t="shared" si="34"/>
        <v>0</v>
      </c>
    </row>
    <row r="2231" spans="3:8" x14ac:dyDescent="0.25">
      <c r="C2231" t="str">
        <f>'RES TECH'!M2230</f>
        <v>RESAPAUMNewSCRAC2ELC20</v>
      </c>
      <c r="G2231" s="4">
        <f>IF(SUMIFS('RES TECH'!N:N,'RES TECH'!M:M,C2231)&gt;0,1,0)</f>
        <v>1</v>
      </c>
      <c r="H2231" s="4">
        <f t="shared" si="34"/>
        <v>0</v>
      </c>
    </row>
    <row r="2232" spans="3:8" x14ac:dyDescent="0.25">
      <c r="C2232" t="str">
        <f>'RES TECH'!M2231</f>
        <v>RESAPAUMNewSCRAC2ELC30</v>
      </c>
      <c r="G2232" s="4">
        <f>IF(SUMIFS('RES TECH'!N:N,'RES TECH'!M:M,C2232)&gt;0,1,0)</f>
        <v>1</v>
      </c>
      <c r="H2232" s="4">
        <f t="shared" si="34"/>
        <v>0</v>
      </c>
    </row>
    <row r="2233" spans="3:8" x14ac:dyDescent="0.25">
      <c r="C2233" t="str">
        <f>'RES TECH'!M2232</f>
        <v>RESAPAUMNewSCRAC2ELC40</v>
      </c>
      <c r="G2233" s="4">
        <f>IF(SUMIFS('RES TECH'!N:N,'RES TECH'!M:M,C2233)&gt;0,1,0)</f>
        <v>1</v>
      </c>
      <c r="H2233" s="4">
        <f t="shared" si="34"/>
        <v>0</v>
      </c>
    </row>
    <row r="2234" spans="3:8" x14ac:dyDescent="0.25">
      <c r="C2234" t="str">
        <f>'RES TECH'!M2233</f>
        <v>RESAPAUMNewSCRAC3ELC20</v>
      </c>
      <c r="G2234" s="4">
        <f>IF(SUMIFS('RES TECH'!N:N,'RES TECH'!M:M,C2234)&gt;0,1,0)</f>
        <v>1</v>
      </c>
      <c r="H2234" s="4">
        <f t="shared" si="34"/>
        <v>0</v>
      </c>
    </row>
    <row r="2235" spans="3:8" x14ac:dyDescent="0.25">
      <c r="C2235" t="str">
        <f>'RES TECH'!M2234</f>
        <v>RESAPAUMNewSCRAC4ELC20</v>
      </c>
      <c r="G2235" s="4">
        <f>IF(SUMIFS('RES TECH'!N:N,'RES TECH'!M:M,C2235)&gt;0,1,0)</f>
        <v>1</v>
      </c>
      <c r="H2235" s="4">
        <f t="shared" si="34"/>
        <v>0</v>
      </c>
    </row>
    <row r="2236" spans="3:8" x14ac:dyDescent="0.25">
      <c r="C2236" t="str">
        <f>'RES TECH'!M2235</f>
        <v>RESAPAUMNewSCRAC4ELC22</v>
      </c>
      <c r="G2236" s="4">
        <f>IF(SUMIFS('RES TECH'!N:N,'RES TECH'!M:M,C2236)&gt;0,1,0)</f>
        <v>1</v>
      </c>
      <c r="H2236" s="4">
        <f t="shared" si="34"/>
        <v>0</v>
      </c>
    </row>
    <row r="2237" spans="3:8" x14ac:dyDescent="0.25">
      <c r="C2237" t="str">
        <f>'RES TECH'!M2236</f>
        <v>RESAPAUMNewSCRAC4ELC30</v>
      </c>
      <c r="G2237" s="4">
        <f>IF(SUMIFS('RES TECH'!N:N,'RES TECH'!M:M,C2237)&gt;0,1,0)</f>
        <v>1</v>
      </c>
      <c r="H2237" s="4">
        <f t="shared" si="34"/>
        <v>0</v>
      </c>
    </row>
    <row r="2238" spans="3:8" x14ac:dyDescent="0.25">
      <c r="C2238" t="str">
        <f>'RES TECH'!M2237</f>
        <v>RESAPAUMNewSCRAC4ELC40</v>
      </c>
      <c r="G2238" s="4">
        <f>IF(SUMIFS('RES TECH'!N:N,'RES TECH'!M:M,C2238)&gt;0,1,0)</f>
        <v>1</v>
      </c>
      <c r="H2238" s="4">
        <f t="shared" si="34"/>
        <v>0</v>
      </c>
    </row>
    <row r="2239" spans="3:8" x14ac:dyDescent="0.25">
      <c r="C2239" t="str">
        <f>'RES TECH'!M2238</f>
        <v>RESAPAUMNewSCCAC1ELC20</v>
      </c>
      <c r="G2239" s="4">
        <f>IF(SUMIFS('RES TECH'!N:N,'RES TECH'!M:M,C2239)&gt;0,1,0)</f>
        <v>1</v>
      </c>
      <c r="H2239" s="4">
        <f t="shared" si="34"/>
        <v>0</v>
      </c>
    </row>
    <row r="2240" spans="3:8" x14ac:dyDescent="0.25">
      <c r="C2240" t="str">
        <f>'RES TECH'!M2239</f>
        <v>RESAPAUMNewSCCAC1ELC23</v>
      </c>
      <c r="G2240" s="4">
        <f>IF(SUMIFS('RES TECH'!N:N,'RES TECH'!M:M,C2240)&gt;0,1,0)</f>
        <v>1</v>
      </c>
      <c r="H2240" s="4">
        <f t="shared" si="34"/>
        <v>0</v>
      </c>
    </row>
    <row r="2241" spans="3:8" x14ac:dyDescent="0.25">
      <c r="C2241" t="str">
        <f>'RES TECH'!M2240</f>
        <v>RESAPAUMNewSCCAC2ELC20</v>
      </c>
      <c r="G2241" s="4">
        <f>IF(SUMIFS('RES TECH'!N:N,'RES TECH'!M:M,C2241)&gt;0,1,0)</f>
        <v>1</v>
      </c>
      <c r="H2241" s="4">
        <f t="shared" si="34"/>
        <v>0</v>
      </c>
    </row>
    <row r="2242" spans="3:8" x14ac:dyDescent="0.25">
      <c r="C2242" t="str">
        <f>'RES TECH'!M2241</f>
        <v>RESAPAUMNewSCCAC2ELC23</v>
      </c>
      <c r="G2242" s="4">
        <f>IF(SUMIFS('RES TECH'!N:N,'RES TECH'!M:M,C2242)&gt;0,1,0)</f>
        <v>1</v>
      </c>
      <c r="H2242" s="4">
        <f t="shared" si="34"/>
        <v>0</v>
      </c>
    </row>
    <row r="2243" spans="3:8" x14ac:dyDescent="0.25">
      <c r="C2243" t="str">
        <f>'RES TECH'!M2242</f>
        <v>RESAPAUMNewSCCAC3ELC20</v>
      </c>
      <c r="G2243" s="4">
        <f>IF(SUMIFS('RES TECH'!N:N,'RES TECH'!M:M,C2243)&gt;0,1,0)</f>
        <v>1</v>
      </c>
      <c r="H2243" s="4">
        <f t="shared" si="34"/>
        <v>0</v>
      </c>
    </row>
    <row r="2244" spans="3:8" x14ac:dyDescent="0.25">
      <c r="C2244" t="str">
        <f>'RES TECH'!M2243</f>
        <v>RESAPAUMNewSCCAC3ELC23</v>
      </c>
      <c r="G2244" s="4">
        <f>IF(SUMIFS('RES TECH'!N:N,'RES TECH'!M:M,C2244)&gt;0,1,0)</f>
        <v>1</v>
      </c>
      <c r="H2244" s="4">
        <f t="shared" si="34"/>
        <v>0</v>
      </c>
    </row>
    <row r="2245" spans="3:8" x14ac:dyDescent="0.25">
      <c r="C2245" t="str">
        <f>'RES TECH'!M2244</f>
        <v>RESAPAUMNewSCCAC4ELC20</v>
      </c>
      <c r="G2245" s="4">
        <f>IF(SUMIFS('RES TECH'!N:N,'RES TECH'!M:M,C2245)&gt;0,1,0)</f>
        <v>1</v>
      </c>
      <c r="H2245" s="4">
        <f t="shared" ref="H2245:H2308" si="35">IF(C2245="","",IF(C2245="*","*",0))</f>
        <v>0</v>
      </c>
    </row>
    <row r="2246" spans="3:8" x14ac:dyDescent="0.25">
      <c r="C2246" t="str">
        <f>'RES TECH'!M2245</f>
        <v>RESAPAUMNewSCCAC4ELC22</v>
      </c>
      <c r="G2246" s="4">
        <f>IF(SUMIFS('RES TECH'!N:N,'RES TECH'!M:M,C2246)&gt;0,1,0)</f>
        <v>1</v>
      </c>
      <c r="H2246" s="4">
        <f t="shared" si="35"/>
        <v>0</v>
      </c>
    </row>
    <row r="2247" spans="3:8" x14ac:dyDescent="0.25">
      <c r="C2247" t="str">
        <f>'RES TECH'!M2246</f>
        <v>RESAPAUMNewRETF1ELC20</v>
      </c>
      <c r="G2247" s="4">
        <f>IF(SUMIFS('RES TECH'!N:N,'RES TECH'!M:M,C2247)&gt;0,1,0)</f>
        <v>1</v>
      </c>
      <c r="H2247" s="4">
        <f t="shared" si="35"/>
        <v>0</v>
      </c>
    </row>
    <row r="2248" spans="3:8" x14ac:dyDescent="0.25">
      <c r="C2248" t="str">
        <f>'RES TECH'!M2247</f>
        <v>RESAPAUMNewRETF2ELC20</v>
      </c>
      <c r="G2248" s="4">
        <f>IF(SUMIFS('RES TECH'!N:N,'RES TECH'!M:M,C2248)&gt;0,1,0)</f>
        <v>1</v>
      </c>
      <c r="H2248" s="4">
        <f t="shared" si="35"/>
        <v>0</v>
      </c>
    </row>
    <row r="2249" spans="3:8" x14ac:dyDescent="0.25">
      <c r="C2249" t="str">
        <f>'RES TECH'!M2248</f>
        <v>RESAPAUMNewRETF3ELC20</v>
      </c>
      <c r="G2249" s="4">
        <f>IF(SUMIFS('RES TECH'!N:N,'RES TECH'!M:M,C2249)&gt;0,1,0)</f>
        <v>1</v>
      </c>
      <c r="H2249" s="4">
        <f t="shared" si="35"/>
        <v>0</v>
      </c>
    </row>
    <row r="2250" spans="3:8" x14ac:dyDescent="0.25">
      <c r="C2250" t="str">
        <f>'RES TECH'!M2249</f>
        <v>RESAPAUMNewRETF4ELC20</v>
      </c>
      <c r="G2250" s="4">
        <f>IF(SUMIFS('RES TECH'!N:N,'RES TECH'!M:M,C2250)&gt;0,1,0)</f>
        <v>1</v>
      </c>
      <c r="H2250" s="4">
        <f t="shared" si="35"/>
        <v>0</v>
      </c>
    </row>
    <row r="2251" spans="3:8" x14ac:dyDescent="0.25">
      <c r="C2251" t="str">
        <f>'RES TECH'!M2250</f>
        <v>RESAPAUMNewRESF1ELC20</v>
      </c>
      <c r="G2251" s="4">
        <f>IF(SUMIFS('RES TECH'!N:N,'RES TECH'!M:M,C2251)&gt;0,1,0)</f>
        <v>1</v>
      </c>
      <c r="H2251" s="4">
        <f t="shared" si="35"/>
        <v>0</v>
      </c>
    </row>
    <row r="2252" spans="3:8" x14ac:dyDescent="0.25">
      <c r="C2252" t="str">
        <f>'RES TECH'!M2251</f>
        <v>RESAPAUMNewRESF2ELC20</v>
      </c>
      <c r="G2252" s="4">
        <f>IF(SUMIFS('RES TECH'!N:N,'RES TECH'!M:M,C2252)&gt;0,1,0)</f>
        <v>1</v>
      </c>
      <c r="H2252" s="4">
        <f t="shared" si="35"/>
        <v>0</v>
      </c>
    </row>
    <row r="2253" spans="3:8" x14ac:dyDescent="0.25">
      <c r="C2253" t="str">
        <f>'RES TECH'!M2252</f>
        <v>RESAPAUMNewRESF3ELC20</v>
      </c>
      <c r="G2253" s="4">
        <f>IF(SUMIFS('RES TECH'!N:N,'RES TECH'!M:M,C2253)&gt;0,1,0)</f>
        <v>1</v>
      </c>
      <c r="H2253" s="4">
        <f t="shared" si="35"/>
        <v>0</v>
      </c>
    </row>
    <row r="2254" spans="3:8" x14ac:dyDescent="0.25">
      <c r="C2254" t="str">
        <f>'RES TECH'!M2253</f>
        <v>RESAPAUMNewRESF4ELC20</v>
      </c>
      <c r="G2254" s="4">
        <f>IF(SUMIFS('RES TECH'!N:N,'RES TECH'!M:M,C2254)&gt;0,1,0)</f>
        <v>1</v>
      </c>
      <c r="H2254" s="4">
        <f t="shared" si="35"/>
        <v>0</v>
      </c>
    </row>
    <row r="2255" spans="3:8" x14ac:dyDescent="0.25">
      <c r="C2255" t="str">
        <f>'RES TECH'!M2254</f>
        <v>RESAPAUMNewREBF1ELC20</v>
      </c>
      <c r="G2255" s="4">
        <f>IF(SUMIFS('RES TECH'!N:N,'RES TECH'!M:M,C2255)&gt;0,1,0)</f>
        <v>1</v>
      </c>
      <c r="H2255" s="4">
        <f t="shared" si="35"/>
        <v>0</v>
      </c>
    </row>
    <row r="2256" spans="3:8" x14ac:dyDescent="0.25">
      <c r="C2256" t="str">
        <f>'RES TECH'!M2255</f>
        <v>RESAPAUMNewREBF2ELC20</v>
      </c>
      <c r="G2256" s="4">
        <f>IF(SUMIFS('RES TECH'!N:N,'RES TECH'!M:M,C2256)&gt;0,1,0)</f>
        <v>1</v>
      </c>
      <c r="H2256" s="4">
        <f t="shared" si="35"/>
        <v>0</v>
      </c>
    </row>
    <row r="2257" spans="3:8" x14ac:dyDescent="0.25">
      <c r="C2257" t="str">
        <f>'RES TECH'!M2256</f>
        <v>RESAPAUMNewREBF3ELC20</v>
      </c>
      <c r="G2257" s="4">
        <f>IF(SUMIFS('RES TECH'!N:N,'RES TECH'!M:M,C2257)&gt;0,1,0)</f>
        <v>1</v>
      </c>
      <c r="H2257" s="4">
        <f t="shared" si="35"/>
        <v>0</v>
      </c>
    </row>
    <row r="2258" spans="3:8" x14ac:dyDescent="0.25">
      <c r="C2258" t="str">
        <f>'RES TECH'!M2257</f>
        <v>RESAPAUMNewREBF4ELC20</v>
      </c>
      <c r="G2258" s="4">
        <f>IF(SUMIFS('RES TECH'!N:N,'RES TECH'!M:M,C2258)&gt;0,1,0)</f>
        <v>1</v>
      </c>
      <c r="H2258" s="4">
        <f t="shared" si="35"/>
        <v>0</v>
      </c>
    </row>
    <row r="2259" spans="3:8" x14ac:dyDescent="0.25">
      <c r="C2259" t="str">
        <f>'RES TECH'!M2258</f>
        <v>RESAPAUMNewFRC1ELC20</v>
      </c>
      <c r="G2259" s="4">
        <f>IF(SUMIFS('RES TECH'!N:N,'RES TECH'!M:M,C2259)&gt;0,1,0)</f>
        <v>1</v>
      </c>
      <c r="H2259" s="4">
        <f t="shared" si="35"/>
        <v>0</v>
      </c>
    </row>
    <row r="2260" spans="3:8" x14ac:dyDescent="0.25">
      <c r="C2260" t="str">
        <f>'RES TECH'!M2259</f>
        <v>RESAPAUMNewFRC2ELC20</v>
      </c>
      <c r="G2260" s="4">
        <f>IF(SUMIFS('RES TECH'!N:N,'RES TECH'!M:M,C2260)&gt;0,1,0)</f>
        <v>1</v>
      </c>
      <c r="H2260" s="4">
        <f t="shared" si="35"/>
        <v>0</v>
      </c>
    </row>
    <row r="2261" spans="3:8" x14ac:dyDescent="0.25">
      <c r="C2261" t="str">
        <f>'RES TECH'!M2260</f>
        <v>RESAPAUMNewFRC3ELC20</v>
      </c>
      <c r="G2261" s="4">
        <f>IF(SUMIFS('RES TECH'!N:N,'RES TECH'!M:M,C2261)&gt;0,1,0)</f>
        <v>1</v>
      </c>
      <c r="H2261" s="4">
        <f t="shared" si="35"/>
        <v>0</v>
      </c>
    </row>
    <row r="2262" spans="3:8" x14ac:dyDescent="0.25">
      <c r="C2262" t="str">
        <f>'RES TECH'!M2261</f>
        <v>RESAPAUMNewFRC4ELC20</v>
      </c>
      <c r="G2262" s="4">
        <f>IF(SUMIFS('RES TECH'!N:N,'RES TECH'!M:M,C2262)&gt;0,1,0)</f>
        <v>1</v>
      </c>
      <c r="H2262" s="4">
        <f t="shared" si="35"/>
        <v>0</v>
      </c>
    </row>
    <row r="2263" spans="3:8" x14ac:dyDescent="0.25">
      <c r="C2263" t="str">
        <f>'RES TECH'!M2262</f>
        <v>RESAPAUMNewFRU1ELC20</v>
      </c>
      <c r="G2263" s="4">
        <f>IF(SUMIFS('RES TECH'!N:N,'RES TECH'!M:M,C2263)&gt;0,1,0)</f>
        <v>1</v>
      </c>
      <c r="H2263" s="4">
        <f t="shared" si="35"/>
        <v>0</v>
      </c>
    </row>
    <row r="2264" spans="3:8" x14ac:dyDescent="0.25">
      <c r="C2264" t="str">
        <f>'RES TECH'!M2263</f>
        <v>RESAPAUMNewFRU2ELC20</v>
      </c>
      <c r="G2264" s="4">
        <f>IF(SUMIFS('RES TECH'!N:N,'RES TECH'!M:M,C2264)&gt;0,1,0)</f>
        <v>1</v>
      </c>
      <c r="H2264" s="4">
        <f t="shared" si="35"/>
        <v>0</v>
      </c>
    </row>
    <row r="2265" spans="3:8" x14ac:dyDescent="0.25">
      <c r="C2265" t="str">
        <f>'RES TECH'!M2264</f>
        <v>RESAPAUMNewFRU3ELC20</v>
      </c>
      <c r="G2265" s="4">
        <f>IF(SUMIFS('RES TECH'!N:N,'RES TECH'!M:M,C2265)&gt;0,1,0)</f>
        <v>1</v>
      </c>
      <c r="H2265" s="4">
        <f t="shared" si="35"/>
        <v>0</v>
      </c>
    </row>
    <row r="2266" spans="3:8" x14ac:dyDescent="0.25">
      <c r="C2266" t="str">
        <f>'RES TECH'!M2265</f>
        <v>RESAPAUMNewFRU4ELC20</v>
      </c>
      <c r="G2266" s="4">
        <f>IF(SUMIFS('RES TECH'!N:N,'RES TECH'!M:M,C2266)&gt;0,1,0)</f>
        <v>1</v>
      </c>
      <c r="H2266" s="4">
        <f t="shared" si="35"/>
        <v>0</v>
      </c>
    </row>
    <row r="2267" spans="3:8" x14ac:dyDescent="0.25">
      <c r="C2267" t="str">
        <f>'RES TECH'!M2266</f>
        <v>RESAPAUMNewCK2NGA20</v>
      </c>
      <c r="G2267" s="4">
        <f>IF(SUMIFS('RES TECH'!N:N,'RES TECH'!M:M,C2267)&gt;0,1,0)</f>
        <v>1</v>
      </c>
      <c r="H2267" s="4">
        <f t="shared" si="35"/>
        <v>0</v>
      </c>
    </row>
    <row r="2268" spans="3:8" x14ac:dyDescent="0.25">
      <c r="C2268" t="str">
        <f>'RES TECH'!M2267</f>
        <v>RESAPAUMNewCK4NGA20</v>
      </c>
      <c r="G2268" s="4">
        <f>IF(SUMIFS('RES TECH'!N:N,'RES TECH'!M:M,C2268)&gt;0,1,0)</f>
        <v>1</v>
      </c>
      <c r="H2268" s="4">
        <f t="shared" si="35"/>
        <v>0</v>
      </c>
    </row>
    <row r="2269" spans="3:8" x14ac:dyDescent="0.25">
      <c r="C2269" t="str">
        <f>'RES TECH'!M2268</f>
        <v>RESAPAUMNewCK2LPG20</v>
      </c>
      <c r="G2269" s="4">
        <f>IF(SUMIFS('RES TECH'!N:N,'RES TECH'!M:M,C2269)&gt;0,1,0)</f>
        <v>1</v>
      </c>
      <c r="H2269" s="4">
        <f t="shared" si="35"/>
        <v>0</v>
      </c>
    </row>
    <row r="2270" spans="3:8" x14ac:dyDescent="0.25">
      <c r="C2270" t="str">
        <f>'RES TECH'!M2269</f>
        <v>RESAPAUMNewCK4LPG20</v>
      </c>
      <c r="G2270" s="4">
        <f>IF(SUMIFS('RES TECH'!N:N,'RES TECH'!M:M,C2270)&gt;0,1,0)</f>
        <v>1</v>
      </c>
      <c r="H2270" s="4">
        <f t="shared" si="35"/>
        <v>0</v>
      </c>
    </row>
    <row r="2271" spans="3:8" x14ac:dyDescent="0.25">
      <c r="C2271" t="str">
        <f>'RES TECH'!M2270</f>
        <v>RESAPAUMNewCK2ELC20</v>
      </c>
      <c r="G2271" s="4">
        <f>IF(SUMIFS('RES TECH'!N:N,'RES TECH'!M:M,C2271)&gt;0,1,0)</f>
        <v>1</v>
      </c>
      <c r="H2271" s="4">
        <f t="shared" si="35"/>
        <v>0</v>
      </c>
    </row>
    <row r="2272" spans="3:8" x14ac:dyDescent="0.25">
      <c r="C2272" t="str">
        <f>'RES TECH'!M2271</f>
        <v>RESAPAUMNewCWF4ELC30</v>
      </c>
      <c r="G2272" s="4">
        <f>IF(SUMIFS('RES TECH'!N:N,'RES TECH'!M:M,C2272)&gt;0,1,0)</f>
        <v>1</v>
      </c>
      <c r="H2272" s="4">
        <f t="shared" si="35"/>
        <v>0</v>
      </c>
    </row>
    <row r="2273" spans="3:8" x14ac:dyDescent="0.25">
      <c r="C2273" t="str">
        <f>'RES TECH'!M2272</f>
        <v>RESAPAUMNewCWT1ELC20</v>
      </c>
      <c r="G2273" s="4">
        <f>IF(SUMIFS('RES TECH'!N:N,'RES TECH'!M:M,C2273)&gt;0,1,0)</f>
        <v>1</v>
      </c>
      <c r="H2273" s="4">
        <f t="shared" si="35"/>
        <v>0</v>
      </c>
    </row>
    <row r="2274" spans="3:8" x14ac:dyDescent="0.25">
      <c r="C2274" t="str">
        <f>'RES TECH'!M2273</f>
        <v>RESAPAUMNewCWT2ELC20</v>
      </c>
      <c r="G2274" s="4">
        <f>IF(SUMIFS('RES TECH'!N:N,'RES TECH'!M:M,C2274)&gt;0,1,0)</f>
        <v>1</v>
      </c>
      <c r="H2274" s="4">
        <f t="shared" si="35"/>
        <v>0</v>
      </c>
    </row>
    <row r="2275" spans="3:8" x14ac:dyDescent="0.25">
      <c r="C2275" t="str">
        <f>'RES TECH'!M2274</f>
        <v>RESAPAUMNewCWT2ELC20</v>
      </c>
      <c r="G2275" s="4">
        <f>IF(SUMIFS('RES TECH'!N:N,'RES TECH'!M:M,C2275)&gt;0,1,0)</f>
        <v>1</v>
      </c>
      <c r="H2275" s="4">
        <f t="shared" si="35"/>
        <v>0</v>
      </c>
    </row>
    <row r="2276" spans="3:8" x14ac:dyDescent="0.25">
      <c r="C2276" t="str">
        <f>'RES TECH'!M2275</f>
        <v>RESAPAUMNewCWT3ELC20</v>
      </c>
      <c r="G2276" s="4">
        <f>IF(SUMIFS('RES TECH'!N:N,'RES TECH'!M:M,C2276)&gt;0,1,0)</f>
        <v>1</v>
      </c>
      <c r="H2276" s="4">
        <f t="shared" si="35"/>
        <v>0</v>
      </c>
    </row>
    <row r="2277" spans="3:8" x14ac:dyDescent="0.25">
      <c r="C2277" t="str">
        <f>'RES TECH'!M2276</f>
        <v>RESAPAUMNewCWT4ELC20</v>
      </c>
      <c r="G2277" s="4">
        <f>IF(SUMIFS('RES TECH'!N:N,'RES TECH'!M:M,C2277)&gt;0,1,0)</f>
        <v>1</v>
      </c>
      <c r="H2277" s="4">
        <f t="shared" si="35"/>
        <v>0</v>
      </c>
    </row>
    <row r="2278" spans="3:8" x14ac:dyDescent="0.25">
      <c r="C2278" t="str">
        <f>'RES TECH'!M2277</f>
        <v>RESAPAUMNewCWF1ELC20</v>
      </c>
      <c r="G2278" s="4">
        <f>IF(SUMIFS('RES TECH'!N:N,'RES TECH'!M:M,C2278)&gt;0,1,0)</f>
        <v>1</v>
      </c>
      <c r="H2278" s="4">
        <f t="shared" si="35"/>
        <v>0</v>
      </c>
    </row>
    <row r="2279" spans="3:8" x14ac:dyDescent="0.25">
      <c r="C2279" t="str">
        <f>'RES TECH'!M2278</f>
        <v>RESAPAUMNewCWF2ELC20</v>
      </c>
      <c r="G2279" s="4">
        <f>IF(SUMIFS('RES TECH'!N:N,'RES TECH'!M:M,C2279)&gt;0,1,0)</f>
        <v>1</v>
      </c>
      <c r="H2279" s="4">
        <f t="shared" si="35"/>
        <v>0</v>
      </c>
    </row>
    <row r="2280" spans="3:8" x14ac:dyDescent="0.25">
      <c r="C2280" t="str">
        <f>'RES TECH'!M2279</f>
        <v>RESAPAUMNewCWF2ELC30</v>
      </c>
      <c r="G2280" s="4">
        <f>IF(SUMIFS('RES TECH'!N:N,'RES TECH'!M:M,C2280)&gt;0,1,0)</f>
        <v>1</v>
      </c>
      <c r="H2280" s="4">
        <f t="shared" si="35"/>
        <v>0</v>
      </c>
    </row>
    <row r="2281" spans="3:8" x14ac:dyDescent="0.25">
      <c r="C2281" t="str">
        <f>'RES TECH'!M2280</f>
        <v>RESAPAUMNewCWF3ELC20</v>
      </c>
      <c r="G2281" s="4">
        <f>IF(SUMIFS('RES TECH'!N:N,'RES TECH'!M:M,C2281)&gt;0,1,0)</f>
        <v>1</v>
      </c>
      <c r="H2281" s="4">
        <f t="shared" si="35"/>
        <v>0</v>
      </c>
    </row>
    <row r="2282" spans="3:8" x14ac:dyDescent="0.25">
      <c r="C2282" t="str">
        <f>'RES TECH'!M2281</f>
        <v>RESAPAUMNewCWF4ELC20</v>
      </c>
      <c r="G2282" s="4">
        <f>IF(SUMIFS('RES TECH'!N:N,'RES TECH'!M:M,C2282)&gt;0,1,0)</f>
        <v>1</v>
      </c>
      <c r="H2282" s="4">
        <f t="shared" si="35"/>
        <v>0</v>
      </c>
    </row>
    <row r="2283" spans="3:8" x14ac:dyDescent="0.25">
      <c r="C2283" t="str">
        <f>'RES TECH'!M2282</f>
        <v>RESAPAUMNewCWF4ELC20</v>
      </c>
      <c r="G2283" s="4">
        <f>IF(SUMIFS('RES TECH'!N:N,'RES TECH'!M:M,C2283)&gt;0,1,0)</f>
        <v>1</v>
      </c>
      <c r="H2283" s="4">
        <f t="shared" si="35"/>
        <v>0</v>
      </c>
    </row>
    <row r="2284" spans="3:8" x14ac:dyDescent="0.25">
      <c r="C2284" t="str">
        <f>'RES TECH'!M2283</f>
        <v>RESAPAUMNewCD1NGA20</v>
      </c>
      <c r="G2284" s="4">
        <f>IF(SUMIFS('RES TECH'!N:N,'RES TECH'!M:M,C2284)&gt;0,1,0)</f>
        <v>1</v>
      </c>
      <c r="H2284" s="4">
        <f t="shared" si="35"/>
        <v>0</v>
      </c>
    </row>
    <row r="2285" spans="3:8" x14ac:dyDescent="0.25">
      <c r="C2285" t="str">
        <f>'RES TECH'!M2284</f>
        <v>RESAPAUMNewCD2NGA20</v>
      </c>
      <c r="G2285" s="4">
        <f>IF(SUMIFS('RES TECH'!N:N,'RES TECH'!M:M,C2285)&gt;0,1,0)</f>
        <v>1</v>
      </c>
      <c r="H2285" s="4">
        <f t="shared" si="35"/>
        <v>0</v>
      </c>
    </row>
    <row r="2286" spans="3:8" x14ac:dyDescent="0.25">
      <c r="C2286" t="str">
        <f>'RES TECH'!M2285</f>
        <v>RESAPAUMNewCD3NGA20</v>
      </c>
      <c r="G2286" s="4">
        <f>IF(SUMIFS('RES TECH'!N:N,'RES TECH'!M:M,C2286)&gt;0,1,0)</f>
        <v>1</v>
      </c>
      <c r="H2286" s="4">
        <f t="shared" si="35"/>
        <v>0</v>
      </c>
    </row>
    <row r="2287" spans="3:8" x14ac:dyDescent="0.25">
      <c r="C2287" t="str">
        <f>'RES TECH'!M2286</f>
        <v>RESAPAUMNewCD4NGA20</v>
      </c>
      <c r="G2287" s="4">
        <f>IF(SUMIFS('RES TECH'!N:N,'RES TECH'!M:M,C2287)&gt;0,1,0)</f>
        <v>1</v>
      </c>
      <c r="H2287" s="4">
        <f t="shared" si="35"/>
        <v>0</v>
      </c>
    </row>
    <row r="2288" spans="3:8" x14ac:dyDescent="0.25">
      <c r="C2288" t="str">
        <f>'RES TECH'!M2287</f>
        <v>RESAPAUMNewCD4NGA30</v>
      </c>
      <c r="G2288" s="4">
        <f>IF(SUMIFS('RES TECH'!N:N,'RES TECH'!M:M,C2288)&gt;0,1,0)</f>
        <v>1</v>
      </c>
      <c r="H2288" s="4">
        <f t="shared" si="35"/>
        <v>0</v>
      </c>
    </row>
    <row r="2289" spans="3:8" x14ac:dyDescent="0.25">
      <c r="C2289" t="str">
        <f>'RES TECH'!M2288</f>
        <v>RESAPAUMNewCD1ELC20</v>
      </c>
      <c r="G2289" s="4">
        <f>IF(SUMIFS('RES TECH'!N:N,'RES TECH'!M:M,C2289)&gt;0,1,0)</f>
        <v>1</v>
      </c>
      <c r="H2289" s="4">
        <f t="shared" si="35"/>
        <v>0</v>
      </c>
    </row>
    <row r="2290" spans="3:8" x14ac:dyDescent="0.25">
      <c r="C2290" t="str">
        <f>'RES TECH'!M2289</f>
        <v>RESAPAUMNewCD2ELC20</v>
      </c>
      <c r="G2290" s="4">
        <f>IF(SUMIFS('RES TECH'!N:N,'RES TECH'!M:M,C2290)&gt;0,1,0)</f>
        <v>1</v>
      </c>
      <c r="H2290" s="4">
        <f t="shared" si="35"/>
        <v>0</v>
      </c>
    </row>
    <row r="2291" spans="3:8" x14ac:dyDescent="0.25">
      <c r="C2291" t="str">
        <f>'RES TECH'!M2290</f>
        <v>RESAPAUMNewCD3ELC20</v>
      </c>
      <c r="G2291" s="4">
        <f>IF(SUMIFS('RES TECH'!N:N,'RES TECH'!M:M,C2291)&gt;0,1,0)</f>
        <v>1</v>
      </c>
      <c r="H2291" s="4">
        <f t="shared" si="35"/>
        <v>0</v>
      </c>
    </row>
    <row r="2292" spans="3:8" x14ac:dyDescent="0.25">
      <c r="C2292" t="str">
        <f>'RES TECH'!M2291</f>
        <v>RESAPAUMNewCD4ELC20</v>
      </c>
      <c r="G2292" s="4">
        <f>IF(SUMIFS('RES TECH'!N:N,'RES TECH'!M:M,C2292)&gt;0,1,0)</f>
        <v>1</v>
      </c>
      <c r="H2292" s="4">
        <f t="shared" si="35"/>
        <v>0</v>
      </c>
    </row>
    <row r="2293" spans="3:8" x14ac:dyDescent="0.25">
      <c r="C2293" t="str">
        <f>'RES TECH'!M2292</f>
        <v>RESHOUUMNewWH1NGA20</v>
      </c>
      <c r="G2293" s="4">
        <f>IF(SUMIFS('RES TECH'!N:N,'RES TECH'!M:M,C2293)&gt;0,1,0)</f>
        <v>1</v>
      </c>
      <c r="H2293" s="4">
        <f t="shared" si="35"/>
        <v>0</v>
      </c>
    </row>
    <row r="2294" spans="3:8" x14ac:dyDescent="0.25">
      <c r="C2294" t="str">
        <f>'RES TECH'!M2293</f>
        <v>RESHOUUMNewWH2NGA20</v>
      </c>
      <c r="G2294" s="4">
        <f>IF(SUMIFS('RES TECH'!N:N,'RES TECH'!M:M,C2294)&gt;0,1,0)</f>
        <v>1</v>
      </c>
      <c r="H2294" s="4">
        <f t="shared" si="35"/>
        <v>0</v>
      </c>
    </row>
    <row r="2295" spans="3:8" x14ac:dyDescent="0.25">
      <c r="C2295" t="str">
        <f>'RES TECH'!M2294</f>
        <v>RESHOUUMNewWH3NGA20</v>
      </c>
      <c r="G2295" s="4">
        <f>IF(SUMIFS('RES TECH'!N:N,'RES TECH'!M:M,C2295)&gt;0,1,0)</f>
        <v>1</v>
      </c>
      <c r="H2295" s="4">
        <f t="shared" si="35"/>
        <v>0</v>
      </c>
    </row>
    <row r="2296" spans="3:8" x14ac:dyDescent="0.25">
      <c r="C2296" t="str">
        <f>'RES TECH'!M2295</f>
        <v>RESHOUUMNewWH3NGA23</v>
      </c>
      <c r="G2296" s="4">
        <f>IF(SUMIFS('RES TECH'!N:N,'RES TECH'!M:M,C2296)&gt;0,1,0)</f>
        <v>1</v>
      </c>
      <c r="H2296" s="4">
        <f t="shared" si="35"/>
        <v>0</v>
      </c>
    </row>
    <row r="2297" spans="3:8" x14ac:dyDescent="0.25">
      <c r="C2297" t="str">
        <f>'RES TECH'!M2296</f>
        <v>RESHOUUMNewWH4NGA20</v>
      </c>
      <c r="G2297" s="4">
        <f>IF(SUMIFS('RES TECH'!N:N,'RES TECH'!M:M,C2297)&gt;0,1,0)</f>
        <v>1</v>
      </c>
      <c r="H2297" s="4">
        <f t="shared" si="35"/>
        <v>0</v>
      </c>
    </row>
    <row r="2298" spans="3:8" x14ac:dyDescent="0.25">
      <c r="C2298" t="str">
        <f>'RES TECH'!M2297</f>
        <v>RESHOUUMNewWH4NGA20</v>
      </c>
      <c r="G2298" s="4">
        <f>IF(SUMIFS('RES TECH'!N:N,'RES TECH'!M:M,C2298)&gt;0,1,0)</f>
        <v>1</v>
      </c>
      <c r="H2298" s="4">
        <f t="shared" si="35"/>
        <v>0</v>
      </c>
    </row>
    <row r="2299" spans="3:8" x14ac:dyDescent="0.25">
      <c r="C2299" t="str">
        <f>'RES TECH'!M2298</f>
        <v>RESHOUUMNewWH4NGA22</v>
      </c>
      <c r="G2299" s="4">
        <f>IF(SUMIFS('RES TECH'!N:N,'RES TECH'!M:M,C2299)&gt;0,1,0)</f>
        <v>1</v>
      </c>
      <c r="H2299" s="4">
        <f t="shared" si="35"/>
        <v>0</v>
      </c>
    </row>
    <row r="2300" spans="3:8" x14ac:dyDescent="0.25">
      <c r="C2300" t="str">
        <f>'RES TECH'!M2299</f>
        <v>RESHOUUMNewWH1ELC20</v>
      </c>
      <c r="G2300" s="4">
        <f>IF(SUMIFS('RES TECH'!N:N,'RES TECH'!M:M,C2300)&gt;0,1,0)</f>
        <v>1</v>
      </c>
      <c r="H2300" s="4">
        <f t="shared" si="35"/>
        <v>0</v>
      </c>
    </row>
    <row r="2301" spans="3:8" x14ac:dyDescent="0.25">
      <c r="C2301" t="str">
        <f>'RES TECH'!M2300</f>
        <v>RESHOUUMNewWH2ELC20</v>
      </c>
      <c r="G2301" s="4">
        <f>IF(SUMIFS('RES TECH'!N:N,'RES TECH'!M:M,C2301)&gt;0,1,0)</f>
        <v>1</v>
      </c>
      <c r="H2301" s="4">
        <f t="shared" si="35"/>
        <v>0</v>
      </c>
    </row>
    <row r="2302" spans="3:8" x14ac:dyDescent="0.25">
      <c r="C2302" t="str">
        <f>'RES TECH'!M2301</f>
        <v>RESHOUUMNewWH4ELC20</v>
      </c>
      <c r="G2302" s="4">
        <f>IF(SUMIFS('RES TECH'!N:N,'RES TECH'!M:M,C2302)&gt;0,1,0)</f>
        <v>1</v>
      </c>
      <c r="H2302" s="4">
        <f t="shared" si="35"/>
        <v>0</v>
      </c>
    </row>
    <row r="2303" spans="3:8" x14ac:dyDescent="0.25">
      <c r="C2303" t="str">
        <f>'RES TECH'!M2302</f>
        <v>RESHOUUMNewWH5ELC20</v>
      </c>
      <c r="G2303" s="4">
        <f>IF(SUMIFS('RES TECH'!N:N,'RES TECH'!M:M,C2303)&gt;0,1,0)</f>
        <v>1</v>
      </c>
      <c r="H2303" s="4">
        <f t="shared" si="35"/>
        <v>0</v>
      </c>
    </row>
    <row r="2304" spans="3:8" x14ac:dyDescent="0.25">
      <c r="C2304" t="str">
        <f>'RES TECH'!M2303</f>
        <v>RESHOUUMNewWH5ELC22</v>
      </c>
      <c r="G2304" s="4">
        <f>IF(SUMIFS('RES TECH'!N:N,'RES TECH'!M:M,C2304)&gt;0,1,0)</f>
        <v>1</v>
      </c>
      <c r="H2304" s="4">
        <f t="shared" si="35"/>
        <v>0</v>
      </c>
    </row>
    <row r="2305" spans="3:8" x14ac:dyDescent="0.25">
      <c r="C2305" t="str">
        <f>'RES TECH'!M2304</f>
        <v>RESHOUUMNewWH6ELC20</v>
      </c>
      <c r="G2305" s="4">
        <f>IF(SUMIFS('RES TECH'!N:N,'RES TECH'!M:M,C2305)&gt;0,1,0)</f>
        <v>1</v>
      </c>
      <c r="H2305" s="4">
        <f t="shared" si="35"/>
        <v>0</v>
      </c>
    </row>
    <row r="2306" spans="3:8" x14ac:dyDescent="0.25">
      <c r="C2306" t="str">
        <f>'RES TECH'!M2305</f>
        <v>RESHOUUMNewWH6ELC22</v>
      </c>
      <c r="G2306" s="4">
        <f>IF(SUMIFS('RES TECH'!N:N,'RES TECH'!M:M,C2306)&gt;0,1,0)</f>
        <v>1</v>
      </c>
      <c r="H2306" s="4">
        <f t="shared" si="35"/>
        <v>0</v>
      </c>
    </row>
    <row r="2307" spans="3:8" x14ac:dyDescent="0.25">
      <c r="C2307" t="str">
        <f>'RES TECH'!M2306</f>
        <v>RESHOUUMNewWH7ELC20</v>
      </c>
      <c r="G2307" s="4">
        <f>IF(SUMIFS('RES TECH'!N:N,'RES TECH'!M:M,C2307)&gt;0,1,0)</f>
        <v>1</v>
      </c>
      <c r="H2307" s="4">
        <f t="shared" si="35"/>
        <v>0</v>
      </c>
    </row>
    <row r="2308" spans="3:8" x14ac:dyDescent="0.25">
      <c r="C2308" t="str">
        <f>'RES TECH'!M2307</f>
        <v>RESHOUUMNewWH7ELC22</v>
      </c>
      <c r="G2308" s="4">
        <f>IF(SUMIFS('RES TECH'!N:N,'RES TECH'!M:M,C2308)&gt;0,1,0)</f>
        <v>1</v>
      </c>
      <c r="H2308" s="4">
        <f t="shared" si="35"/>
        <v>0</v>
      </c>
    </row>
    <row r="2309" spans="3:8" x14ac:dyDescent="0.25">
      <c r="C2309" t="str">
        <f>'RES TECH'!M2308</f>
        <v>RESHOUUMNewWH1FOI20</v>
      </c>
      <c r="G2309" s="4">
        <f>IF(SUMIFS('RES TECH'!N:N,'RES TECH'!M:M,C2309)&gt;0,1,0)</f>
        <v>1</v>
      </c>
      <c r="H2309" s="4">
        <f t="shared" ref="H2309:H2372" si="36">IF(C2309="","",IF(C2309="*","*",0))</f>
        <v>0</v>
      </c>
    </row>
    <row r="2310" spans="3:8" x14ac:dyDescent="0.25">
      <c r="C2310" t="str">
        <f>'RES TECH'!M2309</f>
        <v>RESHOUUMNewWH2FOI20</v>
      </c>
      <c r="G2310" s="4">
        <f>IF(SUMIFS('RES TECH'!N:N,'RES TECH'!M:M,C2310)&gt;0,1,0)</f>
        <v>1</v>
      </c>
      <c r="H2310" s="4">
        <f t="shared" si="36"/>
        <v>0</v>
      </c>
    </row>
    <row r="2311" spans="3:8" x14ac:dyDescent="0.25">
      <c r="C2311" t="str">
        <f>'RES TECH'!M2310</f>
        <v>RESHOUUMNewWH4FOI20</v>
      </c>
      <c r="G2311" s="4">
        <f>IF(SUMIFS('RES TECH'!N:N,'RES TECH'!M:M,C2311)&gt;0,1,0)</f>
        <v>1</v>
      </c>
      <c r="H2311" s="4">
        <f t="shared" si="36"/>
        <v>0</v>
      </c>
    </row>
    <row r="2312" spans="3:8" x14ac:dyDescent="0.25">
      <c r="C2312" t="str">
        <f>'RES TECH'!M2311</f>
        <v>RESHOUUMNewWH1LPG20</v>
      </c>
      <c r="G2312" s="4">
        <f>IF(SUMIFS('RES TECH'!N:N,'RES TECH'!M:M,C2312)&gt;0,1,0)</f>
        <v>1</v>
      </c>
      <c r="H2312" s="4">
        <f t="shared" si="36"/>
        <v>0</v>
      </c>
    </row>
    <row r="2313" spans="3:8" x14ac:dyDescent="0.25">
      <c r="C2313" t="str">
        <f>'RES TECH'!M2312</f>
        <v>RESHOUUMNewWH2LPG20</v>
      </c>
      <c r="G2313" s="4">
        <f>IF(SUMIFS('RES TECH'!N:N,'RES TECH'!M:M,C2313)&gt;0,1,0)</f>
        <v>1</v>
      </c>
      <c r="H2313" s="4">
        <f t="shared" si="36"/>
        <v>0</v>
      </c>
    </row>
    <row r="2314" spans="3:8" x14ac:dyDescent="0.25">
      <c r="C2314" t="str">
        <f>'RES TECH'!M2313</f>
        <v>RESHOUUMNewWH3LPG20</v>
      </c>
      <c r="G2314" s="4">
        <f>IF(SUMIFS('RES TECH'!N:N,'RES TECH'!M:M,C2314)&gt;0,1,0)</f>
        <v>1</v>
      </c>
      <c r="H2314" s="4">
        <f t="shared" si="36"/>
        <v>0</v>
      </c>
    </row>
    <row r="2315" spans="3:8" x14ac:dyDescent="0.25">
      <c r="C2315" t="str">
        <f>'RES TECH'!M2314</f>
        <v>RESHOUUMNewWH3LPG23</v>
      </c>
      <c r="G2315" s="4">
        <f>IF(SUMIFS('RES TECH'!N:N,'RES TECH'!M:M,C2315)&gt;0,1,0)</f>
        <v>1</v>
      </c>
      <c r="H2315" s="4">
        <f t="shared" si="36"/>
        <v>0</v>
      </c>
    </row>
    <row r="2316" spans="3:8" x14ac:dyDescent="0.25">
      <c r="C2316" t="str">
        <f>'RES TECH'!M2315</f>
        <v>RESHOUUMNewWH4LPG20</v>
      </c>
      <c r="G2316" s="4">
        <f>IF(SUMIFS('RES TECH'!N:N,'RES TECH'!M:M,C2316)&gt;0,1,0)</f>
        <v>1</v>
      </c>
      <c r="H2316" s="4">
        <f t="shared" si="36"/>
        <v>0</v>
      </c>
    </row>
    <row r="2317" spans="3:8" x14ac:dyDescent="0.25">
      <c r="C2317" t="str">
        <f>'RES TECH'!M2316</f>
        <v>RESHOUUMNewWH4LPG20</v>
      </c>
      <c r="G2317" s="4">
        <f>IF(SUMIFS('RES TECH'!N:N,'RES TECH'!M:M,C2317)&gt;0,1,0)</f>
        <v>1</v>
      </c>
      <c r="H2317" s="4">
        <f t="shared" si="36"/>
        <v>0</v>
      </c>
    </row>
    <row r="2318" spans="3:8" x14ac:dyDescent="0.25">
      <c r="C2318" t="str">
        <f>'RES TECH'!M2317</f>
        <v>RESHOUUMNewWH2SOL20</v>
      </c>
      <c r="G2318" s="4">
        <f>IF(SUMIFS('RES TECH'!N:N,'RES TECH'!M:M,C2318)&gt;0,1,0)</f>
        <v>1</v>
      </c>
      <c r="H2318" s="4">
        <f t="shared" si="36"/>
        <v>0</v>
      </c>
    </row>
    <row r="2319" spans="3:8" x14ac:dyDescent="0.25">
      <c r="C2319" t="str">
        <f>'RES TECH'!M2318</f>
        <v>RESHOUUMNewWH2SOL20</v>
      </c>
      <c r="G2319" s="4">
        <f>IF(SUMIFS('RES TECH'!N:N,'RES TECH'!M:M,C2319)&gt;0,1,0)</f>
        <v>1</v>
      </c>
      <c r="H2319" s="4">
        <f t="shared" si="36"/>
        <v>0</v>
      </c>
    </row>
    <row r="2320" spans="3:8" x14ac:dyDescent="0.25">
      <c r="C2320" t="str">
        <f>'RES TECH'!M2319</f>
        <v>RESHOUUMNewWH2SOL23</v>
      </c>
      <c r="G2320" s="4">
        <f>IF(SUMIFS('RES TECH'!N:N,'RES TECH'!M:M,C2320)&gt;0,1,0)</f>
        <v>1</v>
      </c>
      <c r="H2320" s="4">
        <f t="shared" si="36"/>
        <v>0</v>
      </c>
    </row>
    <row r="2321" spans="3:8" x14ac:dyDescent="0.25">
      <c r="C2321" t="str">
        <f>'RES TECH'!M2320</f>
        <v>RESHOUUMNewWH2SOL24</v>
      </c>
      <c r="G2321" s="4">
        <f>IF(SUMIFS('RES TECH'!N:N,'RES TECH'!M:M,C2321)&gt;0,1,0)</f>
        <v>1</v>
      </c>
      <c r="H2321" s="4">
        <f t="shared" si="36"/>
        <v>0</v>
      </c>
    </row>
    <row r="2322" spans="3:8" x14ac:dyDescent="0.25">
      <c r="C2322" t="str">
        <f>'RES TECH'!M2321</f>
        <v>RESHOUUMNewSHAHP1ELC20</v>
      </c>
      <c r="G2322" s="4">
        <f>IF(SUMIFS('RES TECH'!N:N,'RES TECH'!M:M,C2322)&gt;0,1,0)</f>
        <v>1</v>
      </c>
      <c r="H2322" s="4">
        <f t="shared" si="36"/>
        <v>0</v>
      </c>
    </row>
    <row r="2323" spans="3:8" x14ac:dyDescent="0.25">
      <c r="C2323" t="str">
        <f>'RES TECH'!M2322</f>
        <v>RESHOUUMNewSHAHP1ELC23</v>
      </c>
      <c r="G2323" s="4">
        <f>IF(SUMIFS('RES TECH'!N:N,'RES TECH'!M:M,C2323)&gt;0,1,0)</f>
        <v>1</v>
      </c>
      <c r="H2323" s="4">
        <f t="shared" si="36"/>
        <v>0</v>
      </c>
    </row>
    <row r="2324" spans="3:8" x14ac:dyDescent="0.25">
      <c r="C2324" t="str">
        <f>'RES TECH'!M2323</f>
        <v>RESHOUUMNewSHAHP2ELC20</v>
      </c>
      <c r="G2324" s="4">
        <f>IF(SUMIFS('RES TECH'!N:N,'RES TECH'!M:M,C2324)&gt;0,1,0)</f>
        <v>1</v>
      </c>
      <c r="H2324" s="4">
        <f t="shared" si="36"/>
        <v>0</v>
      </c>
    </row>
    <row r="2325" spans="3:8" x14ac:dyDescent="0.25">
      <c r="C2325" t="str">
        <f>'RES TECH'!M2324</f>
        <v>RESHOUUMNewSHAHP2ELC23</v>
      </c>
      <c r="G2325" s="4">
        <f>IF(SUMIFS('RES TECH'!N:N,'RES TECH'!M:M,C2325)&gt;0,1,0)</f>
        <v>1</v>
      </c>
      <c r="H2325" s="4">
        <f t="shared" si="36"/>
        <v>0</v>
      </c>
    </row>
    <row r="2326" spans="3:8" x14ac:dyDescent="0.25">
      <c r="C2326" t="str">
        <f>'RES TECH'!M2325</f>
        <v>RESHOUUMNewSHAHP3ELC20</v>
      </c>
      <c r="G2326" s="4">
        <f>IF(SUMIFS('RES TECH'!N:N,'RES TECH'!M:M,C2326)&gt;0,1,0)</f>
        <v>1</v>
      </c>
      <c r="H2326" s="4">
        <f t="shared" si="36"/>
        <v>0</v>
      </c>
    </row>
    <row r="2327" spans="3:8" x14ac:dyDescent="0.25">
      <c r="C2327" t="str">
        <f>'RES TECH'!M2326</f>
        <v>RESHOUUMNewSHAHP3ELC22</v>
      </c>
      <c r="G2327" s="4">
        <f>IF(SUMIFS('RES TECH'!N:N,'RES TECH'!M:M,C2327)&gt;0,1,0)</f>
        <v>1</v>
      </c>
      <c r="H2327" s="4">
        <f t="shared" si="36"/>
        <v>0</v>
      </c>
    </row>
    <row r="2328" spans="3:8" x14ac:dyDescent="0.25">
      <c r="C2328" t="str">
        <f>'RES TECH'!M2327</f>
        <v>RESHOUUMNewSHAHP3ELC23</v>
      </c>
      <c r="G2328" s="4">
        <f>IF(SUMIFS('RES TECH'!N:N,'RES TECH'!M:M,C2328)&gt;0,1,0)</f>
        <v>1</v>
      </c>
      <c r="H2328" s="4">
        <f t="shared" si="36"/>
        <v>0</v>
      </c>
    </row>
    <row r="2329" spans="3:8" x14ac:dyDescent="0.25">
      <c r="C2329" t="str">
        <f>'RES TECH'!M2328</f>
        <v>RESHOUUMNewSHAHP4ELC20</v>
      </c>
      <c r="G2329" s="4">
        <f>IF(SUMIFS('RES TECH'!N:N,'RES TECH'!M:M,C2329)&gt;0,1,0)</f>
        <v>1</v>
      </c>
      <c r="H2329" s="4">
        <f t="shared" si="36"/>
        <v>0</v>
      </c>
    </row>
    <row r="2330" spans="3:8" x14ac:dyDescent="0.25">
      <c r="C2330" t="str">
        <f>'RES TECH'!M2329</f>
        <v>RESHOUUMNewSHAHP4ELC22</v>
      </c>
      <c r="G2330" s="4">
        <f>IF(SUMIFS('RES TECH'!N:N,'RES TECH'!M:M,C2330)&gt;0,1,0)</f>
        <v>1</v>
      </c>
      <c r="H2330" s="4">
        <f t="shared" si="36"/>
        <v>0</v>
      </c>
    </row>
    <row r="2331" spans="3:8" x14ac:dyDescent="0.25">
      <c r="C2331" t="str">
        <f>'RES TECH'!M2330</f>
        <v>RESHOUUMNewSHGHP1ELC20</v>
      </c>
      <c r="G2331" s="4">
        <f>IF(SUMIFS('RES TECH'!N:N,'RES TECH'!M:M,C2331)&gt;0,1,0)</f>
        <v>1</v>
      </c>
      <c r="H2331" s="4">
        <f t="shared" si="36"/>
        <v>0</v>
      </c>
    </row>
    <row r="2332" spans="3:8" x14ac:dyDescent="0.25">
      <c r="C2332" t="str">
        <f>'RES TECH'!M2331</f>
        <v>RESHOUUMNewSHGHP2ELC20</v>
      </c>
      <c r="G2332" s="4">
        <f>IF(SUMIFS('RES TECH'!N:N,'RES TECH'!M:M,C2332)&gt;0,1,0)</f>
        <v>1</v>
      </c>
      <c r="H2332" s="4">
        <f t="shared" si="36"/>
        <v>0</v>
      </c>
    </row>
    <row r="2333" spans="3:8" x14ac:dyDescent="0.25">
      <c r="C2333" t="str">
        <f>'RES TECH'!M2332</f>
        <v>RESHOUUMNewSHGHP3ELC20</v>
      </c>
      <c r="G2333" s="4">
        <f>IF(SUMIFS('RES TECH'!N:N,'RES TECH'!M:M,C2333)&gt;0,1,0)</f>
        <v>1</v>
      </c>
      <c r="H2333" s="4">
        <f t="shared" si="36"/>
        <v>0</v>
      </c>
    </row>
    <row r="2334" spans="3:8" x14ac:dyDescent="0.25">
      <c r="C2334" t="str">
        <f>'RES TECH'!M2333</f>
        <v>RESHOUUMNewSHGHP3ELC20</v>
      </c>
      <c r="G2334" s="4">
        <f>IF(SUMIFS('RES TECH'!N:N,'RES TECH'!M:M,C2334)&gt;0,1,0)</f>
        <v>1</v>
      </c>
      <c r="H2334" s="4">
        <f t="shared" si="36"/>
        <v>0</v>
      </c>
    </row>
    <row r="2335" spans="3:8" x14ac:dyDescent="0.25">
      <c r="C2335" t="str">
        <f>'RES TECH'!M2334</f>
        <v>RESHOUUMNewSHGHP3ELC22</v>
      </c>
      <c r="G2335" s="4">
        <f>IF(SUMIFS('RES TECH'!N:N,'RES TECH'!M:M,C2335)&gt;0,1,0)</f>
        <v>1</v>
      </c>
      <c r="H2335" s="4">
        <f t="shared" si="36"/>
        <v>0</v>
      </c>
    </row>
    <row r="2336" spans="3:8" x14ac:dyDescent="0.25">
      <c r="C2336" t="str">
        <f>'RES TECH'!M2335</f>
        <v>RESHOUUMNewSHGHP3ELC23</v>
      </c>
      <c r="G2336" s="4">
        <f>IF(SUMIFS('RES TECH'!N:N,'RES TECH'!M:M,C2336)&gt;0,1,0)</f>
        <v>1</v>
      </c>
      <c r="H2336" s="4">
        <f t="shared" si="36"/>
        <v>0</v>
      </c>
    </row>
    <row r="2337" spans="3:8" x14ac:dyDescent="0.25">
      <c r="C2337" t="str">
        <f>'RES TECH'!M2336</f>
        <v>RESHOUUMNewSHGHP3ELC24</v>
      </c>
      <c r="G2337" s="4">
        <f>IF(SUMIFS('RES TECH'!N:N,'RES TECH'!M:M,C2337)&gt;0,1,0)</f>
        <v>1</v>
      </c>
      <c r="H2337" s="4">
        <f t="shared" si="36"/>
        <v>0</v>
      </c>
    </row>
    <row r="2338" spans="3:8" x14ac:dyDescent="0.25">
      <c r="C2338" t="str">
        <f>'RES TECH'!M2337</f>
        <v>RESHOUUMNewSHGHP4ELC20</v>
      </c>
      <c r="G2338" s="4">
        <f>IF(SUMIFS('RES TECH'!N:N,'RES TECH'!M:M,C2338)&gt;0,1,0)</f>
        <v>1</v>
      </c>
      <c r="H2338" s="4">
        <f t="shared" si="36"/>
        <v>0</v>
      </c>
    </row>
    <row r="2339" spans="3:8" x14ac:dyDescent="0.25">
      <c r="C2339" t="str">
        <f>'RES TECH'!M2338</f>
        <v>RESHOUUMNewSHGHP4ELC20</v>
      </c>
      <c r="G2339" s="4">
        <f>IF(SUMIFS('RES TECH'!N:N,'RES TECH'!M:M,C2339)&gt;0,1,0)</f>
        <v>1</v>
      </c>
      <c r="H2339" s="4">
        <f t="shared" si="36"/>
        <v>0</v>
      </c>
    </row>
    <row r="2340" spans="3:8" x14ac:dyDescent="0.25">
      <c r="C2340" t="str">
        <f>'RES TECH'!M2339</f>
        <v>RESHOUUMNewSHGHP4ELC22</v>
      </c>
      <c r="G2340" s="4">
        <f>IF(SUMIFS('RES TECH'!N:N,'RES TECH'!M:M,C2340)&gt;0,1,0)</f>
        <v>1</v>
      </c>
      <c r="H2340" s="4">
        <f t="shared" si="36"/>
        <v>0</v>
      </c>
    </row>
    <row r="2341" spans="3:8" x14ac:dyDescent="0.25">
      <c r="C2341" t="str">
        <f>'RES TECH'!M2340</f>
        <v>RESHOUUMNewSHGHP4ELC23</v>
      </c>
      <c r="G2341" s="4">
        <f>IF(SUMIFS('RES TECH'!N:N,'RES TECH'!M:M,C2341)&gt;0,1,0)</f>
        <v>1</v>
      </c>
      <c r="H2341" s="4">
        <f t="shared" si="36"/>
        <v>0</v>
      </c>
    </row>
    <row r="2342" spans="3:8" x14ac:dyDescent="0.25">
      <c r="C2342" t="str">
        <f>'RES TECH'!M2341</f>
        <v>RESHOUUMNewSHGHP4ELC24</v>
      </c>
      <c r="G2342" s="4">
        <f>IF(SUMIFS('RES TECH'!N:N,'RES TECH'!M:M,C2342)&gt;0,1,0)</f>
        <v>1</v>
      </c>
      <c r="H2342" s="4">
        <f t="shared" si="36"/>
        <v>0</v>
      </c>
    </row>
    <row r="2343" spans="3:8" x14ac:dyDescent="0.25">
      <c r="C2343" t="str">
        <f>'RES TECH'!M2342</f>
        <v>RESHOUUMNewSHRAD2ELC20</v>
      </c>
      <c r="G2343" s="4">
        <f>IF(SUMIFS('RES TECH'!N:N,'RES TECH'!M:M,C2343)&gt;0,1,0)</f>
        <v>1</v>
      </c>
      <c r="H2343" s="4">
        <f t="shared" si="36"/>
        <v>0</v>
      </c>
    </row>
    <row r="2344" spans="3:8" x14ac:dyDescent="0.25">
      <c r="C2344" t="str">
        <f>'RES TECH'!M2343</f>
        <v>RESHOUUMNewSHFUR1NGA20</v>
      </c>
      <c r="G2344" s="4">
        <f>IF(SUMIFS('RES TECH'!N:N,'RES TECH'!M:M,C2344)&gt;0,1,0)</f>
        <v>1</v>
      </c>
      <c r="H2344" s="4">
        <f t="shared" si="36"/>
        <v>0</v>
      </c>
    </row>
    <row r="2345" spans="3:8" x14ac:dyDescent="0.25">
      <c r="C2345" t="str">
        <f>'RES TECH'!M2344</f>
        <v>RESHOUUMNewSHFUR2NGA20</v>
      </c>
      <c r="G2345" s="4">
        <f>IF(SUMIFS('RES TECH'!N:N,'RES TECH'!M:M,C2345)&gt;0,1,0)</f>
        <v>1</v>
      </c>
      <c r="H2345" s="4">
        <f t="shared" si="36"/>
        <v>0</v>
      </c>
    </row>
    <row r="2346" spans="3:8" x14ac:dyDescent="0.25">
      <c r="C2346" t="str">
        <f>'RES TECH'!M2345</f>
        <v>RESHOUUMNewSHFUR2NGA20</v>
      </c>
      <c r="G2346" s="4">
        <f>IF(SUMIFS('RES TECH'!N:N,'RES TECH'!M:M,C2346)&gt;0,1,0)</f>
        <v>1</v>
      </c>
      <c r="H2346" s="4">
        <f t="shared" si="36"/>
        <v>0</v>
      </c>
    </row>
    <row r="2347" spans="3:8" x14ac:dyDescent="0.25">
      <c r="C2347" t="str">
        <f>'RES TECH'!M2346</f>
        <v>RESHOUUMNewSHFUR3NGA20</v>
      </c>
      <c r="G2347" s="4">
        <f>IF(SUMIFS('RES TECH'!N:N,'RES TECH'!M:M,C2347)&gt;0,1,0)</f>
        <v>1</v>
      </c>
      <c r="H2347" s="4">
        <f t="shared" si="36"/>
        <v>0</v>
      </c>
    </row>
    <row r="2348" spans="3:8" x14ac:dyDescent="0.25">
      <c r="C2348" t="str">
        <f>'RES TECH'!M2347</f>
        <v>RESHOUUMNewSHFUR3NGA22</v>
      </c>
      <c r="G2348" s="4">
        <f>IF(SUMIFS('RES TECH'!N:N,'RES TECH'!M:M,C2348)&gt;0,1,0)</f>
        <v>1</v>
      </c>
      <c r="H2348" s="4">
        <f t="shared" si="36"/>
        <v>0</v>
      </c>
    </row>
    <row r="2349" spans="3:8" x14ac:dyDescent="0.25">
      <c r="C2349" t="str">
        <f>'RES TECH'!M2348</f>
        <v>RESHOUUMNewSHFUR4NGA20</v>
      </c>
      <c r="G2349" s="4">
        <f>IF(SUMIFS('RES TECH'!N:N,'RES TECH'!M:M,C2349)&gt;0,1,0)</f>
        <v>1</v>
      </c>
      <c r="H2349" s="4">
        <f t="shared" si="36"/>
        <v>0</v>
      </c>
    </row>
    <row r="2350" spans="3:8" x14ac:dyDescent="0.25">
      <c r="C2350" t="str">
        <f>'RES TECH'!M2349</f>
        <v>RESHOUUMNewSHFUR4NGA22</v>
      </c>
      <c r="G2350" s="4">
        <f>IF(SUMIFS('RES TECH'!N:N,'RES TECH'!M:M,C2350)&gt;0,1,0)</f>
        <v>1</v>
      </c>
      <c r="H2350" s="4">
        <f t="shared" si="36"/>
        <v>0</v>
      </c>
    </row>
    <row r="2351" spans="3:8" x14ac:dyDescent="0.25">
      <c r="C2351" t="str">
        <f>'RES TECH'!M2350</f>
        <v>RESHOUUMNewSHRAD1NGA20</v>
      </c>
      <c r="G2351" s="4">
        <f>IF(SUMIFS('RES TECH'!N:N,'RES TECH'!M:M,C2351)&gt;0,1,0)</f>
        <v>1</v>
      </c>
      <c r="H2351" s="4">
        <f t="shared" si="36"/>
        <v>0</v>
      </c>
    </row>
    <row r="2352" spans="3:8" x14ac:dyDescent="0.25">
      <c r="C2352" t="str">
        <f>'RES TECH'!M2351</f>
        <v>RESHOUUMNewSHRAD1NGA21</v>
      </c>
      <c r="G2352" s="4">
        <f>IF(SUMIFS('RES TECH'!N:N,'RES TECH'!M:M,C2352)&gt;0,1,0)</f>
        <v>1</v>
      </c>
      <c r="H2352" s="4">
        <f t="shared" si="36"/>
        <v>0</v>
      </c>
    </row>
    <row r="2353" spans="3:8" x14ac:dyDescent="0.25">
      <c r="C2353" t="str">
        <f>'RES TECH'!M2352</f>
        <v>RESHOUUMNewSHRAD2NGA20</v>
      </c>
      <c r="G2353" s="4">
        <f>IF(SUMIFS('RES TECH'!N:N,'RES TECH'!M:M,C2353)&gt;0,1,0)</f>
        <v>1</v>
      </c>
      <c r="H2353" s="4">
        <f t="shared" si="36"/>
        <v>0</v>
      </c>
    </row>
    <row r="2354" spans="3:8" x14ac:dyDescent="0.25">
      <c r="C2354" t="str">
        <f>'RES TECH'!M2353</f>
        <v>RESHOUUMNewSHRAD2NGA20</v>
      </c>
      <c r="G2354" s="4">
        <f>IF(SUMIFS('RES TECH'!N:N,'RES TECH'!M:M,C2354)&gt;0,1,0)</f>
        <v>1</v>
      </c>
      <c r="H2354" s="4">
        <f t="shared" si="36"/>
        <v>0</v>
      </c>
    </row>
    <row r="2355" spans="3:8" x14ac:dyDescent="0.25">
      <c r="C2355" t="str">
        <f>'RES TECH'!M2354</f>
        <v>RESHOUUMNewSHRAD3NGA20</v>
      </c>
      <c r="G2355" s="4">
        <f>IF(SUMIFS('RES TECH'!N:N,'RES TECH'!M:M,C2355)&gt;0,1,0)</f>
        <v>1</v>
      </c>
      <c r="H2355" s="4">
        <f t="shared" si="36"/>
        <v>0</v>
      </c>
    </row>
    <row r="2356" spans="3:8" x14ac:dyDescent="0.25">
      <c r="C2356" t="str">
        <f>'RES TECH'!M2355</f>
        <v>RESHOUUMNewSHRAD4NGA20</v>
      </c>
      <c r="G2356" s="4">
        <f>IF(SUMIFS('RES TECH'!N:N,'RES TECH'!M:M,C2356)&gt;0,1,0)</f>
        <v>1</v>
      </c>
      <c r="H2356" s="4">
        <f t="shared" si="36"/>
        <v>0</v>
      </c>
    </row>
    <row r="2357" spans="3:8" x14ac:dyDescent="0.25">
      <c r="C2357" t="str">
        <f>'RES TECH'!M2356</f>
        <v>RESHOUUMNewSHRAD4NGA22</v>
      </c>
      <c r="G2357" s="4">
        <f>IF(SUMIFS('RES TECH'!N:N,'RES TECH'!M:M,C2357)&gt;0,1,0)</f>
        <v>1</v>
      </c>
      <c r="H2357" s="4">
        <f t="shared" si="36"/>
        <v>0</v>
      </c>
    </row>
    <row r="2358" spans="3:8" x14ac:dyDescent="0.25">
      <c r="C2358" t="str">
        <f>'RES TECH'!M2357</f>
        <v>RESHOUUMNewSHFUR1KER20</v>
      </c>
      <c r="G2358" s="4">
        <f>IF(SUMIFS('RES TECH'!N:N,'RES TECH'!M:M,C2358)&gt;0,1,0)</f>
        <v>1</v>
      </c>
      <c r="H2358" s="4">
        <f t="shared" si="36"/>
        <v>0</v>
      </c>
    </row>
    <row r="2359" spans="3:8" x14ac:dyDescent="0.25">
      <c r="C2359" t="str">
        <f>'RES TECH'!M2358</f>
        <v>RESHOUUMNewSHFUR2KER20</v>
      </c>
      <c r="G2359" s="4">
        <f>IF(SUMIFS('RES TECH'!N:N,'RES TECH'!M:M,C2359)&gt;0,1,0)</f>
        <v>1</v>
      </c>
      <c r="H2359" s="4">
        <f t="shared" si="36"/>
        <v>0</v>
      </c>
    </row>
    <row r="2360" spans="3:8" x14ac:dyDescent="0.25">
      <c r="C2360" t="str">
        <f>'RES TECH'!M2359</f>
        <v>RESHOUUMNewSHFUR2KER20</v>
      </c>
      <c r="G2360" s="4">
        <f>IF(SUMIFS('RES TECH'!N:N,'RES TECH'!M:M,C2360)&gt;0,1,0)</f>
        <v>1</v>
      </c>
      <c r="H2360" s="4">
        <f t="shared" si="36"/>
        <v>0</v>
      </c>
    </row>
    <row r="2361" spans="3:8" x14ac:dyDescent="0.25">
      <c r="C2361" t="str">
        <f>'RES TECH'!M2360</f>
        <v>RESHOUUMNewSHFUR3KER20</v>
      </c>
      <c r="G2361" s="4">
        <f>IF(SUMIFS('RES TECH'!N:N,'RES TECH'!M:M,C2361)&gt;0,1,0)</f>
        <v>1</v>
      </c>
      <c r="H2361" s="4">
        <f t="shared" si="36"/>
        <v>0</v>
      </c>
    </row>
    <row r="2362" spans="3:8" x14ac:dyDescent="0.25">
      <c r="C2362" t="str">
        <f>'RES TECH'!M2361</f>
        <v>RESHOUUMNewSHFUR4KER20</v>
      </c>
      <c r="G2362" s="4">
        <f>IF(SUMIFS('RES TECH'!N:N,'RES TECH'!M:M,C2362)&gt;0,1,0)</f>
        <v>1</v>
      </c>
      <c r="H2362" s="4">
        <f t="shared" si="36"/>
        <v>0</v>
      </c>
    </row>
    <row r="2363" spans="3:8" x14ac:dyDescent="0.25">
      <c r="C2363" t="str">
        <f>'RES TECH'!M2362</f>
        <v>RESHOUUMNewSHFUR4KER20</v>
      </c>
      <c r="G2363" s="4">
        <f>IF(SUMIFS('RES TECH'!N:N,'RES TECH'!M:M,C2363)&gt;0,1,0)</f>
        <v>1</v>
      </c>
      <c r="H2363" s="4">
        <f t="shared" si="36"/>
        <v>0</v>
      </c>
    </row>
    <row r="2364" spans="3:8" x14ac:dyDescent="0.25">
      <c r="C2364" t="str">
        <f>'RES TECH'!M2363</f>
        <v>RESHOUUMNewSHFUR1LPG20</v>
      </c>
      <c r="G2364" s="4">
        <f>IF(SUMIFS('RES TECH'!N:N,'RES TECH'!M:M,C2364)&gt;0,1,0)</f>
        <v>1</v>
      </c>
      <c r="H2364" s="4">
        <f t="shared" si="36"/>
        <v>0</v>
      </c>
    </row>
    <row r="2365" spans="3:8" x14ac:dyDescent="0.25">
      <c r="C2365" t="str">
        <f>'RES TECH'!M2364</f>
        <v>RESHOUUMNewSHFUR2LPG20</v>
      </c>
      <c r="G2365" s="4">
        <f>IF(SUMIFS('RES TECH'!N:N,'RES TECH'!M:M,C2365)&gt;0,1,0)</f>
        <v>1</v>
      </c>
      <c r="H2365" s="4">
        <f t="shared" si="36"/>
        <v>0</v>
      </c>
    </row>
    <row r="2366" spans="3:8" x14ac:dyDescent="0.25">
      <c r="C2366" t="str">
        <f>'RES TECH'!M2365</f>
        <v>RESHOUUMNewSHFUR2LPG20</v>
      </c>
      <c r="G2366" s="4">
        <f>IF(SUMIFS('RES TECH'!N:N,'RES TECH'!M:M,C2366)&gt;0,1,0)</f>
        <v>1</v>
      </c>
      <c r="H2366" s="4">
        <f t="shared" si="36"/>
        <v>0</v>
      </c>
    </row>
    <row r="2367" spans="3:8" x14ac:dyDescent="0.25">
      <c r="C2367" t="str">
        <f>'RES TECH'!M2366</f>
        <v>RESHOUUMNewSHFUR3LPG20</v>
      </c>
      <c r="G2367" s="4">
        <f>IF(SUMIFS('RES TECH'!N:N,'RES TECH'!M:M,C2367)&gt;0,1,0)</f>
        <v>1</v>
      </c>
      <c r="H2367" s="4">
        <f t="shared" si="36"/>
        <v>0</v>
      </c>
    </row>
    <row r="2368" spans="3:8" x14ac:dyDescent="0.25">
      <c r="C2368" t="str">
        <f>'RES TECH'!M2367</f>
        <v>RESHOUUMNewSHFUR3LPG22</v>
      </c>
      <c r="G2368" s="4">
        <f>IF(SUMIFS('RES TECH'!N:N,'RES TECH'!M:M,C2368)&gt;0,1,0)</f>
        <v>1</v>
      </c>
      <c r="H2368" s="4">
        <f t="shared" si="36"/>
        <v>0</v>
      </c>
    </row>
    <row r="2369" spans="3:8" x14ac:dyDescent="0.25">
      <c r="C2369" t="str">
        <f>'RES TECH'!M2368</f>
        <v>RESHOUUMNewSHFUR4LPG20</v>
      </c>
      <c r="G2369" s="4">
        <f>IF(SUMIFS('RES TECH'!N:N,'RES TECH'!M:M,C2369)&gt;0,1,0)</f>
        <v>1</v>
      </c>
      <c r="H2369" s="4">
        <f t="shared" si="36"/>
        <v>0</v>
      </c>
    </row>
    <row r="2370" spans="3:8" x14ac:dyDescent="0.25">
      <c r="C2370" t="str">
        <f>'RES TECH'!M2369</f>
        <v>RESHOUUMNewSHFUR4LPG22</v>
      </c>
      <c r="G2370" s="4">
        <f>IF(SUMIFS('RES TECH'!N:N,'RES TECH'!M:M,C2370)&gt;0,1,0)</f>
        <v>1</v>
      </c>
      <c r="H2370" s="4">
        <f t="shared" si="36"/>
        <v>0</v>
      </c>
    </row>
    <row r="2371" spans="3:8" x14ac:dyDescent="0.25">
      <c r="C2371" t="str">
        <f>'RES TECH'!M2370</f>
        <v>RESHOUUMNewSHFUR1FOI20</v>
      </c>
      <c r="G2371" s="4">
        <f>IF(SUMIFS('RES TECH'!N:N,'RES TECH'!M:M,C2371)&gt;0,1,0)</f>
        <v>1</v>
      </c>
      <c r="H2371" s="4">
        <f t="shared" si="36"/>
        <v>0</v>
      </c>
    </row>
    <row r="2372" spans="3:8" x14ac:dyDescent="0.25">
      <c r="C2372" t="str">
        <f>'RES TECH'!M2371</f>
        <v>RESHOUUMNewSHFUR2FOI20</v>
      </c>
      <c r="G2372" s="4">
        <f>IF(SUMIFS('RES TECH'!N:N,'RES TECH'!M:M,C2372)&gt;0,1,0)</f>
        <v>1</v>
      </c>
      <c r="H2372" s="4">
        <f t="shared" si="36"/>
        <v>0</v>
      </c>
    </row>
    <row r="2373" spans="3:8" x14ac:dyDescent="0.25">
      <c r="C2373" t="str">
        <f>'RES TECH'!M2372</f>
        <v>RESHOUUMNewSHFUR2FOI22</v>
      </c>
      <c r="G2373" s="4">
        <f>IF(SUMIFS('RES TECH'!N:N,'RES TECH'!M:M,C2373)&gt;0,1,0)</f>
        <v>1</v>
      </c>
      <c r="H2373" s="4">
        <f t="shared" ref="H2373:H2436" si="37">IF(C2373="","",IF(C2373="*","*",0))</f>
        <v>0</v>
      </c>
    </row>
    <row r="2374" spans="3:8" x14ac:dyDescent="0.25">
      <c r="C2374" t="str">
        <f>'RES TECH'!M2373</f>
        <v>RESHOUUMNewSHFUR3FOI20</v>
      </c>
      <c r="G2374" s="4">
        <f>IF(SUMIFS('RES TECH'!N:N,'RES TECH'!M:M,C2374)&gt;0,1,0)</f>
        <v>1</v>
      </c>
      <c r="H2374" s="4">
        <f t="shared" si="37"/>
        <v>0</v>
      </c>
    </row>
    <row r="2375" spans="3:8" x14ac:dyDescent="0.25">
      <c r="C2375" t="str">
        <f>'RES TECH'!M2374</f>
        <v>RESHOUUMNewSHFUR4FOI20</v>
      </c>
      <c r="G2375" s="4">
        <f>IF(SUMIFS('RES TECH'!N:N,'RES TECH'!M:M,C2375)&gt;0,1,0)</f>
        <v>1</v>
      </c>
      <c r="H2375" s="4">
        <f t="shared" si="37"/>
        <v>0</v>
      </c>
    </row>
    <row r="2376" spans="3:8" x14ac:dyDescent="0.25">
      <c r="C2376" t="str">
        <f>'RES TECH'!M2375</f>
        <v>RESHOUUMNewSHFUR4FOI22</v>
      </c>
      <c r="G2376" s="4">
        <f>IF(SUMIFS('RES TECH'!N:N,'RES TECH'!M:M,C2376)&gt;0,1,0)</f>
        <v>1</v>
      </c>
      <c r="H2376" s="4">
        <f t="shared" si="37"/>
        <v>0</v>
      </c>
    </row>
    <row r="2377" spans="3:8" x14ac:dyDescent="0.25">
      <c r="C2377" t="str">
        <f>'RES TECH'!M2376</f>
        <v>RESHOUUMNewSHRAD1FOI20</v>
      </c>
      <c r="G2377" s="4">
        <f>IF(SUMIFS('RES TECH'!N:N,'RES TECH'!M:M,C2377)&gt;0,1,0)</f>
        <v>1</v>
      </c>
      <c r="H2377" s="4">
        <f t="shared" si="37"/>
        <v>0</v>
      </c>
    </row>
    <row r="2378" spans="3:8" x14ac:dyDescent="0.25">
      <c r="C2378" t="str">
        <f>'RES TECH'!M2377</f>
        <v>RESHOUUMNewSHRAD1FOI22</v>
      </c>
      <c r="G2378" s="4">
        <f>IF(SUMIFS('RES TECH'!N:N,'RES TECH'!M:M,C2378)&gt;0,1,0)</f>
        <v>1</v>
      </c>
      <c r="H2378" s="4">
        <f t="shared" si="37"/>
        <v>0</v>
      </c>
    </row>
    <row r="2379" spans="3:8" x14ac:dyDescent="0.25">
      <c r="C2379" t="str">
        <f>'RES TECH'!M2378</f>
        <v>RESHOUUMNewSHRAD2FOI20</v>
      </c>
      <c r="G2379" s="4">
        <f>IF(SUMIFS('RES TECH'!N:N,'RES TECH'!M:M,C2379)&gt;0,1,0)</f>
        <v>1</v>
      </c>
      <c r="H2379" s="4">
        <f t="shared" si="37"/>
        <v>0</v>
      </c>
    </row>
    <row r="2380" spans="3:8" x14ac:dyDescent="0.25">
      <c r="C2380" t="str">
        <f>'RES TECH'!M2379</f>
        <v>RESHOUUMNewSHRAD2FOI22</v>
      </c>
      <c r="G2380" s="4">
        <f>IF(SUMIFS('RES TECH'!N:N,'RES TECH'!M:M,C2380)&gt;0,1,0)</f>
        <v>1</v>
      </c>
      <c r="H2380" s="4">
        <f t="shared" si="37"/>
        <v>0</v>
      </c>
    </row>
    <row r="2381" spans="3:8" x14ac:dyDescent="0.25">
      <c r="C2381" t="str">
        <f>'RES TECH'!M2380</f>
        <v>RESHOUUMNewSHRAD3FOI20</v>
      </c>
      <c r="G2381" s="4">
        <f>IF(SUMIFS('RES TECH'!N:N,'RES TECH'!M:M,C2381)&gt;0,1,0)</f>
        <v>1</v>
      </c>
      <c r="H2381" s="4">
        <f t="shared" si="37"/>
        <v>0</v>
      </c>
    </row>
    <row r="2382" spans="3:8" x14ac:dyDescent="0.25">
      <c r="C2382" t="str">
        <f>'RES TECH'!M2381</f>
        <v>RESHOUUMNewSHRAD4FOI20</v>
      </c>
      <c r="G2382" s="4">
        <f>IF(SUMIFS('RES TECH'!N:N,'RES TECH'!M:M,C2382)&gt;0,1,0)</f>
        <v>1</v>
      </c>
      <c r="H2382" s="4">
        <f t="shared" si="37"/>
        <v>0</v>
      </c>
    </row>
    <row r="2383" spans="3:8" x14ac:dyDescent="0.25">
      <c r="C2383" t="str">
        <f>'RES TECH'!M2382</f>
        <v>RESHOUUMNewSCAHP2NGA20</v>
      </c>
      <c r="G2383" s="4">
        <f>IF(SUMIFS('RES TECH'!N:N,'RES TECH'!M:M,C2383)&gt;0,1,0)</f>
        <v>1</v>
      </c>
      <c r="H2383" s="4">
        <f t="shared" si="37"/>
        <v>0</v>
      </c>
    </row>
    <row r="2384" spans="3:8" x14ac:dyDescent="0.25">
      <c r="C2384" t="str">
        <f>'RES TECH'!M2383</f>
        <v>RESHOUUMNewSCAHP2NGA20</v>
      </c>
      <c r="G2384" s="4">
        <f>IF(SUMIFS('RES TECH'!N:N,'RES TECH'!M:M,C2384)&gt;0,1,0)</f>
        <v>1</v>
      </c>
      <c r="H2384" s="4">
        <f t="shared" si="37"/>
        <v>0</v>
      </c>
    </row>
    <row r="2385" spans="3:8" x14ac:dyDescent="0.25">
      <c r="C2385" t="str">
        <f>'RES TECH'!M2384</f>
        <v>RESHOUUMNewSCAHP1ELC20</v>
      </c>
      <c r="G2385" s="4">
        <f>IF(SUMIFS('RES TECH'!N:N,'RES TECH'!M:M,C2385)&gt;0,1,0)</f>
        <v>1</v>
      </c>
      <c r="H2385" s="4">
        <f t="shared" si="37"/>
        <v>0</v>
      </c>
    </row>
    <row r="2386" spans="3:8" x14ac:dyDescent="0.25">
      <c r="C2386" t="str">
        <f>'RES TECH'!M2385</f>
        <v>RESHOUUMNewSCAHP1ELC23</v>
      </c>
      <c r="G2386" s="4">
        <f>IF(SUMIFS('RES TECH'!N:N,'RES TECH'!M:M,C2386)&gt;0,1,0)</f>
        <v>1</v>
      </c>
      <c r="H2386" s="4">
        <f t="shared" si="37"/>
        <v>0</v>
      </c>
    </row>
    <row r="2387" spans="3:8" x14ac:dyDescent="0.25">
      <c r="C2387" t="str">
        <f>'RES TECH'!M2386</f>
        <v>RESHOUUMNewSCAHP2ELC20</v>
      </c>
      <c r="G2387" s="4">
        <f>IF(SUMIFS('RES TECH'!N:N,'RES TECH'!M:M,C2387)&gt;0,1,0)</f>
        <v>1</v>
      </c>
      <c r="H2387" s="4">
        <f t="shared" si="37"/>
        <v>0</v>
      </c>
    </row>
    <row r="2388" spans="3:8" x14ac:dyDescent="0.25">
      <c r="C2388" t="str">
        <f>'RES TECH'!M2387</f>
        <v>RESHOUUMNewSCAHP2ELC23</v>
      </c>
      <c r="G2388" s="4">
        <f>IF(SUMIFS('RES TECH'!N:N,'RES TECH'!M:M,C2388)&gt;0,1,0)</f>
        <v>1</v>
      </c>
      <c r="H2388" s="4">
        <f t="shared" si="37"/>
        <v>0</v>
      </c>
    </row>
    <row r="2389" spans="3:8" x14ac:dyDescent="0.25">
      <c r="C2389" t="str">
        <f>'RES TECH'!M2388</f>
        <v>RESHOUUMNewSCAHP3ELC20</v>
      </c>
      <c r="G2389" s="4">
        <f>IF(SUMIFS('RES TECH'!N:N,'RES TECH'!M:M,C2389)&gt;0,1,0)</f>
        <v>1</v>
      </c>
      <c r="H2389" s="4">
        <f t="shared" si="37"/>
        <v>0</v>
      </c>
    </row>
    <row r="2390" spans="3:8" x14ac:dyDescent="0.25">
      <c r="C2390" t="str">
        <f>'RES TECH'!M2389</f>
        <v>RESHOUUMNewSCAHP3ELC22</v>
      </c>
      <c r="G2390" s="4">
        <f>IF(SUMIFS('RES TECH'!N:N,'RES TECH'!M:M,C2390)&gt;0,1,0)</f>
        <v>1</v>
      </c>
      <c r="H2390" s="4">
        <f t="shared" si="37"/>
        <v>0</v>
      </c>
    </row>
    <row r="2391" spans="3:8" x14ac:dyDescent="0.25">
      <c r="C2391" t="str">
        <f>'RES TECH'!M2390</f>
        <v>RESHOUUMNewSCAHP3ELC23</v>
      </c>
      <c r="G2391" s="4">
        <f>IF(SUMIFS('RES TECH'!N:N,'RES TECH'!M:M,C2391)&gt;0,1,0)</f>
        <v>1</v>
      </c>
      <c r="H2391" s="4">
        <f t="shared" si="37"/>
        <v>0</v>
      </c>
    </row>
    <row r="2392" spans="3:8" x14ac:dyDescent="0.25">
      <c r="C2392" t="str">
        <f>'RES TECH'!M2391</f>
        <v>RESHOUUMNewSCAHP4ELC20</v>
      </c>
      <c r="G2392" s="4">
        <f>IF(SUMIFS('RES TECH'!N:N,'RES TECH'!M:M,C2392)&gt;0,1,0)</f>
        <v>1</v>
      </c>
      <c r="H2392" s="4">
        <f t="shared" si="37"/>
        <v>0</v>
      </c>
    </row>
    <row r="2393" spans="3:8" x14ac:dyDescent="0.25">
      <c r="C2393" t="str">
        <f>'RES TECH'!M2392</f>
        <v>RESHOUUMNewSCAHP4ELC22</v>
      </c>
      <c r="G2393" s="4">
        <f>IF(SUMIFS('RES TECH'!N:N,'RES TECH'!M:M,C2393)&gt;0,1,0)</f>
        <v>1</v>
      </c>
      <c r="H2393" s="4">
        <f t="shared" si="37"/>
        <v>0</v>
      </c>
    </row>
    <row r="2394" spans="3:8" x14ac:dyDescent="0.25">
      <c r="C2394" t="str">
        <f>'RES TECH'!M2393</f>
        <v>RESHOUUMNewSCGHP1ELC20</v>
      </c>
      <c r="G2394" s="4">
        <f>IF(SUMIFS('RES TECH'!N:N,'RES TECH'!M:M,C2394)&gt;0,1,0)</f>
        <v>1</v>
      </c>
      <c r="H2394" s="4">
        <f t="shared" si="37"/>
        <v>0</v>
      </c>
    </row>
    <row r="2395" spans="3:8" x14ac:dyDescent="0.25">
      <c r="C2395" t="str">
        <f>'RES TECH'!M2394</f>
        <v>RESHOUUMNewSCGHP2ELC20</v>
      </c>
      <c r="G2395" s="4">
        <f>IF(SUMIFS('RES TECH'!N:N,'RES TECH'!M:M,C2395)&gt;0,1,0)</f>
        <v>1</v>
      </c>
      <c r="H2395" s="4">
        <f t="shared" si="37"/>
        <v>0</v>
      </c>
    </row>
    <row r="2396" spans="3:8" x14ac:dyDescent="0.25">
      <c r="C2396" t="str">
        <f>'RES TECH'!M2395</f>
        <v>RESHOUUMNewSCGHP3ELC20</v>
      </c>
      <c r="G2396" s="4">
        <f>IF(SUMIFS('RES TECH'!N:N,'RES TECH'!M:M,C2396)&gt;0,1,0)</f>
        <v>1</v>
      </c>
      <c r="H2396" s="4">
        <f t="shared" si="37"/>
        <v>0</v>
      </c>
    </row>
    <row r="2397" spans="3:8" x14ac:dyDescent="0.25">
      <c r="C2397" t="str">
        <f>'RES TECH'!M2396</f>
        <v>RESHOUUMNewSCGHP3ELC20</v>
      </c>
      <c r="G2397" s="4">
        <f>IF(SUMIFS('RES TECH'!N:N,'RES TECH'!M:M,C2397)&gt;0,1,0)</f>
        <v>1</v>
      </c>
      <c r="H2397" s="4">
        <f t="shared" si="37"/>
        <v>0</v>
      </c>
    </row>
    <row r="2398" spans="3:8" x14ac:dyDescent="0.25">
      <c r="C2398" t="str">
        <f>'RES TECH'!M2397</f>
        <v>RESHOUUMNewSCGHP3ELC22</v>
      </c>
      <c r="G2398" s="4">
        <f>IF(SUMIFS('RES TECH'!N:N,'RES TECH'!M:M,C2398)&gt;0,1,0)</f>
        <v>1</v>
      </c>
      <c r="H2398" s="4">
        <f t="shared" si="37"/>
        <v>0</v>
      </c>
    </row>
    <row r="2399" spans="3:8" x14ac:dyDescent="0.25">
      <c r="C2399" t="str">
        <f>'RES TECH'!M2398</f>
        <v>RESHOUUMNewSCGHP3ELC23</v>
      </c>
      <c r="G2399" s="4">
        <f>IF(SUMIFS('RES TECH'!N:N,'RES TECH'!M:M,C2399)&gt;0,1,0)</f>
        <v>1</v>
      </c>
      <c r="H2399" s="4">
        <f t="shared" si="37"/>
        <v>0</v>
      </c>
    </row>
    <row r="2400" spans="3:8" x14ac:dyDescent="0.25">
      <c r="C2400" t="str">
        <f>'RES TECH'!M2399</f>
        <v>RESHOUUMNewSCGHP3ELC24</v>
      </c>
      <c r="G2400" s="4">
        <f>IF(SUMIFS('RES TECH'!N:N,'RES TECH'!M:M,C2400)&gt;0,1,0)</f>
        <v>1</v>
      </c>
      <c r="H2400" s="4">
        <f t="shared" si="37"/>
        <v>0</v>
      </c>
    </row>
    <row r="2401" spans="3:8" x14ac:dyDescent="0.25">
      <c r="C2401" t="str">
        <f>'RES TECH'!M2400</f>
        <v>RESHOUUMNewSCGHP4ELC20</v>
      </c>
      <c r="G2401" s="4">
        <f>IF(SUMIFS('RES TECH'!N:N,'RES TECH'!M:M,C2401)&gt;0,1,0)</f>
        <v>1</v>
      </c>
      <c r="H2401" s="4">
        <f t="shared" si="37"/>
        <v>0</v>
      </c>
    </row>
    <row r="2402" spans="3:8" x14ac:dyDescent="0.25">
      <c r="C2402" t="str">
        <f>'RES TECH'!M2401</f>
        <v>RESHOUUMNewSCGHP4ELC20</v>
      </c>
      <c r="G2402" s="4">
        <f>IF(SUMIFS('RES TECH'!N:N,'RES TECH'!M:M,C2402)&gt;0,1,0)</f>
        <v>1</v>
      </c>
      <c r="H2402" s="4">
        <f t="shared" si="37"/>
        <v>0</v>
      </c>
    </row>
    <row r="2403" spans="3:8" x14ac:dyDescent="0.25">
      <c r="C2403" t="str">
        <f>'RES TECH'!M2402</f>
        <v>RESHOUUMNewSCGHP4ELC22</v>
      </c>
      <c r="G2403" s="4">
        <f>IF(SUMIFS('RES TECH'!N:N,'RES TECH'!M:M,C2403)&gt;0,1,0)</f>
        <v>1</v>
      </c>
      <c r="H2403" s="4">
        <f t="shared" si="37"/>
        <v>0</v>
      </c>
    </row>
    <row r="2404" spans="3:8" x14ac:dyDescent="0.25">
      <c r="C2404" t="str">
        <f>'RES TECH'!M2403</f>
        <v>RESHOUUMNewSCGHP4ELC23</v>
      </c>
      <c r="G2404" s="4">
        <f>IF(SUMIFS('RES TECH'!N:N,'RES TECH'!M:M,C2404)&gt;0,1,0)</f>
        <v>1</v>
      </c>
      <c r="H2404" s="4">
        <f t="shared" si="37"/>
        <v>0</v>
      </c>
    </row>
    <row r="2405" spans="3:8" x14ac:dyDescent="0.25">
      <c r="C2405" t="str">
        <f>'RES TECH'!M2404</f>
        <v>RESHOUUMNewSCGHP4ELC24</v>
      </c>
      <c r="G2405" s="4">
        <f>IF(SUMIFS('RES TECH'!N:N,'RES TECH'!M:M,C2405)&gt;0,1,0)</f>
        <v>1</v>
      </c>
      <c r="H2405" s="4">
        <f t="shared" si="37"/>
        <v>0</v>
      </c>
    </row>
    <row r="2406" spans="3:8" x14ac:dyDescent="0.25">
      <c r="C2406" t="str">
        <f>'RES TECH'!M2405</f>
        <v>RESHOUUMNewSCRAC1ELC20</v>
      </c>
      <c r="G2406" s="4">
        <f>IF(SUMIFS('RES TECH'!N:N,'RES TECH'!M:M,C2406)&gt;0,1,0)</f>
        <v>1</v>
      </c>
      <c r="H2406" s="4">
        <f t="shared" si="37"/>
        <v>0</v>
      </c>
    </row>
    <row r="2407" spans="3:8" x14ac:dyDescent="0.25">
      <c r="C2407" t="str">
        <f>'RES TECH'!M2406</f>
        <v>RESHOUUMNewSCRAC2ELC20</v>
      </c>
      <c r="G2407" s="4">
        <f>IF(SUMIFS('RES TECH'!N:N,'RES TECH'!M:M,C2407)&gt;0,1,0)</f>
        <v>1</v>
      </c>
      <c r="H2407" s="4">
        <f t="shared" si="37"/>
        <v>0</v>
      </c>
    </row>
    <row r="2408" spans="3:8" x14ac:dyDescent="0.25">
      <c r="C2408" t="str">
        <f>'RES TECH'!M2407</f>
        <v>RESHOUUMNewSCRAC2ELC30</v>
      </c>
      <c r="G2408" s="4">
        <f>IF(SUMIFS('RES TECH'!N:N,'RES TECH'!M:M,C2408)&gt;0,1,0)</f>
        <v>1</v>
      </c>
      <c r="H2408" s="4">
        <f t="shared" si="37"/>
        <v>0</v>
      </c>
    </row>
    <row r="2409" spans="3:8" x14ac:dyDescent="0.25">
      <c r="C2409" t="str">
        <f>'RES TECH'!M2408</f>
        <v>RESHOUUMNewSCRAC2ELC40</v>
      </c>
      <c r="G2409" s="4">
        <f>IF(SUMIFS('RES TECH'!N:N,'RES TECH'!M:M,C2409)&gt;0,1,0)</f>
        <v>1</v>
      </c>
      <c r="H2409" s="4">
        <f t="shared" si="37"/>
        <v>0</v>
      </c>
    </row>
    <row r="2410" spans="3:8" x14ac:dyDescent="0.25">
      <c r="C2410" t="str">
        <f>'RES TECH'!M2409</f>
        <v>RESHOUUMNewSCRAC3ELC20</v>
      </c>
      <c r="G2410" s="4">
        <f>IF(SUMIFS('RES TECH'!N:N,'RES TECH'!M:M,C2410)&gt;0,1,0)</f>
        <v>1</v>
      </c>
      <c r="H2410" s="4">
        <f t="shared" si="37"/>
        <v>0</v>
      </c>
    </row>
    <row r="2411" spans="3:8" x14ac:dyDescent="0.25">
      <c r="C2411" t="str">
        <f>'RES TECH'!M2410</f>
        <v>RESHOUUMNewSCRAC4ELC20</v>
      </c>
      <c r="G2411" s="4">
        <f>IF(SUMIFS('RES TECH'!N:N,'RES TECH'!M:M,C2411)&gt;0,1,0)</f>
        <v>1</v>
      </c>
      <c r="H2411" s="4">
        <f t="shared" si="37"/>
        <v>0</v>
      </c>
    </row>
    <row r="2412" spans="3:8" x14ac:dyDescent="0.25">
      <c r="C2412" t="str">
        <f>'RES TECH'!M2411</f>
        <v>RESHOUUMNewSCRAC4ELC22</v>
      </c>
      <c r="G2412" s="4">
        <f>IF(SUMIFS('RES TECH'!N:N,'RES TECH'!M:M,C2412)&gt;0,1,0)</f>
        <v>1</v>
      </c>
      <c r="H2412" s="4">
        <f t="shared" si="37"/>
        <v>0</v>
      </c>
    </row>
    <row r="2413" spans="3:8" x14ac:dyDescent="0.25">
      <c r="C2413" t="str">
        <f>'RES TECH'!M2412</f>
        <v>RESHOUUMNewSCRAC4ELC30</v>
      </c>
      <c r="G2413" s="4">
        <f>IF(SUMIFS('RES TECH'!N:N,'RES TECH'!M:M,C2413)&gt;0,1,0)</f>
        <v>1</v>
      </c>
      <c r="H2413" s="4">
        <f t="shared" si="37"/>
        <v>0</v>
      </c>
    </row>
    <row r="2414" spans="3:8" x14ac:dyDescent="0.25">
      <c r="C2414" t="str">
        <f>'RES TECH'!M2413</f>
        <v>RESHOUUMNewSCRAC4ELC40</v>
      </c>
      <c r="G2414" s="4">
        <f>IF(SUMIFS('RES TECH'!N:N,'RES TECH'!M:M,C2414)&gt;0,1,0)</f>
        <v>1</v>
      </c>
      <c r="H2414" s="4">
        <f t="shared" si="37"/>
        <v>0</v>
      </c>
    </row>
    <row r="2415" spans="3:8" x14ac:dyDescent="0.25">
      <c r="C2415" t="str">
        <f>'RES TECH'!M2414</f>
        <v>RESHOUUMNewSCCAC1ELC20</v>
      </c>
      <c r="G2415" s="4">
        <f>IF(SUMIFS('RES TECH'!N:N,'RES TECH'!M:M,C2415)&gt;0,1,0)</f>
        <v>1</v>
      </c>
      <c r="H2415" s="4">
        <f t="shared" si="37"/>
        <v>0</v>
      </c>
    </row>
    <row r="2416" spans="3:8" x14ac:dyDescent="0.25">
      <c r="C2416" t="str">
        <f>'RES TECH'!M2415</f>
        <v>RESHOUUMNewSCCAC1ELC23</v>
      </c>
      <c r="G2416" s="4">
        <f>IF(SUMIFS('RES TECH'!N:N,'RES TECH'!M:M,C2416)&gt;0,1,0)</f>
        <v>1</v>
      </c>
      <c r="H2416" s="4">
        <f t="shared" si="37"/>
        <v>0</v>
      </c>
    </row>
    <row r="2417" spans="3:8" x14ac:dyDescent="0.25">
      <c r="C2417" t="str">
        <f>'RES TECH'!M2416</f>
        <v>RESHOUUMNewSCCAC2ELC20</v>
      </c>
      <c r="G2417" s="4">
        <f>IF(SUMIFS('RES TECH'!N:N,'RES TECH'!M:M,C2417)&gt;0,1,0)</f>
        <v>1</v>
      </c>
      <c r="H2417" s="4">
        <f t="shared" si="37"/>
        <v>0</v>
      </c>
    </row>
    <row r="2418" spans="3:8" x14ac:dyDescent="0.25">
      <c r="C2418" t="str">
        <f>'RES TECH'!M2417</f>
        <v>RESHOUUMNewSCCAC2ELC23</v>
      </c>
      <c r="G2418" s="4">
        <f>IF(SUMIFS('RES TECH'!N:N,'RES TECH'!M:M,C2418)&gt;0,1,0)</f>
        <v>1</v>
      </c>
      <c r="H2418" s="4">
        <f t="shared" si="37"/>
        <v>0</v>
      </c>
    </row>
    <row r="2419" spans="3:8" x14ac:dyDescent="0.25">
      <c r="C2419" t="str">
        <f>'RES TECH'!M2418</f>
        <v>RESHOUUMNewSCCAC3ELC20</v>
      </c>
      <c r="G2419" s="4">
        <f>IF(SUMIFS('RES TECH'!N:N,'RES TECH'!M:M,C2419)&gt;0,1,0)</f>
        <v>1</v>
      </c>
      <c r="H2419" s="4">
        <f t="shared" si="37"/>
        <v>0</v>
      </c>
    </row>
    <row r="2420" spans="3:8" x14ac:dyDescent="0.25">
      <c r="C2420" t="str">
        <f>'RES TECH'!M2419</f>
        <v>RESHOUUMNewSCCAC3ELC23</v>
      </c>
      <c r="G2420" s="4">
        <f>IF(SUMIFS('RES TECH'!N:N,'RES TECH'!M:M,C2420)&gt;0,1,0)</f>
        <v>1</v>
      </c>
      <c r="H2420" s="4">
        <f t="shared" si="37"/>
        <v>0</v>
      </c>
    </row>
    <row r="2421" spans="3:8" x14ac:dyDescent="0.25">
      <c r="C2421" t="str">
        <f>'RES TECH'!M2420</f>
        <v>RESHOUUMNewSCCAC4ELC20</v>
      </c>
      <c r="G2421" s="4">
        <f>IF(SUMIFS('RES TECH'!N:N,'RES TECH'!M:M,C2421)&gt;0,1,0)</f>
        <v>1</v>
      </c>
      <c r="H2421" s="4">
        <f t="shared" si="37"/>
        <v>0</v>
      </c>
    </row>
    <row r="2422" spans="3:8" x14ac:dyDescent="0.25">
      <c r="C2422" t="str">
        <f>'RES TECH'!M2421</f>
        <v>RESHOUUMNewSCCAC4ELC22</v>
      </c>
      <c r="G2422" s="4">
        <f>IF(SUMIFS('RES TECH'!N:N,'RES TECH'!M:M,C2422)&gt;0,1,0)</f>
        <v>1</v>
      </c>
      <c r="H2422" s="4">
        <f t="shared" si="37"/>
        <v>0</v>
      </c>
    </row>
    <row r="2423" spans="3:8" x14ac:dyDescent="0.25">
      <c r="C2423" t="str">
        <f>'RES TECH'!M2422</f>
        <v>RESHOUUMNewRETF1ELC20</v>
      </c>
      <c r="G2423" s="4">
        <f>IF(SUMIFS('RES TECH'!N:N,'RES TECH'!M:M,C2423)&gt;0,1,0)</f>
        <v>1</v>
      </c>
      <c r="H2423" s="4">
        <f t="shared" si="37"/>
        <v>0</v>
      </c>
    </row>
    <row r="2424" spans="3:8" x14ac:dyDescent="0.25">
      <c r="C2424" t="str">
        <f>'RES TECH'!M2423</f>
        <v>RESHOUUMNewRETF2ELC20</v>
      </c>
      <c r="G2424" s="4">
        <f>IF(SUMIFS('RES TECH'!N:N,'RES TECH'!M:M,C2424)&gt;0,1,0)</f>
        <v>1</v>
      </c>
      <c r="H2424" s="4">
        <f t="shared" si="37"/>
        <v>0</v>
      </c>
    </row>
    <row r="2425" spans="3:8" x14ac:dyDescent="0.25">
      <c r="C2425" t="str">
        <f>'RES TECH'!M2424</f>
        <v>RESHOUUMNewRETF3ELC20</v>
      </c>
      <c r="G2425" s="4">
        <f>IF(SUMIFS('RES TECH'!N:N,'RES TECH'!M:M,C2425)&gt;0,1,0)</f>
        <v>1</v>
      </c>
      <c r="H2425" s="4">
        <f t="shared" si="37"/>
        <v>0</v>
      </c>
    </row>
    <row r="2426" spans="3:8" x14ac:dyDescent="0.25">
      <c r="C2426" t="str">
        <f>'RES TECH'!M2425</f>
        <v>RESHOUUMNewRETF4ELC20</v>
      </c>
      <c r="G2426" s="4">
        <f>IF(SUMIFS('RES TECH'!N:N,'RES TECH'!M:M,C2426)&gt;0,1,0)</f>
        <v>1</v>
      </c>
      <c r="H2426" s="4">
        <f t="shared" si="37"/>
        <v>0</v>
      </c>
    </row>
    <row r="2427" spans="3:8" x14ac:dyDescent="0.25">
      <c r="C2427" t="str">
        <f>'RES TECH'!M2426</f>
        <v>RESHOUUMNewRESF1ELC20</v>
      </c>
      <c r="G2427" s="4">
        <f>IF(SUMIFS('RES TECH'!N:N,'RES TECH'!M:M,C2427)&gt;0,1,0)</f>
        <v>1</v>
      </c>
      <c r="H2427" s="4">
        <f t="shared" si="37"/>
        <v>0</v>
      </c>
    </row>
    <row r="2428" spans="3:8" x14ac:dyDescent="0.25">
      <c r="C2428" t="str">
        <f>'RES TECH'!M2427</f>
        <v>RESHOUUMNewRESF2ELC20</v>
      </c>
      <c r="G2428" s="4">
        <f>IF(SUMIFS('RES TECH'!N:N,'RES TECH'!M:M,C2428)&gt;0,1,0)</f>
        <v>1</v>
      </c>
      <c r="H2428" s="4">
        <f t="shared" si="37"/>
        <v>0</v>
      </c>
    </row>
    <row r="2429" spans="3:8" x14ac:dyDescent="0.25">
      <c r="C2429" t="str">
        <f>'RES TECH'!M2428</f>
        <v>RESHOUUMNewRESF3ELC20</v>
      </c>
      <c r="G2429" s="4">
        <f>IF(SUMIFS('RES TECH'!N:N,'RES TECH'!M:M,C2429)&gt;0,1,0)</f>
        <v>1</v>
      </c>
      <c r="H2429" s="4">
        <f t="shared" si="37"/>
        <v>0</v>
      </c>
    </row>
    <row r="2430" spans="3:8" x14ac:dyDescent="0.25">
      <c r="C2430" t="str">
        <f>'RES TECH'!M2429</f>
        <v>RESHOUUMNewRESF4ELC20</v>
      </c>
      <c r="G2430" s="4">
        <f>IF(SUMIFS('RES TECH'!N:N,'RES TECH'!M:M,C2430)&gt;0,1,0)</f>
        <v>1</v>
      </c>
      <c r="H2430" s="4">
        <f t="shared" si="37"/>
        <v>0</v>
      </c>
    </row>
    <row r="2431" spans="3:8" x14ac:dyDescent="0.25">
      <c r="C2431" t="str">
        <f>'RES TECH'!M2430</f>
        <v>RESHOUUMNewREBF1ELC20</v>
      </c>
      <c r="G2431" s="4">
        <f>IF(SUMIFS('RES TECH'!N:N,'RES TECH'!M:M,C2431)&gt;0,1,0)</f>
        <v>1</v>
      </c>
      <c r="H2431" s="4">
        <f t="shared" si="37"/>
        <v>0</v>
      </c>
    </row>
    <row r="2432" spans="3:8" x14ac:dyDescent="0.25">
      <c r="C2432" t="str">
        <f>'RES TECH'!M2431</f>
        <v>RESHOUUMNewREBF2ELC20</v>
      </c>
      <c r="G2432" s="4">
        <f>IF(SUMIFS('RES TECH'!N:N,'RES TECH'!M:M,C2432)&gt;0,1,0)</f>
        <v>1</v>
      </c>
      <c r="H2432" s="4">
        <f t="shared" si="37"/>
        <v>0</v>
      </c>
    </row>
    <row r="2433" spans="3:8" x14ac:dyDescent="0.25">
      <c r="C2433" t="str">
        <f>'RES TECH'!M2432</f>
        <v>RESHOUUMNewREBF3ELC20</v>
      </c>
      <c r="G2433" s="4">
        <f>IF(SUMIFS('RES TECH'!N:N,'RES TECH'!M:M,C2433)&gt;0,1,0)</f>
        <v>1</v>
      </c>
      <c r="H2433" s="4">
        <f t="shared" si="37"/>
        <v>0</v>
      </c>
    </row>
    <row r="2434" spans="3:8" x14ac:dyDescent="0.25">
      <c r="C2434" t="str">
        <f>'RES TECH'!M2433</f>
        <v>RESHOUUMNewREBF4ELC20</v>
      </c>
      <c r="G2434" s="4">
        <f>IF(SUMIFS('RES TECH'!N:N,'RES TECH'!M:M,C2434)&gt;0,1,0)</f>
        <v>1</v>
      </c>
      <c r="H2434" s="4">
        <f t="shared" si="37"/>
        <v>0</v>
      </c>
    </row>
    <row r="2435" spans="3:8" x14ac:dyDescent="0.25">
      <c r="C2435" t="str">
        <f>'RES TECH'!M2434</f>
        <v>RESHOUUMNewFRC1ELC20</v>
      </c>
      <c r="G2435" s="4">
        <f>IF(SUMIFS('RES TECH'!N:N,'RES TECH'!M:M,C2435)&gt;0,1,0)</f>
        <v>1</v>
      </c>
      <c r="H2435" s="4">
        <f t="shared" si="37"/>
        <v>0</v>
      </c>
    </row>
    <row r="2436" spans="3:8" x14ac:dyDescent="0.25">
      <c r="C2436" t="str">
        <f>'RES TECH'!M2435</f>
        <v>RESHOUUMNewFRC2ELC20</v>
      </c>
      <c r="G2436" s="4">
        <f>IF(SUMIFS('RES TECH'!N:N,'RES TECH'!M:M,C2436)&gt;0,1,0)</f>
        <v>1</v>
      </c>
      <c r="H2436" s="4">
        <f t="shared" si="37"/>
        <v>0</v>
      </c>
    </row>
    <row r="2437" spans="3:8" x14ac:dyDescent="0.25">
      <c r="C2437" t="str">
        <f>'RES TECH'!M2436</f>
        <v>RESHOUUMNewFRC3ELC20</v>
      </c>
      <c r="G2437" s="4">
        <f>IF(SUMIFS('RES TECH'!N:N,'RES TECH'!M:M,C2437)&gt;0,1,0)</f>
        <v>1</v>
      </c>
      <c r="H2437" s="4">
        <f t="shared" ref="H2437:H2500" si="38">IF(C2437="","",IF(C2437="*","*",0))</f>
        <v>0</v>
      </c>
    </row>
    <row r="2438" spans="3:8" x14ac:dyDescent="0.25">
      <c r="C2438" t="str">
        <f>'RES TECH'!M2437</f>
        <v>RESHOUUMNewFRC4ELC20</v>
      </c>
      <c r="G2438" s="4">
        <f>IF(SUMIFS('RES TECH'!N:N,'RES TECH'!M:M,C2438)&gt;0,1,0)</f>
        <v>1</v>
      </c>
      <c r="H2438" s="4">
        <f t="shared" si="38"/>
        <v>0</v>
      </c>
    </row>
    <row r="2439" spans="3:8" x14ac:dyDescent="0.25">
      <c r="C2439" t="str">
        <f>'RES TECH'!M2438</f>
        <v>RESHOUUMNewFRU1ELC20</v>
      </c>
      <c r="G2439" s="4">
        <f>IF(SUMIFS('RES TECH'!N:N,'RES TECH'!M:M,C2439)&gt;0,1,0)</f>
        <v>1</v>
      </c>
      <c r="H2439" s="4">
        <f t="shared" si="38"/>
        <v>0</v>
      </c>
    </row>
    <row r="2440" spans="3:8" x14ac:dyDescent="0.25">
      <c r="C2440" t="str">
        <f>'RES TECH'!M2439</f>
        <v>RESHOUUMNewFRU2ELC20</v>
      </c>
      <c r="G2440" s="4">
        <f>IF(SUMIFS('RES TECH'!N:N,'RES TECH'!M:M,C2440)&gt;0,1,0)</f>
        <v>1</v>
      </c>
      <c r="H2440" s="4">
        <f t="shared" si="38"/>
        <v>0</v>
      </c>
    </row>
    <row r="2441" spans="3:8" x14ac:dyDescent="0.25">
      <c r="C2441" t="str">
        <f>'RES TECH'!M2440</f>
        <v>RESHOUUMNewFRU3ELC20</v>
      </c>
      <c r="G2441" s="4">
        <f>IF(SUMIFS('RES TECH'!N:N,'RES TECH'!M:M,C2441)&gt;0,1,0)</f>
        <v>1</v>
      </c>
      <c r="H2441" s="4">
        <f t="shared" si="38"/>
        <v>0</v>
      </c>
    </row>
    <row r="2442" spans="3:8" x14ac:dyDescent="0.25">
      <c r="C2442" t="str">
        <f>'RES TECH'!M2441</f>
        <v>RESHOUUMNewFRU4ELC20</v>
      </c>
      <c r="G2442" s="4">
        <f>IF(SUMIFS('RES TECH'!N:N,'RES TECH'!M:M,C2442)&gt;0,1,0)</f>
        <v>1</v>
      </c>
      <c r="H2442" s="4">
        <f t="shared" si="38"/>
        <v>0</v>
      </c>
    </row>
    <row r="2443" spans="3:8" x14ac:dyDescent="0.25">
      <c r="C2443" t="str">
        <f>'RES TECH'!M2442</f>
        <v>RESHOUUMNewCK2NGA20</v>
      </c>
      <c r="G2443" s="4">
        <f>IF(SUMIFS('RES TECH'!N:N,'RES TECH'!M:M,C2443)&gt;0,1,0)</f>
        <v>1</v>
      </c>
      <c r="H2443" s="4">
        <f t="shared" si="38"/>
        <v>0</v>
      </c>
    </row>
    <row r="2444" spans="3:8" x14ac:dyDescent="0.25">
      <c r="C2444" t="str">
        <f>'RES TECH'!M2443</f>
        <v>RESHOUUMNewCK4NGA20</v>
      </c>
      <c r="G2444" s="4">
        <f>IF(SUMIFS('RES TECH'!N:N,'RES TECH'!M:M,C2444)&gt;0,1,0)</f>
        <v>1</v>
      </c>
      <c r="H2444" s="4">
        <f t="shared" si="38"/>
        <v>0</v>
      </c>
    </row>
    <row r="2445" spans="3:8" x14ac:dyDescent="0.25">
      <c r="C2445" t="str">
        <f>'RES TECH'!M2444</f>
        <v>RESHOUUMNewCK2LPG20</v>
      </c>
      <c r="G2445" s="4">
        <f>IF(SUMIFS('RES TECH'!N:N,'RES TECH'!M:M,C2445)&gt;0,1,0)</f>
        <v>1</v>
      </c>
      <c r="H2445" s="4">
        <f t="shared" si="38"/>
        <v>0</v>
      </c>
    </row>
    <row r="2446" spans="3:8" x14ac:dyDescent="0.25">
      <c r="C2446" t="str">
        <f>'RES TECH'!M2445</f>
        <v>RESHOUUMNewCK4LPG20</v>
      </c>
      <c r="G2446" s="4">
        <f>IF(SUMIFS('RES TECH'!N:N,'RES TECH'!M:M,C2446)&gt;0,1,0)</f>
        <v>1</v>
      </c>
      <c r="H2446" s="4">
        <f t="shared" si="38"/>
        <v>0</v>
      </c>
    </row>
    <row r="2447" spans="3:8" x14ac:dyDescent="0.25">
      <c r="C2447" t="str">
        <f>'RES TECH'!M2446</f>
        <v>RESHOUUMNewCK2ELC20</v>
      </c>
      <c r="G2447" s="4">
        <f>IF(SUMIFS('RES TECH'!N:N,'RES TECH'!M:M,C2447)&gt;0,1,0)</f>
        <v>1</v>
      </c>
      <c r="H2447" s="4">
        <f t="shared" si="38"/>
        <v>0</v>
      </c>
    </row>
    <row r="2448" spans="3:8" x14ac:dyDescent="0.25">
      <c r="C2448" t="str">
        <f>'RES TECH'!M2447</f>
        <v>RESHOUUMNewCWF4ELC30</v>
      </c>
      <c r="G2448" s="4">
        <f>IF(SUMIFS('RES TECH'!N:N,'RES TECH'!M:M,C2448)&gt;0,1,0)</f>
        <v>1</v>
      </c>
      <c r="H2448" s="4">
        <f t="shared" si="38"/>
        <v>0</v>
      </c>
    </row>
    <row r="2449" spans="3:8" x14ac:dyDescent="0.25">
      <c r="C2449" t="str">
        <f>'RES TECH'!M2448</f>
        <v>RESHOUUMNewCWT1ELC20</v>
      </c>
      <c r="G2449" s="4">
        <f>IF(SUMIFS('RES TECH'!N:N,'RES TECH'!M:M,C2449)&gt;0,1,0)</f>
        <v>1</v>
      </c>
      <c r="H2449" s="4">
        <f t="shared" si="38"/>
        <v>0</v>
      </c>
    </row>
    <row r="2450" spans="3:8" x14ac:dyDescent="0.25">
      <c r="C2450" t="str">
        <f>'RES TECH'!M2449</f>
        <v>RESHOUUMNewCWT2ELC20</v>
      </c>
      <c r="G2450" s="4">
        <f>IF(SUMIFS('RES TECH'!N:N,'RES TECH'!M:M,C2450)&gt;0,1,0)</f>
        <v>1</v>
      </c>
      <c r="H2450" s="4">
        <f t="shared" si="38"/>
        <v>0</v>
      </c>
    </row>
    <row r="2451" spans="3:8" x14ac:dyDescent="0.25">
      <c r="C2451" t="str">
        <f>'RES TECH'!M2450</f>
        <v>RESHOUUMNewCWT2ELC20</v>
      </c>
      <c r="G2451" s="4">
        <f>IF(SUMIFS('RES TECH'!N:N,'RES TECH'!M:M,C2451)&gt;0,1,0)</f>
        <v>1</v>
      </c>
      <c r="H2451" s="4">
        <f t="shared" si="38"/>
        <v>0</v>
      </c>
    </row>
    <row r="2452" spans="3:8" x14ac:dyDescent="0.25">
      <c r="C2452" t="str">
        <f>'RES TECH'!M2451</f>
        <v>RESHOUUMNewCWT3ELC20</v>
      </c>
      <c r="G2452" s="4">
        <f>IF(SUMIFS('RES TECH'!N:N,'RES TECH'!M:M,C2452)&gt;0,1,0)</f>
        <v>1</v>
      </c>
      <c r="H2452" s="4">
        <f t="shared" si="38"/>
        <v>0</v>
      </c>
    </row>
    <row r="2453" spans="3:8" x14ac:dyDescent="0.25">
      <c r="C2453" t="str">
        <f>'RES TECH'!M2452</f>
        <v>RESHOUUMNewCWT4ELC20</v>
      </c>
      <c r="G2453" s="4">
        <f>IF(SUMIFS('RES TECH'!N:N,'RES TECH'!M:M,C2453)&gt;0,1,0)</f>
        <v>1</v>
      </c>
      <c r="H2453" s="4">
        <f t="shared" si="38"/>
        <v>0</v>
      </c>
    </row>
    <row r="2454" spans="3:8" x14ac:dyDescent="0.25">
      <c r="C2454" t="str">
        <f>'RES TECH'!M2453</f>
        <v>RESHOUUMNewCWF1ELC20</v>
      </c>
      <c r="G2454" s="4">
        <f>IF(SUMIFS('RES TECH'!N:N,'RES TECH'!M:M,C2454)&gt;0,1,0)</f>
        <v>1</v>
      </c>
      <c r="H2454" s="4">
        <f t="shared" si="38"/>
        <v>0</v>
      </c>
    </row>
    <row r="2455" spans="3:8" x14ac:dyDescent="0.25">
      <c r="C2455" t="str">
        <f>'RES TECH'!M2454</f>
        <v>RESHOUUMNewCWF2ELC20</v>
      </c>
      <c r="G2455" s="4">
        <f>IF(SUMIFS('RES TECH'!N:N,'RES TECH'!M:M,C2455)&gt;0,1,0)</f>
        <v>1</v>
      </c>
      <c r="H2455" s="4">
        <f t="shared" si="38"/>
        <v>0</v>
      </c>
    </row>
    <row r="2456" spans="3:8" x14ac:dyDescent="0.25">
      <c r="C2456" t="str">
        <f>'RES TECH'!M2455</f>
        <v>RESHOUUMNewCWF2ELC30</v>
      </c>
      <c r="G2456" s="4">
        <f>IF(SUMIFS('RES TECH'!N:N,'RES TECH'!M:M,C2456)&gt;0,1,0)</f>
        <v>1</v>
      </c>
      <c r="H2456" s="4">
        <f t="shared" si="38"/>
        <v>0</v>
      </c>
    </row>
    <row r="2457" spans="3:8" x14ac:dyDescent="0.25">
      <c r="C2457" t="str">
        <f>'RES TECH'!M2456</f>
        <v>RESHOUUMNewCWF3ELC20</v>
      </c>
      <c r="G2457" s="4">
        <f>IF(SUMIFS('RES TECH'!N:N,'RES TECH'!M:M,C2457)&gt;0,1,0)</f>
        <v>1</v>
      </c>
      <c r="H2457" s="4">
        <f t="shared" si="38"/>
        <v>0</v>
      </c>
    </row>
    <row r="2458" spans="3:8" x14ac:dyDescent="0.25">
      <c r="C2458" t="str">
        <f>'RES TECH'!M2457</f>
        <v>RESHOUUMNewCWF4ELC20</v>
      </c>
      <c r="G2458" s="4">
        <f>IF(SUMIFS('RES TECH'!N:N,'RES TECH'!M:M,C2458)&gt;0,1,0)</f>
        <v>1</v>
      </c>
      <c r="H2458" s="4">
        <f t="shared" si="38"/>
        <v>0</v>
      </c>
    </row>
    <row r="2459" spans="3:8" x14ac:dyDescent="0.25">
      <c r="C2459" t="str">
        <f>'RES TECH'!M2458</f>
        <v>RESHOUUMNewCWF4ELC20</v>
      </c>
      <c r="G2459" s="4">
        <f>IF(SUMIFS('RES TECH'!N:N,'RES TECH'!M:M,C2459)&gt;0,1,0)</f>
        <v>1</v>
      </c>
      <c r="H2459" s="4">
        <f t="shared" si="38"/>
        <v>0</v>
      </c>
    </row>
    <row r="2460" spans="3:8" x14ac:dyDescent="0.25">
      <c r="C2460" t="str">
        <f>'RES TECH'!M2459</f>
        <v>RESHOUUMNewCD1NGA20</v>
      </c>
      <c r="G2460" s="4">
        <f>IF(SUMIFS('RES TECH'!N:N,'RES TECH'!M:M,C2460)&gt;0,1,0)</f>
        <v>1</v>
      </c>
      <c r="H2460" s="4">
        <f t="shared" si="38"/>
        <v>0</v>
      </c>
    </row>
    <row r="2461" spans="3:8" x14ac:dyDescent="0.25">
      <c r="C2461" t="str">
        <f>'RES TECH'!M2460</f>
        <v>RESHOUUMNewCD2NGA20</v>
      </c>
      <c r="G2461" s="4">
        <f>IF(SUMIFS('RES TECH'!N:N,'RES TECH'!M:M,C2461)&gt;0,1,0)</f>
        <v>1</v>
      </c>
      <c r="H2461" s="4">
        <f t="shared" si="38"/>
        <v>0</v>
      </c>
    </row>
    <row r="2462" spans="3:8" x14ac:dyDescent="0.25">
      <c r="C2462" t="str">
        <f>'RES TECH'!M2461</f>
        <v>RESHOUUMNewCD3NGA20</v>
      </c>
      <c r="G2462" s="4">
        <f>IF(SUMIFS('RES TECH'!N:N,'RES TECH'!M:M,C2462)&gt;0,1,0)</f>
        <v>1</v>
      </c>
      <c r="H2462" s="4">
        <f t="shared" si="38"/>
        <v>0</v>
      </c>
    </row>
    <row r="2463" spans="3:8" x14ac:dyDescent="0.25">
      <c r="C2463" t="str">
        <f>'RES TECH'!M2462</f>
        <v>RESHOUUMNewCD4NGA20</v>
      </c>
      <c r="G2463" s="4">
        <f>IF(SUMIFS('RES TECH'!N:N,'RES TECH'!M:M,C2463)&gt;0,1,0)</f>
        <v>1</v>
      </c>
      <c r="H2463" s="4">
        <f t="shared" si="38"/>
        <v>0</v>
      </c>
    </row>
    <row r="2464" spans="3:8" x14ac:dyDescent="0.25">
      <c r="C2464" t="str">
        <f>'RES TECH'!M2463</f>
        <v>RESHOUUMNewCD4NGA30</v>
      </c>
      <c r="G2464" s="4">
        <f>IF(SUMIFS('RES TECH'!N:N,'RES TECH'!M:M,C2464)&gt;0,1,0)</f>
        <v>1</v>
      </c>
      <c r="H2464" s="4">
        <f t="shared" si="38"/>
        <v>0</v>
      </c>
    </row>
    <row r="2465" spans="3:8" x14ac:dyDescent="0.25">
      <c r="C2465" t="str">
        <f>'RES TECH'!M2464</f>
        <v>RESHOUUMNewCD1ELC20</v>
      </c>
      <c r="G2465" s="4">
        <f>IF(SUMIFS('RES TECH'!N:N,'RES TECH'!M:M,C2465)&gt;0,1,0)</f>
        <v>1</v>
      </c>
      <c r="H2465" s="4">
        <f t="shared" si="38"/>
        <v>0</v>
      </c>
    </row>
    <row r="2466" spans="3:8" x14ac:dyDescent="0.25">
      <c r="C2466" t="str">
        <f>'RES TECH'!M2465</f>
        <v>RESHOUUMNewCD2ELC20</v>
      </c>
      <c r="G2466" s="4">
        <f>IF(SUMIFS('RES TECH'!N:N,'RES TECH'!M:M,C2466)&gt;0,1,0)</f>
        <v>1</v>
      </c>
      <c r="H2466" s="4">
        <f t="shared" si="38"/>
        <v>0</v>
      </c>
    </row>
    <row r="2467" spans="3:8" x14ac:dyDescent="0.25">
      <c r="C2467" t="str">
        <f>'RES TECH'!M2466</f>
        <v>RESHOUUMNewCD3ELC20</v>
      </c>
      <c r="G2467" s="4">
        <f>IF(SUMIFS('RES TECH'!N:N,'RES TECH'!M:M,C2467)&gt;0,1,0)</f>
        <v>1</v>
      </c>
      <c r="H2467" s="4">
        <f t="shared" si="38"/>
        <v>0</v>
      </c>
    </row>
    <row r="2468" spans="3:8" x14ac:dyDescent="0.25">
      <c r="C2468" t="str">
        <f>'RES TECH'!M2467</f>
        <v>RESHOUUMNewCD4ELC20</v>
      </c>
      <c r="G2468" s="4">
        <f>IF(SUMIFS('RES TECH'!N:N,'RES TECH'!M:M,C2468)&gt;0,1,0)</f>
        <v>1</v>
      </c>
      <c r="H2468" s="4">
        <f t="shared" si="38"/>
        <v>0</v>
      </c>
    </row>
    <row r="2469" spans="3:8" x14ac:dyDescent="0.25">
      <c r="C2469" t="str">
        <f>'RES TECH'!M2468</f>
        <v>RESAPAHINewWH1NGA20</v>
      </c>
      <c r="G2469" s="4">
        <f>IF(SUMIFS('RES TECH'!N:N,'RES TECH'!M:M,C2469)&gt;0,1,0)</f>
        <v>1</v>
      </c>
      <c r="H2469" s="4">
        <f t="shared" si="38"/>
        <v>0</v>
      </c>
    </row>
    <row r="2470" spans="3:8" x14ac:dyDescent="0.25">
      <c r="C2470" t="str">
        <f>'RES TECH'!M2469</f>
        <v>RESAPAHINewWH2NGA20</v>
      </c>
      <c r="G2470" s="4">
        <f>IF(SUMIFS('RES TECH'!N:N,'RES TECH'!M:M,C2470)&gt;0,1,0)</f>
        <v>1</v>
      </c>
      <c r="H2470" s="4">
        <f t="shared" si="38"/>
        <v>0</v>
      </c>
    </row>
    <row r="2471" spans="3:8" x14ac:dyDescent="0.25">
      <c r="C2471" t="str">
        <f>'RES TECH'!M2470</f>
        <v>RESAPAHINewWH3NGA20</v>
      </c>
      <c r="G2471" s="4">
        <f>IF(SUMIFS('RES TECH'!N:N,'RES TECH'!M:M,C2471)&gt;0,1,0)</f>
        <v>1</v>
      </c>
      <c r="H2471" s="4">
        <f t="shared" si="38"/>
        <v>0</v>
      </c>
    </row>
    <row r="2472" spans="3:8" x14ac:dyDescent="0.25">
      <c r="C2472" t="str">
        <f>'RES TECH'!M2471</f>
        <v>RESAPAHINewWH3NGA23</v>
      </c>
      <c r="G2472" s="4">
        <f>IF(SUMIFS('RES TECH'!N:N,'RES TECH'!M:M,C2472)&gt;0,1,0)</f>
        <v>1</v>
      </c>
      <c r="H2472" s="4">
        <f t="shared" si="38"/>
        <v>0</v>
      </c>
    </row>
    <row r="2473" spans="3:8" x14ac:dyDescent="0.25">
      <c r="C2473" t="str">
        <f>'RES TECH'!M2472</f>
        <v>RESAPAHINewWH4NGA20</v>
      </c>
      <c r="G2473" s="4">
        <f>IF(SUMIFS('RES TECH'!N:N,'RES TECH'!M:M,C2473)&gt;0,1,0)</f>
        <v>1</v>
      </c>
      <c r="H2473" s="4">
        <f t="shared" si="38"/>
        <v>0</v>
      </c>
    </row>
    <row r="2474" spans="3:8" x14ac:dyDescent="0.25">
      <c r="C2474" t="str">
        <f>'RES TECH'!M2473</f>
        <v>RESAPAHINewWH4NGA20</v>
      </c>
      <c r="G2474" s="4">
        <f>IF(SUMIFS('RES TECH'!N:N,'RES TECH'!M:M,C2474)&gt;0,1,0)</f>
        <v>1</v>
      </c>
      <c r="H2474" s="4">
        <f t="shared" si="38"/>
        <v>0</v>
      </c>
    </row>
    <row r="2475" spans="3:8" x14ac:dyDescent="0.25">
      <c r="C2475" t="str">
        <f>'RES TECH'!M2474</f>
        <v>RESAPAHINewWH4NGA22</v>
      </c>
      <c r="G2475" s="4">
        <f>IF(SUMIFS('RES TECH'!N:N,'RES TECH'!M:M,C2475)&gt;0,1,0)</f>
        <v>1</v>
      </c>
      <c r="H2475" s="4">
        <f t="shared" si="38"/>
        <v>0</v>
      </c>
    </row>
    <row r="2476" spans="3:8" x14ac:dyDescent="0.25">
      <c r="C2476" t="str">
        <f>'RES TECH'!M2475</f>
        <v>RESAPAHINewWH1ELC20</v>
      </c>
      <c r="G2476" s="4">
        <f>IF(SUMIFS('RES TECH'!N:N,'RES TECH'!M:M,C2476)&gt;0,1,0)</f>
        <v>1</v>
      </c>
      <c r="H2476" s="4">
        <f t="shared" si="38"/>
        <v>0</v>
      </c>
    </row>
    <row r="2477" spans="3:8" x14ac:dyDescent="0.25">
      <c r="C2477" t="str">
        <f>'RES TECH'!M2476</f>
        <v>RESAPAHINewWH2ELC20</v>
      </c>
      <c r="G2477" s="4">
        <f>IF(SUMIFS('RES TECH'!N:N,'RES TECH'!M:M,C2477)&gt;0,1,0)</f>
        <v>1</v>
      </c>
      <c r="H2477" s="4">
        <f t="shared" si="38"/>
        <v>0</v>
      </c>
    </row>
    <row r="2478" spans="3:8" x14ac:dyDescent="0.25">
      <c r="C2478" t="str">
        <f>'RES TECH'!M2477</f>
        <v>RESAPAHINewWH4ELC20</v>
      </c>
      <c r="G2478" s="4">
        <f>IF(SUMIFS('RES TECH'!N:N,'RES TECH'!M:M,C2478)&gt;0,1,0)</f>
        <v>1</v>
      </c>
      <c r="H2478" s="4">
        <f t="shared" si="38"/>
        <v>0</v>
      </c>
    </row>
    <row r="2479" spans="3:8" x14ac:dyDescent="0.25">
      <c r="C2479" t="str">
        <f>'RES TECH'!M2478</f>
        <v>RESAPAHINewWH5ELC20</v>
      </c>
      <c r="G2479" s="4">
        <f>IF(SUMIFS('RES TECH'!N:N,'RES TECH'!M:M,C2479)&gt;0,1,0)</f>
        <v>1</v>
      </c>
      <c r="H2479" s="4">
        <f t="shared" si="38"/>
        <v>0</v>
      </c>
    </row>
    <row r="2480" spans="3:8" x14ac:dyDescent="0.25">
      <c r="C2480" t="str">
        <f>'RES TECH'!M2479</f>
        <v>RESAPAHINewWH5ELC22</v>
      </c>
      <c r="G2480" s="4">
        <f>IF(SUMIFS('RES TECH'!N:N,'RES TECH'!M:M,C2480)&gt;0,1,0)</f>
        <v>1</v>
      </c>
      <c r="H2480" s="4">
        <f t="shared" si="38"/>
        <v>0</v>
      </c>
    </row>
    <row r="2481" spans="3:8" x14ac:dyDescent="0.25">
      <c r="C2481" t="str">
        <f>'RES TECH'!M2480</f>
        <v>RESAPAHINewWH6ELC20</v>
      </c>
      <c r="G2481" s="4">
        <f>IF(SUMIFS('RES TECH'!N:N,'RES TECH'!M:M,C2481)&gt;0,1,0)</f>
        <v>1</v>
      </c>
      <c r="H2481" s="4">
        <f t="shared" si="38"/>
        <v>0</v>
      </c>
    </row>
    <row r="2482" spans="3:8" x14ac:dyDescent="0.25">
      <c r="C2482" t="str">
        <f>'RES TECH'!M2481</f>
        <v>RESAPAHINewWH6ELC22</v>
      </c>
      <c r="G2482" s="4">
        <f>IF(SUMIFS('RES TECH'!N:N,'RES TECH'!M:M,C2482)&gt;0,1,0)</f>
        <v>1</v>
      </c>
      <c r="H2482" s="4">
        <f t="shared" si="38"/>
        <v>0</v>
      </c>
    </row>
    <row r="2483" spans="3:8" x14ac:dyDescent="0.25">
      <c r="C2483" t="str">
        <f>'RES TECH'!M2482</f>
        <v>RESAPAHINewWH7ELC20</v>
      </c>
      <c r="G2483" s="4">
        <f>IF(SUMIFS('RES TECH'!N:N,'RES TECH'!M:M,C2483)&gt;0,1,0)</f>
        <v>1</v>
      </c>
      <c r="H2483" s="4">
        <f t="shared" si="38"/>
        <v>0</v>
      </c>
    </row>
    <row r="2484" spans="3:8" x14ac:dyDescent="0.25">
      <c r="C2484" t="str">
        <f>'RES TECH'!M2483</f>
        <v>RESAPAHINewWH7ELC22</v>
      </c>
      <c r="G2484" s="4">
        <f>IF(SUMIFS('RES TECH'!N:N,'RES TECH'!M:M,C2484)&gt;0,1,0)</f>
        <v>1</v>
      </c>
      <c r="H2484" s="4">
        <f t="shared" si="38"/>
        <v>0</v>
      </c>
    </row>
    <row r="2485" spans="3:8" x14ac:dyDescent="0.25">
      <c r="C2485" t="str">
        <f>'RES TECH'!M2484</f>
        <v>RESAPAHINewWH1FOI20</v>
      </c>
      <c r="G2485" s="4">
        <f>IF(SUMIFS('RES TECH'!N:N,'RES TECH'!M:M,C2485)&gt;0,1,0)</f>
        <v>1</v>
      </c>
      <c r="H2485" s="4">
        <f t="shared" si="38"/>
        <v>0</v>
      </c>
    </row>
    <row r="2486" spans="3:8" x14ac:dyDescent="0.25">
      <c r="C2486" t="str">
        <f>'RES TECH'!M2485</f>
        <v>RESAPAHINewWH2FOI20</v>
      </c>
      <c r="G2486" s="4">
        <f>IF(SUMIFS('RES TECH'!N:N,'RES TECH'!M:M,C2486)&gt;0,1,0)</f>
        <v>1</v>
      </c>
      <c r="H2486" s="4">
        <f t="shared" si="38"/>
        <v>0</v>
      </c>
    </row>
    <row r="2487" spans="3:8" x14ac:dyDescent="0.25">
      <c r="C2487" t="str">
        <f>'RES TECH'!M2486</f>
        <v>RESAPAHINewWH4FOI20</v>
      </c>
      <c r="G2487" s="4">
        <f>IF(SUMIFS('RES TECH'!N:N,'RES TECH'!M:M,C2487)&gt;0,1,0)</f>
        <v>1</v>
      </c>
      <c r="H2487" s="4">
        <f t="shared" si="38"/>
        <v>0</v>
      </c>
    </row>
    <row r="2488" spans="3:8" x14ac:dyDescent="0.25">
      <c r="C2488" t="str">
        <f>'RES TECH'!M2487</f>
        <v>RESAPAHINewWH1LPG20</v>
      </c>
      <c r="G2488" s="4">
        <f>IF(SUMIFS('RES TECH'!N:N,'RES TECH'!M:M,C2488)&gt;0,1,0)</f>
        <v>1</v>
      </c>
      <c r="H2488" s="4">
        <f t="shared" si="38"/>
        <v>0</v>
      </c>
    </row>
    <row r="2489" spans="3:8" x14ac:dyDescent="0.25">
      <c r="C2489" t="str">
        <f>'RES TECH'!M2488</f>
        <v>RESAPAHINewWH2LPG20</v>
      </c>
      <c r="G2489" s="4">
        <f>IF(SUMIFS('RES TECH'!N:N,'RES TECH'!M:M,C2489)&gt;0,1,0)</f>
        <v>1</v>
      </c>
      <c r="H2489" s="4">
        <f t="shared" si="38"/>
        <v>0</v>
      </c>
    </row>
    <row r="2490" spans="3:8" x14ac:dyDescent="0.25">
      <c r="C2490" t="str">
        <f>'RES TECH'!M2489</f>
        <v>RESAPAHINewWH3LPG20</v>
      </c>
      <c r="G2490" s="4">
        <f>IF(SUMIFS('RES TECH'!N:N,'RES TECH'!M:M,C2490)&gt;0,1,0)</f>
        <v>1</v>
      </c>
      <c r="H2490" s="4">
        <f t="shared" si="38"/>
        <v>0</v>
      </c>
    </row>
    <row r="2491" spans="3:8" x14ac:dyDescent="0.25">
      <c r="C2491" t="str">
        <f>'RES TECH'!M2490</f>
        <v>RESAPAHINewWH3LPG23</v>
      </c>
      <c r="G2491" s="4">
        <f>IF(SUMIFS('RES TECH'!N:N,'RES TECH'!M:M,C2491)&gt;0,1,0)</f>
        <v>1</v>
      </c>
      <c r="H2491" s="4">
        <f t="shared" si="38"/>
        <v>0</v>
      </c>
    </row>
    <row r="2492" spans="3:8" x14ac:dyDescent="0.25">
      <c r="C2492" t="str">
        <f>'RES TECH'!M2491</f>
        <v>RESAPAHINewWH4LPG20</v>
      </c>
      <c r="G2492" s="4">
        <f>IF(SUMIFS('RES TECH'!N:N,'RES TECH'!M:M,C2492)&gt;0,1,0)</f>
        <v>1</v>
      </c>
      <c r="H2492" s="4">
        <f t="shared" si="38"/>
        <v>0</v>
      </c>
    </row>
    <row r="2493" spans="3:8" x14ac:dyDescent="0.25">
      <c r="C2493" t="str">
        <f>'RES TECH'!M2492</f>
        <v>RESAPAHINewWH4LPG20</v>
      </c>
      <c r="G2493" s="4">
        <f>IF(SUMIFS('RES TECH'!N:N,'RES TECH'!M:M,C2493)&gt;0,1,0)</f>
        <v>1</v>
      </c>
      <c r="H2493" s="4">
        <f t="shared" si="38"/>
        <v>0</v>
      </c>
    </row>
    <row r="2494" spans="3:8" x14ac:dyDescent="0.25">
      <c r="C2494" t="str">
        <f>'RES TECH'!M2493</f>
        <v>RESAPAHINewWH2SOL20</v>
      </c>
      <c r="G2494" s="4">
        <f>IF(SUMIFS('RES TECH'!N:N,'RES TECH'!M:M,C2494)&gt;0,1,0)</f>
        <v>1</v>
      </c>
      <c r="H2494" s="4">
        <f t="shared" si="38"/>
        <v>0</v>
      </c>
    </row>
    <row r="2495" spans="3:8" x14ac:dyDescent="0.25">
      <c r="C2495" t="str">
        <f>'RES TECH'!M2494</f>
        <v>RESAPAHINewWH2SOL20</v>
      </c>
      <c r="G2495" s="4">
        <f>IF(SUMIFS('RES TECH'!N:N,'RES TECH'!M:M,C2495)&gt;0,1,0)</f>
        <v>1</v>
      </c>
      <c r="H2495" s="4">
        <f t="shared" si="38"/>
        <v>0</v>
      </c>
    </row>
    <row r="2496" spans="3:8" x14ac:dyDescent="0.25">
      <c r="C2496" t="str">
        <f>'RES TECH'!M2495</f>
        <v>RESAPAHINewWH2SOL23</v>
      </c>
      <c r="G2496" s="4">
        <f>IF(SUMIFS('RES TECH'!N:N,'RES TECH'!M:M,C2496)&gt;0,1,0)</f>
        <v>1</v>
      </c>
      <c r="H2496" s="4">
        <f t="shared" si="38"/>
        <v>0</v>
      </c>
    </row>
    <row r="2497" spans="3:8" x14ac:dyDescent="0.25">
      <c r="C2497" t="str">
        <f>'RES TECH'!M2496</f>
        <v>RESAPAHINewWH2SOL24</v>
      </c>
      <c r="G2497" s="4">
        <f>IF(SUMIFS('RES TECH'!N:N,'RES TECH'!M:M,C2497)&gt;0,1,0)</f>
        <v>1</v>
      </c>
      <c r="H2497" s="4">
        <f t="shared" si="38"/>
        <v>0</v>
      </c>
    </row>
    <row r="2498" spans="3:8" x14ac:dyDescent="0.25">
      <c r="C2498" t="str">
        <f>'RES TECH'!M2497</f>
        <v>RESAPAHINewSHAHP1ELC20</v>
      </c>
      <c r="G2498" s="4">
        <f>IF(SUMIFS('RES TECH'!N:N,'RES TECH'!M:M,C2498)&gt;0,1,0)</f>
        <v>1</v>
      </c>
      <c r="H2498" s="4">
        <f t="shared" si="38"/>
        <v>0</v>
      </c>
    </row>
    <row r="2499" spans="3:8" x14ac:dyDescent="0.25">
      <c r="C2499" t="str">
        <f>'RES TECH'!M2498</f>
        <v>RESAPAHINewSHAHP1ELC23</v>
      </c>
      <c r="G2499" s="4">
        <f>IF(SUMIFS('RES TECH'!N:N,'RES TECH'!M:M,C2499)&gt;0,1,0)</f>
        <v>1</v>
      </c>
      <c r="H2499" s="4">
        <f t="shared" si="38"/>
        <v>0</v>
      </c>
    </row>
    <row r="2500" spans="3:8" x14ac:dyDescent="0.25">
      <c r="C2500" t="str">
        <f>'RES TECH'!M2499</f>
        <v>RESAPAHINewSHAHP2ELC20</v>
      </c>
      <c r="G2500" s="4">
        <f>IF(SUMIFS('RES TECH'!N:N,'RES TECH'!M:M,C2500)&gt;0,1,0)</f>
        <v>1</v>
      </c>
      <c r="H2500" s="4">
        <f t="shared" si="38"/>
        <v>0</v>
      </c>
    </row>
    <row r="2501" spans="3:8" x14ac:dyDescent="0.25">
      <c r="C2501" t="str">
        <f>'RES TECH'!M2500</f>
        <v>RESAPAHINewSHAHP2ELC23</v>
      </c>
      <c r="G2501" s="4">
        <f>IF(SUMIFS('RES TECH'!N:N,'RES TECH'!M:M,C2501)&gt;0,1,0)</f>
        <v>1</v>
      </c>
      <c r="H2501" s="4">
        <f t="shared" ref="H2501:H2564" si="39">IF(C2501="","",IF(C2501="*","*",0))</f>
        <v>0</v>
      </c>
    </row>
    <row r="2502" spans="3:8" x14ac:dyDescent="0.25">
      <c r="C2502" t="str">
        <f>'RES TECH'!M2501</f>
        <v>RESAPAHINewSHAHP3ELC20</v>
      </c>
      <c r="G2502" s="4">
        <f>IF(SUMIFS('RES TECH'!N:N,'RES TECH'!M:M,C2502)&gt;0,1,0)</f>
        <v>1</v>
      </c>
      <c r="H2502" s="4">
        <f t="shared" si="39"/>
        <v>0</v>
      </c>
    </row>
    <row r="2503" spans="3:8" x14ac:dyDescent="0.25">
      <c r="C2503" t="str">
        <f>'RES TECH'!M2502</f>
        <v>RESAPAHINewSHAHP3ELC22</v>
      </c>
      <c r="G2503" s="4">
        <f>IF(SUMIFS('RES TECH'!N:N,'RES TECH'!M:M,C2503)&gt;0,1,0)</f>
        <v>1</v>
      </c>
      <c r="H2503" s="4">
        <f t="shared" si="39"/>
        <v>0</v>
      </c>
    </row>
    <row r="2504" spans="3:8" x14ac:dyDescent="0.25">
      <c r="C2504" t="str">
        <f>'RES TECH'!M2503</f>
        <v>RESAPAHINewSHAHP3ELC23</v>
      </c>
      <c r="G2504" s="4">
        <f>IF(SUMIFS('RES TECH'!N:N,'RES TECH'!M:M,C2504)&gt;0,1,0)</f>
        <v>1</v>
      </c>
      <c r="H2504" s="4">
        <f t="shared" si="39"/>
        <v>0</v>
      </c>
    </row>
    <row r="2505" spans="3:8" x14ac:dyDescent="0.25">
      <c r="C2505" t="str">
        <f>'RES TECH'!M2504</f>
        <v>RESAPAHINewSHAHP4ELC20</v>
      </c>
      <c r="G2505" s="4">
        <f>IF(SUMIFS('RES TECH'!N:N,'RES TECH'!M:M,C2505)&gt;0,1,0)</f>
        <v>1</v>
      </c>
      <c r="H2505" s="4">
        <f t="shared" si="39"/>
        <v>0</v>
      </c>
    </row>
    <row r="2506" spans="3:8" x14ac:dyDescent="0.25">
      <c r="C2506" t="str">
        <f>'RES TECH'!M2505</f>
        <v>RESAPAHINewSHAHP4ELC22</v>
      </c>
      <c r="G2506" s="4">
        <f>IF(SUMIFS('RES TECH'!N:N,'RES TECH'!M:M,C2506)&gt;0,1,0)</f>
        <v>1</v>
      </c>
      <c r="H2506" s="4">
        <f t="shared" si="39"/>
        <v>0</v>
      </c>
    </row>
    <row r="2507" spans="3:8" x14ac:dyDescent="0.25">
      <c r="C2507" t="str">
        <f>'RES TECH'!M2506</f>
        <v>RESAPAHINewSHGHP1ELC20</v>
      </c>
      <c r="G2507" s="4">
        <f>IF(SUMIFS('RES TECH'!N:N,'RES TECH'!M:M,C2507)&gt;0,1,0)</f>
        <v>1</v>
      </c>
      <c r="H2507" s="4">
        <f t="shared" si="39"/>
        <v>0</v>
      </c>
    </row>
    <row r="2508" spans="3:8" x14ac:dyDescent="0.25">
      <c r="C2508" t="str">
        <f>'RES TECH'!M2507</f>
        <v>RESAPAHINewSHGHP2ELC20</v>
      </c>
      <c r="G2508" s="4">
        <f>IF(SUMIFS('RES TECH'!N:N,'RES TECH'!M:M,C2508)&gt;0,1,0)</f>
        <v>1</v>
      </c>
      <c r="H2508" s="4">
        <f t="shared" si="39"/>
        <v>0</v>
      </c>
    </row>
    <row r="2509" spans="3:8" x14ac:dyDescent="0.25">
      <c r="C2509" t="str">
        <f>'RES TECH'!M2508</f>
        <v>RESAPAHINewSHGHP3ELC20</v>
      </c>
      <c r="G2509" s="4">
        <f>IF(SUMIFS('RES TECH'!N:N,'RES TECH'!M:M,C2509)&gt;0,1,0)</f>
        <v>1</v>
      </c>
      <c r="H2509" s="4">
        <f t="shared" si="39"/>
        <v>0</v>
      </c>
    </row>
    <row r="2510" spans="3:8" x14ac:dyDescent="0.25">
      <c r="C2510" t="str">
        <f>'RES TECH'!M2509</f>
        <v>RESAPAHINewSHGHP3ELC20</v>
      </c>
      <c r="G2510" s="4">
        <f>IF(SUMIFS('RES TECH'!N:N,'RES TECH'!M:M,C2510)&gt;0,1,0)</f>
        <v>1</v>
      </c>
      <c r="H2510" s="4">
        <f t="shared" si="39"/>
        <v>0</v>
      </c>
    </row>
    <row r="2511" spans="3:8" x14ac:dyDescent="0.25">
      <c r="C2511" t="str">
        <f>'RES TECH'!M2510</f>
        <v>RESAPAHINewSHGHP3ELC22</v>
      </c>
      <c r="G2511" s="4">
        <f>IF(SUMIFS('RES TECH'!N:N,'RES TECH'!M:M,C2511)&gt;0,1,0)</f>
        <v>1</v>
      </c>
      <c r="H2511" s="4">
        <f t="shared" si="39"/>
        <v>0</v>
      </c>
    </row>
    <row r="2512" spans="3:8" x14ac:dyDescent="0.25">
      <c r="C2512" t="str">
        <f>'RES TECH'!M2511</f>
        <v>RESAPAHINewSHGHP3ELC23</v>
      </c>
      <c r="G2512" s="4">
        <f>IF(SUMIFS('RES TECH'!N:N,'RES TECH'!M:M,C2512)&gt;0,1,0)</f>
        <v>1</v>
      </c>
      <c r="H2512" s="4">
        <f t="shared" si="39"/>
        <v>0</v>
      </c>
    </row>
    <row r="2513" spans="3:8" x14ac:dyDescent="0.25">
      <c r="C2513" t="str">
        <f>'RES TECH'!M2512</f>
        <v>RESAPAHINewSHGHP3ELC24</v>
      </c>
      <c r="G2513" s="4">
        <f>IF(SUMIFS('RES TECH'!N:N,'RES TECH'!M:M,C2513)&gt;0,1,0)</f>
        <v>1</v>
      </c>
      <c r="H2513" s="4">
        <f t="shared" si="39"/>
        <v>0</v>
      </c>
    </row>
    <row r="2514" spans="3:8" x14ac:dyDescent="0.25">
      <c r="C2514" t="str">
        <f>'RES TECH'!M2513</f>
        <v>RESAPAHINewSHGHP4ELC20</v>
      </c>
      <c r="G2514" s="4">
        <f>IF(SUMIFS('RES TECH'!N:N,'RES TECH'!M:M,C2514)&gt;0,1,0)</f>
        <v>1</v>
      </c>
      <c r="H2514" s="4">
        <f t="shared" si="39"/>
        <v>0</v>
      </c>
    </row>
    <row r="2515" spans="3:8" x14ac:dyDescent="0.25">
      <c r="C2515" t="str">
        <f>'RES TECH'!M2514</f>
        <v>RESAPAHINewSHGHP4ELC20</v>
      </c>
      <c r="G2515" s="4">
        <f>IF(SUMIFS('RES TECH'!N:N,'RES TECH'!M:M,C2515)&gt;0,1,0)</f>
        <v>1</v>
      </c>
      <c r="H2515" s="4">
        <f t="shared" si="39"/>
        <v>0</v>
      </c>
    </row>
    <row r="2516" spans="3:8" x14ac:dyDescent="0.25">
      <c r="C2516" t="str">
        <f>'RES TECH'!M2515</f>
        <v>RESAPAHINewSHGHP4ELC22</v>
      </c>
      <c r="G2516" s="4">
        <f>IF(SUMIFS('RES TECH'!N:N,'RES TECH'!M:M,C2516)&gt;0,1,0)</f>
        <v>1</v>
      </c>
      <c r="H2516" s="4">
        <f t="shared" si="39"/>
        <v>0</v>
      </c>
    </row>
    <row r="2517" spans="3:8" x14ac:dyDescent="0.25">
      <c r="C2517" t="str">
        <f>'RES TECH'!M2516</f>
        <v>RESAPAHINewSHGHP4ELC23</v>
      </c>
      <c r="G2517" s="4">
        <f>IF(SUMIFS('RES TECH'!N:N,'RES TECH'!M:M,C2517)&gt;0,1,0)</f>
        <v>1</v>
      </c>
      <c r="H2517" s="4">
        <f t="shared" si="39"/>
        <v>0</v>
      </c>
    </row>
    <row r="2518" spans="3:8" x14ac:dyDescent="0.25">
      <c r="C2518" t="str">
        <f>'RES TECH'!M2517</f>
        <v>RESAPAHINewSHGHP4ELC24</v>
      </c>
      <c r="G2518" s="4">
        <f>IF(SUMIFS('RES TECH'!N:N,'RES TECH'!M:M,C2518)&gt;0,1,0)</f>
        <v>1</v>
      </c>
      <c r="H2518" s="4">
        <f t="shared" si="39"/>
        <v>0</v>
      </c>
    </row>
    <row r="2519" spans="3:8" x14ac:dyDescent="0.25">
      <c r="C2519" t="str">
        <f>'RES TECH'!M2518</f>
        <v>RESAPAHINewSHRAD2ELC20</v>
      </c>
      <c r="G2519" s="4">
        <f>IF(SUMIFS('RES TECH'!N:N,'RES TECH'!M:M,C2519)&gt;0,1,0)</f>
        <v>1</v>
      </c>
      <c r="H2519" s="4">
        <f t="shared" si="39"/>
        <v>0</v>
      </c>
    </row>
    <row r="2520" spans="3:8" x14ac:dyDescent="0.25">
      <c r="C2520" t="str">
        <f>'RES TECH'!M2519</f>
        <v>RESAPAHINewSHFUR1NGA20</v>
      </c>
      <c r="G2520" s="4">
        <f>IF(SUMIFS('RES TECH'!N:N,'RES TECH'!M:M,C2520)&gt;0,1,0)</f>
        <v>1</v>
      </c>
      <c r="H2520" s="4">
        <f t="shared" si="39"/>
        <v>0</v>
      </c>
    </row>
    <row r="2521" spans="3:8" x14ac:dyDescent="0.25">
      <c r="C2521" t="str">
        <f>'RES TECH'!M2520</f>
        <v>RESAPAHINewSHFUR2NGA20</v>
      </c>
      <c r="G2521" s="4">
        <f>IF(SUMIFS('RES TECH'!N:N,'RES TECH'!M:M,C2521)&gt;0,1,0)</f>
        <v>1</v>
      </c>
      <c r="H2521" s="4">
        <f t="shared" si="39"/>
        <v>0</v>
      </c>
    </row>
    <row r="2522" spans="3:8" x14ac:dyDescent="0.25">
      <c r="C2522" t="str">
        <f>'RES TECH'!M2521</f>
        <v>RESAPAHINewSHFUR2NGA20</v>
      </c>
      <c r="G2522" s="4">
        <f>IF(SUMIFS('RES TECH'!N:N,'RES TECH'!M:M,C2522)&gt;0,1,0)</f>
        <v>1</v>
      </c>
      <c r="H2522" s="4">
        <f t="shared" si="39"/>
        <v>0</v>
      </c>
    </row>
    <row r="2523" spans="3:8" x14ac:dyDescent="0.25">
      <c r="C2523" t="str">
        <f>'RES TECH'!M2522</f>
        <v>RESAPAHINewSHFUR3NGA20</v>
      </c>
      <c r="G2523" s="4">
        <f>IF(SUMIFS('RES TECH'!N:N,'RES TECH'!M:M,C2523)&gt;0,1,0)</f>
        <v>1</v>
      </c>
      <c r="H2523" s="4">
        <f t="shared" si="39"/>
        <v>0</v>
      </c>
    </row>
    <row r="2524" spans="3:8" x14ac:dyDescent="0.25">
      <c r="C2524" t="str">
        <f>'RES TECH'!M2523</f>
        <v>RESAPAHINewSHFUR3NGA22</v>
      </c>
      <c r="G2524" s="4">
        <f>IF(SUMIFS('RES TECH'!N:N,'RES TECH'!M:M,C2524)&gt;0,1,0)</f>
        <v>1</v>
      </c>
      <c r="H2524" s="4">
        <f t="shared" si="39"/>
        <v>0</v>
      </c>
    </row>
    <row r="2525" spans="3:8" x14ac:dyDescent="0.25">
      <c r="C2525" t="str">
        <f>'RES TECH'!M2524</f>
        <v>RESAPAHINewSHFUR4NGA20</v>
      </c>
      <c r="G2525" s="4">
        <f>IF(SUMIFS('RES TECH'!N:N,'RES TECH'!M:M,C2525)&gt;0,1,0)</f>
        <v>1</v>
      </c>
      <c r="H2525" s="4">
        <f t="shared" si="39"/>
        <v>0</v>
      </c>
    </row>
    <row r="2526" spans="3:8" x14ac:dyDescent="0.25">
      <c r="C2526" t="str">
        <f>'RES TECH'!M2525</f>
        <v>RESAPAHINewSHFUR4NGA22</v>
      </c>
      <c r="G2526" s="4">
        <f>IF(SUMIFS('RES TECH'!N:N,'RES TECH'!M:M,C2526)&gt;0,1,0)</f>
        <v>1</v>
      </c>
      <c r="H2526" s="4">
        <f t="shared" si="39"/>
        <v>0</v>
      </c>
    </row>
    <row r="2527" spans="3:8" x14ac:dyDescent="0.25">
      <c r="C2527" t="str">
        <f>'RES TECH'!M2526</f>
        <v>RESAPAHINewSHRAD1NGA20</v>
      </c>
      <c r="G2527" s="4">
        <f>IF(SUMIFS('RES TECH'!N:N,'RES TECH'!M:M,C2527)&gt;0,1,0)</f>
        <v>1</v>
      </c>
      <c r="H2527" s="4">
        <f t="shared" si="39"/>
        <v>0</v>
      </c>
    </row>
    <row r="2528" spans="3:8" x14ac:dyDescent="0.25">
      <c r="C2528" t="str">
        <f>'RES TECH'!M2527</f>
        <v>RESAPAHINewSHRAD1NGA21</v>
      </c>
      <c r="G2528" s="4">
        <f>IF(SUMIFS('RES TECH'!N:N,'RES TECH'!M:M,C2528)&gt;0,1,0)</f>
        <v>1</v>
      </c>
      <c r="H2528" s="4">
        <f t="shared" si="39"/>
        <v>0</v>
      </c>
    </row>
    <row r="2529" spans="3:8" x14ac:dyDescent="0.25">
      <c r="C2529" t="str">
        <f>'RES TECH'!M2528</f>
        <v>RESAPAHINewSHRAD2NGA20</v>
      </c>
      <c r="G2529" s="4">
        <f>IF(SUMIFS('RES TECH'!N:N,'RES TECH'!M:M,C2529)&gt;0,1,0)</f>
        <v>1</v>
      </c>
      <c r="H2529" s="4">
        <f t="shared" si="39"/>
        <v>0</v>
      </c>
    </row>
    <row r="2530" spans="3:8" x14ac:dyDescent="0.25">
      <c r="C2530" t="str">
        <f>'RES TECH'!M2529</f>
        <v>RESAPAHINewSHRAD2NGA20</v>
      </c>
      <c r="G2530" s="4">
        <f>IF(SUMIFS('RES TECH'!N:N,'RES TECH'!M:M,C2530)&gt;0,1,0)</f>
        <v>1</v>
      </c>
      <c r="H2530" s="4">
        <f t="shared" si="39"/>
        <v>0</v>
      </c>
    </row>
    <row r="2531" spans="3:8" x14ac:dyDescent="0.25">
      <c r="C2531" t="str">
        <f>'RES TECH'!M2530</f>
        <v>RESAPAHINewSHRAD3NGA20</v>
      </c>
      <c r="G2531" s="4">
        <f>IF(SUMIFS('RES TECH'!N:N,'RES TECH'!M:M,C2531)&gt;0,1,0)</f>
        <v>1</v>
      </c>
      <c r="H2531" s="4">
        <f t="shared" si="39"/>
        <v>0</v>
      </c>
    </row>
    <row r="2532" spans="3:8" x14ac:dyDescent="0.25">
      <c r="C2532" t="str">
        <f>'RES TECH'!M2531</f>
        <v>RESAPAHINewSHRAD4NGA20</v>
      </c>
      <c r="G2532" s="4">
        <f>IF(SUMIFS('RES TECH'!N:N,'RES TECH'!M:M,C2532)&gt;0,1,0)</f>
        <v>1</v>
      </c>
      <c r="H2532" s="4">
        <f t="shared" si="39"/>
        <v>0</v>
      </c>
    </row>
    <row r="2533" spans="3:8" x14ac:dyDescent="0.25">
      <c r="C2533" t="str">
        <f>'RES TECH'!M2532</f>
        <v>RESAPAHINewSHRAD4NGA22</v>
      </c>
      <c r="G2533" s="4">
        <f>IF(SUMIFS('RES TECH'!N:N,'RES TECH'!M:M,C2533)&gt;0,1,0)</f>
        <v>1</v>
      </c>
      <c r="H2533" s="4">
        <f t="shared" si="39"/>
        <v>0</v>
      </c>
    </row>
    <row r="2534" spans="3:8" x14ac:dyDescent="0.25">
      <c r="C2534" t="str">
        <f>'RES TECH'!M2533</f>
        <v>RESAPAHINewSHFUR1KER20</v>
      </c>
      <c r="G2534" s="4">
        <f>IF(SUMIFS('RES TECH'!N:N,'RES TECH'!M:M,C2534)&gt;0,1,0)</f>
        <v>1</v>
      </c>
      <c r="H2534" s="4">
        <f t="shared" si="39"/>
        <v>0</v>
      </c>
    </row>
    <row r="2535" spans="3:8" x14ac:dyDescent="0.25">
      <c r="C2535" t="str">
        <f>'RES TECH'!M2534</f>
        <v>RESAPAHINewSHFUR2KER20</v>
      </c>
      <c r="G2535" s="4">
        <f>IF(SUMIFS('RES TECH'!N:N,'RES TECH'!M:M,C2535)&gt;0,1,0)</f>
        <v>1</v>
      </c>
      <c r="H2535" s="4">
        <f t="shared" si="39"/>
        <v>0</v>
      </c>
    </row>
    <row r="2536" spans="3:8" x14ac:dyDescent="0.25">
      <c r="C2536" t="str">
        <f>'RES TECH'!M2535</f>
        <v>RESAPAHINewSHFUR2KER20</v>
      </c>
      <c r="G2536" s="4">
        <f>IF(SUMIFS('RES TECH'!N:N,'RES TECH'!M:M,C2536)&gt;0,1,0)</f>
        <v>1</v>
      </c>
      <c r="H2536" s="4">
        <f t="shared" si="39"/>
        <v>0</v>
      </c>
    </row>
    <row r="2537" spans="3:8" x14ac:dyDescent="0.25">
      <c r="C2537" t="str">
        <f>'RES TECH'!M2536</f>
        <v>RESAPAHINewSHFUR3KER20</v>
      </c>
      <c r="G2537" s="4">
        <f>IF(SUMIFS('RES TECH'!N:N,'RES TECH'!M:M,C2537)&gt;0,1,0)</f>
        <v>1</v>
      </c>
      <c r="H2537" s="4">
        <f t="shared" si="39"/>
        <v>0</v>
      </c>
    </row>
    <row r="2538" spans="3:8" x14ac:dyDescent="0.25">
      <c r="C2538" t="str">
        <f>'RES TECH'!M2537</f>
        <v>RESAPAHINewSHFUR4KER20</v>
      </c>
      <c r="G2538" s="4">
        <f>IF(SUMIFS('RES TECH'!N:N,'RES TECH'!M:M,C2538)&gt;0,1,0)</f>
        <v>1</v>
      </c>
      <c r="H2538" s="4">
        <f t="shared" si="39"/>
        <v>0</v>
      </c>
    </row>
    <row r="2539" spans="3:8" x14ac:dyDescent="0.25">
      <c r="C2539" t="str">
        <f>'RES TECH'!M2538</f>
        <v>RESAPAHINewSHFUR4KER20</v>
      </c>
      <c r="G2539" s="4">
        <f>IF(SUMIFS('RES TECH'!N:N,'RES TECH'!M:M,C2539)&gt;0,1,0)</f>
        <v>1</v>
      </c>
      <c r="H2539" s="4">
        <f t="shared" si="39"/>
        <v>0</v>
      </c>
    </row>
    <row r="2540" spans="3:8" x14ac:dyDescent="0.25">
      <c r="C2540" t="str">
        <f>'RES TECH'!M2539</f>
        <v>RESAPAHINewSHFUR1LPG20</v>
      </c>
      <c r="G2540" s="4">
        <f>IF(SUMIFS('RES TECH'!N:N,'RES TECH'!M:M,C2540)&gt;0,1,0)</f>
        <v>1</v>
      </c>
      <c r="H2540" s="4">
        <f t="shared" si="39"/>
        <v>0</v>
      </c>
    </row>
    <row r="2541" spans="3:8" x14ac:dyDescent="0.25">
      <c r="C2541" t="str">
        <f>'RES TECH'!M2540</f>
        <v>RESAPAHINewSHFUR2LPG20</v>
      </c>
      <c r="G2541" s="4">
        <f>IF(SUMIFS('RES TECH'!N:N,'RES TECH'!M:M,C2541)&gt;0,1,0)</f>
        <v>1</v>
      </c>
      <c r="H2541" s="4">
        <f t="shared" si="39"/>
        <v>0</v>
      </c>
    </row>
    <row r="2542" spans="3:8" x14ac:dyDescent="0.25">
      <c r="C2542" t="str">
        <f>'RES TECH'!M2541</f>
        <v>RESAPAHINewSHFUR2LPG20</v>
      </c>
      <c r="G2542" s="4">
        <f>IF(SUMIFS('RES TECH'!N:N,'RES TECH'!M:M,C2542)&gt;0,1,0)</f>
        <v>1</v>
      </c>
      <c r="H2542" s="4">
        <f t="shared" si="39"/>
        <v>0</v>
      </c>
    </row>
    <row r="2543" spans="3:8" x14ac:dyDescent="0.25">
      <c r="C2543" t="str">
        <f>'RES TECH'!M2542</f>
        <v>RESAPAHINewSHFUR3LPG20</v>
      </c>
      <c r="G2543" s="4">
        <f>IF(SUMIFS('RES TECH'!N:N,'RES TECH'!M:M,C2543)&gt;0,1,0)</f>
        <v>1</v>
      </c>
      <c r="H2543" s="4">
        <f t="shared" si="39"/>
        <v>0</v>
      </c>
    </row>
    <row r="2544" spans="3:8" x14ac:dyDescent="0.25">
      <c r="C2544" t="str">
        <f>'RES TECH'!M2543</f>
        <v>RESAPAHINewSHFUR3LPG22</v>
      </c>
      <c r="G2544" s="4">
        <f>IF(SUMIFS('RES TECH'!N:N,'RES TECH'!M:M,C2544)&gt;0,1,0)</f>
        <v>1</v>
      </c>
      <c r="H2544" s="4">
        <f t="shared" si="39"/>
        <v>0</v>
      </c>
    </row>
    <row r="2545" spans="3:8" x14ac:dyDescent="0.25">
      <c r="C2545" t="str">
        <f>'RES TECH'!M2544</f>
        <v>RESAPAHINewSHFUR4LPG20</v>
      </c>
      <c r="G2545" s="4">
        <f>IF(SUMIFS('RES TECH'!N:N,'RES TECH'!M:M,C2545)&gt;0,1,0)</f>
        <v>1</v>
      </c>
      <c r="H2545" s="4">
        <f t="shared" si="39"/>
        <v>0</v>
      </c>
    </row>
    <row r="2546" spans="3:8" x14ac:dyDescent="0.25">
      <c r="C2546" t="str">
        <f>'RES TECH'!M2545</f>
        <v>RESAPAHINewSHFUR4LPG22</v>
      </c>
      <c r="G2546" s="4">
        <f>IF(SUMIFS('RES TECH'!N:N,'RES TECH'!M:M,C2546)&gt;0,1,0)</f>
        <v>1</v>
      </c>
      <c r="H2546" s="4">
        <f t="shared" si="39"/>
        <v>0</v>
      </c>
    </row>
    <row r="2547" spans="3:8" x14ac:dyDescent="0.25">
      <c r="C2547" t="str">
        <f>'RES TECH'!M2546</f>
        <v>RESAPAHINewSHFUR1FOI20</v>
      </c>
      <c r="G2547" s="4">
        <f>IF(SUMIFS('RES TECH'!N:N,'RES TECH'!M:M,C2547)&gt;0,1,0)</f>
        <v>1</v>
      </c>
      <c r="H2547" s="4">
        <f t="shared" si="39"/>
        <v>0</v>
      </c>
    </row>
    <row r="2548" spans="3:8" x14ac:dyDescent="0.25">
      <c r="C2548" t="str">
        <f>'RES TECH'!M2547</f>
        <v>RESAPAHINewSHFUR2FOI20</v>
      </c>
      <c r="G2548" s="4">
        <f>IF(SUMIFS('RES TECH'!N:N,'RES TECH'!M:M,C2548)&gt;0,1,0)</f>
        <v>1</v>
      </c>
      <c r="H2548" s="4">
        <f t="shared" si="39"/>
        <v>0</v>
      </c>
    </row>
    <row r="2549" spans="3:8" x14ac:dyDescent="0.25">
      <c r="C2549" t="str">
        <f>'RES TECH'!M2548</f>
        <v>RESAPAHINewSHFUR2FOI22</v>
      </c>
      <c r="G2549" s="4">
        <f>IF(SUMIFS('RES TECH'!N:N,'RES TECH'!M:M,C2549)&gt;0,1,0)</f>
        <v>1</v>
      </c>
      <c r="H2549" s="4">
        <f t="shared" si="39"/>
        <v>0</v>
      </c>
    </row>
    <row r="2550" spans="3:8" x14ac:dyDescent="0.25">
      <c r="C2550" t="str">
        <f>'RES TECH'!M2549</f>
        <v>RESAPAHINewSHFUR3FOI20</v>
      </c>
      <c r="G2550" s="4">
        <f>IF(SUMIFS('RES TECH'!N:N,'RES TECH'!M:M,C2550)&gt;0,1,0)</f>
        <v>1</v>
      </c>
      <c r="H2550" s="4">
        <f t="shared" si="39"/>
        <v>0</v>
      </c>
    </row>
    <row r="2551" spans="3:8" x14ac:dyDescent="0.25">
      <c r="C2551" t="str">
        <f>'RES TECH'!M2550</f>
        <v>RESAPAHINewSHFUR4FOI20</v>
      </c>
      <c r="G2551" s="4">
        <f>IF(SUMIFS('RES TECH'!N:N,'RES TECH'!M:M,C2551)&gt;0,1,0)</f>
        <v>1</v>
      </c>
      <c r="H2551" s="4">
        <f t="shared" si="39"/>
        <v>0</v>
      </c>
    </row>
    <row r="2552" spans="3:8" x14ac:dyDescent="0.25">
      <c r="C2552" t="str">
        <f>'RES TECH'!M2551</f>
        <v>RESAPAHINewSHFUR4FOI22</v>
      </c>
      <c r="G2552" s="4">
        <f>IF(SUMIFS('RES TECH'!N:N,'RES TECH'!M:M,C2552)&gt;0,1,0)</f>
        <v>1</v>
      </c>
      <c r="H2552" s="4">
        <f t="shared" si="39"/>
        <v>0</v>
      </c>
    </row>
    <row r="2553" spans="3:8" x14ac:dyDescent="0.25">
      <c r="C2553" t="str">
        <f>'RES TECH'!M2552</f>
        <v>RESAPAHINewSHRAD1FOI20</v>
      </c>
      <c r="G2553" s="4">
        <f>IF(SUMIFS('RES TECH'!N:N,'RES TECH'!M:M,C2553)&gt;0,1,0)</f>
        <v>1</v>
      </c>
      <c r="H2553" s="4">
        <f t="shared" si="39"/>
        <v>0</v>
      </c>
    </row>
    <row r="2554" spans="3:8" x14ac:dyDescent="0.25">
      <c r="C2554" t="str">
        <f>'RES TECH'!M2553</f>
        <v>RESAPAHINewSHRAD1FOI22</v>
      </c>
      <c r="G2554" s="4">
        <f>IF(SUMIFS('RES TECH'!N:N,'RES TECH'!M:M,C2554)&gt;0,1,0)</f>
        <v>1</v>
      </c>
      <c r="H2554" s="4">
        <f t="shared" si="39"/>
        <v>0</v>
      </c>
    </row>
    <row r="2555" spans="3:8" x14ac:dyDescent="0.25">
      <c r="C2555" t="str">
        <f>'RES TECH'!M2554</f>
        <v>RESAPAHINewSHRAD2FOI20</v>
      </c>
      <c r="G2555" s="4">
        <f>IF(SUMIFS('RES TECH'!N:N,'RES TECH'!M:M,C2555)&gt;0,1,0)</f>
        <v>1</v>
      </c>
      <c r="H2555" s="4">
        <f t="shared" si="39"/>
        <v>0</v>
      </c>
    </row>
    <row r="2556" spans="3:8" x14ac:dyDescent="0.25">
      <c r="C2556" t="str">
        <f>'RES TECH'!M2555</f>
        <v>RESAPAHINewSHRAD2FOI22</v>
      </c>
      <c r="G2556" s="4">
        <f>IF(SUMIFS('RES TECH'!N:N,'RES TECH'!M:M,C2556)&gt;0,1,0)</f>
        <v>1</v>
      </c>
      <c r="H2556" s="4">
        <f t="shared" si="39"/>
        <v>0</v>
      </c>
    </row>
    <row r="2557" spans="3:8" x14ac:dyDescent="0.25">
      <c r="C2557" t="str">
        <f>'RES TECH'!M2556</f>
        <v>RESAPAHINewSHRAD3FOI20</v>
      </c>
      <c r="G2557" s="4">
        <f>IF(SUMIFS('RES TECH'!N:N,'RES TECH'!M:M,C2557)&gt;0,1,0)</f>
        <v>1</v>
      </c>
      <c r="H2557" s="4">
        <f t="shared" si="39"/>
        <v>0</v>
      </c>
    </row>
    <row r="2558" spans="3:8" x14ac:dyDescent="0.25">
      <c r="C2558" t="str">
        <f>'RES TECH'!M2557</f>
        <v>RESAPAHINewSHRAD4FOI20</v>
      </c>
      <c r="G2558" s="4">
        <f>IF(SUMIFS('RES TECH'!N:N,'RES TECH'!M:M,C2558)&gt;0,1,0)</f>
        <v>1</v>
      </c>
      <c r="H2558" s="4">
        <f t="shared" si="39"/>
        <v>0</v>
      </c>
    </row>
    <row r="2559" spans="3:8" x14ac:dyDescent="0.25">
      <c r="C2559" t="str">
        <f>'RES TECH'!M2558</f>
        <v>RESAPAHINewSCAHP2NGA20</v>
      </c>
      <c r="G2559" s="4">
        <f>IF(SUMIFS('RES TECH'!N:N,'RES TECH'!M:M,C2559)&gt;0,1,0)</f>
        <v>1</v>
      </c>
      <c r="H2559" s="4">
        <f t="shared" si="39"/>
        <v>0</v>
      </c>
    </row>
    <row r="2560" spans="3:8" x14ac:dyDescent="0.25">
      <c r="C2560" t="str">
        <f>'RES TECH'!M2559</f>
        <v>RESAPAHINewSCAHP2NGA20</v>
      </c>
      <c r="G2560" s="4">
        <f>IF(SUMIFS('RES TECH'!N:N,'RES TECH'!M:M,C2560)&gt;0,1,0)</f>
        <v>1</v>
      </c>
      <c r="H2560" s="4">
        <f t="shared" si="39"/>
        <v>0</v>
      </c>
    </row>
    <row r="2561" spans="3:8" x14ac:dyDescent="0.25">
      <c r="C2561" t="str">
        <f>'RES TECH'!M2560</f>
        <v>RESAPAHINewSCAHP1ELC20</v>
      </c>
      <c r="G2561" s="4">
        <f>IF(SUMIFS('RES TECH'!N:N,'RES TECH'!M:M,C2561)&gt;0,1,0)</f>
        <v>1</v>
      </c>
      <c r="H2561" s="4">
        <f t="shared" si="39"/>
        <v>0</v>
      </c>
    </row>
    <row r="2562" spans="3:8" x14ac:dyDescent="0.25">
      <c r="C2562" t="str">
        <f>'RES TECH'!M2561</f>
        <v>RESAPAHINewSCAHP1ELC23</v>
      </c>
      <c r="G2562" s="4">
        <f>IF(SUMIFS('RES TECH'!N:N,'RES TECH'!M:M,C2562)&gt;0,1,0)</f>
        <v>1</v>
      </c>
      <c r="H2562" s="4">
        <f t="shared" si="39"/>
        <v>0</v>
      </c>
    </row>
    <row r="2563" spans="3:8" x14ac:dyDescent="0.25">
      <c r="C2563" t="str">
        <f>'RES TECH'!M2562</f>
        <v>RESAPAHINewSCAHP2ELC20</v>
      </c>
      <c r="G2563" s="4">
        <f>IF(SUMIFS('RES TECH'!N:N,'RES TECH'!M:M,C2563)&gt;0,1,0)</f>
        <v>1</v>
      </c>
      <c r="H2563" s="4">
        <f t="shared" si="39"/>
        <v>0</v>
      </c>
    </row>
    <row r="2564" spans="3:8" x14ac:dyDescent="0.25">
      <c r="C2564" t="str">
        <f>'RES TECH'!M2563</f>
        <v>RESAPAHINewSCAHP2ELC23</v>
      </c>
      <c r="G2564" s="4">
        <f>IF(SUMIFS('RES TECH'!N:N,'RES TECH'!M:M,C2564)&gt;0,1,0)</f>
        <v>1</v>
      </c>
      <c r="H2564" s="4">
        <f t="shared" si="39"/>
        <v>0</v>
      </c>
    </row>
    <row r="2565" spans="3:8" x14ac:dyDescent="0.25">
      <c r="C2565" t="str">
        <f>'RES TECH'!M2564</f>
        <v>RESAPAHINewSCAHP3ELC20</v>
      </c>
      <c r="G2565" s="4">
        <f>IF(SUMIFS('RES TECH'!N:N,'RES TECH'!M:M,C2565)&gt;0,1,0)</f>
        <v>1</v>
      </c>
      <c r="H2565" s="4">
        <f t="shared" ref="H2565:H2628" si="40">IF(C2565="","",IF(C2565="*","*",0))</f>
        <v>0</v>
      </c>
    </row>
    <row r="2566" spans="3:8" x14ac:dyDescent="0.25">
      <c r="C2566" t="str">
        <f>'RES TECH'!M2565</f>
        <v>RESAPAHINewSCAHP3ELC22</v>
      </c>
      <c r="G2566" s="4">
        <f>IF(SUMIFS('RES TECH'!N:N,'RES TECH'!M:M,C2566)&gt;0,1,0)</f>
        <v>1</v>
      </c>
      <c r="H2566" s="4">
        <f t="shared" si="40"/>
        <v>0</v>
      </c>
    </row>
    <row r="2567" spans="3:8" x14ac:dyDescent="0.25">
      <c r="C2567" t="str">
        <f>'RES TECH'!M2566</f>
        <v>RESAPAHINewSCAHP3ELC23</v>
      </c>
      <c r="G2567" s="4">
        <f>IF(SUMIFS('RES TECH'!N:N,'RES TECH'!M:M,C2567)&gt;0,1,0)</f>
        <v>1</v>
      </c>
      <c r="H2567" s="4">
        <f t="shared" si="40"/>
        <v>0</v>
      </c>
    </row>
    <row r="2568" spans="3:8" x14ac:dyDescent="0.25">
      <c r="C2568" t="str">
        <f>'RES TECH'!M2567</f>
        <v>RESAPAHINewSCAHP4ELC20</v>
      </c>
      <c r="G2568" s="4">
        <f>IF(SUMIFS('RES TECH'!N:N,'RES TECH'!M:M,C2568)&gt;0,1,0)</f>
        <v>1</v>
      </c>
      <c r="H2568" s="4">
        <f t="shared" si="40"/>
        <v>0</v>
      </c>
    </row>
    <row r="2569" spans="3:8" x14ac:dyDescent="0.25">
      <c r="C2569" t="str">
        <f>'RES TECH'!M2568</f>
        <v>RESAPAHINewSCAHP4ELC22</v>
      </c>
      <c r="G2569" s="4">
        <f>IF(SUMIFS('RES TECH'!N:N,'RES TECH'!M:M,C2569)&gt;0,1,0)</f>
        <v>1</v>
      </c>
      <c r="H2569" s="4">
        <f t="shared" si="40"/>
        <v>0</v>
      </c>
    </row>
    <row r="2570" spans="3:8" x14ac:dyDescent="0.25">
      <c r="C2570" t="str">
        <f>'RES TECH'!M2569</f>
        <v>RESAPAHINewSCGHP1ELC20</v>
      </c>
      <c r="G2570" s="4">
        <f>IF(SUMIFS('RES TECH'!N:N,'RES TECH'!M:M,C2570)&gt;0,1,0)</f>
        <v>1</v>
      </c>
      <c r="H2570" s="4">
        <f t="shared" si="40"/>
        <v>0</v>
      </c>
    </row>
    <row r="2571" spans="3:8" x14ac:dyDescent="0.25">
      <c r="C2571" t="str">
        <f>'RES TECH'!M2570</f>
        <v>RESAPAHINewSCGHP2ELC20</v>
      </c>
      <c r="G2571" s="4">
        <f>IF(SUMIFS('RES TECH'!N:N,'RES TECH'!M:M,C2571)&gt;0,1,0)</f>
        <v>1</v>
      </c>
      <c r="H2571" s="4">
        <f t="shared" si="40"/>
        <v>0</v>
      </c>
    </row>
    <row r="2572" spans="3:8" x14ac:dyDescent="0.25">
      <c r="C2572" t="str">
        <f>'RES TECH'!M2571</f>
        <v>RESAPAHINewSCGHP3ELC20</v>
      </c>
      <c r="G2572" s="4">
        <f>IF(SUMIFS('RES TECH'!N:N,'RES TECH'!M:M,C2572)&gt;0,1,0)</f>
        <v>1</v>
      </c>
      <c r="H2572" s="4">
        <f t="shared" si="40"/>
        <v>0</v>
      </c>
    </row>
    <row r="2573" spans="3:8" x14ac:dyDescent="0.25">
      <c r="C2573" t="str">
        <f>'RES TECH'!M2572</f>
        <v>RESAPAHINewSCGHP3ELC20</v>
      </c>
      <c r="G2573" s="4">
        <f>IF(SUMIFS('RES TECH'!N:N,'RES TECH'!M:M,C2573)&gt;0,1,0)</f>
        <v>1</v>
      </c>
      <c r="H2573" s="4">
        <f t="shared" si="40"/>
        <v>0</v>
      </c>
    </row>
    <row r="2574" spans="3:8" x14ac:dyDescent="0.25">
      <c r="C2574" t="str">
        <f>'RES TECH'!M2573</f>
        <v>RESAPAHINewSCGHP3ELC22</v>
      </c>
      <c r="G2574" s="4">
        <f>IF(SUMIFS('RES TECH'!N:N,'RES TECH'!M:M,C2574)&gt;0,1,0)</f>
        <v>1</v>
      </c>
      <c r="H2574" s="4">
        <f t="shared" si="40"/>
        <v>0</v>
      </c>
    </row>
    <row r="2575" spans="3:8" x14ac:dyDescent="0.25">
      <c r="C2575" t="str">
        <f>'RES TECH'!M2574</f>
        <v>RESAPAHINewSCGHP3ELC23</v>
      </c>
      <c r="G2575" s="4">
        <f>IF(SUMIFS('RES TECH'!N:N,'RES TECH'!M:M,C2575)&gt;0,1,0)</f>
        <v>1</v>
      </c>
      <c r="H2575" s="4">
        <f t="shared" si="40"/>
        <v>0</v>
      </c>
    </row>
    <row r="2576" spans="3:8" x14ac:dyDescent="0.25">
      <c r="C2576" t="str">
        <f>'RES TECH'!M2575</f>
        <v>RESAPAHINewSCGHP3ELC24</v>
      </c>
      <c r="G2576" s="4">
        <f>IF(SUMIFS('RES TECH'!N:N,'RES TECH'!M:M,C2576)&gt;0,1,0)</f>
        <v>1</v>
      </c>
      <c r="H2576" s="4">
        <f t="shared" si="40"/>
        <v>0</v>
      </c>
    </row>
    <row r="2577" spans="3:8" x14ac:dyDescent="0.25">
      <c r="C2577" t="str">
        <f>'RES TECH'!M2576</f>
        <v>RESAPAHINewSCGHP4ELC20</v>
      </c>
      <c r="G2577" s="4">
        <f>IF(SUMIFS('RES TECH'!N:N,'RES TECH'!M:M,C2577)&gt;0,1,0)</f>
        <v>1</v>
      </c>
      <c r="H2577" s="4">
        <f t="shared" si="40"/>
        <v>0</v>
      </c>
    </row>
    <row r="2578" spans="3:8" x14ac:dyDescent="0.25">
      <c r="C2578" t="str">
        <f>'RES TECH'!M2577</f>
        <v>RESAPAHINewSCGHP4ELC20</v>
      </c>
      <c r="G2578" s="4">
        <f>IF(SUMIFS('RES TECH'!N:N,'RES TECH'!M:M,C2578)&gt;0,1,0)</f>
        <v>1</v>
      </c>
      <c r="H2578" s="4">
        <f t="shared" si="40"/>
        <v>0</v>
      </c>
    </row>
    <row r="2579" spans="3:8" x14ac:dyDescent="0.25">
      <c r="C2579" t="str">
        <f>'RES TECH'!M2578</f>
        <v>RESAPAHINewSCGHP4ELC22</v>
      </c>
      <c r="G2579" s="4">
        <f>IF(SUMIFS('RES TECH'!N:N,'RES TECH'!M:M,C2579)&gt;0,1,0)</f>
        <v>1</v>
      </c>
      <c r="H2579" s="4">
        <f t="shared" si="40"/>
        <v>0</v>
      </c>
    </row>
    <row r="2580" spans="3:8" x14ac:dyDescent="0.25">
      <c r="C2580" t="str">
        <f>'RES TECH'!M2579</f>
        <v>RESAPAHINewSCGHP4ELC23</v>
      </c>
      <c r="G2580" s="4">
        <f>IF(SUMIFS('RES TECH'!N:N,'RES TECH'!M:M,C2580)&gt;0,1,0)</f>
        <v>1</v>
      </c>
      <c r="H2580" s="4">
        <f t="shared" si="40"/>
        <v>0</v>
      </c>
    </row>
    <row r="2581" spans="3:8" x14ac:dyDescent="0.25">
      <c r="C2581" t="str">
        <f>'RES TECH'!M2580</f>
        <v>RESAPAHINewSCGHP4ELC24</v>
      </c>
      <c r="G2581" s="4">
        <f>IF(SUMIFS('RES TECH'!N:N,'RES TECH'!M:M,C2581)&gt;0,1,0)</f>
        <v>1</v>
      </c>
      <c r="H2581" s="4">
        <f t="shared" si="40"/>
        <v>0</v>
      </c>
    </row>
    <row r="2582" spans="3:8" x14ac:dyDescent="0.25">
      <c r="C2582" t="str">
        <f>'RES TECH'!M2581</f>
        <v>RESAPAHINewSCRAC1ELC20</v>
      </c>
      <c r="G2582" s="4">
        <f>IF(SUMIFS('RES TECH'!N:N,'RES TECH'!M:M,C2582)&gt;0,1,0)</f>
        <v>1</v>
      </c>
      <c r="H2582" s="4">
        <f t="shared" si="40"/>
        <v>0</v>
      </c>
    </row>
    <row r="2583" spans="3:8" x14ac:dyDescent="0.25">
      <c r="C2583" t="str">
        <f>'RES TECH'!M2582</f>
        <v>RESAPAHINewSCRAC2ELC20</v>
      </c>
      <c r="G2583" s="4">
        <f>IF(SUMIFS('RES TECH'!N:N,'RES TECH'!M:M,C2583)&gt;0,1,0)</f>
        <v>1</v>
      </c>
      <c r="H2583" s="4">
        <f t="shared" si="40"/>
        <v>0</v>
      </c>
    </row>
    <row r="2584" spans="3:8" x14ac:dyDescent="0.25">
      <c r="C2584" t="str">
        <f>'RES TECH'!M2583</f>
        <v>RESAPAHINewSCRAC2ELC30</v>
      </c>
      <c r="G2584" s="4">
        <f>IF(SUMIFS('RES TECH'!N:N,'RES TECH'!M:M,C2584)&gt;0,1,0)</f>
        <v>1</v>
      </c>
      <c r="H2584" s="4">
        <f t="shared" si="40"/>
        <v>0</v>
      </c>
    </row>
    <row r="2585" spans="3:8" x14ac:dyDescent="0.25">
      <c r="C2585" t="str">
        <f>'RES TECH'!M2584</f>
        <v>RESAPAHINewSCRAC2ELC40</v>
      </c>
      <c r="G2585" s="4">
        <f>IF(SUMIFS('RES TECH'!N:N,'RES TECH'!M:M,C2585)&gt;0,1,0)</f>
        <v>1</v>
      </c>
      <c r="H2585" s="4">
        <f t="shared" si="40"/>
        <v>0</v>
      </c>
    </row>
    <row r="2586" spans="3:8" x14ac:dyDescent="0.25">
      <c r="C2586" t="str">
        <f>'RES TECH'!M2585</f>
        <v>RESAPAHINewSCRAC3ELC20</v>
      </c>
      <c r="G2586" s="4">
        <f>IF(SUMIFS('RES TECH'!N:N,'RES TECH'!M:M,C2586)&gt;0,1,0)</f>
        <v>1</v>
      </c>
      <c r="H2586" s="4">
        <f t="shared" si="40"/>
        <v>0</v>
      </c>
    </row>
    <row r="2587" spans="3:8" x14ac:dyDescent="0.25">
      <c r="C2587" t="str">
        <f>'RES TECH'!M2586</f>
        <v>RESAPAHINewSCRAC4ELC20</v>
      </c>
      <c r="G2587" s="4">
        <f>IF(SUMIFS('RES TECH'!N:N,'RES TECH'!M:M,C2587)&gt;0,1,0)</f>
        <v>1</v>
      </c>
      <c r="H2587" s="4">
        <f t="shared" si="40"/>
        <v>0</v>
      </c>
    </row>
    <row r="2588" spans="3:8" x14ac:dyDescent="0.25">
      <c r="C2588" t="str">
        <f>'RES TECH'!M2587</f>
        <v>RESAPAHINewSCRAC4ELC22</v>
      </c>
      <c r="G2588" s="4">
        <f>IF(SUMIFS('RES TECH'!N:N,'RES TECH'!M:M,C2588)&gt;0,1,0)</f>
        <v>1</v>
      </c>
      <c r="H2588" s="4">
        <f t="shared" si="40"/>
        <v>0</v>
      </c>
    </row>
    <row r="2589" spans="3:8" x14ac:dyDescent="0.25">
      <c r="C2589" t="str">
        <f>'RES TECH'!M2588</f>
        <v>RESAPAHINewSCRAC4ELC30</v>
      </c>
      <c r="G2589" s="4">
        <f>IF(SUMIFS('RES TECH'!N:N,'RES TECH'!M:M,C2589)&gt;0,1,0)</f>
        <v>1</v>
      </c>
      <c r="H2589" s="4">
        <f t="shared" si="40"/>
        <v>0</v>
      </c>
    </row>
    <row r="2590" spans="3:8" x14ac:dyDescent="0.25">
      <c r="C2590" t="str">
        <f>'RES TECH'!M2589</f>
        <v>RESAPAHINewSCRAC4ELC40</v>
      </c>
      <c r="G2590" s="4">
        <f>IF(SUMIFS('RES TECH'!N:N,'RES TECH'!M:M,C2590)&gt;0,1,0)</f>
        <v>1</v>
      </c>
      <c r="H2590" s="4">
        <f t="shared" si="40"/>
        <v>0</v>
      </c>
    </row>
    <row r="2591" spans="3:8" x14ac:dyDescent="0.25">
      <c r="C2591" t="str">
        <f>'RES TECH'!M2590</f>
        <v>RESAPAHINewSCCAC1ELC20</v>
      </c>
      <c r="G2591" s="4">
        <f>IF(SUMIFS('RES TECH'!N:N,'RES TECH'!M:M,C2591)&gt;0,1,0)</f>
        <v>1</v>
      </c>
      <c r="H2591" s="4">
        <f t="shared" si="40"/>
        <v>0</v>
      </c>
    </row>
    <row r="2592" spans="3:8" x14ac:dyDescent="0.25">
      <c r="C2592" t="str">
        <f>'RES TECH'!M2591</f>
        <v>RESAPAHINewSCCAC1ELC23</v>
      </c>
      <c r="G2592" s="4">
        <f>IF(SUMIFS('RES TECH'!N:N,'RES TECH'!M:M,C2592)&gt;0,1,0)</f>
        <v>1</v>
      </c>
      <c r="H2592" s="4">
        <f t="shared" si="40"/>
        <v>0</v>
      </c>
    </row>
    <row r="2593" spans="3:8" x14ac:dyDescent="0.25">
      <c r="C2593" t="str">
        <f>'RES TECH'!M2592</f>
        <v>RESAPAHINewSCCAC2ELC20</v>
      </c>
      <c r="G2593" s="4">
        <f>IF(SUMIFS('RES TECH'!N:N,'RES TECH'!M:M,C2593)&gt;0,1,0)</f>
        <v>1</v>
      </c>
      <c r="H2593" s="4">
        <f t="shared" si="40"/>
        <v>0</v>
      </c>
    </row>
    <row r="2594" spans="3:8" x14ac:dyDescent="0.25">
      <c r="C2594" t="str">
        <f>'RES TECH'!M2593</f>
        <v>RESAPAHINewSCCAC2ELC23</v>
      </c>
      <c r="G2594" s="4">
        <f>IF(SUMIFS('RES TECH'!N:N,'RES TECH'!M:M,C2594)&gt;0,1,0)</f>
        <v>1</v>
      </c>
      <c r="H2594" s="4">
        <f t="shared" si="40"/>
        <v>0</v>
      </c>
    </row>
    <row r="2595" spans="3:8" x14ac:dyDescent="0.25">
      <c r="C2595" t="str">
        <f>'RES TECH'!M2594</f>
        <v>RESAPAHINewSCCAC3ELC20</v>
      </c>
      <c r="G2595" s="4">
        <f>IF(SUMIFS('RES TECH'!N:N,'RES TECH'!M:M,C2595)&gt;0,1,0)</f>
        <v>1</v>
      </c>
      <c r="H2595" s="4">
        <f t="shared" si="40"/>
        <v>0</v>
      </c>
    </row>
    <row r="2596" spans="3:8" x14ac:dyDescent="0.25">
      <c r="C2596" t="str">
        <f>'RES TECH'!M2595</f>
        <v>RESAPAHINewSCCAC3ELC23</v>
      </c>
      <c r="G2596" s="4">
        <f>IF(SUMIFS('RES TECH'!N:N,'RES TECH'!M:M,C2596)&gt;0,1,0)</f>
        <v>1</v>
      </c>
      <c r="H2596" s="4">
        <f t="shared" si="40"/>
        <v>0</v>
      </c>
    </row>
    <row r="2597" spans="3:8" x14ac:dyDescent="0.25">
      <c r="C2597" t="str">
        <f>'RES TECH'!M2596</f>
        <v>RESAPAHINewSCCAC4ELC20</v>
      </c>
      <c r="G2597" s="4">
        <f>IF(SUMIFS('RES TECH'!N:N,'RES TECH'!M:M,C2597)&gt;0,1,0)</f>
        <v>1</v>
      </c>
      <c r="H2597" s="4">
        <f t="shared" si="40"/>
        <v>0</v>
      </c>
    </row>
    <row r="2598" spans="3:8" x14ac:dyDescent="0.25">
      <c r="C2598" t="str">
        <f>'RES TECH'!M2597</f>
        <v>RESAPAHINewSCCAC4ELC22</v>
      </c>
      <c r="G2598" s="4">
        <f>IF(SUMIFS('RES TECH'!N:N,'RES TECH'!M:M,C2598)&gt;0,1,0)</f>
        <v>1</v>
      </c>
      <c r="H2598" s="4">
        <f t="shared" si="40"/>
        <v>0</v>
      </c>
    </row>
    <row r="2599" spans="3:8" x14ac:dyDescent="0.25">
      <c r="C2599" t="str">
        <f>'RES TECH'!M2598</f>
        <v>RESAPAHINewRETF1ELC20</v>
      </c>
      <c r="G2599" s="4">
        <f>IF(SUMIFS('RES TECH'!N:N,'RES TECH'!M:M,C2599)&gt;0,1,0)</f>
        <v>1</v>
      </c>
      <c r="H2599" s="4">
        <f t="shared" si="40"/>
        <v>0</v>
      </c>
    </row>
    <row r="2600" spans="3:8" x14ac:dyDescent="0.25">
      <c r="C2600" t="str">
        <f>'RES TECH'!M2599</f>
        <v>RESAPAHINewRETF2ELC20</v>
      </c>
      <c r="G2600" s="4">
        <f>IF(SUMIFS('RES TECH'!N:N,'RES TECH'!M:M,C2600)&gt;0,1,0)</f>
        <v>1</v>
      </c>
      <c r="H2600" s="4">
        <f t="shared" si="40"/>
        <v>0</v>
      </c>
    </row>
    <row r="2601" spans="3:8" x14ac:dyDescent="0.25">
      <c r="C2601" t="str">
        <f>'RES TECH'!M2600</f>
        <v>RESAPAHINewRETF3ELC20</v>
      </c>
      <c r="G2601" s="4">
        <f>IF(SUMIFS('RES TECH'!N:N,'RES TECH'!M:M,C2601)&gt;0,1,0)</f>
        <v>1</v>
      </c>
      <c r="H2601" s="4">
        <f t="shared" si="40"/>
        <v>0</v>
      </c>
    </row>
    <row r="2602" spans="3:8" x14ac:dyDescent="0.25">
      <c r="C2602" t="str">
        <f>'RES TECH'!M2601</f>
        <v>RESAPAHINewRETF4ELC20</v>
      </c>
      <c r="G2602" s="4">
        <f>IF(SUMIFS('RES TECH'!N:N,'RES TECH'!M:M,C2602)&gt;0,1,0)</f>
        <v>1</v>
      </c>
      <c r="H2602" s="4">
        <f t="shared" si="40"/>
        <v>0</v>
      </c>
    </row>
    <row r="2603" spans="3:8" x14ac:dyDescent="0.25">
      <c r="C2603" t="str">
        <f>'RES TECH'!M2602</f>
        <v>RESAPAHINewRESF1ELC20</v>
      </c>
      <c r="G2603" s="4">
        <f>IF(SUMIFS('RES TECH'!N:N,'RES TECH'!M:M,C2603)&gt;0,1,0)</f>
        <v>1</v>
      </c>
      <c r="H2603" s="4">
        <f t="shared" si="40"/>
        <v>0</v>
      </c>
    </row>
    <row r="2604" spans="3:8" x14ac:dyDescent="0.25">
      <c r="C2604" t="str">
        <f>'RES TECH'!M2603</f>
        <v>RESAPAHINewRESF2ELC20</v>
      </c>
      <c r="G2604" s="4">
        <f>IF(SUMIFS('RES TECH'!N:N,'RES TECH'!M:M,C2604)&gt;0,1,0)</f>
        <v>1</v>
      </c>
      <c r="H2604" s="4">
        <f t="shared" si="40"/>
        <v>0</v>
      </c>
    </row>
    <row r="2605" spans="3:8" x14ac:dyDescent="0.25">
      <c r="C2605" t="str">
        <f>'RES TECH'!M2604</f>
        <v>RESAPAHINewRESF3ELC20</v>
      </c>
      <c r="G2605" s="4">
        <f>IF(SUMIFS('RES TECH'!N:N,'RES TECH'!M:M,C2605)&gt;0,1,0)</f>
        <v>1</v>
      </c>
      <c r="H2605" s="4">
        <f t="shared" si="40"/>
        <v>0</v>
      </c>
    </row>
    <row r="2606" spans="3:8" x14ac:dyDescent="0.25">
      <c r="C2606" t="str">
        <f>'RES TECH'!M2605</f>
        <v>RESAPAHINewRESF4ELC20</v>
      </c>
      <c r="G2606" s="4">
        <f>IF(SUMIFS('RES TECH'!N:N,'RES TECH'!M:M,C2606)&gt;0,1,0)</f>
        <v>1</v>
      </c>
      <c r="H2606" s="4">
        <f t="shared" si="40"/>
        <v>0</v>
      </c>
    </row>
    <row r="2607" spans="3:8" x14ac:dyDescent="0.25">
      <c r="C2607" t="str">
        <f>'RES TECH'!M2606</f>
        <v>RESAPAHINewREBF1ELC20</v>
      </c>
      <c r="G2607" s="4">
        <f>IF(SUMIFS('RES TECH'!N:N,'RES TECH'!M:M,C2607)&gt;0,1,0)</f>
        <v>1</v>
      </c>
      <c r="H2607" s="4">
        <f t="shared" si="40"/>
        <v>0</v>
      </c>
    </row>
    <row r="2608" spans="3:8" x14ac:dyDescent="0.25">
      <c r="C2608" t="str">
        <f>'RES TECH'!M2607</f>
        <v>RESAPAHINewREBF2ELC20</v>
      </c>
      <c r="G2608" s="4">
        <f>IF(SUMIFS('RES TECH'!N:N,'RES TECH'!M:M,C2608)&gt;0,1,0)</f>
        <v>1</v>
      </c>
      <c r="H2608" s="4">
        <f t="shared" si="40"/>
        <v>0</v>
      </c>
    </row>
    <row r="2609" spans="3:8" x14ac:dyDescent="0.25">
      <c r="C2609" t="str">
        <f>'RES TECH'!M2608</f>
        <v>RESAPAHINewREBF3ELC20</v>
      </c>
      <c r="G2609" s="4">
        <f>IF(SUMIFS('RES TECH'!N:N,'RES TECH'!M:M,C2609)&gt;0,1,0)</f>
        <v>1</v>
      </c>
      <c r="H2609" s="4">
        <f t="shared" si="40"/>
        <v>0</v>
      </c>
    </row>
    <row r="2610" spans="3:8" x14ac:dyDescent="0.25">
      <c r="C2610" t="str">
        <f>'RES TECH'!M2609</f>
        <v>RESAPAHINewREBF4ELC20</v>
      </c>
      <c r="G2610" s="4">
        <f>IF(SUMIFS('RES TECH'!N:N,'RES TECH'!M:M,C2610)&gt;0,1,0)</f>
        <v>1</v>
      </c>
      <c r="H2610" s="4">
        <f t="shared" si="40"/>
        <v>0</v>
      </c>
    </row>
    <row r="2611" spans="3:8" x14ac:dyDescent="0.25">
      <c r="C2611" t="str">
        <f>'RES TECH'!M2610</f>
        <v>RESAPAHINewFRC1ELC20</v>
      </c>
      <c r="G2611" s="4">
        <f>IF(SUMIFS('RES TECH'!N:N,'RES TECH'!M:M,C2611)&gt;0,1,0)</f>
        <v>1</v>
      </c>
      <c r="H2611" s="4">
        <f t="shared" si="40"/>
        <v>0</v>
      </c>
    </row>
    <row r="2612" spans="3:8" x14ac:dyDescent="0.25">
      <c r="C2612" t="str">
        <f>'RES TECH'!M2611</f>
        <v>RESAPAHINewFRC2ELC20</v>
      </c>
      <c r="G2612" s="4">
        <f>IF(SUMIFS('RES TECH'!N:N,'RES TECH'!M:M,C2612)&gt;0,1,0)</f>
        <v>1</v>
      </c>
      <c r="H2612" s="4">
        <f t="shared" si="40"/>
        <v>0</v>
      </c>
    </row>
    <row r="2613" spans="3:8" x14ac:dyDescent="0.25">
      <c r="C2613" t="str">
        <f>'RES TECH'!M2612</f>
        <v>RESAPAHINewFRC3ELC20</v>
      </c>
      <c r="G2613" s="4">
        <f>IF(SUMIFS('RES TECH'!N:N,'RES TECH'!M:M,C2613)&gt;0,1,0)</f>
        <v>1</v>
      </c>
      <c r="H2613" s="4">
        <f t="shared" si="40"/>
        <v>0</v>
      </c>
    </row>
    <row r="2614" spans="3:8" x14ac:dyDescent="0.25">
      <c r="C2614" t="str">
        <f>'RES TECH'!M2613</f>
        <v>RESAPAHINewFRC4ELC20</v>
      </c>
      <c r="G2614" s="4">
        <f>IF(SUMIFS('RES TECH'!N:N,'RES TECH'!M:M,C2614)&gt;0,1,0)</f>
        <v>1</v>
      </c>
      <c r="H2614" s="4">
        <f t="shared" si="40"/>
        <v>0</v>
      </c>
    </row>
    <row r="2615" spans="3:8" x14ac:dyDescent="0.25">
      <c r="C2615" t="str">
        <f>'RES TECH'!M2614</f>
        <v>RESAPAHINewFRU1ELC20</v>
      </c>
      <c r="G2615" s="4">
        <f>IF(SUMIFS('RES TECH'!N:N,'RES TECH'!M:M,C2615)&gt;0,1,0)</f>
        <v>1</v>
      </c>
      <c r="H2615" s="4">
        <f t="shared" si="40"/>
        <v>0</v>
      </c>
    </row>
    <row r="2616" spans="3:8" x14ac:dyDescent="0.25">
      <c r="C2616" t="str">
        <f>'RES TECH'!M2615</f>
        <v>RESAPAHINewFRU2ELC20</v>
      </c>
      <c r="G2616" s="4">
        <f>IF(SUMIFS('RES TECH'!N:N,'RES TECH'!M:M,C2616)&gt;0,1,0)</f>
        <v>1</v>
      </c>
      <c r="H2616" s="4">
        <f t="shared" si="40"/>
        <v>0</v>
      </c>
    </row>
    <row r="2617" spans="3:8" x14ac:dyDescent="0.25">
      <c r="C2617" t="str">
        <f>'RES TECH'!M2616</f>
        <v>RESAPAHINewFRU3ELC20</v>
      </c>
      <c r="G2617" s="4">
        <f>IF(SUMIFS('RES TECH'!N:N,'RES TECH'!M:M,C2617)&gt;0,1,0)</f>
        <v>1</v>
      </c>
      <c r="H2617" s="4">
        <f t="shared" si="40"/>
        <v>0</v>
      </c>
    </row>
    <row r="2618" spans="3:8" x14ac:dyDescent="0.25">
      <c r="C2618" t="str">
        <f>'RES TECH'!M2617</f>
        <v>RESAPAHINewFRU4ELC20</v>
      </c>
      <c r="G2618" s="4">
        <f>IF(SUMIFS('RES TECH'!N:N,'RES TECH'!M:M,C2618)&gt;0,1,0)</f>
        <v>1</v>
      </c>
      <c r="H2618" s="4">
        <f t="shared" si="40"/>
        <v>0</v>
      </c>
    </row>
    <row r="2619" spans="3:8" x14ac:dyDescent="0.25">
      <c r="C2619" t="str">
        <f>'RES TECH'!M2618</f>
        <v>RESAPAHINewCK2NGA20</v>
      </c>
      <c r="G2619" s="4">
        <f>IF(SUMIFS('RES TECH'!N:N,'RES TECH'!M:M,C2619)&gt;0,1,0)</f>
        <v>1</v>
      </c>
      <c r="H2619" s="4">
        <f t="shared" si="40"/>
        <v>0</v>
      </c>
    </row>
    <row r="2620" spans="3:8" x14ac:dyDescent="0.25">
      <c r="C2620" t="str">
        <f>'RES TECH'!M2619</f>
        <v>RESAPAHINewCK4NGA20</v>
      </c>
      <c r="G2620" s="4">
        <f>IF(SUMIFS('RES TECH'!N:N,'RES TECH'!M:M,C2620)&gt;0,1,0)</f>
        <v>1</v>
      </c>
      <c r="H2620" s="4">
        <f t="shared" si="40"/>
        <v>0</v>
      </c>
    </row>
    <row r="2621" spans="3:8" x14ac:dyDescent="0.25">
      <c r="C2621" t="str">
        <f>'RES TECH'!M2620</f>
        <v>RESAPAHINewCK2LPG20</v>
      </c>
      <c r="G2621" s="4">
        <f>IF(SUMIFS('RES TECH'!N:N,'RES TECH'!M:M,C2621)&gt;0,1,0)</f>
        <v>1</v>
      </c>
      <c r="H2621" s="4">
        <f t="shared" si="40"/>
        <v>0</v>
      </c>
    </row>
    <row r="2622" spans="3:8" x14ac:dyDescent="0.25">
      <c r="C2622" t="str">
        <f>'RES TECH'!M2621</f>
        <v>RESAPAHINewCK4LPG20</v>
      </c>
      <c r="G2622" s="4">
        <f>IF(SUMIFS('RES TECH'!N:N,'RES TECH'!M:M,C2622)&gt;0,1,0)</f>
        <v>1</v>
      </c>
      <c r="H2622" s="4">
        <f t="shared" si="40"/>
        <v>0</v>
      </c>
    </row>
    <row r="2623" spans="3:8" x14ac:dyDescent="0.25">
      <c r="C2623" t="str">
        <f>'RES TECH'!M2622</f>
        <v>RESAPAHINewCK2ELC20</v>
      </c>
      <c r="G2623" s="4">
        <f>IF(SUMIFS('RES TECH'!N:N,'RES TECH'!M:M,C2623)&gt;0,1,0)</f>
        <v>1</v>
      </c>
      <c r="H2623" s="4">
        <f t="shared" si="40"/>
        <v>0</v>
      </c>
    </row>
    <row r="2624" spans="3:8" x14ac:dyDescent="0.25">
      <c r="C2624" t="str">
        <f>'RES TECH'!M2623</f>
        <v>RESAPAHINewCWF4ELC30</v>
      </c>
      <c r="G2624" s="4">
        <f>IF(SUMIFS('RES TECH'!N:N,'RES TECH'!M:M,C2624)&gt;0,1,0)</f>
        <v>1</v>
      </c>
      <c r="H2624" s="4">
        <f t="shared" si="40"/>
        <v>0</v>
      </c>
    </row>
    <row r="2625" spans="3:8" x14ac:dyDescent="0.25">
      <c r="C2625" t="str">
        <f>'RES TECH'!M2624</f>
        <v>RESAPAHINewCWT1ELC20</v>
      </c>
      <c r="G2625" s="4">
        <f>IF(SUMIFS('RES TECH'!N:N,'RES TECH'!M:M,C2625)&gt;0,1,0)</f>
        <v>1</v>
      </c>
      <c r="H2625" s="4">
        <f t="shared" si="40"/>
        <v>0</v>
      </c>
    </row>
    <row r="2626" spans="3:8" x14ac:dyDescent="0.25">
      <c r="C2626" t="str">
        <f>'RES TECH'!M2625</f>
        <v>RESAPAHINewCWT2ELC20</v>
      </c>
      <c r="G2626" s="4">
        <f>IF(SUMIFS('RES TECH'!N:N,'RES TECH'!M:M,C2626)&gt;0,1,0)</f>
        <v>1</v>
      </c>
      <c r="H2626" s="4">
        <f t="shared" si="40"/>
        <v>0</v>
      </c>
    </row>
    <row r="2627" spans="3:8" x14ac:dyDescent="0.25">
      <c r="C2627" t="str">
        <f>'RES TECH'!M2626</f>
        <v>RESAPAHINewCWT2ELC20</v>
      </c>
      <c r="G2627" s="4">
        <f>IF(SUMIFS('RES TECH'!N:N,'RES TECH'!M:M,C2627)&gt;0,1,0)</f>
        <v>1</v>
      </c>
      <c r="H2627" s="4">
        <f t="shared" si="40"/>
        <v>0</v>
      </c>
    </row>
    <row r="2628" spans="3:8" x14ac:dyDescent="0.25">
      <c r="C2628" t="str">
        <f>'RES TECH'!M2627</f>
        <v>RESAPAHINewCWT3ELC20</v>
      </c>
      <c r="G2628" s="4">
        <f>IF(SUMIFS('RES TECH'!N:N,'RES TECH'!M:M,C2628)&gt;0,1,0)</f>
        <v>1</v>
      </c>
      <c r="H2628" s="4">
        <f t="shared" si="40"/>
        <v>0</v>
      </c>
    </row>
    <row r="2629" spans="3:8" x14ac:dyDescent="0.25">
      <c r="C2629" t="str">
        <f>'RES TECH'!M2628</f>
        <v>RESAPAHINewCWT4ELC20</v>
      </c>
      <c r="G2629" s="4">
        <f>IF(SUMIFS('RES TECH'!N:N,'RES TECH'!M:M,C2629)&gt;0,1,0)</f>
        <v>1</v>
      </c>
      <c r="H2629" s="4">
        <f t="shared" ref="H2629:H2692" si="41">IF(C2629="","",IF(C2629="*","*",0))</f>
        <v>0</v>
      </c>
    </row>
    <row r="2630" spans="3:8" x14ac:dyDescent="0.25">
      <c r="C2630" t="str">
        <f>'RES TECH'!M2629</f>
        <v>RESAPAHINewCWF1ELC20</v>
      </c>
      <c r="G2630" s="4">
        <f>IF(SUMIFS('RES TECH'!N:N,'RES TECH'!M:M,C2630)&gt;0,1,0)</f>
        <v>1</v>
      </c>
      <c r="H2630" s="4">
        <f t="shared" si="41"/>
        <v>0</v>
      </c>
    </row>
    <row r="2631" spans="3:8" x14ac:dyDescent="0.25">
      <c r="C2631" t="str">
        <f>'RES TECH'!M2630</f>
        <v>RESAPAHINewCWF2ELC20</v>
      </c>
      <c r="G2631" s="4">
        <f>IF(SUMIFS('RES TECH'!N:N,'RES TECH'!M:M,C2631)&gt;0,1,0)</f>
        <v>1</v>
      </c>
      <c r="H2631" s="4">
        <f t="shared" si="41"/>
        <v>0</v>
      </c>
    </row>
    <row r="2632" spans="3:8" x14ac:dyDescent="0.25">
      <c r="C2632" t="str">
        <f>'RES TECH'!M2631</f>
        <v>RESAPAHINewCWF2ELC30</v>
      </c>
      <c r="G2632" s="4">
        <f>IF(SUMIFS('RES TECH'!N:N,'RES TECH'!M:M,C2632)&gt;0,1,0)</f>
        <v>1</v>
      </c>
      <c r="H2632" s="4">
        <f t="shared" si="41"/>
        <v>0</v>
      </c>
    </row>
    <row r="2633" spans="3:8" x14ac:dyDescent="0.25">
      <c r="C2633" t="str">
        <f>'RES TECH'!M2632</f>
        <v>RESAPAHINewCWF3ELC20</v>
      </c>
      <c r="G2633" s="4">
        <f>IF(SUMIFS('RES TECH'!N:N,'RES TECH'!M:M,C2633)&gt;0,1,0)</f>
        <v>1</v>
      </c>
      <c r="H2633" s="4">
        <f t="shared" si="41"/>
        <v>0</v>
      </c>
    </row>
    <row r="2634" spans="3:8" x14ac:dyDescent="0.25">
      <c r="C2634" t="str">
        <f>'RES TECH'!M2633</f>
        <v>RESAPAHINewCWF4ELC20</v>
      </c>
      <c r="G2634" s="4">
        <f>IF(SUMIFS('RES TECH'!N:N,'RES TECH'!M:M,C2634)&gt;0,1,0)</f>
        <v>1</v>
      </c>
      <c r="H2634" s="4">
        <f t="shared" si="41"/>
        <v>0</v>
      </c>
    </row>
    <row r="2635" spans="3:8" x14ac:dyDescent="0.25">
      <c r="C2635" t="str">
        <f>'RES TECH'!M2634</f>
        <v>RESAPAHINewCWF4ELC20</v>
      </c>
      <c r="G2635" s="4">
        <f>IF(SUMIFS('RES TECH'!N:N,'RES TECH'!M:M,C2635)&gt;0,1,0)</f>
        <v>1</v>
      </c>
      <c r="H2635" s="4">
        <f t="shared" si="41"/>
        <v>0</v>
      </c>
    </row>
    <row r="2636" spans="3:8" x14ac:dyDescent="0.25">
      <c r="C2636" t="str">
        <f>'RES TECH'!M2635</f>
        <v>RESAPAHINewCD1NGA20</v>
      </c>
      <c r="G2636" s="4">
        <f>IF(SUMIFS('RES TECH'!N:N,'RES TECH'!M:M,C2636)&gt;0,1,0)</f>
        <v>1</v>
      </c>
      <c r="H2636" s="4">
        <f t="shared" si="41"/>
        <v>0</v>
      </c>
    </row>
    <row r="2637" spans="3:8" x14ac:dyDescent="0.25">
      <c r="C2637" t="str">
        <f>'RES TECH'!M2636</f>
        <v>RESAPAHINewCD2NGA20</v>
      </c>
      <c r="G2637" s="4">
        <f>IF(SUMIFS('RES TECH'!N:N,'RES TECH'!M:M,C2637)&gt;0,1,0)</f>
        <v>1</v>
      </c>
      <c r="H2637" s="4">
        <f t="shared" si="41"/>
        <v>0</v>
      </c>
    </row>
    <row r="2638" spans="3:8" x14ac:dyDescent="0.25">
      <c r="C2638" t="str">
        <f>'RES TECH'!M2637</f>
        <v>RESAPAHINewCD3NGA20</v>
      </c>
      <c r="G2638" s="4">
        <f>IF(SUMIFS('RES TECH'!N:N,'RES TECH'!M:M,C2638)&gt;0,1,0)</f>
        <v>1</v>
      </c>
      <c r="H2638" s="4">
        <f t="shared" si="41"/>
        <v>0</v>
      </c>
    </row>
    <row r="2639" spans="3:8" x14ac:dyDescent="0.25">
      <c r="C2639" t="str">
        <f>'RES TECH'!M2638</f>
        <v>RESAPAHINewCD4NGA20</v>
      </c>
      <c r="G2639" s="4">
        <f>IF(SUMIFS('RES TECH'!N:N,'RES TECH'!M:M,C2639)&gt;0,1,0)</f>
        <v>1</v>
      </c>
      <c r="H2639" s="4">
        <f t="shared" si="41"/>
        <v>0</v>
      </c>
    </row>
    <row r="2640" spans="3:8" x14ac:dyDescent="0.25">
      <c r="C2640" t="str">
        <f>'RES TECH'!M2639</f>
        <v>RESAPAHINewCD4NGA30</v>
      </c>
      <c r="G2640" s="4">
        <f>IF(SUMIFS('RES TECH'!N:N,'RES TECH'!M:M,C2640)&gt;0,1,0)</f>
        <v>1</v>
      </c>
      <c r="H2640" s="4">
        <f t="shared" si="41"/>
        <v>0</v>
      </c>
    </row>
    <row r="2641" spans="3:8" x14ac:dyDescent="0.25">
      <c r="C2641" t="str">
        <f>'RES TECH'!M2640</f>
        <v>RESAPAHINewCD1ELC20</v>
      </c>
      <c r="G2641" s="4">
        <f>IF(SUMIFS('RES TECH'!N:N,'RES TECH'!M:M,C2641)&gt;0,1,0)</f>
        <v>1</v>
      </c>
      <c r="H2641" s="4">
        <f t="shared" si="41"/>
        <v>0</v>
      </c>
    </row>
    <row r="2642" spans="3:8" x14ac:dyDescent="0.25">
      <c r="C2642" t="str">
        <f>'RES TECH'!M2641</f>
        <v>RESAPAHINewCD2ELC20</v>
      </c>
      <c r="G2642" s="4">
        <f>IF(SUMIFS('RES TECH'!N:N,'RES TECH'!M:M,C2642)&gt;0,1,0)</f>
        <v>1</v>
      </c>
      <c r="H2642" s="4">
        <f t="shared" si="41"/>
        <v>0</v>
      </c>
    </row>
    <row r="2643" spans="3:8" x14ac:dyDescent="0.25">
      <c r="C2643" t="str">
        <f>'RES TECH'!M2642</f>
        <v>RESAPAHINewCD3ELC20</v>
      </c>
      <c r="G2643" s="4">
        <f>IF(SUMIFS('RES TECH'!N:N,'RES TECH'!M:M,C2643)&gt;0,1,0)</f>
        <v>1</v>
      </c>
      <c r="H2643" s="4">
        <f t="shared" si="41"/>
        <v>0</v>
      </c>
    </row>
    <row r="2644" spans="3:8" x14ac:dyDescent="0.25">
      <c r="C2644" t="str">
        <f>'RES TECH'!M2643</f>
        <v>RESAPAHINewCD4ELC20</v>
      </c>
      <c r="G2644" s="4">
        <f>IF(SUMIFS('RES TECH'!N:N,'RES TECH'!M:M,C2644)&gt;0,1,0)</f>
        <v>1</v>
      </c>
      <c r="H2644" s="4">
        <f t="shared" si="41"/>
        <v>0</v>
      </c>
    </row>
    <row r="2645" spans="3:8" x14ac:dyDescent="0.25">
      <c r="C2645" t="str">
        <f>'RES TECH'!M2644</f>
        <v>RESHOUHINewWH1NGA20</v>
      </c>
      <c r="G2645" s="4">
        <f>IF(SUMIFS('RES TECH'!N:N,'RES TECH'!M:M,C2645)&gt;0,1,0)</f>
        <v>1</v>
      </c>
      <c r="H2645" s="4">
        <f t="shared" si="41"/>
        <v>0</v>
      </c>
    </row>
    <row r="2646" spans="3:8" x14ac:dyDescent="0.25">
      <c r="C2646" t="str">
        <f>'RES TECH'!M2645</f>
        <v>RESHOUHINewWH2NGA20</v>
      </c>
      <c r="G2646" s="4">
        <f>IF(SUMIFS('RES TECH'!N:N,'RES TECH'!M:M,C2646)&gt;0,1,0)</f>
        <v>1</v>
      </c>
      <c r="H2646" s="4">
        <f t="shared" si="41"/>
        <v>0</v>
      </c>
    </row>
    <row r="2647" spans="3:8" x14ac:dyDescent="0.25">
      <c r="C2647" t="str">
        <f>'RES TECH'!M2646</f>
        <v>RESHOUHINewWH3NGA20</v>
      </c>
      <c r="G2647" s="4">
        <f>IF(SUMIFS('RES TECH'!N:N,'RES TECH'!M:M,C2647)&gt;0,1,0)</f>
        <v>1</v>
      </c>
      <c r="H2647" s="4">
        <f t="shared" si="41"/>
        <v>0</v>
      </c>
    </row>
    <row r="2648" spans="3:8" x14ac:dyDescent="0.25">
      <c r="C2648" t="str">
        <f>'RES TECH'!M2647</f>
        <v>RESHOUHINewWH3NGA23</v>
      </c>
      <c r="G2648" s="4">
        <f>IF(SUMIFS('RES TECH'!N:N,'RES TECH'!M:M,C2648)&gt;0,1,0)</f>
        <v>1</v>
      </c>
      <c r="H2648" s="4">
        <f t="shared" si="41"/>
        <v>0</v>
      </c>
    </row>
    <row r="2649" spans="3:8" x14ac:dyDescent="0.25">
      <c r="C2649" t="str">
        <f>'RES TECH'!M2648</f>
        <v>RESHOUHINewWH4NGA20</v>
      </c>
      <c r="G2649" s="4">
        <f>IF(SUMIFS('RES TECH'!N:N,'RES TECH'!M:M,C2649)&gt;0,1,0)</f>
        <v>1</v>
      </c>
      <c r="H2649" s="4">
        <f t="shared" si="41"/>
        <v>0</v>
      </c>
    </row>
    <row r="2650" spans="3:8" x14ac:dyDescent="0.25">
      <c r="C2650" t="str">
        <f>'RES TECH'!M2649</f>
        <v>RESHOUHINewWH4NGA20</v>
      </c>
      <c r="G2650" s="4">
        <f>IF(SUMIFS('RES TECH'!N:N,'RES TECH'!M:M,C2650)&gt;0,1,0)</f>
        <v>1</v>
      </c>
      <c r="H2650" s="4">
        <f t="shared" si="41"/>
        <v>0</v>
      </c>
    </row>
    <row r="2651" spans="3:8" x14ac:dyDescent="0.25">
      <c r="C2651" t="str">
        <f>'RES TECH'!M2650</f>
        <v>RESHOUHINewWH4NGA22</v>
      </c>
      <c r="G2651" s="4">
        <f>IF(SUMIFS('RES TECH'!N:N,'RES TECH'!M:M,C2651)&gt;0,1,0)</f>
        <v>1</v>
      </c>
      <c r="H2651" s="4">
        <f t="shared" si="41"/>
        <v>0</v>
      </c>
    </row>
    <row r="2652" spans="3:8" x14ac:dyDescent="0.25">
      <c r="C2652" t="str">
        <f>'RES TECH'!M2651</f>
        <v>RESHOUHINewWH1ELC20</v>
      </c>
      <c r="G2652" s="4">
        <f>IF(SUMIFS('RES TECH'!N:N,'RES TECH'!M:M,C2652)&gt;0,1,0)</f>
        <v>1</v>
      </c>
      <c r="H2652" s="4">
        <f t="shared" si="41"/>
        <v>0</v>
      </c>
    </row>
    <row r="2653" spans="3:8" x14ac:dyDescent="0.25">
      <c r="C2653" t="str">
        <f>'RES TECH'!M2652</f>
        <v>RESHOUHINewWH2ELC20</v>
      </c>
      <c r="G2653" s="4">
        <f>IF(SUMIFS('RES TECH'!N:N,'RES TECH'!M:M,C2653)&gt;0,1,0)</f>
        <v>1</v>
      </c>
      <c r="H2653" s="4">
        <f t="shared" si="41"/>
        <v>0</v>
      </c>
    </row>
    <row r="2654" spans="3:8" x14ac:dyDescent="0.25">
      <c r="C2654" t="str">
        <f>'RES TECH'!M2653</f>
        <v>RESHOUHINewWH4ELC20</v>
      </c>
      <c r="G2654" s="4">
        <f>IF(SUMIFS('RES TECH'!N:N,'RES TECH'!M:M,C2654)&gt;0,1,0)</f>
        <v>1</v>
      </c>
      <c r="H2654" s="4">
        <f t="shared" si="41"/>
        <v>0</v>
      </c>
    </row>
    <row r="2655" spans="3:8" x14ac:dyDescent="0.25">
      <c r="C2655" t="str">
        <f>'RES TECH'!M2654</f>
        <v>RESHOUHINewWH5ELC20</v>
      </c>
      <c r="G2655" s="4">
        <f>IF(SUMIFS('RES TECH'!N:N,'RES TECH'!M:M,C2655)&gt;0,1,0)</f>
        <v>1</v>
      </c>
      <c r="H2655" s="4">
        <f t="shared" si="41"/>
        <v>0</v>
      </c>
    </row>
    <row r="2656" spans="3:8" x14ac:dyDescent="0.25">
      <c r="C2656" t="str">
        <f>'RES TECH'!M2655</f>
        <v>RESHOUHINewWH5ELC22</v>
      </c>
      <c r="G2656" s="4">
        <f>IF(SUMIFS('RES TECH'!N:N,'RES TECH'!M:M,C2656)&gt;0,1,0)</f>
        <v>1</v>
      </c>
      <c r="H2656" s="4">
        <f t="shared" si="41"/>
        <v>0</v>
      </c>
    </row>
    <row r="2657" spans="3:8" x14ac:dyDescent="0.25">
      <c r="C2657" t="str">
        <f>'RES TECH'!M2656</f>
        <v>RESHOUHINewWH6ELC20</v>
      </c>
      <c r="G2657" s="4">
        <f>IF(SUMIFS('RES TECH'!N:N,'RES TECH'!M:M,C2657)&gt;0,1,0)</f>
        <v>1</v>
      </c>
      <c r="H2657" s="4">
        <f t="shared" si="41"/>
        <v>0</v>
      </c>
    </row>
    <row r="2658" spans="3:8" x14ac:dyDescent="0.25">
      <c r="C2658" t="str">
        <f>'RES TECH'!M2657</f>
        <v>RESHOUHINewWH6ELC22</v>
      </c>
      <c r="G2658" s="4">
        <f>IF(SUMIFS('RES TECH'!N:N,'RES TECH'!M:M,C2658)&gt;0,1,0)</f>
        <v>1</v>
      </c>
      <c r="H2658" s="4">
        <f t="shared" si="41"/>
        <v>0</v>
      </c>
    </row>
    <row r="2659" spans="3:8" x14ac:dyDescent="0.25">
      <c r="C2659" t="str">
        <f>'RES TECH'!M2658</f>
        <v>RESHOUHINewWH7ELC20</v>
      </c>
      <c r="G2659" s="4">
        <f>IF(SUMIFS('RES TECH'!N:N,'RES TECH'!M:M,C2659)&gt;0,1,0)</f>
        <v>1</v>
      </c>
      <c r="H2659" s="4">
        <f t="shared" si="41"/>
        <v>0</v>
      </c>
    </row>
    <row r="2660" spans="3:8" x14ac:dyDescent="0.25">
      <c r="C2660" t="str">
        <f>'RES TECH'!M2659</f>
        <v>RESHOUHINewWH7ELC22</v>
      </c>
      <c r="G2660" s="4">
        <f>IF(SUMIFS('RES TECH'!N:N,'RES TECH'!M:M,C2660)&gt;0,1,0)</f>
        <v>1</v>
      </c>
      <c r="H2660" s="4">
        <f t="shared" si="41"/>
        <v>0</v>
      </c>
    </row>
    <row r="2661" spans="3:8" x14ac:dyDescent="0.25">
      <c r="C2661" t="str">
        <f>'RES TECH'!M2660</f>
        <v>RESHOUHINewWH1FOI20</v>
      </c>
      <c r="G2661" s="4">
        <f>IF(SUMIFS('RES TECH'!N:N,'RES TECH'!M:M,C2661)&gt;0,1,0)</f>
        <v>1</v>
      </c>
      <c r="H2661" s="4">
        <f t="shared" si="41"/>
        <v>0</v>
      </c>
    </row>
    <row r="2662" spans="3:8" x14ac:dyDescent="0.25">
      <c r="C2662" t="str">
        <f>'RES TECH'!M2661</f>
        <v>RESHOUHINewWH2FOI20</v>
      </c>
      <c r="G2662" s="4">
        <f>IF(SUMIFS('RES TECH'!N:N,'RES TECH'!M:M,C2662)&gt;0,1,0)</f>
        <v>1</v>
      </c>
      <c r="H2662" s="4">
        <f t="shared" si="41"/>
        <v>0</v>
      </c>
    </row>
    <row r="2663" spans="3:8" x14ac:dyDescent="0.25">
      <c r="C2663" t="str">
        <f>'RES TECH'!M2662</f>
        <v>RESHOUHINewWH4FOI20</v>
      </c>
      <c r="G2663" s="4">
        <f>IF(SUMIFS('RES TECH'!N:N,'RES TECH'!M:M,C2663)&gt;0,1,0)</f>
        <v>1</v>
      </c>
      <c r="H2663" s="4">
        <f t="shared" si="41"/>
        <v>0</v>
      </c>
    </row>
    <row r="2664" spans="3:8" x14ac:dyDescent="0.25">
      <c r="C2664" t="str">
        <f>'RES TECH'!M2663</f>
        <v>RESHOUHINewWH1LPG20</v>
      </c>
      <c r="G2664" s="4">
        <f>IF(SUMIFS('RES TECH'!N:N,'RES TECH'!M:M,C2664)&gt;0,1,0)</f>
        <v>1</v>
      </c>
      <c r="H2664" s="4">
        <f t="shared" si="41"/>
        <v>0</v>
      </c>
    </row>
    <row r="2665" spans="3:8" x14ac:dyDescent="0.25">
      <c r="C2665" t="str">
        <f>'RES TECH'!M2664</f>
        <v>RESHOUHINewWH2LPG20</v>
      </c>
      <c r="G2665" s="4">
        <f>IF(SUMIFS('RES TECH'!N:N,'RES TECH'!M:M,C2665)&gt;0,1,0)</f>
        <v>1</v>
      </c>
      <c r="H2665" s="4">
        <f t="shared" si="41"/>
        <v>0</v>
      </c>
    </row>
    <row r="2666" spans="3:8" x14ac:dyDescent="0.25">
      <c r="C2666" t="str">
        <f>'RES TECH'!M2665</f>
        <v>RESHOUHINewWH3LPG20</v>
      </c>
      <c r="G2666" s="4">
        <f>IF(SUMIFS('RES TECH'!N:N,'RES TECH'!M:M,C2666)&gt;0,1,0)</f>
        <v>1</v>
      </c>
      <c r="H2666" s="4">
        <f t="shared" si="41"/>
        <v>0</v>
      </c>
    </row>
    <row r="2667" spans="3:8" x14ac:dyDescent="0.25">
      <c r="C2667" t="str">
        <f>'RES TECH'!M2666</f>
        <v>RESHOUHINewWH3LPG23</v>
      </c>
      <c r="G2667" s="4">
        <f>IF(SUMIFS('RES TECH'!N:N,'RES TECH'!M:M,C2667)&gt;0,1,0)</f>
        <v>1</v>
      </c>
      <c r="H2667" s="4">
        <f t="shared" si="41"/>
        <v>0</v>
      </c>
    </row>
    <row r="2668" spans="3:8" x14ac:dyDescent="0.25">
      <c r="C2668" t="str">
        <f>'RES TECH'!M2667</f>
        <v>RESHOUHINewWH4LPG20</v>
      </c>
      <c r="G2668" s="4">
        <f>IF(SUMIFS('RES TECH'!N:N,'RES TECH'!M:M,C2668)&gt;0,1,0)</f>
        <v>1</v>
      </c>
      <c r="H2668" s="4">
        <f t="shared" si="41"/>
        <v>0</v>
      </c>
    </row>
    <row r="2669" spans="3:8" x14ac:dyDescent="0.25">
      <c r="C2669" t="str">
        <f>'RES TECH'!M2668</f>
        <v>RESHOUHINewWH4LPG20</v>
      </c>
      <c r="G2669" s="4">
        <f>IF(SUMIFS('RES TECH'!N:N,'RES TECH'!M:M,C2669)&gt;0,1,0)</f>
        <v>1</v>
      </c>
      <c r="H2669" s="4">
        <f t="shared" si="41"/>
        <v>0</v>
      </c>
    </row>
    <row r="2670" spans="3:8" x14ac:dyDescent="0.25">
      <c r="C2670" t="str">
        <f>'RES TECH'!M2669</f>
        <v>RESHOUHINewWH2SOL20</v>
      </c>
      <c r="G2670" s="4">
        <f>IF(SUMIFS('RES TECH'!N:N,'RES TECH'!M:M,C2670)&gt;0,1,0)</f>
        <v>1</v>
      </c>
      <c r="H2670" s="4">
        <f t="shared" si="41"/>
        <v>0</v>
      </c>
    </row>
    <row r="2671" spans="3:8" x14ac:dyDescent="0.25">
      <c r="C2671" t="str">
        <f>'RES TECH'!M2670</f>
        <v>RESHOUHINewWH2SOL20</v>
      </c>
      <c r="G2671" s="4">
        <f>IF(SUMIFS('RES TECH'!N:N,'RES TECH'!M:M,C2671)&gt;0,1,0)</f>
        <v>1</v>
      </c>
      <c r="H2671" s="4">
        <f t="shared" si="41"/>
        <v>0</v>
      </c>
    </row>
    <row r="2672" spans="3:8" x14ac:dyDescent="0.25">
      <c r="C2672" t="str">
        <f>'RES TECH'!M2671</f>
        <v>RESHOUHINewWH2SOL23</v>
      </c>
      <c r="G2672" s="4">
        <f>IF(SUMIFS('RES TECH'!N:N,'RES TECH'!M:M,C2672)&gt;0,1,0)</f>
        <v>1</v>
      </c>
      <c r="H2672" s="4">
        <f t="shared" si="41"/>
        <v>0</v>
      </c>
    </row>
    <row r="2673" spans="3:8" x14ac:dyDescent="0.25">
      <c r="C2673" t="str">
        <f>'RES TECH'!M2672</f>
        <v>RESHOUHINewWH2SOL24</v>
      </c>
      <c r="G2673" s="4">
        <f>IF(SUMIFS('RES TECH'!N:N,'RES TECH'!M:M,C2673)&gt;0,1,0)</f>
        <v>1</v>
      </c>
      <c r="H2673" s="4">
        <f t="shared" si="41"/>
        <v>0</v>
      </c>
    </row>
    <row r="2674" spans="3:8" x14ac:dyDescent="0.25">
      <c r="C2674" t="str">
        <f>'RES TECH'!M2673</f>
        <v>RESHOUHINewSHAHP1ELC20</v>
      </c>
      <c r="G2674" s="4">
        <f>IF(SUMIFS('RES TECH'!N:N,'RES TECH'!M:M,C2674)&gt;0,1,0)</f>
        <v>1</v>
      </c>
      <c r="H2674" s="4">
        <f t="shared" si="41"/>
        <v>0</v>
      </c>
    </row>
    <row r="2675" spans="3:8" x14ac:dyDescent="0.25">
      <c r="C2675" t="str">
        <f>'RES TECH'!M2674</f>
        <v>RESHOUHINewSHAHP1ELC23</v>
      </c>
      <c r="G2675" s="4">
        <f>IF(SUMIFS('RES TECH'!N:N,'RES TECH'!M:M,C2675)&gt;0,1,0)</f>
        <v>1</v>
      </c>
      <c r="H2675" s="4">
        <f t="shared" si="41"/>
        <v>0</v>
      </c>
    </row>
    <row r="2676" spans="3:8" x14ac:dyDescent="0.25">
      <c r="C2676" t="str">
        <f>'RES TECH'!M2675</f>
        <v>RESHOUHINewSHAHP2ELC20</v>
      </c>
      <c r="G2676" s="4">
        <f>IF(SUMIFS('RES TECH'!N:N,'RES TECH'!M:M,C2676)&gt;0,1,0)</f>
        <v>1</v>
      </c>
      <c r="H2676" s="4">
        <f t="shared" si="41"/>
        <v>0</v>
      </c>
    </row>
    <row r="2677" spans="3:8" x14ac:dyDescent="0.25">
      <c r="C2677" t="str">
        <f>'RES TECH'!M2676</f>
        <v>RESHOUHINewSHAHP2ELC23</v>
      </c>
      <c r="G2677" s="4">
        <f>IF(SUMIFS('RES TECH'!N:N,'RES TECH'!M:M,C2677)&gt;0,1,0)</f>
        <v>1</v>
      </c>
      <c r="H2677" s="4">
        <f t="shared" si="41"/>
        <v>0</v>
      </c>
    </row>
    <row r="2678" spans="3:8" x14ac:dyDescent="0.25">
      <c r="C2678" t="str">
        <f>'RES TECH'!M2677</f>
        <v>RESHOUHINewSHAHP3ELC20</v>
      </c>
      <c r="G2678" s="4">
        <f>IF(SUMIFS('RES TECH'!N:N,'RES TECH'!M:M,C2678)&gt;0,1,0)</f>
        <v>1</v>
      </c>
      <c r="H2678" s="4">
        <f t="shared" si="41"/>
        <v>0</v>
      </c>
    </row>
    <row r="2679" spans="3:8" x14ac:dyDescent="0.25">
      <c r="C2679" t="str">
        <f>'RES TECH'!M2678</f>
        <v>RESHOUHINewSHAHP3ELC22</v>
      </c>
      <c r="G2679" s="4">
        <f>IF(SUMIFS('RES TECH'!N:N,'RES TECH'!M:M,C2679)&gt;0,1,0)</f>
        <v>1</v>
      </c>
      <c r="H2679" s="4">
        <f t="shared" si="41"/>
        <v>0</v>
      </c>
    </row>
    <row r="2680" spans="3:8" x14ac:dyDescent="0.25">
      <c r="C2680" t="str">
        <f>'RES TECH'!M2679</f>
        <v>RESHOUHINewSHAHP3ELC23</v>
      </c>
      <c r="G2680" s="4">
        <f>IF(SUMIFS('RES TECH'!N:N,'RES TECH'!M:M,C2680)&gt;0,1,0)</f>
        <v>1</v>
      </c>
      <c r="H2680" s="4">
        <f t="shared" si="41"/>
        <v>0</v>
      </c>
    </row>
    <row r="2681" spans="3:8" x14ac:dyDescent="0.25">
      <c r="C2681" t="str">
        <f>'RES TECH'!M2680</f>
        <v>RESHOUHINewSHAHP4ELC20</v>
      </c>
      <c r="G2681" s="4">
        <f>IF(SUMIFS('RES TECH'!N:N,'RES TECH'!M:M,C2681)&gt;0,1,0)</f>
        <v>1</v>
      </c>
      <c r="H2681" s="4">
        <f t="shared" si="41"/>
        <v>0</v>
      </c>
    </row>
    <row r="2682" spans="3:8" x14ac:dyDescent="0.25">
      <c r="C2682" t="str">
        <f>'RES TECH'!M2681</f>
        <v>RESHOUHINewSHAHP4ELC22</v>
      </c>
      <c r="G2682" s="4">
        <f>IF(SUMIFS('RES TECH'!N:N,'RES TECH'!M:M,C2682)&gt;0,1,0)</f>
        <v>1</v>
      </c>
      <c r="H2682" s="4">
        <f t="shared" si="41"/>
        <v>0</v>
      </c>
    </row>
    <row r="2683" spans="3:8" x14ac:dyDescent="0.25">
      <c r="C2683" t="str">
        <f>'RES TECH'!M2682</f>
        <v>RESHOUHINewSHGHP1ELC20</v>
      </c>
      <c r="G2683" s="4">
        <f>IF(SUMIFS('RES TECH'!N:N,'RES TECH'!M:M,C2683)&gt;0,1,0)</f>
        <v>1</v>
      </c>
      <c r="H2683" s="4">
        <f t="shared" si="41"/>
        <v>0</v>
      </c>
    </row>
    <row r="2684" spans="3:8" x14ac:dyDescent="0.25">
      <c r="C2684" t="str">
        <f>'RES TECH'!M2683</f>
        <v>RESHOUHINewSHGHP2ELC20</v>
      </c>
      <c r="G2684" s="4">
        <f>IF(SUMIFS('RES TECH'!N:N,'RES TECH'!M:M,C2684)&gt;0,1,0)</f>
        <v>1</v>
      </c>
      <c r="H2684" s="4">
        <f t="shared" si="41"/>
        <v>0</v>
      </c>
    </row>
    <row r="2685" spans="3:8" x14ac:dyDescent="0.25">
      <c r="C2685" t="str">
        <f>'RES TECH'!M2684</f>
        <v>RESHOUHINewSHGHP3ELC20</v>
      </c>
      <c r="G2685" s="4">
        <f>IF(SUMIFS('RES TECH'!N:N,'RES TECH'!M:M,C2685)&gt;0,1,0)</f>
        <v>1</v>
      </c>
      <c r="H2685" s="4">
        <f t="shared" si="41"/>
        <v>0</v>
      </c>
    </row>
    <row r="2686" spans="3:8" x14ac:dyDescent="0.25">
      <c r="C2686" t="str">
        <f>'RES TECH'!M2685</f>
        <v>RESHOUHINewSHGHP3ELC20</v>
      </c>
      <c r="G2686" s="4">
        <f>IF(SUMIFS('RES TECH'!N:N,'RES TECH'!M:M,C2686)&gt;0,1,0)</f>
        <v>1</v>
      </c>
      <c r="H2686" s="4">
        <f t="shared" si="41"/>
        <v>0</v>
      </c>
    </row>
    <row r="2687" spans="3:8" x14ac:dyDescent="0.25">
      <c r="C2687" t="str">
        <f>'RES TECH'!M2686</f>
        <v>RESHOUHINewSHGHP3ELC22</v>
      </c>
      <c r="G2687" s="4">
        <f>IF(SUMIFS('RES TECH'!N:N,'RES TECH'!M:M,C2687)&gt;0,1,0)</f>
        <v>1</v>
      </c>
      <c r="H2687" s="4">
        <f t="shared" si="41"/>
        <v>0</v>
      </c>
    </row>
    <row r="2688" spans="3:8" x14ac:dyDescent="0.25">
      <c r="C2688" t="str">
        <f>'RES TECH'!M2687</f>
        <v>RESHOUHINewSHGHP3ELC23</v>
      </c>
      <c r="G2688" s="4">
        <f>IF(SUMIFS('RES TECH'!N:N,'RES TECH'!M:M,C2688)&gt;0,1,0)</f>
        <v>1</v>
      </c>
      <c r="H2688" s="4">
        <f t="shared" si="41"/>
        <v>0</v>
      </c>
    </row>
    <row r="2689" spans="3:8" x14ac:dyDescent="0.25">
      <c r="C2689" t="str">
        <f>'RES TECH'!M2688</f>
        <v>RESHOUHINewSHGHP3ELC24</v>
      </c>
      <c r="G2689" s="4">
        <f>IF(SUMIFS('RES TECH'!N:N,'RES TECH'!M:M,C2689)&gt;0,1,0)</f>
        <v>1</v>
      </c>
      <c r="H2689" s="4">
        <f t="shared" si="41"/>
        <v>0</v>
      </c>
    </row>
    <row r="2690" spans="3:8" x14ac:dyDescent="0.25">
      <c r="C2690" t="str">
        <f>'RES TECH'!M2689</f>
        <v>RESHOUHINewSHGHP4ELC20</v>
      </c>
      <c r="G2690" s="4">
        <f>IF(SUMIFS('RES TECH'!N:N,'RES TECH'!M:M,C2690)&gt;0,1,0)</f>
        <v>1</v>
      </c>
      <c r="H2690" s="4">
        <f t="shared" si="41"/>
        <v>0</v>
      </c>
    </row>
    <row r="2691" spans="3:8" x14ac:dyDescent="0.25">
      <c r="C2691" t="str">
        <f>'RES TECH'!M2690</f>
        <v>RESHOUHINewSHGHP4ELC20</v>
      </c>
      <c r="G2691" s="4">
        <f>IF(SUMIFS('RES TECH'!N:N,'RES TECH'!M:M,C2691)&gt;0,1,0)</f>
        <v>1</v>
      </c>
      <c r="H2691" s="4">
        <f t="shared" si="41"/>
        <v>0</v>
      </c>
    </row>
    <row r="2692" spans="3:8" x14ac:dyDescent="0.25">
      <c r="C2692" t="str">
        <f>'RES TECH'!M2691</f>
        <v>RESHOUHINewSHGHP4ELC22</v>
      </c>
      <c r="G2692" s="4">
        <f>IF(SUMIFS('RES TECH'!N:N,'RES TECH'!M:M,C2692)&gt;0,1,0)</f>
        <v>1</v>
      </c>
      <c r="H2692" s="4">
        <f t="shared" si="41"/>
        <v>0</v>
      </c>
    </row>
    <row r="2693" spans="3:8" x14ac:dyDescent="0.25">
      <c r="C2693" t="str">
        <f>'RES TECH'!M2692</f>
        <v>RESHOUHINewSHGHP4ELC23</v>
      </c>
      <c r="G2693" s="4">
        <f>IF(SUMIFS('RES TECH'!N:N,'RES TECH'!M:M,C2693)&gt;0,1,0)</f>
        <v>1</v>
      </c>
      <c r="H2693" s="4">
        <f t="shared" ref="H2693:H2756" si="42">IF(C2693="","",IF(C2693="*","*",0))</f>
        <v>0</v>
      </c>
    </row>
    <row r="2694" spans="3:8" x14ac:dyDescent="0.25">
      <c r="C2694" t="str">
        <f>'RES TECH'!M2693</f>
        <v>RESHOUHINewSHGHP4ELC24</v>
      </c>
      <c r="G2694" s="4">
        <f>IF(SUMIFS('RES TECH'!N:N,'RES TECH'!M:M,C2694)&gt;0,1,0)</f>
        <v>1</v>
      </c>
      <c r="H2694" s="4">
        <f t="shared" si="42"/>
        <v>0</v>
      </c>
    </row>
    <row r="2695" spans="3:8" x14ac:dyDescent="0.25">
      <c r="C2695" t="str">
        <f>'RES TECH'!M2694</f>
        <v>RESHOUHINewSHRAD2ELC20</v>
      </c>
      <c r="G2695" s="4">
        <f>IF(SUMIFS('RES TECH'!N:N,'RES TECH'!M:M,C2695)&gt;0,1,0)</f>
        <v>1</v>
      </c>
      <c r="H2695" s="4">
        <f t="shared" si="42"/>
        <v>0</v>
      </c>
    </row>
    <row r="2696" spans="3:8" x14ac:dyDescent="0.25">
      <c r="C2696" t="str">
        <f>'RES TECH'!M2695</f>
        <v>RESHOUHINewSHFUR1NGA20</v>
      </c>
      <c r="G2696" s="4">
        <f>IF(SUMIFS('RES TECH'!N:N,'RES TECH'!M:M,C2696)&gt;0,1,0)</f>
        <v>1</v>
      </c>
      <c r="H2696" s="4">
        <f t="shared" si="42"/>
        <v>0</v>
      </c>
    </row>
    <row r="2697" spans="3:8" x14ac:dyDescent="0.25">
      <c r="C2697" t="str">
        <f>'RES TECH'!M2696</f>
        <v>RESHOUHINewSHFUR2NGA20</v>
      </c>
      <c r="G2697" s="4">
        <f>IF(SUMIFS('RES TECH'!N:N,'RES TECH'!M:M,C2697)&gt;0,1,0)</f>
        <v>1</v>
      </c>
      <c r="H2697" s="4">
        <f t="shared" si="42"/>
        <v>0</v>
      </c>
    </row>
    <row r="2698" spans="3:8" x14ac:dyDescent="0.25">
      <c r="C2698" t="str">
        <f>'RES TECH'!M2697</f>
        <v>RESHOUHINewSHFUR2NGA20</v>
      </c>
      <c r="G2698" s="4">
        <f>IF(SUMIFS('RES TECH'!N:N,'RES TECH'!M:M,C2698)&gt;0,1,0)</f>
        <v>1</v>
      </c>
      <c r="H2698" s="4">
        <f t="shared" si="42"/>
        <v>0</v>
      </c>
    </row>
    <row r="2699" spans="3:8" x14ac:dyDescent="0.25">
      <c r="C2699" t="str">
        <f>'RES TECH'!M2698</f>
        <v>RESHOUHINewSHFUR3NGA20</v>
      </c>
      <c r="G2699" s="4">
        <f>IF(SUMIFS('RES TECH'!N:N,'RES TECH'!M:M,C2699)&gt;0,1,0)</f>
        <v>1</v>
      </c>
      <c r="H2699" s="4">
        <f t="shared" si="42"/>
        <v>0</v>
      </c>
    </row>
    <row r="2700" spans="3:8" x14ac:dyDescent="0.25">
      <c r="C2700" t="str">
        <f>'RES TECH'!M2699</f>
        <v>RESHOUHINewSHFUR3NGA22</v>
      </c>
      <c r="G2700" s="4">
        <f>IF(SUMIFS('RES TECH'!N:N,'RES TECH'!M:M,C2700)&gt;0,1,0)</f>
        <v>1</v>
      </c>
      <c r="H2700" s="4">
        <f t="shared" si="42"/>
        <v>0</v>
      </c>
    </row>
    <row r="2701" spans="3:8" x14ac:dyDescent="0.25">
      <c r="C2701" t="str">
        <f>'RES TECH'!M2700</f>
        <v>RESHOUHINewSHFUR4NGA20</v>
      </c>
      <c r="G2701" s="4">
        <f>IF(SUMIFS('RES TECH'!N:N,'RES TECH'!M:M,C2701)&gt;0,1,0)</f>
        <v>1</v>
      </c>
      <c r="H2701" s="4">
        <f t="shared" si="42"/>
        <v>0</v>
      </c>
    </row>
    <row r="2702" spans="3:8" x14ac:dyDescent="0.25">
      <c r="C2702" t="str">
        <f>'RES TECH'!M2701</f>
        <v>RESHOUHINewSHFUR4NGA22</v>
      </c>
      <c r="G2702" s="4">
        <f>IF(SUMIFS('RES TECH'!N:N,'RES TECH'!M:M,C2702)&gt;0,1,0)</f>
        <v>1</v>
      </c>
      <c r="H2702" s="4">
        <f t="shared" si="42"/>
        <v>0</v>
      </c>
    </row>
    <row r="2703" spans="3:8" x14ac:dyDescent="0.25">
      <c r="C2703" t="str">
        <f>'RES TECH'!M2702</f>
        <v>RESHOUHINewSHRAD1NGA20</v>
      </c>
      <c r="G2703" s="4">
        <f>IF(SUMIFS('RES TECH'!N:N,'RES TECH'!M:M,C2703)&gt;0,1,0)</f>
        <v>1</v>
      </c>
      <c r="H2703" s="4">
        <f t="shared" si="42"/>
        <v>0</v>
      </c>
    </row>
    <row r="2704" spans="3:8" x14ac:dyDescent="0.25">
      <c r="C2704" t="str">
        <f>'RES TECH'!M2703</f>
        <v>RESHOUHINewSHRAD1NGA21</v>
      </c>
      <c r="G2704" s="4">
        <f>IF(SUMIFS('RES TECH'!N:N,'RES TECH'!M:M,C2704)&gt;0,1,0)</f>
        <v>1</v>
      </c>
      <c r="H2704" s="4">
        <f t="shared" si="42"/>
        <v>0</v>
      </c>
    </row>
    <row r="2705" spans="3:8" x14ac:dyDescent="0.25">
      <c r="C2705" t="str">
        <f>'RES TECH'!M2704</f>
        <v>RESHOUHINewSHRAD2NGA20</v>
      </c>
      <c r="G2705" s="4">
        <f>IF(SUMIFS('RES TECH'!N:N,'RES TECH'!M:M,C2705)&gt;0,1,0)</f>
        <v>1</v>
      </c>
      <c r="H2705" s="4">
        <f t="shared" si="42"/>
        <v>0</v>
      </c>
    </row>
    <row r="2706" spans="3:8" x14ac:dyDescent="0.25">
      <c r="C2706" t="str">
        <f>'RES TECH'!M2705</f>
        <v>RESHOUHINewSHRAD2NGA20</v>
      </c>
      <c r="G2706" s="4">
        <f>IF(SUMIFS('RES TECH'!N:N,'RES TECH'!M:M,C2706)&gt;0,1,0)</f>
        <v>1</v>
      </c>
      <c r="H2706" s="4">
        <f t="shared" si="42"/>
        <v>0</v>
      </c>
    </row>
    <row r="2707" spans="3:8" x14ac:dyDescent="0.25">
      <c r="C2707" t="str">
        <f>'RES TECH'!M2706</f>
        <v>RESHOUHINewSHRAD3NGA20</v>
      </c>
      <c r="G2707" s="4">
        <f>IF(SUMIFS('RES TECH'!N:N,'RES TECH'!M:M,C2707)&gt;0,1,0)</f>
        <v>1</v>
      </c>
      <c r="H2707" s="4">
        <f t="shared" si="42"/>
        <v>0</v>
      </c>
    </row>
    <row r="2708" spans="3:8" x14ac:dyDescent="0.25">
      <c r="C2708" t="str">
        <f>'RES TECH'!M2707</f>
        <v>RESHOUHINewSHRAD4NGA20</v>
      </c>
      <c r="G2708" s="4">
        <f>IF(SUMIFS('RES TECH'!N:N,'RES TECH'!M:M,C2708)&gt;0,1,0)</f>
        <v>1</v>
      </c>
      <c r="H2708" s="4">
        <f t="shared" si="42"/>
        <v>0</v>
      </c>
    </row>
    <row r="2709" spans="3:8" x14ac:dyDescent="0.25">
      <c r="C2709" t="str">
        <f>'RES TECH'!M2708</f>
        <v>RESHOUHINewSHRAD4NGA22</v>
      </c>
      <c r="G2709" s="4">
        <f>IF(SUMIFS('RES TECH'!N:N,'RES TECH'!M:M,C2709)&gt;0,1,0)</f>
        <v>1</v>
      </c>
      <c r="H2709" s="4">
        <f t="shared" si="42"/>
        <v>0</v>
      </c>
    </row>
    <row r="2710" spans="3:8" x14ac:dyDescent="0.25">
      <c r="C2710" t="str">
        <f>'RES TECH'!M2709</f>
        <v>RESHOUHINewSHFUR1KER20</v>
      </c>
      <c r="G2710" s="4">
        <f>IF(SUMIFS('RES TECH'!N:N,'RES TECH'!M:M,C2710)&gt;0,1,0)</f>
        <v>1</v>
      </c>
      <c r="H2710" s="4">
        <f t="shared" si="42"/>
        <v>0</v>
      </c>
    </row>
    <row r="2711" spans="3:8" x14ac:dyDescent="0.25">
      <c r="C2711" t="str">
        <f>'RES TECH'!M2710</f>
        <v>RESHOUHINewSHFUR2KER20</v>
      </c>
      <c r="G2711" s="4">
        <f>IF(SUMIFS('RES TECH'!N:N,'RES TECH'!M:M,C2711)&gt;0,1,0)</f>
        <v>1</v>
      </c>
      <c r="H2711" s="4">
        <f t="shared" si="42"/>
        <v>0</v>
      </c>
    </row>
    <row r="2712" spans="3:8" x14ac:dyDescent="0.25">
      <c r="C2712" t="str">
        <f>'RES TECH'!M2711</f>
        <v>RESHOUHINewSHFUR2KER20</v>
      </c>
      <c r="G2712" s="4">
        <f>IF(SUMIFS('RES TECH'!N:N,'RES TECH'!M:M,C2712)&gt;0,1,0)</f>
        <v>1</v>
      </c>
      <c r="H2712" s="4">
        <f t="shared" si="42"/>
        <v>0</v>
      </c>
    </row>
    <row r="2713" spans="3:8" x14ac:dyDescent="0.25">
      <c r="C2713" t="str">
        <f>'RES TECH'!M2712</f>
        <v>RESHOUHINewSHFUR3KER20</v>
      </c>
      <c r="G2713" s="4">
        <f>IF(SUMIFS('RES TECH'!N:N,'RES TECH'!M:M,C2713)&gt;0,1,0)</f>
        <v>1</v>
      </c>
      <c r="H2713" s="4">
        <f t="shared" si="42"/>
        <v>0</v>
      </c>
    </row>
    <row r="2714" spans="3:8" x14ac:dyDescent="0.25">
      <c r="C2714" t="str">
        <f>'RES TECH'!M2713</f>
        <v>RESHOUHINewSHFUR4KER20</v>
      </c>
      <c r="G2714" s="4">
        <f>IF(SUMIFS('RES TECH'!N:N,'RES TECH'!M:M,C2714)&gt;0,1,0)</f>
        <v>1</v>
      </c>
      <c r="H2714" s="4">
        <f t="shared" si="42"/>
        <v>0</v>
      </c>
    </row>
    <row r="2715" spans="3:8" x14ac:dyDescent="0.25">
      <c r="C2715" t="str">
        <f>'RES TECH'!M2714</f>
        <v>RESHOUHINewSHFUR4KER20</v>
      </c>
      <c r="G2715" s="4">
        <f>IF(SUMIFS('RES TECH'!N:N,'RES TECH'!M:M,C2715)&gt;0,1,0)</f>
        <v>1</v>
      </c>
      <c r="H2715" s="4">
        <f t="shared" si="42"/>
        <v>0</v>
      </c>
    </row>
    <row r="2716" spans="3:8" x14ac:dyDescent="0.25">
      <c r="C2716" t="str">
        <f>'RES TECH'!M2715</f>
        <v>RESHOUHINewSHFUR1LPG20</v>
      </c>
      <c r="G2716" s="4">
        <f>IF(SUMIFS('RES TECH'!N:N,'RES TECH'!M:M,C2716)&gt;0,1,0)</f>
        <v>1</v>
      </c>
      <c r="H2716" s="4">
        <f t="shared" si="42"/>
        <v>0</v>
      </c>
    </row>
    <row r="2717" spans="3:8" x14ac:dyDescent="0.25">
      <c r="C2717" t="str">
        <f>'RES TECH'!M2716</f>
        <v>RESHOUHINewSHFUR2LPG20</v>
      </c>
      <c r="G2717" s="4">
        <f>IF(SUMIFS('RES TECH'!N:N,'RES TECH'!M:M,C2717)&gt;0,1,0)</f>
        <v>1</v>
      </c>
      <c r="H2717" s="4">
        <f t="shared" si="42"/>
        <v>0</v>
      </c>
    </row>
    <row r="2718" spans="3:8" x14ac:dyDescent="0.25">
      <c r="C2718" t="str">
        <f>'RES TECH'!M2717</f>
        <v>RESHOUHINewSHFUR2LPG20</v>
      </c>
      <c r="G2718" s="4">
        <f>IF(SUMIFS('RES TECH'!N:N,'RES TECH'!M:M,C2718)&gt;0,1,0)</f>
        <v>1</v>
      </c>
      <c r="H2718" s="4">
        <f t="shared" si="42"/>
        <v>0</v>
      </c>
    </row>
    <row r="2719" spans="3:8" x14ac:dyDescent="0.25">
      <c r="C2719" t="str">
        <f>'RES TECH'!M2718</f>
        <v>RESHOUHINewSHFUR3LPG20</v>
      </c>
      <c r="G2719" s="4">
        <f>IF(SUMIFS('RES TECH'!N:N,'RES TECH'!M:M,C2719)&gt;0,1,0)</f>
        <v>1</v>
      </c>
      <c r="H2719" s="4">
        <f t="shared" si="42"/>
        <v>0</v>
      </c>
    </row>
    <row r="2720" spans="3:8" x14ac:dyDescent="0.25">
      <c r="C2720" t="str">
        <f>'RES TECH'!M2719</f>
        <v>RESHOUHINewSHFUR3LPG22</v>
      </c>
      <c r="G2720" s="4">
        <f>IF(SUMIFS('RES TECH'!N:N,'RES TECH'!M:M,C2720)&gt;0,1,0)</f>
        <v>1</v>
      </c>
      <c r="H2720" s="4">
        <f t="shared" si="42"/>
        <v>0</v>
      </c>
    </row>
    <row r="2721" spans="3:8" x14ac:dyDescent="0.25">
      <c r="C2721" t="str">
        <f>'RES TECH'!M2720</f>
        <v>RESHOUHINewSHFUR4LPG20</v>
      </c>
      <c r="G2721" s="4">
        <f>IF(SUMIFS('RES TECH'!N:N,'RES TECH'!M:M,C2721)&gt;0,1,0)</f>
        <v>1</v>
      </c>
      <c r="H2721" s="4">
        <f t="shared" si="42"/>
        <v>0</v>
      </c>
    </row>
    <row r="2722" spans="3:8" x14ac:dyDescent="0.25">
      <c r="C2722" t="str">
        <f>'RES TECH'!M2721</f>
        <v>RESHOUHINewSHFUR4LPG22</v>
      </c>
      <c r="G2722" s="4">
        <f>IF(SUMIFS('RES TECH'!N:N,'RES TECH'!M:M,C2722)&gt;0,1,0)</f>
        <v>1</v>
      </c>
      <c r="H2722" s="4">
        <f t="shared" si="42"/>
        <v>0</v>
      </c>
    </row>
    <row r="2723" spans="3:8" x14ac:dyDescent="0.25">
      <c r="C2723" t="str">
        <f>'RES TECH'!M2722</f>
        <v>RESHOUHINewSHFUR1FOI20</v>
      </c>
      <c r="G2723" s="4">
        <f>IF(SUMIFS('RES TECH'!N:N,'RES TECH'!M:M,C2723)&gt;0,1,0)</f>
        <v>1</v>
      </c>
      <c r="H2723" s="4">
        <f t="shared" si="42"/>
        <v>0</v>
      </c>
    </row>
    <row r="2724" spans="3:8" x14ac:dyDescent="0.25">
      <c r="C2724" t="str">
        <f>'RES TECH'!M2723</f>
        <v>RESHOUHINewSHFUR2FOI20</v>
      </c>
      <c r="G2724" s="4">
        <f>IF(SUMIFS('RES TECH'!N:N,'RES TECH'!M:M,C2724)&gt;0,1,0)</f>
        <v>1</v>
      </c>
      <c r="H2724" s="4">
        <f t="shared" si="42"/>
        <v>0</v>
      </c>
    </row>
    <row r="2725" spans="3:8" x14ac:dyDescent="0.25">
      <c r="C2725" t="str">
        <f>'RES TECH'!M2724</f>
        <v>RESHOUHINewSHFUR2FOI22</v>
      </c>
      <c r="G2725" s="4">
        <f>IF(SUMIFS('RES TECH'!N:N,'RES TECH'!M:M,C2725)&gt;0,1,0)</f>
        <v>1</v>
      </c>
      <c r="H2725" s="4">
        <f t="shared" si="42"/>
        <v>0</v>
      </c>
    </row>
    <row r="2726" spans="3:8" x14ac:dyDescent="0.25">
      <c r="C2726" t="str">
        <f>'RES TECH'!M2725</f>
        <v>RESHOUHINewSHFUR3FOI20</v>
      </c>
      <c r="G2726" s="4">
        <f>IF(SUMIFS('RES TECH'!N:N,'RES TECH'!M:M,C2726)&gt;0,1,0)</f>
        <v>1</v>
      </c>
      <c r="H2726" s="4">
        <f t="shared" si="42"/>
        <v>0</v>
      </c>
    </row>
    <row r="2727" spans="3:8" x14ac:dyDescent="0.25">
      <c r="C2727" t="str">
        <f>'RES TECH'!M2726</f>
        <v>RESHOUHINewSHFUR4FOI20</v>
      </c>
      <c r="G2727" s="4">
        <f>IF(SUMIFS('RES TECH'!N:N,'RES TECH'!M:M,C2727)&gt;0,1,0)</f>
        <v>1</v>
      </c>
      <c r="H2727" s="4">
        <f t="shared" si="42"/>
        <v>0</v>
      </c>
    </row>
    <row r="2728" spans="3:8" x14ac:dyDescent="0.25">
      <c r="C2728" t="str">
        <f>'RES TECH'!M2727</f>
        <v>RESHOUHINewSHFUR4FOI22</v>
      </c>
      <c r="G2728" s="4">
        <f>IF(SUMIFS('RES TECH'!N:N,'RES TECH'!M:M,C2728)&gt;0,1,0)</f>
        <v>1</v>
      </c>
      <c r="H2728" s="4">
        <f t="shared" si="42"/>
        <v>0</v>
      </c>
    </row>
    <row r="2729" spans="3:8" x14ac:dyDescent="0.25">
      <c r="C2729" t="str">
        <f>'RES TECH'!M2728</f>
        <v>RESHOUHINewSHRAD1FOI20</v>
      </c>
      <c r="G2729" s="4">
        <f>IF(SUMIFS('RES TECH'!N:N,'RES TECH'!M:M,C2729)&gt;0,1,0)</f>
        <v>1</v>
      </c>
      <c r="H2729" s="4">
        <f t="shared" si="42"/>
        <v>0</v>
      </c>
    </row>
    <row r="2730" spans="3:8" x14ac:dyDescent="0.25">
      <c r="C2730" t="str">
        <f>'RES TECH'!M2729</f>
        <v>RESHOUHINewSHRAD1FOI22</v>
      </c>
      <c r="G2730" s="4">
        <f>IF(SUMIFS('RES TECH'!N:N,'RES TECH'!M:M,C2730)&gt;0,1,0)</f>
        <v>1</v>
      </c>
      <c r="H2730" s="4">
        <f t="shared" si="42"/>
        <v>0</v>
      </c>
    </row>
    <row r="2731" spans="3:8" x14ac:dyDescent="0.25">
      <c r="C2731" t="str">
        <f>'RES TECH'!M2730</f>
        <v>RESHOUHINewSHRAD2FOI20</v>
      </c>
      <c r="G2731" s="4">
        <f>IF(SUMIFS('RES TECH'!N:N,'RES TECH'!M:M,C2731)&gt;0,1,0)</f>
        <v>1</v>
      </c>
      <c r="H2731" s="4">
        <f t="shared" si="42"/>
        <v>0</v>
      </c>
    </row>
    <row r="2732" spans="3:8" x14ac:dyDescent="0.25">
      <c r="C2732" t="str">
        <f>'RES TECH'!M2731</f>
        <v>RESHOUHINewSHRAD2FOI22</v>
      </c>
      <c r="G2732" s="4">
        <f>IF(SUMIFS('RES TECH'!N:N,'RES TECH'!M:M,C2732)&gt;0,1,0)</f>
        <v>1</v>
      </c>
      <c r="H2732" s="4">
        <f t="shared" si="42"/>
        <v>0</v>
      </c>
    </row>
    <row r="2733" spans="3:8" x14ac:dyDescent="0.25">
      <c r="C2733" t="str">
        <f>'RES TECH'!M2732</f>
        <v>RESHOUHINewSHRAD3FOI20</v>
      </c>
      <c r="G2733" s="4">
        <f>IF(SUMIFS('RES TECH'!N:N,'RES TECH'!M:M,C2733)&gt;0,1,0)</f>
        <v>1</v>
      </c>
      <c r="H2733" s="4">
        <f t="shared" si="42"/>
        <v>0</v>
      </c>
    </row>
    <row r="2734" spans="3:8" x14ac:dyDescent="0.25">
      <c r="C2734" t="str">
        <f>'RES TECH'!M2733</f>
        <v>RESHOUHINewSHRAD4FOI20</v>
      </c>
      <c r="G2734" s="4">
        <f>IF(SUMIFS('RES TECH'!N:N,'RES TECH'!M:M,C2734)&gt;0,1,0)</f>
        <v>1</v>
      </c>
      <c r="H2734" s="4">
        <f t="shared" si="42"/>
        <v>0</v>
      </c>
    </row>
    <row r="2735" spans="3:8" x14ac:dyDescent="0.25">
      <c r="C2735" t="str">
        <f>'RES TECH'!M2734</f>
        <v>RESHOUHINewSCAHP2NGA20</v>
      </c>
      <c r="G2735" s="4">
        <f>IF(SUMIFS('RES TECH'!N:N,'RES TECH'!M:M,C2735)&gt;0,1,0)</f>
        <v>1</v>
      </c>
      <c r="H2735" s="4">
        <f t="shared" si="42"/>
        <v>0</v>
      </c>
    </row>
    <row r="2736" spans="3:8" x14ac:dyDescent="0.25">
      <c r="C2736" t="str">
        <f>'RES TECH'!M2735</f>
        <v>RESHOUHINewSCAHP2NGA20</v>
      </c>
      <c r="G2736" s="4">
        <f>IF(SUMIFS('RES TECH'!N:N,'RES TECH'!M:M,C2736)&gt;0,1,0)</f>
        <v>1</v>
      </c>
      <c r="H2736" s="4">
        <f t="shared" si="42"/>
        <v>0</v>
      </c>
    </row>
    <row r="2737" spans="3:8" x14ac:dyDescent="0.25">
      <c r="C2737" t="str">
        <f>'RES TECH'!M2736</f>
        <v>RESHOUHINewSCAHP1ELC20</v>
      </c>
      <c r="G2737" s="4">
        <f>IF(SUMIFS('RES TECH'!N:N,'RES TECH'!M:M,C2737)&gt;0,1,0)</f>
        <v>1</v>
      </c>
      <c r="H2737" s="4">
        <f t="shared" si="42"/>
        <v>0</v>
      </c>
    </row>
    <row r="2738" spans="3:8" x14ac:dyDescent="0.25">
      <c r="C2738" t="str">
        <f>'RES TECH'!M2737</f>
        <v>RESHOUHINewSCAHP1ELC23</v>
      </c>
      <c r="G2738" s="4">
        <f>IF(SUMIFS('RES TECH'!N:N,'RES TECH'!M:M,C2738)&gt;0,1,0)</f>
        <v>1</v>
      </c>
      <c r="H2738" s="4">
        <f t="shared" si="42"/>
        <v>0</v>
      </c>
    </row>
    <row r="2739" spans="3:8" x14ac:dyDescent="0.25">
      <c r="C2739" t="str">
        <f>'RES TECH'!M2738</f>
        <v>RESHOUHINewSCAHP2ELC20</v>
      </c>
      <c r="G2739" s="4">
        <f>IF(SUMIFS('RES TECH'!N:N,'RES TECH'!M:M,C2739)&gt;0,1,0)</f>
        <v>1</v>
      </c>
      <c r="H2739" s="4">
        <f t="shared" si="42"/>
        <v>0</v>
      </c>
    </row>
    <row r="2740" spans="3:8" x14ac:dyDescent="0.25">
      <c r="C2740" t="str">
        <f>'RES TECH'!M2739</f>
        <v>RESHOUHINewSCAHP2ELC23</v>
      </c>
      <c r="G2740" s="4">
        <f>IF(SUMIFS('RES TECH'!N:N,'RES TECH'!M:M,C2740)&gt;0,1,0)</f>
        <v>1</v>
      </c>
      <c r="H2740" s="4">
        <f t="shared" si="42"/>
        <v>0</v>
      </c>
    </row>
    <row r="2741" spans="3:8" x14ac:dyDescent="0.25">
      <c r="C2741" t="str">
        <f>'RES TECH'!M2740</f>
        <v>RESHOUHINewSCAHP3ELC20</v>
      </c>
      <c r="G2741" s="4">
        <f>IF(SUMIFS('RES TECH'!N:N,'RES TECH'!M:M,C2741)&gt;0,1,0)</f>
        <v>1</v>
      </c>
      <c r="H2741" s="4">
        <f t="shared" si="42"/>
        <v>0</v>
      </c>
    </row>
    <row r="2742" spans="3:8" x14ac:dyDescent="0.25">
      <c r="C2742" t="str">
        <f>'RES TECH'!M2741</f>
        <v>RESHOUHINewSCAHP3ELC22</v>
      </c>
      <c r="G2742" s="4">
        <f>IF(SUMIFS('RES TECH'!N:N,'RES TECH'!M:M,C2742)&gt;0,1,0)</f>
        <v>1</v>
      </c>
      <c r="H2742" s="4">
        <f t="shared" si="42"/>
        <v>0</v>
      </c>
    </row>
    <row r="2743" spans="3:8" x14ac:dyDescent="0.25">
      <c r="C2743" t="str">
        <f>'RES TECH'!M2742</f>
        <v>RESHOUHINewSCAHP3ELC23</v>
      </c>
      <c r="G2743" s="4">
        <f>IF(SUMIFS('RES TECH'!N:N,'RES TECH'!M:M,C2743)&gt;0,1,0)</f>
        <v>1</v>
      </c>
      <c r="H2743" s="4">
        <f t="shared" si="42"/>
        <v>0</v>
      </c>
    </row>
    <row r="2744" spans="3:8" x14ac:dyDescent="0.25">
      <c r="C2744" t="str">
        <f>'RES TECH'!M2743</f>
        <v>RESHOUHINewSCAHP4ELC20</v>
      </c>
      <c r="G2744" s="4">
        <f>IF(SUMIFS('RES TECH'!N:N,'RES TECH'!M:M,C2744)&gt;0,1,0)</f>
        <v>1</v>
      </c>
      <c r="H2744" s="4">
        <f t="shared" si="42"/>
        <v>0</v>
      </c>
    </row>
    <row r="2745" spans="3:8" x14ac:dyDescent="0.25">
      <c r="C2745" t="str">
        <f>'RES TECH'!M2744</f>
        <v>RESHOUHINewSCAHP4ELC22</v>
      </c>
      <c r="G2745" s="4">
        <f>IF(SUMIFS('RES TECH'!N:N,'RES TECH'!M:M,C2745)&gt;0,1,0)</f>
        <v>1</v>
      </c>
      <c r="H2745" s="4">
        <f t="shared" si="42"/>
        <v>0</v>
      </c>
    </row>
    <row r="2746" spans="3:8" x14ac:dyDescent="0.25">
      <c r="C2746" t="str">
        <f>'RES TECH'!M2745</f>
        <v>RESHOUHINewSCGHP1ELC20</v>
      </c>
      <c r="G2746" s="4">
        <f>IF(SUMIFS('RES TECH'!N:N,'RES TECH'!M:M,C2746)&gt;0,1,0)</f>
        <v>1</v>
      </c>
      <c r="H2746" s="4">
        <f t="shared" si="42"/>
        <v>0</v>
      </c>
    </row>
    <row r="2747" spans="3:8" x14ac:dyDescent="0.25">
      <c r="C2747" t="str">
        <f>'RES TECH'!M2746</f>
        <v>RESHOUHINewSCGHP2ELC20</v>
      </c>
      <c r="G2747" s="4">
        <f>IF(SUMIFS('RES TECH'!N:N,'RES TECH'!M:M,C2747)&gt;0,1,0)</f>
        <v>1</v>
      </c>
      <c r="H2747" s="4">
        <f t="shared" si="42"/>
        <v>0</v>
      </c>
    </row>
    <row r="2748" spans="3:8" x14ac:dyDescent="0.25">
      <c r="C2748" t="str">
        <f>'RES TECH'!M2747</f>
        <v>RESHOUHINewSCGHP3ELC20</v>
      </c>
      <c r="G2748" s="4">
        <f>IF(SUMIFS('RES TECH'!N:N,'RES TECH'!M:M,C2748)&gt;0,1,0)</f>
        <v>1</v>
      </c>
      <c r="H2748" s="4">
        <f t="shared" si="42"/>
        <v>0</v>
      </c>
    </row>
    <row r="2749" spans="3:8" x14ac:dyDescent="0.25">
      <c r="C2749" t="str">
        <f>'RES TECH'!M2748</f>
        <v>RESHOUHINewSCGHP3ELC20</v>
      </c>
      <c r="G2749" s="4">
        <f>IF(SUMIFS('RES TECH'!N:N,'RES TECH'!M:M,C2749)&gt;0,1,0)</f>
        <v>1</v>
      </c>
      <c r="H2749" s="4">
        <f t="shared" si="42"/>
        <v>0</v>
      </c>
    </row>
    <row r="2750" spans="3:8" x14ac:dyDescent="0.25">
      <c r="C2750" t="str">
        <f>'RES TECH'!M2749</f>
        <v>RESHOUHINewSCGHP3ELC22</v>
      </c>
      <c r="G2750" s="4">
        <f>IF(SUMIFS('RES TECH'!N:N,'RES TECH'!M:M,C2750)&gt;0,1,0)</f>
        <v>1</v>
      </c>
      <c r="H2750" s="4">
        <f t="shared" si="42"/>
        <v>0</v>
      </c>
    </row>
    <row r="2751" spans="3:8" x14ac:dyDescent="0.25">
      <c r="C2751" t="str">
        <f>'RES TECH'!M2750</f>
        <v>RESHOUHINewSCGHP3ELC23</v>
      </c>
      <c r="G2751" s="4">
        <f>IF(SUMIFS('RES TECH'!N:N,'RES TECH'!M:M,C2751)&gt;0,1,0)</f>
        <v>1</v>
      </c>
      <c r="H2751" s="4">
        <f t="shared" si="42"/>
        <v>0</v>
      </c>
    </row>
    <row r="2752" spans="3:8" x14ac:dyDescent="0.25">
      <c r="C2752" t="str">
        <f>'RES TECH'!M2751</f>
        <v>RESHOUHINewSCGHP3ELC24</v>
      </c>
      <c r="G2752" s="4">
        <f>IF(SUMIFS('RES TECH'!N:N,'RES TECH'!M:M,C2752)&gt;0,1,0)</f>
        <v>1</v>
      </c>
      <c r="H2752" s="4">
        <f t="shared" si="42"/>
        <v>0</v>
      </c>
    </row>
    <row r="2753" spans="3:8" x14ac:dyDescent="0.25">
      <c r="C2753" t="str">
        <f>'RES TECH'!M2752</f>
        <v>RESHOUHINewSCGHP4ELC20</v>
      </c>
      <c r="G2753" s="4">
        <f>IF(SUMIFS('RES TECH'!N:N,'RES TECH'!M:M,C2753)&gt;0,1,0)</f>
        <v>1</v>
      </c>
      <c r="H2753" s="4">
        <f t="shared" si="42"/>
        <v>0</v>
      </c>
    </row>
    <row r="2754" spans="3:8" x14ac:dyDescent="0.25">
      <c r="C2754" t="str">
        <f>'RES TECH'!M2753</f>
        <v>RESHOUHINewSCGHP4ELC20</v>
      </c>
      <c r="G2754" s="4">
        <f>IF(SUMIFS('RES TECH'!N:N,'RES TECH'!M:M,C2754)&gt;0,1,0)</f>
        <v>1</v>
      </c>
      <c r="H2754" s="4">
        <f t="shared" si="42"/>
        <v>0</v>
      </c>
    </row>
    <row r="2755" spans="3:8" x14ac:dyDescent="0.25">
      <c r="C2755" t="str">
        <f>'RES TECH'!M2754</f>
        <v>RESHOUHINewSCGHP4ELC22</v>
      </c>
      <c r="G2755" s="4">
        <f>IF(SUMIFS('RES TECH'!N:N,'RES TECH'!M:M,C2755)&gt;0,1,0)</f>
        <v>1</v>
      </c>
      <c r="H2755" s="4">
        <f t="shared" si="42"/>
        <v>0</v>
      </c>
    </row>
    <row r="2756" spans="3:8" x14ac:dyDescent="0.25">
      <c r="C2756" t="str">
        <f>'RES TECH'!M2755</f>
        <v>RESHOUHINewSCGHP4ELC23</v>
      </c>
      <c r="G2756" s="4">
        <f>IF(SUMIFS('RES TECH'!N:N,'RES TECH'!M:M,C2756)&gt;0,1,0)</f>
        <v>1</v>
      </c>
      <c r="H2756" s="4">
        <f t="shared" si="42"/>
        <v>0</v>
      </c>
    </row>
    <row r="2757" spans="3:8" x14ac:dyDescent="0.25">
      <c r="C2757" t="str">
        <f>'RES TECH'!M2756</f>
        <v>RESHOUHINewSCGHP4ELC24</v>
      </c>
      <c r="G2757" s="4">
        <f>IF(SUMIFS('RES TECH'!N:N,'RES TECH'!M:M,C2757)&gt;0,1,0)</f>
        <v>1</v>
      </c>
      <c r="H2757" s="4">
        <f t="shared" ref="H2757:H2820" si="43">IF(C2757="","",IF(C2757="*","*",0))</f>
        <v>0</v>
      </c>
    </row>
    <row r="2758" spans="3:8" x14ac:dyDescent="0.25">
      <c r="C2758" t="str">
        <f>'RES TECH'!M2757</f>
        <v>RESHOUHINewSCRAC1ELC20</v>
      </c>
      <c r="G2758" s="4">
        <f>IF(SUMIFS('RES TECH'!N:N,'RES TECH'!M:M,C2758)&gt;0,1,0)</f>
        <v>1</v>
      </c>
      <c r="H2758" s="4">
        <f t="shared" si="43"/>
        <v>0</v>
      </c>
    </row>
    <row r="2759" spans="3:8" x14ac:dyDescent="0.25">
      <c r="C2759" t="str">
        <f>'RES TECH'!M2758</f>
        <v>RESHOUHINewSCRAC2ELC20</v>
      </c>
      <c r="G2759" s="4">
        <f>IF(SUMIFS('RES TECH'!N:N,'RES TECH'!M:M,C2759)&gt;0,1,0)</f>
        <v>1</v>
      </c>
      <c r="H2759" s="4">
        <f t="shared" si="43"/>
        <v>0</v>
      </c>
    </row>
    <row r="2760" spans="3:8" x14ac:dyDescent="0.25">
      <c r="C2760" t="str">
        <f>'RES TECH'!M2759</f>
        <v>RESHOUHINewSCRAC2ELC30</v>
      </c>
      <c r="G2760" s="4">
        <f>IF(SUMIFS('RES TECH'!N:N,'RES TECH'!M:M,C2760)&gt;0,1,0)</f>
        <v>1</v>
      </c>
      <c r="H2760" s="4">
        <f t="shared" si="43"/>
        <v>0</v>
      </c>
    </row>
    <row r="2761" spans="3:8" x14ac:dyDescent="0.25">
      <c r="C2761" t="str">
        <f>'RES TECH'!M2760</f>
        <v>RESHOUHINewSCRAC2ELC40</v>
      </c>
      <c r="G2761" s="4">
        <f>IF(SUMIFS('RES TECH'!N:N,'RES TECH'!M:M,C2761)&gt;0,1,0)</f>
        <v>1</v>
      </c>
      <c r="H2761" s="4">
        <f t="shared" si="43"/>
        <v>0</v>
      </c>
    </row>
    <row r="2762" spans="3:8" x14ac:dyDescent="0.25">
      <c r="C2762" t="str">
        <f>'RES TECH'!M2761</f>
        <v>RESHOUHINewSCRAC3ELC20</v>
      </c>
      <c r="G2762" s="4">
        <f>IF(SUMIFS('RES TECH'!N:N,'RES TECH'!M:M,C2762)&gt;0,1,0)</f>
        <v>1</v>
      </c>
      <c r="H2762" s="4">
        <f t="shared" si="43"/>
        <v>0</v>
      </c>
    </row>
    <row r="2763" spans="3:8" x14ac:dyDescent="0.25">
      <c r="C2763" t="str">
        <f>'RES TECH'!M2762</f>
        <v>RESHOUHINewSCRAC4ELC20</v>
      </c>
      <c r="G2763" s="4">
        <f>IF(SUMIFS('RES TECH'!N:N,'RES TECH'!M:M,C2763)&gt;0,1,0)</f>
        <v>1</v>
      </c>
      <c r="H2763" s="4">
        <f t="shared" si="43"/>
        <v>0</v>
      </c>
    </row>
    <row r="2764" spans="3:8" x14ac:dyDescent="0.25">
      <c r="C2764" t="str">
        <f>'RES TECH'!M2763</f>
        <v>RESHOUHINewSCRAC4ELC22</v>
      </c>
      <c r="G2764" s="4">
        <f>IF(SUMIFS('RES TECH'!N:N,'RES TECH'!M:M,C2764)&gt;0,1,0)</f>
        <v>1</v>
      </c>
      <c r="H2764" s="4">
        <f t="shared" si="43"/>
        <v>0</v>
      </c>
    </row>
    <row r="2765" spans="3:8" x14ac:dyDescent="0.25">
      <c r="C2765" t="str">
        <f>'RES TECH'!M2764</f>
        <v>RESHOUHINewSCRAC4ELC30</v>
      </c>
      <c r="G2765" s="4">
        <f>IF(SUMIFS('RES TECH'!N:N,'RES TECH'!M:M,C2765)&gt;0,1,0)</f>
        <v>1</v>
      </c>
      <c r="H2765" s="4">
        <f t="shared" si="43"/>
        <v>0</v>
      </c>
    </row>
    <row r="2766" spans="3:8" x14ac:dyDescent="0.25">
      <c r="C2766" t="str">
        <f>'RES TECH'!M2765</f>
        <v>RESHOUHINewSCRAC4ELC40</v>
      </c>
      <c r="G2766" s="4">
        <f>IF(SUMIFS('RES TECH'!N:N,'RES TECH'!M:M,C2766)&gt;0,1,0)</f>
        <v>1</v>
      </c>
      <c r="H2766" s="4">
        <f t="shared" si="43"/>
        <v>0</v>
      </c>
    </row>
    <row r="2767" spans="3:8" x14ac:dyDescent="0.25">
      <c r="C2767" t="str">
        <f>'RES TECH'!M2766</f>
        <v>RESHOUHINewSCCAC1ELC20</v>
      </c>
      <c r="G2767" s="4">
        <f>IF(SUMIFS('RES TECH'!N:N,'RES TECH'!M:M,C2767)&gt;0,1,0)</f>
        <v>1</v>
      </c>
      <c r="H2767" s="4">
        <f t="shared" si="43"/>
        <v>0</v>
      </c>
    </row>
    <row r="2768" spans="3:8" x14ac:dyDescent="0.25">
      <c r="C2768" t="str">
        <f>'RES TECH'!M2767</f>
        <v>RESHOUHINewSCCAC1ELC23</v>
      </c>
      <c r="G2768" s="4">
        <f>IF(SUMIFS('RES TECH'!N:N,'RES TECH'!M:M,C2768)&gt;0,1,0)</f>
        <v>1</v>
      </c>
      <c r="H2768" s="4">
        <f t="shared" si="43"/>
        <v>0</v>
      </c>
    </row>
    <row r="2769" spans="3:8" x14ac:dyDescent="0.25">
      <c r="C2769" t="str">
        <f>'RES TECH'!M2768</f>
        <v>RESHOUHINewSCCAC2ELC20</v>
      </c>
      <c r="G2769" s="4">
        <f>IF(SUMIFS('RES TECH'!N:N,'RES TECH'!M:M,C2769)&gt;0,1,0)</f>
        <v>1</v>
      </c>
      <c r="H2769" s="4">
        <f t="shared" si="43"/>
        <v>0</v>
      </c>
    </row>
    <row r="2770" spans="3:8" x14ac:dyDescent="0.25">
      <c r="C2770" t="str">
        <f>'RES TECH'!M2769</f>
        <v>RESHOUHINewSCCAC2ELC23</v>
      </c>
      <c r="G2770" s="4">
        <f>IF(SUMIFS('RES TECH'!N:N,'RES TECH'!M:M,C2770)&gt;0,1,0)</f>
        <v>1</v>
      </c>
      <c r="H2770" s="4">
        <f t="shared" si="43"/>
        <v>0</v>
      </c>
    </row>
    <row r="2771" spans="3:8" x14ac:dyDescent="0.25">
      <c r="C2771" t="str">
        <f>'RES TECH'!M2770</f>
        <v>RESHOUHINewSCCAC3ELC20</v>
      </c>
      <c r="G2771" s="4">
        <f>IF(SUMIFS('RES TECH'!N:N,'RES TECH'!M:M,C2771)&gt;0,1,0)</f>
        <v>1</v>
      </c>
      <c r="H2771" s="4">
        <f t="shared" si="43"/>
        <v>0</v>
      </c>
    </row>
    <row r="2772" spans="3:8" x14ac:dyDescent="0.25">
      <c r="C2772" t="str">
        <f>'RES TECH'!M2771</f>
        <v>RESHOUHINewSCCAC3ELC23</v>
      </c>
      <c r="G2772" s="4">
        <f>IF(SUMIFS('RES TECH'!N:N,'RES TECH'!M:M,C2772)&gt;0,1,0)</f>
        <v>1</v>
      </c>
      <c r="H2772" s="4">
        <f t="shared" si="43"/>
        <v>0</v>
      </c>
    </row>
    <row r="2773" spans="3:8" x14ac:dyDescent="0.25">
      <c r="C2773" t="str">
        <f>'RES TECH'!M2772</f>
        <v>RESHOUHINewSCCAC4ELC20</v>
      </c>
      <c r="G2773" s="4">
        <f>IF(SUMIFS('RES TECH'!N:N,'RES TECH'!M:M,C2773)&gt;0,1,0)</f>
        <v>1</v>
      </c>
      <c r="H2773" s="4">
        <f t="shared" si="43"/>
        <v>0</v>
      </c>
    </row>
    <row r="2774" spans="3:8" x14ac:dyDescent="0.25">
      <c r="C2774" t="str">
        <f>'RES TECH'!M2773</f>
        <v>RESHOUHINewSCCAC4ELC22</v>
      </c>
      <c r="G2774" s="4">
        <f>IF(SUMIFS('RES TECH'!N:N,'RES TECH'!M:M,C2774)&gt;0,1,0)</f>
        <v>1</v>
      </c>
      <c r="H2774" s="4">
        <f t="shared" si="43"/>
        <v>0</v>
      </c>
    </row>
    <row r="2775" spans="3:8" x14ac:dyDescent="0.25">
      <c r="C2775" t="str">
        <f>'RES TECH'!M2774</f>
        <v>RESHOUHINewRETF1ELC20</v>
      </c>
      <c r="G2775" s="4">
        <f>IF(SUMIFS('RES TECH'!N:N,'RES TECH'!M:M,C2775)&gt;0,1,0)</f>
        <v>1</v>
      </c>
      <c r="H2775" s="4">
        <f t="shared" si="43"/>
        <v>0</v>
      </c>
    </row>
    <row r="2776" spans="3:8" x14ac:dyDescent="0.25">
      <c r="C2776" t="str">
        <f>'RES TECH'!M2775</f>
        <v>RESHOUHINewRETF2ELC20</v>
      </c>
      <c r="G2776" s="4">
        <f>IF(SUMIFS('RES TECH'!N:N,'RES TECH'!M:M,C2776)&gt;0,1,0)</f>
        <v>1</v>
      </c>
      <c r="H2776" s="4">
        <f t="shared" si="43"/>
        <v>0</v>
      </c>
    </row>
    <row r="2777" spans="3:8" x14ac:dyDescent="0.25">
      <c r="C2777" t="str">
        <f>'RES TECH'!M2776</f>
        <v>RESHOUHINewRETF3ELC20</v>
      </c>
      <c r="G2777" s="4">
        <f>IF(SUMIFS('RES TECH'!N:N,'RES TECH'!M:M,C2777)&gt;0,1,0)</f>
        <v>1</v>
      </c>
      <c r="H2777" s="4">
        <f t="shared" si="43"/>
        <v>0</v>
      </c>
    </row>
    <row r="2778" spans="3:8" x14ac:dyDescent="0.25">
      <c r="C2778" t="str">
        <f>'RES TECH'!M2777</f>
        <v>RESHOUHINewRETF4ELC20</v>
      </c>
      <c r="G2778" s="4">
        <f>IF(SUMIFS('RES TECH'!N:N,'RES TECH'!M:M,C2778)&gt;0,1,0)</f>
        <v>1</v>
      </c>
      <c r="H2778" s="4">
        <f t="shared" si="43"/>
        <v>0</v>
      </c>
    </row>
    <row r="2779" spans="3:8" x14ac:dyDescent="0.25">
      <c r="C2779" t="str">
        <f>'RES TECH'!M2778</f>
        <v>RESHOUHINewRESF1ELC20</v>
      </c>
      <c r="G2779" s="4">
        <f>IF(SUMIFS('RES TECH'!N:N,'RES TECH'!M:M,C2779)&gt;0,1,0)</f>
        <v>1</v>
      </c>
      <c r="H2779" s="4">
        <f t="shared" si="43"/>
        <v>0</v>
      </c>
    </row>
    <row r="2780" spans="3:8" x14ac:dyDescent="0.25">
      <c r="C2780" t="str">
        <f>'RES TECH'!M2779</f>
        <v>RESHOUHINewRESF2ELC20</v>
      </c>
      <c r="G2780" s="4">
        <f>IF(SUMIFS('RES TECH'!N:N,'RES TECH'!M:M,C2780)&gt;0,1,0)</f>
        <v>1</v>
      </c>
      <c r="H2780" s="4">
        <f t="shared" si="43"/>
        <v>0</v>
      </c>
    </row>
    <row r="2781" spans="3:8" x14ac:dyDescent="0.25">
      <c r="C2781" t="str">
        <f>'RES TECH'!M2780</f>
        <v>RESHOUHINewRESF3ELC20</v>
      </c>
      <c r="G2781" s="4">
        <f>IF(SUMIFS('RES TECH'!N:N,'RES TECH'!M:M,C2781)&gt;0,1,0)</f>
        <v>1</v>
      </c>
      <c r="H2781" s="4">
        <f t="shared" si="43"/>
        <v>0</v>
      </c>
    </row>
    <row r="2782" spans="3:8" x14ac:dyDescent="0.25">
      <c r="C2782" t="str">
        <f>'RES TECH'!M2781</f>
        <v>RESHOUHINewRESF4ELC20</v>
      </c>
      <c r="G2782" s="4">
        <f>IF(SUMIFS('RES TECH'!N:N,'RES TECH'!M:M,C2782)&gt;0,1,0)</f>
        <v>1</v>
      </c>
      <c r="H2782" s="4">
        <f t="shared" si="43"/>
        <v>0</v>
      </c>
    </row>
    <row r="2783" spans="3:8" x14ac:dyDescent="0.25">
      <c r="C2783" t="str">
        <f>'RES TECH'!M2782</f>
        <v>RESHOUHINewREBF1ELC20</v>
      </c>
      <c r="G2783" s="4">
        <f>IF(SUMIFS('RES TECH'!N:N,'RES TECH'!M:M,C2783)&gt;0,1,0)</f>
        <v>1</v>
      </c>
      <c r="H2783" s="4">
        <f t="shared" si="43"/>
        <v>0</v>
      </c>
    </row>
    <row r="2784" spans="3:8" x14ac:dyDescent="0.25">
      <c r="C2784" t="str">
        <f>'RES TECH'!M2783</f>
        <v>RESHOUHINewREBF2ELC20</v>
      </c>
      <c r="G2784" s="4">
        <f>IF(SUMIFS('RES TECH'!N:N,'RES TECH'!M:M,C2784)&gt;0,1,0)</f>
        <v>1</v>
      </c>
      <c r="H2784" s="4">
        <f t="shared" si="43"/>
        <v>0</v>
      </c>
    </row>
    <row r="2785" spans="3:8" x14ac:dyDescent="0.25">
      <c r="C2785" t="str">
        <f>'RES TECH'!M2784</f>
        <v>RESHOUHINewREBF3ELC20</v>
      </c>
      <c r="G2785" s="4">
        <f>IF(SUMIFS('RES TECH'!N:N,'RES TECH'!M:M,C2785)&gt;0,1,0)</f>
        <v>1</v>
      </c>
      <c r="H2785" s="4">
        <f t="shared" si="43"/>
        <v>0</v>
      </c>
    </row>
    <row r="2786" spans="3:8" x14ac:dyDescent="0.25">
      <c r="C2786" t="str">
        <f>'RES TECH'!M2785</f>
        <v>RESHOUHINewREBF4ELC20</v>
      </c>
      <c r="G2786" s="4">
        <f>IF(SUMIFS('RES TECH'!N:N,'RES TECH'!M:M,C2786)&gt;0,1,0)</f>
        <v>1</v>
      </c>
      <c r="H2786" s="4">
        <f t="shared" si="43"/>
        <v>0</v>
      </c>
    </row>
    <row r="2787" spans="3:8" x14ac:dyDescent="0.25">
      <c r="C2787" t="str">
        <f>'RES TECH'!M2786</f>
        <v>RESHOUHINewFRC1ELC20</v>
      </c>
      <c r="G2787" s="4">
        <f>IF(SUMIFS('RES TECH'!N:N,'RES TECH'!M:M,C2787)&gt;0,1,0)</f>
        <v>1</v>
      </c>
      <c r="H2787" s="4">
        <f t="shared" si="43"/>
        <v>0</v>
      </c>
    </row>
    <row r="2788" spans="3:8" x14ac:dyDescent="0.25">
      <c r="C2788" t="str">
        <f>'RES TECH'!M2787</f>
        <v>RESHOUHINewFRC2ELC20</v>
      </c>
      <c r="G2788" s="4">
        <f>IF(SUMIFS('RES TECH'!N:N,'RES TECH'!M:M,C2788)&gt;0,1,0)</f>
        <v>1</v>
      </c>
      <c r="H2788" s="4">
        <f t="shared" si="43"/>
        <v>0</v>
      </c>
    </row>
    <row r="2789" spans="3:8" x14ac:dyDescent="0.25">
      <c r="C2789" t="str">
        <f>'RES TECH'!M2788</f>
        <v>RESHOUHINewFRC3ELC20</v>
      </c>
      <c r="G2789" s="4">
        <f>IF(SUMIFS('RES TECH'!N:N,'RES TECH'!M:M,C2789)&gt;0,1,0)</f>
        <v>1</v>
      </c>
      <c r="H2789" s="4">
        <f t="shared" si="43"/>
        <v>0</v>
      </c>
    </row>
    <row r="2790" spans="3:8" x14ac:dyDescent="0.25">
      <c r="C2790" t="str">
        <f>'RES TECH'!M2789</f>
        <v>RESHOUHINewFRC4ELC20</v>
      </c>
      <c r="G2790" s="4">
        <f>IF(SUMIFS('RES TECH'!N:N,'RES TECH'!M:M,C2790)&gt;0,1,0)</f>
        <v>1</v>
      </c>
      <c r="H2790" s="4">
        <f t="shared" si="43"/>
        <v>0</v>
      </c>
    </row>
    <row r="2791" spans="3:8" x14ac:dyDescent="0.25">
      <c r="C2791" t="str">
        <f>'RES TECH'!M2790</f>
        <v>RESHOUHINewFRU1ELC20</v>
      </c>
      <c r="G2791" s="4">
        <f>IF(SUMIFS('RES TECH'!N:N,'RES TECH'!M:M,C2791)&gt;0,1,0)</f>
        <v>1</v>
      </c>
      <c r="H2791" s="4">
        <f t="shared" si="43"/>
        <v>0</v>
      </c>
    </row>
    <row r="2792" spans="3:8" x14ac:dyDescent="0.25">
      <c r="C2792" t="str">
        <f>'RES TECH'!M2791</f>
        <v>RESHOUHINewFRU2ELC20</v>
      </c>
      <c r="G2792" s="4">
        <f>IF(SUMIFS('RES TECH'!N:N,'RES TECH'!M:M,C2792)&gt;0,1,0)</f>
        <v>1</v>
      </c>
      <c r="H2792" s="4">
        <f t="shared" si="43"/>
        <v>0</v>
      </c>
    </row>
    <row r="2793" spans="3:8" x14ac:dyDescent="0.25">
      <c r="C2793" t="str">
        <f>'RES TECH'!M2792</f>
        <v>RESHOUHINewFRU3ELC20</v>
      </c>
      <c r="G2793" s="4">
        <f>IF(SUMIFS('RES TECH'!N:N,'RES TECH'!M:M,C2793)&gt;0,1,0)</f>
        <v>1</v>
      </c>
      <c r="H2793" s="4">
        <f t="shared" si="43"/>
        <v>0</v>
      </c>
    </row>
    <row r="2794" spans="3:8" x14ac:dyDescent="0.25">
      <c r="C2794" t="str">
        <f>'RES TECH'!M2793</f>
        <v>RESHOUHINewFRU4ELC20</v>
      </c>
      <c r="G2794" s="4">
        <f>IF(SUMIFS('RES TECH'!N:N,'RES TECH'!M:M,C2794)&gt;0,1,0)</f>
        <v>1</v>
      </c>
      <c r="H2794" s="4">
        <f t="shared" si="43"/>
        <v>0</v>
      </c>
    </row>
    <row r="2795" spans="3:8" x14ac:dyDescent="0.25">
      <c r="C2795" t="str">
        <f>'RES TECH'!M2794</f>
        <v>RESHOUHINewCK2NGA20</v>
      </c>
      <c r="G2795" s="4">
        <f>IF(SUMIFS('RES TECH'!N:N,'RES TECH'!M:M,C2795)&gt;0,1,0)</f>
        <v>1</v>
      </c>
      <c r="H2795" s="4">
        <f t="shared" si="43"/>
        <v>0</v>
      </c>
    </row>
    <row r="2796" spans="3:8" x14ac:dyDescent="0.25">
      <c r="C2796" t="str">
        <f>'RES TECH'!M2795</f>
        <v>RESHOUHINewCK4NGA20</v>
      </c>
      <c r="G2796" s="4">
        <f>IF(SUMIFS('RES TECH'!N:N,'RES TECH'!M:M,C2796)&gt;0,1,0)</f>
        <v>1</v>
      </c>
      <c r="H2796" s="4">
        <f t="shared" si="43"/>
        <v>0</v>
      </c>
    </row>
    <row r="2797" spans="3:8" x14ac:dyDescent="0.25">
      <c r="C2797" t="str">
        <f>'RES TECH'!M2796</f>
        <v>RESHOUHINewCK2LPG20</v>
      </c>
      <c r="G2797" s="4">
        <f>IF(SUMIFS('RES TECH'!N:N,'RES TECH'!M:M,C2797)&gt;0,1,0)</f>
        <v>1</v>
      </c>
      <c r="H2797" s="4">
        <f t="shared" si="43"/>
        <v>0</v>
      </c>
    </row>
    <row r="2798" spans="3:8" x14ac:dyDescent="0.25">
      <c r="C2798" t="str">
        <f>'RES TECH'!M2797</f>
        <v>RESHOUHINewCK4LPG20</v>
      </c>
      <c r="G2798" s="4">
        <f>IF(SUMIFS('RES TECH'!N:N,'RES TECH'!M:M,C2798)&gt;0,1,0)</f>
        <v>1</v>
      </c>
      <c r="H2798" s="4">
        <f t="shared" si="43"/>
        <v>0</v>
      </c>
    </row>
    <row r="2799" spans="3:8" x14ac:dyDescent="0.25">
      <c r="C2799" t="str">
        <f>'RES TECH'!M2798</f>
        <v>RESHOUHINewCK2ELC20</v>
      </c>
      <c r="G2799" s="4">
        <f>IF(SUMIFS('RES TECH'!N:N,'RES TECH'!M:M,C2799)&gt;0,1,0)</f>
        <v>1</v>
      </c>
      <c r="H2799" s="4">
        <f t="shared" si="43"/>
        <v>0</v>
      </c>
    </row>
    <row r="2800" spans="3:8" x14ac:dyDescent="0.25">
      <c r="C2800" t="str">
        <f>'RES TECH'!M2799</f>
        <v>RESHOUHINewCWF4ELC30</v>
      </c>
      <c r="G2800" s="4">
        <f>IF(SUMIFS('RES TECH'!N:N,'RES TECH'!M:M,C2800)&gt;0,1,0)</f>
        <v>1</v>
      </c>
      <c r="H2800" s="4">
        <f t="shared" si="43"/>
        <v>0</v>
      </c>
    </row>
    <row r="2801" spans="3:8" x14ac:dyDescent="0.25">
      <c r="C2801" t="str">
        <f>'RES TECH'!M2800</f>
        <v>RESHOUHINewCWT1ELC20</v>
      </c>
      <c r="G2801" s="4">
        <f>IF(SUMIFS('RES TECH'!N:N,'RES TECH'!M:M,C2801)&gt;0,1,0)</f>
        <v>1</v>
      </c>
      <c r="H2801" s="4">
        <f t="shared" si="43"/>
        <v>0</v>
      </c>
    </row>
    <row r="2802" spans="3:8" x14ac:dyDescent="0.25">
      <c r="C2802" t="str">
        <f>'RES TECH'!M2801</f>
        <v>RESHOUHINewCWT2ELC20</v>
      </c>
      <c r="G2802" s="4">
        <f>IF(SUMIFS('RES TECH'!N:N,'RES TECH'!M:M,C2802)&gt;0,1,0)</f>
        <v>1</v>
      </c>
      <c r="H2802" s="4">
        <f t="shared" si="43"/>
        <v>0</v>
      </c>
    </row>
    <row r="2803" spans="3:8" x14ac:dyDescent="0.25">
      <c r="C2803" t="str">
        <f>'RES TECH'!M2802</f>
        <v>RESHOUHINewCWT2ELC20</v>
      </c>
      <c r="G2803" s="4">
        <f>IF(SUMIFS('RES TECH'!N:N,'RES TECH'!M:M,C2803)&gt;0,1,0)</f>
        <v>1</v>
      </c>
      <c r="H2803" s="4">
        <f t="shared" si="43"/>
        <v>0</v>
      </c>
    </row>
    <row r="2804" spans="3:8" x14ac:dyDescent="0.25">
      <c r="C2804" t="str">
        <f>'RES TECH'!M2803</f>
        <v>RESHOUHINewCWT3ELC20</v>
      </c>
      <c r="G2804" s="4">
        <f>IF(SUMIFS('RES TECH'!N:N,'RES TECH'!M:M,C2804)&gt;0,1,0)</f>
        <v>1</v>
      </c>
      <c r="H2804" s="4">
        <f t="shared" si="43"/>
        <v>0</v>
      </c>
    </row>
    <row r="2805" spans="3:8" x14ac:dyDescent="0.25">
      <c r="C2805" t="str">
        <f>'RES TECH'!M2804</f>
        <v>RESHOUHINewCWT4ELC20</v>
      </c>
      <c r="G2805" s="4">
        <f>IF(SUMIFS('RES TECH'!N:N,'RES TECH'!M:M,C2805)&gt;0,1,0)</f>
        <v>1</v>
      </c>
      <c r="H2805" s="4">
        <f t="shared" si="43"/>
        <v>0</v>
      </c>
    </row>
    <row r="2806" spans="3:8" x14ac:dyDescent="0.25">
      <c r="C2806" t="str">
        <f>'RES TECH'!M2805</f>
        <v>RESHOUHINewCWF1ELC20</v>
      </c>
      <c r="G2806" s="4">
        <f>IF(SUMIFS('RES TECH'!N:N,'RES TECH'!M:M,C2806)&gt;0,1,0)</f>
        <v>1</v>
      </c>
      <c r="H2806" s="4">
        <f t="shared" si="43"/>
        <v>0</v>
      </c>
    </row>
    <row r="2807" spans="3:8" x14ac:dyDescent="0.25">
      <c r="C2807" t="str">
        <f>'RES TECH'!M2806</f>
        <v>RESHOUHINewCWF2ELC20</v>
      </c>
      <c r="G2807" s="4">
        <f>IF(SUMIFS('RES TECH'!N:N,'RES TECH'!M:M,C2807)&gt;0,1,0)</f>
        <v>1</v>
      </c>
      <c r="H2807" s="4">
        <f t="shared" si="43"/>
        <v>0</v>
      </c>
    </row>
    <row r="2808" spans="3:8" x14ac:dyDescent="0.25">
      <c r="C2808" t="str">
        <f>'RES TECH'!M2807</f>
        <v>RESHOUHINewCWF2ELC30</v>
      </c>
      <c r="G2808" s="4">
        <f>IF(SUMIFS('RES TECH'!N:N,'RES TECH'!M:M,C2808)&gt;0,1,0)</f>
        <v>1</v>
      </c>
      <c r="H2808" s="4">
        <f t="shared" si="43"/>
        <v>0</v>
      </c>
    </row>
    <row r="2809" spans="3:8" x14ac:dyDescent="0.25">
      <c r="C2809" t="str">
        <f>'RES TECH'!M2808</f>
        <v>RESHOUHINewCWF3ELC20</v>
      </c>
      <c r="G2809" s="4">
        <f>IF(SUMIFS('RES TECH'!N:N,'RES TECH'!M:M,C2809)&gt;0,1,0)</f>
        <v>1</v>
      </c>
      <c r="H2809" s="4">
        <f t="shared" si="43"/>
        <v>0</v>
      </c>
    </row>
    <row r="2810" spans="3:8" x14ac:dyDescent="0.25">
      <c r="C2810" t="str">
        <f>'RES TECH'!M2809</f>
        <v>RESHOUHINewCWF4ELC20</v>
      </c>
      <c r="G2810" s="4">
        <f>IF(SUMIFS('RES TECH'!N:N,'RES TECH'!M:M,C2810)&gt;0,1,0)</f>
        <v>1</v>
      </c>
      <c r="H2810" s="4">
        <f t="shared" si="43"/>
        <v>0</v>
      </c>
    </row>
    <row r="2811" spans="3:8" x14ac:dyDescent="0.25">
      <c r="C2811" t="str">
        <f>'RES TECH'!M2810</f>
        <v>RESHOUHINewCWF4ELC20</v>
      </c>
      <c r="G2811" s="4">
        <f>IF(SUMIFS('RES TECH'!N:N,'RES TECH'!M:M,C2811)&gt;0,1,0)</f>
        <v>1</v>
      </c>
      <c r="H2811" s="4">
        <f t="shared" si="43"/>
        <v>0</v>
      </c>
    </row>
    <row r="2812" spans="3:8" x14ac:dyDescent="0.25">
      <c r="C2812" t="str">
        <f>'RES TECH'!M2811</f>
        <v>RESHOUHINewCD1NGA20</v>
      </c>
      <c r="G2812" s="4">
        <f>IF(SUMIFS('RES TECH'!N:N,'RES TECH'!M:M,C2812)&gt;0,1,0)</f>
        <v>1</v>
      </c>
      <c r="H2812" s="4">
        <f t="shared" si="43"/>
        <v>0</v>
      </c>
    </row>
    <row r="2813" spans="3:8" x14ac:dyDescent="0.25">
      <c r="C2813" t="str">
        <f>'RES TECH'!M2812</f>
        <v>RESHOUHINewCD2NGA20</v>
      </c>
      <c r="G2813" s="4">
        <f>IF(SUMIFS('RES TECH'!N:N,'RES TECH'!M:M,C2813)&gt;0,1,0)</f>
        <v>1</v>
      </c>
      <c r="H2813" s="4">
        <f t="shared" si="43"/>
        <v>0</v>
      </c>
    </row>
    <row r="2814" spans="3:8" x14ac:dyDescent="0.25">
      <c r="C2814" t="str">
        <f>'RES TECH'!M2813</f>
        <v>RESHOUHINewCD3NGA20</v>
      </c>
      <c r="G2814" s="4">
        <f>IF(SUMIFS('RES TECH'!N:N,'RES TECH'!M:M,C2814)&gt;0,1,0)</f>
        <v>1</v>
      </c>
      <c r="H2814" s="4">
        <f t="shared" si="43"/>
        <v>0</v>
      </c>
    </row>
    <row r="2815" spans="3:8" x14ac:dyDescent="0.25">
      <c r="C2815" t="str">
        <f>'RES TECH'!M2814</f>
        <v>RESHOUHINewCD4NGA20</v>
      </c>
      <c r="G2815" s="4">
        <f>IF(SUMIFS('RES TECH'!N:N,'RES TECH'!M:M,C2815)&gt;0,1,0)</f>
        <v>1</v>
      </c>
      <c r="H2815" s="4">
        <f t="shared" si="43"/>
        <v>0</v>
      </c>
    </row>
    <row r="2816" spans="3:8" x14ac:dyDescent="0.25">
      <c r="C2816" t="str">
        <f>'RES TECH'!M2815</f>
        <v>RESHOUHINewCD4NGA30</v>
      </c>
      <c r="G2816" s="4">
        <f>IF(SUMIFS('RES TECH'!N:N,'RES TECH'!M:M,C2816)&gt;0,1,0)</f>
        <v>1</v>
      </c>
      <c r="H2816" s="4">
        <f t="shared" si="43"/>
        <v>0</v>
      </c>
    </row>
    <row r="2817" spans="3:8" x14ac:dyDescent="0.25">
      <c r="C2817" t="str">
        <f>'RES TECH'!M2816</f>
        <v>RESHOUHINewCD1ELC20</v>
      </c>
      <c r="G2817" s="4">
        <f>IF(SUMIFS('RES TECH'!N:N,'RES TECH'!M:M,C2817)&gt;0,1,0)</f>
        <v>1</v>
      </c>
      <c r="H2817" s="4">
        <f t="shared" si="43"/>
        <v>0</v>
      </c>
    </row>
    <row r="2818" spans="3:8" x14ac:dyDescent="0.25">
      <c r="C2818" t="str">
        <f>'RES TECH'!M2817</f>
        <v>RESHOUHINewCD2ELC20</v>
      </c>
      <c r="G2818" s="4">
        <f>IF(SUMIFS('RES TECH'!N:N,'RES TECH'!M:M,C2818)&gt;0,1,0)</f>
        <v>1</v>
      </c>
      <c r="H2818" s="4">
        <f t="shared" si="43"/>
        <v>0</v>
      </c>
    </row>
    <row r="2819" spans="3:8" x14ac:dyDescent="0.25">
      <c r="C2819" t="str">
        <f>'RES TECH'!M2818</f>
        <v>RESHOUHINewCD3ELC20</v>
      </c>
      <c r="G2819" s="4">
        <f>IF(SUMIFS('RES TECH'!N:N,'RES TECH'!M:M,C2819)&gt;0,1,0)</f>
        <v>1</v>
      </c>
      <c r="H2819" s="4">
        <f t="shared" si="43"/>
        <v>0</v>
      </c>
    </row>
    <row r="2820" spans="3:8" x14ac:dyDescent="0.25">
      <c r="C2820" t="str">
        <f>'RES TECH'!M2819</f>
        <v>RESHOUHINewCD4ELC20</v>
      </c>
      <c r="G2820" s="4">
        <f>IF(SUMIFS('RES TECH'!N:N,'RES TECH'!M:M,C2820)&gt;0,1,0)</f>
        <v>1</v>
      </c>
      <c r="H2820" s="4">
        <f t="shared" si="43"/>
        <v>0</v>
      </c>
    </row>
    <row r="2821" spans="3:8" x14ac:dyDescent="0.25">
      <c r="C2821" t="str">
        <f>'RES TECH'!M2821</f>
        <v>RESAPALOOldLTHALELC20</v>
      </c>
      <c r="G2821" s="4">
        <f>IF(SUMIFS('RES TECH'!N:N,'RES TECH'!M:M,C2821)&gt;0,1,0)</f>
        <v>1</v>
      </c>
      <c r="H2821" s="4">
        <f t="shared" ref="H2821:H2884" si="44">IF(C2821="","",IF(C2821="*","*",0))</f>
        <v>0</v>
      </c>
    </row>
    <row r="2822" spans="3:8" x14ac:dyDescent="0.25">
      <c r="C2822" t="str">
        <f>'RES TECH'!M2822</f>
        <v>RESAPALOOldLTHALELC20</v>
      </c>
      <c r="G2822" s="4">
        <f>IF(SUMIFS('RES TECH'!N:N,'RES TECH'!M:M,C2822)&gt;0,1,0)</f>
        <v>1</v>
      </c>
      <c r="H2822" s="4">
        <f t="shared" si="44"/>
        <v>0</v>
      </c>
    </row>
    <row r="2823" spans="3:8" x14ac:dyDescent="0.25">
      <c r="C2823" t="str">
        <f>'RES TECH'!M2823</f>
        <v>RESAPALOOldLTHALELC22</v>
      </c>
      <c r="G2823" s="4">
        <f>IF(SUMIFS('RES TECH'!N:N,'RES TECH'!M:M,C2823)&gt;0,1,0)</f>
        <v>1</v>
      </c>
      <c r="H2823" s="4">
        <f t="shared" si="44"/>
        <v>0</v>
      </c>
    </row>
    <row r="2824" spans="3:8" x14ac:dyDescent="0.25">
      <c r="C2824" t="str">
        <f>'RES TECH'!M2824</f>
        <v>RESAPALOOldLTCFLELCELC20</v>
      </c>
      <c r="G2824" s="4">
        <f>IF(SUMIFS('RES TECH'!N:N,'RES TECH'!M:M,C2824)&gt;0,1,0)</f>
        <v>1</v>
      </c>
      <c r="H2824" s="4">
        <f t="shared" si="44"/>
        <v>0</v>
      </c>
    </row>
    <row r="2825" spans="3:8" x14ac:dyDescent="0.25">
      <c r="C2825" t="str">
        <f>'RES TECH'!M2825</f>
        <v>RESAPALOOldLTCFLELCELC20</v>
      </c>
      <c r="G2825" s="4">
        <f>IF(SUMIFS('RES TECH'!N:N,'RES TECH'!M:M,C2825)&gt;0,1,0)</f>
        <v>1</v>
      </c>
      <c r="H2825" s="4">
        <f t="shared" si="44"/>
        <v>0</v>
      </c>
    </row>
    <row r="2826" spans="3:8" x14ac:dyDescent="0.25">
      <c r="C2826" t="str">
        <f>'RES TECH'!M2826</f>
        <v>RESAPALOOldLTCFLELCELC22</v>
      </c>
      <c r="G2826" s="4">
        <f>IF(SUMIFS('RES TECH'!N:N,'RES TECH'!M:M,C2826)&gt;0,1,0)</f>
        <v>1</v>
      </c>
      <c r="H2826" s="4">
        <f t="shared" si="44"/>
        <v>0</v>
      </c>
    </row>
    <row r="2827" spans="3:8" x14ac:dyDescent="0.25">
      <c r="C2827" t="str">
        <f>'RES TECH'!M2827</f>
        <v>RESAPALOOldLTCFLELCELC30</v>
      </c>
      <c r="G2827" s="4">
        <f>IF(SUMIFS('RES TECH'!N:N,'RES TECH'!M:M,C2827)&gt;0,1,0)</f>
        <v>1</v>
      </c>
      <c r="H2827" s="4">
        <f t="shared" si="44"/>
        <v>0</v>
      </c>
    </row>
    <row r="2828" spans="3:8" x14ac:dyDescent="0.25">
      <c r="C2828" t="str">
        <f>'RES TECH'!M2828</f>
        <v>RESAPALOOldLTCFLELCELC40</v>
      </c>
      <c r="G2828" s="4">
        <f>IF(SUMIFS('RES TECH'!N:N,'RES TECH'!M:M,C2828)&gt;0,1,0)</f>
        <v>1</v>
      </c>
      <c r="H2828" s="4">
        <f t="shared" si="44"/>
        <v>0</v>
      </c>
    </row>
    <row r="2829" spans="3:8" x14ac:dyDescent="0.25">
      <c r="C2829" t="str">
        <f>'RES TECH'!M2829</f>
        <v>RESAPALOOldLTLEDELCELC20</v>
      </c>
      <c r="G2829" s="4">
        <f>IF(SUMIFS('RES TECH'!N:N,'RES TECH'!M:M,C2829)&gt;0,1,0)</f>
        <v>1</v>
      </c>
      <c r="H2829" s="4">
        <f t="shared" si="44"/>
        <v>0</v>
      </c>
    </row>
    <row r="2830" spans="3:8" x14ac:dyDescent="0.25">
      <c r="C2830" t="str">
        <f>'RES TECH'!M2830</f>
        <v>RESAPALOOldLTLEDELCELC20</v>
      </c>
      <c r="G2830" s="4">
        <f>IF(SUMIFS('RES TECH'!N:N,'RES TECH'!M:M,C2830)&gt;0,1,0)</f>
        <v>1</v>
      </c>
      <c r="H2830" s="4">
        <f t="shared" si="44"/>
        <v>0</v>
      </c>
    </row>
    <row r="2831" spans="3:8" x14ac:dyDescent="0.25">
      <c r="C2831" t="str">
        <f>'RES TECH'!M2831</f>
        <v>RESAPALOOldLTLEDELCELC20</v>
      </c>
      <c r="G2831" s="4">
        <f>IF(SUMIFS('RES TECH'!N:N,'RES TECH'!M:M,C2831)&gt;0,1,0)</f>
        <v>1</v>
      </c>
      <c r="H2831" s="4">
        <f t="shared" si="44"/>
        <v>0</v>
      </c>
    </row>
    <row r="2832" spans="3:8" x14ac:dyDescent="0.25">
      <c r="C2832" t="str">
        <f>'RES TECH'!M2832</f>
        <v>RESAPALOOldLTLEDELCELC20</v>
      </c>
      <c r="G2832" s="4">
        <f>IF(SUMIFS('RES TECH'!N:N,'RES TECH'!M:M,C2832)&gt;0,1,0)</f>
        <v>1</v>
      </c>
      <c r="H2832" s="4">
        <f t="shared" si="44"/>
        <v>0</v>
      </c>
    </row>
    <row r="2833" spans="3:8" x14ac:dyDescent="0.25">
      <c r="C2833" t="str">
        <f>'RES TECH'!M2833</f>
        <v>RESAPALOOldLTLEDELCELC20</v>
      </c>
      <c r="G2833" s="4">
        <f>IF(SUMIFS('RES TECH'!N:N,'RES TECH'!M:M,C2833)&gt;0,1,0)</f>
        <v>1</v>
      </c>
      <c r="H2833" s="4">
        <f t="shared" si="44"/>
        <v>0</v>
      </c>
    </row>
    <row r="2834" spans="3:8" x14ac:dyDescent="0.25">
      <c r="C2834" t="str">
        <f>'RES TECH'!M2834</f>
        <v>RESAPALOOldLTLEDELCELC20</v>
      </c>
      <c r="G2834" s="4">
        <f>IF(SUMIFS('RES TECH'!N:N,'RES TECH'!M:M,C2834)&gt;0,1,0)</f>
        <v>1</v>
      </c>
      <c r="H2834" s="4">
        <f t="shared" si="44"/>
        <v>0</v>
      </c>
    </row>
    <row r="2835" spans="3:8" x14ac:dyDescent="0.25">
      <c r="C2835" t="str">
        <f>'RES TECH'!M2835</f>
        <v>RESAPALOOldLTLEDELCELC21</v>
      </c>
      <c r="G2835" s="4">
        <f>IF(SUMIFS('RES TECH'!N:N,'RES TECH'!M:M,C2835)&gt;0,1,0)</f>
        <v>1</v>
      </c>
      <c r="H2835" s="4">
        <f t="shared" si="44"/>
        <v>0</v>
      </c>
    </row>
    <row r="2836" spans="3:8" x14ac:dyDescent="0.25">
      <c r="C2836" t="str">
        <f>'RES TECH'!M2836</f>
        <v>RESAPALOOldLTLEDELCELC22</v>
      </c>
      <c r="G2836" s="4">
        <f>IF(SUMIFS('RES TECH'!N:N,'RES TECH'!M:M,C2836)&gt;0,1,0)</f>
        <v>1</v>
      </c>
      <c r="H2836" s="4">
        <f t="shared" si="44"/>
        <v>0</v>
      </c>
    </row>
    <row r="2837" spans="3:8" x14ac:dyDescent="0.25">
      <c r="C2837" t="str">
        <f>'RES TECH'!M2837</f>
        <v>RESAPALOOldLTLEDELCELC23</v>
      </c>
      <c r="G2837" s="4">
        <f>IF(SUMIFS('RES TECH'!N:N,'RES TECH'!M:M,C2837)&gt;0,1,0)</f>
        <v>1</v>
      </c>
      <c r="H2837" s="4">
        <f t="shared" si="44"/>
        <v>0</v>
      </c>
    </row>
    <row r="2838" spans="3:8" x14ac:dyDescent="0.25">
      <c r="C2838" t="str">
        <f>'RES TECH'!M2838</f>
        <v>RESAPALOOldLTLEDELCELC24</v>
      </c>
      <c r="G2838" s="4">
        <f>IF(SUMIFS('RES TECH'!N:N,'RES TECH'!M:M,C2838)&gt;0,1,0)</f>
        <v>1</v>
      </c>
      <c r="H2838" s="4">
        <f t="shared" si="44"/>
        <v>0</v>
      </c>
    </row>
    <row r="2839" spans="3:8" x14ac:dyDescent="0.25">
      <c r="C2839" t="str">
        <f>'RES TECH'!M2839</f>
        <v>RESAPALOOldLTLEDELCELC25</v>
      </c>
      <c r="G2839" s="4">
        <f>IF(SUMIFS('RES TECH'!N:N,'RES TECH'!M:M,C2839)&gt;0,1,0)</f>
        <v>1</v>
      </c>
      <c r="H2839" s="4">
        <f t="shared" si="44"/>
        <v>0</v>
      </c>
    </row>
    <row r="2840" spans="3:8" x14ac:dyDescent="0.25">
      <c r="C2840" t="str">
        <f>'RES TECH'!M2840</f>
        <v>RESAPALOOldLTLEDELCELC30</v>
      </c>
      <c r="G2840" s="4">
        <f>IF(SUMIFS('RES TECH'!N:N,'RES TECH'!M:M,C2840)&gt;0,1,0)</f>
        <v>1</v>
      </c>
      <c r="H2840" s="4">
        <f t="shared" si="44"/>
        <v>0</v>
      </c>
    </row>
    <row r="2841" spans="3:8" x14ac:dyDescent="0.25">
      <c r="C2841" t="str">
        <f>'RES TECH'!M2841</f>
        <v>RESAPALOOldLTLEDELCELC40</v>
      </c>
      <c r="G2841" s="4">
        <f>IF(SUMIFS('RES TECH'!N:N,'RES TECH'!M:M,C2841)&gt;0,1,0)</f>
        <v>1</v>
      </c>
      <c r="H2841" s="4">
        <f t="shared" si="44"/>
        <v>0</v>
      </c>
    </row>
    <row r="2842" spans="3:8" x14ac:dyDescent="0.25">
      <c r="C2842" t="str">
        <f>'RES TECH'!M2842</f>
        <v>RESAPALOOldLTINCELCELC20</v>
      </c>
      <c r="G2842" s="4">
        <f>IF(SUMIFS('RES TECH'!N:N,'RES TECH'!M:M,C2842)&gt;0,1,0)</f>
        <v>1</v>
      </c>
      <c r="H2842" s="4">
        <f t="shared" si="44"/>
        <v>0</v>
      </c>
    </row>
    <row r="2843" spans="3:8" x14ac:dyDescent="0.25">
      <c r="C2843" t="str">
        <f>'RES TECH'!M2843</f>
        <v>RESAPALOOldLTINCELCELC22</v>
      </c>
      <c r="G2843" s="4">
        <f>IF(SUMIFS('RES TECH'!N:N,'RES TECH'!M:M,C2843)&gt;0,1,0)</f>
        <v>1</v>
      </c>
      <c r="H2843" s="4">
        <f t="shared" si="44"/>
        <v>0</v>
      </c>
    </row>
    <row r="2844" spans="3:8" x14ac:dyDescent="0.25">
      <c r="C2844" t="str">
        <f>'RES TECH'!M2844</f>
        <v>RESAPALOOldLTFLUT12ELC20</v>
      </c>
      <c r="G2844" s="4">
        <f>IF(SUMIFS('RES TECH'!N:N,'RES TECH'!M:M,C2844)&gt;0,1,0)</f>
        <v>1</v>
      </c>
      <c r="H2844" s="4">
        <f t="shared" si="44"/>
        <v>0</v>
      </c>
    </row>
    <row r="2845" spans="3:8" x14ac:dyDescent="0.25">
      <c r="C2845" t="str">
        <f>'RES TECH'!M2845</f>
        <v>RESAPALOOldLTFLUT8ELC20</v>
      </c>
      <c r="G2845" s="4">
        <f>IF(SUMIFS('RES TECH'!N:N,'RES TECH'!M:M,C2845)&gt;0,1,0)</f>
        <v>1</v>
      </c>
      <c r="H2845" s="4">
        <f t="shared" si="44"/>
        <v>0</v>
      </c>
    </row>
    <row r="2846" spans="3:8" x14ac:dyDescent="0.25">
      <c r="C2846" t="str">
        <f>'RES TECH'!M2846</f>
        <v>RESAPALOOldLTFLUT8ELC20</v>
      </c>
      <c r="G2846" s="4">
        <f>IF(SUMIFS('RES TECH'!N:N,'RES TECH'!M:M,C2846)&gt;0,1,0)</f>
        <v>1</v>
      </c>
      <c r="H2846" s="4">
        <f t="shared" si="44"/>
        <v>0</v>
      </c>
    </row>
    <row r="2847" spans="3:8" x14ac:dyDescent="0.25">
      <c r="C2847" t="str">
        <f>'RES TECH'!M2847</f>
        <v>RESAPALOOldLTFLUT8ELC22</v>
      </c>
      <c r="G2847" s="4">
        <f>IF(SUMIFS('RES TECH'!N:N,'RES TECH'!M:M,C2847)&gt;0,1,0)</f>
        <v>1</v>
      </c>
      <c r="H2847" s="4">
        <f t="shared" si="44"/>
        <v>0</v>
      </c>
    </row>
    <row r="2848" spans="3:8" x14ac:dyDescent="0.25">
      <c r="C2848" t="str">
        <f>'RES TECH'!M2848</f>
        <v>RESAPALOOldLTFLUT8ELC30</v>
      </c>
      <c r="G2848" s="4">
        <f>IF(SUMIFS('RES TECH'!N:N,'RES TECH'!M:M,C2848)&gt;0,1,0)</f>
        <v>1</v>
      </c>
      <c r="H2848" s="4">
        <f t="shared" si="44"/>
        <v>0</v>
      </c>
    </row>
    <row r="2849" spans="3:8" x14ac:dyDescent="0.25">
      <c r="C2849" t="str">
        <f>'RES TECH'!M2849</f>
        <v>RESAPALOOldLTFLUT8ELC40</v>
      </c>
      <c r="G2849" s="4">
        <f>IF(SUMIFS('RES TECH'!N:N,'RES TECH'!M:M,C2849)&gt;0,1,0)</f>
        <v>1</v>
      </c>
      <c r="H2849" s="4">
        <f t="shared" si="44"/>
        <v>0</v>
      </c>
    </row>
    <row r="2850" spans="3:8" x14ac:dyDescent="0.25">
      <c r="C2850" t="str">
        <f>'RES TECH'!M2850</f>
        <v>RESHOULOOldLTHALELC20</v>
      </c>
      <c r="G2850" s="4">
        <f>IF(SUMIFS('RES TECH'!N:N,'RES TECH'!M:M,C2850)&gt;0,1,0)</f>
        <v>1</v>
      </c>
      <c r="H2850" s="4">
        <f t="shared" si="44"/>
        <v>0</v>
      </c>
    </row>
    <row r="2851" spans="3:8" x14ac:dyDescent="0.25">
      <c r="C2851" t="str">
        <f>'RES TECH'!M2851</f>
        <v>RESHOULOOldLTHALELC20</v>
      </c>
      <c r="G2851" s="4">
        <f>IF(SUMIFS('RES TECH'!N:N,'RES TECH'!M:M,C2851)&gt;0,1,0)</f>
        <v>1</v>
      </c>
      <c r="H2851" s="4">
        <f t="shared" si="44"/>
        <v>0</v>
      </c>
    </row>
    <row r="2852" spans="3:8" x14ac:dyDescent="0.25">
      <c r="C2852" t="str">
        <f>'RES TECH'!M2852</f>
        <v>RESHOULOOldLTHALELC22</v>
      </c>
      <c r="G2852" s="4">
        <f>IF(SUMIFS('RES TECH'!N:N,'RES TECH'!M:M,C2852)&gt;0,1,0)</f>
        <v>1</v>
      </c>
      <c r="H2852" s="4">
        <f t="shared" si="44"/>
        <v>0</v>
      </c>
    </row>
    <row r="2853" spans="3:8" x14ac:dyDescent="0.25">
      <c r="C2853" t="str">
        <f>'RES TECH'!M2853</f>
        <v>RESHOULOOldLTCFLELCELC20</v>
      </c>
      <c r="G2853" s="4">
        <f>IF(SUMIFS('RES TECH'!N:N,'RES TECH'!M:M,C2853)&gt;0,1,0)</f>
        <v>1</v>
      </c>
      <c r="H2853" s="4">
        <f t="shared" si="44"/>
        <v>0</v>
      </c>
    </row>
    <row r="2854" spans="3:8" x14ac:dyDescent="0.25">
      <c r="C2854" t="str">
        <f>'RES TECH'!M2854</f>
        <v>RESHOULOOldLTCFLELCELC20</v>
      </c>
      <c r="G2854" s="4">
        <f>IF(SUMIFS('RES TECH'!N:N,'RES TECH'!M:M,C2854)&gt;0,1,0)</f>
        <v>1</v>
      </c>
      <c r="H2854" s="4">
        <f t="shared" si="44"/>
        <v>0</v>
      </c>
    </row>
    <row r="2855" spans="3:8" x14ac:dyDescent="0.25">
      <c r="C2855" t="str">
        <f>'RES TECH'!M2855</f>
        <v>RESHOULOOldLTCFLELCELC22</v>
      </c>
      <c r="G2855" s="4">
        <f>IF(SUMIFS('RES TECH'!N:N,'RES TECH'!M:M,C2855)&gt;0,1,0)</f>
        <v>1</v>
      </c>
      <c r="H2855" s="4">
        <f t="shared" si="44"/>
        <v>0</v>
      </c>
    </row>
    <row r="2856" spans="3:8" x14ac:dyDescent="0.25">
      <c r="C2856" t="str">
        <f>'RES TECH'!M2856</f>
        <v>RESHOULOOldLTCFLELCELC30</v>
      </c>
      <c r="G2856" s="4">
        <f>IF(SUMIFS('RES TECH'!N:N,'RES TECH'!M:M,C2856)&gt;0,1,0)</f>
        <v>1</v>
      </c>
      <c r="H2856" s="4">
        <f t="shared" si="44"/>
        <v>0</v>
      </c>
    </row>
    <row r="2857" spans="3:8" x14ac:dyDescent="0.25">
      <c r="C2857" t="str">
        <f>'RES TECH'!M2857</f>
        <v>RESHOULOOldLTCFLELCELC40</v>
      </c>
      <c r="G2857" s="4">
        <f>IF(SUMIFS('RES TECH'!N:N,'RES TECH'!M:M,C2857)&gt;0,1,0)</f>
        <v>1</v>
      </c>
      <c r="H2857" s="4">
        <f t="shared" si="44"/>
        <v>0</v>
      </c>
    </row>
    <row r="2858" spans="3:8" x14ac:dyDescent="0.25">
      <c r="C2858" t="str">
        <f>'RES TECH'!M2858</f>
        <v>RESHOULOOldLTLEDELCELC20</v>
      </c>
      <c r="G2858" s="4">
        <f>IF(SUMIFS('RES TECH'!N:N,'RES TECH'!M:M,C2858)&gt;0,1,0)</f>
        <v>1</v>
      </c>
      <c r="H2858" s="4">
        <f t="shared" si="44"/>
        <v>0</v>
      </c>
    </row>
    <row r="2859" spans="3:8" x14ac:dyDescent="0.25">
      <c r="C2859" t="str">
        <f>'RES TECH'!M2859</f>
        <v>RESHOULOOldLTLEDELCELC20</v>
      </c>
      <c r="G2859" s="4">
        <f>IF(SUMIFS('RES TECH'!N:N,'RES TECH'!M:M,C2859)&gt;0,1,0)</f>
        <v>1</v>
      </c>
      <c r="H2859" s="4">
        <f t="shared" si="44"/>
        <v>0</v>
      </c>
    </row>
    <row r="2860" spans="3:8" x14ac:dyDescent="0.25">
      <c r="C2860" t="str">
        <f>'RES TECH'!M2860</f>
        <v>RESHOULOOldLTLEDELCELC20</v>
      </c>
      <c r="G2860" s="4">
        <f>IF(SUMIFS('RES TECH'!N:N,'RES TECH'!M:M,C2860)&gt;0,1,0)</f>
        <v>1</v>
      </c>
      <c r="H2860" s="4">
        <f t="shared" si="44"/>
        <v>0</v>
      </c>
    </row>
    <row r="2861" spans="3:8" x14ac:dyDescent="0.25">
      <c r="C2861" t="str">
        <f>'RES TECH'!M2861</f>
        <v>RESHOULOOldLTLEDELCELC20</v>
      </c>
      <c r="G2861" s="4">
        <f>IF(SUMIFS('RES TECH'!N:N,'RES TECH'!M:M,C2861)&gt;0,1,0)</f>
        <v>1</v>
      </c>
      <c r="H2861" s="4">
        <f t="shared" si="44"/>
        <v>0</v>
      </c>
    </row>
    <row r="2862" spans="3:8" x14ac:dyDescent="0.25">
      <c r="C2862" t="str">
        <f>'RES TECH'!M2862</f>
        <v>RESHOULOOldLTLEDELCELC20</v>
      </c>
      <c r="G2862" s="4">
        <f>IF(SUMIFS('RES TECH'!N:N,'RES TECH'!M:M,C2862)&gt;0,1,0)</f>
        <v>1</v>
      </c>
      <c r="H2862" s="4">
        <f t="shared" si="44"/>
        <v>0</v>
      </c>
    </row>
    <row r="2863" spans="3:8" x14ac:dyDescent="0.25">
      <c r="C2863" t="str">
        <f>'RES TECH'!M2863</f>
        <v>RESHOULOOldLTLEDELCELC20</v>
      </c>
      <c r="G2863" s="4">
        <f>IF(SUMIFS('RES TECH'!N:N,'RES TECH'!M:M,C2863)&gt;0,1,0)</f>
        <v>1</v>
      </c>
      <c r="H2863" s="4">
        <f t="shared" si="44"/>
        <v>0</v>
      </c>
    </row>
    <row r="2864" spans="3:8" x14ac:dyDescent="0.25">
      <c r="C2864" t="str">
        <f>'RES TECH'!M2864</f>
        <v>RESHOULOOldLTLEDELCELC21</v>
      </c>
      <c r="G2864" s="4">
        <f>IF(SUMIFS('RES TECH'!N:N,'RES TECH'!M:M,C2864)&gt;0,1,0)</f>
        <v>1</v>
      </c>
      <c r="H2864" s="4">
        <f t="shared" si="44"/>
        <v>0</v>
      </c>
    </row>
    <row r="2865" spans="3:8" x14ac:dyDescent="0.25">
      <c r="C2865" t="str">
        <f>'RES TECH'!M2865</f>
        <v>RESHOULOOldLTLEDELCELC22</v>
      </c>
      <c r="G2865" s="4">
        <f>IF(SUMIFS('RES TECH'!N:N,'RES TECH'!M:M,C2865)&gt;0,1,0)</f>
        <v>1</v>
      </c>
      <c r="H2865" s="4">
        <f t="shared" si="44"/>
        <v>0</v>
      </c>
    </row>
    <row r="2866" spans="3:8" x14ac:dyDescent="0.25">
      <c r="C2866" t="str">
        <f>'RES TECH'!M2866</f>
        <v>RESHOULOOldLTLEDELCELC23</v>
      </c>
      <c r="G2866" s="4">
        <f>IF(SUMIFS('RES TECH'!N:N,'RES TECH'!M:M,C2866)&gt;0,1,0)</f>
        <v>1</v>
      </c>
      <c r="H2866" s="4">
        <f t="shared" si="44"/>
        <v>0</v>
      </c>
    </row>
    <row r="2867" spans="3:8" x14ac:dyDescent="0.25">
      <c r="C2867" t="str">
        <f>'RES TECH'!M2867</f>
        <v>RESHOULOOldLTLEDELCELC24</v>
      </c>
      <c r="G2867" s="4">
        <f>IF(SUMIFS('RES TECH'!N:N,'RES TECH'!M:M,C2867)&gt;0,1,0)</f>
        <v>1</v>
      </c>
      <c r="H2867" s="4">
        <f t="shared" si="44"/>
        <v>0</v>
      </c>
    </row>
    <row r="2868" spans="3:8" x14ac:dyDescent="0.25">
      <c r="C2868" t="str">
        <f>'RES TECH'!M2868</f>
        <v>RESHOULOOldLTLEDELCELC25</v>
      </c>
      <c r="G2868" s="4">
        <f>IF(SUMIFS('RES TECH'!N:N,'RES TECH'!M:M,C2868)&gt;0,1,0)</f>
        <v>1</v>
      </c>
      <c r="H2868" s="4">
        <f t="shared" si="44"/>
        <v>0</v>
      </c>
    </row>
    <row r="2869" spans="3:8" x14ac:dyDescent="0.25">
      <c r="C2869" t="str">
        <f>'RES TECH'!M2869</f>
        <v>RESHOULOOldLTLEDELCELC30</v>
      </c>
      <c r="G2869" s="4">
        <f>IF(SUMIFS('RES TECH'!N:N,'RES TECH'!M:M,C2869)&gt;0,1,0)</f>
        <v>1</v>
      </c>
      <c r="H2869" s="4">
        <f t="shared" si="44"/>
        <v>0</v>
      </c>
    </row>
    <row r="2870" spans="3:8" x14ac:dyDescent="0.25">
      <c r="C2870" t="str">
        <f>'RES TECH'!M2870</f>
        <v>RESHOULOOldLTLEDELCELC40</v>
      </c>
      <c r="G2870" s="4">
        <f>IF(SUMIFS('RES TECH'!N:N,'RES TECH'!M:M,C2870)&gt;0,1,0)</f>
        <v>1</v>
      </c>
      <c r="H2870" s="4">
        <f t="shared" si="44"/>
        <v>0</v>
      </c>
    </row>
    <row r="2871" spans="3:8" x14ac:dyDescent="0.25">
      <c r="C2871" t="str">
        <f>'RES TECH'!M2871</f>
        <v>RESHOULOOldLTINCELCELC20</v>
      </c>
      <c r="G2871" s="4">
        <f>IF(SUMIFS('RES TECH'!N:N,'RES TECH'!M:M,C2871)&gt;0,1,0)</f>
        <v>1</v>
      </c>
      <c r="H2871" s="4">
        <f t="shared" si="44"/>
        <v>0</v>
      </c>
    </row>
    <row r="2872" spans="3:8" x14ac:dyDescent="0.25">
      <c r="C2872" t="str">
        <f>'RES TECH'!M2872</f>
        <v>RESHOULOOldLTINCELCELC22</v>
      </c>
      <c r="G2872" s="4">
        <f>IF(SUMIFS('RES TECH'!N:N,'RES TECH'!M:M,C2872)&gt;0,1,0)</f>
        <v>1</v>
      </c>
      <c r="H2872" s="4">
        <f t="shared" si="44"/>
        <v>0</v>
      </c>
    </row>
    <row r="2873" spans="3:8" x14ac:dyDescent="0.25">
      <c r="C2873" t="str">
        <f>'RES TECH'!M2873</f>
        <v>RESHOULOOldLTFLUT12ELC20</v>
      </c>
      <c r="G2873" s="4">
        <f>IF(SUMIFS('RES TECH'!N:N,'RES TECH'!M:M,C2873)&gt;0,1,0)</f>
        <v>1</v>
      </c>
      <c r="H2873" s="4">
        <f t="shared" si="44"/>
        <v>0</v>
      </c>
    </row>
    <row r="2874" spans="3:8" x14ac:dyDescent="0.25">
      <c r="C2874" t="str">
        <f>'RES TECH'!M2874</f>
        <v>RESHOULOOldLTFLUT8ELC20</v>
      </c>
      <c r="G2874" s="4">
        <f>IF(SUMIFS('RES TECH'!N:N,'RES TECH'!M:M,C2874)&gt;0,1,0)</f>
        <v>1</v>
      </c>
      <c r="H2874" s="4">
        <f t="shared" si="44"/>
        <v>0</v>
      </c>
    </row>
    <row r="2875" spans="3:8" x14ac:dyDescent="0.25">
      <c r="C2875" t="str">
        <f>'RES TECH'!M2875</f>
        <v>RESHOULOOldLTFLUT8ELC20</v>
      </c>
      <c r="G2875" s="4">
        <f>IF(SUMIFS('RES TECH'!N:N,'RES TECH'!M:M,C2875)&gt;0,1,0)</f>
        <v>1</v>
      </c>
      <c r="H2875" s="4">
        <f t="shared" si="44"/>
        <v>0</v>
      </c>
    </row>
    <row r="2876" spans="3:8" x14ac:dyDescent="0.25">
      <c r="C2876" t="str">
        <f>'RES TECH'!M2876</f>
        <v>RESHOULOOldLTFLUT8ELC22</v>
      </c>
      <c r="G2876" s="4">
        <f>IF(SUMIFS('RES TECH'!N:N,'RES TECH'!M:M,C2876)&gt;0,1,0)</f>
        <v>1</v>
      </c>
      <c r="H2876" s="4">
        <f t="shared" si="44"/>
        <v>0</v>
      </c>
    </row>
    <row r="2877" spans="3:8" x14ac:dyDescent="0.25">
      <c r="C2877" t="str">
        <f>'RES TECH'!M2877</f>
        <v>RESHOULOOldLTFLUT8ELC30</v>
      </c>
      <c r="G2877" s="4">
        <f>IF(SUMIFS('RES TECH'!N:N,'RES TECH'!M:M,C2877)&gt;0,1,0)</f>
        <v>1</v>
      </c>
      <c r="H2877" s="4">
        <f t="shared" si="44"/>
        <v>0</v>
      </c>
    </row>
    <row r="2878" spans="3:8" x14ac:dyDescent="0.25">
      <c r="C2878" t="str">
        <f>'RES TECH'!M2878</f>
        <v>RESHOULOOldLTFLUT8ELC40</v>
      </c>
      <c r="G2878" s="4">
        <f>IF(SUMIFS('RES TECH'!N:N,'RES TECH'!M:M,C2878)&gt;0,1,0)</f>
        <v>1</v>
      </c>
      <c r="H2878" s="4">
        <f t="shared" si="44"/>
        <v>0</v>
      </c>
    </row>
    <row r="2879" spans="3:8" x14ac:dyDescent="0.25">
      <c r="C2879" t="str">
        <f>'RES TECH'!M2879</f>
        <v>RESAPALMOldLTHALELC20</v>
      </c>
      <c r="G2879" s="4">
        <f>IF(SUMIFS('RES TECH'!N:N,'RES TECH'!M:M,C2879)&gt;0,1,0)</f>
        <v>1</v>
      </c>
      <c r="H2879" s="4">
        <f t="shared" si="44"/>
        <v>0</v>
      </c>
    </row>
    <row r="2880" spans="3:8" x14ac:dyDescent="0.25">
      <c r="C2880" t="str">
        <f>'RES TECH'!M2880</f>
        <v>RESAPALMOldLTHALELC20</v>
      </c>
      <c r="G2880" s="4">
        <f>IF(SUMIFS('RES TECH'!N:N,'RES TECH'!M:M,C2880)&gt;0,1,0)</f>
        <v>1</v>
      </c>
      <c r="H2880" s="4">
        <f t="shared" si="44"/>
        <v>0</v>
      </c>
    </row>
    <row r="2881" spans="3:8" x14ac:dyDescent="0.25">
      <c r="C2881" t="str">
        <f>'RES TECH'!M2881</f>
        <v>RESAPALMOldLTHALELC22</v>
      </c>
      <c r="G2881" s="4">
        <f>IF(SUMIFS('RES TECH'!N:N,'RES TECH'!M:M,C2881)&gt;0,1,0)</f>
        <v>1</v>
      </c>
      <c r="H2881" s="4">
        <f t="shared" si="44"/>
        <v>0</v>
      </c>
    </row>
    <row r="2882" spans="3:8" x14ac:dyDescent="0.25">
      <c r="C2882" t="str">
        <f>'RES TECH'!M2882</f>
        <v>RESAPALMOldLTCFLELCELC20</v>
      </c>
      <c r="G2882" s="4">
        <f>IF(SUMIFS('RES TECH'!N:N,'RES TECH'!M:M,C2882)&gt;0,1,0)</f>
        <v>1</v>
      </c>
      <c r="H2882" s="4">
        <f t="shared" si="44"/>
        <v>0</v>
      </c>
    </row>
    <row r="2883" spans="3:8" x14ac:dyDescent="0.25">
      <c r="C2883" t="str">
        <f>'RES TECH'!M2883</f>
        <v>RESAPALMOldLTCFLELCELC20</v>
      </c>
      <c r="G2883" s="4">
        <f>IF(SUMIFS('RES TECH'!N:N,'RES TECH'!M:M,C2883)&gt;0,1,0)</f>
        <v>1</v>
      </c>
      <c r="H2883" s="4">
        <f t="shared" si="44"/>
        <v>0</v>
      </c>
    </row>
    <row r="2884" spans="3:8" x14ac:dyDescent="0.25">
      <c r="C2884" t="str">
        <f>'RES TECH'!M2884</f>
        <v>RESAPALMOldLTCFLELCELC22</v>
      </c>
      <c r="G2884" s="4">
        <f>IF(SUMIFS('RES TECH'!N:N,'RES TECH'!M:M,C2884)&gt;0,1,0)</f>
        <v>1</v>
      </c>
      <c r="H2884" s="4">
        <f t="shared" si="44"/>
        <v>0</v>
      </c>
    </row>
    <row r="2885" spans="3:8" x14ac:dyDescent="0.25">
      <c r="C2885" t="str">
        <f>'RES TECH'!M2885</f>
        <v>RESAPALMOldLTCFLELCELC30</v>
      </c>
      <c r="G2885" s="4">
        <f>IF(SUMIFS('RES TECH'!N:N,'RES TECH'!M:M,C2885)&gt;0,1,0)</f>
        <v>1</v>
      </c>
      <c r="H2885" s="4">
        <f t="shared" ref="H2885:H2948" si="45">IF(C2885="","",IF(C2885="*","*",0))</f>
        <v>0</v>
      </c>
    </row>
    <row r="2886" spans="3:8" x14ac:dyDescent="0.25">
      <c r="C2886" t="str">
        <f>'RES TECH'!M2886</f>
        <v>RESAPALMOldLTCFLELCELC40</v>
      </c>
      <c r="G2886" s="4">
        <f>IF(SUMIFS('RES TECH'!N:N,'RES TECH'!M:M,C2886)&gt;0,1,0)</f>
        <v>1</v>
      </c>
      <c r="H2886" s="4">
        <f t="shared" si="45"/>
        <v>0</v>
      </c>
    </row>
    <row r="2887" spans="3:8" x14ac:dyDescent="0.25">
      <c r="C2887" t="str">
        <f>'RES TECH'!M2887</f>
        <v>RESAPALMOldLTLEDELCELC20</v>
      </c>
      <c r="G2887" s="4">
        <f>IF(SUMIFS('RES TECH'!N:N,'RES TECH'!M:M,C2887)&gt;0,1,0)</f>
        <v>1</v>
      </c>
      <c r="H2887" s="4">
        <f t="shared" si="45"/>
        <v>0</v>
      </c>
    </row>
    <row r="2888" spans="3:8" x14ac:dyDescent="0.25">
      <c r="C2888" t="str">
        <f>'RES TECH'!M2888</f>
        <v>RESAPALMOldLTLEDELCELC20</v>
      </c>
      <c r="G2888" s="4">
        <f>IF(SUMIFS('RES TECH'!N:N,'RES TECH'!M:M,C2888)&gt;0,1,0)</f>
        <v>1</v>
      </c>
      <c r="H2888" s="4">
        <f t="shared" si="45"/>
        <v>0</v>
      </c>
    </row>
    <row r="2889" spans="3:8" x14ac:dyDescent="0.25">
      <c r="C2889" t="str">
        <f>'RES TECH'!M2889</f>
        <v>RESAPALMOldLTLEDELCELC20</v>
      </c>
      <c r="G2889" s="4">
        <f>IF(SUMIFS('RES TECH'!N:N,'RES TECH'!M:M,C2889)&gt;0,1,0)</f>
        <v>1</v>
      </c>
      <c r="H2889" s="4">
        <f t="shared" si="45"/>
        <v>0</v>
      </c>
    </row>
    <row r="2890" spans="3:8" x14ac:dyDescent="0.25">
      <c r="C2890" t="str">
        <f>'RES TECH'!M2890</f>
        <v>RESAPALMOldLTLEDELCELC20</v>
      </c>
      <c r="G2890" s="4">
        <f>IF(SUMIFS('RES TECH'!N:N,'RES TECH'!M:M,C2890)&gt;0,1,0)</f>
        <v>1</v>
      </c>
      <c r="H2890" s="4">
        <f t="shared" si="45"/>
        <v>0</v>
      </c>
    </row>
    <row r="2891" spans="3:8" x14ac:dyDescent="0.25">
      <c r="C2891" t="str">
        <f>'RES TECH'!M2891</f>
        <v>RESAPALMOldLTLEDELCELC20</v>
      </c>
      <c r="G2891" s="4">
        <f>IF(SUMIFS('RES TECH'!N:N,'RES TECH'!M:M,C2891)&gt;0,1,0)</f>
        <v>1</v>
      </c>
      <c r="H2891" s="4">
        <f t="shared" si="45"/>
        <v>0</v>
      </c>
    </row>
    <row r="2892" spans="3:8" x14ac:dyDescent="0.25">
      <c r="C2892" t="str">
        <f>'RES TECH'!M2892</f>
        <v>RESAPALMOldLTLEDELCELC20</v>
      </c>
      <c r="G2892" s="4">
        <f>IF(SUMIFS('RES TECH'!N:N,'RES TECH'!M:M,C2892)&gt;0,1,0)</f>
        <v>1</v>
      </c>
      <c r="H2892" s="4">
        <f t="shared" si="45"/>
        <v>0</v>
      </c>
    </row>
    <row r="2893" spans="3:8" x14ac:dyDescent="0.25">
      <c r="C2893" t="str">
        <f>'RES TECH'!M2893</f>
        <v>RESAPALMOldLTLEDELCELC21</v>
      </c>
      <c r="G2893" s="4">
        <f>IF(SUMIFS('RES TECH'!N:N,'RES TECH'!M:M,C2893)&gt;0,1,0)</f>
        <v>1</v>
      </c>
      <c r="H2893" s="4">
        <f t="shared" si="45"/>
        <v>0</v>
      </c>
    </row>
    <row r="2894" spans="3:8" x14ac:dyDescent="0.25">
      <c r="C2894" t="str">
        <f>'RES TECH'!M2894</f>
        <v>RESAPALMOldLTLEDELCELC22</v>
      </c>
      <c r="G2894" s="4">
        <f>IF(SUMIFS('RES TECH'!N:N,'RES TECH'!M:M,C2894)&gt;0,1,0)</f>
        <v>1</v>
      </c>
      <c r="H2894" s="4">
        <f t="shared" si="45"/>
        <v>0</v>
      </c>
    </row>
    <row r="2895" spans="3:8" x14ac:dyDescent="0.25">
      <c r="C2895" t="str">
        <f>'RES TECH'!M2895</f>
        <v>RESAPALMOldLTLEDELCELC23</v>
      </c>
      <c r="G2895" s="4">
        <f>IF(SUMIFS('RES TECH'!N:N,'RES TECH'!M:M,C2895)&gt;0,1,0)</f>
        <v>1</v>
      </c>
      <c r="H2895" s="4">
        <f t="shared" si="45"/>
        <v>0</v>
      </c>
    </row>
    <row r="2896" spans="3:8" x14ac:dyDescent="0.25">
      <c r="C2896" t="str">
        <f>'RES TECH'!M2896</f>
        <v>RESAPALMOldLTLEDELCELC24</v>
      </c>
      <c r="G2896" s="4">
        <f>IF(SUMIFS('RES TECH'!N:N,'RES TECH'!M:M,C2896)&gt;0,1,0)</f>
        <v>1</v>
      </c>
      <c r="H2896" s="4">
        <f t="shared" si="45"/>
        <v>0</v>
      </c>
    </row>
    <row r="2897" spans="3:8" x14ac:dyDescent="0.25">
      <c r="C2897" t="str">
        <f>'RES TECH'!M2897</f>
        <v>RESAPALMOldLTLEDELCELC25</v>
      </c>
      <c r="G2897" s="4">
        <f>IF(SUMIFS('RES TECH'!N:N,'RES TECH'!M:M,C2897)&gt;0,1,0)</f>
        <v>1</v>
      </c>
      <c r="H2897" s="4">
        <f t="shared" si="45"/>
        <v>0</v>
      </c>
    </row>
    <row r="2898" spans="3:8" x14ac:dyDescent="0.25">
      <c r="C2898" t="str">
        <f>'RES TECH'!M2898</f>
        <v>RESAPALMOldLTLEDELCELC30</v>
      </c>
      <c r="G2898" s="4">
        <f>IF(SUMIFS('RES TECH'!N:N,'RES TECH'!M:M,C2898)&gt;0,1,0)</f>
        <v>1</v>
      </c>
      <c r="H2898" s="4">
        <f t="shared" si="45"/>
        <v>0</v>
      </c>
    </row>
    <row r="2899" spans="3:8" x14ac:dyDescent="0.25">
      <c r="C2899" t="str">
        <f>'RES TECH'!M2899</f>
        <v>RESAPALMOldLTLEDELCELC40</v>
      </c>
      <c r="G2899" s="4">
        <f>IF(SUMIFS('RES TECH'!N:N,'RES TECH'!M:M,C2899)&gt;0,1,0)</f>
        <v>1</v>
      </c>
      <c r="H2899" s="4">
        <f t="shared" si="45"/>
        <v>0</v>
      </c>
    </row>
    <row r="2900" spans="3:8" x14ac:dyDescent="0.25">
      <c r="C2900" t="str">
        <f>'RES TECH'!M2900</f>
        <v>RESAPALMOldLTINCELCELC20</v>
      </c>
      <c r="G2900" s="4">
        <f>IF(SUMIFS('RES TECH'!N:N,'RES TECH'!M:M,C2900)&gt;0,1,0)</f>
        <v>1</v>
      </c>
      <c r="H2900" s="4">
        <f t="shared" si="45"/>
        <v>0</v>
      </c>
    </row>
    <row r="2901" spans="3:8" x14ac:dyDescent="0.25">
      <c r="C2901" t="str">
        <f>'RES TECH'!M2901</f>
        <v>RESAPALMOldLTINCELCELC22</v>
      </c>
      <c r="G2901" s="4">
        <f>IF(SUMIFS('RES TECH'!N:N,'RES TECH'!M:M,C2901)&gt;0,1,0)</f>
        <v>1</v>
      </c>
      <c r="H2901" s="4">
        <f t="shared" si="45"/>
        <v>0</v>
      </c>
    </row>
    <row r="2902" spans="3:8" x14ac:dyDescent="0.25">
      <c r="C2902" t="str">
        <f>'RES TECH'!M2902</f>
        <v>RESAPALMOldLTFLUT12ELC20</v>
      </c>
      <c r="G2902" s="4">
        <f>IF(SUMIFS('RES TECH'!N:N,'RES TECH'!M:M,C2902)&gt;0,1,0)</f>
        <v>1</v>
      </c>
      <c r="H2902" s="4">
        <f t="shared" si="45"/>
        <v>0</v>
      </c>
    </row>
    <row r="2903" spans="3:8" x14ac:dyDescent="0.25">
      <c r="C2903" t="str">
        <f>'RES TECH'!M2903</f>
        <v>RESAPALMOldLTFLUT8ELC20</v>
      </c>
      <c r="G2903" s="4">
        <f>IF(SUMIFS('RES TECH'!N:N,'RES TECH'!M:M,C2903)&gt;0,1,0)</f>
        <v>1</v>
      </c>
      <c r="H2903" s="4">
        <f t="shared" si="45"/>
        <v>0</v>
      </c>
    </row>
    <row r="2904" spans="3:8" x14ac:dyDescent="0.25">
      <c r="C2904" t="str">
        <f>'RES TECH'!M2904</f>
        <v>RESAPALMOldLTFLUT8ELC20</v>
      </c>
      <c r="G2904" s="4">
        <f>IF(SUMIFS('RES TECH'!N:N,'RES TECH'!M:M,C2904)&gt;0,1,0)</f>
        <v>1</v>
      </c>
      <c r="H2904" s="4">
        <f t="shared" si="45"/>
        <v>0</v>
      </c>
    </row>
    <row r="2905" spans="3:8" x14ac:dyDescent="0.25">
      <c r="C2905" t="str">
        <f>'RES TECH'!M2905</f>
        <v>RESAPALMOldLTFLUT8ELC22</v>
      </c>
      <c r="G2905" s="4">
        <f>IF(SUMIFS('RES TECH'!N:N,'RES TECH'!M:M,C2905)&gt;0,1,0)</f>
        <v>1</v>
      </c>
      <c r="H2905" s="4">
        <f t="shared" si="45"/>
        <v>0</v>
      </c>
    </row>
    <row r="2906" spans="3:8" x14ac:dyDescent="0.25">
      <c r="C2906" t="str">
        <f>'RES TECH'!M2906</f>
        <v>RESAPALMOldLTFLUT8ELC30</v>
      </c>
      <c r="G2906" s="4">
        <f>IF(SUMIFS('RES TECH'!N:N,'RES TECH'!M:M,C2906)&gt;0,1,0)</f>
        <v>1</v>
      </c>
      <c r="H2906" s="4">
        <f t="shared" si="45"/>
        <v>0</v>
      </c>
    </row>
    <row r="2907" spans="3:8" x14ac:dyDescent="0.25">
      <c r="C2907" t="str">
        <f>'RES TECH'!M2907</f>
        <v>RESAPALMOldLTFLUT8ELC40</v>
      </c>
      <c r="G2907" s="4">
        <f>IF(SUMIFS('RES TECH'!N:N,'RES TECH'!M:M,C2907)&gt;0,1,0)</f>
        <v>1</v>
      </c>
      <c r="H2907" s="4">
        <f t="shared" si="45"/>
        <v>0</v>
      </c>
    </row>
    <row r="2908" spans="3:8" x14ac:dyDescent="0.25">
      <c r="C2908" t="str">
        <f>'RES TECH'!M2908</f>
        <v>RESHOULMOldLTHALELC20</v>
      </c>
      <c r="G2908" s="4">
        <f>IF(SUMIFS('RES TECH'!N:N,'RES TECH'!M:M,C2908)&gt;0,1,0)</f>
        <v>1</v>
      </c>
      <c r="H2908" s="4">
        <f t="shared" si="45"/>
        <v>0</v>
      </c>
    </row>
    <row r="2909" spans="3:8" x14ac:dyDescent="0.25">
      <c r="C2909" t="str">
        <f>'RES TECH'!M2909</f>
        <v>RESHOULMOldLTHALELC20</v>
      </c>
      <c r="G2909" s="4">
        <f>IF(SUMIFS('RES TECH'!N:N,'RES TECH'!M:M,C2909)&gt;0,1,0)</f>
        <v>1</v>
      </c>
      <c r="H2909" s="4">
        <f t="shared" si="45"/>
        <v>0</v>
      </c>
    </row>
    <row r="2910" spans="3:8" x14ac:dyDescent="0.25">
      <c r="C2910" t="str">
        <f>'RES TECH'!M2910</f>
        <v>RESHOULMOldLTHALELC22</v>
      </c>
      <c r="G2910" s="4">
        <f>IF(SUMIFS('RES TECH'!N:N,'RES TECH'!M:M,C2910)&gt;0,1,0)</f>
        <v>1</v>
      </c>
      <c r="H2910" s="4">
        <f t="shared" si="45"/>
        <v>0</v>
      </c>
    </row>
    <row r="2911" spans="3:8" x14ac:dyDescent="0.25">
      <c r="C2911" t="str">
        <f>'RES TECH'!M2911</f>
        <v>RESHOULMOldLTCFLELCELC20</v>
      </c>
      <c r="G2911" s="4">
        <f>IF(SUMIFS('RES TECH'!N:N,'RES TECH'!M:M,C2911)&gt;0,1,0)</f>
        <v>1</v>
      </c>
      <c r="H2911" s="4">
        <f t="shared" si="45"/>
        <v>0</v>
      </c>
    </row>
    <row r="2912" spans="3:8" x14ac:dyDescent="0.25">
      <c r="C2912" t="str">
        <f>'RES TECH'!M2912</f>
        <v>RESHOULMOldLTCFLELCELC20</v>
      </c>
      <c r="G2912" s="4">
        <f>IF(SUMIFS('RES TECH'!N:N,'RES TECH'!M:M,C2912)&gt;0,1,0)</f>
        <v>1</v>
      </c>
      <c r="H2912" s="4">
        <f t="shared" si="45"/>
        <v>0</v>
      </c>
    </row>
    <row r="2913" spans="3:8" x14ac:dyDescent="0.25">
      <c r="C2913" t="str">
        <f>'RES TECH'!M2913</f>
        <v>RESHOULMOldLTCFLELCELC22</v>
      </c>
      <c r="G2913" s="4">
        <f>IF(SUMIFS('RES TECH'!N:N,'RES TECH'!M:M,C2913)&gt;0,1,0)</f>
        <v>1</v>
      </c>
      <c r="H2913" s="4">
        <f t="shared" si="45"/>
        <v>0</v>
      </c>
    </row>
    <row r="2914" spans="3:8" x14ac:dyDescent="0.25">
      <c r="C2914" t="str">
        <f>'RES TECH'!M2914</f>
        <v>RESHOULMOldLTCFLELCELC30</v>
      </c>
      <c r="G2914" s="4">
        <f>IF(SUMIFS('RES TECH'!N:N,'RES TECH'!M:M,C2914)&gt;0,1,0)</f>
        <v>1</v>
      </c>
      <c r="H2914" s="4">
        <f t="shared" si="45"/>
        <v>0</v>
      </c>
    </row>
    <row r="2915" spans="3:8" x14ac:dyDescent="0.25">
      <c r="C2915" t="str">
        <f>'RES TECH'!M2915</f>
        <v>RESHOULMOldLTCFLELCELC40</v>
      </c>
      <c r="G2915" s="4">
        <f>IF(SUMIFS('RES TECH'!N:N,'RES TECH'!M:M,C2915)&gt;0,1,0)</f>
        <v>1</v>
      </c>
      <c r="H2915" s="4">
        <f t="shared" si="45"/>
        <v>0</v>
      </c>
    </row>
    <row r="2916" spans="3:8" x14ac:dyDescent="0.25">
      <c r="C2916" t="str">
        <f>'RES TECH'!M2916</f>
        <v>RESHOULMOldLTLEDELCELC20</v>
      </c>
      <c r="G2916" s="4">
        <f>IF(SUMIFS('RES TECH'!N:N,'RES TECH'!M:M,C2916)&gt;0,1,0)</f>
        <v>1</v>
      </c>
      <c r="H2916" s="4">
        <f t="shared" si="45"/>
        <v>0</v>
      </c>
    </row>
    <row r="2917" spans="3:8" x14ac:dyDescent="0.25">
      <c r="C2917" t="str">
        <f>'RES TECH'!M2917</f>
        <v>RESHOULMOldLTLEDELCELC20</v>
      </c>
      <c r="G2917" s="4">
        <f>IF(SUMIFS('RES TECH'!N:N,'RES TECH'!M:M,C2917)&gt;0,1,0)</f>
        <v>1</v>
      </c>
      <c r="H2917" s="4">
        <f t="shared" si="45"/>
        <v>0</v>
      </c>
    </row>
    <row r="2918" spans="3:8" x14ac:dyDescent="0.25">
      <c r="C2918" t="str">
        <f>'RES TECH'!M2918</f>
        <v>RESHOULMOldLTLEDELCELC20</v>
      </c>
      <c r="G2918" s="4">
        <f>IF(SUMIFS('RES TECH'!N:N,'RES TECH'!M:M,C2918)&gt;0,1,0)</f>
        <v>1</v>
      </c>
      <c r="H2918" s="4">
        <f t="shared" si="45"/>
        <v>0</v>
      </c>
    </row>
    <row r="2919" spans="3:8" x14ac:dyDescent="0.25">
      <c r="C2919" t="str">
        <f>'RES TECH'!M2919</f>
        <v>RESHOULMOldLTLEDELCELC20</v>
      </c>
      <c r="G2919" s="4">
        <f>IF(SUMIFS('RES TECH'!N:N,'RES TECH'!M:M,C2919)&gt;0,1,0)</f>
        <v>1</v>
      </c>
      <c r="H2919" s="4">
        <f t="shared" si="45"/>
        <v>0</v>
      </c>
    </row>
    <row r="2920" spans="3:8" x14ac:dyDescent="0.25">
      <c r="C2920" t="str">
        <f>'RES TECH'!M2920</f>
        <v>RESHOULMOldLTLEDELCELC20</v>
      </c>
      <c r="G2920" s="4">
        <f>IF(SUMIFS('RES TECH'!N:N,'RES TECH'!M:M,C2920)&gt;0,1,0)</f>
        <v>1</v>
      </c>
      <c r="H2920" s="4">
        <f t="shared" si="45"/>
        <v>0</v>
      </c>
    </row>
    <row r="2921" spans="3:8" x14ac:dyDescent="0.25">
      <c r="C2921" t="str">
        <f>'RES TECH'!M2921</f>
        <v>RESHOULMOldLTLEDELCELC20</v>
      </c>
      <c r="G2921" s="4">
        <f>IF(SUMIFS('RES TECH'!N:N,'RES TECH'!M:M,C2921)&gt;0,1,0)</f>
        <v>1</v>
      </c>
      <c r="H2921" s="4">
        <f t="shared" si="45"/>
        <v>0</v>
      </c>
    </row>
    <row r="2922" spans="3:8" x14ac:dyDescent="0.25">
      <c r="C2922" t="str">
        <f>'RES TECH'!M2922</f>
        <v>RESHOULMOldLTLEDELCELC21</v>
      </c>
      <c r="G2922" s="4">
        <f>IF(SUMIFS('RES TECH'!N:N,'RES TECH'!M:M,C2922)&gt;0,1,0)</f>
        <v>1</v>
      </c>
      <c r="H2922" s="4">
        <f t="shared" si="45"/>
        <v>0</v>
      </c>
    </row>
    <row r="2923" spans="3:8" x14ac:dyDescent="0.25">
      <c r="C2923" t="str">
        <f>'RES TECH'!M2923</f>
        <v>RESHOULMOldLTLEDELCELC22</v>
      </c>
      <c r="G2923" s="4">
        <f>IF(SUMIFS('RES TECH'!N:N,'RES TECH'!M:M,C2923)&gt;0,1,0)</f>
        <v>1</v>
      </c>
      <c r="H2923" s="4">
        <f t="shared" si="45"/>
        <v>0</v>
      </c>
    </row>
    <row r="2924" spans="3:8" x14ac:dyDescent="0.25">
      <c r="C2924" t="str">
        <f>'RES TECH'!M2924</f>
        <v>RESHOULMOldLTLEDELCELC23</v>
      </c>
      <c r="G2924" s="4">
        <f>IF(SUMIFS('RES TECH'!N:N,'RES TECH'!M:M,C2924)&gt;0,1,0)</f>
        <v>1</v>
      </c>
      <c r="H2924" s="4">
        <f t="shared" si="45"/>
        <v>0</v>
      </c>
    </row>
    <row r="2925" spans="3:8" x14ac:dyDescent="0.25">
      <c r="C2925" t="str">
        <f>'RES TECH'!M2925</f>
        <v>RESHOULMOldLTLEDELCELC24</v>
      </c>
      <c r="G2925" s="4">
        <f>IF(SUMIFS('RES TECH'!N:N,'RES TECH'!M:M,C2925)&gt;0,1,0)</f>
        <v>1</v>
      </c>
      <c r="H2925" s="4">
        <f t="shared" si="45"/>
        <v>0</v>
      </c>
    </row>
    <row r="2926" spans="3:8" x14ac:dyDescent="0.25">
      <c r="C2926" t="str">
        <f>'RES TECH'!M2926</f>
        <v>RESHOULMOldLTLEDELCELC25</v>
      </c>
      <c r="G2926" s="4">
        <f>IF(SUMIFS('RES TECH'!N:N,'RES TECH'!M:M,C2926)&gt;0,1,0)</f>
        <v>1</v>
      </c>
      <c r="H2926" s="4">
        <f t="shared" si="45"/>
        <v>0</v>
      </c>
    </row>
    <row r="2927" spans="3:8" x14ac:dyDescent="0.25">
      <c r="C2927" t="str">
        <f>'RES TECH'!M2927</f>
        <v>RESHOULMOldLTLEDELCELC30</v>
      </c>
      <c r="G2927" s="4">
        <f>IF(SUMIFS('RES TECH'!N:N,'RES TECH'!M:M,C2927)&gt;0,1,0)</f>
        <v>1</v>
      </c>
      <c r="H2927" s="4">
        <f t="shared" si="45"/>
        <v>0</v>
      </c>
    </row>
    <row r="2928" spans="3:8" x14ac:dyDescent="0.25">
      <c r="C2928" t="str">
        <f>'RES TECH'!M2928</f>
        <v>RESHOULMOldLTLEDELCELC40</v>
      </c>
      <c r="G2928" s="4">
        <f>IF(SUMIFS('RES TECH'!N:N,'RES TECH'!M:M,C2928)&gt;0,1,0)</f>
        <v>1</v>
      </c>
      <c r="H2928" s="4">
        <f t="shared" si="45"/>
        <v>0</v>
      </c>
    </row>
    <row r="2929" spans="3:8" x14ac:dyDescent="0.25">
      <c r="C2929" t="str">
        <f>'RES TECH'!M2929</f>
        <v>RESHOULMOldLTINCELCELC20</v>
      </c>
      <c r="G2929" s="4">
        <f>IF(SUMIFS('RES TECH'!N:N,'RES TECH'!M:M,C2929)&gt;0,1,0)</f>
        <v>1</v>
      </c>
      <c r="H2929" s="4">
        <f t="shared" si="45"/>
        <v>0</v>
      </c>
    </row>
    <row r="2930" spans="3:8" x14ac:dyDescent="0.25">
      <c r="C2930" t="str">
        <f>'RES TECH'!M2930</f>
        <v>RESHOULMOldLTINCELCELC22</v>
      </c>
      <c r="G2930" s="4">
        <f>IF(SUMIFS('RES TECH'!N:N,'RES TECH'!M:M,C2930)&gt;0,1,0)</f>
        <v>1</v>
      </c>
      <c r="H2930" s="4">
        <f t="shared" si="45"/>
        <v>0</v>
      </c>
    </row>
    <row r="2931" spans="3:8" x14ac:dyDescent="0.25">
      <c r="C2931" t="str">
        <f>'RES TECH'!M2931</f>
        <v>RESHOULMOldLTFLUT12ELC20</v>
      </c>
      <c r="G2931" s="4">
        <f>IF(SUMIFS('RES TECH'!N:N,'RES TECH'!M:M,C2931)&gt;0,1,0)</f>
        <v>1</v>
      </c>
      <c r="H2931" s="4">
        <f t="shared" si="45"/>
        <v>0</v>
      </c>
    </row>
    <row r="2932" spans="3:8" x14ac:dyDescent="0.25">
      <c r="C2932" t="str">
        <f>'RES TECH'!M2932</f>
        <v>RESHOULMOldLTFLUT8ELC20</v>
      </c>
      <c r="G2932" s="4">
        <f>IF(SUMIFS('RES TECH'!N:N,'RES TECH'!M:M,C2932)&gt;0,1,0)</f>
        <v>1</v>
      </c>
      <c r="H2932" s="4">
        <f t="shared" si="45"/>
        <v>0</v>
      </c>
    </row>
    <row r="2933" spans="3:8" x14ac:dyDescent="0.25">
      <c r="C2933" t="str">
        <f>'RES TECH'!M2933</f>
        <v>RESHOULMOldLTFLUT8ELC20</v>
      </c>
      <c r="G2933" s="4">
        <f>IF(SUMIFS('RES TECH'!N:N,'RES TECH'!M:M,C2933)&gt;0,1,0)</f>
        <v>1</v>
      </c>
      <c r="H2933" s="4">
        <f t="shared" si="45"/>
        <v>0</v>
      </c>
    </row>
    <row r="2934" spans="3:8" x14ac:dyDescent="0.25">
      <c r="C2934" t="str">
        <f>'RES TECH'!M2934</f>
        <v>RESHOULMOldLTFLUT8ELC22</v>
      </c>
      <c r="G2934" s="4">
        <f>IF(SUMIFS('RES TECH'!N:N,'RES TECH'!M:M,C2934)&gt;0,1,0)</f>
        <v>1</v>
      </c>
      <c r="H2934" s="4">
        <f t="shared" si="45"/>
        <v>0</v>
      </c>
    </row>
    <row r="2935" spans="3:8" x14ac:dyDescent="0.25">
      <c r="C2935" t="str">
        <f>'RES TECH'!M2935</f>
        <v>RESHOULMOldLTFLUT8ELC30</v>
      </c>
      <c r="G2935" s="4">
        <f>IF(SUMIFS('RES TECH'!N:N,'RES TECH'!M:M,C2935)&gt;0,1,0)</f>
        <v>1</v>
      </c>
      <c r="H2935" s="4">
        <f t="shared" si="45"/>
        <v>0</v>
      </c>
    </row>
    <row r="2936" spans="3:8" x14ac:dyDescent="0.25">
      <c r="C2936" t="str">
        <f>'RES TECH'!M2936</f>
        <v>RESHOULMOldLTFLUT8ELC40</v>
      </c>
      <c r="G2936" s="4">
        <f>IF(SUMIFS('RES TECH'!N:N,'RES TECH'!M:M,C2936)&gt;0,1,0)</f>
        <v>1</v>
      </c>
      <c r="H2936" s="4">
        <f t="shared" si="45"/>
        <v>0</v>
      </c>
    </row>
    <row r="2937" spans="3:8" x14ac:dyDescent="0.25">
      <c r="C2937" t="str">
        <f>'RES TECH'!M2937</f>
        <v>RESAPAUMOldLTHALELC20</v>
      </c>
      <c r="G2937" s="4">
        <f>IF(SUMIFS('RES TECH'!N:N,'RES TECH'!M:M,C2937)&gt;0,1,0)</f>
        <v>1</v>
      </c>
      <c r="H2937" s="4">
        <f t="shared" si="45"/>
        <v>0</v>
      </c>
    </row>
    <row r="2938" spans="3:8" x14ac:dyDescent="0.25">
      <c r="C2938" t="str">
        <f>'RES TECH'!M2938</f>
        <v>RESAPAUMOldLTHALELC20</v>
      </c>
      <c r="G2938" s="4">
        <f>IF(SUMIFS('RES TECH'!N:N,'RES TECH'!M:M,C2938)&gt;0,1,0)</f>
        <v>1</v>
      </c>
      <c r="H2938" s="4">
        <f t="shared" si="45"/>
        <v>0</v>
      </c>
    </row>
    <row r="2939" spans="3:8" x14ac:dyDescent="0.25">
      <c r="C2939" t="str">
        <f>'RES TECH'!M2939</f>
        <v>RESAPAUMOldLTHALELC22</v>
      </c>
      <c r="G2939" s="4">
        <f>IF(SUMIFS('RES TECH'!N:N,'RES TECH'!M:M,C2939)&gt;0,1,0)</f>
        <v>1</v>
      </c>
      <c r="H2939" s="4">
        <f t="shared" si="45"/>
        <v>0</v>
      </c>
    </row>
    <row r="2940" spans="3:8" x14ac:dyDescent="0.25">
      <c r="C2940" t="str">
        <f>'RES TECH'!M2940</f>
        <v>RESAPAUMOldLTCFLELCELC20</v>
      </c>
      <c r="G2940" s="4">
        <f>IF(SUMIFS('RES TECH'!N:N,'RES TECH'!M:M,C2940)&gt;0,1,0)</f>
        <v>1</v>
      </c>
      <c r="H2940" s="4">
        <f t="shared" si="45"/>
        <v>0</v>
      </c>
    </row>
    <row r="2941" spans="3:8" x14ac:dyDescent="0.25">
      <c r="C2941" t="str">
        <f>'RES TECH'!M2941</f>
        <v>RESAPAUMOldLTCFLELCELC20</v>
      </c>
      <c r="G2941" s="4">
        <f>IF(SUMIFS('RES TECH'!N:N,'RES TECH'!M:M,C2941)&gt;0,1,0)</f>
        <v>1</v>
      </c>
      <c r="H2941" s="4">
        <f t="shared" si="45"/>
        <v>0</v>
      </c>
    </row>
    <row r="2942" spans="3:8" x14ac:dyDescent="0.25">
      <c r="C2942" t="str">
        <f>'RES TECH'!M2942</f>
        <v>RESAPAUMOldLTCFLELCELC22</v>
      </c>
      <c r="G2942" s="4">
        <f>IF(SUMIFS('RES TECH'!N:N,'RES TECH'!M:M,C2942)&gt;0,1,0)</f>
        <v>1</v>
      </c>
      <c r="H2942" s="4">
        <f t="shared" si="45"/>
        <v>0</v>
      </c>
    </row>
    <row r="2943" spans="3:8" x14ac:dyDescent="0.25">
      <c r="C2943" t="str">
        <f>'RES TECH'!M2943</f>
        <v>RESAPAUMOldLTCFLELCELC30</v>
      </c>
      <c r="G2943" s="4">
        <f>IF(SUMIFS('RES TECH'!N:N,'RES TECH'!M:M,C2943)&gt;0,1,0)</f>
        <v>1</v>
      </c>
      <c r="H2943" s="4">
        <f t="shared" si="45"/>
        <v>0</v>
      </c>
    </row>
    <row r="2944" spans="3:8" x14ac:dyDescent="0.25">
      <c r="C2944" t="str">
        <f>'RES TECH'!M2944</f>
        <v>RESAPAUMOldLTCFLELCELC40</v>
      </c>
      <c r="G2944" s="4">
        <f>IF(SUMIFS('RES TECH'!N:N,'RES TECH'!M:M,C2944)&gt;0,1,0)</f>
        <v>1</v>
      </c>
      <c r="H2944" s="4">
        <f t="shared" si="45"/>
        <v>0</v>
      </c>
    </row>
    <row r="2945" spans="3:8" x14ac:dyDescent="0.25">
      <c r="C2945" t="str">
        <f>'RES TECH'!M2945</f>
        <v>RESAPAUMOldLTLEDELCELC20</v>
      </c>
      <c r="G2945" s="4">
        <f>IF(SUMIFS('RES TECH'!N:N,'RES TECH'!M:M,C2945)&gt;0,1,0)</f>
        <v>1</v>
      </c>
      <c r="H2945" s="4">
        <f t="shared" si="45"/>
        <v>0</v>
      </c>
    </row>
    <row r="2946" spans="3:8" x14ac:dyDescent="0.25">
      <c r="C2946" t="str">
        <f>'RES TECH'!M2946</f>
        <v>RESAPAUMOldLTLEDELCELC20</v>
      </c>
      <c r="G2946" s="4">
        <f>IF(SUMIFS('RES TECH'!N:N,'RES TECH'!M:M,C2946)&gt;0,1,0)</f>
        <v>1</v>
      </c>
      <c r="H2946" s="4">
        <f t="shared" si="45"/>
        <v>0</v>
      </c>
    </row>
    <row r="2947" spans="3:8" x14ac:dyDescent="0.25">
      <c r="C2947" t="str">
        <f>'RES TECH'!M2947</f>
        <v>RESAPAUMOldLTLEDELCELC20</v>
      </c>
      <c r="G2947" s="4">
        <f>IF(SUMIFS('RES TECH'!N:N,'RES TECH'!M:M,C2947)&gt;0,1,0)</f>
        <v>1</v>
      </c>
      <c r="H2947" s="4">
        <f t="shared" si="45"/>
        <v>0</v>
      </c>
    </row>
    <row r="2948" spans="3:8" x14ac:dyDescent="0.25">
      <c r="C2948" t="str">
        <f>'RES TECH'!M2948</f>
        <v>RESAPAUMOldLTLEDELCELC20</v>
      </c>
      <c r="G2948" s="4">
        <f>IF(SUMIFS('RES TECH'!N:N,'RES TECH'!M:M,C2948)&gt;0,1,0)</f>
        <v>1</v>
      </c>
      <c r="H2948" s="4">
        <f t="shared" si="45"/>
        <v>0</v>
      </c>
    </row>
    <row r="2949" spans="3:8" x14ac:dyDescent="0.25">
      <c r="C2949" t="str">
        <f>'RES TECH'!M2949</f>
        <v>RESAPAUMOldLTLEDELCELC20</v>
      </c>
      <c r="G2949" s="4">
        <f>IF(SUMIFS('RES TECH'!N:N,'RES TECH'!M:M,C2949)&gt;0,1,0)</f>
        <v>1</v>
      </c>
      <c r="H2949" s="4">
        <f t="shared" ref="H2949:H3012" si="46">IF(C2949="","",IF(C2949="*","*",0))</f>
        <v>0</v>
      </c>
    </row>
    <row r="2950" spans="3:8" x14ac:dyDescent="0.25">
      <c r="C2950" t="str">
        <f>'RES TECH'!M2950</f>
        <v>RESAPAUMOldLTLEDELCELC20</v>
      </c>
      <c r="G2950" s="4">
        <f>IF(SUMIFS('RES TECH'!N:N,'RES TECH'!M:M,C2950)&gt;0,1,0)</f>
        <v>1</v>
      </c>
      <c r="H2950" s="4">
        <f t="shared" si="46"/>
        <v>0</v>
      </c>
    </row>
    <row r="2951" spans="3:8" x14ac:dyDescent="0.25">
      <c r="C2951" t="str">
        <f>'RES TECH'!M2951</f>
        <v>RESAPAUMOldLTLEDELCELC21</v>
      </c>
      <c r="G2951" s="4">
        <f>IF(SUMIFS('RES TECH'!N:N,'RES TECH'!M:M,C2951)&gt;0,1,0)</f>
        <v>1</v>
      </c>
      <c r="H2951" s="4">
        <f t="shared" si="46"/>
        <v>0</v>
      </c>
    </row>
    <row r="2952" spans="3:8" x14ac:dyDescent="0.25">
      <c r="C2952" t="str">
        <f>'RES TECH'!M2952</f>
        <v>RESAPAUMOldLTLEDELCELC22</v>
      </c>
      <c r="G2952" s="4">
        <f>IF(SUMIFS('RES TECH'!N:N,'RES TECH'!M:M,C2952)&gt;0,1,0)</f>
        <v>1</v>
      </c>
      <c r="H2952" s="4">
        <f t="shared" si="46"/>
        <v>0</v>
      </c>
    </row>
    <row r="2953" spans="3:8" x14ac:dyDescent="0.25">
      <c r="C2953" t="str">
        <f>'RES TECH'!M2953</f>
        <v>RESAPAUMOldLTLEDELCELC23</v>
      </c>
      <c r="G2953" s="4">
        <f>IF(SUMIFS('RES TECH'!N:N,'RES TECH'!M:M,C2953)&gt;0,1,0)</f>
        <v>1</v>
      </c>
      <c r="H2953" s="4">
        <f t="shared" si="46"/>
        <v>0</v>
      </c>
    </row>
    <row r="2954" spans="3:8" x14ac:dyDescent="0.25">
      <c r="C2954" t="str">
        <f>'RES TECH'!M2954</f>
        <v>RESAPAUMOldLTLEDELCELC24</v>
      </c>
      <c r="G2954" s="4">
        <f>IF(SUMIFS('RES TECH'!N:N,'RES TECH'!M:M,C2954)&gt;0,1,0)</f>
        <v>1</v>
      </c>
      <c r="H2954" s="4">
        <f t="shared" si="46"/>
        <v>0</v>
      </c>
    </row>
    <row r="2955" spans="3:8" x14ac:dyDescent="0.25">
      <c r="C2955" t="str">
        <f>'RES TECH'!M2955</f>
        <v>RESAPAUMOldLTLEDELCELC25</v>
      </c>
      <c r="G2955" s="4">
        <f>IF(SUMIFS('RES TECH'!N:N,'RES TECH'!M:M,C2955)&gt;0,1,0)</f>
        <v>1</v>
      </c>
      <c r="H2955" s="4">
        <f t="shared" si="46"/>
        <v>0</v>
      </c>
    </row>
    <row r="2956" spans="3:8" x14ac:dyDescent="0.25">
      <c r="C2956" t="str">
        <f>'RES TECH'!M2956</f>
        <v>RESAPAUMOldLTLEDELCELC30</v>
      </c>
      <c r="G2956" s="4">
        <f>IF(SUMIFS('RES TECH'!N:N,'RES TECH'!M:M,C2956)&gt;0,1,0)</f>
        <v>1</v>
      </c>
      <c r="H2956" s="4">
        <f t="shared" si="46"/>
        <v>0</v>
      </c>
    </row>
    <row r="2957" spans="3:8" x14ac:dyDescent="0.25">
      <c r="C2957" t="str">
        <f>'RES TECH'!M2957</f>
        <v>RESAPAUMOldLTLEDELCELC40</v>
      </c>
      <c r="G2957" s="4">
        <f>IF(SUMIFS('RES TECH'!N:N,'RES TECH'!M:M,C2957)&gt;0,1,0)</f>
        <v>1</v>
      </c>
      <c r="H2957" s="4">
        <f t="shared" si="46"/>
        <v>0</v>
      </c>
    </row>
    <row r="2958" spans="3:8" x14ac:dyDescent="0.25">
      <c r="C2958" t="str">
        <f>'RES TECH'!M2958</f>
        <v>RESAPAUMOldLTINCELCELC20</v>
      </c>
      <c r="G2958" s="4">
        <f>IF(SUMIFS('RES TECH'!N:N,'RES TECH'!M:M,C2958)&gt;0,1,0)</f>
        <v>1</v>
      </c>
      <c r="H2958" s="4">
        <f t="shared" si="46"/>
        <v>0</v>
      </c>
    </row>
    <row r="2959" spans="3:8" x14ac:dyDescent="0.25">
      <c r="C2959" t="str">
        <f>'RES TECH'!M2959</f>
        <v>RESAPAUMOldLTINCELCELC22</v>
      </c>
      <c r="G2959" s="4">
        <f>IF(SUMIFS('RES TECH'!N:N,'RES TECH'!M:M,C2959)&gt;0,1,0)</f>
        <v>1</v>
      </c>
      <c r="H2959" s="4">
        <f t="shared" si="46"/>
        <v>0</v>
      </c>
    </row>
    <row r="2960" spans="3:8" x14ac:dyDescent="0.25">
      <c r="C2960" t="str">
        <f>'RES TECH'!M2960</f>
        <v>RESAPAUMOldLTFLUT12ELC20</v>
      </c>
      <c r="G2960" s="4">
        <f>IF(SUMIFS('RES TECH'!N:N,'RES TECH'!M:M,C2960)&gt;0,1,0)</f>
        <v>1</v>
      </c>
      <c r="H2960" s="4">
        <f t="shared" si="46"/>
        <v>0</v>
      </c>
    </row>
    <row r="2961" spans="3:8" x14ac:dyDescent="0.25">
      <c r="C2961" t="str">
        <f>'RES TECH'!M2961</f>
        <v>RESAPAUMOldLTFLUT8ELC20</v>
      </c>
      <c r="G2961" s="4">
        <f>IF(SUMIFS('RES TECH'!N:N,'RES TECH'!M:M,C2961)&gt;0,1,0)</f>
        <v>1</v>
      </c>
      <c r="H2961" s="4">
        <f t="shared" si="46"/>
        <v>0</v>
      </c>
    </row>
    <row r="2962" spans="3:8" x14ac:dyDescent="0.25">
      <c r="C2962" t="str">
        <f>'RES TECH'!M2962</f>
        <v>RESAPAUMOldLTFLUT8ELC20</v>
      </c>
      <c r="G2962" s="4">
        <f>IF(SUMIFS('RES TECH'!N:N,'RES TECH'!M:M,C2962)&gt;0,1,0)</f>
        <v>1</v>
      </c>
      <c r="H2962" s="4">
        <f t="shared" si="46"/>
        <v>0</v>
      </c>
    </row>
    <row r="2963" spans="3:8" x14ac:dyDescent="0.25">
      <c r="C2963" t="str">
        <f>'RES TECH'!M2963</f>
        <v>RESAPAUMOldLTFLUT8ELC22</v>
      </c>
      <c r="G2963" s="4">
        <f>IF(SUMIFS('RES TECH'!N:N,'RES TECH'!M:M,C2963)&gt;0,1,0)</f>
        <v>1</v>
      </c>
      <c r="H2963" s="4">
        <f t="shared" si="46"/>
        <v>0</v>
      </c>
    </row>
    <row r="2964" spans="3:8" x14ac:dyDescent="0.25">
      <c r="C2964" t="str">
        <f>'RES TECH'!M2964</f>
        <v>RESAPAUMOldLTFLUT8ELC30</v>
      </c>
      <c r="G2964" s="4">
        <f>IF(SUMIFS('RES TECH'!N:N,'RES TECH'!M:M,C2964)&gt;0,1,0)</f>
        <v>1</v>
      </c>
      <c r="H2964" s="4">
        <f t="shared" si="46"/>
        <v>0</v>
      </c>
    </row>
    <row r="2965" spans="3:8" x14ac:dyDescent="0.25">
      <c r="C2965" t="str">
        <f>'RES TECH'!M2965</f>
        <v>RESAPAUMOldLTFLUT8ELC40</v>
      </c>
      <c r="G2965" s="4">
        <f>IF(SUMIFS('RES TECH'!N:N,'RES TECH'!M:M,C2965)&gt;0,1,0)</f>
        <v>1</v>
      </c>
      <c r="H2965" s="4">
        <f t="shared" si="46"/>
        <v>0</v>
      </c>
    </row>
    <row r="2966" spans="3:8" x14ac:dyDescent="0.25">
      <c r="C2966" t="str">
        <f>'RES TECH'!M2966</f>
        <v>RESHOUUMOldLTHALELC20</v>
      </c>
      <c r="G2966" s="4">
        <f>IF(SUMIFS('RES TECH'!N:N,'RES TECH'!M:M,C2966)&gt;0,1,0)</f>
        <v>1</v>
      </c>
      <c r="H2966" s="4">
        <f t="shared" si="46"/>
        <v>0</v>
      </c>
    </row>
    <row r="2967" spans="3:8" x14ac:dyDescent="0.25">
      <c r="C2967" t="str">
        <f>'RES TECH'!M2967</f>
        <v>RESHOUUMOldLTHALELC20</v>
      </c>
      <c r="G2967" s="4">
        <f>IF(SUMIFS('RES TECH'!N:N,'RES TECH'!M:M,C2967)&gt;0,1,0)</f>
        <v>1</v>
      </c>
      <c r="H2967" s="4">
        <f t="shared" si="46"/>
        <v>0</v>
      </c>
    </row>
    <row r="2968" spans="3:8" x14ac:dyDescent="0.25">
      <c r="C2968" t="str">
        <f>'RES TECH'!M2968</f>
        <v>RESHOUUMOldLTHALELC22</v>
      </c>
      <c r="G2968" s="4">
        <f>IF(SUMIFS('RES TECH'!N:N,'RES TECH'!M:M,C2968)&gt;0,1,0)</f>
        <v>1</v>
      </c>
      <c r="H2968" s="4">
        <f t="shared" si="46"/>
        <v>0</v>
      </c>
    </row>
    <row r="2969" spans="3:8" x14ac:dyDescent="0.25">
      <c r="C2969" t="str">
        <f>'RES TECH'!M2969</f>
        <v>RESHOUUMOldLTCFLELCELC20</v>
      </c>
      <c r="G2969" s="4">
        <f>IF(SUMIFS('RES TECH'!N:N,'RES TECH'!M:M,C2969)&gt;0,1,0)</f>
        <v>1</v>
      </c>
      <c r="H2969" s="4">
        <f t="shared" si="46"/>
        <v>0</v>
      </c>
    </row>
    <row r="2970" spans="3:8" x14ac:dyDescent="0.25">
      <c r="C2970" t="str">
        <f>'RES TECH'!M2970</f>
        <v>RESHOUUMOldLTCFLELCELC20</v>
      </c>
      <c r="G2970" s="4">
        <f>IF(SUMIFS('RES TECH'!N:N,'RES TECH'!M:M,C2970)&gt;0,1,0)</f>
        <v>1</v>
      </c>
      <c r="H2970" s="4">
        <f t="shared" si="46"/>
        <v>0</v>
      </c>
    </row>
    <row r="2971" spans="3:8" x14ac:dyDescent="0.25">
      <c r="C2971" t="str">
        <f>'RES TECH'!M2971</f>
        <v>RESHOUUMOldLTCFLELCELC22</v>
      </c>
      <c r="G2971" s="4">
        <f>IF(SUMIFS('RES TECH'!N:N,'RES TECH'!M:M,C2971)&gt;0,1,0)</f>
        <v>1</v>
      </c>
      <c r="H2971" s="4">
        <f t="shared" si="46"/>
        <v>0</v>
      </c>
    </row>
    <row r="2972" spans="3:8" x14ac:dyDescent="0.25">
      <c r="C2972" t="str">
        <f>'RES TECH'!M2972</f>
        <v>RESHOUUMOldLTCFLELCELC30</v>
      </c>
      <c r="G2972" s="4">
        <f>IF(SUMIFS('RES TECH'!N:N,'RES TECH'!M:M,C2972)&gt;0,1,0)</f>
        <v>1</v>
      </c>
      <c r="H2972" s="4">
        <f t="shared" si="46"/>
        <v>0</v>
      </c>
    </row>
    <row r="2973" spans="3:8" x14ac:dyDescent="0.25">
      <c r="C2973" t="str">
        <f>'RES TECH'!M2973</f>
        <v>RESHOUUMOldLTCFLELCELC40</v>
      </c>
      <c r="G2973" s="4">
        <f>IF(SUMIFS('RES TECH'!N:N,'RES TECH'!M:M,C2973)&gt;0,1,0)</f>
        <v>1</v>
      </c>
      <c r="H2973" s="4">
        <f t="shared" si="46"/>
        <v>0</v>
      </c>
    </row>
    <row r="2974" spans="3:8" x14ac:dyDescent="0.25">
      <c r="C2974" t="str">
        <f>'RES TECH'!M2974</f>
        <v>RESHOUUMOldLTLEDELCELC20</v>
      </c>
      <c r="G2974" s="4">
        <f>IF(SUMIFS('RES TECH'!N:N,'RES TECH'!M:M,C2974)&gt;0,1,0)</f>
        <v>1</v>
      </c>
      <c r="H2974" s="4">
        <f t="shared" si="46"/>
        <v>0</v>
      </c>
    </row>
    <row r="2975" spans="3:8" x14ac:dyDescent="0.25">
      <c r="C2975" t="str">
        <f>'RES TECH'!M2975</f>
        <v>RESHOUUMOldLTLEDELCELC20</v>
      </c>
      <c r="G2975" s="4">
        <f>IF(SUMIFS('RES TECH'!N:N,'RES TECH'!M:M,C2975)&gt;0,1,0)</f>
        <v>1</v>
      </c>
      <c r="H2975" s="4">
        <f t="shared" si="46"/>
        <v>0</v>
      </c>
    </row>
    <row r="2976" spans="3:8" x14ac:dyDescent="0.25">
      <c r="C2976" t="str">
        <f>'RES TECH'!M2976</f>
        <v>RESHOUUMOldLTLEDELCELC20</v>
      </c>
      <c r="G2976" s="4">
        <f>IF(SUMIFS('RES TECH'!N:N,'RES TECH'!M:M,C2976)&gt;0,1,0)</f>
        <v>1</v>
      </c>
      <c r="H2976" s="4">
        <f t="shared" si="46"/>
        <v>0</v>
      </c>
    </row>
    <row r="2977" spans="3:8" x14ac:dyDescent="0.25">
      <c r="C2977" t="str">
        <f>'RES TECH'!M2977</f>
        <v>RESHOUUMOldLTLEDELCELC20</v>
      </c>
      <c r="G2977" s="4">
        <f>IF(SUMIFS('RES TECH'!N:N,'RES TECH'!M:M,C2977)&gt;0,1,0)</f>
        <v>1</v>
      </c>
      <c r="H2977" s="4">
        <f t="shared" si="46"/>
        <v>0</v>
      </c>
    </row>
    <row r="2978" spans="3:8" x14ac:dyDescent="0.25">
      <c r="C2978" t="str">
        <f>'RES TECH'!M2978</f>
        <v>RESHOUUMOldLTLEDELCELC20</v>
      </c>
      <c r="G2978" s="4">
        <f>IF(SUMIFS('RES TECH'!N:N,'RES TECH'!M:M,C2978)&gt;0,1,0)</f>
        <v>1</v>
      </c>
      <c r="H2978" s="4">
        <f t="shared" si="46"/>
        <v>0</v>
      </c>
    </row>
    <row r="2979" spans="3:8" x14ac:dyDescent="0.25">
      <c r="C2979" t="str">
        <f>'RES TECH'!M2979</f>
        <v>RESHOUUMOldLTLEDELCELC20</v>
      </c>
      <c r="G2979" s="4">
        <f>IF(SUMIFS('RES TECH'!N:N,'RES TECH'!M:M,C2979)&gt;0,1,0)</f>
        <v>1</v>
      </c>
      <c r="H2979" s="4">
        <f t="shared" si="46"/>
        <v>0</v>
      </c>
    </row>
    <row r="2980" spans="3:8" x14ac:dyDescent="0.25">
      <c r="C2980" t="str">
        <f>'RES TECH'!M2980</f>
        <v>RESHOUUMOldLTLEDELCELC21</v>
      </c>
      <c r="G2980" s="4">
        <f>IF(SUMIFS('RES TECH'!N:N,'RES TECH'!M:M,C2980)&gt;0,1,0)</f>
        <v>1</v>
      </c>
      <c r="H2980" s="4">
        <f t="shared" si="46"/>
        <v>0</v>
      </c>
    </row>
    <row r="2981" spans="3:8" x14ac:dyDescent="0.25">
      <c r="C2981" t="str">
        <f>'RES TECH'!M2981</f>
        <v>RESHOUUMOldLTLEDELCELC22</v>
      </c>
      <c r="G2981" s="4">
        <f>IF(SUMIFS('RES TECH'!N:N,'RES TECH'!M:M,C2981)&gt;0,1,0)</f>
        <v>1</v>
      </c>
      <c r="H2981" s="4">
        <f t="shared" si="46"/>
        <v>0</v>
      </c>
    </row>
    <row r="2982" spans="3:8" x14ac:dyDescent="0.25">
      <c r="C2982" t="str">
        <f>'RES TECH'!M2982</f>
        <v>RESHOUUMOldLTLEDELCELC23</v>
      </c>
      <c r="G2982" s="4">
        <f>IF(SUMIFS('RES TECH'!N:N,'RES TECH'!M:M,C2982)&gt;0,1,0)</f>
        <v>1</v>
      </c>
      <c r="H2982" s="4">
        <f t="shared" si="46"/>
        <v>0</v>
      </c>
    </row>
    <row r="2983" spans="3:8" x14ac:dyDescent="0.25">
      <c r="C2983" t="str">
        <f>'RES TECH'!M2983</f>
        <v>RESHOUUMOldLTLEDELCELC24</v>
      </c>
      <c r="G2983" s="4">
        <f>IF(SUMIFS('RES TECH'!N:N,'RES TECH'!M:M,C2983)&gt;0,1,0)</f>
        <v>1</v>
      </c>
      <c r="H2983" s="4">
        <f t="shared" si="46"/>
        <v>0</v>
      </c>
    </row>
    <row r="2984" spans="3:8" x14ac:dyDescent="0.25">
      <c r="C2984" t="str">
        <f>'RES TECH'!M2984</f>
        <v>RESHOUUMOldLTLEDELCELC25</v>
      </c>
      <c r="G2984" s="4">
        <f>IF(SUMIFS('RES TECH'!N:N,'RES TECH'!M:M,C2984)&gt;0,1,0)</f>
        <v>1</v>
      </c>
      <c r="H2984" s="4">
        <f t="shared" si="46"/>
        <v>0</v>
      </c>
    </row>
    <row r="2985" spans="3:8" x14ac:dyDescent="0.25">
      <c r="C2985" t="str">
        <f>'RES TECH'!M2985</f>
        <v>RESHOUUMOldLTLEDELCELC30</v>
      </c>
      <c r="G2985" s="4">
        <f>IF(SUMIFS('RES TECH'!N:N,'RES TECH'!M:M,C2985)&gt;0,1,0)</f>
        <v>1</v>
      </c>
      <c r="H2985" s="4">
        <f t="shared" si="46"/>
        <v>0</v>
      </c>
    </row>
    <row r="2986" spans="3:8" x14ac:dyDescent="0.25">
      <c r="C2986" t="str">
        <f>'RES TECH'!M2986</f>
        <v>RESHOUUMOldLTLEDELCELC40</v>
      </c>
      <c r="G2986" s="4">
        <f>IF(SUMIFS('RES TECH'!N:N,'RES TECH'!M:M,C2986)&gt;0,1,0)</f>
        <v>1</v>
      </c>
      <c r="H2986" s="4">
        <f t="shared" si="46"/>
        <v>0</v>
      </c>
    </row>
    <row r="2987" spans="3:8" x14ac:dyDescent="0.25">
      <c r="C2987" t="str">
        <f>'RES TECH'!M2987</f>
        <v>RESHOUUMOldLTINCELCELC20</v>
      </c>
      <c r="G2987" s="4">
        <f>IF(SUMIFS('RES TECH'!N:N,'RES TECH'!M:M,C2987)&gt;0,1,0)</f>
        <v>1</v>
      </c>
      <c r="H2987" s="4">
        <f t="shared" si="46"/>
        <v>0</v>
      </c>
    </row>
    <row r="2988" spans="3:8" x14ac:dyDescent="0.25">
      <c r="C2988" t="str">
        <f>'RES TECH'!M2988</f>
        <v>RESHOUUMOldLTINCELCELC22</v>
      </c>
      <c r="G2988" s="4">
        <f>IF(SUMIFS('RES TECH'!N:N,'RES TECH'!M:M,C2988)&gt;0,1,0)</f>
        <v>1</v>
      </c>
      <c r="H2988" s="4">
        <f t="shared" si="46"/>
        <v>0</v>
      </c>
    </row>
    <row r="2989" spans="3:8" x14ac:dyDescent="0.25">
      <c r="C2989" t="str">
        <f>'RES TECH'!M2989</f>
        <v>RESHOUUMOldLTFLUT12ELC20</v>
      </c>
      <c r="G2989" s="4">
        <f>IF(SUMIFS('RES TECH'!N:N,'RES TECH'!M:M,C2989)&gt;0,1,0)</f>
        <v>1</v>
      </c>
      <c r="H2989" s="4">
        <f t="shared" si="46"/>
        <v>0</v>
      </c>
    </row>
    <row r="2990" spans="3:8" x14ac:dyDescent="0.25">
      <c r="C2990" t="str">
        <f>'RES TECH'!M2990</f>
        <v>RESHOUUMOldLTFLUT8ELC20</v>
      </c>
      <c r="G2990" s="4">
        <f>IF(SUMIFS('RES TECH'!N:N,'RES TECH'!M:M,C2990)&gt;0,1,0)</f>
        <v>1</v>
      </c>
      <c r="H2990" s="4">
        <f t="shared" si="46"/>
        <v>0</v>
      </c>
    </row>
    <row r="2991" spans="3:8" x14ac:dyDescent="0.25">
      <c r="C2991" t="str">
        <f>'RES TECH'!M2991</f>
        <v>RESHOUUMOldLTFLUT8ELC20</v>
      </c>
      <c r="G2991" s="4">
        <f>IF(SUMIFS('RES TECH'!N:N,'RES TECH'!M:M,C2991)&gt;0,1,0)</f>
        <v>1</v>
      </c>
      <c r="H2991" s="4">
        <f t="shared" si="46"/>
        <v>0</v>
      </c>
    </row>
    <row r="2992" spans="3:8" x14ac:dyDescent="0.25">
      <c r="C2992" t="str">
        <f>'RES TECH'!M2992</f>
        <v>RESHOUUMOldLTFLUT8ELC22</v>
      </c>
      <c r="G2992" s="4">
        <f>IF(SUMIFS('RES TECH'!N:N,'RES TECH'!M:M,C2992)&gt;0,1,0)</f>
        <v>1</v>
      </c>
      <c r="H2992" s="4">
        <f t="shared" si="46"/>
        <v>0</v>
      </c>
    </row>
    <row r="2993" spans="3:8" x14ac:dyDescent="0.25">
      <c r="C2993" t="str">
        <f>'RES TECH'!M2993</f>
        <v>RESHOUUMOldLTFLUT8ELC30</v>
      </c>
      <c r="G2993" s="4">
        <f>IF(SUMIFS('RES TECH'!N:N,'RES TECH'!M:M,C2993)&gt;0,1,0)</f>
        <v>1</v>
      </c>
      <c r="H2993" s="4">
        <f t="shared" si="46"/>
        <v>0</v>
      </c>
    </row>
    <row r="2994" spans="3:8" x14ac:dyDescent="0.25">
      <c r="C2994" t="str">
        <f>'RES TECH'!M2994</f>
        <v>RESHOUUMOldLTFLUT8ELC40</v>
      </c>
      <c r="G2994" s="4">
        <f>IF(SUMIFS('RES TECH'!N:N,'RES TECH'!M:M,C2994)&gt;0,1,0)</f>
        <v>1</v>
      </c>
      <c r="H2994" s="4">
        <f t="shared" si="46"/>
        <v>0</v>
      </c>
    </row>
    <row r="2995" spans="3:8" x14ac:dyDescent="0.25">
      <c r="C2995" t="str">
        <f>'RES TECH'!M2995</f>
        <v>RESAPAHIOldLTHALELC20</v>
      </c>
      <c r="G2995" s="4">
        <f>IF(SUMIFS('RES TECH'!N:N,'RES TECH'!M:M,C2995)&gt;0,1,0)</f>
        <v>1</v>
      </c>
      <c r="H2995" s="4">
        <f t="shared" si="46"/>
        <v>0</v>
      </c>
    </row>
    <row r="2996" spans="3:8" x14ac:dyDescent="0.25">
      <c r="C2996" t="str">
        <f>'RES TECH'!M2996</f>
        <v>RESAPAHIOldLTHALELC20</v>
      </c>
      <c r="G2996" s="4">
        <f>IF(SUMIFS('RES TECH'!N:N,'RES TECH'!M:M,C2996)&gt;0,1,0)</f>
        <v>1</v>
      </c>
      <c r="H2996" s="4">
        <f t="shared" si="46"/>
        <v>0</v>
      </c>
    </row>
    <row r="2997" spans="3:8" x14ac:dyDescent="0.25">
      <c r="C2997" t="str">
        <f>'RES TECH'!M2997</f>
        <v>RESAPAHIOldLTHALELC22</v>
      </c>
      <c r="G2997" s="4">
        <f>IF(SUMIFS('RES TECH'!N:N,'RES TECH'!M:M,C2997)&gt;0,1,0)</f>
        <v>1</v>
      </c>
      <c r="H2997" s="4">
        <f t="shared" si="46"/>
        <v>0</v>
      </c>
    </row>
    <row r="2998" spans="3:8" x14ac:dyDescent="0.25">
      <c r="C2998" t="str">
        <f>'RES TECH'!M2998</f>
        <v>RESAPAHIOldLTCFLELCELC20</v>
      </c>
      <c r="G2998" s="4">
        <f>IF(SUMIFS('RES TECH'!N:N,'RES TECH'!M:M,C2998)&gt;0,1,0)</f>
        <v>1</v>
      </c>
      <c r="H2998" s="4">
        <f t="shared" si="46"/>
        <v>0</v>
      </c>
    </row>
    <row r="2999" spans="3:8" x14ac:dyDescent="0.25">
      <c r="C2999" t="str">
        <f>'RES TECH'!M2999</f>
        <v>RESAPAHIOldLTCFLELCELC20</v>
      </c>
      <c r="G2999" s="4">
        <f>IF(SUMIFS('RES TECH'!N:N,'RES TECH'!M:M,C2999)&gt;0,1,0)</f>
        <v>1</v>
      </c>
      <c r="H2999" s="4">
        <f t="shared" si="46"/>
        <v>0</v>
      </c>
    </row>
    <row r="3000" spans="3:8" x14ac:dyDescent="0.25">
      <c r="C3000" t="str">
        <f>'RES TECH'!M3000</f>
        <v>RESAPAHIOldLTCFLELCELC22</v>
      </c>
      <c r="G3000" s="4">
        <f>IF(SUMIFS('RES TECH'!N:N,'RES TECH'!M:M,C3000)&gt;0,1,0)</f>
        <v>1</v>
      </c>
      <c r="H3000" s="4">
        <f t="shared" si="46"/>
        <v>0</v>
      </c>
    </row>
    <row r="3001" spans="3:8" x14ac:dyDescent="0.25">
      <c r="C3001" t="str">
        <f>'RES TECH'!M3001</f>
        <v>RESAPAHIOldLTCFLELCELC30</v>
      </c>
      <c r="G3001" s="4">
        <f>IF(SUMIFS('RES TECH'!N:N,'RES TECH'!M:M,C3001)&gt;0,1,0)</f>
        <v>1</v>
      </c>
      <c r="H3001" s="4">
        <f t="shared" si="46"/>
        <v>0</v>
      </c>
    </row>
    <row r="3002" spans="3:8" x14ac:dyDescent="0.25">
      <c r="C3002" t="str">
        <f>'RES TECH'!M3002</f>
        <v>RESAPAHIOldLTCFLELCELC40</v>
      </c>
      <c r="G3002" s="4">
        <f>IF(SUMIFS('RES TECH'!N:N,'RES TECH'!M:M,C3002)&gt;0,1,0)</f>
        <v>1</v>
      </c>
      <c r="H3002" s="4">
        <f t="shared" si="46"/>
        <v>0</v>
      </c>
    </row>
    <row r="3003" spans="3:8" x14ac:dyDescent="0.25">
      <c r="C3003" t="str">
        <f>'RES TECH'!M3003</f>
        <v>RESAPAHIOldLTLEDELCELC20</v>
      </c>
      <c r="G3003" s="4">
        <f>IF(SUMIFS('RES TECH'!N:N,'RES TECH'!M:M,C3003)&gt;0,1,0)</f>
        <v>1</v>
      </c>
      <c r="H3003" s="4">
        <f t="shared" si="46"/>
        <v>0</v>
      </c>
    </row>
    <row r="3004" spans="3:8" x14ac:dyDescent="0.25">
      <c r="C3004" t="str">
        <f>'RES TECH'!M3004</f>
        <v>RESAPAHIOldLTLEDELCELC20</v>
      </c>
      <c r="G3004" s="4">
        <f>IF(SUMIFS('RES TECH'!N:N,'RES TECH'!M:M,C3004)&gt;0,1,0)</f>
        <v>1</v>
      </c>
      <c r="H3004" s="4">
        <f t="shared" si="46"/>
        <v>0</v>
      </c>
    </row>
    <row r="3005" spans="3:8" x14ac:dyDescent="0.25">
      <c r="C3005" t="str">
        <f>'RES TECH'!M3005</f>
        <v>RESAPAHIOldLTLEDELCELC20</v>
      </c>
      <c r="G3005" s="4">
        <f>IF(SUMIFS('RES TECH'!N:N,'RES TECH'!M:M,C3005)&gt;0,1,0)</f>
        <v>1</v>
      </c>
      <c r="H3005" s="4">
        <f t="shared" si="46"/>
        <v>0</v>
      </c>
    </row>
    <row r="3006" spans="3:8" x14ac:dyDescent="0.25">
      <c r="C3006" t="str">
        <f>'RES TECH'!M3006</f>
        <v>RESAPAHIOldLTLEDELCELC20</v>
      </c>
      <c r="G3006" s="4">
        <f>IF(SUMIFS('RES TECH'!N:N,'RES TECH'!M:M,C3006)&gt;0,1,0)</f>
        <v>1</v>
      </c>
      <c r="H3006" s="4">
        <f t="shared" si="46"/>
        <v>0</v>
      </c>
    </row>
    <row r="3007" spans="3:8" x14ac:dyDescent="0.25">
      <c r="C3007" t="str">
        <f>'RES TECH'!M3007</f>
        <v>RESAPAHIOldLTLEDELCELC20</v>
      </c>
      <c r="G3007" s="4">
        <f>IF(SUMIFS('RES TECH'!N:N,'RES TECH'!M:M,C3007)&gt;0,1,0)</f>
        <v>1</v>
      </c>
      <c r="H3007" s="4">
        <f t="shared" si="46"/>
        <v>0</v>
      </c>
    </row>
    <row r="3008" spans="3:8" x14ac:dyDescent="0.25">
      <c r="C3008" t="str">
        <f>'RES TECH'!M3008</f>
        <v>RESAPAHIOldLTLEDELCELC20</v>
      </c>
      <c r="G3008" s="4">
        <f>IF(SUMIFS('RES TECH'!N:N,'RES TECH'!M:M,C3008)&gt;0,1,0)</f>
        <v>1</v>
      </c>
      <c r="H3008" s="4">
        <f t="shared" si="46"/>
        <v>0</v>
      </c>
    </row>
    <row r="3009" spans="3:8" x14ac:dyDescent="0.25">
      <c r="C3009" t="str">
        <f>'RES TECH'!M3009</f>
        <v>RESAPAHIOldLTLEDELCELC21</v>
      </c>
      <c r="G3009" s="4">
        <f>IF(SUMIFS('RES TECH'!N:N,'RES TECH'!M:M,C3009)&gt;0,1,0)</f>
        <v>1</v>
      </c>
      <c r="H3009" s="4">
        <f t="shared" si="46"/>
        <v>0</v>
      </c>
    </row>
    <row r="3010" spans="3:8" x14ac:dyDescent="0.25">
      <c r="C3010" t="str">
        <f>'RES TECH'!M3010</f>
        <v>RESAPAHIOldLTLEDELCELC22</v>
      </c>
      <c r="G3010" s="4">
        <f>IF(SUMIFS('RES TECH'!N:N,'RES TECH'!M:M,C3010)&gt;0,1,0)</f>
        <v>1</v>
      </c>
      <c r="H3010" s="4">
        <f t="shared" si="46"/>
        <v>0</v>
      </c>
    </row>
    <row r="3011" spans="3:8" x14ac:dyDescent="0.25">
      <c r="C3011" t="str">
        <f>'RES TECH'!M3011</f>
        <v>RESAPAHIOldLTLEDELCELC23</v>
      </c>
      <c r="G3011" s="4">
        <f>IF(SUMIFS('RES TECH'!N:N,'RES TECH'!M:M,C3011)&gt;0,1,0)</f>
        <v>1</v>
      </c>
      <c r="H3011" s="4">
        <f t="shared" si="46"/>
        <v>0</v>
      </c>
    </row>
    <row r="3012" spans="3:8" x14ac:dyDescent="0.25">
      <c r="C3012" t="str">
        <f>'RES TECH'!M3012</f>
        <v>RESAPAHIOldLTLEDELCELC24</v>
      </c>
      <c r="G3012" s="4">
        <f>IF(SUMIFS('RES TECH'!N:N,'RES TECH'!M:M,C3012)&gt;0,1,0)</f>
        <v>1</v>
      </c>
      <c r="H3012" s="4">
        <f t="shared" si="46"/>
        <v>0</v>
      </c>
    </row>
    <row r="3013" spans="3:8" x14ac:dyDescent="0.25">
      <c r="C3013" t="str">
        <f>'RES TECH'!M3013</f>
        <v>RESAPAHIOldLTLEDELCELC25</v>
      </c>
      <c r="G3013" s="4">
        <f>IF(SUMIFS('RES TECH'!N:N,'RES TECH'!M:M,C3013)&gt;0,1,0)</f>
        <v>1</v>
      </c>
      <c r="H3013" s="4">
        <f t="shared" ref="H3013:H3076" si="47">IF(C3013="","",IF(C3013="*","*",0))</f>
        <v>0</v>
      </c>
    </row>
    <row r="3014" spans="3:8" x14ac:dyDescent="0.25">
      <c r="C3014" t="str">
        <f>'RES TECH'!M3014</f>
        <v>RESAPAHIOldLTLEDELCELC30</v>
      </c>
      <c r="G3014" s="4">
        <f>IF(SUMIFS('RES TECH'!N:N,'RES TECH'!M:M,C3014)&gt;0,1,0)</f>
        <v>1</v>
      </c>
      <c r="H3014" s="4">
        <f t="shared" si="47"/>
        <v>0</v>
      </c>
    </row>
    <row r="3015" spans="3:8" x14ac:dyDescent="0.25">
      <c r="C3015" t="str">
        <f>'RES TECH'!M3015</f>
        <v>RESAPAHIOldLTLEDELCELC40</v>
      </c>
      <c r="G3015" s="4">
        <f>IF(SUMIFS('RES TECH'!N:N,'RES TECH'!M:M,C3015)&gt;0,1,0)</f>
        <v>1</v>
      </c>
      <c r="H3015" s="4">
        <f t="shared" si="47"/>
        <v>0</v>
      </c>
    </row>
    <row r="3016" spans="3:8" x14ac:dyDescent="0.25">
      <c r="C3016" t="str">
        <f>'RES TECH'!M3016</f>
        <v>RESAPAHIOldLTINCELCELC20</v>
      </c>
      <c r="G3016" s="4">
        <f>IF(SUMIFS('RES TECH'!N:N,'RES TECH'!M:M,C3016)&gt;0,1,0)</f>
        <v>1</v>
      </c>
      <c r="H3016" s="4">
        <f t="shared" si="47"/>
        <v>0</v>
      </c>
    </row>
    <row r="3017" spans="3:8" x14ac:dyDescent="0.25">
      <c r="C3017" t="str">
        <f>'RES TECH'!M3017</f>
        <v>RESAPAHIOldLTINCELCELC22</v>
      </c>
      <c r="G3017" s="4">
        <f>IF(SUMIFS('RES TECH'!N:N,'RES TECH'!M:M,C3017)&gt;0,1,0)</f>
        <v>1</v>
      </c>
      <c r="H3017" s="4">
        <f t="shared" si="47"/>
        <v>0</v>
      </c>
    </row>
    <row r="3018" spans="3:8" x14ac:dyDescent="0.25">
      <c r="C3018" t="str">
        <f>'RES TECH'!M3018</f>
        <v>RESAPAHIOldLTFLUT12ELC20</v>
      </c>
      <c r="G3018" s="4">
        <f>IF(SUMIFS('RES TECH'!N:N,'RES TECH'!M:M,C3018)&gt;0,1,0)</f>
        <v>1</v>
      </c>
      <c r="H3018" s="4">
        <f t="shared" si="47"/>
        <v>0</v>
      </c>
    </row>
    <row r="3019" spans="3:8" x14ac:dyDescent="0.25">
      <c r="C3019" t="str">
        <f>'RES TECH'!M3019</f>
        <v>RESAPAHIOldLTFLUT8ELC20</v>
      </c>
      <c r="G3019" s="4">
        <f>IF(SUMIFS('RES TECH'!N:N,'RES TECH'!M:M,C3019)&gt;0,1,0)</f>
        <v>1</v>
      </c>
      <c r="H3019" s="4">
        <f t="shared" si="47"/>
        <v>0</v>
      </c>
    </row>
    <row r="3020" spans="3:8" x14ac:dyDescent="0.25">
      <c r="C3020" t="str">
        <f>'RES TECH'!M3020</f>
        <v>RESAPAHIOldLTFLUT8ELC20</v>
      </c>
      <c r="G3020" s="4">
        <f>IF(SUMIFS('RES TECH'!N:N,'RES TECH'!M:M,C3020)&gt;0,1,0)</f>
        <v>1</v>
      </c>
      <c r="H3020" s="4">
        <f t="shared" si="47"/>
        <v>0</v>
      </c>
    </row>
    <row r="3021" spans="3:8" x14ac:dyDescent="0.25">
      <c r="C3021" t="str">
        <f>'RES TECH'!M3021</f>
        <v>RESAPAHIOldLTFLUT8ELC22</v>
      </c>
      <c r="G3021" s="4">
        <f>IF(SUMIFS('RES TECH'!N:N,'RES TECH'!M:M,C3021)&gt;0,1,0)</f>
        <v>1</v>
      </c>
      <c r="H3021" s="4">
        <f t="shared" si="47"/>
        <v>0</v>
      </c>
    </row>
    <row r="3022" spans="3:8" x14ac:dyDescent="0.25">
      <c r="C3022" t="str">
        <f>'RES TECH'!M3022</f>
        <v>RESAPAHIOldLTFLUT8ELC30</v>
      </c>
      <c r="G3022" s="4">
        <f>IF(SUMIFS('RES TECH'!N:N,'RES TECH'!M:M,C3022)&gt;0,1,0)</f>
        <v>1</v>
      </c>
      <c r="H3022" s="4">
        <f t="shared" si="47"/>
        <v>0</v>
      </c>
    </row>
    <row r="3023" spans="3:8" x14ac:dyDescent="0.25">
      <c r="C3023" t="str">
        <f>'RES TECH'!M3023</f>
        <v>RESAPAHIOldLTFLUT8ELC40</v>
      </c>
      <c r="G3023" s="4">
        <f>IF(SUMIFS('RES TECH'!N:N,'RES TECH'!M:M,C3023)&gt;0,1,0)</f>
        <v>1</v>
      </c>
      <c r="H3023" s="4">
        <f t="shared" si="47"/>
        <v>0</v>
      </c>
    </row>
    <row r="3024" spans="3:8" x14ac:dyDescent="0.25">
      <c r="C3024" t="str">
        <f>'RES TECH'!M3024</f>
        <v>RESHOUHIOldLTHALELC20</v>
      </c>
      <c r="G3024" s="4">
        <f>IF(SUMIFS('RES TECH'!N:N,'RES TECH'!M:M,C3024)&gt;0,1,0)</f>
        <v>1</v>
      </c>
      <c r="H3024" s="4">
        <f t="shared" si="47"/>
        <v>0</v>
      </c>
    </row>
    <row r="3025" spans="3:8" x14ac:dyDescent="0.25">
      <c r="C3025" t="str">
        <f>'RES TECH'!M3025</f>
        <v>RESHOUHIOldLTHALELC20</v>
      </c>
      <c r="G3025" s="4">
        <f>IF(SUMIFS('RES TECH'!N:N,'RES TECH'!M:M,C3025)&gt;0,1,0)</f>
        <v>1</v>
      </c>
      <c r="H3025" s="4">
        <f t="shared" si="47"/>
        <v>0</v>
      </c>
    </row>
    <row r="3026" spans="3:8" x14ac:dyDescent="0.25">
      <c r="C3026" t="str">
        <f>'RES TECH'!M3026</f>
        <v>RESHOUHIOldLTHALELC22</v>
      </c>
      <c r="G3026" s="4">
        <f>IF(SUMIFS('RES TECH'!N:N,'RES TECH'!M:M,C3026)&gt;0,1,0)</f>
        <v>1</v>
      </c>
      <c r="H3026" s="4">
        <f t="shared" si="47"/>
        <v>0</v>
      </c>
    </row>
    <row r="3027" spans="3:8" x14ac:dyDescent="0.25">
      <c r="C3027" t="str">
        <f>'RES TECH'!M3027</f>
        <v>RESHOUHIOldLTCFLELCELC20</v>
      </c>
      <c r="G3027" s="4">
        <f>IF(SUMIFS('RES TECH'!N:N,'RES TECH'!M:M,C3027)&gt;0,1,0)</f>
        <v>1</v>
      </c>
      <c r="H3027" s="4">
        <f t="shared" si="47"/>
        <v>0</v>
      </c>
    </row>
    <row r="3028" spans="3:8" x14ac:dyDescent="0.25">
      <c r="C3028" t="str">
        <f>'RES TECH'!M3028</f>
        <v>RESHOUHIOldLTCFLELCELC20</v>
      </c>
      <c r="G3028" s="4">
        <f>IF(SUMIFS('RES TECH'!N:N,'RES TECH'!M:M,C3028)&gt;0,1,0)</f>
        <v>1</v>
      </c>
      <c r="H3028" s="4">
        <f t="shared" si="47"/>
        <v>0</v>
      </c>
    </row>
    <row r="3029" spans="3:8" x14ac:dyDescent="0.25">
      <c r="C3029" t="str">
        <f>'RES TECH'!M3029</f>
        <v>RESHOUHIOldLTCFLELCELC22</v>
      </c>
      <c r="G3029" s="4">
        <f>IF(SUMIFS('RES TECH'!N:N,'RES TECH'!M:M,C3029)&gt;0,1,0)</f>
        <v>1</v>
      </c>
      <c r="H3029" s="4">
        <f t="shared" si="47"/>
        <v>0</v>
      </c>
    </row>
    <row r="3030" spans="3:8" x14ac:dyDescent="0.25">
      <c r="C3030" t="str">
        <f>'RES TECH'!M3030</f>
        <v>RESHOUHIOldLTCFLELCELC30</v>
      </c>
      <c r="G3030" s="4">
        <f>IF(SUMIFS('RES TECH'!N:N,'RES TECH'!M:M,C3030)&gt;0,1,0)</f>
        <v>1</v>
      </c>
      <c r="H3030" s="4">
        <f t="shared" si="47"/>
        <v>0</v>
      </c>
    </row>
    <row r="3031" spans="3:8" x14ac:dyDescent="0.25">
      <c r="C3031" t="str">
        <f>'RES TECH'!M3031</f>
        <v>RESHOUHIOldLTCFLELCELC40</v>
      </c>
      <c r="G3031" s="4">
        <f>IF(SUMIFS('RES TECH'!N:N,'RES TECH'!M:M,C3031)&gt;0,1,0)</f>
        <v>1</v>
      </c>
      <c r="H3031" s="4">
        <f t="shared" si="47"/>
        <v>0</v>
      </c>
    </row>
    <row r="3032" spans="3:8" x14ac:dyDescent="0.25">
      <c r="C3032" t="str">
        <f>'RES TECH'!M3032</f>
        <v>RESHOUHIOldLTLEDELCELC20</v>
      </c>
      <c r="G3032" s="4">
        <f>IF(SUMIFS('RES TECH'!N:N,'RES TECH'!M:M,C3032)&gt;0,1,0)</f>
        <v>1</v>
      </c>
      <c r="H3032" s="4">
        <f t="shared" si="47"/>
        <v>0</v>
      </c>
    </row>
    <row r="3033" spans="3:8" x14ac:dyDescent="0.25">
      <c r="C3033" t="str">
        <f>'RES TECH'!M3033</f>
        <v>RESHOUHIOldLTLEDELCELC20</v>
      </c>
      <c r="G3033" s="4">
        <f>IF(SUMIFS('RES TECH'!N:N,'RES TECH'!M:M,C3033)&gt;0,1,0)</f>
        <v>1</v>
      </c>
      <c r="H3033" s="4">
        <f t="shared" si="47"/>
        <v>0</v>
      </c>
    </row>
    <row r="3034" spans="3:8" x14ac:dyDescent="0.25">
      <c r="C3034" t="str">
        <f>'RES TECH'!M3034</f>
        <v>RESHOUHIOldLTLEDELCELC20</v>
      </c>
      <c r="G3034" s="4">
        <f>IF(SUMIFS('RES TECH'!N:N,'RES TECH'!M:M,C3034)&gt;0,1,0)</f>
        <v>1</v>
      </c>
      <c r="H3034" s="4">
        <f t="shared" si="47"/>
        <v>0</v>
      </c>
    </row>
    <row r="3035" spans="3:8" x14ac:dyDescent="0.25">
      <c r="C3035" t="str">
        <f>'RES TECH'!M3035</f>
        <v>RESHOUHIOldLTLEDELCELC20</v>
      </c>
      <c r="G3035" s="4">
        <f>IF(SUMIFS('RES TECH'!N:N,'RES TECH'!M:M,C3035)&gt;0,1,0)</f>
        <v>1</v>
      </c>
      <c r="H3035" s="4">
        <f t="shared" si="47"/>
        <v>0</v>
      </c>
    </row>
    <row r="3036" spans="3:8" x14ac:dyDescent="0.25">
      <c r="C3036" t="str">
        <f>'RES TECH'!M3036</f>
        <v>RESHOUHIOldLTLEDELCELC20</v>
      </c>
      <c r="G3036" s="4">
        <f>IF(SUMIFS('RES TECH'!N:N,'RES TECH'!M:M,C3036)&gt;0,1,0)</f>
        <v>1</v>
      </c>
      <c r="H3036" s="4">
        <f t="shared" si="47"/>
        <v>0</v>
      </c>
    </row>
    <row r="3037" spans="3:8" x14ac:dyDescent="0.25">
      <c r="C3037" t="str">
        <f>'RES TECH'!M3037</f>
        <v>RESHOUHIOldLTLEDELCELC20</v>
      </c>
      <c r="G3037" s="4">
        <f>IF(SUMIFS('RES TECH'!N:N,'RES TECH'!M:M,C3037)&gt;0,1,0)</f>
        <v>1</v>
      </c>
      <c r="H3037" s="4">
        <f t="shared" si="47"/>
        <v>0</v>
      </c>
    </row>
    <row r="3038" spans="3:8" x14ac:dyDescent="0.25">
      <c r="C3038" t="str">
        <f>'RES TECH'!M3038</f>
        <v>RESHOUHIOldLTLEDELCELC21</v>
      </c>
      <c r="G3038" s="4">
        <f>IF(SUMIFS('RES TECH'!N:N,'RES TECH'!M:M,C3038)&gt;0,1,0)</f>
        <v>1</v>
      </c>
      <c r="H3038" s="4">
        <f t="shared" si="47"/>
        <v>0</v>
      </c>
    </row>
    <row r="3039" spans="3:8" x14ac:dyDescent="0.25">
      <c r="C3039" t="str">
        <f>'RES TECH'!M3039</f>
        <v>RESHOUHIOldLTLEDELCELC22</v>
      </c>
      <c r="G3039" s="4">
        <f>IF(SUMIFS('RES TECH'!N:N,'RES TECH'!M:M,C3039)&gt;0,1,0)</f>
        <v>1</v>
      </c>
      <c r="H3039" s="4">
        <f t="shared" si="47"/>
        <v>0</v>
      </c>
    </row>
    <row r="3040" spans="3:8" x14ac:dyDescent="0.25">
      <c r="C3040" t="str">
        <f>'RES TECH'!M3040</f>
        <v>RESHOUHIOldLTLEDELCELC23</v>
      </c>
      <c r="G3040" s="4">
        <f>IF(SUMIFS('RES TECH'!N:N,'RES TECH'!M:M,C3040)&gt;0,1,0)</f>
        <v>1</v>
      </c>
      <c r="H3040" s="4">
        <f t="shared" si="47"/>
        <v>0</v>
      </c>
    </row>
    <row r="3041" spans="3:8" x14ac:dyDescent="0.25">
      <c r="C3041" t="str">
        <f>'RES TECH'!M3041</f>
        <v>RESHOUHIOldLTLEDELCELC24</v>
      </c>
      <c r="G3041" s="4">
        <f>IF(SUMIFS('RES TECH'!N:N,'RES TECH'!M:M,C3041)&gt;0,1,0)</f>
        <v>1</v>
      </c>
      <c r="H3041" s="4">
        <f t="shared" si="47"/>
        <v>0</v>
      </c>
    </row>
    <row r="3042" spans="3:8" x14ac:dyDescent="0.25">
      <c r="C3042" t="str">
        <f>'RES TECH'!M3042</f>
        <v>RESHOUHIOldLTLEDELCELC25</v>
      </c>
      <c r="G3042" s="4">
        <f>IF(SUMIFS('RES TECH'!N:N,'RES TECH'!M:M,C3042)&gt;0,1,0)</f>
        <v>1</v>
      </c>
      <c r="H3042" s="4">
        <f t="shared" si="47"/>
        <v>0</v>
      </c>
    </row>
    <row r="3043" spans="3:8" x14ac:dyDescent="0.25">
      <c r="C3043" t="str">
        <f>'RES TECH'!M3043</f>
        <v>RESHOUHIOldLTLEDELCELC30</v>
      </c>
      <c r="G3043" s="4">
        <f>IF(SUMIFS('RES TECH'!N:N,'RES TECH'!M:M,C3043)&gt;0,1,0)</f>
        <v>1</v>
      </c>
      <c r="H3043" s="4">
        <f t="shared" si="47"/>
        <v>0</v>
      </c>
    </row>
    <row r="3044" spans="3:8" x14ac:dyDescent="0.25">
      <c r="C3044" t="str">
        <f>'RES TECH'!M3044</f>
        <v>RESHOUHIOldLTLEDELCELC40</v>
      </c>
      <c r="G3044" s="4">
        <f>IF(SUMIFS('RES TECH'!N:N,'RES TECH'!M:M,C3044)&gt;0,1,0)</f>
        <v>1</v>
      </c>
      <c r="H3044" s="4">
        <f t="shared" si="47"/>
        <v>0</v>
      </c>
    </row>
    <row r="3045" spans="3:8" x14ac:dyDescent="0.25">
      <c r="C3045" t="str">
        <f>'RES TECH'!M3045</f>
        <v>RESHOUHIOldLTINCELCELC20</v>
      </c>
      <c r="G3045" s="4">
        <f>IF(SUMIFS('RES TECH'!N:N,'RES TECH'!M:M,C3045)&gt;0,1,0)</f>
        <v>1</v>
      </c>
      <c r="H3045" s="4">
        <f t="shared" si="47"/>
        <v>0</v>
      </c>
    </row>
    <row r="3046" spans="3:8" x14ac:dyDescent="0.25">
      <c r="C3046" t="str">
        <f>'RES TECH'!M3046</f>
        <v>RESHOUHIOldLTINCELCELC22</v>
      </c>
      <c r="G3046" s="4">
        <f>IF(SUMIFS('RES TECH'!N:N,'RES TECH'!M:M,C3046)&gt;0,1,0)</f>
        <v>1</v>
      </c>
      <c r="H3046" s="4">
        <f t="shared" si="47"/>
        <v>0</v>
      </c>
    </row>
    <row r="3047" spans="3:8" x14ac:dyDescent="0.25">
      <c r="C3047" t="str">
        <f>'RES TECH'!M3047</f>
        <v>RESHOUHIOldLTFLUT12ELC20</v>
      </c>
      <c r="G3047" s="4">
        <f>IF(SUMIFS('RES TECH'!N:N,'RES TECH'!M:M,C3047)&gt;0,1,0)</f>
        <v>1</v>
      </c>
      <c r="H3047" s="4">
        <f t="shared" si="47"/>
        <v>0</v>
      </c>
    </row>
    <row r="3048" spans="3:8" x14ac:dyDescent="0.25">
      <c r="C3048" t="str">
        <f>'RES TECH'!M3048</f>
        <v>RESHOUHIOldLTFLUT8ELC20</v>
      </c>
      <c r="G3048" s="4">
        <f>IF(SUMIFS('RES TECH'!N:N,'RES TECH'!M:M,C3048)&gt;0,1,0)</f>
        <v>1</v>
      </c>
      <c r="H3048" s="4">
        <f t="shared" si="47"/>
        <v>0</v>
      </c>
    </row>
    <row r="3049" spans="3:8" x14ac:dyDescent="0.25">
      <c r="C3049" t="str">
        <f>'RES TECH'!M3049</f>
        <v>RESHOUHIOldLTFLUT8ELC20</v>
      </c>
      <c r="G3049" s="4">
        <f>IF(SUMIFS('RES TECH'!N:N,'RES TECH'!M:M,C3049)&gt;0,1,0)</f>
        <v>1</v>
      </c>
      <c r="H3049" s="4">
        <f t="shared" si="47"/>
        <v>0</v>
      </c>
    </row>
    <row r="3050" spans="3:8" x14ac:dyDescent="0.25">
      <c r="C3050" t="str">
        <f>'RES TECH'!M3050</f>
        <v>RESHOUHIOldLTFLUT8ELC22</v>
      </c>
      <c r="G3050" s="4">
        <f>IF(SUMIFS('RES TECH'!N:N,'RES TECH'!M:M,C3050)&gt;0,1,0)</f>
        <v>1</v>
      </c>
      <c r="H3050" s="4">
        <f t="shared" si="47"/>
        <v>0</v>
      </c>
    </row>
    <row r="3051" spans="3:8" x14ac:dyDescent="0.25">
      <c r="C3051" t="str">
        <f>'RES TECH'!M3051</f>
        <v>RESHOUHIOldLTFLUT8ELC30</v>
      </c>
      <c r="G3051" s="4">
        <f>IF(SUMIFS('RES TECH'!N:N,'RES TECH'!M:M,C3051)&gt;0,1,0)</f>
        <v>1</v>
      </c>
      <c r="H3051" s="4">
        <f t="shared" si="47"/>
        <v>0</v>
      </c>
    </row>
    <row r="3052" spans="3:8" x14ac:dyDescent="0.25">
      <c r="C3052" t="str">
        <f>'RES TECH'!M3052</f>
        <v>RESHOUHIOldLTFLUT8ELC40</v>
      </c>
      <c r="G3052" s="4">
        <f>IF(SUMIFS('RES TECH'!N:N,'RES TECH'!M:M,C3052)&gt;0,1,0)</f>
        <v>1</v>
      </c>
      <c r="H3052" s="4">
        <f t="shared" si="47"/>
        <v>0</v>
      </c>
    </row>
    <row r="3053" spans="3:8" x14ac:dyDescent="0.25">
      <c r="C3053" t="str">
        <f>'RES TECH'!M3054</f>
        <v>RESAPALONewLTHALELC20</v>
      </c>
      <c r="G3053" s="4">
        <f>IF(SUMIFS('RES TECH'!N:N,'RES TECH'!M:M,C3053)&gt;0,1,0)</f>
        <v>1</v>
      </c>
      <c r="H3053" s="4">
        <f t="shared" si="47"/>
        <v>0</v>
      </c>
    </row>
    <row r="3054" spans="3:8" x14ac:dyDescent="0.25">
      <c r="C3054" t="str">
        <f>'RES TECH'!M3055</f>
        <v>RESAPALONewLTHALELC20</v>
      </c>
      <c r="G3054" s="4">
        <f>IF(SUMIFS('RES TECH'!N:N,'RES TECH'!M:M,C3054)&gt;0,1,0)</f>
        <v>1</v>
      </c>
      <c r="H3054" s="4">
        <f t="shared" si="47"/>
        <v>0</v>
      </c>
    </row>
    <row r="3055" spans="3:8" x14ac:dyDescent="0.25">
      <c r="C3055" t="str">
        <f>'RES TECH'!M3056</f>
        <v>RESAPALONewLTHALELC22</v>
      </c>
      <c r="G3055" s="4">
        <f>IF(SUMIFS('RES TECH'!N:N,'RES TECH'!M:M,C3055)&gt;0,1,0)</f>
        <v>1</v>
      </c>
      <c r="H3055" s="4">
        <f t="shared" si="47"/>
        <v>0</v>
      </c>
    </row>
    <row r="3056" spans="3:8" x14ac:dyDescent="0.25">
      <c r="C3056" t="str">
        <f>'RES TECH'!M3057</f>
        <v>RESAPALONewLTCFLELCELC20</v>
      </c>
      <c r="G3056" s="4">
        <f>IF(SUMIFS('RES TECH'!N:N,'RES TECH'!M:M,C3056)&gt;0,1,0)</f>
        <v>1</v>
      </c>
      <c r="H3056" s="4">
        <f t="shared" si="47"/>
        <v>0</v>
      </c>
    </row>
    <row r="3057" spans="3:8" x14ac:dyDescent="0.25">
      <c r="C3057" t="str">
        <f>'RES TECH'!M3058</f>
        <v>RESAPALONewLTCFLELCELC20</v>
      </c>
      <c r="G3057" s="4">
        <f>IF(SUMIFS('RES TECH'!N:N,'RES TECH'!M:M,C3057)&gt;0,1,0)</f>
        <v>1</v>
      </c>
      <c r="H3057" s="4">
        <f t="shared" si="47"/>
        <v>0</v>
      </c>
    </row>
    <row r="3058" spans="3:8" x14ac:dyDescent="0.25">
      <c r="C3058" t="str">
        <f>'RES TECH'!M3059</f>
        <v>RESAPALONewLTCFLELCELC22</v>
      </c>
      <c r="G3058" s="4">
        <f>IF(SUMIFS('RES TECH'!N:N,'RES TECH'!M:M,C3058)&gt;0,1,0)</f>
        <v>1</v>
      </c>
      <c r="H3058" s="4">
        <f t="shared" si="47"/>
        <v>0</v>
      </c>
    </row>
    <row r="3059" spans="3:8" x14ac:dyDescent="0.25">
      <c r="C3059" t="str">
        <f>'RES TECH'!M3060</f>
        <v>RESAPALONewLTCFLELCELC30</v>
      </c>
      <c r="G3059" s="4">
        <f>IF(SUMIFS('RES TECH'!N:N,'RES TECH'!M:M,C3059)&gt;0,1,0)</f>
        <v>1</v>
      </c>
      <c r="H3059" s="4">
        <f t="shared" si="47"/>
        <v>0</v>
      </c>
    </row>
    <row r="3060" spans="3:8" x14ac:dyDescent="0.25">
      <c r="C3060" t="str">
        <f>'RES TECH'!M3061</f>
        <v>RESAPALONewLTCFLELCELC40</v>
      </c>
      <c r="G3060" s="4">
        <f>IF(SUMIFS('RES TECH'!N:N,'RES TECH'!M:M,C3060)&gt;0,1,0)</f>
        <v>1</v>
      </c>
      <c r="H3060" s="4">
        <f t="shared" si="47"/>
        <v>0</v>
      </c>
    </row>
    <row r="3061" spans="3:8" x14ac:dyDescent="0.25">
      <c r="C3061" t="str">
        <f>'RES TECH'!M3062</f>
        <v>RESAPALONewLTLEDELCELC20</v>
      </c>
      <c r="G3061" s="4">
        <f>IF(SUMIFS('RES TECH'!N:N,'RES TECH'!M:M,C3061)&gt;0,1,0)</f>
        <v>1</v>
      </c>
      <c r="H3061" s="4">
        <f t="shared" si="47"/>
        <v>0</v>
      </c>
    </row>
    <row r="3062" spans="3:8" x14ac:dyDescent="0.25">
      <c r="C3062" t="str">
        <f>'RES TECH'!M3063</f>
        <v>RESAPALONewLTLEDELCELC20</v>
      </c>
      <c r="G3062" s="4">
        <f>IF(SUMIFS('RES TECH'!N:N,'RES TECH'!M:M,C3062)&gt;0,1,0)</f>
        <v>1</v>
      </c>
      <c r="H3062" s="4">
        <f t="shared" si="47"/>
        <v>0</v>
      </c>
    </row>
    <row r="3063" spans="3:8" x14ac:dyDescent="0.25">
      <c r="C3063" t="str">
        <f>'RES TECH'!M3064</f>
        <v>RESAPALONewLTLEDELCELC20</v>
      </c>
      <c r="G3063" s="4">
        <f>IF(SUMIFS('RES TECH'!N:N,'RES TECH'!M:M,C3063)&gt;0,1,0)</f>
        <v>1</v>
      </c>
      <c r="H3063" s="4">
        <f t="shared" si="47"/>
        <v>0</v>
      </c>
    </row>
    <row r="3064" spans="3:8" x14ac:dyDescent="0.25">
      <c r="C3064" t="str">
        <f>'RES TECH'!M3065</f>
        <v>RESAPALONewLTLEDELCELC20</v>
      </c>
      <c r="G3064" s="4">
        <f>IF(SUMIFS('RES TECH'!N:N,'RES TECH'!M:M,C3064)&gt;0,1,0)</f>
        <v>1</v>
      </c>
      <c r="H3064" s="4">
        <f t="shared" si="47"/>
        <v>0</v>
      </c>
    </row>
    <row r="3065" spans="3:8" x14ac:dyDescent="0.25">
      <c r="C3065" t="str">
        <f>'RES TECH'!M3066</f>
        <v>RESAPALONewLTLEDELCELC20</v>
      </c>
      <c r="G3065" s="4">
        <f>IF(SUMIFS('RES TECH'!N:N,'RES TECH'!M:M,C3065)&gt;0,1,0)</f>
        <v>1</v>
      </c>
      <c r="H3065" s="4">
        <f t="shared" si="47"/>
        <v>0</v>
      </c>
    </row>
    <row r="3066" spans="3:8" x14ac:dyDescent="0.25">
      <c r="C3066" t="str">
        <f>'RES TECH'!M3067</f>
        <v>RESAPALONewLTLEDELCELC20</v>
      </c>
      <c r="G3066" s="4">
        <f>IF(SUMIFS('RES TECH'!N:N,'RES TECH'!M:M,C3066)&gt;0,1,0)</f>
        <v>1</v>
      </c>
      <c r="H3066" s="4">
        <f t="shared" si="47"/>
        <v>0</v>
      </c>
    </row>
    <row r="3067" spans="3:8" x14ac:dyDescent="0.25">
      <c r="C3067" t="str">
        <f>'RES TECH'!M3068</f>
        <v>RESAPALONewLTLEDELCELC21</v>
      </c>
      <c r="G3067" s="4">
        <f>IF(SUMIFS('RES TECH'!N:N,'RES TECH'!M:M,C3067)&gt;0,1,0)</f>
        <v>1</v>
      </c>
      <c r="H3067" s="4">
        <f t="shared" si="47"/>
        <v>0</v>
      </c>
    </row>
    <row r="3068" spans="3:8" x14ac:dyDescent="0.25">
      <c r="C3068" t="str">
        <f>'RES TECH'!M3069</f>
        <v>RESAPALONewLTLEDELCELC22</v>
      </c>
      <c r="G3068" s="4">
        <f>IF(SUMIFS('RES TECH'!N:N,'RES TECH'!M:M,C3068)&gt;0,1,0)</f>
        <v>1</v>
      </c>
      <c r="H3068" s="4">
        <f t="shared" si="47"/>
        <v>0</v>
      </c>
    </row>
    <row r="3069" spans="3:8" x14ac:dyDescent="0.25">
      <c r="C3069" t="str">
        <f>'RES TECH'!M3070</f>
        <v>RESAPALONewLTLEDELCELC23</v>
      </c>
      <c r="G3069" s="4">
        <f>IF(SUMIFS('RES TECH'!N:N,'RES TECH'!M:M,C3069)&gt;0,1,0)</f>
        <v>1</v>
      </c>
      <c r="H3069" s="4">
        <f t="shared" si="47"/>
        <v>0</v>
      </c>
    </row>
    <row r="3070" spans="3:8" x14ac:dyDescent="0.25">
      <c r="C3070" t="str">
        <f>'RES TECH'!M3071</f>
        <v>RESAPALONewLTLEDELCELC24</v>
      </c>
      <c r="G3070" s="4">
        <f>IF(SUMIFS('RES TECH'!N:N,'RES TECH'!M:M,C3070)&gt;0,1,0)</f>
        <v>1</v>
      </c>
      <c r="H3070" s="4">
        <f t="shared" si="47"/>
        <v>0</v>
      </c>
    </row>
    <row r="3071" spans="3:8" x14ac:dyDescent="0.25">
      <c r="C3071" t="str">
        <f>'RES TECH'!M3072</f>
        <v>RESAPALONewLTLEDELCELC25</v>
      </c>
      <c r="G3071" s="4">
        <f>IF(SUMIFS('RES TECH'!N:N,'RES TECH'!M:M,C3071)&gt;0,1,0)</f>
        <v>1</v>
      </c>
      <c r="H3071" s="4">
        <f t="shared" si="47"/>
        <v>0</v>
      </c>
    </row>
    <row r="3072" spans="3:8" x14ac:dyDescent="0.25">
      <c r="C3072" t="str">
        <f>'RES TECH'!M3073</f>
        <v>RESAPALONewLTLEDELCELC30</v>
      </c>
      <c r="G3072" s="4">
        <f>IF(SUMIFS('RES TECH'!N:N,'RES TECH'!M:M,C3072)&gt;0,1,0)</f>
        <v>1</v>
      </c>
      <c r="H3072" s="4">
        <f t="shared" si="47"/>
        <v>0</v>
      </c>
    </row>
    <row r="3073" spans="3:8" x14ac:dyDescent="0.25">
      <c r="C3073" t="str">
        <f>'RES TECH'!M3074</f>
        <v>RESAPALONewLTLEDELCELC40</v>
      </c>
      <c r="G3073" s="4">
        <f>IF(SUMIFS('RES TECH'!N:N,'RES TECH'!M:M,C3073)&gt;0,1,0)</f>
        <v>1</v>
      </c>
      <c r="H3073" s="4">
        <f t="shared" si="47"/>
        <v>0</v>
      </c>
    </row>
    <row r="3074" spans="3:8" x14ac:dyDescent="0.25">
      <c r="C3074" t="str">
        <f>'RES TECH'!M3075</f>
        <v>RESAPALONewLTINCELCELC20</v>
      </c>
      <c r="G3074" s="4">
        <f>IF(SUMIFS('RES TECH'!N:N,'RES TECH'!M:M,C3074)&gt;0,1,0)</f>
        <v>1</v>
      </c>
      <c r="H3074" s="4">
        <f t="shared" si="47"/>
        <v>0</v>
      </c>
    </row>
    <row r="3075" spans="3:8" x14ac:dyDescent="0.25">
      <c r="C3075" t="str">
        <f>'RES TECH'!M3076</f>
        <v>RESAPALONewLTINCELCELC22</v>
      </c>
      <c r="G3075" s="4">
        <f>IF(SUMIFS('RES TECH'!N:N,'RES TECH'!M:M,C3075)&gt;0,1,0)</f>
        <v>1</v>
      </c>
      <c r="H3075" s="4">
        <f t="shared" si="47"/>
        <v>0</v>
      </c>
    </row>
    <row r="3076" spans="3:8" x14ac:dyDescent="0.25">
      <c r="C3076" t="str">
        <f>'RES TECH'!M3077</f>
        <v>RESAPALONewLTFLUT12ELC20</v>
      </c>
      <c r="G3076" s="4">
        <f>IF(SUMIFS('RES TECH'!N:N,'RES TECH'!M:M,C3076)&gt;0,1,0)</f>
        <v>1</v>
      </c>
      <c r="H3076" s="4">
        <f t="shared" si="47"/>
        <v>0</v>
      </c>
    </row>
    <row r="3077" spans="3:8" x14ac:dyDescent="0.25">
      <c r="C3077" t="str">
        <f>'RES TECH'!M3078</f>
        <v>RESAPALONewLTFLUT8ELC20</v>
      </c>
      <c r="G3077" s="4">
        <f>IF(SUMIFS('RES TECH'!N:N,'RES TECH'!M:M,C3077)&gt;0,1,0)</f>
        <v>1</v>
      </c>
      <c r="H3077" s="4">
        <f t="shared" ref="H3077:H3140" si="48">IF(C3077="","",IF(C3077="*","*",0))</f>
        <v>0</v>
      </c>
    </row>
    <row r="3078" spans="3:8" x14ac:dyDescent="0.25">
      <c r="C3078" t="str">
        <f>'RES TECH'!M3079</f>
        <v>RESAPALONewLTFLUT8ELC20</v>
      </c>
      <c r="G3078" s="4">
        <f>IF(SUMIFS('RES TECH'!N:N,'RES TECH'!M:M,C3078)&gt;0,1,0)</f>
        <v>1</v>
      </c>
      <c r="H3078" s="4">
        <f t="shared" si="48"/>
        <v>0</v>
      </c>
    </row>
    <row r="3079" spans="3:8" x14ac:dyDescent="0.25">
      <c r="C3079" t="str">
        <f>'RES TECH'!M3080</f>
        <v>RESAPALONewLTFLUT8ELC22</v>
      </c>
      <c r="G3079" s="4">
        <f>IF(SUMIFS('RES TECH'!N:N,'RES TECH'!M:M,C3079)&gt;0,1,0)</f>
        <v>1</v>
      </c>
      <c r="H3079" s="4">
        <f t="shared" si="48"/>
        <v>0</v>
      </c>
    </row>
    <row r="3080" spans="3:8" x14ac:dyDescent="0.25">
      <c r="C3080" t="str">
        <f>'RES TECH'!M3081</f>
        <v>RESAPALONewLTFLUT8ELC30</v>
      </c>
      <c r="G3080" s="4">
        <f>IF(SUMIFS('RES TECH'!N:N,'RES TECH'!M:M,C3080)&gt;0,1,0)</f>
        <v>1</v>
      </c>
      <c r="H3080" s="4">
        <f t="shared" si="48"/>
        <v>0</v>
      </c>
    </row>
    <row r="3081" spans="3:8" x14ac:dyDescent="0.25">
      <c r="C3081" t="str">
        <f>'RES TECH'!M3082</f>
        <v>RESAPALONewLTFLUT8ELC40</v>
      </c>
      <c r="G3081" s="4">
        <f>IF(SUMIFS('RES TECH'!N:N,'RES TECH'!M:M,C3081)&gt;0,1,0)</f>
        <v>1</v>
      </c>
      <c r="H3081" s="4">
        <f t="shared" si="48"/>
        <v>0</v>
      </c>
    </row>
    <row r="3082" spans="3:8" x14ac:dyDescent="0.25">
      <c r="C3082" t="str">
        <f>'RES TECH'!M3083</f>
        <v>RESHOULONewLTHALELC20</v>
      </c>
      <c r="G3082" s="4">
        <f>IF(SUMIFS('RES TECH'!N:N,'RES TECH'!M:M,C3082)&gt;0,1,0)</f>
        <v>1</v>
      </c>
      <c r="H3082" s="4">
        <f t="shared" si="48"/>
        <v>0</v>
      </c>
    </row>
    <row r="3083" spans="3:8" x14ac:dyDescent="0.25">
      <c r="C3083" t="str">
        <f>'RES TECH'!M3084</f>
        <v>RESHOULONewLTHALELC20</v>
      </c>
      <c r="G3083" s="4">
        <f>IF(SUMIFS('RES TECH'!N:N,'RES TECH'!M:M,C3083)&gt;0,1,0)</f>
        <v>1</v>
      </c>
      <c r="H3083" s="4">
        <f t="shared" si="48"/>
        <v>0</v>
      </c>
    </row>
    <row r="3084" spans="3:8" x14ac:dyDescent="0.25">
      <c r="C3084" t="str">
        <f>'RES TECH'!M3085</f>
        <v>RESHOULONewLTHALELC22</v>
      </c>
      <c r="G3084" s="4">
        <f>IF(SUMIFS('RES TECH'!N:N,'RES TECH'!M:M,C3084)&gt;0,1,0)</f>
        <v>1</v>
      </c>
      <c r="H3084" s="4">
        <f t="shared" si="48"/>
        <v>0</v>
      </c>
    </row>
    <row r="3085" spans="3:8" x14ac:dyDescent="0.25">
      <c r="C3085" t="str">
        <f>'RES TECH'!M3086</f>
        <v>RESHOULONewLTCFLELCELC20</v>
      </c>
      <c r="G3085" s="4">
        <f>IF(SUMIFS('RES TECH'!N:N,'RES TECH'!M:M,C3085)&gt;0,1,0)</f>
        <v>1</v>
      </c>
      <c r="H3085" s="4">
        <f t="shared" si="48"/>
        <v>0</v>
      </c>
    </row>
    <row r="3086" spans="3:8" x14ac:dyDescent="0.25">
      <c r="C3086" t="str">
        <f>'RES TECH'!M3087</f>
        <v>RESHOULONewLTCFLELCELC20</v>
      </c>
      <c r="G3086" s="4">
        <f>IF(SUMIFS('RES TECH'!N:N,'RES TECH'!M:M,C3086)&gt;0,1,0)</f>
        <v>1</v>
      </c>
      <c r="H3086" s="4">
        <f t="shared" si="48"/>
        <v>0</v>
      </c>
    </row>
    <row r="3087" spans="3:8" x14ac:dyDescent="0.25">
      <c r="C3087" t="str">
        <f>'RES TECH'!M3088</f>
        <v>RESHOULONewLTCFLELCELC22</v>
      </c>
      <c r="G3087" s="4">
        <f>IF(SUMIFS('RES TECH'!N:N,'RES TECH'!M:M,C3087)&gt;0,1,0)</f>
        <v>1</v>
      </c>
      <c r="H3087" s="4">
        <f t="shared" si="48"/>
        <v>0</v>
      </c>
    </row>
    <row r="3088" spans="3:8" x14ac:dyDescent="0.25">
      <c r="C3088" t="str">
        <f>'RES TECH'!M3089</f>
        <v>RESHOULONewLTCFLELCELC30</v>
      </c>
      <c r="G3088" s="4">
        <f>IF(SUMIFS('RES TECH'!N:N,'RES TECH'!M:M,C3088)&gt;0,1,0)</f>
        <v>1</v>
      </c>
      <c r="H3088" s="4">
        <f t="shared" si="48"/>
        <v>0</v>
      </c>
    </row>
    <row r="3089" spans="3:8" x14ac:dyDescent="0.25">
      <c r="C3089" t="str">
        <f>'RES TECH'!M3090</f>
        <v>RESHOULONewLTCFLELCELC40</v>
      </c>
      <c r="G3089" s="4">
        <f>IF(SUMIFS('RES TECH'!N:N,'RES TECH'!M:M,C3089)&gt;0,1,0)</f>
        <v>1</v>
      </c>
      <c r="H3089" s="4">
        <f t="shared" si="48"/>
        <v>0</v>
      </c>
    </row>
    <row r="3090" spans="3:8" x14ac:dyDescent="0.25">
      <c r="C3090" t="str">
        <f>'RES TECH'!M3091</f>
        <v>RESHOULONewLTLEDELCELC20</v>
      </c>
      <c r="G3090" s="4">
        <f>IF(SUMIFS('RES TECH'!N:N,'RES TECH'!M:M,C3090)&gt;0,1,0)</f>
        <v>1</v>
      </c>
      <c r="H3090" s="4">
        <f t="shared" si="48"/>
        <v>0</v>
      </c>
    </row>
    <row r="3091" spans="3:8" x14ac:dyDescent="0.25">
      <c r="C3091" t="str">
        <f>'RES TECH'!M3092</f>
        <v>RESHOULONewLTLEDELCELC20</v>
      </c>
      <c r="G3091" s="4">
        <f>IF(SUMIFS('RES TECH'!N:N,'RES TECH'!M:M,C3091)&gt;0,1,0)</f>
        <v>1</v>
      </c>
      <c r="H3091" s="4">
        <f t="shared" si="48"/>
        <v>0</v>
      </c>
    </row>
    <row r="3092" spans="3:8" x14ac:dyDescent="0.25">
      <c r="C3092" t="str">
        <f>'RES TECH'!M3093</f>
        <v>RESHOULONewLTLEDELCELC20</v>
      </c>
      <c r="G3092" s="4">
        <f>IF(SUMIFS('RES TECH'!N:N,'RES TECH'!M:M,C3092)&gt;0,1,0)</f>
        <v>1</v>
      </c>
      <c r="H3092" s="4">
        <f t="shared" si="48"/>
        <v>0</v>
      </c>
    </row>
    <row r="3093" spans="3:8" x14ac:dyDescent="0.25">
      <c r="C3093" t="str">
        <f>'RES TECH'!M3094</f>
        <v>RESHOULONewLTLEDELCELC20</v>
      </c>
      <c r="G3093" s="4">
        <f>IF(SUMIFS('RES TECH'!N:N,'RES TECH'!M:M,C3093)&gt;0,1,0)</f>
        <v>1</v>
      </c>
      <c r="H3093" s="4">
        <f t="shared" si="48"/>
        <v>0</v>
      </c>
    </row>
    <row r="3094" spans="3:8" x14ac:dyDescent="0.25">
      <c r="C3094" t="str">
        <f>'RES TECH'!M3095</f>
        <v>RESHOULONewLTLEDELCELC20</v>
      </c>
      <c r="G3094" s="4">
        <f>IF(SUMIFS('RES TECH'!N:N,'RES TECH'!M:M,C3094)&gt;0,1,0)</f>
        <v>1</v>
      </c>
      <c r="H3094" s="4">
        <f t="shared" si="48"/>
        <v>0</v>
      </c>
    </row>
    <row r="3095" spans="3:8" x14ac:dyDescent="0.25">
      <c r="C3095" t="str">
        <f>'RES TECH'!M3096</f>
        <v>RESHOULONewLTLEDELCELC20</v>
      </c>
      <c r="G3095" s="4">
        <f>IF(SUMIFS('RES TECH'!N:N,'RES TECH'!M:M,C3095)&gt;0,1,0)</f>
        <v>1</v>
      </c>
      <c r="H3095" s="4">
        <f t="shared" si="48"/>
        <v>0</v>
      </c>
    </row>
    <row r="3096" spans="3:8" x14ac:dyDescent="0.25">
      <c r="C3096" t="str">
        <f>'RES TECH'!M3097</f>
        <v>RESHOULONewLTLEDELCELC21</v>
      </c>
      <c r="G3096" s="4">
        <f>IF(SUMIFS('RES TECH'!N:N,'RES TECH'!M:M,C3096)&gt;0,1,0)</f>
        <v>1</v>
      </c>
      <c r="H3096" s="4">
        <f t="shared" si="48"/>
        <v>0</v>
      </c>
    </row>
    <row r="3097" spans="3:8" x14ac:dyDescent="0.25">
      <c r="C3097" t="str">
        <f>'RES TECH'!M3098</f>
        <v>RESHOULONewLTLEDELCELC22</v>
      </c>
      <c r="G3097" s="4">
        <f>IF(SUMIFS('RES TECH'!N:N,'RES TECH'!M:M,C3097)&gt;0,1,0)</f>
        <v>1</v>
      </c>
      <c r="H3097" s="4">
        <f t="shared" si="48"/>
        <v>0</v>
      </c>
    </row>
    <row r="3098" spans="3:8" x14ac:dyDescent="0.25">
      <c r="C3098" t="str">
        <f>'RES TECH'!M3099</f>
        <v>RESHOULONewLTLEDELCELC23</v>
      </c>
      <c r="G3098" s="4">
        <f>IF(SUMIFS('RES TECH'!N:N,'RES TECH'!M:M,C3098)&gt;0,1,0)</f>
        <v>1</v>
      </c>
      <c r="H3098" s="4">
        <f t="shared" si="48"/>
        <v>0</v>
      </c>
    </row>
    <row r="3099" spans="3:8" x14ac:dyDescent="0.25">
      <c r="C3099" t="str">
        <f>'RES TECH'!M3100</f>
        <v>RESHOULONewLTLEDELCELC24</v>
      </c>
      <c r="G3099" s="4">
        <f>IF(SUMIFS('RES TECH'!N:N,'RES TECH'!M:M,C3099)&gt;0,1,0)</f>
        <v>1</v>
      </c>
      <c r="H3099" s="4">
        <f t="shared" si="48"/>
        <v>0</v>
      </c>
    </row>
    <row r="3100" spans="3:8" x14ac:dyDescent="0.25">
      <c r="C3100" t="str">
        <f>'RES TECH'!M3101</f>
        <v>RESHOULONewLTLEDELCELC25</v>
      </c>
      <c r="G3100" s="4">
        <f>IF(SUMIFS('RES TECH'!N:N,'RES TECH'!M:M,C3100)&gt;0,1,0)</f>
        <v>1</v>
      </c>
      <c r="H3100" s="4">
        <f t="shared" si="48"/>
        <v>0</v>
      </c>
    </row>
    <row r="3101" spans="3:8" x14ac:dyDescent="0.25">
      <c r="C3101" t="str">
        <f>'RES TECH'!M3102</f>
        <v>RESHOULONewLTLEDELCELC30</v>
      </c>
      <c r="G3101" s="4">
        <f>IF(SUMIFS('RES TECH'!N:N,'RES TECH'!M:M,C3101)&gt;0,1,0)</f>
        <v>1</v>
      </c>
      <c r="H3101" s="4">
        <f t="shared" si="48"/>
        <v>0</v>
      </c>
    </row>
    <row r="3102" spans="3:8" x14ac:dyDescent="0.25">
      <c r="C3102" t="str">
        <f>'RES TECH'!M3103</f>
        <v>RESHOULONewLTLEDELCELC40</v>
      </c>
      <c r="G3102" s="4">
        <f>IF(SUMIFS('RES TECH'!N:N,'RES TECH'!M:M,C3102)&gt;0,1,0)</f>
        <v>1</v>
      </c>
      <c r="H3102" s="4">
        <f t="shared" si="48"/>
        <v>0</v>
      </c>
    </row>
    <row r="3103" spans="3:8" x14ac:dyDescent="0.25">
      <c r="C3103" t="str">
        <f>'RES TECH'!M3104</f>
        <v>RESHOULONewLTINCELCELC20</v>
      </c>
      <c r="G3103" s="4">
        <f>IF(SUMIFS('RES TECH'!N:N,'RES TECH'!M:M,C3103)&gt;0,1,0)</f>
        <v>1</v>
      </c>
      <c r="H3103" s="4">
        <f t="shared" si="48"/>
        <v>0</v>
      </c>
    </row>
    <row r="3104" spans="3:8" x14ac:dyDescent="0.25">
      <c r="C3104" t="str">
        <f>'RES TECH'!M3105</f>
        <v>RESHOULONewLTINCELCELC22</v>
      </c>
      <c r="G3104" s="4">
        <f>IF(SUMIFS('RES TECH'!N:N,'RES TECH'!M:M,C3104)&gt;0,1,0)</f>
        <v>1</v>
      </c>
      <c r="H3104" s="4">
        <f t="shared" si="48"/>
        <v>0</v>
      </c>
    </row>
    <row r="3105" spans="3:8" x14ac:dyDescent="0.25">
      <c r="C3105" t="str">
        <f>'RES TECH'!M3106</f>
        <v>RESHOULONewLTFLUT12ELC20</v>
      </c>
      <c r="G3105" s="4">
        <f>IF(SUMIFS('RES TECH'!N:N,'RES TECH'!M:M,C3105)&gt;0,1,0)</f>
        <v>1</v>
      </c>
      <c r="H3105" s="4">
        <f t="shared" si="48"/>
        <v>0</v>
      </c>
    </row>
    <row r="3106" spans="3:8" x14ac:dyDescent="0.25">
      <c r="C3106" t="str">
        <f>'RES TECH'!M3107</f>
        <v>RESHOULONewLTFLUT8ELC20</v>
      </c>
      <c r="G3106" s="4">
        <f>IF(SUMIFS('RES TECH'!N:N,'RES TECH'!M:M,C3106)&gt;0,1,0)</f>
        <v>1</v>
      </c>
      <c r="H3106" s="4">
        <f t="shared" si="48"/>
        <v>0</v>
      </c>
    </row>
    <row r="3107" spans="3:8" x14ac:dyDescent="0.25">
      <c r="C3107" t="str">
        <f>'RES TECH'!M3108</f>
        <v>RESHOULONewLTFLUT8ELC20</v>
      </c>
      <c r="G3107" s="4">
        <f>IF(SUMIFS('RES TECH'!N:N,'RES TECH'!M:M,C3107)&gt;0,1,0)</f>
        <v>1</v>
      </c>
      <c r="H3107" s="4">
        <f t="shared" si="48"/>
        <v>0</v>
      </c>
    </row>
    <row r="3108" spans="3:8" x14ac:dyDescent="0.25">
      <c r="C3108" t="str">
        <f>'RES TECH'!M3109</f>
        <v>RESHOULONewLTFLUT8ELC22</v>
      </c>
      <c r="G3108" s="4">
        <f>IF(SUMIFS('RES TECH'!N:N,'RES TECH'!M:M,C3108)&gt;0,1,0)</f>
        <v>1</v>
      </c>
      <c r="H3108" s="4">
        <f t="shared" si="48"/>
        <v>0</v>
      </c>
    </row>
    <row r="3109" spans="3:8" x14ac:dyDescent="0.25">
      <c r="C3109" t="str">
        <f>'RES TECH'!M3110</f>
        <v>RESHOULONewLTFLUT8ELC30</v>
      </c>
      <c r="G3109" s="4">
        <f>IF(SUMIFS('RES TECH'!N:N,'RES TECH'!M:M,C3109)&gt;0,1,0)</f>
        <v>1</v>
      </c>
      <c r="H3109" s="4">
        <f t="shared" si="48"/>
        <v>0</v>
      </c>
    </row>
    <row r="3110" spans="3:8" x14ac:dyDescent="0.25">
      <c r="C3110" t="str">
        <f>'RES TECH'!M3111</f>
        <v>RESHOULONewLTFLUT8ELC40</v>
      </c>
      <c r="G3110" s="4">
        <f>IF(SUMIFS('RES TECH'!N:N,'RES TECH'!M:M,C3110)&gt;0,1,0)</f>
        <v>1</v>
      </c>
      <c r="H3110" s="4">
        <f t="shared" si="48"/>
        <v>0</v>
      </c>
    </row>
    <row r="3111" spans="3:8" x14ac:dyDescent="0.25">
      <c r="C3111" t="str">
        <f>'RES TECH'!M3112</f>
        <v>RESAPALMNewLTHALELC20</v>
      </c>
      <c r="G3111" s="4">
        <f>IF(SUMIFS('RES TECH'!N:N,'RES TECH'!M:M,C3111)&gt;0,1,0)</f>
        <v>1</v>
      </c>
      <c r="H3111" s="4">
        <f t="shared" si="48"/>
        <v>0</v>
      </c>
    </row>
    <row r="3112" spans="3:8" x14ac:dyDescent="0.25">
      <c r="C3112" t="str">
        <f>'RES TECH'!M3113</f>
        <v>RESAPALMNewLTHALELC20</v>
      </c>
      <c r="G3112" s="4">
        <f>IF(SUMIFS('RES TECH'!N:N,'RES TECH'!M:M,C3112)&gt;0,1,0)</f>
        <v>1</v>
      </c>
      <c r="H3112" s="4">
        <f t="shared" si="48"/>
        <v>0</v>
      </c>
    </row>
    <row r="3113" spans="3:8" x14ac:dyDescent="0.25">
      <c r="C3113" t="str">
        <f>'RES TECH'!M3114</f>
        <v>RESAPALMNewLTHALELC22</v>
      </c>
      <c r="G3113" s="4">
        <f>IF(SUMIFS('RES TECH'!N:N,'RES TECH'!M:M,C3113)&gt;0,1,0)</f>
        <v>1</v>
      </c>
      <c r="H3113" s="4">
        <f t="shared" si="48"/>
        <v>0</v>
      </c>
    </row>
    <row r="3114" spans="3:8" x14ac:dyDescent="0.25">
      <c r="C3114" t="str">
        <f>'RES TECH'!M3115</f>
        <v>RESAPALMNewLTCFLELCELC20</v>
      </c>
      <c r="G3114" s="4">
        <f>IF(SUMIFS('RES TECH'!N:N,'RES TECH'!M:M,C3114)&gt;0,1,0)</f>
        <v>1</v>
      </c>
      <c r="H3114" s="4">
        <f t="shared" si="48"/>
        <v>0</v>
      </c>
    </row>
    <row r="3115" spans="3:8" x14ac:dyDescent="0.25">
      <c r="C3115" t="str">
        <f>'RES TECH'!M3116</f>
        <v>RESAPALMNewLTCFLELCELC20</v>
      </c>
      <c r="G3115" s="4">
        <f>IF(SUMIFS('RES TECH'!N:N,'RES TECH'!M:M,C3115)&gt;0,1,0)</f>
        <v>1</v>
      </c>
      <c r="H3115" s="4">
        <f t="shared" si="48"/>
        <v>0</v>
      </c>
    </row>
    <row r="3116" spans="3:8" x14ac:dyDescent="0.25">
      <c r="C3116" t="str">
        <f>'RES TECH'!M3117</f>
        <v>RESAPALMNewLTCFLELCELC22</v>
      </c>
      <c r="G3116" s="4">
        <f>IF(SUMIFS('RES TECH'!N:N,'RES TECH'!M:M,C3116)&gt;0,1,0)</f>
        <v>1</v>
      </c>
      <c r="H3116" s="4">
        <f t="shared" si="48"/>
        <v>0</v>
      </c>
    </row>
    <row r="3117" spans="3:8" x14ac:dyDescent="0.25">
      <c r="C3117" t="str">
        <f>'RES TECH'!M3118</f>
        <v>RESAPALMNewLTCFLELCELC30</v>
      </c>
      <c r="G3117" s="4">
        <f>IF(SUMIFS('RES TECH'!N:N,'RES TECH'!M:M,C3117)&gt;0,1,0)</f>
        <v>1</v>
      </c>
      <c r="H3117" s="4">
        <f t="shared" si="48"/>
        <v>0</v>
      </c>
    </row>
    <row r="3118" spans="3:8" x14ac:dyDescent="0.25">
      <c r="C3118" t="str">
        <f>'RES TECH'!M3119</f>
        <v>RESAPALMNewLTCFLELCELC40</v>
      </c>
      <c r="G3118" s="4">
        <f>IF(SUMIFS('RES TECH'!N:N,'RES TECH'!M:M,C3118)&gt;0,1,0)</f>
        <v>1</v>
      </c>
      <c r="H3118" s="4">
        <f t="shared" si="48"/>
        <v>0</v>
      </c>
    </row>
    <row r="3119" spans="3:8" x14ac:dyDescent="0.25">
      <c r="C3119" t="str">
        <f>'RES TECH'!M3120</f>
        <v>RESAPALMNewLTLEDELCELC20</v>
      </c>
      <c r="G3119" s="4">
        <f>IF(SUMIFS('RES TECH'!N:N,'RES TECH'!M:M,C3119)&gt;0,1,0)</f>
        <v>1</v>
      </c>
      <c r="H3119" s="4">
        <f t="shared" si="48"/>
        <v>0</v>
      </c>
    </row>
    <row r="3120" spans="3:8" x14ac:dyDescent="0.25">
      <c r="C3120" t="str">
        <f>'RES TECH'!M3121</f>
        <v>RESAPALMNewLTLEDELCELC20</v>
      </c>
      <c r="G3120" s="4">
        <f>IF(SUMIFS('RES TECH'!N:N,'RES TECH'!M:M,C3120)&gt;0,1,0)</f>
        <v>1</v>
      </c>
      <c r="H3120" s="4">
        <f t="shared" si="48"/>
        <v>0</v>
      </c>
    </row>
    <row r="3121" spans="3:8" x14ac:dyDescent="0.25">
      <c r="C3121" t="str">
        <f>'RES TECH'!M3122</f>
        <v>RESAPALMNewLTLEDELCELC20</v>
      </c>
      <c r="G3121" s="4">
        <f>IF(SUMIFS('RES TECH'!N:N,'RES TECH'!M:M,C3121)&gt;0,1,0)</f>
        <v>1</v>
      </c>
      <c r="H3121" s="4">
        <f t="shared" si="48"/>
        <v>0</v>
      </c>
    </row>
    <row r="3122" spans="3:8" x14ac:dyDescent="0.25">
      <c r="C3122" t="str">
        <f>'RES TECH'!M3123</f>
        <v>RESAPALMNewLTLEDELCELC20</v>
      </c>
      <c r="G3122" s="4">
        <f>IF(SUMIFS('RES TECH'!N:N,'RES TECH'!M:M,C3122)&gt;0,1,0)</f>
        <v>1</v>
      </c>
      <c r="H3122" s="4">
        <f t="shared" si="48"/>
        <v>0</v>
      </c>
    </row>
    <row r="3123" spans="3:8" x14ac:dyDescent="0.25">
      <c r="C3123" t="str">
        <f>'RES TECH'!M3124</f>
        <v>RESAPALMNewLTLEDELCELC20</v>
      </c>
      <c r="G3123" s="4">
        <f>IF(SUMIFS('RES TECH'!N:N,'RES TECH'!M:M,C3123)&gt;0,1,0)</f>
        <v>1</v>
      </c>
      <c r="H3123" s="4">
        <f t="shared" si="48"/>
        <v>0</v>
      </c>
    </row>
    <row r="3124" spans="3:8" x14ac:dyDescent="0.25">
      <c r="C3124" t="str">
        <f>'RES TECH'!M3125</f>
        <v>RESAPALMNewLTLEDELCELC20</v>
      </c>
      <c r="G3124" s="4">
        <f>IF(SUMIFS('RES TECH'!N:N,'RES TECH'!M:M,C3124)&gt;0,1,0)</f>
        <v>1</v>
      </c>
      <c r="H3124" s="4">
        <f t="shared" si="48"/>
        <v>0</v>
      </c>
    </row>
    <row r="3125" spans="3:8" x14ac:dyDescent="0.25">
      <c r="C3125" t="str">
        <f>'RES TECH'!M3126</f>
        <v>RESAPALMNewLTLEDELCELC21</v>
      </c>
      <c r="G3125" s="4">
        <f>IF(SUMIFS('RES TECH'!N:N,'RES TECH'!M:M,C3125)&gt;0,1,0)</f>
        <v>1</v>
      </c>
      <c r="H3125" s="4">
        <f t="shared" si="48"/>
        <v>0</v>
      </c>
    </row>
    <row r="3126" spans="3:8" x14ac:dyDescent="0.25">
      <c r="C3126" t="str">
        <f>'RES TECH'!M3127</f>
        <v>RESAPALMNewLTLEDELCELC22</v>
      </c>
      <c r="G3126" s="4">
        <f>IF(SUMIFS('RES TECH'!N:N,'RES TECH'!M:M,C3126)&gt;0,1,0)</f>
        <v>1</v>
      </c>
      <c r="H3126" s="4">
        <f t="shared" si="48"/>
        <v>0</v>
      </c>
    </row>
    <row r="3127" spans="3:8" x14ac:dyDescent="0.25">
      <c r="C3127" t="str">
        <f>'RES TECH'!M3128</f>
        <v>RESAPALMNewLTLEDELCELC23</v>
      </c>
      <c r="G3127" s="4">
        <f>IF(SUMIFS('RES TECH'!N:N,'RES TECH'!M:M,C3127)&gt;0,1,0)</f>
        <v>1</v>
      </c>
      <c r="H3127" s="4">
        <f t="shared" si="48"/>
        <v>0</v>
      </c>
    </row>
    <row r="3128" spans="3:8" x14ac:dyDescent="0.25">
      <c r="C3128" t="str">
        <f>'RES TECH'!M3129</f>
        <v>RESAPALMNewLTLEDELCELC24</v>
      </c>
      <c r="G3128" s="4">
        <f>IF(SUMIFS('RES TECH'!N:N,'RES TECH'!M:M,C3128)&gt;0,1,0)</f>
        <v>1</v>
      </c>
      <c r="H3128" s="4">
        <f t="shared" si="48"/>
        <v>0</v>
      </c>
    </row>
    <row r="3129" spans="3:8" x14ac:dyDescent="0.25">
      <c r="C3129" t="str">
        <f>'RES TECH'!M3130</f>
        <v>RESAPALMNewLTLEDELCELC25</v>
      </c>
      <c r="G3129" s="4">
        <f>IF(SUMIFS('RES TECH'!N:N,'RES TECH'!M:M,C3129)&gt;0,1,0)</f>
        <v>1</v>
      </c>
      <c r="H3129" s="4">
        <f t="shared" si="48"/>
        <v>0</v>
      </c>
    </row>
    <row r="3130" spans="3:8" x14ac:dyDescent="0.25">
      <c r="C3130" t="str">
        <f>'RES TECH'!M3131</f>
        <v>RESAPALMNewLTLEDELCELC30</v>
      </c>
      <c r="G3130" s="4">
        <f>IF(SUMIFS('RES TECH'!N:N,'RES TECH'!M:M,C3130)&gt;0,1,0)</f>
        <v>1</v>
      </c>
      <c r="H3130" s="4">
        <f t="shared" si="48"/>
        <v>0</v>
      </c>
    </row>
    <row r="3131" spans="3:8" x14ac:dyDescent="0.25">
      <c r="C3131" t="str">
        <f>'RES TECH'!M3132</f>
        <v>RESAPALMNewLTLEDELCELC40</v>
      </c>
      <c r="G3131" s="4">
        <f>IF(SUMIFS('RES TECH'!N:N,'RES TECH'!M:M,C3131)&gt;0,1,0)</f>
        <v>1</v>
      </c>
      <c r="H3131" s="4">
        <f t="shared" si="48"/>
        <v>0</v>
      </c>
    </row>
    <row r="3132" spans="3:8" x14ac:dyDescent="0.25">
      <c r="C3132" t="str">
        <f>'RES TECH'!M3133</f>
        <v>RESAPALMNewLTINCELCELC20</v>
      </c>
      <c r="G3132" s="4">
        <f>IF(SUMIFS('RES TECH'!N:N,'RES TECH'!M:M,C3132)&gt;0,1,0)</f>
        <v>1</v>
      </c>
      <c r="H3132" s="4">
        <f t="shared" si="48"/>
        <v>0</v>
      </c>
    </row>
    <row r="3133" spans="3:8" x14ac:dyDescent="0.25">
      <c r="C3133" t="str">
        <f>'RES TECH'!M3134</f>
        <v>RESAPALMNewLTINCELCELC22</v>
      </c>
      <c r="G3133" s="4">
        <f>IF(SUMIFS('RES TECH'!N:N,'RES TECH'!M:M,C3133)&gt;0,1,0)</f>
        <v>1</v>
      </c>
      <c r="H3133" s="4">
        <f t="shared" si="48"/>
        <v>0</v>
      </c>
    </row>
    <row r="3134" spans="3:8" x14ac:dyDescent="0.25">
      <c r="C3134" t="str">
        <f>'RES TECH'!M3135</f>
        <v>RESAPALMNewLTFLUT12ELC20</v>
      </c>
      <c r="G3134" s="4">
        <f>IF(SUMIFS('RES TECH'!N:N,'RES TECH'!M:M,C3134)&gt;0,1,0)</f>
        <v>1</v>
      </c>
      <c r="H3134" s="4">
        <f t="shared" si="48"/>
        <v>0</v>
      </c>
    </row>
    <row r="3135" spans="3:8" x14ac:dyDescent="0.25">
      <c r="C3135" t="str">
        <f>'RES TECH'!M3136</f>
        <v>RESAPALMNewLTFLUT8ELC20</v>
      </c>
      <c r="G3135" s="4">
        <f>IF(SUMIFS('RES TECH'!N:N,'RES TECH'!M:M,C3135)&gt;0,1,0)</f>
        <v>1</v>
      </c>
      <c r="H3135" s="4">
        <f t="shared" si="48"/>
        <v>0</v>
      </c>
    </row>
    <row r="3136" spans="3:8" x14ac:dyDescent="0.25">
      <c r="C3136" t="str">
        <f>'RES TECH'!M3137</f>
        <v>RESAPALMNewLTFLUT8ELC20</v>
      </c>
      <c r="G3136" s="4">
        <f>IF(SUMIFS('RES TECH'!N:N,'RES TECH'!M:M,C3136)&gt;0,1,0)</f>
        <v>1</v>
      </c>
      <c r="H3136" s="4">
        <f t="shared" si="48"/>
        <v>0</v>
      </c>
    </row>
    <row r="3137" spans="3:8" x14ac:dyDescent="0.25">
      <c r="C3137" t="str">
        <f>'RES TECH'!M3138</f>
        <v>RESAPALMNewLTFLUT8ELC22</v>
      </c>
      <c r="G3137" s="4">
        <f>IF(SUMIFS('RES TECH'!N:N,'RES TECH'!M:M,C3137)&gt;0,1,0)</f>
        <v>1</v>
      </c>
      <c r="H3137" s="4">
        <f t="shared" si="48"/>
        <v>0</v>
      </c>
    </row>
    <row r="3138" spans="3:8" x14ac:dyDescent="0.25">
      <c r="C3138" t="str">
        <f>'RES TECH'!M3139</f>
        <v>RESAPALMNewLTFLUT8ELC30</v>
      </c>
      <c r="G3138" s="4">
        <f>IF(SUMIFS('RES TECH'!N:N,'RES TECH'!M:M,C3138)&gt;0,1,0)</f>
        <v>1</v>
      </c>
      <c r="H3138" s="4">
        <f t="shared" si="48"/>
        <v>0</v>
      </c>
    </row>
    <row r="3139" spans="3:8" x14ac:dyDescent="0.25">
      <c r="C3139" t="str">
        <f>'RES TECH'!M3140</f>
        <v>RESAPALMNewLTFLUT8ELC40</v>
      </c>
      <c r="G3139" s="4">
        <f>IF(SUMIFS('RES TECH'!N:N,'RES TECH'!M:M,C3139)&gt;0,1,0)</f>
        <v>1</v>
      </c>
      <c r="H3139" s="4">
        <f t="shared" si="48"/>
        <v>0</v>
      </c>
    </row>
    <row r="3140" spans="3:8" x14ac:dyDescent="0.25">
      <c r="C3140" t="str">
        <f>'RES TECH'!M3141</f>
        <v>RESHOULMNewLTHALELC20</v>
      </c>
      <c r="G3140" s="4">
        <f>IF(SUMIFS('RES TECH'!N:N,'RES TECH'!M:M,C3140)&gt;0,1,0)</f>
        <v>1</v>
      </c>
      <c r="H3140" s="4">
        <f t="shared" si="48"/>
        <v>0</v>
      </c>
    </row>
    <row r="3141" spans="3:8" x14ac:dyDescent="0.25">
      <c r="C3141" t="str">
        <f>'RES TECH'!M3142</f>
        <v>RESHOULMNewLTHALELC20</v>
      </c>
      <c r="G3141" s="4">
        <f>IF(SUMIFS('RES TECH'!N:N,'RES TECH'!M:M,C3141)&gt;0,1,0)</f>
        <v>1</v>
      </c>
      <c r="H3141" s="4">
        <f t="shared" ref="H3141:H3204" si="49">IF(C3141="","",IF(C3141="*","*",0))</f>
        <v>0</v>
      </c>
    </row>
    <row r="3142" spans="3:8" x14ac:dyDescent="0.25">
      <c r="C3142" t="str">
        <f>'RES TECH'!M3143</f>
        <v>RESHOULMNewLTHALELC22</v>
      </c>
      <c r="G3142" s="4">
        <f>IF(SUMIFS('RES TECH'!N:N,'RES TECH'!M:M,C3142)&gt;0,1,0)</f>
        <v>1</v>
      </c>
      <c r="H3142" s="4">
        <f t="shared" si="49"/>
        <v>0</v>
      </c>
    </row>
    <row r="3143" spans="3:8" x14ac:dyDescent="0.25">
      <c r="C3143" t="str">
        <f>'RES TECH'!M3144</f>
        <v>RESHOULMNewLTCFLELCELC20</v>
      </c>
      <c r="G3143" s="4">
        <f>IF(SUMIFS('RES TECH'!N:N,'RES TECH'!M:M,C3143)&gt;0,1,0)</f>
        <v>1</v>
      </c>
      <c r="H3143" s="4">
        <f t="shared" si="49"/>
        <v>0</v>
      </c>
    </row>
    <row r="3144" spans="3:8" x14ac:dyDescent="0.25">
      <c r="C3144" t="str">
        <f>'RES TECH'!M3145</f>
        <v>RESHOULMNewLTCFLELCELC20</v>
      </c>
      <c r="G3144" s="4">
        <f>IF(SUMIFS('RES TECH'!N:N,'RES TECH'!M:M,C3144)&gt;0,1,0)</f>
        <v>1</v>
      </c>
      <c r="H3144" s="4">
        <f t="shared" si="49"/>
        <v>0</v>
      </c>
    </row>
    <row r="3145" spans="3:8" x14ac:dyDescent="0.25">
      <c r="C3145" t="str">
        <f>'RES TECH'!M3146</f>
        <v>RESHOULMNewLTCFLELCELC22</v>
      </c>
      <c r="G3145" s="4">
        <f>IF(SUMIFS('RES TECH'!N:N,'RES TECH'!M:M,C3145)&gt;0,1,0)</f>
        <v>1</v>
      </c>
      <c r="H3145" s="4">
        <f t="shared" si="49"/>
        <v>0</v>
      </c>
    </row>
    <row r="3146" spans="3:8" x14ac:dyDescent="0.25">
      <c r="C3146" t="str">
        <f>'RES TECH'!M3147</f>
        <v>RESHOULMNewLTCFLELCELC30</v>
      </c>
      <c r="G3146" s="4">
        <f>IF(SUMIFS('RES TECH'!N:N,'RES TECH'!M:M,C3146)&gt;0,1,0)</f>
        <v>1</v>
      </c>
      <c r="H3146" s="4">
        <f t="shared" si="49"/>
        <v>0</v>
      </c>
    </row>
    <row r="3147" spans="3:8" x14ac:dyDescent="0.25">
      <c r="C3147" t="str">
        <f>'RES TECH'!M3148</f>
        <v>RESHOULMNewLTCFLELCELC40</v>
      </c>
      <c r="G3147" s="4">
        <f>IF(SUMIFS('RES TECH'!N:N,'RES TECH'!M:M,C3147)&gt;0,1,0)</f>
        <v>1</v>
      </c>
      <c r="H3147" s="4">
        <f t="shared" si="49"/>
        <v>0</v>
      </c>
    </row>
    <row r="3148" spans="3:8" x14ac:dyDescent="0.25">
      <c r="C3148" t="str">
        <f>'RES TECH'!M3149</f>
        <v>RESHOULMNewLTLEDELCELC20</v>
      </c>
      <c r="G3148" s="4">
        <f>IF(SUMIFS('RES TECH'!N:N,'RES TECH'!M:M,C3148)&gt;0,1,0)</f>
        <v>1</v>
      </c>
      <c r="H3148" s="4">
        <f t="shared" si="49"/>
        <v>0</v>
      </c>
    </row>
    <row r="3149" spans="3:8" x14ac:dyDescent="0.25">
      <c r="C3149" t="str">
        <f>'RES TECH'!M3150</f>
        <v>RESHOULMNewLTLEDELCELC20</v>
      </c>
      <c r="G3149" s="4">
        <f>IF(SUMIFS('RES TECH'!N:N,'RES TECH'!M:M,C3149)&gt;0,1,0)</f>
        <v>1</v>
      </c>
      <c r="H3149" s="4">
        <f t="shared" si="49"/>
        <v>0</v>
      </c>
    </row>
    <row r="3150" spans="3:8" x14ac:dyDescent="0.25">
      <c r="C3150" t="str">
        <f>'RES TECH'!M3151</f>
        <v>RESHOULMNewLTLEDELCELC20</v>
      </c>
      <c r="G3150" s="4">
        <f>IF(SUMIFS('RES TECH'!N:N,'RES TECH'!M:M,C3150)&gt;0,1,0)</f>
        <v>1</v>
      </c>
      <c r="H3150" s="4">
        <f t="shared" si="49"/>
        <v>0</v>
      </c>
    </row>
    <row r="3151" spans="3:8" x14ac:dyDescent="0.25">
      <c r="C3151" t="str">
        <f>'RES TECH'!M3152</f>
        <v>RESHOULMNewLTLEDELCELC20</v>
      </c>
      <c r="G3151" s="4">
        <f>IF(SUMIFS('RES TECH'!N:N,'RES TECH'!M:M,C3151)&gt;0,1,0)</f>
        <v>1</v>
      </c>
      <c r="H3151" s="4">
        <f t="shared" si="49"/>
        <v>0</v>
      </c>
    </row>
    <row r="3152" spans="3:8" x14ac:dyDescent="0.25">
      <c r="C3152" t="str">
        <f>'RES TECH'!M3153</f>
        <v>RESHOULMNewLTLEDELCELC20</v>
      </c>
      <c r="G3152" s="4">
        <f>IF(SUMIFS('RES TECH'!N:N,'RES TECH'!M:M,C3152)&gt;0,1,0)</f>
        <v>1</v>
      </c>
      <c r="H3152" s="4">
        <f t="shared" si="49"/>
        <v>0</v>
      </c>
    </row>
    <row r="3153" spans="3:8" x14ac:dyDescent="0.25">
      <c r="C3153" t="str">
        <f>'RES TECH'!M3154</f>
        <v>RESHOULMNewLTLEDELCELC20</v>
      </c>
      <c r="G3153" s="4">
        <f>IF(SUMIFS('RES TECH'!N:N,'RES TECH'!M:M,C3153)&gt;0,1,0)</f>
        <v>1</v>
      </c>
      <c r="H3153" s="4">
        <f t="shared" si="49"/>
        <v>0</v>
      </c>
    </row>
    <row r="3154" spans="3:8" x14ac:dyDescent="0.25">
      <c r="C3154" t="str">
        <f>'RES TECH'!M3155</f>
        <v>RESHOULMNewLTLEDELCELC21</v>
      </c>
      <c r="G3154" s="4">
        <f>IF(SUMIFS('RES TECH'!N:N,'RES TECH'!M:M,C3154)&gt;0,1,0)</f>
        <v>1</v>
      </c>
      <c r="H3154" s="4">
        <f t="shared" si="49"/>
        <v>0</v>
      </c>
    </row>
    <row r="3155" spans="3:8" x14ac:dyDescent="0.25">
      <c r="C3155" t="str">
        <f>'RES TECH'!M3156</f>
        <v>RESHOULMNewLTLEDELCELC22</v>
      </c>
      <c r="G3155" s="4">
        <f>IF(SUMIFS('RES TECH'!N:N,'RES TECH'!M:M,C3155)&gt;0,1,0)</f>
        <v>1</v>
      </c>
      <c r="H3155" s="4">
        <f t="shared" si="49"/>
        <v>0</v>
      </c>
    </row>
    <row r="3156" spans="3:8" x14ac:dyDescent="0.25">
      <c r="C3156" t="str">
        <f>'RES TECH'!M3157</f>
        <v>RESHOULMNewLTLEDELCELC23</v>
      </c>
      <c r="G3156" s="4">
        <f>IF(SUMIFS('RES TECH'!N:N,'RES TECH'!M:M,C3156)&gt;0,1,0)</f>
        <v>1</v>
      </c>
      <c r="H3156" s="4">
        <f t="shared" si="49"/>
        <v>0</v>
      </c>
    </row>
    <row r="3157" spans="3:8" x14ac:dyDescent="0.25">
      <c r="C3157" t="str">
        <f>'RES TECH'!M3158</f>
        <v>RESHOULMNewLTLEDELCELC24</v>
      </c>
      <c r="G3157" s="4">
        <f>IF(SUMIFS('RES TECH'!N:N,'RES TECH'!M:M,C3157)&gt;0,1,0)</f>
        <v>1</v>
      </c>
      <c r="H3157" s="4">
        <f t="shared" si="49"/>
        <v>0</v>
      </c>
    </row>
    <row r="3158" spans="3:8" x14ac:dyDescent="0.25">
      <c r="C3158" t="str">
        <f>'RES TECH'!M3159</f>
        <v>RESHOULMNewLTLEDELCELC25</v>
      </c>
      <c r="G3158" s="4">
        <f>IF(SUMIFS('RES TECH'!N:N,'RES TECH'!M:M,C3158)&gt;0,1,0)</f>
        <v>1</v>
      </c>
      <c r="H3158" s="4">
        <f t="shared" si="49"/>
        <v>0</v>
      </c>
    </row>
    <row r="3159" spans="3:8" x14ac:dyDescent="0.25">
      <c r="C3159" t="str">
        <f>'RES TECH'!M3160</f>
        <v>RESHOULMNewLTLEDELCELC30</v>
      </c>
      <c r="G3159" s="4">
        <f>IF(SUMIFS('RES TECH'!N:N,'RES TECH'!M:M,C3159)&gt;0,1,0)</f>
        <v>1</v>
      </c>
      <c r="H3159" s="4">
        <f t="shared" si="49"/>
        <v>0</v>
      </c>
    </row>
    <row r="3160" spans="3:8" x14ac:dyDescent="0.25">
      <c r="C3160" t="str">
        <f>'RES TECH'!M3161</f>
        <v>RESHOULMNewLTLEDELCELC40</v>
      </c>
      <c r="G3160" s="4">
        <f>IF(SUMIFS('RES TECH'!N:N,'RES TECH'!M:M,C3160)&gt;0,1,0)</f>
        <v>1</v>
      </c>
      <c r="H3160" s="4">
        <f t="shared" si="49"/>
        <v>0</v>
      </c>
    </row>
    <row r="3161" spans="3:8" x14ac:dyDescent="0.25">
      <c r="C3161" t="str">
        <f>'RES TECH'!M3162</f>
        <v>RESHOULMNewLTINCELCELC20</v>
      </c>
      <c r="G3161" s="4">
        <f>IF(SUMIFS('RES TECH'!N:N,'RES TECH'!M:M,C3161)&gt;0,1,0)</f>
        <v>1</v>
      </c>
      <c r="H3161" s="4">
        <f t="shared" si="49"/>
        <v>0</v>
      </c>
    </row>
    <row r="3162" spans="3:8" x14ac:dyDescent="0.25">
      <c r="C3162" t="str">
        <f>'RES TECH'!M3163</f>
        <v>RESHOULMNewLTINCELCELC22</v>
      </c>
      <c r="G3162" s="4">
        <f>IF(SUMIFS('RES TECH'!N:N,'RES TECH'!M:M,C3162)&gt;0,1,0)</f>
        <v>1</v>
      </c>
      <c r="H3162" s="4">
        <f t="shared" si="49"/>
        <v>0</v>
      </c>
    </row>
    <row r="3163" spans="3:8" x14ac:dyDescent="0.25">
      <c r="C3163" t="str">
        <f>'RES TECH'!M3164</f>
        <v>RESHOULMNewLTFLUT12ELC20</v>
      </c>
      <c r="G3163" s="4">
        <f>IF(SUMIFS('RES TECH'!N:N,'RES TECH'!M:M,C3163)&gt;0,1,0)</f>
        <v>1</v>
      </c>
      <c r="H3163" s="4">
        <f t="shared" si="49"/>
        <v>0</v>
      </c>
    </row>
    <row r="3164" spans="3:8" x14ac:dyDescent="0.25">
      <c r="C3164" t="str">
        <f>'RES TECH'!M3165</f>
        <v>RESHOULMNewLTFLUT8ELC20</v>
      </c>
      <c r="G3164" s="4">
        <f>IF(SUMIFS('RES TECH'!N:N,'RES TECH'!M:M,C3164)&gt;0,1,0)</f>
        <v>1</v>
      </c>
      <c r="H3164" s="4">
        <f t="shared" si="49"/>
        <v>0</v>
      </c>
    </row>
    <row r="3165" spans="3:8" x14ac:dyDescent="0.25">
      <c r="C3165" t="str">
        <f>'RES TECH'!M3166</f>
        <v>RESHOULMNewLTFLUT8ELC20</v>
      </c>
      <c r="G3165" s="4">
        <f>IF(SUMIFS('RES TECH'!N:N,'RES TECH'!M:M,C3165)&gt;0,1,0)</f>
        <v>1</v>
      </c>
      <c r="H3165" s="4">
        <f t="shared" si="49"/>
        <v>0</v>
      </c>
    </row>
    <row r="3166" spans="3:8" x14ac:dyDescent="0.25">
      <c r="C3166" t="str">
        <f>'RES TECH'!M3167</f>
        <v>RESHOULMNewLTFLUT8ELC22</v>
      </c>
      <c r="G3166" s="4">
        <f>IF(SUMIFS('RES TECH'!N:N,'RES TECH'!M:M,C3166)&gt;0,1,0)</f>
        <v>1</v>
      </c>
      <c r="H3166" s="4">
        <f t="shared" si="49"/>
        <v>0</v>
      </c>
    </row>
    <row r="3167" spans="3:8" x14ac:dyDescent="0.25">
      <c r="C3167" t="str">
        <f>'RES TECH'!M3168</f>
        <v>RESHOULMNewLTFLUT8ELC30</v>
      </c>
      <c r="G3167" s="4">
        <f>IF(SUMIFS('RES TECH'!N:N,'RES TECH'!M:M,C3167)&gt;0,1,0)</f>
        <v>1</v>
      </c>
      <c r="H3167" s="4">
        <f t="shared" si="49"/>
        <v>0</v>
      </c>
    </row>
    <row r="3168" spans="3:8" x14ac:dyDescent="0.25">
      <c r="C3168" t="str">
        <f>'RES TECH'!M3169</f>
        <v>RESHOULMNewLTFLUT8ELC40</v>
      </c>
      <c r="G3168" s="4">
        <f>IF(SUMIFS('RES TECH'!N:N,'RES TECH'!M:M,C3168)&gt;0,1,0)</f>
        <v>1</v>
      </c>
      <c r="H3168" s="4">
        <f t="shared" si="49"/>
        <v>0</v>
      </c>
    </row>
    <row r="3169" spans="3:8" x14ac:dyDescent="0.25">
      <c r="C3169" t="str">
        <f>'RES TECH'!M3170</f>
        <v>RESAPAUMNewLTHALELC20</v>
      </c>
      <c r="G3169" s="4">
        <f>IF(SUMIFS('RES TECH'!N:N,'RES TECH'!M:M,C3169)&gt;0,1,0)</f>
        <v>1</v>
      </c>
      <c r="H3169" s="4">
        <f t="shared" si="49"/>
        <v>0</v>
      </c>
    </row>
    <row r="3170" spans="3:8" x14ac:dyDescent="0.25">
      <c r="C3170" t="str">
        <f>'RES TECH'!M3171</f>
        <v>RESAPAUMNewLTHALELC20</v>
      </c>
      <c r="G3170" s="4">
        <f>IF(SUMIFS('RES TECH'!N:N,'RES TECH'!M:M,C3170)&gt;0,1,0)</f>
        <v>1</v>
      </c>
      <c r="H3170" s="4">
        <f t="shared" si="49"/>
        <v>0</v>
      </c>
    </row>
    <row r="3171" spans="3:8" x14ac:dyDescent="0.25">
      <c r="C3171" t="str">
        <f>'RES TECH'!M3172</f>
        <v>RESAPAUMNewLTHALELC22</v>
      </c>
      <c r="G3171" s="4">
        <f>IF(SUMIFS('RES TECH'!N:N,'RES TECH'!M:M,C3171)&gt;0,1,0)</f>
        <v>1</v>
      </c>
      <c r="H3171" s="4">
        <f t="shared" si="49"/>
        <v>0</v>
      </c>
    </row>
    <row r="3172" spans="3:8" x14ac:dyDescent="0.25">
      <c r="C3172" t="str">
        <f>'RES TECH'!M3173</f>
        <v>RESAPAUMNewLTCFLELCELC20</v>
      </c>
      <c r="G3172" s="4">
        <f>IF(SUMIFS('RES TECH'!N:N,'RES TECH'!M:M,C3172)&gt;0,1,0)</f>
        <v>1</v>
      </c>
      <c r="H3172" s="4">
        <f t="shared" si="49"/>
        <v>0</v>
      </c>
    </row>
    <row r="3173" spans="3:8" x14ac:dyDescent="0.25">
      <c r="C3173" t="str">
        <f>'RES TECH'!M3174</f>
        <v>RESAPAUMNewLTCFLELCELC20</v>
      </c>
      <c r="G3173" s="4">
        <f>IF(SUMIFS('RES TECH'!N:N,'RES TECH'!M:M,C3173)&gt;0,1,0)</f>
        <v>1</v>
      </c>
      <c r="H3173" s="4">
        <f t="shared" si="49"/>
        <v>0</v>
      </c>
    </row>
    <row r="3174" spans="3:8" x14ac:dyDescent="0.25">
      <c r="C3174" t="str">
        <f>'RES TECH'!M3175</f>
        <v>RESAPAUMNewLTCFLELCELC22</v>
      </c>
      <c r="G3174" s="4">
        <f>IF(SUMIFS('RES TECH'!N:N,'RES TECH'!M:M,C3174)&gt;0,1,0)</f>
        <v>1</v>
      </c>
      <c r="H3174" s="4">
        <f t="shared" si="49"/>
        <v>0</v>
      </c>
    </row>
    <row r="3175" spans="3:8" x14ac:dyDescent="0.25">
      <c r="C3175" t="str">
        <f>'RES TECH'!M3176</f>
        <v>RESAPAUMNewLTCFLELCELC30</v>
      </c>
      <c r="G3175" s="4">
        <f>IF(SUMIFS('RES TECH'!N:N,'RES TECH'!M:M,C3175)&gt;0,1,0)</f>
        <v>1</v>
      </c>
      <c r="H3175" s="4">
        <f t="shared" si="49"/>
        <v>0</v>
      </c>
    </row>
    <row r="3176" spans="3:8" x14ac:dyDescent="0.25">
      <c r="C3176" t="str">
        <f>'RES TECH'!M3177</f>
        <v>RESAPAUMNewLTCFLELCELC40</v>
      </c>
      <c r="G3176" s="4">
        <f>IF(SUMIFS('RES TECH'!N:N,'RES TECH'!M:M,C3176)&gt;0,1,0)</f>
        <v>1</v>
      </c>
      <c r="H3176" s="4">
        <f t="shared" si="49"/>
        <v>0</v>
      </c>
    </row>
    <row r="3177" spans="3:8" x14ac:dyDescent="0.25">
      <c r="C3177" t="str">
        <f>'RES TECH'!M3178</f>
        <v>RESAPAUMNewLTLEDELCELC20</v>
      </c>
      <c r="G3177" s="4">
        <f>IF(SUMIFS('RES TECH'!N:N,'RES TECH'!M:M,C3177)&gt;0,1,0)</f>
        <v>1</v>
      </c>
      <c r="H3177" s="4">
        <f t="shared" si="49"/>
        <v>0</v>
      </c>
    </row>
    <row r="3178" spans="3:8" x14ac:dyDescent="0.25">
      <c r="C3178" t="str">
        <f>'RES TECH'!M3179</f>
        <v>RESAPAUMNewLTLEDELCELC20</v>
      </c>
      <c r="G3178" s="4">
        <f>IF(SUMIFS('RES TECH'!N:N,'RES TECH'!M:M,C3178)&gt;0,1,0)</f>
        <v>1</v>
      </c>
      <c r="H3178" s="4">
        <f t="shared" si="49"/>
        <v>0</v>
      </c>
    </row>
    <row r="3179" spans="3:8" x14ac:dyDescent="0.25">
      <c r="C3179" t="str">
        <f>'RES TECH'!M3180</f>
        <v>RESAPAUMNewLTLEDELCELC20</v>
      </c>
      <c r="G3179" s="4">
        <f>IF(SUMIFS('RES TECH'!N:N,'RES TECH'!M:M,C3179)&gt;0,1,0)</f>
        <v>1</v>
      </c>
      <c r="H3179" s="4">
        <f t="shared" si="49"/>
        <v>0</v>
      </c>
    </row>
    <row r="3180" spans="3:8" x14ac:dyDescent="0.25">
      <c r="C3180" t="str">
        <f>'RES TECH'!M3181</f>
        <v>RESAPAUMNewLTLEDELCELC20</v>
      </c>
      <c r="G3180" s="4">
        <f>IF(SUMIFS('RES TECH'!N:N,'RES TECH'!M:M,C3180)&gt;0,1,0)</f>
        <v>1</v>
      </c>
      <c r="H3180" s="4">
        <f t="shared" si="49"/>
        <v>0</v>
      </c>
    </row>
    <row r="3181" spans="3:8" x14ac:dyDescent="0.25">
      <c r="C3181" t="str">
        <f>'RES TECH'!M3182</f>
        <v>RESAPAUMNewLTLEDELCELC20</v>
      </c>
      <c r="G3181" s="4">
        <f>IF(SUMIFS('RES TECH'!N:N,'RES TECH'!M:M,C3181)&gt;0,1,0)</f>
        <v>1</v>
      </c>
      <c r="H3181" s="4">
        <f t="shared" si="49"/>
        <v>0</v>
      </c>
    </row>
    <row r="3182" spans="3:8" x14ac:dyDescent="0.25">
      <c r="C3182" t="str">
        <f>'RES TECH'!M3183</f>
        <v>RESAPAUMNewLTLEDELCELC20</v>
      </c>
      <c r="G3182" s="4">
        <f>IF(SUMIFS('RES TECH'!N:N,'RES TECH'!M:M,C3182)&gt;0,1,0)</f>
        <v>1</v>
      </c>
      <c r="H3182" s="4">
        <f t="shared" si="49"/>
        <v>0</v>
      </c>
    </row>
    <row r="3183" spans="3:8" x14ac:dyDescent="0.25">
      <c r="C3183" t="str">
        <f>'RES TECH'!M3184</f>
        <v>RESAPAUMNewLTLEDELCELC21</v>
      </c>
      <c r="G3183" s="4">
        <f>IF(SUMIFS('RES TECH'!N:N,'RES TECH'!M:M,C3183)&gt;0,1,0)</f>
        <v>1</v>
      </c>
      <c r="H3183" s="4">
        <f t="shared" si="49"/>
        <v>0</v>
      </c>
    </row>
    <row r="3184" spans="3:8" x14ac:dyDescent="0.25">
      <c r="C3184" t="str">
        <f>'RES TECH'!M3185</f>
        <v>RESAPAUMNewLTLEDELCELC22</v>
      </c>
      <c r="G3184" s="4">
        <f>IF(SUMIFS('RES TECH'!N:N,'RES TECH'!M:M,C3184)&gt;0,1,0)</f>
        <v>1</v>
      </c>
      <c r="H3184" s="4">
        <f t="shared" si="49"/>
        <v>0</v>
      </c>
    </row>
    <row r="3185" spans="3:8" x14ac:dyDescent="0.25">
      <c r="C3185" t="str">
        <f>'RES TECH'!M3186</f>
        <v>RESAPAUMNewLTLEDELCELC23</v>
      </c>
      <c r="G3185" s="4">
        <f>IF(SUMIFS('RES TECH'!N:N,'RES TECH'!M:M,C3185)&gt;0,1,0)</f>
        <v>1</v>
      </c>
      <c r="H3185" s="4">
        <f t="shared" si="49"/>
        <v>0</v>
      </c>
    </row>
    <row r="3186" spans="3:8" x14ac:dyDescent="0.25">
      <c r="C3186" t="str">
        <f>'RES TECH'!M3187</f>
        <v>RESAPAUMNewLTLEDELCELC24</v>
      </c>
      <c r="G3186" s="4">
        <f>IF(SUMIFS('RES TECH'!N:N,'RES TECH'!M:M,C3186)&gt;0,1,0)</f>
        <v>1</v>
      </c>
      <c r="H3186" s="4">
        <f t="shared" si="49"/>
        <v>0</v>
      </c>
    </row>
    <row r="3187" spans="3:8" x14ac:dyDescent="0.25">
      <c r="C3187" t="str">
        <f>'RES TECH'!M3188</f>
        <v>RESAPAUMNewLTLEDELCELC25</v>
      </c>
      <c r="G3187" s="4">
        <f>IF(SUMIFS('RES TECH'!N:N,'RES TECH'!M:M,C3187)&gt;0,1,0)</f>
        <v>1</v>
      </c>
      <c r="H3187" s="4">
        <f t="shared" si="49"/>
        <v>0</v>
      </c>
    </row>
    <row r="3188" spans="3:8" x14ac:dyDescent="0.25">
      <c r="C3188" t="str">
        <f>'RES TECH'!M3189</f>
        <v>RESAPAUMNewLTLEDELCELC30</v>
      </c>
      <c r="G3188" s="4">
        <f>IF(SUMIFS('RES TECH'!N:N,'RES TECH'!M:M,C3188)&gt;0,1,0)</f>
        <v>1</v>
      </c>
      <c r="H3188" s="4">
        <f t="shared" si="49"/>
        <v>0</v>
      </c>
    </row>
    <row r="3189" spans="3:8" x14ac:dyDescent="0.25">
      <c r="C3189" t="str">
        <f>'RES TECH'!M3190</f>
        <v>RESAPAUMNewLTLEDELCELC40</v>
      </c>
      <c r="G3189" s="4">
        <f>IF(SUMIFS('RES TECH'!N:N,'RES TECH'!M:M,C3189)&gt;0,1,0)</f>
        <v>1</v>
      </c>
      <c r="H3189" s="4">
        <f t="shared" si="49"/>
        <v>0</v>
      </c>
    </row>
    <row r="3190" spans="3:8" x14ac:dyDescent="0.25">
      <c r="C3190" t="str">
        <f>'RES TECH'!M3191</f>
        <v>RESAPAUMNewLTINCELCELC20</v>
      </c>
      <c r="G3190" s="4">
        <f>IF(SUMIFS('RES TECH'!N:N,'RES TECH'!M:M,C3190)&gt;0,1,0)</f>
        <v>1</v>
      </c>
      <c r="H3190" s="4">
        <f t="shared" si="49"/>
        <v>0</v>
      </c>
    </row>
    <row r="3191" spans="3:8" x14ac:dyDescent="0.25">
      <c r="C3191" t="str">
        <f>'RES TECH'!M3192</f>
        <v>RESAPAUMNewLTINCELCELC22</v>
      </c>
      <c r="G3191" s="4">
        <f>IF(SUMIFS('RES TECH'!N:N,'RES TECH'!M:M,C3191)&gt;0,1,0)</f>
        <v>1</v>
      </c>
      <c r="H3191" s="4">
        <f t="shared" si="49"/>
        <v>0</v>
      </c>
    </row>
    <row r="3192" spans="3:8" x14ac:dyDescent="0.25">
      <c r="C3192" t="str">
        <f>'RES TECH'!M3193</f>
        <v>RESAPAUMNewLTFLUT12ELC20</v>
      </c>
      <c r="G3192" s="4">
        <f>IF(SUMIFS('RES TECH'!N:N,'RES TECH'!M:M,C3192)&gt;0,1,0)</f>
        <v>1</v>
      </c>
      <c r="H3192" s="4">
        <f t="shared" si="49"/>
        <v>0</v>
      </c>
    </row>
    <row r="3193" spans="3:8" x14ac:dyDescent="0.25">
      <c r="C3193" t="str">
        <f>'RES TECH'!M3194</f>
        <v>RESAPAUMNewLTFLUT8ELC20</v>
      </c>
      <c r="G3193" s="4">
        <f>IF(SUMIFS('RES TECH'!N:N,'RES TECH'!M:M,C3193)&gt;0,1,0)</f>
        <v>1</v>
      </c>
      <c r="H3193" s="4">
        <f t="shared" si="49"/>
        <v>0</v>
      </c>
    </row>
    <row r="3194" spans="3:8" x14ac:dyDescent="0.25">
      <c r="C3194" t="str">
        <f>'RES TECH'!M3195</f>
        <v>RESAPAUMNewLTFLUT8ELC20</v>
      </c>
      <c r="G3194" s="4">
        <f>IF(SUMIFS('RES TECH'!N:N,'RES TECH'!M:M,C3194)&gt;0,1,0)</f>
        <v>1</v>
      </c>
      <c r="H3194" s="4">
        <f t="shared" si="49"/>
        <v>0</v>
      </c>
    </row>
    <row r="3195" spans="3:8" x14ac:dyDescent="0.25">
      <c r="C3195" t="str">
        <f>'RES TECH'!M3196</f>
        <v>RESAPAUMNewLTFLUT8ELC22</v>
      </c>
      <c r="G3195" s="4">
        <f>IF(SUMIFS('RES TECH'!N:N,'RES TECH'!M:M,C3195)&gt;0,1,0)</f>
        <v>1</v>
      </c>
      <c r="H3195" s="4">
        <f t="shared" si="49"/>
        <v>0</v>
      </c>
    </row>
    <row r="3196" spans="3:8" x14ac:dyDescent="0.25">
      <c r="C3196" t="str">
        <f>'RES TECH'!M3197</f>
        <v>RESAPAUMNewLTFLUT8ELC30</v>
      </c>
      <c r="G3196" s="4">
        <f>IF(SUMIFS('RES TECH'!N:N,'RES TECH'!M:M,C3196)&gt;0,1,0)</f>
        <v>1</v>
      </c>
      <c r="H3196" s="4">
        <f t="shared" si="49"/>
        <v>0</v>
      </c>
    </row>
    <row r="3197" spans="3:8" x14ac:dyDescent="0.25">
      <c r="C3197" t="str">
        <f>'RES TECH'!M3198</f>
        <v>RESAPAUMNewLTFLUT8ELC40</v>
      </c>
      <c r="G3197" s="4">
        <f>IF(SUMIFS('RES TECH'!N:N,'RES TECH'!M:M,C3197)&gt;0,1,0)</f>
        <v>1</v>
      </c>
      <c r="H3197" s="4">
        <f t="shared" si="49"/>
        <v>0</v>
      </c>
    </row>
    <row r="3198" spans="3:8" x14ac:dyDescent="0.25">
      <c r="C3198" t="str">
        <f>'RES TECH'!M3199</f>
        <v>RESHOUUMNewLTHALELC20</v>
      </c>
      <c r="G3198" s="4">
        <f>IF(SUMIFS('RES TECH'!N:N,'RES TECH'!M:M,C3198)&gt;0,1,0)</f>
        <v>1</v>
      </c>
      <c r="H3198" s="4">
        <f t="shared" si="49"/>
        <v>0</v>
      </c>
    </row>
    <row r="3199" spans="3:8" x14ac:dyDescent="0.25">
      <c r="C3199" t="str">
        <f>'RES TECH'!M3200</f>
        <v>RESHOUUMNewLTHALELC20</v>
      </c>
      <c r="G3199" s="4">
        <f>IF(SUMIFS('RES TECH'!N:N,'RES TECH'!M:M,C3199)&gt;0,1,0)</f>
        <v>1</v>
      </c>
      <c r="H3199" s="4">
        <f t="shared" si="49"/>
        <v>0</v>
      </c>
    </row>
    <row r="3200" spans="3:8" x14ac:dyDescent="0.25">
      <c r="C3200" t="str">
        <f>'RES TECH'!M3201</f>
        <v>RESHOUUMNewLTHALELC22</v>
      </c>
      <c r="G3200" s="4">
        <f>IF(SUMIFS('RES TECH'!N:N,'RES TECH'!M:M,C3200)&gt;0,1,0)</f>
        <v>1</v>
      </c>
      <c r="H3200" s="4">
        <f t="shared" si="49"/>
        <v>0</v>
      </c>
    </row>
    <row r="3201" spans="3:8" x14ac:dyDescent="0.25">
      <c r="C3201" t="str">
        <f>'RES TECH'!M3202</f>
        <v>RESHOUUMNewLTCFLELCELC20</v>
      </c>
      <c r="G3201" s="4">
        <f>IF(SUMIFS('RES TECH'!N:N,'RES TECH'!M:M,C3201)&gt;0,1,0)</f>
        <v>1</v>
      </c>
      <c r="H3201" s="4">
        <f t="shared" si="49"/>
        <v>0</v>
      </c>
    </row>
    <row r="3202" spans="3:8" x14ac:dyDescent="0.25">
      <c r="C3202" t="str">
        <f>'RES TECH'!M3203</f>
        <v>RESHOUUMNewLTCFLELCELC20</v>
      </c>
      <c r="G3202" s="4">
        <f>IF(SUMIFS('RES TECH'!N:N,'RES TECH'!M:M,C3202)&gt;0,1,0)</f>
        <v>1</v>
      </c>
      <c r="H3202" s="4">
        <f t="shared" si="49"/>
        <v>0</v>
      </c>
    </row>
    <row r="3203" spans="3:8" x14ac:dyDescent="0.25">
      <c r="C3203" t="str">
        <f>'RES TECH'!M3204</f>
        <v>RESHOUUMNewLTCFLELCELC22</v>
      </c>
      <c r="G3203" s="4">
        <f>IF(SUMIFS('RES TECH'!N:N,'RES TECH'!M:M,C3203)&gt;0,1,0)</f>
        <v>1</v>
      </c>
      <c r="H3203" s="4">
        <f t="shared" si="49"/>
        <v>0</v>
      </c>
    </row>
    <row r="3204" spans="3:8" x14ac:dyDescent="0.25">
      <c r="C3204" t="str">
        <f>'RES TECH'!M3205</f>
        <v>RESHOUUMNewLTCFLELCELC30</v>
      </c>
      <c r="G3204" s="4">
        <f>IF(SUMIFS('RES TECH'!N:N,'RES TECH'!M:M,C3204)&gt;0,1,0)</f>
        <v>1</v>
      </c>
      <c r="H3204" s="4">
        <f t="shared" si="49"/>
        <v>0</v>
      </c>
    </row>
    <row r="3205" spans="3:8" x14ac:dyDescent="0.25">
      <c r="C3205" t="str">
        <f>'RES TECH'!M3206</f>
        <v>RESHOUUMNewLTCFLELCELC40</v>
      </c>
      <c r="G3205" s="4">
        <f>IF(SUMIFS('RES TECH'!N:N,'RES TECH'!M:M,C3205)&gt;0,1,0)</f>
        <v>1</v>
      </c>
      <c r="H3205" s="4">
        <f t="shared" ref="H3205:H3268" si="50">IF(C3205="","",IF(C3205="*","*",0))</f>
        <v>0</v>
      </c>
    </row>
    <row r="3206" spans="3:8" x14ac:dyDescent="0.25">
      <c r="C3206" t="str">
        <f>'RES TECH'!M3207</f>
        <v>RESHOUUMNewLTLEDELCELC20</v>
      </c>
      <c r="G3206" s="4">
        <f>IF(SUMIFS('RES TECH'!N:N,'RES TECH'!M:M,C3206)&gt;0,1,0)</f>
        <v>1</v>
      </c>
      <c r="H3206" s="4">
        <f t="shared" si="50"/>
        <v>0</v>
      </c>
    </row>
    <row r="3207" spans="3:8" x14ac:dyDescent="0.25">
      <c r="C3207" t="str">
        <f>'RES TECH'!M3208</f>
        <v>RESHOUUMNewLTLEDELCELC20</v>
      </c>
      <c r="G3207" s="4">
        <f>IF(SUMIFS('RES TECH'!N:N,'RES TECH'!M:M,C3207)&gt;0,1,0)</f>
        <v>1</v>
      </c>
      <c r="H3207" s="4">
        <f t="shared" si="50"/>
        <v>0</v>
      </c>
    </row>
    <row r="3208" spans="3:8" x14ac:dyDescent="0.25">
      <c r="C3208" t="str">
        <f>'RES TECH'!M3209</f>
        <v>RESHOUUMNewLTLEDELCELC20</v>
      </c>
      <c r="G3208" s="4">
        <f>IF(SUMIFS('RES TECH'!N:N,'RES TECH'!M:M,C3208)&gt;0,1,0)</f>
        <v>1</v>
      </c>
      <c r="H3208" s="4">
        <f t="shared" si="50"/>
        <v>0</v>
      </c>
    </row>
    <row r="3209" spans="3:8" x14ac:dyDescent="0.25">
      <c r="C3209" t="str">
        <f>'RES TECH'!M3210</f>
        <v>RESHOUUMNewLTLEDELCELC20</v>
      </c>
      <c r="G3209" s="4">
        <f>IF(SUMIFS('RES TECH'!N:N,'RES TECH'!M:M,C3209)&gt;0,1,0)</f>
        <v>1</v>
      </c>
      <c r="H3209" s="4">
        <f t="shared" si="50"/>
        <v>0</v>
      </c>
    </row>
    <row r="3210" spans="3:8" x14ac:dyDescent="0.25">
      <c r="C3210" t="str">
        <f>'RES TECH'!M3211</f>
        <v>RESHOUUMNewLTLEDELCELC20</v>
      </c>
      <c r="G3210" s="4">
        <f>IF(SUMIFS('RES TECH'!N:N,'RES TECH'!M:M,C3210)&gt;0,1,0)</f>
        <v>1</v>
      </c>
      <c r="H3210" s="4">
        <f t="shared" si="50"/>
        <v>0</v>
      </c>
    </row>
    <row r="3211" spans="3:8" x14ac:dyDescent="0.25">
      <c r="C3211" t="str">
        <f>'RES TECH'!M3212</f>
        <v>RESHOUUMNewLTLEDELCELC20</v>
      </c>
      <c r="G3211" s="4">
        <f>IF(SUMIFS('RES TECH'!N:N,'RES TECH'!M:M,C3211)&gt;0,1,0)</f>
        <v>1</v>
      </c>
      <c r="H3211" s="4">
        <f t="shared" si="50"/>
        <v>0</v>
      </c>
    </row>
    <row r="3212" spans="3:8" x14ac:dyDescent="0.25">
      <c r="C3212" t="str">
        <f>'RES TECH'!M3213</f>
        <v>RESHOUUMNewLTLEDELCELC21</v>
      </c>
      <c r="G3212" s="4">
        <f>IF(SUMIFS('RES TECH'!N:N,'RES TECH'!M:M,C3212)&gt;0,1,0)</f>
        <v>1</v>
      </c>
      <c r="H3212" s="4">
        <f t="shared" si="50"/>
        <v>0</v>
      </c>
    </row>
    <row r="3213" spans="3:8" x14ac:dyDescent="0.25">
      <c r="C3213" t="str">
        <f>'RES TECH'!M3214</f>
        <v>RESHOUUMNewLTLEDELCELC22</v>
      </c>
      <c r="G3213" s="4">
        <f>IF(SUMIFS('RES TECH'!N:N,'RES TECH'!M:M,C3213)&gt;0,1,0)</f>
        <v>1</v>
      </c>
      <c r="H3213" s="4">
        <f t="shared" si="50"/>
        <v>0</v>
      </c>
    </row>
    <row r="3214" spans="3:8" x14ac:dyDescent="0.25">
      <c r="C3214" t="str">
        <f>'RES TECH'!M3215</f>
        <v>RESHOUUMNewLTLEDELCELC23</v>
      </c>
      <c r="G3214" s="4">
        <f>IF(SUMIFS('RES TECH'!N:N,'RES TECH'!M:M,C3214)&gt;0,1,0)</f>
        <v>1</v>
      </c>
      <c r="H3214" s="4">
        <f t="shared" si="50"/>
        <v>0</v>
      </c>
    </row>
    <row r="3215" spans="3:8" x14ac:dyDescent="0.25">
      <c r="C3215" t="str">
        <f>'RES TECH'!M3216</f>
        <v>RESHOUUMNewLTLEDELCELC24</v>
      </c>
      <c r="G3215" s="4">
        <f>IF(SUMIFS('RES TECH'!N:N,'RES TECH'!M:M,C3215)&gt;0,1,0)</f>
        <v>1</v>
      </c>
      <c r="H3215" s="4">
        <f t="shared" si="50"/>
        <v>0</v>
      </c>
    </row>
    <row r="3216" spans="3:8" x14ac:dyDescent="0.25">
      <c r="C3216" t="str">
        <f>'RES TECH'!M3217</f>
        <v>RESHOUUMNewLTLEDELCELC25</v>
      </c>
      <c r="G3216" s="4">
        <f>IF(SUMIFS('RES TECH'!N:N,'RES TECH'!M:M,C3216)&gt;0,1,0)</f>
        <v>1</v>
      </c>
      <c r="H3216" s="4">
        <f t="shared" si="50"/>
        <v>0</v>
      </c>
    </row>
    <row r="3217" spans="3:8" x14ac:dyDescent="0.25">
      <c r="C3217" t="str">
        <f>'RES TECH'!M3218</f>
        <v>RESHOUUMNewLTLEDELCELC30</v>
      </c>
      <c r="G3217" s="4">
        <f>IF(SUMIFS('RES TECH'!N:N,'RES TECH'!M:M,C3217)&gt;0,1,0)</f>
        <v>1</v>
      </c>
      <c r="H3217" s="4">
        <f t="shared" si="50"/>
        <v>0</v>
      </c>
    </row>
    <row r="3218" spans="3:8" x14ac:dyDescent="0.25">
      <c r="C3218" t="str">
        <f>'RES TECH'!M3219</f>
        <v>RESHOUUMNewLTLEDELCELC40</v>
      </c>
      <c r="G3218" s="4">
        <f>IF(SUMIFS('RES TECH'!N:N,'RES TECH'!M:M,C3218)&gt;0,1,0)</f>
        <v>1</v>
      </c>
      <c r="H3218" s="4">
        <f t="shared" si="50"/>
        <v>0</v>
      </c>
    </row>
    <row r="3219" spans="3:8" x14ac:dyDescent="0.25">
      <c r="C3219" t="str">
        <f>'RES TECH'!M3220</f>
        <v>RESHOUUMNewLTINCELCELC20</v>
      </c>
      <c r="G3219" s="4">
        <f>IF(SUMIFS('RES TECH'!N:N,'RES TECH'!M:M,C3219)&gt;0,1,0)</f>
        <v>1</v>
      </c>
      <c r="H3219" s="4">
        <f t="shared" si="50"/>
        <v>0</v>
      </c>
    </row>
    <row r="3220" spans="3:8" x14ac:dyDescent="0.25">
      <c r="C3220" t="str">
        <f>'RES TECH'!M3221</f>
        <v>RESHOUUMNewLTINCELCELC22</v>
      </c>
      <c r="G3220" s="4">
        <f>IF(SUMIFS('RES TECH'!N:N,'RES TECH'!M:M,C3220)&gt;0,1,0)</f>
        <v>1</v>
      </c>
      <c r="H3220" s="4">
        <f t="shared" si="50"/>
        <v>0</v>
      </c>
    </row>
    <row r="3221" spans="3:8" x14ac:dyDescent="0.25">
      <c r="C3221" t="str">
        <f>'RES TECH'!M3222</f>
        <v>RESHOUUMNewLTFLUT12ELC20</v>
      </c>
      <c r="G3221" s="4">
        <f>IF(SUMIFS('RES TECH'!N:N,'RES TECH'!M:M,C3221)&gt;0,1,0)</f>
        <v>1</v>
      </c>
      <c r="H3221" s="4">
        <f t="shared" si="50"/>
        <v>0</v>
      </c>
    </row>
    <row r="3222" spans="3:8" x14ac:dyDescent="0.25">
      <c r="C3222" t="str">
        <f>'RES TECH'!M3223</f>
        <v>RESHOUUMNewLTFLUT8ELC20</v>
      </c>
      <c r="G3222" s="4">
        <f>IF(SUMIFS('RES TECH'!N:N,'RES TECH'!M:M,C3222)&gt;0,1,0)</f>
        <v>1</v>
      </c>
      <c r="H3222" s="4">
        <f t="shared" si="50"/>
        <v>0</v>
      </c>
    </row>
    <row r="3223" spans="3:8" x14ac:dyDescent="0.25">
      <c r="C3223" t="str">
        <f>'RES TECH'!M3224</f>
        <v>RESHOUUMNewLTFLUT8ELC20</v>
      </c>
      <c r="G3223" s="4">
        <f>IF(SUMIFS('RES TECH'!N:N,'RES TECH'!M:M,C3223)&gt;0,1,0)</f>
        <v>1</v>
      </c>
      <c r="H3223" s="4">
        <f t="shared" si="50"/>
        <v>0</v>
      </c>
    </row>
    <row r="3224" spans="3:8" x14ac:dyDescent="0.25">
      <c r="C3224" t="str">
        <f>'RES TECH'!M3225</f>
        <v>RESHOUUMNewLTFLUT8ELC22</v>
      </c>
      <c r="G3224" s="4">
        <f>IF(SUMIFS('RES TECH'!N:N,'RES TECH'!M:M,C3224)&gt;0,1,0)</f>
        <v>1</v>
      </c>
      <c r="H3224" s="4">
        <f t="shared" si="50"/>
        <v>0</v>
      </c>
    </row>
    <row r="3225" spans="3:8" x14ac:dyDescent="0.25">
      <c r="C3225" t="str">
        <f>'RES TECH'!M3226</f>
        <v>RESHOUUMNewLTFLUT8ELC30</v>
      </c>
      <c r="G3225" s="4">
        <f>IF(SUMIFS('RES TECH'!N:N,'RES TECH'!M:M,C3225)&gt;0,1,0)</f>
        <v>1</v>
      </c>
      <c r="H3225" s="4">
        <f t="shared" si="50"/>
        <v>0</v>
      </c>
    </row>
    <row r="3226" spans="3:8" x14ac:dyDescent="0.25">
      <c r="C3226" t="str">
        <f>'RES TECH'!M3227</f>
        <v>RESHOUUMNewLTFLUT8ELC40</v>
      </c>
      <c r="G3226" s="4">
        <f>IF(SUMIFS('RES TECH'!N:N,'RES TECH'!M:M,C3226)&gt;0,1,0)</f>
        <v>1</v>
      </c>
      <c r="H3226" s="4">
        <f t="shared" si="50"/>
        <v>0</v>
      </c>
    </row>
    <row r="3227" spans="3:8" x14ac:dyDescent="0.25">
      <c r="C3227" t="str">
        <f>'RES TECH'!M3228</f>
        <v>RESAPAHINewLTHALELC20</v>
      </c>
      <c r="G3227" s="4">
        <f>IF(SUMIFS('RES TECH'!N:N,'RES TECH'!M:M,C3227)&gt;0,1,0)</f>
        <v>1</v>
      </c>
      <c r="H3227" s="4">
        <f t="shared" si="50"/>
        <v>0</v>
      </c>
    </row>
    <row r="3228" spans="3:8" x14ac:dyDescent="0.25">
      <c r="C3228" t="str">
        <f>'RES TECH'!M3229</f>
        <v>RESAPAHINewLTHALELC20</v>
      </c>
      <c r="G3228" s="4">
        <f>IF(SUMIFS('RES TECH'!N:N,'RES TECH'!M:M,C3228)&gt;0,1,0)</f>
        <v>1</v>
      </c>
      <c r="H3228" s="4">
        <f t="shared" si="50"/>
        <v>0</v>
      </c>
    </row>
    <row r="3229" spans="3:8" x14ac:dyDescent="0.25">
      <c r="C3229" t="str">
        <f>'RES TECH'!M3230</f>
        <v>RESAPAHINewLTHALELC22</v>
      </c>
      <c r="G3229" s="4">
        <f>IF(SUMIFS('RES TECH'!N:N,'RES TECH'!M:M,C3229)&gt;0,1,0)</f>
        <v>1</v>
      </c>
      <c r="H3229" s="4">
        <f t="shared" si="50"/>
        <v>0</v>
      </c>
    </row>
    <row r="3230" spans="3:8" x14ac:dyDescent="0.25">
      <c r="C3230" t="str">
        <f>'RES TECH'!M3231</f>
        <v>RESAPAHINewLTCFLELCELC20</v>
      </c>
      <c r="G3230" s="4">
        <f>IF(SUMIFS('RES TECH'!N:N,'RES TECH'!M:M,C3230)&gt;0,1,0)</f>
        <v>1</v>
      </c>
      <c r="H3230" s="4">
        <f t="shared" si="50"/>
        <v>0</v>
      </c>
    </row>
    <row r="3231" spans="3:8" x14ac:dyDescent="0.25">
      <c r="C3231" t="str">
        <f>'RES TECH'!M3232</f>
        <v>RESAPAHINewLTCFLELCELC20</v>
      </c>
      <c r="G3231" s="4">
        <f>IF(SUMIFS('RES TECH'!N:N,'RES TECH'!M:M,C3231)&gt;0,1,0)</f>
        <v>1</v>
      </c>
      <c r="H3231" s="4">
        <f t="shared" si="50"/>
        <v>0</v>
      </c>
    </row>
    <row r="3232" spans="3:8" x14ac:dyDescent="0.25">
      <c r="C3232" t="str">
        <f>'RES TECH'!M3233</f>
        <v>RESAPAHINewLTCFLELCELC22</v>
      </c>
      <c r="G3232" s="4">
        <f>IF(SUMIFS('RES TECH'!N:N,'RES TECH'!M:M,C3232)&gt;0,1,0)</f>
        <v>1</v>
      </c>
      <c r="H3232" s="4">
        <f t="shared" si="50"/>
        <v>0</v>
      </c>
    </row>
    <row r="3233" spans="3:8" x14ac:dyDescent="0.25">
      <c r="C3233" t="str">
        <f>'RES TECH'!M3234</f>
        <v>RESAPAHINewLTCFLELCELC30</v>
      </c>
      <c r="G3233" s="4">
        <f>IF(SUMIFS('RES TECH'!N:N,'RES TECH'!M:M,C3233)&gt;0,1,0)</f>
        <v>1</v>
      </c>
      <c r="H3233" s="4">
        <f t="shared" si="50"/>
        <v>0</v>
      </c>
    </row>
    <row r="3234" spans="3:8" x14ac:dyDescent="0.25">
      <c r="C3234" t="str">
        <f>'RES TECH'!M3235</f>
        <v>RESAPAHINewLTCFLELCELC40</v>
      </c>
      <c r="G3234" s="4">
        <f>IF(SUMIFS('RES TECH'!N:N,'RES TECH'!M:M,C3234)&gt;0,1,0)</f>
        <v>1</v>
      </c>
      <c r="H3234" s="4">
        <f t="shared" si="50"/>
        <v>0</v>
      </c>
    </row>
    <row r="3235" spans="3:8" x14ac:dyDescent="0.25">
      <c r="C3235" t="str">
        <f>'RES TECH'!M3236</f>
        <v>RESAPAHINewLTLEDELCELC20</v>
      </c>
      <c r="G3235" s="4">
        <f>IF(SUMIFS('RES TECH'!N:N,'RES TECH'!M:M,C3235)&gt;0,1,0)</f>
        <v>1</v>
      </c>
      <c r="H3235" s="4">
        <f t="shared" si="50"/>
        <v>0</v>
      </c>
    </row>
    <row r="3236" spans="3:8" x14ac:dyDescent="0.25">
      <c r="C3236" t="str">
        <f>'RES TECH'!M3237</f>
        <v>RESAPAHINewLTLEDELCELC20</v>
      </c>
      <c r="G3236" s="4">
        <f>IF(SUMIFS('RES TECH'!N:N,'RES TECH'!M:M,C3236)&gt;0,1,0)</f>
        <v>1</v>
      </c>
      <c r="H3236" s="4">
        <f t="shared" si="50"/>
        <v>0</v>
      </c>
    </row>
    <row r="3237" spans="3:8" x14ac:dyDescent="0.25">
      <c r="C3237" t="str">
        <f>'RES TECH'!M3238</f>
        <v>RESAPAHINewLTLEDELCELC20</v>
      </c>
      <c r="G3237" s="4">
        <f>IF(SUMIFS('RES TECH'!N:N,'RES TECH'!M:M,C3237)&gt;0,1,0)</f>
        <v>1</v>
      </c>
      <c r="H3237" s="4">
        <f t="shared" si="50"/>
        <v>0</v>
      </c>
    </row>
    <row r="3238" spans="3:8" x14ac:dyDescent="0.25">
      <c r="C3238" t="str">
        <f>'RES TECH'!M3239</f>
        <v>RESAPAHINewLTLEDELCELC20</v>
      </c>
      <c r="G3238" s="4">
        <f>IF(SUMIFS('RES TECH'!N:N,'RES TECH'!M:M,C3238)&gt;0,1,0)</f>
        <v>1</v>
      </c>
      <c r="H3238" s="4">
        <f t="shared" si="50"/>
        <v>0</v>
      </c>
    </row>
    <row r="3239" spans="3:8" x14ac:dyDescent="0.25">
      <c r="C3239" t="str">
        <f>'RES TECH'!M3240</f>
        <v>RESAPAHINewLTLEDELCELC20</v>
      </c>
      <c r="G3239" s="4">
        <f>IF(SUMIFS('RES TECH'!N:N,'RES TECH'!M:M,C3239)&gt;0,1,0)</f>
        <v>1</v>
      </c>
      <c r="H3239" s="4">
        <f t="shared" si="50"/>
        <v>0</v>
      </c>
    </row>
    <row r="3240" spans="3:8" x14ac:dyDescent="0.25">
      <c r="C3240" t="str">
        <f>'RES TECH'!M3241</f>
        <v>RESAPAHINewLTLEDELCELC20</v>
      </c>
      <c r="G3240" s="4">
        <f>IF(SUMIFS('RES TECH'!N:N,'RES TECH'!M:M,C3240)&gt;0,1,0)</f>
        <v>1</v>
      </c>
      <c r="H3240" s="4">
        <f t="shared" si="50"/>
        <v>0</v>
      </c>
    </row>
    <row r="3241" spans="3:8" x14ac:dyDescent="0.25">
      <c r="C3241" t="str">
        <f>'RES TECH'!M3242</f>
        <v>RESAPAHINewLTLEDELCELC21</v>
      </c>
      <c r="G3241" s="4">
        <f>IF(SUMIFS('RES TECH'!N:N,'RES TECH'!M:M,C3241)&gt;0,1,0)</f>
        <v>1</v>
      </c>
      <c r="H3241" s="4">
        <f t="shared" si="50"/>
        <v>0</v>
      </c>
    </row>
    <row r="3242" spans="3:8" x14ac:dyDescent="0.25">
      <c r="C3242" t="str">
        <f>'RES TECH'!M3243</f>
        <v>RESAPAHINewLTLEDELCELC22</v>
      </c>
      <c r="G3242" s="4">
        <f>IF(SUMIFS('RES TECH'!N:N,'RES TECH'!M:M,C3242)&gt;0,1,0)</f>
        <v>1</v>
      </c>
      <c r="H3242" s="4">
        <f t="shared" si="50"/>
        <v>0</v>
      </c>
    </row>
    <row r="3243" spans="3:8" x14ac:dyDescent="0.25">
      <c r="C3243" t="str">
        <f>'RES TECH'!M3244</f>
        <v>RESAPAHINewLTLEDELCELC23</v>
      </c>
      <c r="G3243" s="4">
        <f>IF(SUMIFS('RES TECH'!N:N,'RES TECH'!M:M,C3243)&gt;0,1,0)</f>
        <v>1</v>
      </c>
      <c r="H3243" s="4">
        <f t="shared" si="50"/>
        <v>0</v>
      </c>
    </row>
    <row r="3244" spans="3:8" x14ac:dyDescent="0.25">
      <c r="C3244" t="str">
        <f>'RES TECH'!M3245</f>
        <v>RESAPAHINewLTLEDELCELC24</v>
      </c>
      <c r="G3244" s="4">
        <f>IF(SUMIFS('RES TECH'!N:N,'RES TECH'!M:M,C3244)&gt;0,1,0)</f>
        <v>1</v>
      </c>
      <c r="H3244" s="4">
        <f t="shared" si="50"/>
        <v>0</v>
      </c>
    </row>
    <row r="3245" spans="3:8" x14ac:dyDescent="0.25">
      <c r="C3245" t="str">
        <f>'RES TECH'!M3246</f>
        <v>RESAPAHINewLTLEDELCELC25</v>
      </c>
      <c r="G3245" s="4">
        <f>IF(SUMIFS('RES TECH'!N:N,'RES TECH'!M:M,C3245)&gt;0,1,0)</f>
        <v>1</v>
      </c>
      <c r="H3245" s="4">
        <f t="shared" si="50"/>
        <v>0</v>
      </c>
    </row>
    <row r="3246" spans="3:8" x14ac:dyDescent="0.25">
      <c r="C3246" t="str">
        <f>'RES TECH'!M3247</f>
        <v>RESAPAHINewLTLEDELCELC30</v>
      </c>
      <c r="G3246" s="4">
        <f>IF(SUMIFS('RES TECH'!N:N,'RES TECH'!M:M,C3246)&gt;0,1,0)</f>
        <v>1</v>
      </c>
      <c r="H3246" s="4">
        <f t="shared" si="50"/>
        <v>0</v>
      </c>
    </row>
    <row r="3247" spans="3:8" x14ac:dyDescent="0.25">
      <c r="C3247" t="str">
        <f>'RES TECH'!M3248</f>
        <v>RESAPAHINewLTLEDELCELC40</v>
      </c>
      <c r="G3247" s="4">
        <f>IF(SUMIFS('RES TECH'!N:N,'RES TECH'!M:M,C3247)&gt;0,1,0)</f>
        <v>1</v>
      </c>
      <c r="H3247" s="4">
        <f t="shared" si="50"/>
        <v>0</v>
      </c>
    </row>
    <row r="3248" spans="3:8" x14ac:dyDescent="0.25">
      <c r="C3248" t="str">
        <f>'RES TECH'!M3249</f>
        <v>RESAPAHINewLTINCELCELC20</v>
      </c>
      <c r="G3248" s="4">
        <f>IF(SUMIFS('RES TECH'!N:N,'RES TECH'!M:M,C3248)&gt;0,1,0)</f>
        <v>1</v>
      </c>
      <c r="H3248" s="4">
        <f t="shared" si="50"/>
        <v>0</v>
      </c>
    </row>
    <row r="3249" spans="3:8" x14ac:dyDescent="0.25">
      <c r="C3249" t="str">
        <f>'RES TECH'!M3250</f>
        <v>RESAPAHINewLTINCELCELC22</v>
      </c>
      <c r="G3249" s="4">
        <f>IF(SUMIFS('RES TECH'!N:N,'RES TECH'!M:M,C3249)&gt;0,1,0)</f>
        <v>1</v>
      </c>
      <c r="H3249" s="4">
        <f t="shared" si="50"/>
        <v>0</v>
      </c>
    </row>
    <row r="3250" spans="3:8" x14ac:dyDescent="0.25">
      <c r="C3250" t="str">
        <f>'RES TECH'!M3251</f>
        <v>RESAPAHINewLTFLUT12ELC20</v>
      </c>
      <c r="G3250" s="4">
        <f>IF(SUMIFS('RES TECH'!N:N,'RES TECH'!M:M,C3250)&gt;0,1,0)</f>
        <v>1</v>
      </c>
      <c r="H3250" s="4">
        <f t="shared" si="50"/>
        <v>0</v>
      </c>
    </row>
    <row r="3251" spans="3:8" x14ac:dyDescent="0.25">
      <c r="C3251" t="str">
        <f>'RES TECH'!M3252</f>
        <v>RESAPAHINewLTFLUT8ELC20</v>
      </c>
      <c r="G3251" s="4">
        <f>IF(SUMIFS('RES TECH'!N:N,'RES TECH'!M:M,C3251)&gt;0,1,0)</f>
        <v>1</v>
      </c>
      <c r="H3251" s="4">
        <f t="shared" si="50"/>
        <v>0</v>
      </c>
    </row>
    <row r="3252" spans="3:8" x14ac:dyDescent="0.25">
      <c r="C3252" t="str">
        <f>'RES TECH'!M3253</f>
        <v>RESAPAHINewLTFLUT8ELC20</v>
      </c>
      <c r="G3252" s="4">
        <f>IF(SUMIFS('RES TECH'!N:N,'RES TECH'!M:M,C3252)&gt;0,1,0)</f>
        <v>1</v>
      </c>
      <c r="H3252" s="4">
        <f t="shared" si="50"/>
        <v>0</v>
      </c>
    </row>
    <row r="3253" spans="3:8" x14ac:dyDescent="0.25">
      <c r="C3253" t="str">
        <f>'RES TECH'!M3254</f>
        <v>RESAPAHINewLTFLUT8ELC22</v>
      </c>
      <c r="G3253" s="4">
        <f>IF(SUMIFS('RES TECH'!N:N,'RES TECH'!M:M,C3253)&gt;0,1,0)</f>
        <v>1</v>
      </c>
      <c r="H3253" s="4">
        <f t="shared" si="50"/>
        <v>0</v>
      </c>
    </row>
    <row r="3254" spans="3:8" x14ac:dyDescent="0.25">
      <c r="C3254" t="str">
        <f>'RES TECH'!M3255</f>
        <v>RESAPAHINewLTFLUT8ELC30</v>
      </c>
      <c r="G3254" s="4">
        <f>IF(SUMIFS('RES TECH'!N:N,'RES TECH'!M:M,C3254)&gt;0,1,0)</f>
        <v>1</v>
      </c>
      <c r="H3254" s="4">
        <f t="shared" si="50"/>
        <v>0</v>
      </c>
    </row>
    <row r="3255" spans="3:8" x14ac:dyDescent="0.25">
      <c r="C3255" t="str">
        <f>'RES TECH'!M3256</f>
        <v>RESAPAHINewLTFLUT8ELC40</v>
      </c>
      <c r="G3255" s="4">
        <f>IF(SUMIFS('RES TECH'!N:N,'RES TECH'!M:M,C3255)&gt;0,1,0)</f>
        <v>1</v>
      </c>
      <c r="H3255" s="4">
        <f t="shared" si="50"/>
        <v>0</v>
      </c>
    </row>
    <row r="3256" spans="3:8" x14ac:dyDescent="0.25">
      <c r="C3256" t="str">
        <f>'RES TECH'!M3257</f>
        <v>RESHOUHINewLTHALELC20</v>
      </c>
      <c r="G3256" s="4">
        <f>IF(SUMIFS('RES TECH'!N:N,'RES TECH'!M:M,C3256)&gt;0,1,0)</f>
        <v>1</v>
      </c>
      <c r="H3256" s="4">
        <f t="shared" si="50"/>
        <v>0</v>
      </c>
    </row>
    <row r="3257" spans="3:8" x14ac:dyDescent="0.25">
      <c r="C3257" t="str">
        <f>'RES TECH'!M3258</f>
        <v>RESHOUHINewLTHALELC20</v>
      </c>
      <c r="G3257" s="4">
        <f>IF(SUMIFS('RES TECH'!N:N,'RES TECH'!M:M,C3257)&gt;0,1,0)</f>
        <v>1</v>
      </c>
      <c r="H3257" s="4">
        <f t="shared" si="50"/>
        <v>0</v>
      </c>
    </row>
    <row r="3258" spans="3:8" x14ac:dyDescent="0.25">
      <c r="C3258" t="str">
        <f>'RES TECH'!M3259</f>
        <v>RESHOUHINewLTHALELC22</v>
      </c>
      <c r="G3258" s="4">
        <f>IF(SUMIFS('RES TECH'!N:N,'RES TECH'!M:M,C3258)&gt;0,1,0)</f>
        <v>1</v>
      </c>
      <c r="H3258" s="4">
        <f t="shared" si="50"/>
        <v>0</v>
      </c>
    </row>
    <row r="3259" spans="3:8" x14ac:dyDescent="0.25">
      <c r="C3259" t="str">
        <f>'RES TECH'!M3260</f>
        <v>RESHOUHINewLTCFLELCELC20</v>
      </c>
      <c r="G3259" s="4">
        <f>IF(SUMIFS('RES TECH'!N:N,'RES TECH'!M:M,C3259)&gt;0,1,0)</f>
        <v>1</v>
      </c>
      <c r="H3259" s="4">
        <f t="shared" si="50"/>
        <v>0</v>
      </c>
    </row>
    <row r="3260" spans="3:8" x14ac:dyDescent="0.25">
      <c r="C3260" t="str">
        <f>'RES TECH'!M3261</f>
        <v>RESHOUHINewLTCFLELCELC20</v>
      </c>
      <c r="G3260" s="4">
        <f>IF(SUMIFS('RES TECH'!N:N,'RES TECH'!M:M,C3260)&gt;0,1,0)</f>
        <v>1</v>
      </c>
      <c r="H3260" s="4">
        <f t="shared" si="50"/>
        <v>0</v>
      </c>
    </row>
    <row r="3261" spans="3:8" x14ac:dyDescent="0.25">
      <c r="C3261" t="str">
        <f>'RES TECH'!M3262</f>
        <v>RESHOUHINewLTCFLELCELC22</v>
      </c>
      <c r="G3261" s="4">
        <f>IF(SUMIFS('RES TECH'!N:N,'RES TECH'!M:M,C3261)&gt;0,1,0)</f>
        <v>1</v>
      </c>
      <c r="H3261" s="4">
        <f t="shared" si="50"/>
        <v>0</v>
      </c>
    </row>
    <row r="3262" spans="3:8" x14ac:dyDescent="0.25">
      <c r="C3262" t="str">
        <f>'RES TECH'!M3263</f>
        <v>RESHOUHINewLTCFLELCELC30</v>
      </c>
      <c r="G3262" s="4">
        <f>IF(SUMIFS('RES TECH'!N:N,'RES TECH'!M:M,C3262)&gt;0,1,0)</f>
        <v>1</v>
      </c>
      <c r="H3262" s="4">
        <f t="shared" si="50"/>
        <v>0</v>
      </c>
    </row>
    <row r="3263" spans="3:8" x14ac:dyDescent="0.25">
      <c r="C3263" t="str">
        <f>'RES TECH'!M3264</f>
        <v>RESHOUHINewLTCFLELCELC40</v>
      </c>
      <c r="G3263" s="4">
        <f>IF(SUMIFS('RES TECH'!N:N,'RES TECH'!M:M,C3263)&gt;0,1,0)</f>
        <v>1</v>
      </c>
      <c r="H3263" s="4">
        <f t="shared" si="50"/>
        <v>0</v>
      </c>
    </row>
    <row r="3264" spans="3:8" x14ac:dyDescent="0.25">
      <c r="C3264" t="str">
        <f>'RES TECH'!M3265</f>
        <v>RESHOUHINewLTLEDELCELC20</v>
      </c>
      <c r="G3264" s="4">
        <f>IF(SUMIFS('RES TECH'!N:N,'RES TECH'!M:M,C3264)&gt;0,1,0)</f>
        <v>1</v>
      </c>
      <c r="H3264" s="4">
        <f t="shared" si="50"/>
        <v>0</v>
      </c>
    </row>
    <row r="3265" spans="3:8" x14ac:dyDescent="0.25">
      <c r="C3265" t="str">
        <f>'RES TECH'!M3266</f>
        <v>RESHOUHINewLTLEDELCELC20</v>
      </c>
      <c r="G3265" s="4">
        <f>IF(SUMIFS('RES TECH'!N:N,'RES TECH'!M:M,C3265)&gt;0,1,0)</f>
        <v>1</v>
      </c>
      <c r="H3265" s="4">
        <f t="shared" si="50"/>
        <v>0</v>
      </c>
    </row>
    <row r="3266" spans="3:8" x14ac:dyDescent="0.25">
      <c r="C3266" t="str">
        <f>'RES TECH'!M3267</f>
        <v>RESHOUHINewLTLEDELCELC20</v>
      </c>
      <c r="G3266" s="4">
        <f>IF(SUMIFS('RES TECH'!N:N,'RES TECH'!M:M,C3266)&gt;0,1,0)</f>
        <v>1</v>
      </c>
      <c r="H3266" s="4">
        <f t="shared" si="50"/>
        <v>0</v>
      </c>
    </row>
    <row r="3267" spans="3:8" x14ac:dyDescent="0.25">
      <c r="C3267" t="str">
        <f>'RES TECH'!M3268</f>
        <v>RESHOUHINewLTLEDELCELC20</v>
      </c>
      <c r="G3267" s="4">
        <f>IF(SUMIFS('RES TECH'!N:N,'RES TECH'!M:M,C3267)&gt;0,1,0)</f>
        <v>1</v>
      </c>
      <c r="H3267" s="4">
        <f t="shared" si="50"/>
        <v>0</v>
      </c>
    </row>
    <row r="3268" spans="3:8" x14ac:dyDescent="0.25">
      <c r="C3268" t="str">
        <f>'RES TECH'!M3269</f>
        <v>RESHOUHINewLTLEDELCELC20</v>
      </c>
      <c r="G3268" s="4">
        <f>IF(SUMIFS('RES TECH'!N:N,'RES TECH'!M:M,C3268)&gt;0,1,0)</f>
        <v>1</v>
      </c>
      <c r="H3268" s="4">
        <f t="shared" si="50"/>
        <v>0</v>
      </c>
    </row>
    <row r="3269" spans="3:8" x14ac:dyDescent="0.25">
      <c r="C3269" t="str">
        <f>'RES TECH'!M3270</f>
        <v>RESHOUHINewLTLEDELCELC20</v>
      </c>
      <c r="G3269" s="4">
        <f>IF(SUMIFS('RES TECH'!N:N,'RES TECH'!M:M,C3269)&gt;0,1,0)</f>
        <v>1</v>
      </c>
      <c r="H3269" s="4">
        <f t="shared" ref="H3269:H3316" si="51">IF(C3269="","",IF(C3269="*","*",0))</f>
        <v>0</v>
      </c>
    </row>
    <row r="3270" spans="3:8" x14ac:dyDescent="0.25">
      <c r="C3270" t="str">
        <f>'RES TECH'!M3271</f>
        <v>RESHOUHINewLTLEDELCELC21</v>
      </c>
      <c r="G3270" s="4">
        <f>IF(SUMIFS('RES TECH'!N:N,'RES TECH'!M:M,C3270)&gt;0,1,0)</f>
        <v>1</v>
      </c>
      <c r="H3270" s="4">
        <f t="shared" si="51"/>
        <v>0</v>
      </c>
    </row>
    <row r="3271" spans="3:8" x14ac:dyDescent="0.25">
      <c r="C3271" t="str">
        <f>'RES TECH'!M3272</f>
        <v>RESHOUHINewLTLEDELCELC22</v>
      </c>
      <c r="G3271" s="4">
        <f>IF(SUMIFS('RES TECH'!N:N,'RES TECH'!M:M,C3271)&gt;0,1,0)</f>
        <v>1</v>
      </c>
      <c r="H3271" s="4">
        <f t="shared" si="51"/>
        <v>0</v>
      </c>
    </row>
    <row r="3272" spans="3:8" x14ac:dyDescent="0.25">
      <c r="C3272" t="str">
        <f>'RES TECH'!M3273</f>
        <v>RESHOUHINewLTLEDELCELC23</v>
      </c>
      <c r="G3272" s="4">
        <f>IF(SUMIFS('RES TECH'!N:N,'RES TECH'!M:M,C3272)&gt;0,1,0)</f>
        <v>1</v>
      </c>
      <c r="H3272" s="4">
        <f t="shared" si="51"/>
        <v>0</v>
      </c>
    </row>
    <row r="3273" spans="3:8" x14ac:dyDescent="0.25">
      <c r="C3273" t="str">
        <f>'RES TECH'!M3274</f>
        <v>RESHOUHINewLTLEDELCELC24</v>
      </c>
      <c r="G3273" s="4">
        <f>IF(SUMIFS('RES TECH'!N:N,'RES TECH'!M:M,C3273)&gt;0,1,0)</f>
        <v>1</v>
      </c>
      <c r="H3273" s="4">
        <f t="shared" si="51"/>
        <v>0</v>
      </c>
    </row>
    <row r="3274" spans="3:8" x14ac:dyDescent="0.25">
      <c r="C3274" t="str">
        <f>'RES TECH'!M3275</f>
        <v>RESHOUHINewLTLEDELCELC25</v>
      </c>
      <c r="G3274" s="4">
        <f>IF(SUMIFS('RES TECH'!N:N,'RES TECH'!M:M,C3274)&gt;0,1,0)</f>
        <v>1</v>
      </c>
      <c r="H3274" s="4">
        <f t="shared" si="51"/>
        <v>0</v>
      </c>
    </row>
    <row r="3275" spans="3:8" x14ac:dyDescent="0.25">
      <c r="C3275" t="str">
        <f>'RES TECH'!M3276</f>
        <v>RESHOUHINewLTLEDELCELC30</v>
      </c>
      <c r="G3275" s="4">
        <f>IF(SUMIFS('RES TECH'!N:N,'RES TECH'!M:M,C3275)&gt;0,1,0)</f>
        <v>1</v>
      </c>
      <c r="H3275" s="4">
        <f t="shared" si="51"/>
        <v>0</v>
      </c>
    </row>
    <row r="3276" spans="3:8" x14ac:dyDescent="0.25">
      <c r="C3276" t="str">
        <f>'RES TECH'!M3277</f>
        <v>RESHOUHINewLTLEDELCELC40</v>
      </c>
      <c r="G3276" s="4">
        <f>IF(SUMIFS('RES TECH'!N:N,'RES TECH'!M:M,C3276)&gt;0,1,0)</f>
        <v>1</v>
      </c>
      <c r="H3276" s="4">
        <f t="shared" si="51"/>
        <v>0</v>
      </c>
    </row>
    <row r="3277" spans="3:8" x14ac:dyDescent="0.25">
      <c r="C3277" t="str">
        <f>'RES TECH'!M3278</f>
        <v>RESHOUHINewLTINCELCELC20</v>
      </c>
      <c r="G3277" s="4">
        <f>IF(SUMIFS('RES TECH'!N:N,'RES TECH'!M:M,C3277)&gt;0,1,0)</f>
        <v>1</v>
      </c>
      <c r="H3277" s="4">
        <f t="shared" si="51"/>
        <v>0</v>
      </c>
    </row>
    <row r="3278" spans="3:8" x14ac:dyDescent="0.25">
      <c r="C3278" t="str">
        <f>'RES TECH'!M3279</f>
        <v>RESHOUHINewLTINCELCELC22</v>
      </c>
      <c r="G3278" s="4">
        <f>IF(SUMIFS('RES TECH'!N:N,'RES TECH'!M:M,C3278)&gt;0,1,0)</f>
        <v>1</v>
      </c>
      <c r="H3278" s="4">
        <f t="shared" si="51"/>
        <v>0</v>
      </c>
    </row>
    <row r="3279" spans="3:8" x14ac:dyDescent="0.25">
      <c r="C3279" t="str">
        <f>'RES TECH'!M3280</f>
        <v>RESHOUHINewLTFLUT12ELC20</v>
      </c>
      <c r="G3279" s="4">
        <f>IF(SUMIFS('RES TECH'!N:N,'RES TECH'!M:M,C3279)&gt;0,1,0)</f>
        <v>1</v>
      </c>
      <c r="H3279" s="4">
        <f t="shared" si="51"/>
        <v>0</v>
      </c>
    </row>
    <row r="3280" spans="3:8" x14ac:dyDescent="0.25">
      <c r="C3280" t="str">
        <f>'RES TECH'!M3281</f>
        <v>RESHOUHINewLTFLUT8ELC20</v>
      </c>
      <c r="G3280" s="4">
        <f>IF(SUMIFS('RES TECH'!N:N,'RES TECH'!M:M,C3280)&gt;0,1,0)</f>
        <v>1</v>
      </c>
      <c r="H3280" s="4">
        <f t="shared" si="51"/>
        <v>0</v>
      </c>
    </row>
    <row r="3281" spans="3:8" x14ac:dyDescent="0.25">
      <c r="C3281" t="str">
        <f>'RES TECH'!M3282</f>
        <v>RESHOUHINewLTFLUT8ELC20</v>
      </c>
      <c r="G3281" s="4">
        <f>IF(SUMIFS('RES TECH'!N:N,'RES TECH'!M:M,C3281)&gt;0,1,0)</f>
        <v>1</v>
      </c>
      <c r="H3281" s="4">
        <f t="shared" si="51"/>
        <v>0</v>
      </c>
    </row>
    <row r="3282" spans="3:8" x14ac:dyDescent="0.25">
      <c r="C3282" t="str">
        <f>'RES TECH'!M3283</f>
        <v>RESHOUHINewLTFLUT8ELC22</v>
      </c>
      <c r="G3282" s="4">
        <f>IF(SUMIFS('RES TECH'!N:N,'RES TECH'!M:M,C3282)&gt;0,1,0)</f>
        <v>1</v>
      </c>
      <c r="H3282" s="4">
        <f t="shared" si="51"/>
        <v>0</v>
      </c>
    </row>
    <row r="3283" spans="3:8" x14ac:dyDescent="0.25">
      <c r="C3283" t="str">
        <f>'RES TECH'!M3284</f>
        <v>RESHOUHINewLTFLUT8ELC30</v>
      </c>
      <c r="G3283" s="4">
        <f>IF(SUMIFS('RES TECH'!N:N,'RES TECH'!M:M,C3283)&gt;0,1,0)</f>
        <v>1</v>
      </c>
      <c r="H3283" s="4">
        <f t="shared" si="51"/>
        <v>0</v>
      </c>
    </row>
    <row r="3284" spans="3:8" x14ac:dyDescent="0.25">
      <c r="C3284" t="str">
        <f>'RES TECH'!M3285</f>
        <v>RESHOUHINewLTFLUT8ELC40</v>
      </c>
      <c r="G3284" s="4">
        <f>IF(SUMIFS('RES TECH'!N:N,'RES TECH'!M:M,C3284)&gt;0,1,0)</f>
        <v>1</v>
      </c>
      <c r="H3284" s="4">
        <f t="shared" si="51"/>
        <v>0</v>
      </c>
    </row>
    <row r="3285" spans="3:8" x14ac:dyDescent="0.25">
      <c r="C3285" t="str">
        <f>'RES TECH'!M3287</f>
        <v>RESAPALOOldOEELC20</v>
      </c>
      <c r="G3285" s="4">
        <f>IF(SUMIFS('RES TECH'!N:N,'RES TECH'!M:M,C3285)&gt;0,1,0)</f>
        <v>1</v>
      </c>
      <c r="H3285" s="4">
        <f t="shared" si="51"/>
        <v>0</v>
      </c>
    </row>
    <row r="3286" spans="3:8" x14ac:dyDescent="0.25">
      <c r="C3286" t="str">
        <f>'RES TECH'!M3288</f>
        <v>RESHOULOOldOEELC20</v>
      </c>
      <c r="G3286" s="4">
        <f>IF(SUMIFS('RES TECH'!N:N,'RES TECH'!M:M,C3286)&gt;0,1,0)</f>
        <v>1</v>
      </c>
      <c r="H3286" s="4">
        <f t="shared" si="51"/>
        <v>0</v>
      </c>
    </row>
    <row r="3287" spans="3:8" x14ac:dyDescent="0.25">
      <c r="C3287" t="str">
        <f>'RES TECH'!M3289</f>
        <v>RESAPALMOldOEELC20</v>
      </c>
      <c r="G3287" s="4">
        <f>IF(SUMIFS('RES TECH'!N:N,'RES TECH'!M:M,C3287)&gt;0,1,0)</f>
        <v>1</v>
      </c>
      <c r="H3287" s="4">
        <f t="shared" si="51"/>
        <v>0</v>
      </c>
    </row>
    <row r="3288" spans="3:8" x14ac:dyDescent="0.25">
      <c r="C3288" t="str">
        <f>'RES TECH'!M3290</f>
        <v>RESHOULMOldOEELC20</v>
      </c>
      <c r="G3288" s="4">
        <f>IF(SUMIFS('RES TECH'!N:N,'RES TECH'!M:M,C3288)&gt;0,1,0)</f>
        <v>1</v>
      </c>
      <c r="H3288" s="4">
        <f t="shared" si="51"/>
        <v>0</v>
      </c>
    </row>
    <row r="3289" spans="3:8" x14ac:dyDescent="0.25">
      <c r="C3289" t="str">
        <f>'RES TECH'!M3291</f>
        <v>RESAPAUMOldOEELC20</v>
      </c>
      <c r="G3289" s="4">
        <f>IF(SUMIFS('RES TECH'!N:N,'RES TECH'!M:M,C3289)&gt;0,1,0)</f>
        <v>1</v>
      </c>
      <c r="H3289" s="4">
        <f t="shared" si="51"/>
        <v>0</v>
      </c>
    </row>
    <row r="3290" spans="3:8" x14ac:dyDescent="0.25">
      <c r="C3290" t="str">
        <f>'RES TECH'!M3292</f>
        <v>RESHOUUMOldOEELC20</v>
      </c>
      <c r="G3290" s="4">
        <f>IF(SUMIFS('RES TECH'!N:N,'RES TECH'!M:M,C3290)&gt;0,1,0)</f>
        <v>1</v>
      </c>
      <c r="H3290" s="4">
        <f t="shared" si="51"/>
        <v>0</v>
      </c>
    </row>
    <row r="3291" spans="3:8" x14ac:dyDescent="0.25">
      <c r="C3291" t="str">
        <f>'RES TECH'!M3293</f>
        <v>RESAPAHIOldOEELC20</v>
      </c>
      <c r="G3291" s="4">
        <f>IF(SUMIFS('RES TECH'!N:N,'RES TECH'!M:M,C3291)&gt;0,1,0)</f>
        <v>1</v>
      </c>
      <c r="H3291" s="4">
        <f t="shared" si="51"/>
        <v>0</v>
      </c>
    </row>
    <row r="3292" spans="3:8" x14ac:dyDescent="0.25">
      <c r="C3292" t="str">
        <f>'RES TECH'!M3294</f>
        <v>RESHOUHIOldOEELC20</v>
      </c>
      <c r="G3292" s="4">
        <f>IF(SUMIFS('RES TECH'!N:N,'RES TECH'!M:M,C3292)&gt;0,1,0)</f>
        <v>1</v>
      </c>
      <c r="H3292" s="4">
        <f t="shared" si="51"/>
        <v>0</v>
      </c>
    </row>
    <row r="3293" spans="3:8" x14ac:dyDescent="0.25">
      <c r="C3293" t="str">
        <f>'RES TECH'!M3295</f>
        <v>RESAPALONewOEELC20</v>
      </c>
      <c r="G3293" s="4">
        <f>IF(SUMIFS('RES TECH'!N:N,'RES TECH'!M:M,C3293)&gt;0,1,0)</f>
        <v>1</v>
      </c>
      <c r="H3293" s="4">
        <f t="shared" si="51"/>
        <v>0</v>
      </c>
    </row>
    <row r="3294" spans="3:8" x14ac:dyDescent="0.25">
      <c r="C3294" t="str">
        <f>'RES TECH'!M3296</f>
        <v>RESHOULONewOEELC20</v>
      </c>
      <c r="G3294" s="4">
        <f>IF(SUMIFS('RES TECH'!N:N,'RES TECH'!M:M,C3294)&gt;0,1,0)</f>
        <v>1</v>
      </c>
      <c r="H3294" s="4">
        <f t="shared" si="51"/>
        <v>0</v>
      </c>
    </row>
    <row r="3295" spans="3:8" x14ac:dyDescent="0.25">
      <c r="C3295" t="str">
        <f>'RES TECH'!M3297</f>
        <v>RESAPALMNewOEELC20</v>
      </c>
      <c r="G3295" s="4">
        <f>IF(SUMIFS('RES TECH'!N:N,'RES TECH'!M:M,C3295)&gt;0,1,0)</f>
        <v>1</v>
      </c>
      <c r="H3295" s="4">
        <f t="shared" si="51"/>
        <v>0</v>
      </c>
    </row>
    <row r="3296" spans="3:8" x14ac:dyDescent="0.25">
      <c r="C3296" t="str">
        <f>'RES TECH'!M3298</f>
        <v>RESHOULMNewOEELC20</v>
      </c>
      <c r="G3296" s="4">
        <f>IF(SUMIFS('RES TECH'!N:N,'RES TECH'!M:M,C3296)&gt;0,1,0)</f>
        <v>1</v>
      </c>
      <c r="H3296" s="4">
        <f t="shared" si="51"/>
        <v>0</v>
      </c>
    </row>
    <row r="3297" spans="3:8" x14ac:dyDescent="0.25">
      <c r="C3297" t="str">
        <f>'RES TECH'!M3299</f>
        <v>RESAPAUMNewOEELC20</v>
      </c>
      <c r="G3297" s="4">
        <f>IF(SUMIFS('RES TECH'!N:N,'RES TECH'!M:M,C3297)&gt;0,1,0)</f>
        <v>1</v>
      </c>
      <c r="H3297" s="4">
        <f t="shared" si="51"/>
        <v>0</v>
      </c>
    </row>
    <row r="3298" spans="3:8" x14ac:dyDescent="0.25">
      <c r="C3298" t="str">
        <f>'RES TECH'!M3300</f>
        <v>RESHOUUMNewOEELC20</v>
      </c>
      <c r="G3298" s="4">
        <f>IF(SUMIFS('RES TECH'!N:N,'RES TECH'!M:M,C3298)&gt;0,1,0)</f>
        <v>1</v>
      </c>
      <c r="H3298" s="4">
        <f t="shared" si="51"/>
        <v>0</v>
      </c>
    </row>
    <row r="3299" spans="3:8" x14ac:dyDescent="0.25">
      <c r="C3299" t="str">
        <f>'RES TECH'!M3301</f>
        <v>RESAPAHINewOEELC20</v>
      </c>
      <c r="G3299" s="4">
        <f>IF(SUMIFS('RES TECH'!N:N,'RES TECH'!M:M,C3299)&gt;0,1,0)</f>
        <v>1</v>
      </c>
      <c r="H3299" s="4">
        <f t="shared" si="51"/>
        <v>0</v>
      </c>
    </row>
    <row r="3300" spans="3:8" x14ac:dyDescent="0.25">
      <c r="C3300" t="str">
        <f>'RES TECH'!M3302</f>
        <v>RESHOUHINewOEELC20</v>
      </c>
      <c r="G3300" s="4">
        <f>IF(SUMIFS('RES TECH'!N:N,'RES TECH'!M:M,C3300)&gt;0,1,0)</f>
        <v>1</v>
      </c>
      <c r="H3300" s="4">
        <f t="shared" si="51"/>
        <v>0</v>
      </c>
    </row>
    <row r="3301" spans="3:8" x14ac:dyDescent="0.25">
      <c r="C3301" t="str">
        <f>'RES TECH'!M3303</f>
        <v>RESAPALOOldOENGA20</v>
      </c>
      <c r="G3301" s="4">
        <f>IF(SUMIFS('RES TECH'!N:N,'RES TECH'!M:M,C3301)&gt;0,1,0)</f>
        <v>1</v>
      </c>
      <c r="H3301" s="4">
        <f t="shared" si="51"/>
        <v>0</v>
      </c>
    </row>
    <row r="3302" spans="3:8" x14ac:dyDescent="0.25">
      <c r="C3302" t="str">
        <f>'RES TECH'!M3304</f>
        <v>RESHOULOOldOENGA20</v>
      </c>
      <c r="G3302" s="4">
        <f>IF(SUMIFS('RES TECH'!N:N,'RES TECH'!M:M,C3302)&gt;0,1,0)</f>
        <v>1</v>
      </c>
      <c r="H3302" s="4">
        <f t="shared" si="51"/>
        <v>0</v>
      </c>
    </row>
    <row r="3303" spans="3:8" x14ac:dyDescent="0.25">
      <c r="C3303" t="str">
        <f>'RES TECH'!M3305</f>
        <v>RESAPALMOldOENGA20</v>
      </c>
      <c r="G3303" s="4">
        <f>IF(SUMIFS('RES TECH'!N:N,'RES TECH'!M:M,C3303)&gt;0,1,0)</f>
        <v>1</v>
      </c>
      <c r="H3303" s="4">
        <f t="shared" si="51"/>
        <v>0</v>
      </c>
    </row>
    <row r="3304" spans="3:8" x14ac:dyDescent="0.25">
      <c r="C3304" t="str">
        <f>'RES TECH'!M3306</f>
        <v>RESHOULMOldOENGA20</v>
      </c>
      <c r="G3304" s="4">
        <f>IF(SUMIFS('RES TECH'!N:N,'RES TECH'!M:M,C3304)&gt;0,1,0)</f>
        <v>1</v>
      </c>
      <c r="H3304" s="4">
        <f t="shared" si="51"/>
        <v>0</v>
      </c>
    </row>
    <row r="3305" spans="3:8" x14ac:dyDescent="0.25">
      <c r="C3305" t="str">
        <f>'RES TECH'!M3307</f>
        <v>RESAPAUMOldOENGA20</v>
      </c>
      <c r="G3305" s="4">
        <f>IF(SUMIFS('RES TECH'!N:N,'RES TECH'!M:M,C3305)&gt;0,1,0)</f>
        <v>1</v>
      </c>
      <c r="H3305" s="4">
        <f t="shared" si="51"/>
        <v>0</v>
      </c>
    </row>
    <row r="3306" spans="3:8" x14ac:dyDescent="0.25">
      <c r="C3306" t="str">
        <f>'RES TECH'!M3308</f>
        <v>RESHOUUMOldOENGA20</v>
      </c>
      <c r="G3306" s="4">
        <f>IF(SUMIFS('RES TECH'!N:N,'RES TECH'!M:M,C3306)&gt;0,1,0)</f>
        <v>1</v>
      </c>
      <c r="H3306" s="4">
        <f t="shared" si="51"/>
        <v>0</v>
      </c>
    </row>
    <row r="3307" spans="3:8" x14ac:dyDescent="0.25">
      <c r="C3307" t="str">
        <f>'RES TECH'!M3309</f>
        <v>RESAPAHIOldOENGA20</v>
      </c>
      <c r="G3307" s="4">
        <f>IF(SUMIFS('RES TECH'!N:N,'RES TECH'!M:M,C3307)&gt;0,1,0)</f>
        <v>1</v>
      </c>
      <c r="H3307" s="4">
        <f t="shared" si="51"/>
        <v>0</v>
      </c>
    </row>
    <row r="3308" spans="3:8" x14ac:dyDescent="0.25">
      <c r="C3308" t="str">
        <f>'RES TECH'!M3310</f>
        <v>RESHOUHIOldOENGA20</v>
      </c>
      <c r="G3308" s="4">
        <f>IF(SUMIFS('RES TECH'!N:N,'RES TECH'!M:M,C3308)&gt;0,1,0)</f>
        <v>1</v>
      </c>
      <c r="H3308" s="4">
        <f t="shared" si="51"/>
        <v>0</v>
      </c>
    </row>
    <row r="3309" spans="3:8" x14ac:dyDescent="0.25">
      <c r="C3309" t="str">
        <f>'RES TECH'!M3311</f>
        <v>RESAPALONewOENGA20</v>
      </c>
      <c r="G3309" s="4">
        <f>IF(SUMIFS('RES TECH'!N:N,'RES TECH'!M:M,C3309)&gt;0,1,0)</f>
        <v>1</v>
      </c>
      <c r="H3309" s="4">
        <f t="shared" si="51"/>
        <v>0</v>
      </c>
    </row>
    <row r="3310" spans="3:8" x14ac:dyDescent="0.25">
      <c r="C3310" t="str">
        <f>'RES TECH'!M3312</f>
        <v>RESHOULONewOENGA20</v>
      </c>
      <c r="G3310" s="4">
        <f>IF(SUMIFS('RES TECH'!N:N,'RES TECH'!M:M,C3310)&gt;0,1,0)</f>
        <v>1</v>
      </c>
      <c r="H3310" s="4">
        <f t="shared" si="51"/>
        <v>0</v>
      </c>
    </row>
    <row r="3311" spans="3:8" x14ac:dyDescent="0.25">
      <c r="C3311" t="str">
        <f>'RES TECH'!M3313</f>
        <v>RESAPALMNewOENGA20</v>
      </c>
      <c r="G3311" s="4">
        <f>IF(SUMIFS('RES TECH'!N:N,'RES TECH'!M:M,C3311)&gt;0,1,0)</f>
        <v>1</v>
      </c>
      <c r="H3311" s="4">
        <f t="shared" si="51"/>
        <v>0</v>
      </c>
    </row>
    <row r="3312" spans="3:8" x14ac:dyDescent="0.25">
      <c r="C3312" t="str">
        <f>'RES TECH'!M3314</f>
        <v>RESHOULMNewOENGA20</v>
      </c>
      <c r="G3312" s="4">
        <f>IF(SUMIFS('RES TECH'!N:N,'RES TECH'!M:M,C3312)&gt;0,1,0)</f>
        <v>1</v>
      </c>
      <c r="H3312" s="4">
        <f t="shared" si="51"/>
        <v>0</v>
      </c>
    </row>
    <row r="3313" spans="3:8" x14ac:dyDescent="0.25">
      <c r="C3313" t="str">
        <f>'RES TECH'!M3315</f>
        <v>RESAPAUMNewOENGA20</v>
      </c>
      <c r="G3313" s="4">
        <f>IF(SUMIFS('RES TECH'!N:N,'RES TECH'!M:M,C3313)&gt;0,1,0)</f>
        <v>1</v>
      </c>
      <c r="H3313" s="4">
        <f t="shared" si="51"/>
        <v>0</v>
      </c>
    </row>
    <row r="3314" spans="3:8" x14ac:dyDescent="0.25">
      <c r="C3314" t="str">
        <f>'RES TECH'!M3316</f>
        <v>RESHOUUMNewOENGA20</v>
      </c>
      <c r="G3314" s="4">
        <f>IF(SUMIFS('RES TECH'!N:N,'RES TECH'!M:M,C3314)&gt;0,1,0)</f>
        <v>1</v>
      </c>
      <c r="H3314" s="4">
        <f t="shared" si="51"/>
        <v>0</v>
      </c>
    </row>
    <row r="3315" spans="3:8" x14ac:dyDescent="0.25">
      <c r="C3315" t="str">
        <f>'RES TECH'!M3317</f>
        <v>RESAPAHINewOENGA20</v>
      </c>
      <c r="G3315" s="4">
        <f>IF(SUMIFS('RES TECH'!N:N,'RES TECH'!M:M,C3315)&gt;0,1,0)</f>
        <v>1</v>
      </c>
      <c r="H3315" s="4">
        <f t="shared" si="51"/>
        <v>0</v>
      </c>
    </row>
    <row r="3316" spans="3:8" x14ac:dyDescent="0.25">
      <c r="C3316" t="str">
        <f>'RES TECH'!M3318</f>
        <v>RESHOUHINewOENGA20</v>
      </c>
      <c r="G3316" s="4">
        <f>IF(SUMIFS('RES TECH'!N:N,'RES TECH'!M:M,C3316)&gt;0,1,0)</f>
        <v>1</v>
      </c>
      <c r="H3316" s="4">
        <f t="shared" si="51"/>
        <v>0</v>
      </c>
    </row>
    <row r="3317" spans="3:8" x14ac:dyDescent="0.25">
      <c r="G3317" s="4"/>
      <c r="H3317" s="4"/>
    </row>
    <row r="3318" spans="3:8" x14ac:dyDescent="0.25">
      <c r="G3318" s="4"/>
      <c r="H3318" s="4"/>
    </row>
    <row r="3319" spans="3:8" x14ac:dyDescent="0.25">
      <c r="G3319" s="4"/>
      <c r="H3319" s="4"/>
    </row>
    <row r="3320" spans="3:8" x14ac:dyDescent="0.25">
      <c r="G3320" s="4"/>
      <c r="H3320" s="4"/>
    </row>
    <row r="3321" spans="3:8" x14ac:dyDescent="0.25">
      <c r="G3321" s="4"/>
      <c r="H3321" s="4"/>
    </row>
    <row r="3322" spans="3:8" x14ac:dyDescent="0.25">
      <c r="G3322" s="4"/>
      <c r="H3322" s="4"/>
    </row>
    <row r="3323" spans="3:8" x14ac:dyDescent="0.25">
      <c r="G3323" s="4"/>
      <c r="H3323" s="4"/>
    </row>
    <row r="3324" spans="3:8" x14ac:dyDescent="0.25">
      <c r="G3324" s="4"/>
      <c r="H3324" s="4"/>
    </row>
    <row r="3325" spans="3:8" x14ac:dyDescent="0.25">
      <c r="G3325" s="4"/>
      <c r="H3325" s="4"/>
    </row>
    <row r="3326" spans="3:8" x14ac:dyDescent="0.25">
      <c r="G3326" s="4"/>
      <c r="H3326" s="4"/>
    </row>
    <row r="3327" spans="3:8" x14ac:dyDescent="0.25">
      <c r="G3327" s="4"/>
      <c r="H3327" s="4"/>
    </row>
    <row r="3328" spans="3:8" x14ac:dyDescent="0.25">
      <c r="G3328" s="4"/>
      <c r="H3328" s="4"/>
    </row>
    <row r="3329" spans="7:8" x14ac:dyDescent="0.25">
      <c r="G3329" s="4"/>
      <c r="H3329" s="4"/>
    </row>
    <row r="3330" spans="7:8" x14ac:dyDescent="0.25">
      <c r="G3330" s="4"/>
      <c r="H3330" s="4"/>
    </row>
    <row r="3331" spans="7:8" x14ac:dyDescent="0.25">
      <c r="G3331" s="4"/>
      <c r="H3331" s="4"/>
    </row>
    <row r="3332" spans="7:8" x14ac:dyDescent="0.25">
      <c r="G3332" s="4"/>
      <c r="H3332" s="4"/>
    </row>
    <row r="3333" spans="7:8" x14ac:dyDescent="0.25">
      <c r="G3333" s="4"/>
      <c r="H3333" s="4"/>
    </row>
    <row r="3334" spans="7:8" x14ac:dyDescent="0.25">
      <c r="G3334" s="4"/>
      <c r="H3334" s="4"/>
    </row>
    <row r="3335" spans="7:8" x14ac:dyDescent="0.25">
      <c r="G3335" s="4"/>
      <c r="H3335" s="4"/>
    </row>
    <row r="3336" spans="7:8" x14ac:dyDescent="0.25">
      <c r="G3336" s="4"/>
      <c r="H3336" s="4"/>
    </row>
    <row r="3337" spans="7:8" x14ac:dyDescent="0.25">
      <c r="G3337" s="4"/>
      <c r="H3337" s="4"/>
    </row>
    <row r="3338" spans="7:8" x14ac:dyDescent="0.25">
      <c r="G3338" s="4"/>
      <c r="H3338" s="4"/>
    </row>
    <row r="3339" spans="7:8" x14ac:dyDescent="0.25">
      <c r="G3339" s="4"/>
      <c r="H3339" s="4"/>
    </row>
    <row r="3340" spans="7:8" x14ac:dyDescent="0.25">
      <c r="G3340" s="4"/>
      <c r="H3340" s="4"/>
    </row>
    <row r="3341" spans="7:8" x14ac:dyDescent="0.25">
      <c r="G3341" s="4"/>
      <c r="H3341" s="4"/>
    </row>
    <row r="3342" spans="7:8" x14ac:dyDescent="0.25">
      <c r="G3342" s="4"/>
      <c r="H3342" s="4"/>
    </row>
    <row r="3343" spans="7:8" x14ac:dyDescent="0.25">
      <c r="G3343" s="4"/>
      <c r="H3343" s="4"/>
    </row>
    <row r="3344" spans="7:8" x14ac:dyDescent="0.25">
      <c r="G3344" s="4"/>
      <c r="H3344" s="4"/>
    </row>
    <row r="3345" spans="7:8" x14ac:dyDescent="0.25">
      <c r="G3345" s="4"/>
      <c r="H3345" s="4"/>
    </row>
    <row r="3346" spans="7:8" x14ac:dyDescent="0.25">
      <c r="G3346" s="4"/>
      <c r="H3346" s="4"/>
    </row>
    <row r="3347" spans="7:8" x14ac:dyDescent="0.25">
      <c r="G3347" s="4"/>
      <c r="H3347" s="4"/>
    </row>
    <row r="3348" spans="7:8" x14ac:dyDescent="0.25">
      <c r="G3348" s="4"/>
      <c r="H3348" s="4"/>
    </row>
    <row r="3349" spans="7:8" x14ac:dyDescent="0.25">
      <c r="G3349" s="4"/>
      <c r="H3349" s="4"/>
    </row>
    <row r="3350" spans="7:8" x14ac:dyDescent="0.25">
      <c r="G3350" s="4"/>
      <c r="H3350" s="4"/>
    </row>
    <row r="3351" spans="7:8" x14ac:dyDescent="0.25">
      <c r="G3351" s="4"/>
      <c r="H3351" s="4"/>
    </row>
    <row r="3352" spans="7:8" x14ac:dyDescent="0.25">
      <c r="G3352" s="4"/>
      <c r="H3352" s="4"/>
    </row>
    <row r="3353" spans="7:8" x14ac:dyDescent="0.25">
      <c r="G3353" s="4"/>
      <c r="H3353" s="4"/>
    </row>
    <row r="3354" spans="7:8" x14ac:dyDescent="0.25">
      <c r="G3354" s="4"/>
      <c r="H3354" s="4"/>
    </row>
    <row r="3355" spans="7:8" x14ac:dyDescent="0.25">
      <c r="G3355" s="4"/>
      <c r="H3355" s="4"/>
    </row>
    <row r="3356" spans="7:8" x14ac:dyDescent="0.25">
      <c r="G3356" s="4"/>
      <c r="H3356" s="4"/>
    </row>
    <row r="3357" spans="7:8" x14ac:dyDescent="0.25">
      <c r="G3357" s="4"/>
      <c r="H3357" s="4"/>
    </row>
    <row r="3358" spans="7:8" x14ac:dyDescent="0.25">
      <c r="G3358" s="4"/>
      <c r="H3358" s="4"/>
    </row>
    <row r="3359" spans="7:8" x14ac:dyDescent="0.25">
      <c r="G3359" s="4"/>
      <c r="H3359" s="4"/>
    </row>
    <row r="3360" spans="7:8" x14ac:dyDescent="0.25">
      <c r="G3360" s="4"/>
      <c r="H3360" s="4"/>
    </row>
    <row r="3361" spans="7:8" x14ac:dyDescent="0.25">
      <c r="G3361" s="4"/>
      <c r="H3361" s="4"/>
    </row>
    <row r="3362" spans="7:8" x14ac:dyDescent="0.25">
      <c r="G3362" s="4"/>
      <c r="H3362" s="4"/>
    </row>
    <row r="3363" spans="7:8" x14ac:dyDescent="0.25">
      <c r="G3363" s="4"/>
      <c r="H3363" s="4"/>
    </row>
    <row r="3364" spans="7:8" x14ac:dyDescent="0.25">
      <c r="G3364" s="4"/>
      <c r="H3364" s="4"/>
    </row>
    <row r="3365" spans="7:8" x14ac:dyDescent="0.25">
      <c r="G3365" s="4"/>
      <c r="H3365" s="4"/>
    </row>
    <row r="3366" spans="7:8" x14ac:dyDescent="0.25">
      <c r="G3366" s="4"/>
      <c r="H3366" s="4"/>
    </row>
    <row r="3367" spans="7:8" x14ac:dyDescent="0.25">
      <c r="G3367" s="4"/>
      <c r="H3367" s="4"/>
    </row>
    <row r="3368" spans="7:8" x14ac:dyDescent="0.25">
      <c r="G3368" s="4"/>
      <c r="H3368" s="4"/>
    </row>
    <row r="3369" spans="7:8" x14ac:dyDescent="0.25">
      <c r="G3369" s="4"/>
      <c r="H3369" s="4"/>
    </row>
    <row r="3370" spans="7:8" x14ac:dyDescent="0.25">
      <c r="G3370" s="4"/>
      <c r="H3370" s="4"/>
    </row>
    <row r="3371" spans="7:8" x14ac:dyDescent="0.25">
      <c r="G3371" s="4"/>
      <c r="H3371" s="4"/>
    </row>
    <row r="3372" spans="7:8" x14ac:dyDescent="0.25">
      <c r="G3372" s="4"/>
      <c r="H3372" s="4"/>
    </row>
    <row r="3373" spans="7:8" x14ac:dyDescent="0.25">
      <c r="G3373" s="4"/>
      <c r="H3373" s="4"/>
    </row>
    <row r="3374" spans="7:8" x14ac:dyDescent="0.25">
      <c r="G3374" s="4"/>
      <c r="H3374" s="4"/>
    </row>
    <row r="3375" spans="7:8" x14ac:dyDescent="0.25">
      <c r="G3375" s="4"/>
      <c r="H3375" s="4"/>
    </row>
    <row r="3376" spans="7:8" x14ac:dyDescent="0.25">
      <c r="G3376" s="4"/>
      <c r="H3376" s="4"/>
    </row>
    <row r="3377" spans="7:8" x14ac:dyDescent="0.25">
      <c r="G3377" s="4"/>
      <c r="H3377" s="4"/>
    </row>
    <row r="3378" spans="7:8" x14ac:dyDescent="0.25">
      <c r="G3378" s="4"/>
      <c r="H3378" s="4"/>
    </row>
    <row r="3379" spans="7:8" x14ac:dyDescent="0.25">
      <c r="G3379" s="4"/>
      <c r="H3379" s="4"/>
    </row>
    <row r="3380" spans="7:8" x14ac:dyDescent="0.25">
      <c r="G3380" s="4"/>
      <c r="H3380" s="4"/>
    </row>
    <row r="3381" spans="7:8" x14ac:dyDescent="0.25">
      <c r="G3381" s="4"/>
      <c r="H3381" s="4"/>
    </row>
    <row r="3382" spans="7:8" x14ac:dyDescent="0.25">
      <c r="G3382" s="4"/>
      <c r="H3382" s="4"/>
    </row>
    <row r="3383" spans="7:8" x14ac:dyDescent="0.25">
      <c r="G3383" s="4"/>
      <c r="H3383" s="4"/>
    </row>
    <row r="3384" spans="7:8" x14ac:dyDescent="0.25">
      <c r="G3384" s="4"/>
      <c r="H3384" s="4"/>
    </row>
    <row r="3385" spans="7:8" x14ac:dyDescent="0.25">
      <c r="G3385" s="4"/>
      <c r="H3385" s="4"/>
    </row>
    <row r="3386" spans="7:8" x14ac:dyDescent="0.25">
      <c r="G3386" s="4"/>
      <c r="H3386" s="4"/>
    </row>
    <row r="3387" spans="7:8" x14ac:dyDescent="0.25">
      <c r="G3387" s="4"/>
      <c r="H3387" s="4"/>
    </row>
    <row r="3388" spans="7:8" x14ac:dyDescent="0.25">
      <c r="G3388" s="4"/>
      <c r="H3388" s="4"/>
    </row>
    <row r="3389" spans="7:8" x14ac:dyDescent="0.25">
      <c r="G3389" s="4"/>
      <c r="H3389" s="4"/>
    </row>
    <row r="3390" spans="7:8" x14ac:dyDescent="0.25">
      <c r="G3390" s="4"/>
      <c r="H3390" s="4"/>
    </row>
    <row r="3391" spans="7:8" x14ac:dyDescent="0.25">
      <c r="G3391" s="4"/>
      <c r="H3391" s="4"/>
    </row>
    <row r="3392" spans="7:8" x14ac:dyDescent="0.25">
      <c r="G3392" s="4"/>
      <c r="H3392" s="4"/>
    </row>
    <row r="3393" spans="7:8" x14ac:dyDescent="0.25">
      <c r="G3393" s="4"/>
      <c r="H3393" s="4"/>
    </row>
    <row r="3394" spans="7:8" x14ac:dyDescent="0.25">
      <c r="G3394" s="4"/>
      <c r="H3394" s="4"/>
    </row>
    <row r="3395" spans="7:8" x14ac:dyDescent="0.25">
      <c r="G3395" s="4"/>
      <c r="H3395" s="4"/>
    </row>
    <row r="3396" spans="7:8" x14ac:dyDescent="0.25">
      <c r="G3396" s="4"/>
      <c r="H3396" s="4"/>
    </row>
    <row r="3397" spans="7:8" x14ac:dyDescent="0.25">
      <c r="G3397" s="4"/>
      <c r="H3397" s="4"/>
    </row>
    <row r="3398" spans="7:8" x14ac:dyDescent="0.25">
      <c r="G3398" s="4"/>
      <c r="H3398" s="4"/>
    </row>
    <row r="3399" spans="7:8" x14ac:dyDescent="0.25">
      <c r="G3399" s="4"/>
      <c r="H3399" s="4"/>
    </row>
    <row r="3400" spans="7:8" x14ac:dyDescent="0.25">
      <c r="G3400" s="4"/>
      <c r="H3400" s="4"/>
    </row>
    <row r="3401" spans="7:8" x14ac:dyDescent="0.25">
      <c r="G3401" s="4"/>
      <c r="H3401" s="4"/>
    </row>
    <row r="3402" spans="7:8" x14ac:dyDescent="0.25">
      <c r="G3402" s="4"/>
      <c r="H3402" s="4"/>
    </row>
    <row r="3403" spans="7:8" x14ac:dyDescent="0.25">
      <c r="G3403" s="4"/>
      <c r="H3403" s="4"/>
    </row>
    <row r="3404" spans="7:8" x14ac:dyDescent="0.25">
      <c r="G3404" s="4"/>
      <c r="H3404" s="4"/>
    </row>
    <row r="3405" spans="7:8" x14ac:dyDescent="0.25">
      <c r="G3405" s="4"/>
      <c r="H3405" s="4"/>
    </row>
    <row r="3406" spans="7:8" x14ac:dyDescent="0.25">
      <c r="G3406" s="4"/>
      <c r="H3406" s="4"/>
    </row>
    <row r="3407" spans="7:8" x14ac:dyDescent="0.25">
      <c r="G3407" s="4"/>
      <c r="H3407" s="4"/>
    </row>
    <row r="3408" spans="7:8" x14ac:dyDescent="0.25">
      <c r="G3408" s="4"/>
      <c r="H3408" s="4"/>
    </row>
    <row r="3409" spans="7:8" x14ac:dyDescent="0.25">
      <c r="G3409" s="4"/>
      <c r="H3409" s="4"/>
    </row>
    <row r="3410" spans="7:8" x14ac:dyDescent="0.25">
      <c r="G3410" s="4"/>
      <c r="H3410" s="4"/>
    </row>
    <row r="3411" spans="7:8" x14ac:dyDescent="0.25">
      <c r="G3411" s="4"/>
      <c r="H3411" s="4"/>
    </row>
    <row r="3412" spans="7:8" x14ac:dyDescent="0.25">
      <c r="G3412" s="4"/>
      <c r="H3412" s="4"/>
    </row>
    <row r="3413" spans="7:8" x14ac:dyDescent="0.25">
      <c r="G3413" s="4"/>
      <c r="H3413" s="4"/>
    </row>
    <row r="3414" spans="7:8" x14ac:dyDescent="0.25">
      <c r="G3414" s="4"/>
      <c r="H3414" s="4"/>
    </row>
    <row r="3415" spans="7:8" x14ac:dyDescent="0.25">
      <c r="G3415" s="4"/>
      <c r="H3415" s="4"/>
    </row>
    <row r="3416" spans="7:8" x14ac:dyDescent="0.25">
      <c r="G3416" s="4"/>
      <c r="H3416" s="4"/>
    </row>
    <row r="3417" spans="7:8" x14ac:dyDescent="0.25">
      <c r="G3417" s="4"/>
      <c r="H3417" s="4"/>
    </row>
    <row r="3418" spans="7:8" x14ac:dyDescent="0.25">
      <c r="G3418" s="4"/>
      <c r="H3418" s="4"/>
    </row>
    <row r="3419" spans="7:8" x14ac:dyDescent="0.25">
      <c r="G3419" s="4"/>
      <c r="H3419" s="4"/>
    </row>
    <row r="3420" spans="7:8" x14ac:dyDescent="0.25">
      <c r="G3420" s="4"/>
      <c r="H3420" s="4"/>
    </row>
    <row r="3421" spans="7:8" x14ac:dyDescent="0.25">
      <c r="G3421" s="4"/>
      <c r="H3421" s="4"/>
    </row>
    <row r="3422" spans="7:8" x14ac:dyDescent="0.25">
      <c r="G3422" s="4"/>
      <c r="H3422" s="4"/>
    </row>
    <row r="3423" spans="7:8" x14ac:dyDescent="0.25">
      <c r="G3423" s="4"/>
      <c r="H3423" s="4"/>
    </row>
    <row r="3424" spans="7:8" x14ac:dyDescent="0.25">
      <c r="G3424" s="4"/>
      <c r="H3424" s="4"/>
    </row>
    <row r="3425" spans="7:8" x14ac:dyDescent="0.25">
      <c r="G3425" s="4"/>
      <c r="H3425" s="4"/>
    </row>
    <row r="3426" spans="7:8" x14ac:dyDescent="0.25">
      <c r="G3426" s="4"/>
      <c r="H3426" s="4"/>
    </row>
    <row r="3427" spans="7:8" x14ac:dyDescent="0.25">
      <c r="G3427" s="4"/>
      <c r="H3427" s="4"/>
    </row>
    <row r="3428" spans="7:8" x14ac:dyDescent="0.25">
      <c r="G3428" s="4"/>
      <c r="H3428" s="4"/>
    </row>
    <row r="3429" spans="7:8" x14ac:dyDescent="0.25">
      <c r="G3429" s="4"/>
      <c r="H3429" s="4"/>
    </row>
    <row r="3430" spans="7:8" x14ac:dyDescent="0.25">
      <c r="G3430" s="4"/>
      <c r="H3430" s="4"/>
    </row>
    <row r="3431" spans="7:8" x14ac:dyDescent="0.25">
      <c r="G3431" s="4"/>
      <c r="H3431" s="4"/>
    </row>
    <row r="3432" spans="7:8" x14ac:dyDescent="0.25">
      <c r="G3432" s="4"/>
      <c r="H3432" s="4"/>
    </row>
    <row r="3433" spans="7:8" x14ac:dyDescent="0.25">
      <c r="G3433" s="4"/>
      <c r="H3433" s="4"/>
    </row>
    <row r="3434" spans="7:8" x14ac:dyDescent="0.25">
      <c r="G3434" s="4"/>
      <c r="H3434" s="4"/>
    </row>
    <row r="3435" spans="7:8" x14ac:dyDescent="0.25">
      <c r="G3435" s="4"/>
      <c r="H3435" s="4"/>
    </row>
    <row r="3436" spans="7:8" x14ac:dyDescent="0.25">
      <c r="G3436" s="4"/>
      <c r="H3436" s="4"/>
    </row>
    <row r="3437" spans="7:8" x14ac:dyDescent="0.25">
      <c r="G3437" s="4"/>
      <c r="H3437" s="4"/>
    </row>
    <row r="3438" spans="7:8" x14ac:dyDescent="0.25">
      <c r="G3438" s="4"/>
      <c r="H3438" s="4"/>
    </row>
    <row r="3439" spans="7:8" x14ac:dyDescent="0.25">
      <c r="G3439" s="4"/>
      <c r="H3439" s="4"/>
    </row>
    <row r="3440" spans="7:8" x14ac:dyDescent="0.25">
      <c r="G3440" s="4"/>
      <c r="H3440" s="4"/>
    </row>
    <row r="3441" spans="7:8" x14ac:dyDescent="0.25">
      <c r="G3441" s="4"/>
      <c r="H3441" s="4"/>
    </row>
    <row r="3442" spans="7:8" x14ac:dyDescent="0.25">
      <c r="G3442" s="4"/>
      <c r="H3442" s="4"/>
    </row>
    <row r="3443" spans="7:8" x14ac:dyDescent="0.25">
      <c r="G3443" s="4"/>
      <c r="H3443" s="4"/>
    </row>
    <row r="3444" spans="7:8" x14ac:dyDescent="0.25">
      <c r="G3444" s="4"/>
      <c r="H3444" s="4"/>
    </row>
    <row r="3445" spans="7:8" x14ac:dyDescent="0.25">
      <c r="G3445" s="4"/>
      <c r="H3445" s="4"/>
    </row>
    <row r="3446" spans="7:8" x14ac:dyDescent="0.25">
      <c r="G3446" s="4"/>
      <c r="H3446" s="4"/>
    </row>
    <row r="3447" spans="7:8" x14ac:dyDescent="0.25">
      <c r="G3447" s="4"/>
      <c r="H3447" s="4"/>
    </row>
    <row r="3448" spans="7:8" x14ac:dyDescent="0.25">
      <c r="G3448" s="4"/>
      <c r="H3448" s="4"/>
    </row>
    <row r="3449" spans="7:8" x14ac:dyDescent="0.25">
      <c r="G3449" s="4"/>
      <c r="H3449" s="4"/>
    </row>
    <row r="3450" spans="7:8" x14ac:dyDescent="0.25">
      <c r="G3450" s="4"/>
      <c r="H3450" s="4"/>
    </row>
    <row r="3451" spans="7:8" x14ac:dyDescent="0.25">
      <c r="G3451" s="4"/>
      <c r="H3451" s="4"/>
    </row>
    <row r="3452" spans="7:8" x14ac:dyDescent="0.25">
      <c r="G3452" s="4"/>
      <c r="H3452" s="4"/>
    </row>
    <row r="3453" spans="7:8" x14ac:dyDescent="0.25">
      <c r="G3453" s="4"/>
      <c r="H3453" s="4"/>
    </row>
    <row r="3454" spans="7:8" x14ac:dyDescent="0.25">
      <c r="G3454" s="4"/>
      <c r="H3454" s="4"/>
    </row>
    <row r="3455" spans="7:8" x14ac:dyDescent="0.25">
      <c r="G3455" s="4"/>
      <c r="H3455" s="4"/>
    </row>
    <row r="3456" spans="7:8" x14ac:dyDescent="0.25">
      <c r="G3456" s="4"/>
      <c r="H3456" s="4"/>
    </row>
    <row r="3457" spans="7:8" x14ac:dyDescent="0.25">
      <c r="G3457" s="4"/>
      <c r="H3457" s="4"/>
    </row>
    <row r="3458" spans="7:8" x14ac:dyDescent="0.25">
      <c r="G3458" s="4"/>
      <c r="H3458" s="4"/>
    </row>
    <row r="3459" spans="7:8" x14ac:dyDescent="0.25">
      <c r="G3459" s="4"/>
      <c r="H3459" s="4"/>
    </row>
    <row r="3460" spans="7:8" x14ac:dyDescent="0.25">
      <c r="G3460" s="4"/>
      <c r="H3460" s="4"/>
    </row>
    <row r="3461" spans="7:8" x14ac:dyDescent="0.25">
      <c r="G3461" s="4"/>
      <c r="H3461" s="4"/>
    </row>
    <row r="3462" spans="7:8" x14ac:dyDescent="0.25">
      <c r="G3462" s="4"/>
      <c r="H3462" s="4"/>
    </row>
    <row r="3463" spans="7:8" x14ac:dyDescent="0.25">
      <c r="G3463" s="4"/>
      <c r="H3463" s="4"/>
    </row>
    <row r="3464" spans="7:8" x14ac:dyDescent="0.25">
      <c r="G3464" s="4"/>
      <c r="H3464" s="4"/>
    </row>
    <row r="3465" spans="7:8" x14ac:dyDescent="0.25">
      <c r="G3465" s="4"/>
      <c r="H3465" s="4"/>
    </row>
    <row r="3466" spans="7:8" x14ac:dyDescent="0.25">
      <c r="G3466" s="4"/>
      <c r="H3466" s="4"/>
    </row>
    <row r="3467" spans="7:8" x14ac:dyDescent="0.25">
      <c r="G3467" s="4"/>
      <c r="H3467" s="4"/>
    </row>
    <row r="3468" spans="7:8" x14ac:dyDescent="0.25">
      <c r="G3468" s="4"/>
      <c r="H3468" s="4"/>
    </row>
    <row r="3469" spans="7:8" x14ac:dyDescent="0.25">
      <c r="G3469" s="4"/>
      <c r="H3469" s="4"/>
    </row>
    <row r="3470" spans="7:8" x14ac:dyDescent="0.25">
      <c r="G3470" s="4"/>
      <c r="H3470" s="4"/>
    </row>
    <row r="3471" spans="7:8" x14ac:dyDescent="0.25">
      <c r="G3471" s="4"/>
      <c r="H3471" s="4"/>
    </row>
    <row r="3472" spans="7:8" x14ac:dyDescent="0.25">
      <c r="G3472" s="4"/>
      <c r="H3472" s="4"/>
    </row>
    <row r="3473" spans="7:8" x14ac:dyDescent="0.25">
      <c r="G3473" s="4"/>
      <c r="H3473" s="4"/>
    </row>
    <row r="3474" spans="7:8" x14ac:dyDescent="0.25">
      <c r="G3474" s="4"/>
      <c r="H3474" s="4"/>
    </row>
    <row r="3475" spans="7:8" x14ac:dyDescent="0.25">
      <c r="G3475" s="4"/>
      <c r="H3475" s="4"/>
    </row>
    <row r="3476" spans="7:8" x14ac:dyDescent="0.25">
      <c r="G3476" s="4"/>
      <c r="H3476" s="4"/>
    </row>
    <row r="3477" spans="7:8" x14ac:dyDescent="0.25">
      <c r="G3477" s="4"/>
      <c r="H3477" s="4"/>
    </row>
    <row r="3478" spans="7:8" x14ac:dyDescent="0.25">
      <c r="G3478" s="4"/>
      <c r="H3478" s="4"/>
    </row>
    <row r="3479" spans="7:8" x14ac:dyDescent="0.25">
      <c r="G3479" s="4"/>
      <c r="H3479" s="4"/>
    </row>
    <row r="3480" spans="7:8" x14ac:dyDescent="0.25">
      <c r="G3480" s="4"/>
      <c r="H3480" s="4"/>
    </row>
    <row r="3481" spans="7:8" x14ac:dyDescent="0.25">
      <c r="G3481" s="4"/>
      <c r="H3481" s="4"/>
    </row>
    <row r="3482" spans="7:8" x14ac:dyDescent="0.25">
      <c r="G3482" s="4"/>
      <c r="H3482" s="4"/>
    </row>
    <row r="3483" spans="7:8" x14ac:dyDescent="0.25">
      <c r="G3483" s="4"/>
      <c r="H3483" s="4"/>
    </row>
    <row r="3484" spans="7:8" x14ac:dyDescent="0.25">
      <c r="G3484" s="4"/>
      <c r="H3484" s="4"/>
    </row>
    <row r="3485" spans="7:8" x14ac:dyDescent="0.25">
      <c r="G3485" s="4"/>
      <c r="H3485" s="4"/>
    </row>
    <row r="3486" spans="7:8" x14ac:dyDescent="0.25">
      <c r="G3486" s="4"/>
      <c r="H3486" s="4"/>
    </row>
    <row r="3487" spans="7:8" x14ac:dyDescent="0.25">
      <c r="G3487" s="4"/>
      <c r="H3487" s="4"/>
    </row>
    <row r="3488" spans="7:8" x14ac:dyDescent="0.25">
      <c r="G3488" s="4"/>
      <c r="H3488" s="4"/>
    </row>
    <row r="3489" spans="7:8" x14ac:dyDescent="0.25">
      <c r="G3489" s="4"/>
      <c r="H3489" s="4"/>
    </row>
    <row r="3490" spans="7:8" x14ac:dyDescent="0.25">
      <c r="G3490" s="4"/>
      <c r="H3490" s="4"/>
    </row>
    <row r="3491" spans="7:8" x14ac:dyDescent="0.25">
      <c r="G3491" s="4"/>
      <c r="H3491" s="4"/>
    </row>
    <row r="3492" spans="7:8" x14ac:dyDescent="0.25">
      <c r="G3492" s="4"/>
      <c r="H3492" s="4"/>
    </row>
    <row r="3493" spans="7:8" x14ac:dyDescent="0.25">
      <c r="G3493" s="4"/>
      <c r="H3493" s="4"/>
    </row>
    <row r="3494" spans="7:8" x14ac:dyDescent="0.25">
      <c r="G3494" s="4"/>
      <c r="H3494" s="4"/>
    </row>
    <row r="3495" spans="7:8" x14ac:dyDescent="0.25">
      <c r="G3495" s="4"/>
      <c r="H3495" s="4"/>
    </row>
    <row r="3496" spans="7:8" x14ac:dyDescent="0.25">
      <c r="G3496" s="4"/>
      <c r="H3496" s="4"/>
    </row>
    <row r="3497" spans="7:8" x14ac:dyDescent="0.25">
      <c r="G3497" s="4"/>
      <c r="H3497" s="4"/>
    </row>
    <row r="3498" spans="7:8" x14ac:dyDescent="0.25">
      <c r="G3498" s="4"/>
      <c r="H3498" s="4"/>
    </row>
    <row r="3499" spans="7:8" x14ac:dyDescent="0.25">
      <c r="G3499" s="4"/>
      <c r="H3499" s="4"/>
    </row>
    <row r="3500" spans="7:8" x14ac:dyDescent="0.25">
      <c r="G3500" s="4"/>
      <c r="H3500" s="4"/>
    </row>
    <row r="3501" spans="7:8" x14ac:dyDescent="0.25">
      <c r="G3501" s="4"/>
      <c r="H3501" s="4"/>
    </row>
    <row r="3502" spans="7:8" x14ac:dyDescent="0.25">
      <c r="G3502" s="4"/>
      <c r="H3502" s="4"/>
    </row>
    <row r="3503" spans="7:8" x14ac:dyDescent="0.25">
      <c r="G3503" s="4"/>
      <c r="H3503" s="4"/>
    </row>
    <row r="3504" spans="7:8" x14ac:dyDescent="0.25">
      <c r="G3504" s="4"/>
      <c r="H3504" s="4"/>
    </row>
    <row r="3505" spans="7:8" x14ac:dyDescent="0.25">
      <c r="G3505" s="4"/>
      <c r="H3505" s="4"/>
    </row>
    <row r="3506" spans="7:8" x14ac:dyDescent="0.25">
      <c r="G3506" s="4"/>
      <c r="H3506" s="4"/>
    </row>
    <row r="3507" spans="7:8" x14ac:dyDescent="0.25">
      <c r="G3507" s="4"/>
      <c r="H3507" s="4"/>
    </row>
    <row r="3508" spans="7:8" x14ac:dyDescent="0.25">
      <c r="G3508" s="4"/>
      <c r="H3508" s="4"/>
    </row>
    <row r="3509" spans="7:8" x14ac:dyDescent="0.25">
      <c r="G3509" s="4"/>
      <c r="H3509" s="4"/>
    </row>
    <row r="3510" spans="7:8" x14ac:dyDescent="0.25">
      <c r="G3510" s="4"/>
      <c r="H3510" s="4"/>
    </row>
    <row r="3511" spans="7:8" x14ac:dyDescent="0.25">
      <c r="G3511" s="4"/>
      <c r="H3511" s="4"/>
    </row>
    <row r="3512" spans="7:8" x14ac:dyDescent="0.25">
      <c r="G3512" s="4"/>
      <c r="H3512" s="4"/>
    </row>
    <row r="3513" spans="7:8" x14ac:dyDescent="0.25">
      <c r="G3513" s="4"/>
      <c r="H3513" s="4"/>
    </row>
    <row r="3514" spans="7:8" x14ac:dyDescent="0.25">
      <c r="G3514" s="4"/>
      <c r="H3514" s="4"/>
    </row>
    <row r="3515" spans="7:8" x14ac:dyDescent="0.25">
      <c r="G3515" s="4"/>
      <c r="H3515" s="4"/>
    </row>
    <row r="3516" spans="7:8" x14ac:dyDescent="0.25">
      <c r="G3516" s="4"/>
      <c r="H3516" s="4"/>
    </row>
    <row r="3517" spans="7:8" x14ac:dyDescent="0.25">
      <c r="G3517" s="4"/>
      <c r="H3517" s="4"/>
    </row>
    <row r="3518" spans="7:8" x14ac:dyDescent="0.25">
      <c r="G3518" s="4"/>
      <c r="H3518" s="4"/>
    </row>
    <row r="3519" spans="7:8" x14ac:dyDescent="0.25">
      <c r="G3519" s="4"/>
      <c r="H3519" s="4"/>
    </row>
    <row r="3520" spans="7:8" x14ac:dyDescent="0.25">
      <c r="G3520" s="4"/>
      <c r="H3520" s="4"/>
    </row>
    <row r="3521" spans="7:8" x14ac:dyDescent="0.25">
      <c r="G3521" s="4"/>
      <c r="H3521" s="4"/>
    </row>
    <row r="3522" spans="7:8" x14ac:dyDescent="0.25">
      <c r="G3522" s="4"/>
      <c r="H3522" s="4"/>
    </row>
    <row r="3523" spans="7:8" x14ac:dyDescent="0.25">
      <c r="G3523" s="4"/>
      <c r="H3523" s="4"/>
    </row>
    <row r="3524" spans="7:8" x14ac:dyDescent="0.25">
      <c r="G3524" s="4"/>
      <c r="H3524" s="4"/>
    </row>
    <row r="3525" spans="7:8" x14ac:dyDescent="0.25">
      <c r="G3525" s="4"/>
      <c r="H3525" s="4"/>
    </row>
    <row r="3526" spans="7:8" x14ac:dyDescent="0.25">
      <c r="G3526" s="4"/>
      <c r="H3526" s="4"/>
    </row>
    <row r="3527" spans="7:8" x14ac:dyDescent="0.25">
      <c r="G3527" s="4"/>
      <c r="H3527" s="4"/>
    </row>
    <row r="3528" spans="7:8" x14ac:dyDescent="0.25">
      <c r="G3528" s="4"/>
      <c r="H3528" s="4"/>
    </row>
    <row r="3529" spans="7:8" x14ac:dyDescent="0.25">
      <c r="G3529" s="4"/>
      <c r="H3529" s="4"/>
    </row>
    <row r="3530" spans="7:8" x14ac:dyDescent="0.25">
      <c r="G3530" s="4"/>
      <c r="H3530" s="4"/>
    </row>
    <row r="3531" spans="7:8" x14ac:dyDescent="0.25">
      <c r="G3531" s="4"/>
      <c r="H3531" s="4"/>
    </row>
    <row r="3532" spans="7:8" x14ac:dyDescent="0.25">
      <c r="G3532" s="4"/>
      <c r="H3532" s="4"/>
    </row>
    <row r="3533" spans="7:8" x14ac:dyDescent="0.25">
      <c r="G3533" s="4"/>
      <c r="H3533" s="4"/>
    </row>
    <row r="3534" spans="7:8" x14ac:dyDescent="0.25">
      <c r="G3534" s="4"/>
      <c r="H3534" s="4"/>
    </row>
    <row r="3535" spans="7:8" x14ac:dyDescent="0.25">
      <c r="G3535" s="4"/>
      <c r="H3535" s="4"/>
    </row>
    <row r="3536" spans="7:8" x14ac:dyDescent="0.25">
      <c r="G3536" s="4"/>
      <c r="H3536" s="4"/>
    </row>
    <row r="3537" spans="7:8" x14ac:dyDescent="0.25">
      <c r="G3537" s="4"/>
      <c r="H3537" s="4"/>
    </row>
    <row r="3538" spans="7:8" x14ac:dyDescent="0.25">
      <c r="G3538" s="4"/>
      <c r="H3538" s="4"/>
    </row>
    <row r="3539" spans="7:8" x14ac:dyDescent="0.25">
      <c r="G3539" s="4"/>
      <c r="H3539" s="4"/>
    </row>
    <row r="3540" spans="7:8" x14ac:dyDescent="0.25">
      <c r="G3540" s="4"/>
      <c r="H3540" s="4"/>
    </row>
    <row r="3541" spans="7:8" x14ac:dyDescent="0.25">
      <c r="G3541" s="4"/>
      <c r="H3541" s="4"/>
    </row>
    <row r="3542" spans="7:8" x14ac:dyDescent="0.25">
      <c r="G3542" s="4"/>
      <c r="H3542" s="4"/>
    </row>
    <row r="3543" spans="7:8" x14ac:dyDescent="0.25">
      <c r="G3543" s="4"/>
      <c r="H3543" s="4"/>
    </row>
    <row r="3544" spans="7:8" x14ac:dyDescent="0.25">
      <c r="G3544" s="4"/>
      <c r="H3544" s="4"/>
    </row>
    <row r="3545" spans="7:8" x14ac:dyDescent="0.25">
      <c r="G3545" s="4"/>
      <c r="H3545" s="4"/>
    </row>
    <row r="3546" spans="7:8" x14ac:dyDescent="0.25">
      <c r="G3546" s="4"/>
      <c r="H3546" s="4"/>
    </row>
    <row r="3547" spans="7:8" x14ac:dyDescent="0.25">
      <c r="G3547" s="4"/>
      <c r="H3547" s="4"/>
    </row>
    <row r="3548" spans="7:8" x14ac:dyDescent="0.25">
      <c r="G3548" s="4"/>
      <c r="H3548" s="4"/>
    </row>
    <row r="3549" spans="7:8" x14ac:dyDescent="0.25">
      <c r="G3549" s="4"/>
      <c r="H3549" s="4"/>
    </row>
    <row r="3550" spans="7:8" x14ac:dyDescent="0.25">
      <c r="G3550" s="4"/>
      <c r="H3550" s="4"/>
    </row>
    <row r="3551" spans="7:8" x14ac:dyDescent="0.25">
      <c r="G3551" s="4"/>
      <c r="H3551" s="4"/>
    </row>
    <row r="3552" spans="7:8" x14ac:dyDescent="0.25">
      <c r="G3552" s="4"/>
      <c r="H3552" s="4"/>
    </row>
    <row r="3553" spans="7:8" x14ac:dyDescent="0.25">
      <c r="G3553" s="4"/>
      <c r="H3553" s="4"/>
    </row>
    <row r="3554" spans="7:8" x14ac:dyDescent="0.25">
      <c r="G3554" s="4"/>
      <c r="H3554" s="4"/>
    </row>
    <row r="3555" spans="7:8" x14ac:dyDescent="0.25">
      <c r="G3555" s="4"/>
      <c r="H3555" s="4"/>
    </row>
    <row r="3556" spans="7:8" x14ac:dyDescent="0.25">
      <c r="G3556" s="4"/>
      <c r="H3556" s="4"/>
    </row>
    <row r="3557" spans="7:8" x14ac:dyDescent="0.25">
      <c r="G3557" s="4"/>
      <c r="H3557" s="4"/>
    </row>
    <row r="3558" spans="7:8" x14ac:dyDescent="0.25">
      <c r="G3558" s="4"/>
      <c r="H3558" s="4"/>
    </row>
    <row r="3559" spans="7:8" x14ac:dyDescent="0.25">
      <c r="G3559" s="4"/>
      <c r="H3559" s="4"/>
    </row>
    <row r="3560" spans="7:8" x14ac:dyDescent="0.25">
      <c r="G3560" s="4"/>
      <c r="H3560" s="4"/>
    </row>
    <row r="3561" spans="7:8" x14ac:dyDescent="0.25">
      <c r="G3561" s="4"/>
      <c r="H3561" s="4"/>
    </row>
    <row r="3562" spans="7:8" x14ac:dyDescent="0.25">
      <c r="G3562" s="4"/>
      <c r="H3562" s="4"/>
    </row>
    <row r="3563" spans="7:8" x14ac:dyDescent="0.25">
      <c r="G3563" s="4"/>
      <c r="H3563" s="4"/>
    </row>
    <row r="3564" spans="7:8" x14ac:dyDescent="0.25">
      <c r="G3564" s="4"/>
      <c r="H3564" s="4"/>
    </row>
    <row r="3565" spans="7:8" x14ac:dyDescent="0.25">
      <c r="G3565" s="4"/>
      <c r="H3565" s="4"/>
    </row>
    <row r="3566" spans="7:8" x14ac:dyDescent="0.25">
      <c r="G3566" s="4"/>
      <c r="H3566" s="4"/>
    </row>
    <row r="3567" spans="7:8" x14ac:dyDescent="0.25">
      <c r="G3567" s="4"/>
      <c r="H3567" s="4"/>
    </row>
    <row r="3568" spans="7:8" x14ac:dyDescent="0.25">
      <c r="G3568" s="4"/>
      <c r="H3568" s="4"/>
    </row>
    <row r="3569" spans="7:8" x14ac:dyDescent="0.25">
      <c r="G3569" s="4"/>
      <c r="H3569" s="4"/>
    </row>
    <row r="3570" spans="7:8" x14ac:dyDescent="0.25">
      <c r="G3570" s="4"/>
      <c r="H3570" s="4"/>
    </row>
    <row r="3571" spans="7:8" x14ac:dyDescent="0.25">
      <c r="G3571" s="4"/>
      <c r="H3571" s="4"/>
    </row>
    <row r="3572" spans="7:8" x14ac:dyDescent="0.25">
      <c r="G3572" s="4"/>
      <c r="H3572" s="4"/>
    </row>
    <row r="3573" spans="7:8" x14ac:dyDescent="0.25">
      <c r="G3573" s="4"/>
      <c r="H3573" s="4"/>
    </row>
    <row r="3574" spans="7:8" x14ac:dyDescent="0.25">
      <c r="G3574" s="4"/>
      <c r="H3574" s="4"/>
    </row>
    <row r="3575" spans="7:8" x14ac:dyDescent="0.25">
      <c r="G3575" s="4"/>
      <c r="H3575" s="4"/>
    </row>
    <row r="3576" spans="7:8" x14ac:dyDescent="0.25">
      <c r="G3576" s="4"/>
      <c r="H3576" s="4"/>
    </row>
    <row r="3577" spans="7:8" x14ac:dyDescent="0.25">
      <c r="G3577" s="4"/>
      <c r="H3577" s="4"/>
    </row>
    <row r="3578" spans="7:8" x14ac:dyDescent="0.25">
      <c r="G3578" s="4"/>
      <c r="H3578" s="4"/>
    </row>
    <row r="3579" spans="7:8" x14ac:dyDescent="0.25">
      <c r="G3579" s="4"/>
      <c r="H3579" s="4"/>
    </row>
    <row r="3580" spans="7:8" x14ac:dyDescent="0.25">
      <c r="G3580" s="4"/>
      <c r="H3580" s="4"/>
    </row>
    <row r="3581" spans="7:8" x14ac:dyDescent="0.25">
      <c r="G3581" s="4"/>
      <c r="H3581" s="4"/>
    </row>
    <row r="3582" spans="7:8" x14ac:dyDescent="0.25">
      <c r="G3582" s="4"/>
      <c r="H3582" s="4"/>
    </row>
    <row r="3583" spans="7:8" x14ac:dyDescent="0.25">
      <c r="G3583" s="4"/>
      <c r="H3583" s="4"/>
    </row>
    <row r="3584" spans="7:8" x14ac:dyDescent="0.25">
      <c r="G3584" s="4"/>
      <c r="H3584" s="4"/>
    </row>
    <row r="3585" spans="7:8" x14ac:dyDescent="0.25">
      <c r="G3585" s="4"/>
      <c r="H3585" s="4"/>
    </row>
    <row r="3586" spans="7:8" x14ac:dyDescent="0.25">
      <c r="G3586" s="4"/>
      <c r="H3586" s="4"/>
    </row>
    <row r="3587" spans="7:8" x14ac:dyDescent="0.25">
      <c r="G3587" s="4"/>
      <c r="H3587" s="4"/>
    </row>
    <row r="3588" spans="7:8" x14ac:dyDescent="0.25">
      <c r="G3588" s="4"/>
      <c r="H3588" s="4"/>
    </row>
    <row r="3589" spans="7:8" x14ac:dyDescent="0.25">
      <c r="G3589" s="4"/>
      <c r="H3589" s="4"/>
    </row>
    <row r="3590" spans="7:8" x14ac:dyDescent="0.25">
      <c r="G3590" s="4"/>
      <c r="H3590" s="4"/>
    </row>
    <row r="3591" spans="7:8" x14ac:dyDescent="0.25">
      <c r="G3591" s="4"/>
      <c r="H3591" s="4"/>
    </row>
    <row r="3592" spans="7:8" x14ac:dyDescent="0.25">
      <c r="G3592" s="4" t="str">
        <f t="shared" ref="G3592:G3655" si="52">IF(C3592="","",IF(C3592="*","*",1))</f>
        <v/>
      </c>
      <c r="H3592" s="4" t="str">
        <f t="shared" ref="H3592:H3655" si="53">IF(C3592="","",IF(C3592="*","*",0))</f>
        <v/>
      </c>
    </row>
    <row r="3593" spans="7:8" x14ac:dyDescent="0.25">
      <c r="G3593" s="4" t="str">
        <f t="shared" si="52"/>
        <v/>
      </c>
      <c r="H3593" s="4" t="str">
        <f t="shared" si="53"/>
        <v/>
      </c>
    </row>
    <row r="3594" spans="7:8" x14ac:dyDescent="0.25">
      <c r="G3594" s="4" t="str">
        <f t="shared" si="52"/>
        <v/>
      </c>
      <c r="H3594" s="4" t="str">
        <f t="shared" si="53"/>
        <v/>
      </c>
    </row>
    <row r="3595" spans="7:8" x14ac:dyDescent="0.25">
      <c r="G3595" s="4" t="str">
        <f t="shared" si="52"/>
        <v/>
      </c>
      <c r="H3595" s="4" t="str">
        <f t="shared" si="53"/>
        <v/>
      </c>
    </row>
    <row r="3596" spans="7:8" x14ac:dyDescent="0.25">
      <c r="G3596" s="4" t="str">
        <f t="shared" si="52"/>
        <v/>
      </c>
      <c r="H3596" s="4" t="str">
        <f t="shared" si="53"/>
        <v/>
      </c>
    </row>
    <row r="3597" spans="7:8" x14ac:dyDescent="0.25">
      <c r="G3597" s="4" t="str">
        <f t="shared" si="52"/>
        <v/>
      </c>
      <c r="H3597" s="4" t="str">
        <f t="shared" si="53"/>
        <v/>
      </c>
    </row>
    <row r="3598" spans="7:8" x14ac:dyDescent="0.25">
      <c r="G3598" s="4" t="str">
        <f t="shared" si="52"/>
        <v/>
      </c>
      <c r="H3598" s="4" t="str">
        <f t="shared" si="53"/>
        <v/>
      </c>
    </row>
    <row r="3599" spans="7:8" x14ac:dyDescent="0.25">
      <c r="G3599" s="4" t="str">
        <f t="shared" si="52"/>
        <v/>
      </c>
      <c r="H3599" s="4" t="str">
        <f t="shared" si="53"/>
        <v/>
      </c>
    </row>
    <row r="3600" spans="7:8" x14ac:dyDescent="0.25">
      <c r="G3600" s="4" t="str">
        <f t="shared" si="52"/>
        <v/>
      </c>
      <c r="H3600" s="4" t="str">
        <f t="shared" si="53"/>
        <v/>
      </c>
    </row>
    <row r="3601" spans="7:8" x14ac:dyDescent="0.25">
      <c r="G3601" s="4" t="str">
        <f t="shared" si="52"/>
        <v/>
      </c>
      <c r="H3601" s="4" t="str">
        <f t="shared" si="53"/>
        <v/>
      </c>
    </row>
    <row r="3602" spans="7:8" x14ac:dyDescent="0.25">
      <c r="G3602" s="4" t="str">
        <f t="shared" si="52"/>
        <v/>
      </c>
      <c r="H3602" s="4" t="str">
        <f t="shared" si="53"/>
        <v/>
      </c>
    </row>
    <row r="3603" spans="7:8" x14ac:dyDescent="0.25">
      <c r="G3603" s="4" t="str">
        <f t="shared" si="52"/>
        <v/>
      </c>
      <c r="H3603" s="4" t="str">
        <f t="shared" si="53"/>
        <v/>
      </c>
    </row>
    <row r="3604" spans="7:8" x14ac:dyDescent="0.25">
      <c r="G3604" s="4" t="str">
        <f t="shared" si="52"/>
        <v/>
      </c>
      <c r="H3604" s="4" t="str">
        <f t="shared" si="53"/>
        <v/>
      </c>
    </row>
    <row r="3605" spans="7:8" x14ac:dyDescent="0.25">
      <c r="G3605" s="4" t="str">
        <f t="shared" si="52"/>
        <v/>
      </c>
      <c r="H3605" s="4" t="str">
        <f t="shared" si="53"/>
        <v/>
      </c>
    </row>
    <row r="3606" spans="7:8" x14ac:dyDescent="0.25">
      <c r="G3606" s="4" t="str">
        <f t="shared" si="52"/>
        <v/>
      </c>
      <c r="H3606" s="4" t="str">
        <f t="shared" si="53"/>
        <v/>
      </c>
    </row>
    <row r="3607" spans="7:8" x14ac:dyDescent="0.25">
      <c r="G3607" s="4" t="str">
        <f t="shared" si="52"/>
        <v/>
      </c>
      <c r="H3607" s="4" t="str">
        <f t="shared" si="53"/>
        <v/>
      </c>
    </row>
    <row r="3608" spans="7:8" x14ac:dyDescent="0.25">
      <c r="G3608" s="4" t="str">
        <f t="shared" si="52"/>
        <v/>
      </c>
      <c r="H3608" s="4" t="str">
        <f t="shared" si="53"/>
        <v/>
      </c>
    </row>
    <row r="3609" spans="7:8" x14ac:dyDescent="0.25">
      <c r="G3609" s="4" t="str">
        <f t="shared" si="52"/>
        <v/>
      </c>
      <c r="H3609" s="4" t="str">
        <f t="shared" si="53"/>
        <v/>
      </c>
    </row>
    <row r="3610" spans="7:8" x14ac:dyDescent="0.25">
      <c r="G3610" s="4" t="str">
        <f t="shared" si="52"/>
        <v/>
      </c>
      <c r="H3610" s="4" t="str">
        <f t="shared" si="53"/>
        <v/>
      </c>
    </row>
    <row r="3611" spans="7:8" x14ac:dyDescent="0.25">
      <c r="G3611" s="4" t="str">
        <f t="shared" si="52"/>
        <v/>
      </c>
      <c r="H3611" s="4" t="str">
        <f t="shared" si="53"/>
        <v/>
      </c>
    </row>
    <row r="3612" spans="7:8" x14ac:dyDescent="0.25">
      <c r="G3612" s="4" t="str">
        <f t="shared" si="52"/>
        <v/>
      </c>
      <c r="H3612" s="4" t="str">
        <f t="shared" si="53"/>
        <v/>
      </c>
    </row>
    <row r="3613" spans="7:8" x14ac:dyDescent="0.25">
      <c r="G3613" s="4" t="str">
        <f t="shared" si="52"/>
        <v/>
      </c>
      <c r="H3613" s="4" t="str">
        <f t="shared" si="53"/>
        <v/>
      </c>
    </row>
    <row r="3614" spans="7:8" x14ac:dyDescent="0.25">
      <c r="G3614" s="4" t="str">
        <f t="shared" si="52"/>
        <v/>
      </c>
      <c r="H3614" s="4" t="str">
        <f t="shared" si="53"/>
        <v/>
      </c>
    </row>
    <row r="3615" spans="7:8" x14ac:dyDescent="0.25">
      <c r="G3615" s="4" t="str">
        <f t="shared" si="52"/>
        <v/>
      </c>
      <c r="H3615" s="4" t="str">
        <f t="shared" si="53"/>
        <v/>
      </c>
    </row>
    <row r="3616" spans="7:8" x14ac:dyDescent="0.25">
      <c r="G3616" s="4" t="str">
        <f t="shared" si="52"/>
        <v/>
      </c>
      <c r="H3616" s="4" t="str">
        <f t="shared" si="53"/>
        <v/>
      </c>
    </row>
    <row r="3617" spans="7:8" x14ac:dyDescent="0.25">
      <c r="G3617" s="4" t="str">
        <f t="shared" si="52"/>
        <v/>
      </c>
      <c r="H3617" s="4" t="str">
        <f t="shared" si="53"/>
        <v/>
      </c>
    </row>
    <row r="3618" spans="7:8" x14ac:dyDescent="0.25">
      <c r="G3618" s="4" t="str">
        <f t="shared" si="52"/>
        <v/>
      </c>
      <c r="H3618" s="4" t="str">
        <f t="shared" si="53"/>
        <v/>
      </c>
    </row>
    <row r="3619" spans="7:8" x14ac:dyDescent="0.25">
      <c r="G3619" s="4" t="str">
        <f t="shared" si="52"/>
        <v/>
      </c>
      <c r="H3619" s="4" t="str">
        <f t="shared" si="53"/>
        <v/>
      </c>
    </row>
    <row r="3620" spans="7:8" x14ac:dyDescent="0.25">
      <c r="G3620" s="4" t="str">
        <f t="shared" si="52"/>
        <v/>
      </c>
      <c r="H3620" s="4" t="str">
        <f t="shared" si="53"/>
        <v/>
      </c>
    </row>
    <row r="3621" spans="7:8" x14ac:dyDescent="0.25">
      <c r="G3621" s="4" t="str">
        <f t="shared" si="52"/>
        <v/>
      </c>
      <c r="H3621" s="4" t="str">
        <f t="shared" si="53"/>
        <v/>
      </c>
    </row>
    <row r="3622" spans="7:8" x14ac:dyDescent="0.25">
      <c r="G3622" s="4" t="str">
        <f t="shared" si="52"/>
        <v/>
      </c>
      <c r="H3622" s="4" t="str">
        <f t="shared" si="53"/>
        <v/>
      </c>
    </row>
    <row r="3623" spans="7:8" x14ac:dyDescent="0.25">
      <c r="G3623" s="4" t="str">
        <f t="shared" si="52"/>
        <v/>
      </c>
      <c r="H3623" s="4" t="str">
        <f t="shared" si="53"/>
        <v/>
      </c>
    </row>
    <row r="3624" spans="7:8" x14ac:dyDescent="0.25">
      <c r="G3624" s="4" t="str">
        <f t="shared" si="52"/>
        <v/>
      </c>
      <c r="H3624" s="4" t="str">
        <f t="shared" si="53"/>
        <v/>
      </c>
    </row>
    <row r="3625" spans="7:8" x14ac:dyDescent="0.25">
      <c r="G3625" s="4" t="str">
        <f t="shared" si="52"/>
        <v/>
      </c>
      <c r="H3625" s="4" t="str">
        <f t="shared" si="53"/>
        <v/>
      </c>
    </row>
    <row r="3626" spans="7:8" x14ac:dyDescent="0.25">
      <c r="G3626" s="4" t="str">
        <f t="shared" si="52"/>
        <v/>
      </c>
      <c r="H3626" s="4" t="str">
        <f t="shared" si="53"/>
        <v/>
      </c>
    </row>
    <row r="3627" spans="7:8" x14ac:dyDescent="0.25">
      <c r="G3627" s="4" t="str">
        <f t="shared" si="52"/>
        <v/>
      </c>
      <c r="H3627" s="4" t="str">
        <f t="shared" si="53"/>
        <v/>
      </c>
    </row>
    <row r="3628" spans="7:8" x14ac:dyDescent="0.25">
      <c r="G3628" s="4" t="str">
        <f t="shared" si="52"/>
        <v/>
      </c>
      <c r="H3628" s="4" t="str">
        <f t="shared" si="53"/>
        <v/>
      </c>
    </row>
    <row r="3629" spans="7:8" x14ac:dyDescent="0.25">
      <c r="G3629" s="4" t="str">
        <f t="shared" si="52"/>
        <v/>
      </c>
      <c r="H3629" s="4" t="str">
        <f t="shared" si="53"/>
        <v/>
      </c>
    </row>
    <row r="3630" spans="7:8" x14ac:dyDescent="0.25">
      <c r="G3630" s="4" t="str">
        <f t="shared" si="52"/>
        <v/>
      </c>
      <c r="H3630" s="4" t="str">
        <f t="shared" si="53"/>
        <v/>
      </c>
    </row>
    <row r="3631" spans="7:8" x14ac:dyDescent="0.25">
      <c r="G3631" s="4" t="str">
        <f t="shared" si="52"/>
        <v/>
      </c>
      <c r="H3631" s="4" t="str">
        <f t="shared" si="53"/>
        <v/>
      </c>
    </row>
    <row r="3632" spans="7:8" x14ac:dyDescent="0.25">
      <c r="G3632" s="4" t="str">
        <f t="shared" si="52"/>
        <v/>
      </c>
      <c r="H3632" s="4" t="str">
        <f t="shared" si="53"/>
        <v/>
      </c>
    </row>
    <row r="3633" spans="7:8" x14ac:dyDescent="0.25">
      <c r="G3633" s="4" t="str">
        <f t="shared" si="52"/>
        <v/>
      </c>
      <c r="H3633" s="4" t="str">
        <f t="shared" si="53"/>
        <v/>
      </c>
    </row>
    <row r="3634" spans="7:8" x14ac:dyDescent="0.25">
      <c r="G3634" s="4" t="str">
        <f t="shared" si="52"/>
        <v/>
      </c>
      <c r="H3634" s="4" t="str">
        <f t="shared" si="53"/>
        <v/>
      </c>
    </row>
    <row r="3635" spans="7:8" x14ac:dyDescent="0.25">
      <c r="G3635" s="4" t="str">
        <f t="shared" si="52"/>
        <v/>
      </c>
      <c r="H3635" s="4" t="str">
        <f t="shared" si="53"/>
        <v/>
      </c>
    </row>
    <row r="3636" spans="7:8" x14ac:dyDescent="0.25">
      <c r="G3636" s="4" t="str">
        <f t="shared" si="52"/>
        <v/>
      </c>
      <c r="H3636" s="4" t="str">
        <f t="shared" si="53"/>
        <v/>
      </c>
    </row>
    <row r="3637" spans="7:8" x14ac:dyDescent="0.25">
      <c r="G3637" s="4" t="str">
        <f t="shared" si="52"/>
        <v/>
      </c>
      <c r="H3637" s="4" t="str">
        <f t="shared" si="53"/>
        <v/>
      </c>
    </row>
    <row r="3638" spans="7:8" x14ac:dyDescent="0.25">
      <c r="G3638" s="4" t="str">
        <f t="shared" si="52"/>
        <v/>
      </c>
      <c r="H3638" s="4" t="str">
        <f t="shared" si="53"/>
        <v/>
      </c>
    </row>
    <row r="3639" spans="7:8" x14ac:dyDescent="0.25">
      <c r="G3639" s="4" t="str">
        <f t="shared" si="52"/>
        <v/>
      </c>
      <c r="H3639" s="4" t="str">
        <f t="shared" si="53"/>
        <v/>
      </c>
    </row>
    <row r="3640" spans="7:8" x14ac:dyDescent="0.25">
      <c r="G3640" s="4" t="str">
        <f t="shared" si="52"/>
        <v/>
      </c>
      <c r="H3640" s="4" t="str">
        <f t="shared" si="53"/>
        <v/>
      </c>
    </row>
    <row r="3641" spans="7:8" x14ac:dyDescent="0.25">
      <c r="G3641" s="4" t="str">
        <f t="shared" si="52"/>
        <v/>
      </c>
      <c r="H3641" s="4" t="str">
        <f t="shared" si="53"/>
        <v/>
      </c>
    </row>
    <row r="3642" spans="7:8" x14ac:dyDescent="0.25">
      <c r="G3642" s="4" t="str">
        <f t="shared" si="52"/>
        <v/>
      </c>
      <c r="H3642" s="4" t="str">
        <f t="shared" si="53"/>
        <v/>
      </c>
    </row>
    <row r="3643" spans="7:8" x14ac:dyDescent="0.25">
      <c r="G3643" s="4" t="str">
        <f t="shared" si="52"/>
        <v/>
      </c>
      <c r="H3643" s="4" t="str">
        <f t="shared" si="53"/>
        <v/>
      </c>
    </row>
    <row r="3644" spans="7:8" x14ac:dyDescent="0.25">
      <c r="G3644" s="4" t="str">
        <f t="shared" si="52"/>
        <v/>
      </c>
      <c r="H3644" s="4" t="str">
        <f t="shared" si="53"/>
        <v/>
      </c>
    </row>
    <row r="3645" spans="7:8" x14ac:dyDescent="0.25">
      <c r="G3645" s="4" t="str">
        <f t="shared" si="52"/>
        <v/>
      </c>
      <c r="H3645" s="4" t="str">
        <f t="shared" si="53"/>
        <v/>
      </c>
    </row>
    <row r="3646" spans="7:8" x14ac:dyDescent="0.25">
      <c r="G3646" s="4" t="str">
        <f t="shared" si="52"/>
        <v/>
      </c>
      <c r="H3646" s="4" t="str">
        <f t="shared" si="53"/>
        <v/>
      </c>
    </row>
    <row r="3647" spans="7:8" x14ac:dyDescent="0.25">
      <c r="G3647" s="4" t="str">
        <f t="shared" si="52"/>
        <v/>
      </c>
      <c r="H3647" s="4" t="str">
        <f t="shared" si="53"/>
        <v/>
      </c>
    </row>
    <row r="3648" spans="7:8" x14ac:dyDescent="0.25">
      <c r="G3648" s="4" t="str">
        <f t="shared" si="52"/>
        <v/>
      </c>
      <c r="H3648" s="4" t="str">
        <f t="shared" si="53"/>
        <v/>
      </c>
    </row>
    <row r="3649" spans="7:8" x14ac:dyDescent="0.25">
      <c r="G3649" s="4" t="str">
        <f t="shared" si="52"/>
        <v/>
      </c>
      <c r="H3649" s="4" t="str">
        <f t="shared" si="53"/>
        <v/>
      </c>
    </row>
    <row r="3650" spans="7:8" x14ac:dyDescent="0.25">
      <c r="G3650" s="4" t="str">
        <f t="shared" si="52"/>
        <v/>
      </c>
      <c r="H3650" s="4" t="str">
        <f t="shared" si="53"/>
        <v/>
      </c>
    </row>
    <row r="3651" spans="7:8" x14ac:dyDescent="0.25">
      <c r="G3651" s="4" t="str">
        <f t="shared" si="52"/>
        <v/>
      </c>
      <c r="H3651" s="4" t="str">
        <f t="shared" si="53"/>
        <v/>
      </c>
    </row>
    <row r="3652" spans="7:8" x14ac:dyDescent="0.25">
      <c r="G3652" s="4" t="str">
        <f t="shared" si="52"/>
        <v/>
      </c>
      <c r="H3652" s="4" t="str">
        <f t="shared" si="53"/>
        <v/>
      </c>
    </row>
    <row r="3653" spans="7:8" x14ac:dyDescent="0.25">
      <c r="G3653" s="4" t="str">
        <f t="shared" si="52"/>
        <v/>
      </c>
      <c r="H3653" s="4" t="str">
        <f t="shared" si="53"/>
        <v/>
      </c>
    </row>
    <row r="3654" spans="7:8" x14ac:dyDescent="0.25">
      <c r="G3654" s="4" t="str">
        <f t="shared" si="52"/>
        <v/>
      </c>
      <c r="H3654" s="4" t="str">
        <f t="shared" si="53"/>
        <v/>
      </c>
    </row>
    <row r="3655" spans="7:8" x14ac:dyDescent="0.25">
      <c r="G3655" s="4" t="str">
        <f t="shared" si="52"/>
        <v/>
      </c>
      <c r="H3655" s="4" t="str">
        <f t="shared" si="53"/>
        <v/>
      </c>
    </row>
    <row r="3656" spans="7:8" x14ac:dyDescent="0.25">
      <c r="G3656" s="4" t="str">
        <f t="shared" ref="G3656:G3719" si="54">IF(C3656="","",IF(C3656="*","*",1))</f>
        <v/>
      </c>
      <c r="H3656" s="4" t="str">
        <f t="shared" ref="H3656:H3719" si="55">IF(C3656="","",IF(C3656="*","*",0))</f>
        <v/>
      </c>
    </row>
    <row r="3657" spans="7:8" x14ac:dyDescent="0.25">
      <c r="G3657" s="4" t="str">
        <f t="shared" si="54"/>
        <v/>
      </c>
      <c r="H3657" s="4" t="str">
        <f t="shared" si="55"/>
        <v/>
      </c>
    </row>
    <row r="3658" spans="7:8" x14ac:dyDescent="0.25">
      <c r="G3658" s="4" t="str">
        <f t="shared" si="54"/>
        <v/>
      </c>
      <c r="H3658" s="4" t="str">
        <f t="shared" si="55"/>
        <v/>
      </c>
    </row>
    <row r="3659" spans="7:8" x14ac:dyDescent="0.25">
      <c r="G3659" s="4" t="str">
        <f t="shared" si="54"/>
        <v/>
      </c>
      <c r="H3659" s="4" t="str">
        <f t="shared" si="55"/>
        <v/>
      </c>
    </row>
    <row r="3660" spans="7:8" x14ac:dyDescent="0.25">
      <c r="G3660" s="4" t="str">
        <f t="shared" si="54"/>
        <v/>
      </c>
      <c r="H3660" s="4" t="str">
        <f t="shared" si="55"/>
        <v/>
      </c>
    </row>
    <row r="3661" spans="7:8" x14ac:dyDescent="0.25">
      <c r="G3661" s="4" t="str">
        <f t="shared" si="54"/>
        <v/>
      </c>
      <c r="H3661" s="4" t="str">
        <f t="shared" si="55"/>
        <v/>
      </c>
    </row>
    <row r="3662" spans="7:8" x14ac:dyDescent="0.25">
      <c r="G3662" s="4" t="str">
        <f t="shared" si="54"/>
        <v/>
      </c>
      <c r="H3662" s="4" t="str">
        <f t="shared" si="55"/>
        <v/>
      </c>
    </row>
    <row r="3663" spans="7:8" x14ac:dyDescent="0.25">
      <c r="G3663" s="4" t="str">
        <f t="shared" si="54"/>
        <v/>
      </c>
      <c r="H3663" s="4" t="str">
        <f t="shared" si="55"/>
        <v/>
      </c>
    </row>
    <row r="3664" spans="7:8" x14ac:dyDescent="0.25">
      <c r="G3664" s="4" t="str">
        <f t="shared" si="54"/>
        <v/>
      </c>
      <c r="H3664" s="4" t="str">
        <f t="shared" si="55"/>
        <v/>
      </c>
    </row>
    <row r="3665" spans="7:8" x14ac:dyDescent="0.25">
      <c r="G3665" s="4" t="str">
        <f t="shared" si="54"/>
        <v/>
      </c>
      <c r="H3665" s="4" t="str">
        <f t="shared" si="55"/>
        <v/>
      </c>
    </row>
    <row r="3666" spans="7:8" x14ac:dyDescent="0.25">
      <c r="G3666" s="4" t="str">
        <f t="shared" si="54"/>
        <v/>
      </c>
      <c r="H3666" s="4" t="str">
        <f t="shared" si="55"/>
        <v/>
      </c>
    </row>
    <row r="3667" spans="7:8" x14ac:dyDescent="0.25">
      <c r="G3667" s="4" t="str">
        <f t="shared" si="54"/>
        <v/>
      </c>
      <c r="H3667" s="4" t="str">
        <f t="shared" si="55"/>
        <v/>
      </c>
    </row>
    <row r="3668" spans="7:8" x14ac:dyDescent="0.25">
      <c r="G3668" s="4" t="str">
        <f t="shared" si="54"/>
        <v/>
      </c>
      <c r="H3668" s="4" t="str">
        <f t="shared" si="55"/>
        <v/>
      </c>
    </row>
    <row r="3669" spans="7:8" x14ac:dyDescent="0.25">
      <c r="G3669" s="4" t="str">
        <f t="shared" si="54"/>
        <v/>
      </c>
      <c r="H3669" s="4" t="str">
        <f t="shared" si="55"/>
        <v/>
      </c>
    </row>
    <row r="3670" spans="7:8" x14ac:dyDescent="0.25">
      <c r="G3670" s="4" t="str">
        <f t="shared" si="54"/>
        <v/>
      </c>
      <c r="H3670" s="4" t="str">
        <f t="shared" si="55"/>
        <v/>
      </c>
    </row>
    <row r="3671" spans="7:8" x14ac:dyDescent="0.25">
      <c r="G3671" s="4" t="str">
        <f t="shared" si="54"/>
        <v/>
      </c>
      <c r="H3671" s="4" t="str">
        <f t="shared" si="55"/>
        <v/>
      </c>
    </row>
    <row r="3672" spans="7:8" x14ac:dyDescent="0.25">
      <c r="G3672" s="4" t="str">
        <f t="shared" si="54"/>
        <v/>
      </c>
      <c r="H3672" s="4" t="str">
        <f t="shared" si="55"/>
        <v/>
      </c>
    </row>
    <row r="3673" spans="7:8" x14ac:dyDescent="0.25">
      <c r="G3673" s="4" t="str">
        <f t="shared" si="54"/>
        <v/>
      </c>
      <c r="H3673" s="4" t="str">
        <f t="shared" si="55"/>
        <v/>
      </c>
    </row>
    <row r="3674" spans="7:8" x14ac:dyDescent="0.25">
      <c r="G3674" s="4" t="str">
        <f t="shared" si="54"/>
        <v/>
      </c>
      <c r="H3674" s="4" t="str">
        <f t="shared" si="55"/>
        <v/>
      </c>
    </row>
    <row r="3675" spans="7:8" x14ac:dyDescent="0.25">
      <c r="G3675" s="4" t="str">
        <f t="shared" si="54"/>
        <v/>
      </c>
      <c r="H3675" s="4" t="str">
        <f t="shared" si="55"/>
        <v/>
      </c>
    </row>
    <row r="3676" spans="7:8" x14ac:dyDescent="0.25">
      <c r="G3676" s="4" t="str">
        <f t="shared" si="54"/>
        <v/>
      </c>
      <c r="H3676" s="4" t="str">
        <f t="shared" si="55"/>
        <v/>
      </c>
    </row>
    <row r="3677" spans="7:8" x14ac:dyDescent="0.25">
      <c r="G3677" s="4" t="str">
        <f t="shared" si="54"/>
        <v/>
      </c>
      <c r="H3677" s="4" t="str">
        <f t="shared" si="55"/>
        <v/>
      </c>
    </row>
    <row r="3678" spans="7:8" x14ac:dyDescent="0.25">
      <c r="G3678" s="4" t="str">
        <f t="shared" si="54"/>
        <v/>
      </c>
      <c r="H3678" s="4" t="str">
        <f t="shared" si="55"/>
        <v/>
      </c>
    </row>
    <row r="3679" spans="7:8" x14ac:dyDescent="0.25">
      <c r="G3679" s="4" t="str">
        <f t="shared" si="54"/>
        <v/>
      </c>
      <c r="H3679" s="4" t="str">
        <f t="shared" si="55"/>
        <v/>
      </c>
    </row>
    <row r="3680" spans="7:8" x14ac:dyDescent="0.25">
      <c r="G3680" s="4" t="str">
        <f t="shared" si="54"/>
        <v/>
      </c>
      <c r="H3680" s="4" t="str">
        <f t="shared" si="55"/>
        <v/>
      </c>
    </row>
    <row r="3681" spans="7:8" x14ac:dyDescent="0.25">
      <c r="G3681" s="4" t="str">
        <f t="shared" si="54"/>
        <v/>
      </c>
      <c r="H3681" s="4" t="str">
        <f t="shared" si="55"/>
        <v/>
      </c>
    </row>
    <row r="3682" spans="7:8" x14ac:dyDescent="0.25">
      <c r="G3682" s="4" t="str">
        <f t="shared" si="54"/>
        <v/>
      </c>
      <c r="H3682" s="4" t="str">
        <f t="shared" si="55"/>
        <v/>
      </c>
    </row>
    <row r="3683" spans="7:8" x14ac:dyDescent="0.25">
      <c r="G3683" s="4" t="str">
        <f t="shared" si="54"/>
        <v/>
      </c>
      <c r="H3683" s="4" t="str">
        <f t="shared" si="55"/>
        <v/>
      </c>
    </row>
    <row r="3684" spans="7:8" x14ac:dyDescent="0.25">
      <c r="G3684" s="4" t="str">
        <f t="shared" si="54"/>
        <v/>
      </c>
      <c r="H3684" s="4" t="str">
        <f t="shared" si="55"/>
        <v/>
      </c>
    </row>
    <row r="3685" spans="7:8" x14ac:dyDescent="0.25">
      <c r="G3685" s="4" t="str">
        <f t="shared" si="54"/>
        <v/>
      </c>
      <c r="H3685" s="4" t="str">
        <f t="shared" si="55"/>
        <v/>
      </c>
    </row>
    <row r="3686" spans="7:8" x14ac:dyDescent="0.25">
      <c r="G3686" s="4" t="str">
        <f t="shared" si="54"/>
        <v/>
      </c>
      <c r="H3686" s="4" t="str">
        <f t="shared" si="55"/>
        <v/>
      </c>
    </row>
    <row r="3687" spans="7:8" x14ac:dyDescent="0.25">
      <c r="G3687" s="4" t="str">
        <f t="shared" si="54"/>
        <v/>
      </c>
      <c r="H3687" s="4" t="str">
        <f t="shared" si="55"/>
        <v/>
      </c>
    </row>
    <row r="3688" spans="7:8" x14ac:dyDescent="0.25">
      <c r="G3688" s="4" t="str">
        <f t="shared" si="54"/>
        <v/>
      </c>
      <c r="H3688" s="4" t="str">
        <f t="shared" si="55"/>
        <v/>
      </c>
    </row>
    <row r="3689" spans="7:8" x14ac:dyDescent="0.25">
      <c r="G3689" s="4" t="str">
        <f t="shared" si="54"/>
        <v/>
      </c>
      <c r="H3689" s="4" t="str">
        <f t="shared" si="55"/>
        <v/>
      </c>
    </row>
    <row r="3690" spans="7:8" x14ac:dyDescent="0.25">
      <c r="G3690" s="4" t="str">
        <f t="shared" si="54"/>
        <v/>
      </c>
      <c r="H3690" s="4" t="str">
        <f t="shared" si="55"/>
        <v/>
      </c>
    </row>
    <row r="3691" spans="7:8" x14ac:dyDescent="0.25">
      <c r="G3691" s="4" t="str">
        <f t="shared" si="54"/>
        <v/>
      </c>
      <c r="H3691" s="4" t="str">
        <f t="shared" si="55"/>
        <v/>
      </c>
    </row>
    <row r="3692" spans="7:8" x14ac:dyDescent="0.25">
      <c r="G3692" s="4" t="str">
        <f t="shared" si="54"/>
        <v/>
      </c>
      <c r="H3692" s="4" t="str">
        <f t="shared" si="55"/>
        <v/>
      </c>
    </row>
    <row r="3693" spans="7:8" x14ac:dyDescent="0.25">
      <c r="G3693" s="4" t="str">
        <f t="shared" si="54"/>
        <v/>
      </c>
      <c r="H3693" s="4" t="str">
        <f t="shared" si="55"/>
        <v/>
      </c>
    </row>
    <row r="3694" spans="7:8" x14ac:dyDescent="0.25">
      <c r="G3694" s="4" t="str">
        <f t="shared" si="54"/>
        <v/>
      </c>
      <c r="H3694" s="4" t="str">
        <f t="shared" si="55"/>
        <v/>
      </c>
    </row>
    <row r="3695" spans="7:8" x14ac:dyDescent="0.25">
      <c r="G3695" s="4" t="str">
        <f t="shared" si="54"/>
        <v/>
      </c>
      <c r="H3695" s="4" t="str">
        <f t="shared" si="55"/>
        <v/>
      </c>
    </row>
    <row r="3696" spans="7:8" x14ac:dyDescent="0.25">
      <c r="G3696" s="4" t="str">
        <f t="shared" si="54"/>
        <v/>
      </c>
      <c r="H3696" s="4" t="str">
        <f t="shared" si="55"/>
        <v/>
      </c>
    </row>
    <row r="3697" spans="7:8" x14ac:dyDescent="0.25">
      <c r="G3697" s="4" t="str">
        <f t="shared" si="54"/>
        <v/>
      </c>
      <c r="H3697" s="4" t="str">
        <f t="shared" si="55"/>
        <v/>
      </c>
    </row>
    <row r="3698" spans="7:8" x14ac:dyDescent="0.25">
      <c r="G3698" s="4" t="str">
        <f t="shared" si="54"/>
        <v/>
      </c>
      <c r="H3698" s="4" t="str">
        <f t="shared" si="55"/>
        <v/>
      </c>
    </row>
    <row r="3699" spans="7:8" x14ac:dyDescent="0.25">
      <c r="G3699" s="4" t="str">
        <f t="shared" si="54"/>
        <v/>
      </c>
      <c r="H3699" s="4" t="str">
        <f t="shared" si="55"/>
        <v/>
      </c>
    </row>
    <row r="3700" spans="7:8" x14ac:dyDescent="0.25">
      <c r="G3700" s="4" t="str">
        <f t="shared" si="54"/>
        <v/>
      </c>
      <c r="H3700" s="4" t="str">
        <f t="shared" si="55"/>
        <v/>
      </c>
    </row>
    <row r="3701" spans="7:8" x14ac:dyDescent="0.25">
      <c r="G3701" s="4" t="str">
        <f t="shared" si="54"/>
        <v/>
      </c>
      <c r="H3701" s="4" t="str">
        <f t="shared" si="55"/>
        <v/>
      </c>
    </row>
    <row r="3702" spans="7:8" x14ac:dyDescent="0.25">
      <c r="G3702" s="4" t="str">
        <f t="shared" si="54"/>
        <v/>
      </c>
      <c r="H3702" s="4" t="str">
        <f t="shared" si="55"/>
        <v/>
      </c>
    </row>
    <row r="3703" spans="7:8" x14ac:dyDescent="0.25">
      <c r="G3703" s="4" t="str">
        <f t="shared" si="54"/>
        <v/>
      </c>
      <c r="H3703" s="4" t="str">
        <f t="shared" si="55"/>
        <v/>
      </c>
    </row>
    <row r="3704" spans="7:8" x14ac:dyDescent="0.25">
      <c r="G3704" s="4" t="str">
        <f t="shared" si="54"/>
        <v/>
      </c>
      <c r="H3704" s="4" t="str">
        <f t="shared" si="55"/>
        <v/>
      </c>
    </row>
    <row r="3705" spans="7:8" x14ac:dyDescent="0.25">
      <c r="G3705" s="4" t="str">
        <f t="shared" si="54"/>
        <v/>
      </c>
      <c r="H3705" s="4" t="str">
        <f t="shared" si="55"/>
        <v/>
      </c>
    </row>
    <row r="3706" spans="7:8" x14ac:dyDescent="0.25">
      <c r="G3706" s="4" t="str">
        <f t="shared" si="54"/>
        <v/>
      </c>
      <c r="H3706" s="4" t="str">
        <f t="shared" si="55"/>
        <v/>
      </c>
    </row>
    <row r="3707" spans="7:8" x14ac:dyDescent="0.25">
      <c r="G3707" s="4" t="str">
        <f t="shared" si="54"/>
        <v/>
      </c>
      <c r="H3707" s="4" t="str">
        <f t="shared" si="55"/>
        <v/>
      </c>
    </row>
    <row r="3708" spans="7:8" x14ac:dyDescent="0.25">
      <c r="G3708" s="4" t="str">
        <f t="shared" si="54"/>
        <v/>
      </c>
      <c r="H3708" s="4" t="str">
        <f t="shared" si="55"/>
        <v/>
      </c>
    </row>
    <row r="3709" spans="7:8" x14ac:dyDescent="0.25">
      <c r="G3709" s="4" t="str">
        <f t="shared" si="54"/>
        <v/>
      </c>
      <c r="H3709" s="4" t="str">
        <f t="shared" si="55"/>
        <v/>
      </c>
    </row>
    <row r="3710" spans="7:8" x14ac:dyDescent="0.25">
      <c r="G3710" s="4" t="str">
        <f t="shared" si="54"/>
        <v/>
      </c>
      <c r="H3710" s="4" t="str">
        <f t="shared" si="55"/>
        <v/>
      </c>
    </row>
    <row r="3711" spans="7:8" x14ac:dyDescent="0.25">
      <c r="G3711" s="4" t="str">
        <f t="shared" si="54"/>
        <v/>
      </c>
      <c r="H3711" s="4" t="str">
        <f t="shared" si="55"/>
        <v/>
      </c>
    </row>
    <row r="3712" spans="7:8" x14ac:dyDescent="0.25">
      <c r="G3712" s="4" t="str">
        <f t="shared" si="54"/>
        <v/>
      </c>
      <c r="H3712" s="4" t="str">
        <f t="shared" si="55"/>
        <v/>
      </c>
    </row>
    <row r="3713" spans="7:8" x14ac:dyDescent="0.25">
      <c r="G3713" s="4" t="str">
        <f t="shared" si="54"/>
        <v/>
      </c>
      <c r="H3713" s="4" t="str">
        <f t="shared" si="55"/>
        <v/>
      </c>
    </row>
    <row r="3714" spans="7:8" x14ac:dyDescent="0.25">
      <c r="G3714" s="4" t="str">
        <f t="shared" si="54"/>
        <v/>
      </c>
      <c r="H3714" s="4" t="str">
        <f t="shared" si="55"/>
        <v/>
      </c>
    </row>
    <row r="3715" spans="7:8" x14ac:dyDescent="0.25">
      <c r="G3715" s="4" t="str">
        <f t="shared" si="54"/>
        <v/>
      </c>
      <c r="H3715" s="4" t="str">
        <f t="shared" si="55"/>
        <v/>
      </c>
    </row>
    <row r="3716" spans="7:8" x14ac:dyDescent="0.25">
      <c r="G3716" s="4" t="str">
        <f t="shared" si="54"/>
        <v/>
      </c>
      <c r="H3716" s="4" t="str">
        <f t="shared" si="55"/>
        <v/>
      </c>
    </row>
    <row r="3717" spans="7:8" x14ac:dyDescent="0.25">
      <c r="G3717" s="4" t="str">
        <f t="shared" si="54"/>
        <v/>
      </c>
      <c r="H3717" s="4" t="str">
        <f t="shared" si="55"/>
        <v/>
      </c>
    </row>
    <row r="3718" spans="7:8" x14ac:dyDescent="0.25">
      <c r="G3718" s="4" t="str">
        <f t="shared" si="54"/>
        <v/>
      </c>
      <c r="H3718" s="4" t="str">
        <f t="shared" si="55"/>
        <v/>
      </c>
    </row>
    <row r="3719" spans="7:8" x14ac:dyDescent="0.25">
      <c r="G3719" s="4" t="str">
        <f t="shared" si="54"/>
        <v/>
      </c>
      <c r="H3719" s="4" t="str">
        <f t="shared" si="55"/>
        <v/>
      </c>
    </row>
    <row r="3720" spans="7:8" x14ac:dyDescent="0.25">
      <c r="G3720" s="4" t="str">
        <f t="shared" ref="G3720:G3783" si="56">IF(C3720="","",IF(C3720="*","*",1))</f>
        <v/>
      </c>
      <c r="H3720" s="4" t="str">
        <f t="shared" ref="H3720:H3783" si="57">IF(C3720="","",IF(C3720="*","*",0))</f>
        <v/>
      </c>
    </row>
    <row r="3721" spans="7:8" x14ac:dyDescent="0.25">
      <c r="G3721" s="4" t="str">
        <f t="shared" si="56"/>
        <v/>
      </c>
      <c r="H3721" s="4" t="str">
        <f t="shared" si="57"/>
        <v/>
      </c>
    </row>
    <row r="3722" spans="7:8" x14ac:dyDescent="0.25">
      <c r="G3722" s="4" t="str">
        <f t="shared" si="56"/>
        <v/>
      </c>
      <c r="H3722" s="4" t="str">
        <f t="shared" si="57"/>
        <v/>
      </c>
    </row>
    <row r="3723" spans="7:8" x14ac:dyDescent="0.25">
      <c r="G3723" s="4" t="str">
        <f t="shared" si="56"/>
        <v/>
      </c>
      <c r="H3723" s="4" t="str">
        <f t="shared" si="57"/>
        <v/>
      </c>
    </row>
    <row r="3724" spans="7:8" x14ac:dyDescent="0.25">
      <c r="G3724" s="4" t="str">
        <f t="shared" si="56"/>
        <v/>
      </c>
      <c r="H3724" s="4" t="str">
        <f t="shared" si="57"/>
        <v/>
      </c>
    </row>
    <row r="3725" spans="7:8" x14ac:dyDescent="0.25">
      <c r="G3725" s="4" t="str">
        <f t="shared" si="56"/>
        <v/>
      </c>
      <c r="H3725" s="4" t="str">
        <f t="shared" si="57"/>
        <v/>
      </c>
    </row>
    <row r="3726" spans="7:8" x14ac:dyDescent="0.25">
      <c r="G3726" s="4" t="str">
        <f t="shared" si="56"/>
        <v/>
      </c>
      <c r="H3726" s="4" t="str">
        <f t="shared" si="57"/>
        <v/>
      </c>
    </row>
    <row r="3727" spans="7:8" x14ac:dyDescent="0.25">
      <c r="G3727" s="4" t="str">
        <f t="shared" si="56"/>
        <v/>
      </c>
      <c r="H3727" s="4" t="str">
        <f t="shared" si="57"/>
        <v/>
      </c>
    </row>
    <row r="3728" spans="7:8" x14ac:dyDescent="0.25">
      <c r="G3728" s="4" t="str">
        <f t="shared" si="56"/>
        <v/>
      </c>
      <c r="H3728" s="4" t="str">
        <f t="shared" si="57"/>
        <v/>
      </c>
    </row>
    <row r="3729" spans="7:8" x14ac:dyDescent="0.25">
      <c r="G3729" s="4" t="str">
        <f t="shared" si="56"/>
        <v/>
      </c>
      <c r="H3729" s="4" t="str">
        <f t="shared" si="57"/>
        <v/>
      </c>
    </row>
    <row r="3730" spans="7:8" x14ac:dyDescent="0.25">
      <c r="G3730" s="4" t="str">
        <f t="shared" si="56"/>
        <v/>
      </c>
      <c r="H3730" s="4" t="str">
        <f t="shared" si="57"/>
        <v/>
      </c>
    </row>
    <row r="3731" spans="7:8" x14ac:dyDescent="0.25">
      <c r="G3731" s="4" t="str">
        <f t="shared" si="56"/>
        <v/>
      </c>
      <c r="H3731" s="4" t="str">
        <f t="shared" si="57"/>
        <v/>
      </c>
    </row>
    <row r="3732" spans="7:8" x14ac:dyDescent="0.25">
      <c r="G3732" s="4" t="str">
        <f t="shared" si="56"/>
        <v/>
      </c>
      <c r="H3732" s="4" t="str">
        <f t="shared" si="57"/>
        <v/>
      </c>
    </row>
    <row r="3733" spans="7:8" x14ac:dyDescent="0.25">
      <c r="G3733" s="4" t="str">
        <f t="shared" si="56"/>
        <v/>
      </c>
      <c r="H3733" s="4" t="str">
        <f t="shared" si="57"/>
        <v/>
      </c>
    </row>
    <row r="3734" spans="7:8" x14ac:dyDescent="0.25">
      <c r="G3734" s="4" t="str">
        <f t="shared" si="56"/>
        <v/>
      </c>
      <c r="H3734" s="4" t="str">
        <f t="shared" si="57"/>
        <v/>
      </c>
    </row>
    <row r="3735" spans="7:8" x14ac:dyDescent="0.25">
      <c r="G3735" s="4" t="str">
        <f t="shared" si="56"/>
        <v/>
      </c>
      <c r="H3735" s="4" t="str">
        <f t="shared" si="57"/>
        <v/>
      </c>
    </row>
    <row r="3736" spans="7:8" x14ac:dyDescent="0.25">
      <c r="G3736" s="4" t="str">
        <f t="shared" si="56"/>
        <v/>
      </c>
      <c r="H3736" s="4" t="str">
        <f t="shared" si="57"/>
        <v/>
      </c>
    </row>
    <row r="3737" spans="7:8" x14ac:dyDescent="0.25">
      <c r="G3737" s="4" t="str">
        <f t="shared" si="56"/>
        <v/>
      </c>
      <c r="H3737" s="4" t="str">
        <f t="shared" si="57"/>
        <v/>
      </c>
    </row>
    <row r="3738" spans="7:8" x14ac:dyDescent="0.25">
      <c r="G3738" s="4" t="str">
        <f t="shared" si="56"/>
        <v/>
      </c>
      <c r="H3738" s="4" t="str">
        <f t="shared" si="57"/>
        <v/>
      </c>
    </row>
    <row r="3739" spans="7:8" x14ac:dyDescent="0.25">
      <c r="G3739" s="4" t="str">
        <f t="shared" si="56"/>
        <v/>
      </c>
      <c r="H3739" s="4" t="str">
        <f t="shared" si="57"/>
        <v/>
      </c>
    </row>
    <row r="3740" spans="7:8" x14ac:dyDescent="0.25">
      <c r="G3740" s="4" t="str">
        <f t="shared" si="56"/>
        <v/>
      </c>
      <c r="H3740" s="4" t="str">
        <f t="shared" si="57"/>
        <v/>
      </c>
    </row>
    <row r="3741" spans="7:8" x14ac:dyDescent="0.25">
      <c r="G3741" s="4" t="str">
        <f t="shared" si="56"/>
        <v/>
      </c>
      <c r="H3741" s="4" t="str">
        <f t="shared" si="57"/>
        <v/>
      </c>
    </row>
    <row r="3742" spans="7:8" x14ac:dyDescent="0.25">
      <c r="G3742" s="4" t="str">
        <f t="shared" si="56"/>
        <v/>
      </c>
      <c r="H3742" s="4" t="str">
        <f t="shared" si="57"/>
        <v/>
      </c>
    </row>
    <row r="3743" spans="7:8" x14ac:dyDescent="0.25">
      <c r="G3743" s="4" t="str">
        <f t="shared" si="56"/>
        <v/>
      </c>
      <c r="H3743" s="4" t="str">
        <f t="shared" si="57"/>
        <v/>
      </c>
    </row>
    <row r="3744" spans="7:8" x14ac:dyDescent="0.25">
      <c r="G3744" s="4" t="str">
        <f t="shared" si="56"/>
        <v/>
      </c>
      <c r="H3744" s="4" t="str">
        <f t="shared" si="57"/>
        <v/>
      </c>
    </row>
    <row r="3745" spans="7:8" x14ac:dyDescent="0.25">
      <c r="G3745" s="4" t="str">
        <f t="shared" si="56"/>
        <v/>
      </c>
      <c r="H3745" s="4" t="str">
        <f t="shared" si="57"/>
        <v/>
      </c>
    </row>
    <row r="3746" spans="7:8" x14ac:dyDescent="0.25">
      <c r="G3746" s="4" t="str">
        <f t="shared" si="56"/>
        <v/>
      </c>
      <c r="H3746" s="4" t="str">
        <f t="shared" si="57"/>
        <v/>
      </c>
    </row>
    <row r="3747" spans="7:8" x14ac:dyDescent="0.25">
      <c r="G3747" s="4" t="str">
        <f t="shared" si="56"/>
        <v/>
      </c>
      <c r="H3747" s="4" t="str">
        <f t="shared" si="57"/>
        <v/>
      </c>
    </row>
    <row r="3748" spans="7:8" x14ac:dyDescent="0.25">
      <c r="G3748" s="4" t="str">
        <f t="shared" si="56"/>
        <v/>
      </c>
      <c r="H3748" s="4" t="str">
        <f t="shared" si="57"/>
        <v/>
      </c>
    </row>
    <row r="3749" spans="7:8" x14ac:dyDescent="0.25">
      <c r="G3749" s="4" t="str">
        <f t="shared" si="56"/>
        <v/>
      </c>
      <c r="H3749" s="4" t="str">
        <f t="shared" si="57"/>
        <v/>
      </c>
    </row>
    <row r="3750" spans="7:8" x14ac:dyDescent="0.25">
      <c r="G3750" s="4" t="str">
        <f t="shared" si="56"/>
        <v/>
      </c>
      <c r="H3750" s="4" t="str">
        <f t="shared" si="57"/>
        <v/>
      </c>
    </row>
    <row r="3751" spans="7:8" x14ac:dyDescent="0.25">
      <c r="G3751" s="4" t="str">
        <f t="shared" si="56"/>
        <v/>
      </c>
      <c r="H3751" s="4" t="str">
        <f t="shared" si="57"/>
        <v/>
      </c>
    </row>
    <row r="3752" spans="7:8" x14ac:dyDescent="0.25">
      <c r="G3752" s="4" t="str">
        <f t="shared" si="56"/>
        <v/>
      </c>
      <c r="H3752" s="4" t="str">
        <f t="shared" si="57"/>
        <v/>
      </c>
    </row>
    <row r="3753" spans="7:8" x14ac:dyDescent="0.25">
      <c r="G3753" s="4" t="str">
        <f t="shared" si="56"/>
        <v/>
      </c>
      <c r="H3753" s="4" t="str">
        <f t="shared" si="57"/>
        <v/>
      </c>
    </row>
    <row r="3754" spans="7:8" x14ac:dyDescent="0.25">
      <c r="G3754" s="4" t="str">
        <f t="shared" si="56"/>
        <v/>
      </c>
      <c r="H3754" s="4" t="str">
        <f t="shared" si="57"/>
        <v/>
      </c>
    </row>
    <row r="3755" spans="7:8" x14ac:dyDescent="0.25">
      <c r="G3755" s="4" t="str">
        <f t="shared" si="56"/>
        <v/>
      </c>
      <c r="H3755" s="4" t="str">
        <f t="shared" si="57"/>
        <v/>
      </c>
    </row>
    <row r="3756" spans="7:8" x14ac:dyDescent="0.25">
      <c r="G3756" s="4" t="str">
        <f t="shared" si="56"/>
        <v/>
      </c>
      <c r="H3756" s="4" t="str">
        <f t="shared" si="57"/>
        <v/>
      </c>
    </row>
    <row r="3757" spans="7:8" x14ac:dyDescent="0.25">
      <c r="G3757" s="4" t="str">
        <f t="shared" si="56"/>
        <v/>
      </c>
      <c r="H3757" s="4" t="str">
        <f t="shared" si="57"/>
        <v/>
      </c>
    </row>
    <row r="3758" spans="7:8" x14ac:dyDescent="0.25">
      <c r="G3758" s="4" t="str">
        <f t="shared" si="56"/>
        <v/>
      </c>
      <c r="H3758" s="4" t="str">
        <f t="shared" si="57"/>
        <v/>
      </c>
    </row>
    <row r="3759" spans="7:8" x14ac:dyDescent="0.25">
      <c r="G3759" s="4" t="str">
        <f t="shared" si="56"/>
        <v/>
      </c>
      <c r="H3759" s="4" t="str">
        <f t="shared" si="57"/>
        <v/>
      </c>
    </row>
    <row r="3760" spans="7:8" x14ac:dyDescent="0.25">
      <c r="G3760" s="4" t="str">
        <f t="shared" si="56"/>
        <v/>
      </c>
      <c r="H3760" s="4" t="str">
        <f t="shared" si="57"/>
        <v/>
      </c>
    </row>
    <row r="3761" spans="7:8" x14ac:dyDescent="0.25">
      <c r="G3761" s="4" t="str">
        <f t="shared" si="56"/>
        <v/>
      </c>
      <c r="H3761" s="4" t="str">
        <f t="shared" si="57"/>
        <v/>
      </c>
    </row>
    <row r="3762" spans="7:8" x14ac:dyDescent="0.25">
      <c r="G3762" s="4" t="str">
        <f t="shared" si="56"/>
        <v/>
      </c>
      <c r="H3762" s="4" t="str">
        <f t="shared" si="57"/>
        <v/>
      </c>
    </row>
    <row r="3763" spans="7:8" x14ac:dyDescent="0.25">
      <c r="G3763" s="4" t="str">
        <f t="shared" si="56"/>
        <v/>
      </c>
      <c r="H3763" s="4" t="str">
        <f t="shared" si="57"/>
        <v/>
      </c>
    </row>
    <row r="3764" spans="7:8" x14ac:dyDescent="0.25">
      <c r="G3764" s="4" t="str">
        <f t="shared" si="56"/>
        <v/>
      </c>
      <c r="H3764" s="4" t="str">
        <f t="shared" si="57"/>
        <v/>
      </c>
    </row>
    <row r="3765" spans="7:8" x14ac:dyDescent="0.25">
      <c r="G3765" s="4" t="str">
        <f t="shared" si="56"/>
        <v/>
      </c>
      <c r="H3765" s="4" t="str">
        <f t="shared" si="57"/>
        <v/>
      </c>
    </row>
    <row r="3766" spans="7:8" x14ac:dyDescent="0.25">
      <c r="G3766" s="4" t="str">
        <f t="shared" si="56"/>
        <v/>
      </c>
      <c r="H3766" s="4" t="str">
        <f t="shared" si="57"/>
        <v/>
      </c>
    </row>
    <row r="3767" spans="7:8" x14ac:dyDescent="0.25">
      <c r="G3767" s="4" t="str">
        <f t="shared" si="56"/>
        <v/>
      </c>
      <c r="H3767" s="4" t="str">
        <f t="shared" si="57"/>
        <v/>
      </c>
    </row>
    <row r="3768" spans="7:8" x14ac:dyDescent="0.25">
      <c r="G3768" s="4" t="str">
        <f t="shared" si="56"/>
        <v/>
      </c>
      <c r="H3768" s="4" t="str">
        <f t="shared" si="57"/>
        <v/>
      </c>
    </row>
    <row r="3769" spans="7:8" x14ac:dyDescent="0.25">
      <c r="G3769" s="4" t="str">
        <f t="shared" si="56"/>
        <v/>
      </c>
      <c r="H3769" s="4" t="str">
        <f t="shared" si="57"/>
        <v/>
      </c>
    </row>
    <row r="3770" spans="7:8" x14ac:dyDescent="0.25">
      <c r="G3770" s="4" t="str">
        <f t="shared" si="56"/>
        <v/>
      </c>
      <c r="H3770" s="4" t="str">
        <f t="shared" si="57"/>
        <v/>
      </c>
    </row>
    <row r="3771" spans="7:8" x14ac:dyDescent="0.25">
      <c r="G3771" s="4" t="str">
        <f t="shared" si="56"/>
        <v/>
      </c>
      <c r="H3771" s="4" t="str">
        <f t="shared" si="57"/>
        <v/>
      </c>
    </row>
    <row r="3772" spans="7:8" x14ac:dyDescent="0.25">
      <c r="G3772" s="4" t="str">
        <f t="shared" si="56"/>
        <v/>
      </c>
      <c r="H3772" s="4" t="str">
        <f t="shared" si="57"/>
        <v/>
      </c>
    </row>
    <row r="3773" spans="7:8" x14ac:dyDescent="0.25">
      <c r="G3773" s="4" t="str">
        <f t="shared" si="56"/>
        <v/>
      </c>
      <c r="H3773" s="4" t="str">
        <f t="shared" si="57"/>
        <v/>
      </c>
    </row>
    <row r="3774" spans="7:8" x14ac:dyDescent="0.25">
      <c r="G3774" s="4" t="str">
        <f t="shared" si="56"/>
        <v/>
      </c>
      <c r="H3774" s="4" t="str">
        <f t="shared" si="57"/>
        <v/>
      </c>
    </row>
    <row r="3775" spans="7:8" x14ac:dyDescent="0.25">
      <c r="G3775" s="4" t="str">
        <f t="shared" si="56"/>
        <v/>
      </c>
      <c r="H3775" s="4" t="str">
        <f t="shared" si="57"/>
        <v/>
      </c>
    </row>
    <row r="3776" spans="7:8" x14ac:dyDescent="0.25">
      <c r="G3776" s="4" t="str">
        <f t="shared" si="56"/>
        <v/>
      </c>
      <c r="H3776" s="4" t="str">
        <f t="shared" si="57"/>
        <v/>
      </c>
    </row>
    <row r="3777" spans="7:8" x14ac:dyDescent="0.25">
      <c r="G3777" s="4" t="str">
        <f t="shared" si="56"/>
        <v/>
      </c>
      <c r="H3777" s="4" t="str">
        <f t="shared" si="57"/>
        <v/>
      </c>
    </row>
    <row r="3778" spans="7:8" x14ac:dyDescent="0.25">
      <c r="G3778" s="4" t="str">
        <f t="shared" si="56"/>
        <v/>
      </c>
      <c r="H3778" s="4" t="str">
        <f t="shared" si="57"/>
        <v/>
      </c>
    </row>
    <row r="3779" spans="7:8" x14ac:dyDescent="0.25">
      <c r="G3779" s="4" t="str">
        <f t="shared" si="56"/>
        <v/>
      </c>
      <c r="H3779" s="4" t="str">
        <f t="shared" si="57"/>
        <v/>
      </c>
    </row>
    <row r="3780" spans="7:8" x14ac:dyDescent="0.25">
      <c r="G3780" s="4" t="str">
        <f t="shared" si="56"/>
        <v/>
      </c>
      <c r="H3780" s="4" t="str">
        <f t="shared" si="57"/>
        <v/>
      </c>
    </row>
    <row r="3781" spans="7:8" x14ac:dyDescent="0.25">
      <c r="G3781" s="4" t="str">
        <f t="shared" si="56"/>
        <v/>
      </c>
      <c r="H3781" s="4" t="str">
        <f t="shared" si="57"/>
        <v/>
      </c>
    </row>
    <row r="3782" spans="7:8" x14ac:dyDescent="0.25">
      <c r="G3782" s="4" t="str">
        <f t="shared" si="56"/>
        <v/>
      </c>
      <c r="H3782" s="4" t="str">
        <f t="shared" si="57"/>
        <v/>
      </c>
    </row>
    <row r="3783" spans="7:8" x14ac:dyDescent="0.25">
      <c r="G3783" s="4" t="str">
        <f t="shared" si="56"/>
        <v/>
      </c>
      <c r="H3783" s="4" t="str">
        <f t="shared" si="57"/>
        <v/>
      </c>
    </row>
    <row r="3784" spans="7:8" x14ac:dyDescent="0.25">
      <c r="G3784" s="4" t="str">
        <f t="shared" ref="G3784:G3818" si="58">IF(C3784="","",IF(C3784="*","*",1))</f>
        <v/>
      </c>
      <c r="H3784" s="4" t="str">
        <f t="shared" ref="H3784:H3818" si="59">IF(C3784="","",IF(C3784="*","*",0))</f>
        <v/>
      </c>
    </row>
    <row r="3785" spans="7:8" x14ac:dyDescent="0.25">
      <c r="G3785" s="4" t="str">
        <f t="shared" si="58"/>
        <v/>
      </c>
      <c r="H3785" s="4" t="str">
        <f t="shared" si="59"/>
        <v/>
      </c>
    </row>
    <row r="3786" spans="7:8" x14ac:dyDescent="0.25">
      <c r="G3786" s="4" t="str">
        <f t="shared" si="58"/>
        <v/>
      </c>
      <c r="H3786" s="4" t="str">
        <f t="shared" si="59"/>
        <v/>
      </c>
    </row>
    <row r="3787" spans="7:8" x14ac:dyDescent="0.25">
      <c r="G3787" s="4" t="str">
        <f t="shared" si="58"/>
        <v/>
      </c>
      <c r="H3787" s="4" t="str">
        <f t="shared" si="59"/>
        <v/>
      </c>
    </row>
    <row r="3788" spans="7:8" x14ac:dyDescent="0.25">
      <c r="G3788" s="4" t="str">
        <f t="shared" si="58"/>
        <v/>
      </c>
      <c r="H3788" s="4" t="str">
        <f t="shared" si="59"/>
        <v/>
      </c>
    </row>
    <row r="3789" spans="7:8" x14ac:dyDescent="0.25">
      <c r="G3789" s="4" t="str">
        <f t="shared" si="58"/>
        <v/>
      </c>
      <c r="H3789" s="4" t="str">
        <f t="shared" si="59"/>
        <v/>
      </c>
    </row>
    <row r="3790" spans="7:8" x14ac:dyDescent="0.25">
      <c r="G3790" s="4" t="str">
        <f t="shared" si="58"/>
        <v/>
      </c>
      <c r="H3790" s="4" t="str">
        <f t="shared" si="59"/>
        <v/>
      </c>
    </row>
    <row r="3791" spans="7:8" x14ac:dyDescent="0.25">
      <c r="G3791" s="4" t="str">
        <f t="shared" si="58"/>
        <v/>
      </c>
      <c r="H3791" s="4" t="str">
        <f t="shared" si="59"/>
        <v/>
      </c>
    </row>
    <row r="3792" spans="7:8" x14ac:dyDescent="0.25">
      <c r="G3792" s="4" t="str">
        <f t="shared" si="58"/>
        <v/>
      </c>
      <c r="H3792" s="4" t="str">
        <f t="shared" si="59"/>
        <v/>
      </c>
    </row>
    <row r="3793" spans="7:8" x14ac:dyDescent="0.25">
      <c r="G3793" s="4" t="str">
        <f t="shared" si="58"/>
        <v/>
      </c>
      <c r="H3793" s="4" t="str">
        <f t="shared" si="59"/>
        <v/>
      </c>
    </row>
    <row r="3794" spans="7:8" x14ac:dyDescent="0.25">
      <c r="G3794" s="4" t="str">
        <f t="shared" si="58"/>
        <v/>
      </c>
      <c r="H3794" s="4" t="str">
        <f t="shared" si="59"/>
        <v/>
      </c>
    </row>
    <row r="3795" spans="7:8" x14ac:dyDescent="0.25">
      <c r="G3795" s="4" t="str">
        <f t="shared" si="58"/>
        <v/>
      </c>
      <c r="H3795" s="4" t="str">
        <f t="shared" si="59"/>
        <v/>
      </c>
    </row>
    <row r="3796" spans="7:8" x14ac:dyDescent="0.25">
      <c r="G3796" s="4" t="str">
        <f t="shared" si="58"/>
        <v/>
      </c>
      <c r="H3796" s="4" t="str">
        <f t="shared" si="59"/>
        <v/>
      </c>
    </row>
    <row r="3797" spans="7:8" x14ac:dyDescent="0.25">
      <c r="G3797" s="4" t="str">
        <f t="shared" si="58"/>
        <v/>
      </c>
      <c r="H3797" s="4" t="str">
        <f t="shared" si="59"/>
        <v/>
      </c>
    </row>
    <row r="3798" spans="7:8" x14ac:dyDescent="0.25">
      <c r="G3798" s="4" t="str">
        <f t="shared" si="58"/>
        <v/>
      </c>
      <c r="H3798" s="4" t="str">
        <f t="shared" si="59"/>
        <v/>
      </c>
    </row>
    <row r="3799" spans="7:8" x14ac:dyDescent="0.25">
      <c r="G3799" s="4" t="str">
        <f t="shared" si="58"/>
        <v/>
      </c>
      <c r="H3799" s="4" t="str">
        <f t="shared" si="59"/>
        <v/>
      </c>
    </row>
    <row r="3800" spans="7:8" x14ac:dyDescent="0.25">
      <c r="G3800" s="4" t="str">
        <f t="shared" si="58"/>
        <v/>
      </c>
      <c r="H3800" s="4" t="str">
        <f t="shared" si="59"/>
        <v/>
      </c>
    </row>
    <row r="3801" spans="7:8" x14ac:dyDescent="0.25">
      <c r="G3801" s="4" t="str">
        <f t="shared" si="58"/>
        <v/>
      </c>
      <c r="H3801" s="4" t="str">
        <f t="shared" si="59"/>
        <v/>
      </c>
    </row>
    <row r="3802" spans="7:8" x14ac:dyDescent="0.25">
      <c r="G3802" s="4" t="str">
        <f t="shared" si="58"/>
        <v/>
      </c>
      <c r="H3802" s="4" t="str">
        <f t="shared" si="59"/>
        <v/>
      </c>
    </row>
    <row r="3803" spans="7:8" x14ac:dyDescent="0.25">
      <c r="G3803" s="4" t="str">
        <f t="shared" si="58"/>
        <v/>
      </c>
      <c r="H3803" s="4" t="str">
        <f t="shared" si="59"/>
        <v/>
      </c>
    </row>
    <row r="3804" spans="7:8" x14ac:dyDescent="0.25">
      <c r="G3804" s="4" t="str">
        <f t="shared" si="58"/>
        <v/>
      </c>
      <c r="H3804" s="4" t="str">
        <f t="shared" si="59"/>
        <v/>
      </c>
    </row>
    <row r="3805" spans="7:8" x14ac:dyDescent="0.25">
      <c r="G3805" s="4" t="str">
        <f t="shared" si="58"/>
        <v/>
      </c>
      <c r="H3805" s="4" t="str">
        <f t="shared" si="59"/>
        <v/>
      </c>
    </row>
    <row r="3806" spans="7:8" x14ac:dyDescent="0.25">
      <c r="G3806" s="4" t="str">
        <f t="shared" si="58"/>
        <v/>
      </c>
      <c r="H3806" s="4" t="str">
        <f t="shared" si="59"/>
        <v/>
      </c>
    </row>
    <row r="3807" spans="7:8" x14ac:dyDescent="0.25">
      <c r="G3807" s="4" t="str">
        <f t="shared" si="58"/>
        <v/>
      </c>
      <c r="H3807" s="4" t="str">
        <f t="shared" si="59"/>
        <v/>
      </c>
    </row>
    <row r="3808" spans="7:8" x14ac:dyDescent="0.25">
      <c r="G3808" s="4" t="str">
        <f t="shared" si="58"/>
        <v/>
      </c>
      <c r="H3808" s="4" t="str">
        <f t="shared" si="59"/>
        <v/>
      </c>
    </row>
    <row r="3809" spans="7:8" x14ac:dyDescent="0.25">
      <c r="G3809" s="4" t="str">
        <f t="shared" si="58"/>
        <v/>
      </c>
      <c r="H3809" s="4" t="str">
        <f t="shared" si="59"/>
        <v/>
      </c>
    </row>
    <row r="3810" spans="7:8" x14ac:dyDescent="0.25">
      <c r="G3810" s="4" t="str">
        <f t="shared" si="58"/>
        <v/>
      </c>
      <c r="H3810" s="4" t="str">
        <f t="shared" si="59"/>
        <v/>
      </c>
    </row>
    <row r="3811" spans="7:8" x14ac:dyDescent="0.25">
      <c r="G3811" s="4" t="str">
        <f t="shared" si="58"/>
        <v/>
      </c>
      <c r="H3811" s="4" t="str">
        <f t="shared" si="59"/>
        <v/>
      </c>
    </row>
    <row r="3812" spans="7:8" x14ac:dyDescent="0.25">
      <c r="G3812" s="4" t="str">
        <f t="shared" si="58"/>
        <v/>
      </c>
      <c r="H3812" s="4" t="str">
        <f t="shared" si="59"/>
        <v/>
      </c>
    </row>
    <row r="3813" spans="7:8" x14ac:dyDescent="0.25">
      <c r="G3813" s="4" t="str">
        <f t="shared" si="58"/>
        <v/>
      </c>
      <c r="H3813" s="4" t="str">
        <f t="shared" si="59"/>
        <v/>
      </c>
    </row>
    <row r="3814" spans="7:8" x14ac:dyDescent="0.25">
      <c r="G3814" s="4" t="str">
        <f t="shared" si="58"/>
        <v/>
      </c>
      <c r="H3814" s="4" t="str">
        <f t="shared" si="59"/>
        <v/>
      </c>
    </row>
    <row r="3815" spans="7:8" x14ac:dyDescent="0.25">
      <c r="G3815" s="4" t="str">
        <f t="shared" si="58"/>
        <v/>
      </c>
      <c r="H3815" s="4" t="str">
        <f t="shared" si="59"/>
        <v/>
      </c>
    </row>
    <row r="3816" spans="7:8" x14ac:dyDescent="0.25">
      <c r="G3816" s="4" t="str">
        <f t="shared" si="58"/>
        <v/>
      </c>
      <c r="H3816" s="4" t="str">
        <f t="shared" si="59"/>
        <v/>
      </c>
    </row>
    <row r="3817" spans="7:8" x14ac:dyDescent="0.25">
      <c r="G3817" s="4" t="str">
        <f t="shared" si="58"/>
        <v/>
      </c>
      <c r="H3817" s="4" t="str">
        <f t="shared" si="59"/>
        <v/>
      </c>
    </row>
    <row r="3818" spans="7:8" x14ac:dyDescent="0.25">
      <c r="G3818" s="4" t="str">
        <f t="shared" si="58"/>
        <v/>
      </c>
      <c r="H3818" s="4" t="str">
        <f t="shared" si="59"/>
        <v/>
      </c>
    </row>
    <row r="3819" spans="7:8" x14ac:dyDescent="0.25">
      <c r="G3819" s="4"/>
      <c r="H3819" s="4"/>
    </row>
    <row r="3820" spans="7:8" x14ac:dyDescent="0.25">
      <c r="G3820" s="4"/>
      <c r="H3820" s="4"/>
    </row>
    <row r="3821" spans="7:8" x14ac:dyDescent="0.25">
      <c r="G3821" s="4"/>
      <c r="H3821" s="4"/>
    </row>
    <row r="3822" spans="7:8" x14ac:dyDescent="0.25">
      <c r="G3822" s="4"/>
      <c r="H3822" s="4"/>
    </row>
    <row r="3823" spans="7:8" x14ac:dyDescent="0.25">
      <c r="G3823" s="4"/>
      <c r="H3823" s="4"/>
    </row>
    <row r="3824" spans="7:8" x14ac:dyDescent="0.25">
      <c r="G3824" s="4"/>
      <c r="H3824" s="4"/>
    </row>
    <row r="3825" spans="7:8" x14ac:dyDescent="0.25">
      <c r="G3825" s="4"/>
      <c r="H3825" s="4"/>
    </row>
    <row r="3826" spans="7:8" x14ac:dyDescent="0.25">
      <c r="G3826" s="4"/>
      <c r="H3826" s="4"/>
    </row>
    <row r="3827" spans="7:8" x14ac:dyDescent="0.25">
      <c r="G3827" s="4"/>
      <c r="H3827" s="4"/>
    </row>
    <row r="3828" spans="7:8" x14ac:dyDescent="0.25">
      <c r="G3828" s="4"/>
      <c r="H3828" s="4"/>
    </row>
    <row r="3829" spans="7:8" x14ac:dyDescent="0.25">
      <c r="G3829" s="4"/>
      <c r="H3829" s="4"/>
    </row>
    <row r="3830" spans="7:8" x14ac:dyDescent="0.25">
      <c r="G3830" s="4"/>
      <c r="H3830" s="4"/>
    </row>
    <row r="3831" spans="7:8" x14ac:dyDescent="0.25">
      <c r="G3831" s="4"/>
      <c r="H3831" s="4"/>
    </row>
    <row r="3832" spans="7:8" x14ac:dyDescent="0.25">
      <c r="G3832" s="4"/>
      <c r="H3832" s="4"/>
    </row>
    <row r="3833" spans="7:8" x14ac:dyDescent="0.25">
      <c r="G3833" s="4"/>
      <c r="H3833" s="4"/>
    </row>
    <row r="3834" spans="7:8" x14ac:dyDescent="0.25">
      <c r="G3834" s="4"/>
      <c r="H3834" s="4"/>
    </row>
    <row r="3835" spans="7:8" x14ac:dyDescent="0.25">
      <c r="G3835" s="4"/>
      <c r="H3835" s="4"/>
    </row>
    <row r="3836" spans="7:8" x14ac:dyDescent="0.25">
      <c r="G3836" s="4"/>
      <c r="H3836" s="4"/>
    </row>
    <row r="3837" spans="7:8" x14ac:dyDescent="0.25">
      <c r="G3837" s="4"/>
      <c r="H3837" s="4"/>
    </row>
    <row r="3838" spans="7:8" x14ac:dyDescent="0.25">
      <c r="G3838" s="4"/>
      <c r="H3838" s="4"/>
    </row>
    <row r="3839" spans="7:8" x14ac:dyDescent="0.25">
      <c r="G3839" s="4"/>
      <c r="H3839" s="4"/>
    </row>
    <row r="3840" spans="7:8" x14ac:dyDescent="0.25">
      <c r="G3840" s="4"/>
      <c r="H3840" s="4"/>
    </row>
    <row r="3841" spans="7:8" x14ac:dyDescent="0.25">
      <c r="G3841" s="4"/>
      <c r="H3841" s="4"/>
    </row>
    <row r="3842" spans="7:8" x14ac:dyDescent="0.25">
      <c r="G3842" s="4"/>
      <c r="H3842" s="4"/>
    </row>
    <row r="3843" spans="7:8" x14ac:dyDescent="0.25">
      <c r="G3843" s="4"/>
      <c r="H3843" s="4"/>
    </row>
    <row r="3844" spans="7:8" x14ac:dyDescent="0.25">
      <c r="G3844" s="4"/>
      <c r="H3844" s="4"/>
    </row>
    <row r="3845" spans="7:8" x14ac:dyDescent="0.25">
      <c r="G3845" s="4"/>
      <c r="H3845" s="4"/>
    </row>
    <row r="3846" spans="7:8" x14ac:dyDescent="0.25">
      <c r="G3846" s="4"/>
      <c r="H3846" s="4"/>
    </row>
    <row r="3847" spans="7:8" x14ac:dyDescent="0.25">
      <c r="G3847" s="4"/>
      <c r="H3847" s="4"/>
    </row>
    <row r="3848" spans="7:8" x14ac:dyDescent="0.25">
      <c r="G3848" s="4"/>
      <c r="H3848" s="4"/>
    </row>
    <row r="3849" spans="7:8" x14ac:dyDescent="0.25">
      <c r="G3849" s="4"/>
      <c r="H3849" s="4"/>
    </row>
    <row r="3850" spans="7:8" x14ac:dyDescent="0.25">
      <c r="G3850" s="4"/>
      <c r="H3850" s="4"/>
    </row>
    <row r="3851" spans="7:8" x14ac:dyDescent="0.25">
      <c r="G3851" s="4"/>
      <c r="H3851" s="4"/>
    </row>
    <row r="3852" spans="7:8" x14ac:dyDescent="0.25">
      <c r="G3852" s="4"/>
      <c r="H3852" s="4"/>
    </row>
    <row r="3853" spans="7:8" x14ac:dyDescent="0.25">
      <c r="G3853" s="4"/>
      <c r="H3853" s="4"/>
    </row>
    <row r="3854" spans="7:8" x14ac:dyDescent="0.25">
      <c r="G3854" s="4"/>
      <c r="H3854" s="4"/>
    </row>
    <row r="3855" spans="7:8" x14ac:dyDescent="0.25">
      <c r="G3855" s="4"/>
      <c r="H3855" s="4"/>
    </row>
    <row r="3856" spans="7:8" x14ac:dyDescent="0.25">
      <c r="G3856" s="4"/>
      <c r="H3856" s="4"/>
    </row>
    <row r="3857" spans="7:8" x14ac:dyDescent="0.25">
      <c r="G3857" s="4"/>
      <c r="H3857" s="4"/>
    </row>
    <row r="3858" spans="7:8" x14ac:dyDescent="0.25">
      <c r="G3858" s="4"/>
      <c r="H3858" s="4"/>
    </row>
    <row r="3859" spans="7:8" x14ac:dyDescent="0.25">
      <c r="G3859" s="4"/>
      <c r="H3859" s="4"/>
    </row>
    <row r="3860" spans="7:8" x14ac:dyDescent="0.25">
      <c r="G3860" s="4"/>
      <c r="H3860" s="4"/>
    </row>
    <row r="3861" spans="7:8" x14ac:dyDescent="0.25">
      <c r="G3861" s="4"/>
      <c r="H3861" s="4"/>
    </row>
    <row r="3862" spans="7:8" x14ac:dyDescent="0.25">
      <c r="G3862" s="4"/>
      <c r="H3862" s="4"/>
    </row>
    <row r="3863" spans="7:8" x14ac:dyDescent="0.25">
      <c r="G3863" s="4"/>
      <c r="H3863" s="4"/>
    </row>
    <row r="3864" spans="7:8" x14ac:dyDescent="0.25">
      <c r="G3864" s="4"/>
      <c r="H3864" s="4"/>
    </row>
    <row r="3865" spans="7:8" x14ac:dyDescent="0.25">
      <c r="G3865" s="4"/>
      <c r="H3865" s="4"/>
    </row>
    <row r="3866" spans="7:8" x14ac:dyDescent="0.25">
      <c r="G3866" s="4"/>
      <c r="H3866" s="4"/>
    </row>
    <row r="3867" spans="7:8" x14ac:dyDescent="0.25">
      <c r="G3867" s="4"/>
      <c r="H3867" s="4"/>
    </row>
    <row r="3868" spans="7:8" x14ac:dyDescent="0.25">
      <c r="G3868" s="4"/>
      <c r="H3868" s="4"/>
    </row>
    <row r="3869" spans="7:8" x14ac:dyDescent="0.25">
      <c r="G3869" s="4"/>
      <c r="H3869" s="4"/>
    </row>
    <row r="3870" spans="7:8" x14ac:dyDescent="0.25">
      <c r="G3870" s="4"/>
      <c r="H3870" s="4"/>
    </row>
    <row r="3871" spans="7:8" x14ac:dyDescent="0.25">
      <c r="G3871" s="4"/>
      <c r="H3871" s="4"/>
    </row>
    <row r="3872" spans="7:8" x14ac:dyDescent="0.25">
      <c r="G3872" s="4"/>
      <c r="H3872" s="4"/>
    </row>
    <row r="3873" spans="7:8" x14ac:dyDescent="0.25">
      <c r="G3873" s="4"/>
      <c r="H3873" s="4"/>
    </row>
    <row r="3874" spans="7:8" x14ac:dyDescent="0.25">
      <c r="G3874" s="4"/>
      <c r="H3874" s="4"/>
    </row>
    <row r="3875" spans="7:8" x14ac:dyDescent="0.25">
      <c r="G3875" s="4"/>
      <c r="H3875" s="4"/>
    </row>
    <row r="3876" spans="7:8" x14ac:dyDescent="0.25">
      <c r="G3876" s="4"/>
      <c r="H3876" s="4"/>
    </row>
    <row r="3877" spans="7:8" x14ac:dyDescent="0.25">
      <c r="G3877" s="4"/>
      <c r="H3877" s="4"/>
    </row>
    <row r="3878" spans="7:8" x14ac:dyDescent="0.25">
      <c r="G3878" s="4"/>
      <c r="H3878" s="4"/>
    </row>
    <row r="3879" spans="7:8" x14ac:dyDescent="0.25">
      <c r="G3879" s="4"/>
      <c r="H3879" s="4"/>
    </row>
    <row r="3880" spans="7:8" x14ac:dyDescent="0.25">
      <c r="G3880" s="4"/>
      <c r="H3880" s="4"/>
    </row>
    <row r="3881" spans="7:8" x14ac:dyDescent="0.25">
      <c r="G3881" s="4"/>
      <c r="H3881" s="4"/>
    </row>
    <row r="3882" spans="7:8" x14ac:dyDescent="0.25">
      <c r="G3882" s="4"/>
      <c r="H3882" s="4"/>
    </row>
    <row r="3883" spans="7:8" x14ac:dyDescent="0.25">
      <c r="G3883" s="4"/>
      <c r="H3883" s="4"/>
    </row>
    <row r="3884" spans="7:8" x14ac:dyDescent="0.25">
      <c r="G3884" s="4"/>
      <c r="H3884" s="4"/>
    </row>
    <row r="3885" spans="7:8" x14ac:dyDescent="0.25">
      <c r="G3885" s="4"/>
      <c r="H3885" s="4"/>
    </row>
    <row r="3886" spans="7:8" x14ac:dyDescent="0.25">
      <c r="G3886" s="4"/>
      <c r="H3886" s="4"/>
    </row>
    <row r="3887" spans="7:8" x14ac:dyDescent="0.25">
      <c r="G3887" s="4"/>
      <c r="H3887" s="4"/>
    </row>
    <row r="3888" spans="7:8" x14ac:dyDescent="0.25">
      <c r="G3888" s="4"/>
      <c r="H3888" s="4"/>
    </row>
    <row r="3889" spans="7:8" x14ac:dyDescent="0.25">
      <c r="G3889" s="4"/>
      <c r="H3889" s="4"/>
    </row>
    <row r="3890" spans="7:8" x14ac:dyDescent="0.25">
      <c r="G3890" s="4"/>
      <c r="H3890" s="4"/>
    </row>
    <row r="3891" spans="7:8" x14ac:dyDescent="0.25">
      <c r="G3891" s="4"/>
      <c r="H3891" s="4"/>
    </row>
    <row r="3892" spans="7:8" x14ac:dyDescent="0.25">
      <c r="G3892" s="4"/>
      <c r="H3892" s="4"/>
    </row>
    <row r="3893" spans="7:8" x14ac:dyDescent="0.25">
      <c r="G3893" s="4"/>
      <c r="H3893" s="4"/>
    </row>
    <row r="3894" spans="7:8" x14ac:dyDescent="0.25">
      <c r="G3894" s="4"/>
      <c r="H3894" s="4"/>
    </row>
    <row r="3895" spans="7:8" x14ac:dyDescent="0.25">
      <c r="G3895" s="4"/>
      <c r="H3895" s="4"/>
    </row>
    <row r="3896" spans="7:8" x14ac:dyDescent="0.25">
      <c r="G3896" s="4"/>
      <c r="H3896" s="4"/>
    </row>
    <row r="3897" spans="7:8" x14ac:dyDescent="0.25">
      <c r="G3897" s="4"/>
      <c r="H3897" s="4"/>
    </row>
    <row r="3898" spans="7:8" x14ac:dyDescent="0.25">
      <c r="G3898" s="4"/>
      <c r="H3898" s="4"/>
    </row>
    <row r="3899" spans="7:8" x14ac:dyDescent="0.25">
      <c r="G3899" s="4"/>
      <c r="H3899" s="4"/>
    </row>
    <row r="3900" spans="7:8" x14ac:dyDescent="0.25">
      <c r="G3900" s="4"/>
      <c r="H3900" s="4"/>
    </row>
    <row r="3901" spans="7:8" x14ac:dyDescent="0.25">
      <c r="G3901" s="4"/>
      <c r="H3901" s="4"/>
    </row>
    <row r="3902" spans="7:8" x14ac:dyDescent="0.25">
      <c r="G3902" s="4"/>
      <c r="H3902" s="4"/>
    </row>
    <row r="3903" spans="7:8" x14ac:dyDescent="0.25">
      <c r="G3903" s="4"/>
      <c r="H3903" s="4"/>
    </row>
    <row r="3904" spans="7:8" x14ac:dyDescent="0.25">
      <c r="G3904" s="4"/>
      <c r="H3904" s="4"/>
    </row>
    <row r="3905" spans="7:8" x14ac:dyDescent="0.25">
      <c r="G3905" s="4"/>
      <c r="H3905" s="4"/>
    </row>
    <row r="3906" spans="7:8" x14ac:dyDescent="0.25">
      <c r="G3906" s="4"/>
      <c r="H3906" s="4"/>
    </row>
    <row r="3907" spans="7:8" x14ac:dyDescent="0.25">
      <c r="G3907" s="4"/>
      <c r="H3907" s="4"/>
    </row>
    <row r="3908" spans="7:8" x14ac:dyDescent="0.25">
      <c r="G3908" s="4"/>
      <c r="H3908" s="4"/>
    </row>
    <row r="3909" spans="7:8" x14ac:dyDescent="0.25">
      <c r="G3909" s="4"/>
      <c r="H3909" s="4"/>
    </row>
    <row r="3910" spans="7:8" x14ac:dyDescent="0.25">
      <c r="G3910" s="4"/>
      <c r="H3910" s="4"/>
    </row>
    <row r="3911" spans="7:8" x14ac:dyDescent="0.25">
      <c r="G3911" s="4"/>
      <c r="H3911" s="4"/>
    </row>
    <row r="3912" spans="7:8" x14ac:dyDescent="0.25">
      <c r="G3912" s="4"/>
      <c r="H3912" s="4"/>
    </row>
    <row r="3913" spans="7:8" x14ac:dyDescent="0.25">
      <c r="G3913" s="4"/>
      <c r="H3913" s="4"/>
    </row>
    <row r="3914" spans="7:8" x14ac:dyDescent="0.25">
      <c r="G3914" s="4"/>
      <c r="H3914" s="4"/>
    </row>
    <row r="3915" spans="7:8" x14ac:dyDescent="0.25">
      <c r="G3915" s="4"/>
      <c r="H3915" s="4"/>
    </row>
    <row r="3916" spans="7:8" x14ac:dyDescent="0.25">
      <c r="G3916" s="4"/>
      <c r="H3916" s="4"/>
    </row>
    <row r="3917" spans="7:8" x14ac:dyDescent="0.25">
      <c r="G3917" s="4"/>
      <c r="H3917" s="4"/>
    </row>
    <row r="3918" spans="7:8" x14ac:dyDescent="0.25">
      <c r="G3918" s="4"/>
      <c r="H3918" s="4"/>
    </row>
    <row r="3919" spans="7:8" x14ac:dyDescent="0.25">
      <c r="G3919" s="4"/>
      <c r="H3919" s="4"/>
    </row>
    <row r="3920" spans="7:8" x14ac:dyDescent="0.25">
      <c r="G3920" s="4"/>
      <c r="H3920" s="4"/>
    </row>
    <row r="3921" spans="7:8" x14ac:dyDescent="0.25">
      <c r="G3921" s="4"/>
      <c r="H3921" s="4"/>
    </row>
    <row r="3922" spans="7:8" x14ac:dyDescent="0.25">
      <c r="G3922" s="4"/>
      <c r="H3922" s="4"/>
    </row>
    <row r="3923" spans="7:8" x14ac:dyDescent="0.25">
      <c r="G3923" s="4"/>
      <c r="H3923" s="4"/>
    </row>
    <row r="3924" spans="7:8" x14ac:dyDescent="0.25">
      <c r="G3924" s="4"/>
      <c r="H3924" s="4"/>
    </row>
    <row r="3925" spans="7:8" x14ac:dyDescent="0.25">
      <c r="G3925" s="4"/>
      <c r="H3925" s="4"/>
    </row>
    <row r="3926" spans="7:8" x14ac:dyDescent="0.25">
      <c r="G3926" s="4"/>
      <c r="H3926" s="4"/>
    </row>
    <row r="3927" spans="7:8" x14ac:dyDescent="0.25">
      <c r="G3927" s="4"/>
      <c r="H3927" s="4"/>
    </row>
    <row r="3928" spans="7:8" x14ac:dyDescent="0.25">
      <c r="G3928" s="4"/>
      <c r="H3928" s="4"/>
    </row>
    <row r="3929" spans="7:8" x14ac:dyDescent="0.25">
      <c r="G3929" s="4"/>
      <c r="H3929" s="4"/>
    </row>
    <row r="3930" spans="7:8" x14ac:dyDescent="0.25">
      <c r="G3930" s="4"/>
      <c r="H3930" s="4"/>
    </row>
    <row r="3931" spans="7:8" x14ac:dyDescent="0.25">
      <c r="G3931" s="4"/>
      <c r="H3931" s="4"/>
    </row>
    <row r="3932" spans="7:8" x14ac:dyDescent="0.25">
      <c r="G3932" s="4"/>
      <c r="H3932" s="4"/>
    </row>
    <row r="3933" spans="7:8" x14ac:dyDescent="0.25">
      <c r="G3933" s="4"/>
      <c r="H3933" s="4"/>
    </row>
    <row r="3934" spans="7:8" x14ac:dyDescent="0.25">
      <c r="G3934" s="4"/>
      <c r="H3934" s="4"/>
    </row>
    <row r="3935" spans="7:8" x14ac:dyDescent="0.25">
      <c r="G3935" s="4"/>
      <c r="H3935" s="4"/>
    </row>
    <row r="3936" spans="7:8" x14ac:dyDescent="0.25">
      <c r="G3936" s="4"/>
      <c r="H3936" s="4"/>
    </row>
    <row r="3937" spans="7:8" x14ac:dyDescent="0.25">
      <c r="G3937" s="4"/>
      <c r="H3937" s="4"/>
    </row>
    <row r="3938" spans="7:8" x14ac:dyDescent="0.25">
      <c r="G3938" s="4"/>
      <c r="H3938" s="4"/>
    </row>
    <row r="3939" spans="7:8" x14ac:dyDescent="0.25">
      <c r="G3939" s="4"/>
      <c r="H3939" s="4"/>
    </row>
    <row r="3940" spans="7:8" x14ac:dyDescent="0.25">
      <c r="G3940" s="4"/>
      <c r="H3940" s="4"/>
    </row>
    <row r="3941" spans="7:8" x14ac:dyDescent="0.25">
      <c r="G3941" s="4"/>
      <c r="H3941" s="4"/>
    </row>
    <row r="3942" spans="7:8" x14ac:dyDescent="0.25">
      <c r="G3942" s="4"/>
      <c r="H3942" s="4"/>
    </row>
    <row r="3943" spans="7:8" x14ac:dyDescent="0.25">
      <c r="G3943" s="4"/>
      <c r="H3943" s="4"/>
    </row>
    <row r="3944" spans="7:8" x14ac:dyDescent="0.25">
      <c r="G3944" s="4"/>
      <c r="H3944" s="4"/>
    </row>
    <row r="3945" spans="7:8" x14ac:dyDescent="0.25">
      <c r="G3945" s="4"/>
      <c r="H3945" s="4"/>
    </row>
    <row r="3946" spans="7:8" x14ac:dyDescent="0.25">
      <c r="G3946" s="4"/>
      <c r="H3946" s="4"/>
    </row>
    <row r="3947" spans="7:8" x14ac:dyDescent="0.25">
      <c r="G3947" s="4"/>
      <c r="H3947" s="4"/>
    </row>
    <row r="3948" spans="7:8" x14ac:dyDescent="0.25">
      <c r="G3948" s="4"/>
      <c r="H3948" s="4"/>
    </row>
    <row r="3949" spans="7:8" x14ac:dyDescent="0.25">
      <c r="G3949" s="4"/>
      <c r="H3949" s="4"/>
    </row>
    <row r="3950" spans="7:8" x14ac:dyDescent="0.25">
      <c r="G3950" s="4"/>
      <c r="H3950" s="4"/>
    </row>
    <row r="3951" spans="7:8" x14ac:dyDescent="0.25">
      <c r="G3951" s="4"/>
      <c r="H3951" s="4"/>
    </row>
    <row r="3952" spans="7:8" x14ac:dyDescent="0.25">
      <c r="G3952" s="4"/>
      <c r="H3952" s="4"/>
    </row>
    <row r="3953" spans="7:8" x14ac:dyDescent="0.25">
      <c r="G3953" s="4"/>
      <c r="H3953" s="4"/>
    </row>
    <row r="3954" spans="7:8" x14ac:dyDescent="0.25">
      <c r="G3954" s="4"/>
      <c r="H3954" s="4"/>
    </row>
    <row r="3955" spans="7:8" x14ac:dyDescent="0.25">
      <c r="G3955" s="4"/>
      <c r="H3955" s="4"/>
    </row>
    <row r="3956" spans="7:8" x14ac:dyDescent="0.25">
      <c r="G3956" s="4"/>
      <c r="H3956" s="4"/>
    </row>
    <row r="3957" spans="7:8" x14ac:dyDescent="0.25">
      <c r="G3957" s="4"/>
      <c r="H3957" s="4"/>
    </row>
    <row r="3958" spans="7:8" x14ac:dyDescent="0.25">
      <c r="G3958" s="4"/>
      <c r="H3958" s="4"/>
    </row>
    <row r="3959" spans="7:8" x14ac:dyDescent="0.25">
      <c r="G3959" s="4"/>
      <c r="H3959" s="4"/>
    </row>
    <row r="3960" spans="7:8" x14ac:dyDescent="0.25">
      <c r="G3960" s="4"/>
      <c r="H3960" s="4"/>
    </row>
    <row r="3961" spans="7:8" x14ac:dyDescent="0.25">
      <c r="G3961" s="4"/>
      <c r="H3961" s="4"/>
    </row>
    <row r="3962" spans="7:8" x14ac:dyDescent="0.25">
      <c r="G3962" s="4"/>
      <c r="H3962" s="4"/>
    </row>
    <row r="3963" spans="7:8" x14ac:dyDescent="0.25">
      <c r="G3963" s="4"/>
      <c r="H3963" s="4"/>
    </row>
    <row r="3964" spans="7:8" x14ac:dyDescent="0.25">
      <c r="G3964" s="4"/>
      <c r="H3964" s="4"/>
    </row>
    <row r="3965" spans="7:8" x14ac:dyDescent="0.25">
      <c r="G3965" s="4"/>
      <c r="H3965" s="4"/>
    </row>
    <row r="3966" spans="7:8" x14ac:dyDescent="0.25">
      <c r="G3966" s="4"/>
      <c r="H3966" s="4"/>
    </row>
    <row r="3967" spans="7:8" x14ac:dyDescent="0.25">
      <c r="G3967" s="4"/>
      <c r="H3967" s="4"/>
    </row>
    <row r="3968" spans="7:8" x14ac:dyDescent="0.25">
      <c r="G3968" s="4"/>
      <c r="H3968" s="4"/>
    </row>
    <row r="3969" spans="7:8" x14ac:dyDescent="0.25">
      <c r="G3969" s="4"/>
      <c r="H3969" s="4"/>
    </row>
    <row r="3970" spans="7:8" x14ac:dyDescent="0.25">
      <c r="G3970" s="4"/>
      <c r="H3970" s="4"/>
    </row>
    <row r="3971" spans="7:8" x14ac:dyDescent="0.25">
      <c r="G3971" s="4"/>
      <c r="H3971" s="4"/>
    </row>
    <row r="3972" spans="7:8" x14ac:dyDescent="0.25">
      <c r="G3972" s="4"/>
      <c r="H3972" s="4"/>
    </row>
    <row r="3973" spans="7:8" x14ac:dyDescent="0.25">
      <c r="G3973" s="4"/>
      <c r="H3973" s="4"/>
    </row>
    <row r="3974" spans="7:8" x14ac:dyDescent="0.25">
      <c r="G3974" s="4"/>
      <c r="H3974" s="4"/>
    </row>
    <row r="3975" spans="7:8" x14ac:dyDescent="0.25">
      <c r="G3975" s="4"/>
      <c r="H3975" s="4"/>
    </row>
    <row r="3976" spans="7:8" x14ac:dyDescent="0.25">
      <c r="G3976" s="4"/>
      <c r="H3976" s="4"/>
    </row>
    <row r="3977" spans="7:8" x14ac:dyDescent="0.25">
      <c r="G3977" s="4"/>
      <c r="H3977" s="4"/>
    </row>
    <row r="3978" spans="7:8" x14ac:dyDescent="0.25">
      <c r="G3978" s="4"/>
      <c r="H3978" s="4"/>
    </row>
    <row r="3979" spans="7:8" x14ac:dyDescent="0.25">
      <c r="G3979" s="4"/>
      <c r="H3979" s="4"/>
    </row>
    <row r="3980" spans="7:8" x14ac:dyDescent="0.25">
      <c r="G3980" s="4"/>
      <c r="H3980" s="4"/>
    </row>
    <row r="3981" spans="7:8" x14ac:dyDescent="0.25">
      <c r="G3981" s="4"/>
      <c r="H3981" s="4"/>
    </row>
    <row r="3982" spans="7:8" x14ac:dyDescent="0.25">
      <c r="G3982" s="4"/>
      <c r="H3982" s="4"/>
    </row>
    <row r="3983" spans="7:8" x14ac:dyDescent="0.25">
      <c r="G3983" s="4"/>
      <c r="H3983" s="4"/>
    </row>
    <row r="3984" spans="7:8" x14ac:dyDescent="0.25">
      <c r="G3984" s="4"/>
      <c r="H3984" s="4"/>
    </row>
    <row r="3985" spans="7:8" x14ac:dyDescent="0.25">
      <c r="G3985" s="4"/>
      <c r="H3985" s="4"/>
    </row>
    <row r="3986" spans="7:8" x14ac:dyDescent="0.25">
      <c r="G3986" s="4"/>
      <c r="H3986" s="4"/>
    </row>
    <row r="3987" spans="7:8" x14ac:dyDescent="0.25">
      <c r="G3987" s="4"/>
      <c r="H3987" s="4"/>
    </row>
    <row r="3988" spans="7:8" x14ac:dyDescent="0.25">
      <c r="G3988" s="4"/>
      <c r="H3988" s="4"/>
    </row>
    <row r="3989" spans="7:8" x14ac:dyDescent="0.25">
      <c r="G3989" s="4"/>
      <c r="H3989" s="4"/>
    </row>
    <row r="3990" spans="7:8" x14ac:dyDescent="0.25">
      <c r="G3990" s="4"/>
      <c r="H3990" s="4"/>
    </row>
    <row r="3991" spans="7:8" x14ac:dyDescent="0.25">
      <c r="G3991" s="4"/>
      <c r="H3991" s="4"/>
    </row>
    <row r="3992" spans="7:8" x14ac:dyDescent="0.25">
      <c r="G3992" s="4"/>
      <c r="H3992" s="4"/>
    </row>
    <row r="3993" spans="7:8" x14ac:dyDescent="0.25">
      <c r="G3993" s="4"/>
      <c r="H3993" s="4"/>
    </row>
    <row r="3994" spans="7:8" x14ac:dyDescent="0.25">
      <c r="G3994" s="4"/>
      <c r="H3994" s="4"/>
    </row>
    <row r="3995" spans="7:8" x14ac:dyDescent="0.25">
      <c r="G3995" s="4"/>
      <c r="H3995" s="4"/>
    </row>
    <row r="3996" spans="7:8" x14ac:dyDescent="0.25">
      <c r="G3996" s="4"/>
      <c r="H3996" s="4"/>
    </row>
    <row r="3997" spans="7:8" x14ac:dyDescent="0.25">
      <c r="G3997" s="4"/>
      <c r="H3997" s="4"/>
    </row>
    <row r="3998" spans="7:8" x14ac:dyDescent="0.25">
      <c r="G3998" s="4"/>
      <c r="H3998" s="4"/>
    </row>
    <row r="3999" spans="7:8" x14ac:dyDescent="0.25">
      <c r="G3999" s="4"/>
      <c r="H3999" s="4"/>
    </row>
    <row r="4000" spans="7:8" x14ac:dyDescent="0.25">
      <c r="G4000" s="4"/>
      <c r="H4000" s="4"/>
    </row>
    <row r="4001" spans="7:8" x14ac:dyDescent="0.25">
      <c r="G4001" s="4"/>
      <c r="H4001" s="4"/>
    </row>
    <row r="4002" spans="7:8" x14ac:dyDescent="0.25">
      <c r="G4002" s="4"/>
      <c r="H4002" s="4"/>
    </row>
    <row r="4003" spans="7:8" x14ac:dyDescent="0.25">
      <c r="G4003" s="4"/>
      <c r="H4003" s="4"/>
    </row>
    <row r="4004" spans="7:8" x14ac:dyDescent="0.25">
      <c r="G4004" s="4"/>
      <c r="H4004" s="4"/>
    </row>
    <row r="4005" spans="7:8" x14ac:dyDescent="0.25">
      <c r="G4005" s="4"/>
      <c r="H4005" s="4"/>
    </row>
    <row r="4006" spans="7:8" x14ac:dyDescent="0.25">
      <c r="G4006" s="4"/>
      <c r="H4006" s="4"/>
    </row>
    <row r="4007" spans="7:8" x14ac:dyDescent="0.25">
      <c r="G4007" s="4"/>
      <c r="H4007" s="4"/>
    </row>
    <row r="4008" spans="7:8" x14ac:dyDescent="0.25">
      <c r="G4008" s="4"/>
      <c r="H4008" s="4"/>
    </row>
    <row r="4009" spans="7:8" x14ac:dyDescent="0.25">
      <c r="G4009" s="4"/>
      <c r="H4009" s="4"/>
    </row>
    <row r="4010" spans="7:8" x14ac:dyDescent="0.25">
      <c r="G4010" s="4"/>
      <c r="H4010" s="4"/>
    </row>
    <row r="4011" spans="7:8" x14ac:dyDescent="0.25">
      <c r="G4011" s="4"/>
      <c r="H4011" s="4"/>
    </row>
    <row r="4012" spans="7:8" x14ac:dyDescent="0.25">
      <c r="G4012" s="4"/>
      <c r="H4012" s="4"/>
    </row>
    <row r="4013" spans="7:8" x14ac:dyDescent="0.25">
      <c r="G4013" s="4"/>
      <c r="H4013" s="4"/>
    </row>
    <row r="4014" spans="7:8" x14ac:dyDescent="0.25">
      <c r="G4014" s="4"/>
      <c r="H4014" s="4"/>
    </row>
    <row r="4015" spans="7:8" x14ac:dyDescent="0.25">
      <c r="G4015" s="4"/>
      <c r="H4015" s="4"/>
    </row>
    <row r="4016" spans="7:8" x14ac:dyDescent="0.25">
      <c r="G4016" s="4"/>
      <c r="H4016" s="4"/>
    </row>
    <row r="4017" spans="7:8" x14ac:dyDescent="0.25">
      <c r="G4017" s="4"/>
      <c r="H4017" s="4"/>
    </row>
    <row r="4018" spans="7:8" x14ac:dyDescent="0.25">
      <c r="G4018" s="4"/>
      <c r="H4018" s="4"/>
    </row>
  </sheetData>
  <autoFilter ref="B3:H3316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&gt;&gt; City Data</vt:lpstr>
      <vt:lpstr>City characteristics</vt:lpstr>
      <vt:lpstr>&gt;&gt; GC_NewTech</vt:lpstr>
      <vt:lpstr>RES TECH</vt:lpstr>
      <vt:lpstr>&gt;&gt; TIMES</vt:lpstr>
      <vt:lpstr>Tech_availability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2025-04-08T18:32:07Z</dcterms:modified>
</cp:coreProperties>
</file>